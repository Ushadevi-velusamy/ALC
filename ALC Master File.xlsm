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ABB4666-6424-4932-940E-262C031C56FB}" xr6:coauthVersionLast="45" xr6:coauthVersionMax="46" xr10:uidLastSave="{00000000-0000-0000-0000-000000000000}"/>
  <workbookProtection workbookAlgorithmName="SHA-512" workbookHashValue="gFCNdY+KU5VcPWDUf1g1whrlyHlYz0s6OjyA95Dy7/e4/dWSAKUBL5y9xpissziKjCixlB7rHpRmezZ8M0xrtw==" workbookSaltValue="MfB7VaaBvelVIzoTwp5vx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B282" i="92"/>
  <c r="E22" i="12" l="1"/>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C981" i="92"/>
  <c r="B215" i="92"/>
  <c r="C109" i="92"/>
  <c r="C872" i="92"/>
  <c r="B140" i="92"/>
  <c r="C932" i="92"/>
  <c r="B820" i="92"/>
  <c r="C208" i="92"/>
  <c r="C889" i="92"/>
  <c r="C180" i="92"/>
  <c r="B705" i="92"/>
  <c r="B534" i="92"/>
  <c r="B559" i="92"/>
  <c r="C1216" i="92"/>
  <c r="B1005" i="92"/>
  <c r="B947" i="92"/>
  <c r="C323" i="92"/>
  <c r="B731" i="92"/>
  <c r="B895" i="92"/>
  <c r="B846" i="92"/>
  <c r="B95" i="92"/>
  <c r="C829" i="92"/>
  <c r="C101" i="92"/>
  <c r="B233" i="92"/>
  <c r="B736" i="92"/>
  <c r="B483" i="92"/>
  <c r="B1160" i="92"/>
  <c r="B706" i="92"/>
  <c r="B175" i="92"/>
  <c r="C631" i="92"/>
  <c r="C325" i="92"/>
  <c r="B579" i="92"/>
  <c r="C660" i="92"/>
  <c r="B423" i="92"/>
  <c r="B1015" i="92"/>
  <c r="B355" i="92"/>
  <c r="B915" i="92"/>
  <c r="C322" i="92"/>
  <c r="C560" i="92"/>
  <c r="B883" i="92"/>
  <c r="B484" i="92"/>
  <c r="C127" i="92"/>
  <c r="C524" i="92"/>
  <c r="C1008" i="92"/>
  <c r="C1000" i="92"/>
  <c r="C935" i="92"/>
  <c r="B1073" i="92"/>
  <c r="B903" i="92"/>
  <c r="C301" i="92"/>
  <c r="C197" i="92"/>
  <c r="B1001" i="92"/>
  <c r="B958" i="92"/>
  <c r="C366" i="92"/>
  <c r="C1201" i="92"/>
  <c r="C317" i="92"/>
  <c r="B12" i="92"/>
  <c r="C311" i="92"/>
  <c r="B655" i="92"/>
  <c r="B358" i="92"/>
  <c r="C371" i="92"/>
  <c r="B1145" i="92"/>
  <c r="B268" i="92"/>
  <c r="B1197" i="92"/>
  <c r="C452" i="92"/>
  <c r="C1001" i="92"/>
  <c r="C720" i="92"/>
  <c r="B759" i="92"/>
  <c r="B441" i="92"/>
  <c r="C788" i="92"/>
  <c r="B242" i="92"/>
  <c r="B835" i="92"/>
  <c r="C359" i="92"/>
  <c r="B1146" i="92"/>
  <c r="B1065" i="92"/>
  <c r="C424" i="92"/>
  <c r="C967" i="92"/>
  <c r="C885" i="92"/>
  <c r="B134" i="92"/>
  <c r="C529" i="92"/>
  <c r="B691" i="92"/>
  <c r="C695" i="92"/>
  <c r="B260" i="92"/>
  <c r="B468" i="92"/>
  <c r="C445" i="92"/>
  <c r="C870" i="92"/>
  <c r="B1098" i="92"/>
  <c r="B25" i="92"/>
  <c r="C209" i="92"/>
  <c r="B639" i="92"/>
  <c r="C1061" i="92"/>
  <c r="B376" i="92"/>
  <c r="B1175" i="92"/>
  <c r="C693" i="92"/>
  <c r="C1214" i="92"/>
  <c r="C1171" i="92"/>
  <c r="C142" i="92"/>
  <c r="B89" i="92"/>
  <c r="B679" i="92"/>
  <c r="B824" i="92"/>
  <c r="B492" i="92"/>
  <c r="B1091" i="92"/>
  <c r="B904" i="92"/>
  <c r="B839" i="92"/>
  <c r="B645" i="92"/>
  <c r="B99" i="92"/>
  <c r="B873" i="92"/>
  <c r="C667" i="92"/>
  <c r="B659" i="92"/>
  <c r="C194" i="92"/>
  <c r="B1003" i="92"/>
  <c r="C633" i="92"/>
  <c r="B1161" i="92"/>
  <c r="B255" i="92"/>
  <c r="B76" i="92"/>
  <c r="B968" i="92"/>
  <c r="B999" i="92"/>
  <c r="C517" i="92"/>
  <c r="C1190" i="92"/>
  <c r="B772" i="92"/>
  <c r="B317" i="92"/>
  <c r="C79" i="92"/>
  <c r="B1166" i="92"/>
  <c r="B1055" i="92"/>
  <c r="B508" i="92"/>
  <c r="C179" i="92"/>
  <c r="B714" i="92"/>
  <c r="C555" i="92"/>
  <c r="C282" i="92"/>
  <c r="C700" i="92"/>
  <c r="B832" i="92"/>
  <c r="B526" i="92"/>
  <c r="C772" i="92"/>
  <c r="B955" i="92"/>
  <c r="B11" i="92"/>
  <c r="B45" i="92"/>
  <c r="C732" i="92"/>
  <c r="B626" i="92"/>
  <c r="B531" i="92"/>
  <c r="C926" i="92"/>
  <c r="C682" i="92"/>
  <c r="B1101" i="92"/>
  <c r="B670" i="92"/>
  <c r="C195" i="92"/>
  <c r="B379" i="92"/>
  <c r="B1165" i="92"/>
  <c r="C773" i="92"/>
  <c r="C992" i="92"/>
  <c r="B1214" i="92"/>
  <c r="C709" i="92"/>
  <c r="C207" i="92"/>
  <c r="B821" i="92"/>
  <c r="C927" i="92"/>
  <c r="B546" i="92"/>
  <c r="C378" i="92"/>
  <c r="C645" i="92"/>
  <c r="C564" i="92"/>
  <c r="C1133" i="92"/>
  <c r="B351" i="92"/>
  <c r="C1172" i="92"/>
  <c r="C604" i="92"/>
  <c r="B187" i="92"/>
  <c r="B241" i="92"/>
  <c r="B199" i="92"/>
  <c r="C343" i="92"/>
  <c r="C235" i="92"/>
  <c r="B740" i="92"/>
  <c r="C1049" i="92"/>
  <c r="B640" i="92"/>
  <c r="C89" i="92"/>
  <c r="C1124" i="92"/>
  <c r="B910" i="92"/>
  <c r="C762" i="92"/>
  <c r="B427" i="92"/>
  <c r="C644" i="92"/>
  <c r="B939" i="92"/>
  <c r="B323" i="92"/>
  <c r="B426" i="92"/>
  <c r="C490" i="92"/>
  <c r="C256" i="92"/>
  <c r="C787" i="92"/>
  <c r="C111" i="92"/>
  <c r="C768" i="92"/>
  <c r="B850" i="92"/>
  <c r="B1187" i="92"/>
  <c r="B1154" i="92"/>
  <c r="B837" i="92"/>
  <c r="B836" i="92"/>
  <c r="C929" i="92"/>
  <c r="B390" i="92"/>
  <c r="B497" i="92"/>
  <c r="C419" i="92"/>
  <c r="C335" i="92"/>
  <c r="B533" i="92"/>
  <c r="C1169" i="92"/>
  <c r="C170" i="92"/>
  <c r="C112" i="92"/>
  <c r="C29" i="92"/>
  <c r="C1100" i="92"/>
  <c r="B228" i="92"/>
  <c r="C717" i="92"/>
  <c r="B585" i="92"/>
  <c r="C686" i="92"/>
  <c r="C802" i="92"/>
  <c r="C362" i="92"/>
  <c r="C329" i="92"/>
  <c r="C216" i="92"/>
  <c r="C245" i="92"/>
  <c r="C78" i="92"/>
  <c r="C407" i="92"/>
  <c r="C361" i="92"/>
  <c r="C1119" i="92"/>
  <c r="C548" i="92"/>
  <c r="B654" i="92"/>
  <c r="C957" i="92"/>
  <c r="B404" i="92"/>
  <c r="C687" i="92"/>
  <c r="B505" i="92"/>
  <c r="B469" i="92"/>
  <c r="C370" i="92"/>
  <c r="B866" i="92"/>
  <c r="B970" i="92"/>
  <c r="C1018" i="92"/>
  <c r="C62" i="92"/>
  <c r="B1082" i="92"/>
  <c r="B549" i="92"/>
  <c r="C650" i="92"/>
  <c r="B1095" i="92"/>
  <c r="B831" i="92"/>
  <c r="C470" i="92"/>
  <c r="C1161" i="92"/>
  <c r="C806" i="92"/>
  <c r="C295" i="92"/>
  <c r="B424" i="92"/>
  <c r="C253" i="92"/>
  <c r="C1213" i="92"/>
  <c r="B410" i="92"/>
  <c r="B103" i="92"/>
  <c r="C1086" i="92"/>
  <c r="B612" i="92"/>
  <c r="B1116" i="92"/>
  <c r="B92" i="92"/>
  <c r="C593" i="92"/>
  <c r="C384" i="92"/>
  <c r="B229" i="92"/>
  <c r="B571" i="92"/>
  <c r="C691" i="92"/>
  <c r="C227" i="92"/>
  <c r="B849" i="92"/>
  <c r="C441" i="92"/>
  <c r="C810" i="92"/>
  <c r="C628" i="92"/>
  <c r="B930" i="92"/>
  <c r="C381" i="92"/>
  <c r="B1215" i="92"/>
  <c r="C572" i="92"/>
  <c r="B1147" i="92"/>
  <c r="C801" i="92"/>
  <c r="C911" i="92"/>
  <c r="B592" i="92"/>
  <c r="B34" i="92"/>
  <c r="B617" i="92"/>
  <c r="C1038" i="92"/>
  <c r="C156" i="92"/>
  <c r="B985" i="92"/>
  <c r="B1097" i="92"/>
  <c r="B686" i="92"/>
  <c r="C705" i="92"/>
  <c r="C400" i="92"/>
  <c r="C903" i="92"/>
  <c r="C358" i="92"/>
  <c r="B35" i="92"/>
  <c r="C14" i="92"/>
  <c r="B715" i="92"/>
  <c r="B748" i="92"/>
  <c r="B329" i="92"/>
  <c r="B713" i="92"/>
  <c r="C533" i="92"/>
  <c r="C642" i="92"/>
  <c r="B388" i="92"/>
  <c r="B1174" i="92"/>
  <c r="B875" i="92"/>
  <c r="B917" i="92"/>
  <c r="C1120" i="92"/>
  <c r="C59" i="92"/>
  <c r="C728" i="92"/>
  <c r="B1140" i="92"/>
  <c r="C238" i="92"/>
  <c r="C783" i="92"/>
  <c r="B280" i="92"/>
  <c r="C507" i="92"/>
  <c r="C688" i="92"/>
  <c r="C184" i="92"/>
  <c r="B1124" i="92"/>
  <c r="B751" i="92"/>
  <c r="B937" i="92"/>
  <c r="C1209" i="92"/>
  <c r="B445" i="92"/>
  <c r="C421" i="92"/>
  <c r="C638" i="92"/>
  <c r="C974" i="92"/>
  <c r="C116" i="92"/>
  <c r="B10" i="92"/>
  <c r="C177" i="92"/>
  <c r="B887" i="92"/>
  <c r="B126" i="92"/>
  <c r="C1044" i="92"/>
  <c r="B82" i="92"/>
  <c r="C710" i="92"/>
  <c r="B253" i="92"/>
  <c r="C52" i="92"/>
  <c r="C961" i="92"/>
  <c r="B971" i="92"/>
  <c r="C737" i="92"/>
  <c r="C448" i="92"/>
  <c r="B1083" i="92"/>
  <c r="B931" i="92"/>
  <c r="C453" i="92"/>
  <c r="B302" i="92"/>
  <c r="B509" i="92"/>
  <c r="B303" i="92"/>
  <c r="B118" i="92"/>
  <c r="B618" i="92"/>
  <c r="C50" i="92"/>
  <c r="B108" i="92"/>
  <c r="C18" i="92"/>
  <c r="C145" i="92"/>
  <c r="C337" i="92"/>
  <c r="C805" i="92"/>
  <c r="C563" i="92"/>
  <c r="C3" i="92"/>
  <c r="C341" i="92"/>
  <c r="C900" i="92"/>
  <c r="C374" i="92"/>
  <c r="C619" i="92"/>
  <c r="C649" i="92"/>
  <c r="C835" i="92"/>
  <c r="B117" i="92"/>
  <c r="C1111" i="92"/>
  <c r="C90" i="92"/>
  <c r="B794" i="92"/>
  <c r="C4" i="92"/>
  <c r="C655" i="92"/>
  <c r="C636" i="92"/>
  <c r="C532" i="92"/>
  <c r="C291" i="92"/>
  <c r="C430" i="92"/>
  <c r="C128" i="92"/>
  <c r="C663" i="92"/>
  <c r="C303" i="92"/>
  <c r="C1186" i="92"/>
  <c r="B697" i="92"/>
  <c r="B764" i="92"/>
  <c r="B742" i="92"/>
  <c r="B656" i="92"/>
  <c r="C846" i="92"/>
  <c r="C739" i="92"/>
  <c r="C945" i="92"/>
  <c r="B966" i="92"/>
  <c r="C574" i="92"/>
  <c r="B615" i="92"/>
  <c r="C699" i="92"/>
  <c r="C820" i="92"/>
  <c r="C1204" i="92"/>
  <c r="B940" i="92"/>
  <c r="B541" i="92"/>
  <c r="C1015" i="92"/>
  <c r="C620" i="92"/>
  <c r="B296" i="92"/>
  <c r="B1105" i="92"/>
  <c r="C1113" i="92"/>
  <c r="C506" i="92"/>
  <c r="C306" i="92"/>
  <c r="C623" i="92"/>
  <c r="C811" i="92"/>
  <c r="B366" i="92"/>
  <c r="B91" i="92"/>
  <c r="C255" i="92"/>
  <c r="B467" i="92"/>
  <c r="B704" i="92"/>
  <c r="B801" i="92"/>
  <c r="C338" i="92"/>
  <c r="B954" i="92"/>
  <c r="B1192" i="92"/>
  <c r="C798" i="92"/>
  <c r="C780" i="92"/>
  <c r="C217" i="92"/>
  <c r="C991" i="92"/>
  <c r="C104" i="92"/>
  <c r="C867" i="92"/>
  <c r="B749" i="92"/>
  <c r="C504" i="92"/>
  <c r="B146" i="92"/>
  <c r="B1049" i="92"/>
  <c r="B911" i="92"/>
  <c r="B1070" i="92"/>
  <c r="B321" i="92"/>
  <c r="C83" i="92"/>
  <c r="C193" i="92"/>
  <c r="B629" i="92"/>
  <c r="C187" i="92"/>
  <c r="C899" i="92"/>
  <c r="C315" i="92"/>
  <c r="C423" i="92"/>
  <c r="B246" i="92"/>
  <c r="C755" i="92"/>
  <c r="B1100" i="92"/>
  <c r="C1185" i="92"/>
  <c r="C594" i="92"/>
  <c r="B144" i="92"/>
  <c r="B587" i="92"/>
  <c r="B597" i="92"/>
  <c r="B1025" i="92"/>
  <c r="B1156" i="92"/>
  <c r="B201" i="92"/>
  <c r="B1186" i="92"/>
  <c r="B906" i="92"/>
  <c r="C640" i="92"/>
  <c r="B1178" i="92"/>
  <c r="C528" i="92"/>
  <c r="C855" i="92"/>
  <c r="B532" i="92"/>
  <c r="B726" i="92"/>
  <c r="B811" i="92"/>
  <c r="C858" i="92"/>
  <c r="B324" i="92"/>
  <c r="B1080" i="92"/>
  <c r="B62" i="92"/>
  <c r="C248" i="92"/>
  <c r="B1075" i="92"/>
  <c r="C856" i="92"/>
  <c r="B1000" i="92"/>
  <c r="C1103" i="92"/>
  <c r="B1212" i="92"/>
  <c r="B362" i="92"/>
  <c r="B73" i="92"/>
  <c r="C938" i="92"/>
  <c r="B124" i="92"/>
  <c r="B343" i="92"/>
  <c r="B433" i="92"/>
  <c r="C192" i="92"/>
  <c r="C51" i="92"/>
  <c r="B1032" i="92"/>
  <c r="B327" i="92"/>
  <c r="B840" i="92"/>
  <c r="B1058" i="92"/>
  <c r="B953" i="92"/>
  <c r="B363" i="92"/>
  <c r="C760" i="92"/>
  <c r="B511" i="92"/>
  <c r="C141" i="92"/>
  <c r="B197" i="92"/>
  <c r="B902" i="92"/>
  <c r="C491" i="92"/>
  <c r="C946" i="92"/>
  <c r="C1047" i="92"/>
  <c r="C731" i="92"/>
  <c r="B382" i="92"/>
  <c r="C662" i="92"/>
  <c r="C459" i="92"/>
  <c r="B558" i="92"/>
  <c r="B370" i="92"/>
  <c r="B1086" i="92"/>
  <c r="C496" i="92"/>
  <c r="C483" i="92"/>
  <c r="C135" i="92"/>
  <c r="C886" i="92"/>
  <c r="B901" i="92"/>
  <c r="B1181" i="92"/>
  <c r="C611" i="92"/>
  <c r="C243" i="92"/>
  <c r="C814" i="92"/>
  <c r="B456" i="92"/>
  <c r="C84" i="92"/>
  <c r="B402" i="92"/>
  <c r="B634" i="92"/>
  <c r="C1056" i="92"/>
  <c r="C1021" i="92"/>
  <c r="C1142" i="92"/>
  <c r="B933" i="92"/>
  <c r="B314" i="92"/>
  <c r="C48" i="92"/>
  <c r="B651" i="92"/>
  <c r="B827" i="92"/>
  <c r="C711" i="92"/>
  <c r="C1046" i="92"/>
  <c r="B1076" i="92"/>
  <c r="B479" i="92"/>
  <c r="C990" i="92"/>
  <c r="C416" i="92"/>
  <c r="C121" i="92"/>
  <c r="C186" i="92"/>
  <c r="C1148" i="92"/>
  <c r="C813" i="92"/>
  <c r="B313" i="92"/>
  <c r="C887" i="92"/>
  <c r="C983" i="92"/>
  <c r="B122" i="92"/>
  <c r="C941" i="92"/>
  <c r="B848" i="92"/>
  <c r="C69" i="92"/>
  <c r="B1111" i="92"/>
  <c r="C673" i="92"/>
  <c r="C664" i="92"/>
  <c r="B52" i="92"/>
  <c r="C24" i="92"/>
  <c r="C1187" i="92"/>
  <c r="C389" i="92"/>
  <c r="C657" i="92"/>
  <c r="B16" i="92"/>
  <c r="C898" i="92"/>
  <c r="C46" i="92"/>
  <c r="B871" i="92"/>
  <c r="B135" i="92"/>
  <c r="C125" i="92"/>
  <c r="C396" i="92"/>
  <c r="C387" i="92"/>
  <c r="B790" i="92"/>
  <c r="C838" i="92"/>
  <c r="B142" i="92"/>
  <c r="B151" i="92"/>
  <c r="C1041" i="92"/>
  <c r="C590" i="92"/>
  <c r="B608" i="92"/>
  <c r="B74" i="92"/>
  <c r="C694" i="92"/>
  <c r="C302" i="92"/>
  <c r="B83" i="92"/>
  <c r="C250" i="92"/>
  <c r="B922" i="92"/>
  <c r="C1081" i="92"/>
  <c r="B290" i="92"/>
  <c r="B773" i="92"/>
  <c r="C575" i="92"/>
  <c r="C841" i="92"/>
  <c r="B677" i="92"/>
  <c r="C437" i="92"/>
  <c r="C540" i="92"/>
  <c r="C966" i="92"/>
  <c r="C857" i="92"/>
  <c r="C825" i="92"/>
  <c r="C799" i="92"/>
  <c r="C64" i="92"/>
  <c r="C200" i="92"/>
  <c r="C390" i="92"/>
  <c r="C919" i="92"/>
  <c r="B507" i="92"/>
  <c r="C47" i="92"/>
  <c r="B506" i="92"/>
  <c r="B524" i="92"/>
  <c r="B114" i="92"/>
  <c r="C689" i="92"/>
  <c r="B843" i="92"/>
  <c r="B347" i="92"/>
  <c r="C1037" i="92"/>
  <c r="B1163" i="92"/>
  <c r="B51" i="92"/>
  <c r="B364" i="92"/>
  <c r="B919" i="92"/>
  <c r="C205" i="92"/>
  <c r="C988" i="92"/>
  <c r="C513" i="92"/>
  <c r="B735" i="92"/>
  <c r="C136" i="92"/>
  <c r="B37" i="92"/>
  <c r="B387" i="92"/>
  <c r="C1084" i="92"/>
  <c r="C499" i="92"/>
  <c r="B96" i="92"/>
  <c r="B942" i="92"/>
  <c r="C551" i="92"/>
  <c r="C629" i="92"/>
  <c r="B746" i="92"/>
  <c r="C150" i="92"/>
  <c r="B115" i="92"/>
  <c r="C474" i="92"/>
  <c r="C531" i="92"/>
  <c r="B603" i="92"/>
  <c r="B519" i="92"/>
  <c r="B437" i="92"/>
  <c r="B281" i="92"/>
  <c r="C314" i="92"/>
  <c r="C385" i="92"/>
  <c r="B481" i="92"/>
  <c r="B907" i="92"/>
  <c r="C427" i="92"/>
  <c r="B1209" i="92"/>
  <c r="C1196" i="92"/>
  <c r="B67" i="92"/>
  <c r="C471" i="92"/>
  <c r="B693" i="92"/>
  <c r="B248" i="92"/>
  <c r="B470" i="92"/>
  <c r="C654" i="92"/>
  <c r="B275" i="92"/>
  <c r="C669" i="92"/>
  <c r="B32" i="92"/>
  <c r="B59" i="92"/>
  <c r="B143" i="92"/>
  <c r="B33" i="92"/>
  <c r="C854" i="92"/>
  <c r="C558" i="92"/>
  <c r="C569" i="92"/>
  <c r="C1095" i="92"/>
  <c r="C998" i="92"/>
  <c r="B941" i="92"/>
  <c r="C906" i="92"/>
  <c r="B781" i="92"/>
  <c r="B294" i="92"/>
  <c r="B980" i="92"/>
  <c r="C1026" i="92"/>
  <c r="C868" i="92"/>
  <c r="B204" i="92"/>
  <c r="C409" i="92"/>
  <c r="B570" i="92"/>
  <c r="C412" i="92"/>
  <c r="B768" i="92"/>
  <c r="B265" i="92"/>
  <c r="C912" i="92"/>
  <c r="B1205" i="92"/>
  <c r="C951" i="92"/>
  <c r="C65" i="92"/>
  <c r="C1215" i="92"/>
  <c r="B375" i="92"/>
  <c r="C830" i="92"/>
  <c r="B384" i="92"/>
  <c r="C466" i="92"/>
  <c r="B305" i="92"/>
  <c r="B263" i="92"/>
  <c r="B815" i="92"/>
  <c r="C716" i="92"/>
  <c r="B692" i="92"/>
  <c r="C96" i="92"/>
  <c r="B784" i="92"/>
  <c r="C21" i="92"/>
  <c r="B464" i="92"/>
  <c r="B172" i="92"/>
  <c r="B719" i="92"/>
  <c r="B336" i="92"/>
  <c r="B1217" i="92"/>
  <c r="C292" i="92"/>
  <c r="C756" i="92"/>
  <c r="B264" i="92"/>
  <c r="B774" i="92"/>
  <c r="C32" i="92"/>
  <c r="C752" i="92"/>
  <c r="B22" i="92"/>
  <c r="B1195" i="92"/>
  <c r="C68" i="92"/>
  <c r="B800" i="92"/>
  <c r="B929" i="92"/>
  <c r="C168" i="92"/>
  <c r="C1011" i="92"/>
  <c r="B1079" i="92"/>
  <c r="B412" i="92"/>
  <c r="C300" i="92"/>
  <c r="B870" i="92"/>
  <c r="B28" i="92"/>
  <c r="C848" i="92"/>
  <c r="C286" i="92"/>
  <c r="B775" i="92"/>
  <c r="C790" i="92"/>
  <c r="B189" i="92"/>
  <c r="C497" i="92"/>
  <c r="C1062" i="92"/>
  <c r="B1134" i="92"/>
  <c r="B1109" i="92"/>
  <c r="C1083" i="92"/>
  <c r="B874" i="92"/>
  <c r="B523" i="92"/>
  <c r="C1112" i="92"/>
  <c r="B1061" i="92"/>
  <c r="B723" i="92"/>
  <c r="C1082" i="92"/>
  <c r="C723" i="92"/>
  <c r="B68" i="92"/>
  <c r="B360" i="92"/>
  <c r="B945" i="92"/>
  <c r="C1138" i="92"/>
  <c r="C721" i="92"/>
  <c r="B401" i="92"/>
  <c r="B802" i="92"/>
  <c r="C260" i="92"/>
  <c r="C154" i="92"/>
  <c r="B293" i="92"/>
  <c r="C461" i="92"/>
  <c r="B385" i="92"/>
  <c r="B812" i="92"/>
  <c r="B619" i="92"/>
  <c r="C809" i="92"/>
  <c r="B1010" i="92"/>
  <c r="C1052" i="92"/>
  <c r="C1025" i="92"/>
  <c r="B545" i="92"/>
  <c r="B1054" i="92"/>
  <c r="B352" i="92"/>
  <c r="C1012" i="92"/>
  <c r="C606" i="92"/>
  <c r="C542" i="92"/>
  <c r="B186" i="92"/>
  <c r="C703" i="92"/>
  <c r="C1027" i="92"/>
  <c r="B205" i="92"/>
  <c r="B1131" i="92"/>
  <c r="B734" i="92"/>
  <c r="C759" i="92"/>
  <c r="B565" i="92"/>
  <c r="C955" i="92"/>
  <c r="C326" i="92"/>
  <c r="C562" i="92"/>
  <c r="C422" i="92"/>
  <c r="C1126" i="92"/>
  <c r="C797" i="92"/>
  <c r="C283" i="92"/>
  <c r="B304" i="92"/>
  <c r="C1115" i="92"/>
  <c r="B867" i="92"/>
  <c r="B1120" i="92"/>
  <c r="C99" i="92"/>
  <c r="B1127" i="92"/>
  <c r="B650" i="92"/>
  <c r="B745" i="92"/>
  <c r="C10" i="92"/>
  <c r="C796" i="92"/>
  <c r="B732" i="92"/>
  <c r="C986" i="92"/>
  <c r="C520" i="92"/>
  <c r="C279" i="92"/>
  <c r="B220" i="92"/>
  <c r="C346" i="92"/>
  <c r="C675" i="92"/>
  <c r="C1016" i="92"/>
  <c r="C1150" i="92"/>
  <c r="C171" i="92"/>
  <c r="B9" i="92"/>
  <c r="B380" i="92"/>
  <c r="B367" i="92"/>
  <c r="C212" i="92"/>
  <c r="C959" i="92"/>
  <c r="C477" i="92"/>
  <c r="B1044" i="92"/>
  <c r="B331" i="92"/>
  <c r="B259" i="92"/>
  <c r="C353" i="92"/>
  <c r="C1065" i="92"/>
  <c r="C1013" i="92"/>
  <c r="B231" i="92"/>
  <c r="B157" i="92"/>
  <c r="B687" i="92"/>
  <c r="B1024" i="92"/>
  <c r="B916" i="92"/>
  <c r="B1171" i="92"/>
  <c r="C818" i="92"/>
  <c r="C537" i="92"/>
  <c r="B448" i="92"/>
  <c r="B7" i="92"/>
  <c r="B720" i="92"/>
  <c r="B98" i="92"/>
  <c r="C888" i="92"/>
  <c r="C714" i="92"/>
  <c r="B93" i="92"/>
  <c r="C434" i="92"/>
  <c r="B147" i="92"/>
  <c r="B637" i="92"/>
  <c r="C627" i="92"/>
  <c r="B443" i="92"/>
  <c r="B914" i="92"/>
  <c r="C875" i="92"/>
  <c r="B487" i="92"/>
  <c r="C850" i="92"/>
  <c r="C580" i="92"/>
  <c r="B500" i="92"/>
  <c r="B316" i="92"/>
  <c r="C232" i="92"/>
  <c r="C1085" i="92"/>
  <c r="C1009" i="92"/>
  <c r="C764" i="92"/>
  <c r="B504" i="92"/>
  <c r="C465" i="92"/>
  <c r="C656" i="92"/>
  <c r="B1009" i="92"/>
  <c r="B1218" i="92"/>
  <c r="B900" i="92"/>
  <c r="B1185" i="92"/>
  <c r="B928" i="92"/>
  <c r="B1108" i="92"/>
  <c r="C1164" i="92"/>
  <c r="B982" i="92"/>
  <c r="C666" i="92"/>
  <c r="C729" i="92"/>
  <c r="C266" i="92"/>
  <c r="B609" i="92"/>
  <c r="C508" i="92"/>
  <c r="C271" i="92"/>
  <c r="B75" i="92"/>
  <c r="C1077" i="92"/>
  <c r="C525" i="92"/>
  <c r="B1074" i="92"/>
  <c r="C226" i="92"/>
  <c r="C530" i="92"/>
  <c r="C432" i="92"/>
  <c r="B417" i="92"/>
  <c r="C775" i="92"/>
  <c r="B1011" i="92"/>
  <c r="B964" i="92"/>
  <c r="C651" i="92"/>
  <c r="C1079" i="92"/>
  <c r="B888" i="92"/>
  <c r="C1147" i="92"/>
  <c r="B30" i="92"/>
  <c r="B333" i="92"/>
  <c r="C765" i="92"/>
  <c r="B374" i="92"/>
  <c r="C230" i="92"/>
  <c r="C1158" i="92"/>
  <c r="C668" i="92"/>
  <c r="C544" i="92"/>
  <c r="C224" i="92"/>
  <c r="B614" i="92"/>
  <c r="B934" i="92"/>
  <c r="B79" i="92"/>
  <c r="B429" i="92"/>
  <c r="C117" i="92"/>
  <c r="B983" i="92"/>
  <c r="B633" i="92"/>
  <c r="B730" i="92"/>
  <c r="C222" i="92"/>
  <c r="B788" i="92"/>
  <c r="C364" i="92"/>
  <c r="C131" i="92"/>
  <c r="C683" i="92"/>
  <c r="B1115" i="92"/>
  <c r="B823" i="92"/>
  <c r="B767" i="92"/>
  <c r="B436" i="92"/>
  <c r="C98" i="92"/>
  <c r="C28" i="92"/>
  <c r="C173" i="92"/>
  <c r="B747" i="92"/>
  <c r="B225" i="92"/>
  <c r="B683" i="92"/>
  <c r="B407" i="92"/>
  <c r="C447" i="92"/>
  <c r="C684" i="92"/>
  <c r="B454" i="92"/>
  <c r="C257" i="92"/>
  <c r="B155" i="92"/>
  <c r="C962" i="92"/>
  <c r="C9" i="92"/>
  <c r="C404" i="92"/>
  <c r="C661" i="92"/>
  <c r="B893" i="92"/>
  <c r="B1168" i="92"/>
  <c r="B239" i="92"/>
  <c r="B1103" i="92"/>
  <c r="C435" i="92"/>
  <c r="C54" i="92"/>
  <c r="C1197" i="92"/>
  <c r="C36" i="92"/>
  <c r="C382" i="92"/>
  <c r="C455" i="92"/>
  <c r="B354" i="92"/>
  <c r="B1051" i="92"/>
  <c r="C583" i="92"/>
  <c r="C968" i="92"/>
  <c r="B154" i="92"/>
  <c r="C977" i="92"/>
  <c r="B330" i="92"/>
  <c r="C822" i="92"/>
  <c r="C624" i="92"/>
  <c r="C143" i="92"/>
  <c r="B139" i="92"/>
  <c r="C621" i="92"/>
  <c r="B868" i="92"/>
  <c r="C734" i="92"/>
  <c r="B525" i="92"/>
  <c r="B717" i="92"/>
  <c r="C597" i="92"/>
  <c r="B590" i="92"/>
  <c r="C909" i="92"/>
  <c r="B63" i="92"/>
  <c r="B136" i="92"/>
  <c r="C749" i="92"/>
  <c r="B766" i="92"/>
  <c r="C1023" i="92"/>
  <c r="B252" i="92"/>
  <c r="B428" i="92"/>
  <c r="B542" i="92"/>
  <c r="C399" i="92"/>
  <c r="C1051" i="92"/>
  <c r="B112" i="92"/>
  <c r="C393" i="92"/>
  <c r="C1114" i="92"/>
  <c r="C415" i="92"/>
  <c r="B408" i="92"/>
  <c r="C826" i="92"/>
  <c r="B434" i="92"/>
  <c r="C152" i="92"/>
  <c r="C925" i="92"/>
  <c r="B1057" i="92"/>
  <c r="C487" i="92"/>
  <c r="C288" i="92"/>
  <c r="C851" i="92"/>
  <c r="C821" i="92"/>
  <c r="B399" i="92"/>
  <c r="B288" i="92"/>
  <c r="B1149" i="92"/>
  <c r="C231" i="92"/>
  <c r="C126" i="92"/>
  <c r="B310" i="92"/>
  <c r="B882" i="92"/>
  <c r="C581" i="92"/>
  <c r="B672" i="92"/>
  <c r="C401" i="92"/>
  <c r="C883" i="92"/>
  <c r="C7" i="92"/>
  <c r="C307" i="92"/>
  <c r="B924" i="92"/>
  <c r="C198" i="92"/>
  <c r="B431" i="92"/>
  <c r="C405" i="92"/>
  <c r="B978" i="92"/>
  <c r="B1023" i="92"/>
  <c r="B444" i="92"/>
  <c r="C877" i="92"/>
  <c r="C1033" i="92"/>
  <c r="B446" i="92"/>
  <c r="C479" i="92"/>
  <c r="C1053" i="92"/>
  <c r="B807" i="92"/>
  <c r="C653" i="92"/>
  <c r="C237" i="92"/>
  <c r="C1159" i="92"/>
  <c r="C969" i="92"/>
  <c r="C285" i="92"/>
  <c r="B1012" i="92"/>
  <c r="B669" i="92"/>
  <c r="C917" i="92"/>
  <c r="C1170" i="92"/>
  <c r="B235" i="92"/>
  <c r="C388" i="92"/>
  <c r="B1210" i="92"/>
  <c r="B845" i="92"/>
  <c r="B284" i="92"/>
  <c r="B620" i="92"/>
  <c r="B912" i="92"/>
  <c r="B520" i="92"/>
  <c r="C847" i="92"/>
  <c r="B1129" i="92"/>
  <c r="B789" i="92"/>
  <c r="C1195" i="92"/>
  <c r="B1033" i="92"/>
  <c r="C742" i="92"/>
  <c r="C625" i="92"/>
  <c r="C328" i="92"/>
  <c r="B817" i="92"/>
  <c r="C113" i="92"/>
  <c r="C357" i="92"/>
  <c r="C1089" i="92"/>
  <c r="B979" i="92"/>
  <c r="C550" i="92"/>
  <c r="B1188" i="92"/>
  <c r="C600" i="92"/>
  <c r="B183" i="92"/>
  <c r="B872" i="92"/>
  <c r="B357" i="92"/>
  <c r="B769" i="92"/>
  <c r="C45" i="92"/>
  <c r="B109" i="92"/>
  <c r="B224" i="92"/>
  <c r="B644" i="92"/>
  <c r="C129" i="92"/>
  <c r="B676" i="92"/>
  <c r="B249" i="92"/>
  <c r="C1139" i="92"/>
  <c r="B53" i="92"/>
  <c r="C1211" i="92"/>
  <c r="C103" i="92"/>
  <c r="B190" i="92"/>
  <c r="B278" i="92"/>
  <c r="B1152" i="92"/>
  <c r="C924" i="92"/>
  <c r="C975" i="92"/>
  <c r="C894" i="92"/>
  <c r="B202" i="92"/>
  <c r="C1070" i="92"/>
  <c r="C1217" i="92"/>
  <c r="C861" i="92"/>
  <c r="B1200" i="92"/>
  <c r="C313" i="92"/>
  <c r="C263" i="92"/>
  <c r="B1122" i="92"/>
  <c r="B47" i="92"/>
  <c r="C431" i="92"/>
  <c r="B974" i="92"/>
  <c r="B212" i="92"/>
  <c r="B1142" i="92"/>
  <c r="B453" i="92"/>
  <c r="B88" i="92"/>
  <c r="C849" i="92"/>
  <c r="B538" i="92"/>
  <c r="B398" i="92"/>
  <c r="B1052" i="92"/>
  <c r="C1096" i="92"/>
  <c r="B1099" i="92"/>
  <c r="B1148" i="92"/>
  <c r="B779" i="92"/>
  <c r="B238" i="92"/>
  <c r="C939" i="92"/>
  <c r="B132" i="92"/>
  <c r="C73" i="92"/>
  <c r="C902" i="92"/>
  <c r="B26" i="92"/>
  <c r="C934" i="92"/>
  <c r="C545" i="92"/>
  <c r="B830" i="92"/>
  <c r="C584" i="92"/>
  <c r="C339" i="92"/>
  <c r="B885" i="92"/>
  <c r="B1150" i="92"/>
  <c r="B1048" i="92"/>
  <c r="B665" i="92"/>
  <c r="B482" i="92"/>
  <c r="C485" i="92"/>
  <c r="C219" i="92"/>
  <c r="C987" i="92"/>
  <c r="B891" i="92"/>
  <c r="C316" i="92"/>
  <c r="B1004" i="92"/>
  <c r="C549" i="92"/>
  <c r="C659" i="92"/>
  <c r="C1135" i="92"/>
  <c r="B345" i="92"/>
  <c r="B121" i="92"/>
  <c r="B918" i="92"/>
  <c r="C115" i="92"/>
  <c r="B466" i="92"/>
  <c r="B967" i="92"/>
  <c r="B48" i="92"/>
  <c r="B184" i="92"/>
  <c r="C458" i="92"/>
  <c r="C70" i="92"/>
  <c r="B596" i="92"/>
  <c r="C804" i="92"/>
  <c r="C254" i="92"/>
  <c r="C333" i="92"/>
  <c r="C86" i="92"/>
  <c r="B547" i="92"/>
  <c r="B993" i="92"/>
  <c r="C428" i="92"/>
  <c r="B1038" i="92"/>
  <c r="B743" i="92"/>
  <c r="B1013" i="92"/>
  <c r="B491" i="92"/>
  <c r="C267" i="92"/>
  <c r="C406" i="92"/>
  <c r="C1160" i="92"/>
  <c r="C211" i="92"/>
  <c r="B712" i="92"/>
  <c r="C785" i="92"/>
  <c r="C368" i="92"/>
  <c r="B269" i="92"/>
  <c r="C609" i="92"/>
  <c r="C481" i="92"/>
  <c r="B598" i="92"/>
  <c r="B948" i="92"/>
  <c r="C994" i="92"/>
  <c r="C182" i="92"/>
  <c r="C1184" i="92"/>
  <c r="C133" i="92"/>
  <c r="B1162" i="92"/>
  <c r="C781" i="92"/>
  <c r="B621" i="92"/>
  <c r="C1163" i="92"/>
  <c r="C622" i="92"/>
  <c r="C573" i="92"/>
  <c r="C767" i="92"/>
  <c r="B251" i="92"/>
  <c r="B262" i="92"/>
  <c r="B816" i="92"/>
  <c r="B627" i="92"/>
  <c r="C1097" i="92"/>
  <c r="B230" i="92"/>
  <c r="B334" i="92"/>
  <c r="C175" i="92"/>
  <c r="B1092" i="92"/>
  <c r="B591" i="92"/>
  <c r="C203" i="92"/>
  <c r="B805" i="92"/>
  <c r="B1207" i="92"/>
  <c r="B567" i="92"/>
  <c r="C72" i="92"/>
  <c r="C503" i="92"/>
  <c r="B81" i="92"/>
  <c r="B1096" i="92"/>
  <c r="C1156" i="92"/>
  <c r="B214" i="92"/>
  <c r="B777" i="92"/>
  <c r="B419" i="92"/>
  <c r="B798" i="92"/>
  <c r="C1106" i="92"/>
  <c r="B703" i="92"/>
  <c r="C719" i="92"/>
  <c r="B94" i="92"/>
  <c r="B125" i="92"/>
  <c r="C155" i="92"/>
  <c r="B116" i="92"/>
  <c r="B515" i="92"/>
  <c r="B232" i="92"/>
  <c r="C468" i="92"/>
  <c r="B975" i="92"/>
  <c r="B318" i="92"/>
  <c r="B829" i="92"/>
  <c r="B442" i="92"/>
  <c r="C761" i="92"/>
  <c r="B550" i="92"/>
  <c r="C1063" i="92"/>
  <c r="C511" i="92"/>
  <c r="C1055" i="92"/>
  <c r="C397" i="92"/>
  <c r="C118" i="92"/>
  <c r="B969" i="92"/>
  <c r="B271" i="92"/>
  <c r="C706" i="92"/>
  <c r="C792" i="92"/>
  <c r="B106" i="92"/>
  <c r="B1202" i="92"/>
  <c r="C336" i="92"/>
  <c r="C789" i="92"/>
  <c r="C784" i="92"/>
  <c r="B938" i="92"/>
  <c r="B141" i="92"/>
  <c r="C866" i="92"/>
  <c r="C1143" i="92"/>
  <c r="C308" i="92"/>
  <c r="C259" i="92"/>
  <c r="B1089" i="92"/>
  <c r="C467" i="92"/>
  <c r="C94" i="92"/>
  <c r="B188" i="92"/>
  <c r="C1176" i="92"/>
  <c r="C1183" i="92"/>
  <c r="C595" i="92"/>
  <c r="C701" i="92"/>
  <c r="B168" i="92"/>
  <c r="C1029" i="92"/>
  <c r="C940" i="92"/>
  <c r="C795" i="92"/>
  <c r="C727" i="92"/>
  <c r="B681" i="92"/>
  <c r="C577" i="92"/>
  <c r="C77" i="92"/>
  <c r="B1021" i="92"/>
  <c r="B666" i="92"/>
  <c r="B394" i="92"/>
  <c r="B1183" i="92"/>
  <c r="B1022" i="92"/>
  <c r="B569" i="92"/>
  <c r="C204" i="92"/>
  <c r="B493" i="92"/>
  <c r="B696" i="92"/>
  <c r="C1141" i="92"/>
  <c r="B855" i="92"/>
  <c r="B350" i="92"/>
  <c r="B908" i="92"/>
  <c r="C1074" i="92"/>
  <c r="C324" i="92"/>
  <c r="B595" i="92"/>
  <c r="B54" i="92"/>
  <c r="B27" i="92"/>
  <c r="C670" i="92"/>
  <c r="B65" i="92"/>
  <c r="B123" i="92"/>
  <c r="B71" i="92"/>
  <c r="C571" i="92"/>
  <c r="B818" i="92"/>
  <c r="B814" i="92"/>
  <c r="C615" i="92"/>
  <c r="B292" i="92"/>
  <c r="B950" i="92"/>
  <c r="C444" i="92"/>
  <c r="B297" i="92"/>
  <c r="C350" i="92"/>
  <c r="B270" i="92"/>
  <c r="B560" i="92"/>
  <c r="B668" i="92"/>
  <c r="B631" i="92"/>
  <c r="C587" i="92"/>
  <c r="B1153" i="92"/>
  <c r="B342" i="92"/>
  <c r="B43" i="92"/>
  <c r="B4" i="92"/>
  <c r="C817" i="92"/>
  <c r="C681" i="92"/>
  <c r="C808" i="92"/>
  <c r="C985" i="92"/>
  <c r="B957" i="92"/>
  <c r="C690" i="92"/>
  <c r="B489" i="92"/>
  <c r="B588" i="92"/>
  <c r="B1036" i="92"/>
  <c r="C123" i="92"/>
  <c r="C803" i="92"/>
  <c r="C916" i="92"/>
  <c r="B1059" i="92"/>
  <c r="B881" i="92"/>
  <c r="B36" i="92"/>
  <c r="B1081" i="92"/>
  <c r="C269" i="92"/>
  <c r="B562" i="92"/>
  <c r="C304" i="92"/>
  <c r="B854" i="92"/>
  <c r="C132" i="92"/>
  <c r="B813" i="92"/>
  <c r="C108" i="92"/>
  <c r="C476" i="92"/>
  <c r="B221" i="92"/>
  <c r="B1199" i="92"/>
  <c r="C191" i="92"/>
  <c r="B15" i="92"/>
  <c r="C352" i="92"/>
  <c r="B1006" i="92"/>
  <c r="C596" i="92"/>
  <c r="B299" i="92"/>
  <c r="C37" i="92"/>
  <c r="B572" i="92"/>
  <c r="B369" i="92"/>
  <c r="C147" i="92"/>
  <c r="C87" i="92"/>
  <c r="B1203" i="92"/>
  <c r="C229" i="92"/>
  <c r="C252" i="92"/>
  <c r="B29" i="92"/>
  <c r="B1028" i="92"/>
  <c r="B752" i="92"/>
  <c r="B170" i="92"/>
  <c r="C44" i="92"/>
  <c r="B240" i="92"/>
  <c r="C944" i="92"/>
  <c r="B208" i="92"/>
  <c r="C707" i="92"/>
  <c r="C81" i="92"/>
  <c r="C223" i="92"/>
  <c r="B1050" i="92"/>
  <c r="B465" i="92"/>
  <c r="B652" i="92"/>
  <c r="B809" i="92"/>
  <c r="B332" i="92"/>
  <c r="B291" i="92"/>
  <c r="B536" i="92"/>
  <c r="C518" i="92"/>
  <c r="B896" i="92"/>
  <c r="B1125" i="92"/>
  <c r="C492" i="92"/>
  <c r="C1154" i="92"/>
  <c r="C863" i="92"/>
  <c r="B87" i="92"/>
  <c r="B710" i="92"/>
  <c r="C71" i="92"/>
  <c r="C1054" i="92"/>
  <c r="C1205" i="92"/>
  <c r="C613" i="92"/>
  <c r="B786" i="92"/>
  <c r="C738" i="92"/>
  <c r="C1078" i="92"/>
  <c r="C971" i="92"/>
  <c r="B1026" i="92"/>
  <c r="C185" i="92"/>
  <c r="C922" i="92"/>
  <c r="C1191" i="92"/>
  <c r="B566" i="92"/>
  <c r="C1080" i="92"/>
  <c r="B535" i="92"/>
  <c r="C995" i="92"/>
  <c r="C1144" i="92"/>
  <c r="B335" i="92"/>
  <c r="B556" i="92"/>
  <c r="B72" i="92"/>
  <c r="B718" i="92"/>
  <c r="B85" i="92"/>
  <c r="C1157" i="92"/>
  <c r="C418" i="92"/>
  <c r="C426" i="92"/>
  <c r="B421" i="92"/>
  <c r="B430" i="92"/>
  <c r="B819" i="92"/>
  <c r="C272" i="92"/>
  <c r="C66" i="92"/>
  <c r="B1167" i="92"/>
  <c r="C713" i="92"/>
  <c r="C23" i="92"/>
  <c r="C410" i="92"/>
  <c r="C928" i="92"/>
  <c r="B1135" i="92"/>
  <c r="C19" i="92"/>
  <c r="B66" i="92"/>
  <c r="B50" i="92"/>
  <c r="B755" i="92"/>
  <c r="C436" i="92"/>
  <c r="B537" i="92"/>
  <c r="B1016" i="92"/>
  <c r="B1176" i="92"/>
  <c r="C34" i="92"/>
  <c r="C776" i="92"/>
  <c r="B368" i="92"/>
  <c r="B606" i="92"/>
  <c r="C1032" i="92"/>
  <c r="B1158" i="92"/>
  <c r="B842" i="92"/>
  <c r="C641" i="92"/>
  <c r="C976" i="92"/>
  <c r="C586" i="92"/>
  <c r="B797" i="92"/>
  <c r="C646" i="92"/>
  <c r="C347" i="92"/>
  <c r="B1128" i="92"/>
  <c r="B319" i="92"/>
  <c r="B102" i="92"/>
  <c r="C1132" i="92"/>
  <c r="B1113" i="92"/>
  <c r="C289" i="92"/>
  <c r="B1047" i="92"/>
  <c r="B237" i="92"/>
  <c r="B926" i="92"/>
  <c r="B97" i="92"/>
  <c r="B833" i="92"/>
  <c r="B791" i="92"/>
  <c r="C634" i="92"/>
  <c r="C460" i="92"/>
  <c r="C960" i="92"/>
  <c r="C287" i="92"/>
  <c r="B935" i="92"/>
  <c r="B57" i="92"/>
  <c r="C478" i="92"/>
  <c r="C35" i="92"/>
  <c r="C22" i="92"/>
  <c r="B539" i="92"/>
  <c r="B844" i="92"/>
  <c r="C999" i="92"/>
  <c r="B499" i="92"/>
  <c r="C576" i="92"/>
  <c r="C334" i="92"/>
  <c r="B1201" i="92"/>
  <c r="C698" i="92"/>
  <c r="B457" i="92"/>
  <c r="B276" i="92"/>
  <c r="C1104" i="92"/>
  <c r="C1218" i="92"/>
  <c r="B1017" i="92"/>
  <c r="B460" i="92"/>
  <c r="C1134" i="92"/>
  <c r="B395" i="92"/>
  <c r="B273" i="92"/>
  <c r="C896" i="92"/>
  <c r="C879" i="92"/>
  <c r="B878" i="92"/>
  <c r="B962" i="92"/>
  <c r="C386" i="92"/>
  <c r="C383" i="92"/>
  <c r="C1193" i="92"/>
  <c r="B346" i="92"/>
  <c r="B180" i="92"/>
  <c r="B540" i="92"/>
  <c r="C88" i="92"/>
  <c r="B529" i="92"/>
  <c r="B721" i="92"/>
  <c r="B543" i="92"/>
  <c r="C527" i="92"/>
  <c r="B663" i="92"/>
  <c r="B1211" i="92"/>
  <c r="B1123" i="92"/>
  <c r="B209" i="92"/>
  <c r="B298" i="92"/>
  <c r="B455" i="92"/>
  <c r="B392" i="92"/>
  <c r="B828" i="92"/>
  <c r="C1019" i="92"/>
  <c r="B440" i="92"/>
  <c r="B1071" i="92"/>
  <c r="B475" i="92"/>
  <c r="B272" i="92"/>
  <c r="C1123" i="92"/>
  <c r="C865" i="92"/>
  <c r="C105" i="92"/>
  <c r="C11" i="92"/>
  <c r="B216" i="92"/>
  <c r="C588" i="92"/>
  <c r="C779" i="92"/>
  <c r="C800" i="92"/>
  <c r="B1069" i="92"/>
  <c r="C312" i="92"/>
  <c r="B952" i="92"/>
  <c r="C43" i="92"/>
  <c r="B64" i="92"/>
  <c r="C672" i="92"/>
  <c r="C1069" i="92"/>
  <c r="C61" i="92"/>
  <c r="C1122" i="92"/>
  <c r="C823" i="92"/>
  <c r="B642" i="92"/>
  <c r="B403" i="92"/>
  <c r="C140" i="92"/>
  <c r="B411" i="92"/>
  <c r="B528" i="92"/>
  <c r="B863" i="92"/>
  <c r="B111" i="92"/>
  <c r="C965" i="92"/>
  <c r="C151" i="92"/>
  <c r="B1144" i="92"/>
  <c r="C1058" i="92"/>
  <c r="C6" i="92"/>
  <c r="B217" i="92"/>
  <c r="C309" i="92"/>
  <c r="C97" i="92"/>
  <c r="B754" i="92"/>
  <c r="C1099" i="92"/>
  <c r="C345" i="92"/>
  <c r="B236" i="92"/>
  <c r="B776" i="92"/>
  <c r="C874" i="92"/>
  <c r="B1216" i="92"/>
  <c r="B503" i="92"/>
  <c r="C538" i="92"/>
  <c r="C174" i="92"/>
  <c r="C60" i="92"/>
  <c r="B678" i="92"/>
  <c r="B1182" i="92"/>
  <c r="B1110" i="92"/>
  <c r="C632" i="92"/>
  <c r="C1002" i="92"/>
  <c r="C1087" i="92"/>
  <c r="C952" i="92"/>
  <c r="C221" i="92"/>
  <c r="C639" i="92"/>
  <c r="C736" i="92"/>
  <c r="C774" i="92"/>
  <c r="B179" i="92"/>
  <c r="C484" i="92"/>
  <c r="B702" i="92"/>
  <c r="C261" i="92"/>
  <c r="C536" i="92"/>
  <c r="B762" i="92"/>
  <c r="C880" i="92"/>
  <c r="C92" i="92"/>
  <c r="C495" i="92"/>
  <c r="B397" i="92"/>
  <c r="B138" i="92"/>
  <c r="C754" i="92"/>
  <c r="B1191" i="92"/>
  <c r="C330" i="92"/>
  <c r="B578" i="92"/>
  <c r="C332" i="92"/>
  <c r="C1194" i="92"/>
  <c r="C745" i="92"/>
  <c r="C392" i="92"/>
  <c r="B191" i="92"/>
  <c r="C978" i="92"/>
  <c r="B1027" i="92"/>
  <c r="C380" i="92"/>
  <c r="C842" i="92"/>
  <c r="C228" i="92"/>
  <c r="C454" i="92"/>
  <c r="C996" i="92"/>
  <c r="B1138" i="92"/>
  <c r="C1206" i="92"/>
  <c r="C643" i="92"/>
  <c r="C519" i="92"/>
  <c r="C395" i="92"/>
  <c r="B289" i="92"/>
  <c r="C541" i="92"/>
  <c r="B527" i="92"/>
  <c r="C233" i="92"/>
  <c r="B544" i="92"/>
  <c r="B185" i="92"/>
  <c r="C463" i="92"/>
  <c r="B1064" i="92"/>
  <c r="C1068" i="92"/>
  <c r="B416" i="92"/>
  <c r="C770" i="92"/>
  <c r="C777" i="92"/>
  <c r="C1199" i="92"/>
  <c r="B994" i="92"/>
  <c r="B177" i="92"/>
  <c r="C95" i="92"/>
  <c r="C281" i="92"/>
  <c r="C970" i="92"/>
  <c r="C937" i="92"/>
  <c r="C566" i="92"/>
  <c r="B936" i="92"/>
  <c r="C167" i="92"/>
  <c r="B1133" i="92"/>
  <c r="C1207" i="92"/>
  <c r="B203" i="92"/>
  <c r="C201" i="92"/>
  <c r="B1035" i="92"/>
  <c r="B725" i="92"/>
  <c r="C931" i="92"/>
  <c r="B864" i="92"/>
  <c r="C696" i="92"/>
  <c r="B113" i="92"/>
  <c r="C1045" i="92"/>
  <c r="B340" i="92"/>
  <c r="B78" i="92"/>
  <c r="C183" i="92"/>
  <c r="C1043" i="92"/>
  <c r="B923" i="92"/>
  <c r="B1130" i="92"/>
  <c r="C535" i="92"/>
  <c r="B393" i="92"/>
  <c r="C769" i="92"/>
  <c r="C831" i="92"/>
  <c r="B690" i="92"/>
  <c r="C570" i="92"/>
  <c r="B522" i="92"/>
  <c r="C457" i="92"/>
  <c r="B792" i="92"/>
  <c r="B1093" i="92"/>
  <c r="B1002" i="92"/>
  <c r="B195" i="92"/>
  <c r="C1110" i="92"/>
  <c r="C1168" i="92"/>
  <c r="C973" i="92"/>
  <c r="B630" i="92"/>
  <c r="C1189" i="92"/>
  <c r="B339" i="92"/>
  <c r="C1057" i="92"/>
  <c r="B198" i="92"/>
  <c r="C433" i="92"/>
  <c r="C403" i="92"/>
  <c r="B1085" i="92"/>
  <c r="B521" i="92"/>
  <c r="B778" i="92"/>
  <c r="B459" i="92"/>
  <c r="B1132" i="92"/>
  <c r="B554" i="92"/>
  <c r="B182" i="92"/>
  <c r="C134" i="92"/>
  <c r="B300" i="92"/>
  <c r="C1091" i="92"/>
  <c r="B1053" i="92"/>
  <c r="C76" i="92"/>
  <c r="C722" i="92"/>
  <c r="C1031" i="92"/>
  <c r="B1194" i="92"/>
  <c r="B308" i="92"/>
  <c r="B561" i="92"/>
  <c r="C836" i="92"/>
  <c r="B757" i="92"/>
  <c r="B667" i="92"/>
  <c r="C828" i="92"/>
  <c r="B660" i="92"/>
  <c r="C26" i="92"/>
  <c r="C554" i="92"/>
  <c r="C589" i="92"/>
  <c r="B673" i="92"/>
  <c r="C891" i="92"/>
  <c r="B169" i="92"/>
  <c r="C429" i="92"/>
  <c r="C356" i="92"/>
  <c r="B181" i="92"/>
  <c r="C1004" i="92"/>
  <c r="C149" i="92"/>
  <c r="B857" i="92"/>
  <c r="B699" i="92"/>
  <c r="B674" i="92"/>
  <c r="C130" i="92"/>
  <c r="C74" i="92"/>
  <c r="C839" i="92"/>
  <c r="C1219" i="92"/>
  <c r="B359" i="92"/>
  <c r="B501" i="92"/>
  <c r="B963" i="92"/>
  <c r="B105" i="92"/>
  <c r="C1020" i="92"/>
  <c r="C278" i="92"/>
  <c r="B1170" i="92"/>
  <c r="B959" i="92"/>
  <c r="C626" i="92"/>
  <c r="C57" i="92"/>
  <c r="C652" i="92"/>
  <c r="C239" i="92"/>
  <c r="C55" i="92"/>
  <c r="C1203" i="92"/>
  <c r="C5" i="92"/>
  <c r="B834" i="92"/>
  <c r="B213" i="92"/>
  <c r="B474" i="92"/>
  <c r="C91" i="92"/>
  <c r="C591" i="92"/>
  <c r="C1042" i="92"/>
  <c r="B77" i="92"/>
  <c r="C853" i="92"/>
  <c r="C1127" i="92"/>
  <c r="C1060" i="92"/>
  <c r="B349" i="92"/>
  <c r="C599" i="92"/>
  <c r="B1039" i="92"/>
  <c r="C1028" i="92"/>
  <c r="C351" i="92"/>
  <c r="B689" i="92"/>
  <c r="C607" i="92"/>
  <c r="C1181" i="92"/>
  <c r="C176" i="92"/>
  <c r="C148" i="92"/>
  <c r="C702" i="92"/>
  <c r="B514" i="92"/>
  <c r="C1208" i="92"/>
  <c r="B471" i="92"/>
  <c r="B1077" i="92"/>
  <c r="C510" i="92"/>
  <c r="C1165" i="92"/>
  <c r="C15" i="92"/>
  <c r="B409" i="92"/>
  <c r="C202" i="92"/>
  <c r="B750" i="92"/>
  <c r="C49" i="92"/>
  <c r="B361" i="92"/>
  <c r="C425" i="92"/>
  <c r="C516" i="92"/>
  <c r="B986" i="92"/>
  <c r="C369" i="92"/>
  <c r="C449" i="92"/>
  <c r="B552" i="92"/>
  <c r="B101" i="92"/>
  <c r="B1204" i="92"/>
  <c r="C943" i="92"/>
  <c r="C391" i="92"/>
  <c r="B711" i="92"/>
  <c r="C181" i="92"/>
  <c r="C630" i="92"/>
  <c r="B258" i="92"/>
  <c r="C502" i="92"/>
  <c r="B551" i="92"/>
  <c r="C493" i="92"/>
  <c r="B961" i="92"/>
  <c r="B176" i="92"/>
  <c r="C585" i="92"/>
  <c r="B1008" i="92"/>
  <c r="B56" i="92"/>
  <c r="C500" i="92"/>
  <c r="C685" i="92"/>
  <c r="B765" i="92"/>
  <c r="C456" i="92"/>
  <c r="B383" i="92"/>
  <c r="C948" i="92"/>
  <c r="B611" i="92"/>
  <c r="C598" i="92"/>
  <c r="C299" i="92"/>
  <c r="C190" i="92"/>
  <c r="B211" i="92"/>
  <c r="B622" i="92"/>
  <c r="C153" i="92"/>
  <c r="C509" i="92"/>
  <c r="B1087" i="92"/>
  <c r="B344" i="92"/>
  <c r="C893" i="92"/>
  <c r="C1146" i="92"/>
  <c r="B120" i="92"/>
  <c r="C486" i="92"/>
  <c r="B876" i="92"/>
  <c r="C1014" i="92"/>
  <c r="C807" i="92"/>
  <c r="B149" i="92"/>
  <c r="C748" i="92"/>
  <c r="B890" i="92"/>
  <c r="B981" i="92"/>
  <c r="B575" i="92"/>
  <c r="C75" i="92"/>
  <c r="B449" i="92"/>
  <c r="C514" i="92"/>
  <c r="C845" i="92"/>
  <c r="C964" i="92"/>
  <c r="C213" i="92"/>
  <c r="C1166" i="92"/>
  <c r="C958" i="92"/>
  <c r="C557" i="92"/>
  <c r="C462" i="92"/>
  <c r="C1066" i="92"/>
  <c r="B131" i="92"/>
  <c r="C1136" i="92"/>
  <c r="C718" i="92"/>
  <c r="B194" i="92"/>
  <c r="C244" i="92"/>
  <c r="C635" i="92"/>
  <c r="B1102" i="92"/>
  <c r="C725" i="92"/>
  <c r="B415" i="92"/>
  <c r="C320" i="92"/>
  <c r="B287" i="92"/>
  <c r="C107" i="92"/>
  <c r="C290" i="92"/>
  <c r="C1036" i="92"/>
  <c r="C394" i="92"/>
  <c r="B1155" i="92"/>
  <c r="B486" i="92"/>
  <c r="B381" i="92"/>
  <c r="B594" i="92"/>
  <c r="B24" i="92"/>
  <c r="C488" i="92"/>
  <c r="C318" i="92"/>
  <c r="C950" i="92"/>
  <c r="B744" i="92"/>
  <c r="B977" i="92"/>
  <c r="B685" i="92"/>
  <c r="B356" i="92"/>
  <c r="B680" i="92"/>
  <c r="B513" i="92"/>
  <c r="C438" i="92"/>
  <c r="B992" i="92"/>
  <c r="C270" i="92"/>
  <c r="C947" i="92"/>
  <c r="C473" i="92"/>
  <c r="B1114" i="92"/>
  <c r="B104" i="92"/>
  <c r="B889" i="92"/>
  <c r="B3" i="92"/>
  <c r="B586" i="92"/>
  <c r="C214" i="92"/>
  <c r="B897" i="92"/>
  <c r="B227" i="92"/>
  <c r="B46" i="92"/>
  <c r="C1174" i="92"/>
  <c r="C417" i="92"/>
  <c r="C1071" i="92"/>
  <c r="C1003" i="92"/>
  <c r="C936" i="92"/>
  <c r="C553" i="92"/>
  <c r="C472" i="92"/>
  <c r="C1090" i="92"/>
  <c r="B247" i="92"/>
  <c r="B23" i="92"/>
  <c r="C1175" i="92"/>
  <c r="C876" i="92"/>
  <c r="C1177" i="92"/>
  <c r="C27" i="92"/>
  <c r="C1116" i="92"/>
  <c r="B589" i="92"/>
  <c r="C56" i="92"/>
  <c r="C972" i="92"/>
  <c r="B389" i="92"/>
  <c r="B210" i="92"/>
  <c r="C561" i="92"/>
  <c r="B60" i="92"/>
  <c r="B861" i="92"/>
  <c r="B949" i="92"/>
  <c r="B616" i="92"/>
  <c r="B1040" i="92"/>
  <c r="B1031" i="92"/>
  <c r="B701" i="92"/>
  <c r="C815" i="92"/>
  <c r="C1167" i="92"/>
  <c r="C881" i="92"/>
  <c r="C915" i="92"/>
  <c r="B257" i="92"/>
  <c r="C726" i="92"/>
  <c r="C25" i="92"/>
  <c r="B167" i="92"/>
  <c r="C342" i="92"/>
  <c r="C568" i="92"/>
  <c r="C556" i="92"/>
  <c r="B838" i="92"/>
  <c r="C262" i="92"/>
  <c r="B128" i="92"/>
  <c r="C505" i="92"/>
  <c r="B593" i="92"/>
  <c r="C601" i="92"/>
  <c r="C771" i="92"/>
  <c r="B643" i="92"/>
  <c r="B517" i="92"/>
  <c r="B638" i="92"/>
  <c r="B1112" i="92"/>
  <c r="C210" i="92"/>
  <c r="B153" i="92"/>
  <c r="B925" i="92"/>
  <c r="C832" i="92"/>
  <c r="C110" i="92"/>
  <c r="C1212" i="92"/>
  <c r="C1064" i="92"/>
  <c r="B1136" i="92"/>
  <c r="B785" i="92"/>
  <c r="B1020" i="92"/>
  <c r="B127" i="92"/>
  <c r="B905" i="92"/>
  <c r="B234" i="92"/>
  <c r="C1072" i="92"/>
  <c r="B682" i="92"/>
  <c r="B988" i="92"/>
  <c r="B1018" i="92"/>
  <c r="B348" i="92"/>
  <c r="B1179" i="92"/>
  <c r="B927" i="92"/>
  <c r="C106" i="92"/>
  <c r="C758" i="92"/>
  <c r="C188" i="92"/>
  <c r="C442" i="92"/>
  <c r="C501" i="92"/>
  <c r="B20" i="92"/>
  <c r="B1143" i="92"/>
  <c r="C905" i="92"/>
  <c r="B613" i="92"/>
  <c r="B21" i="92"/>
  <c r="C840" i="92"/>
  <c r="B1034" i="92"/>
  <c r="B315" i="92"/>
  <c r="B1219" i="92"/>
  <c r="C268" i="92"/>
  <c r="C921" i="92"/>
  <c r="B956" i="92"/>
  <c r="B852" i="92"/>
  <c r="B1043" i="92"/>
  <c r="B438" i="92"/>
  <c r="C592" i="92"/>
  <c r="C708" i="92"/>
  <c r="C982" i="92"/>
  <c r="B14" i="92"/>
  <c r="C443" i="92"/>
  <c r="B1067" i="92"/>
  <c r="B250" i="92"/>
  <c r="B892" i="92"/>
  <c r="C365" i="92"/>
  <c r="C918" i="92"/>
  <c r="B1066" i="92"/>
  <c r="C1105" i="92"/>
  <c r="C997" i="92"/>
  <c r="B657" i="92"/>
  <c r="B646" i="92"/>
  <c r="B312" i="92"/>
  <c r="C715" i="92"/>
  <c r="C367" i="92"/>
  <c r="B510" i="92"/>
  <c r="C494" i="92"/>
  <c r="B716" i="92"/>
  <c r="C469" i="92"/>
  <c r="B1088" i="92"/>
  <c r="C565" i="92"/>
  <c r="B851" i="92"/>
  <c r="B1180" i="92"/>
  <c r="B338" i="92"/>
  <c r="B557" i="92"/>
  <c r="B728" i="92"/>
  <c r="C963" i="92"/>
  <c r="C907" i="92"/>
  <c r="C349" i="92"/>
  <c r="C949" i="92"/>
  <c r="B1117" i="92"/>
  <c r="B285" i="92"/>
  <c r="C904" i="92"/>
  <c r="C354" i="92"/>
  <c r="C275" i="92"/>
  <c r="B921" i="92"/>
  <c r="B684" i="92"/>
  <c r="C1048" i="92"/>
  <c r="B254" i="92"/>
  <c r="B973" i="92"/>
  <c r="B378" i="92"/>
  <c r="B548" i="92"/>
  <c r="C608" i="92"/>
  <c r="B635" i="92"/>
  <c r="C724" i="92"/>
  <c r="B564" i="92"/>
  <c r="C522" i="92"/>
  <c r="B1007" i="92"/>
  <c r="C12" i="92"/>
  <c r="B909" i="92"/>
  <c r="B879" i="92"/>
  <c r="B1042" i="92"/>
  <c r="C602" i="92"/>
  <c r="B1078" i="92"/>
  <c r="B709" i="92"/>
  <c r="C665" i="92"/>
  <c r="C637" i="92"/>
  <c r="C296" i="92"/>
  <c r="B944" i="92"/>
  <c r="B770" i="92"/>
  <c r="C297" i="92"/>
  <c r="B193" i="92"/>
  <c r="C1006" i="92"/>
  <c r="B18" i="92"/>
  <c r="B1041" i="92"/>
  <c r="B563" i="92"/>
  <c r="B1157" i="92"/>
  <c r="B61" i="92"/>
  <c r="B341" i="92"/>
  <c r="C498" i="92"/>
  <c r="C697" i="92"/>
  <c r="C954" i="92"/>
  <c r="B859" i="92"/>
  <c r="C750" i="92"/>
  <c r="C730" i="92"/>
  <c r="B463" i="92"/>
  <c r="B1126" i="92"/>
  <c r="B756" i="92"/>
  <c r="B1141" i="92"/>
  <c r="B400" i="92"/>
  <c r="B192" i="92"/>
  <c r="C344" i="92"/>
  <c r="B80" i="92"/>
  <c r="B1119" i="92"/>
  <c r="B222" i="92"/>
  <c r="B472" i="92"/>
  <c r="C122" i="92"/>
  <c r="C363" i="92"/>
  <c r="C712" i="92"/>
  <c r="B946" i="92"/>
  <c r="C827" i="92"/>
  <c r="C249" i="92"/>
  <c r="C414" i="92"/>
  <c r="B804" i="92"/>
  <c r="C930" i="92"/>
  <c r="B129" i="92"/>
  <c r="C567" i="92"/>
  <c r="C910" i="92"/>
  <c r="B256" i="92"/>
  <c r="C446" i="92"/>
  <c r="B119" i="92"/>
  <c r="C1039" i="92"/>
  <c r="B178" i="92"/>
  <c r="B884" i="92"/>
  <c r="B601" i="92"/>
  <c r="C100" i="92"/>
  <c r="C862" i="92"/>
  <c r="B1084" i="92"/>
  <c r="C1102" i="92"/>
  <c r="C265" i="92"/>
  <c r="C276" i="92"/>
  <c r="B396" i="92"/>
  <c r="B372" i="92"/>
  <c r="C933" i="92"/>
  <c r="C901" i="92"/>
  <c r="B1139" i="92"/>
  <c r="C515" i="92"/>
  <c r="C348" i="92"/>
  <c r="C138" i="92"/>
  <c r="B420" i="92"/>
  <c r="B661" i="92"/>
  <c r="C1202" i="92"/>
  <c r="C559" i="92"/>
  <c r="B512" i="92"/>
  <c r="C979" i="92"/>
  <c r="B708" i="92"/>
  <c r="C766" i="92"/>
  <c r="B841" i="92"/>
  <c r="C241" i="92"/>
  <c r="B604" i="92"/>
  <c r="B458" i="92"/>
  <c r="C647" i="92"/>
  <c r="C234" i="92"/>
  <c r="C220" i="92"/>
  <c r="B432" i="92"/>
  <c r="B763" i="92"/>
  <c r="C199" i="92"/>
  <c r="C294" i="92"/>
  <c r="C733" i="92"/>
  <c r="C1162" i="92"/>
  <c r="C420" i="92"/>
  <c r="C146" i="92"/>
  <c r="B628" i="92"/>
  <c r="B932" i="92"/>
  <c r="C864" i="92"/>
  <c r="C543" i="92"/>
  <c r="C878" i="92"/>
  <c r="B972" i="92"/>
  <c r="B707" i="92"/>
  <c r="C355" i="92"/>
  <c r="C1088" i="92"/>
  <c r="C376" i="92"/>
  <c r="C1108" i="92"/>
  <c r="B577" i="92"/>
  <c r="B320" i="92"/>
  <c r="C1010" i="92"/>
  <c r="B439" i="92"/>
  <c r="B156" i="92"/>
  <c r="C157" i="92"/>
  <c r="B306" i="92"/>
  <c r="C1149" i="92"/>
  <c r="B478" i="92"/>
  <c r="C439" i="92"/>
  <c r="C852" i="92"/>
  <c r="B1189" i="92"/>
  <c r="B325" i="92"/>
  <c r="C956" i="92"/>
  <c r="C236" i="92"/>
  <c r="B987" i="92"/>
  <c r="C1145" i="92"/>
  <c r="C526" i="92"/>
  <c r="B787" i="92"/>
  <c r="B371" i="92"/>
  <c r="C398" i="92"/>
  <c r="C298" i="92"/>
  <c r="B100" i="92"/>
  <c r="C782" i="92"/>
  <c r="B860" i="92"/>
  <c r="C605" i="92"/>
  <c r="C411" i="92"/>
  <c r="C1173" i="92"/>
  <c r="B279" i="92"/>
  <c r="B8" i="92"/>
  <c r="C85" i="92"/>
  <c r="B1030" i="92"/>
  <c r="C1200" i="92"/>
  <c r="C242" i="92"/>
  <c r="B913" i="92"/>
  <c r="C844" i="92"/>
  <c r="B761" i="92"/>
  <c r="B405" i="92"/>
  <c r="B825" i="92"/>
  <c r="B200" i="92"/>
  <c r="B337" i="92"/>
  <c r="C579" i="92"/>
  <c r="C1007" i="92"/>
  <c r="C321" i="92"/>
  <c r="C671" i="92"/>
  <c r="C746" i="92"/>
  <c r="C942" i="92"/>
  <c r="C680" i="92"/>
  <c r="B758" i="92"/>
  <c r="B55" i="92"/>
  <c r="C679" i="92"/>
  <c r="B1060" i="92"/>
  <c r="C251" i="92"/>
  <c r="B641" i="92"/>
  <c r="C546" i="92"/>
  <c r="C124" i="92"/>
  <c r="B496" i="92"/>
  <c r="B19" i="92"/>
  <c r="C860" i="92"/>
  <c r="B488" i="92"/>
  <c r="C482" i="92"/>
  <c r="C740" i="92"/>
  <c r="C989" i="92"/>
  <c r="B245" i="92"/>
  <c r="C618" i="92"/>
  <c r="B1072" i="92"/>
  <c r="C871" i="92"/>
  <c r="B1063" i="92"/>
  <c r="C1188" i="92"/>
  <c r="B328" i="92"/>
  <c r="B267" i="92"/>
  <c r="C1098" i="92"/>
  <c r="C1107" i="92"/>
  <c r="B451" i="92"/>
  <c r="C920" i="92"/>
  <c r="C273" i="92"/>
  <c r="B1090" i="92"/>
  <c r="B991" i="92"/>
  <c r="C280" i="92"/>
  <c r="C1125" i="92"/>
  <c r="C475" i="92"/>
  <c r="C1210" i="92"/>
  <c r="B530" i="92"/>
  <c r="B894" i="92"/>
  <c r="C1130" i="92"/>
  <c r="B662" i="92"/>
  <c r="C793" i="92"/>
  <c r="B413" i="92"/>
  <c r="C331" i="92"/>
  <c r="B295" i="92"/>
  <c r="C1153" i="92"/>
  <c r="C824" i="92"/>
  <c r="B365" i="92"/>
  <c r="C114" i="92"/>
  <c r="C753" i="92"/>
  <c r="B498" i="92"/>
  <c r="B422" i="92"/>
  <c r="B724" i="92"/>
  <c r="B1151" i="92"/>
  <c r="C617" i="92"/>
  <c r="C372" i="92"/>
  <c r="C791" i="92"/>
  <c r="C923" i="92"/>
  <c r="B664" i="92"/>
  <c r="B625" i="92"/>
  <c r="B326" i="92"/>
  <c r="C1040" i="92"/>
  <c r="B1062" i="92"/>
  <c r="C1067" i="92"/>
  <c r="C552" i="92"/>
  <c r="B1094" i="92"/>
  <c r="B793" i="92"/>
  <c r="C218" i="92"/>
  <c r="C1178" i="92"/>
  <c r="C897" i="92"/>
  <c r="B86" i="92"/>
  <c r="B694" i="92"/>
  <c r="C408" i="92"/>
  <c r="B133" i="92"/>
  <c r="C512" i="92"/>
  <c r="B70" i="92"/>
  <c r="B898" i="92"/>
  <c r="B1137" i="92"/>
  <c r="B386" i="92"/>
  <c r="B576" i="92"/>
  <c r="B1014" i="92"/>
  <c r="B899" i="92"/>
  <c r="B688" i="92"/>
  <c r="C16" i="92"/>
  <c r="C196" i="92"/>
  <c r="C264" i="92"/>
  <c r="C1101" i="92"/>
  <c r="B414" i="92"/>
  <c r="C1198" i="92"/>
  <c r="B826" i="92"/>
  <c r="B1206" i="92"/>
  <c r="B447" i="92"/>
  <c r="B574" i="92"/>
  <c r="B658" i="92"/>
  <c r="B309" i="92"/>
  <c r="C812" i="92"/>
  <c r="B729" i="92"/>
  <c r="B700" i="92"/>
  <c r="B462" i="92"/>
  <c r="B796" i="92"/>
  <c r="B107" i="92"/>
  <c r="B847" i="92"/>
  <c r="B995" i="92"/>
  <c r="B518" i="92"/>
  <c r="B1193" i="92"/>
  <c r="B301" i="92"/>
  <c r="C993" i="92"/>
  <c r="B1121" i="92"/>
  <c r="B1208" i="92"/>
  <c r="B739" i="92"/>
  <c r="B1184" i="92"/>
  <c r="B997" i="92"/>
  <c r="B675" i="92"/>
  <c r="B283" i="92"/>
  <c r="B1118" i="92"/>
  <c r="C751" i="92"/>
  <c r="C1093" i="92"/>
  <c r="B976" i="92"/>
  <c r="C1192" i="92"/>
  <c r="B90" i="92"/>
  <c r="B243" i="92"/>
  <c r="C53" i="92"/>
  <c r="C743" i="92"/>
  <c r="B806" i="92"/>
  <c r="C327" i="92"/>
  <c r="B862" i="92"/>
  <c r="B1029" i="92"/>
  <c r="B307" i="92"/>
  <c r="B760" i="92"/>
  <c r="C1182" i="92"/>
  <c r="C794" i="92"/>
  <c r="B206" i="92"/>
  <c r="B943" i="92"/>
  <c r="B1190" i="92"/>
  <c r="C1017" i="92"/>
  <c r="C735" i="92"/>
  <c r="C692" i="92"/>
  <c r="C816" i="92"/>
  <c r="C144" i="92"/>
  <c r="C30" i="92"/>
  <c r="C1035" i="92"/>
  <c r="C1151" i="92"/>
  <c r="B322" i="92"/>
  <c r="C169" i="92"/>
  <c r="C102" i="92"/>
  <c r="C1005" i="92"/>
  <c r="B1173" i="92"/>
  <c r="B607" i="92"/>
  <c r="C120" i="92"/>
  <c r="C1075" i="92"/>
  <c r="C67" i="92"/>
  <c r="B771" i="92"/>
  <c r="C843" i="92"/>
  <c r="B695" i="92"/>
  <c r="B516" i="92"/>
  <c r="B1177" i="92"/>
  <c r="B1164" i="92"/>
  <c r="C547" i="92"/>
  <c r="B965" i="92"/>
  <c r="C1117" i="92"/>
  <c r="B623" i="92"/>
  <c r="C240" i="92"/>
  <c r="B1046" i="92"/>
  <c r="B494" i="92"/>
  <c r="B989" i="92"/>
  <c r="B476" i="92"/>
  <c r="B391" i="92"/>
  <c r="B920" i="92"/>
  <c r="B951" i="92"/>
  <c r="B152" i="92"/>
  <c r="B553" i="92"/>
  <c r="B632" i="92"/>
  <c r="B473" i="92"/>
  <c r="B555" i="92"/>
  <c r="C284" i="92"/>
  <c r="B1037" i="92"/>
  <c r="C82" i="92"/>
  <c r="B698" i="92"/>
  <c r="B783" i="92"/>
  <c r="B1104" i="92"/>
  <c r="B610" i="92"/>
  <c r="C884" i="92"/>
  <c r="B649" i="92"/>
  <c r="C980" i="92"/>
  <c r="C603" i="92"/>
  <c r="B741" i="92"/>
  <c r="C1024" i="92"/>
  <c r="B311" i="92"/>
  <c r="B477" i="92"/>
  <c r="C1050" i="92"/>
  <c r="C1076" i="92"/>
  <c r="C819" i="92"/>
  <c r="B822" i="92"/>
  <c r="C676" i="92"/>
  <c r="C757" i="92"/>
  <c r="C523" i="92"/>
  <c r="C1152" i="92"/>
  <c r="B877" i="92"/>
  <c r="B568" i="92"/>
  <c r="B1019" i="92"/>
  <c r="C678" i="92"/>
  <c r="B490" i="92"/>
  <c r="B480" i="92"/>
  <c r="C747" i="92"/>
  <c r="B150" i="92"/>
  <c r="C8" i="92"/>
  <c r="B495" i="92"/>
  <c r="C873" i="92"/>
  <c r="B435" i="92"/>
  <c r="C610" i="92"/>
  <c r="C310" i="92"/>
  <c r="C178" i="92"/>
  <c r="B733" i="92"/>
  <c r="C274" i="92"/>
  <c r="B727" i="92"/>
  <c r="C225" i="92"/>
  <c r="B1045" i="92"/>
  <c r="B648" i="92"/>
  <c r="B450" i="92"/>
  <c r="B990" i="92"/>
  <c r="C859" i="92"/>
  <c r="B5" i="92"/>
  <c r="C1118" i="92"/>
  <c r="B261" i="92"/>
  <c r="C895" i="92"/>
  <c r="B581" i="92"/>
  <c r="C258" i="92"/>
  <c r="C833" i="92"/>
  <c r="C1179" i="92"/>
  <c r="B653" i="92"/>
  <c r="B599" i="92"/>
  <c r="C786" i="92"/>
  <c r="B353" i="92"/>
  <c r="B223" i="92"/>
  <c r="B286" i="92"/>
  <c r="C890" i="92"/>
  <c r="C464" i="92"/>
  <c r="C413" i="92"/>
  <c r="B582" i="92"/>
  <c r="B600" i="92"/>
  <c r="C744" i="92"/>
  <c r="C93" i="92"/>
  <c r="C189" i="92"/>
  <c r="C1121" i="92"/>
  <c r="C539" i="92"/>
  <c r="B998" i="92"/>
  <c r="C379" i="92"/>
  <c r="B782" i="92"/>
  <c r="B1213" i="92"/>
  <c r="B44" i="92"/>
  <c r="B583" i="92"/>
  <c r="B808" i="92"/>
  <c r="B174" i="92"/>
  <c r="B865" i="92"/>
  <c r="B636" i="92"/>
  <c r="B858" i="92"/>
  <c r="B1159" i="92"/>
  <c r="B196" i="92"/>
  <c r="B753" i="92"/>
  <c r="C20" i="92"/>
  <c r="C778" i="92"/>
  <c r="C440" i="92"/>
  <c r="B130" i="92"/>
  <c r="B780" i="92"/>
  <c r="C882" i="92"/>
  <c r="C913" i="92"/>
  <c r="B795" i="92"/>
  <c r="B219" i="92"/>
  <c r="B406" i="92"/>
  <c r="B624" i="92"/>
  <c r="C658" i="92"/>
  <c r="C33" i="92"/>
  <c r="B110" i="92"/>
  <c r="C340" i="92"/>
  <c r="B218" i="92"/>
  <c r="B207" i="92"/>
  <c r="B461" i="92"/>
  <c r="B856" i="92"/>
  <c r="B84" i="92"/>
  <c r="B485" i="92"/>
  <c r="C1030" i="92"/>
  <c r="C58" i="92"/>
  <c r="B671" i="92"/>
  <c r="B869" i="92"/>
  <c r="B377" i="92"/>
  <c r="B266" i="92"/>
  <c r="C246" i="92"/>
  <c r="C172" i="92"/>
  <c r="B148" i="92"/>
  <c r="B1107" i="92"/>
  <c r="B58" i="92"/>
  <c r="C648" i="92"/>
  <c r="B960" i="92"/>
  <c r="B1169" i="92"/>
  <c r="B886" i="92"/>
  <c r="B137" i="92"/>
  <c r="C319" i="92"/>
  <c r="C1128" i="92"/>
  <c r="C206" i="92"/>
  <c r="B171" i="92"/>
  <c r="C215" i="92"/>
  <c r="C1131" i="92"/>
  <c r="C837" i="92"/>
  <c r="C305" i="92"/>
  <c r="C614" i="92"/>
  <c r="B984" i="92"/>
  <c r="C674" i="92"/>
  <c r="B880" i="92"/>
  <c r="C612" i="92"/>
  <c r="C763" i="92"/>
  <c r="C1092" i="92"/>
  <c r="B722" i="92"/>
  <c r="C489" i="92"/>
  <c r="B173" i="92"/>
  <c r="C293" i="92"/>
  <c r="C119" i="92"/>
  <c r="C1094" i="92"/>
  <c r="C1073" i="92"/>
  <c r="B425" i="92"/>
  <c r="C741" i="92"/>
  <c r="C373" i="92"/>
  <c r="B584" i="92"/>
  <c r="C247" i="92"/>
  <c r="C80" i="92"/>
  <c r="C1034" i="92"/>
  <c r="B145" i="92"/>
  <c r="B573" i="92"/>
  <c r="C1180" i="92"/>
  <c r="B373" i="92"/>
  <c r="C1059" i="92"/>
  <c r="C63" i="92"/>
  <c r="B1056" i="92"/>
  <c r="B1196" i="92"/>
  <c r="C360" i="92"/>
  <c r="C1129" i="92"/>
  <c r="B605" i="92"/>
  <c r="C892" i="92"/>
  <c r="C1137" i="92"/>
  <c r="B580" i="92"/>
  <c r="B49" i="92"/>
  <c r="B602" i="92"/>
  <c r="B647" i="92"/>
  <c r="B274" i="92"/>
  <c r="B502" i="92"/>
  <c r="B803" i="92"/>
  <c r="C953" i="92"/>
  <c r="B996" i="92"/>
  <c r="C914" i="92"/>
  <c r="C521" i="92"/>
  <c r="C137" i="92"/>
  <c r="B6" i="92"/>
  <c r="C582" i="92"/>
  <c r="B853" i="92"/>
  <c r="C402" i="92"/>
  <c r="C534" i="92"/>
  <c r="C834" i="92"/>
  <c r="B1172" i="92"/>
  <c r="B1106" i="92"/>
  <c r="B418" i="92"/>
  <c r="C450" i="92"/>
  <c r="C1140" i="92"/>
  <c r="C1022" i="92"/>
  <c r="B810" i="92"/>
  <c r="C578" i="92"/>
  <c r="B1068" i="92"/>
  <c r="B452" i="92"/>
  <c r="C480" i="92"/>
  <c r="C616" i="92"/>
  <c r="C869" i="92"/>
  <c r="C377" i="92"/>
  <c r="C677" i="92"/>
  <c r="C704" i="92"/>
  <c r="B799" i="92"/>
  <c r="C984" i="92"/>
  <c r="B244" i="92"/>
  <c r="C139" i="92"/>
  <c r="C1109" i="92"/>
  <c r="C908" i="92"/>
  <c r="C1155" i="92"/>
  <c r="B69" i="92"/>
  <c r="C451" i="92"/>
  <c r="B226" i="92"/>
  <c r="B738" i="92"/>
  <c r="B737" i="92"/>
  <c r="C375" i="92"/>
  <c r="B1198" i="9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<sst xmlns="http://schemas.openxmlformats.org/spreadsheetml/2006/main" count="16545" uniqueCount="1892">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</sst>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5" t="s">
        <v>759</v>
      </c>
      <c r="B1" s="1395"/>
      <c r="C1" s="1395"/>
      <c r="D1" s="1395"/>
      <c r="E1" s="1395"/>
    </row>
    <row r="2" spans="1:5" x14ac:dyDescent="0.25">
      <c r="A2" s="1395" t="s">
        <v>760</v>
      </c>
      <c r="B2" s="1395"/>
      <c r="C2" s="1395"/>
      <c r="D2" s="1395"/>
      <c r="E2" s="1395"/>
    </row>
    <row r="3" spans="1:5" x14ac:dyDescent="0.25">
      <c r="A3" s="71"/>
    </row>
    <row r="4" spans="1:5" ht="78" customHeight="1" x14ac:dyDescent="0.25">
      <c r="A4" s="1413" t="s">
        <v>761</v>
      </c>
      <c r="B4" s="1413"/>
      <c r="C4" s="1413"/>
      <c r="D4" s="1413"/>
      <c r="E4" s="1413"/>
    </row>
    <row r="5" spans="1:5" x14ac:dyDescent="0.25">
      <c r="A5" s="71"/>
    </row>
    <row r="6" spans="1:5" ht="31.5" customHeight="1" x14ac:dyDescent="0.25">
      <c r="A6" s="1412" t="s">
        <v>762</v>
      </c>
      <c r="B6" s="1412"/>
      <c r="C6" s="1412"/>
      <c r="D6" s="1412"/>
      <c r="E6" s="1412"/>
    </row>
    <row r="7" spans="1:5" ht="15.75" thickBot="1" x14ac:dyDescent="0.3">
      <c r="A7" s="72"/>
    </row>
    <row r="8" spans="1:5" ht="15" customHeight="1" x14ac:dyDescent="0.25">
      <c r="A8" s="1406" t="s">
        <v>763</v>
      </c>
      <c r="B8" s="1407"/>
      <c r="C8" s="1407"/>
      <c r="D8" s="1407"/>
      <c r="E8" s="1408"/>
    </row>
    <row r="9" spans="1:5" ht="15" customHeight="1" thickBot="1" x14ac:dyDescent="0.3">
      <c r="A9" s="1409" t="s">
        <v>764</v>
      </c>
      <c r="B9" s="1410"/>
      <c r="C9" s="1410"/>
      <c r="D9" s="1410"/>
      <c r="E9" s="1411"/>
    </row>
    <row r="10" spans="1:5" x14ac:dyDescent="0.25">
      <c r="A10" s="73"/>
      <c r="B10" s="1403"/>
      <c r="C10" s="1403"/>
      <c r="D10" s="77"/>
    </row>
    <row r="11" spans="1:5" ht="31.5" customHeight="1" thickBot="1" x14ac:dyDescent="0.3">
      <c r="A11" s="75" t="s">
        <v>765</v>
      </c>
      <c r="B11" s="1404" t="s">
        <v>766</v>
      </c>
      <c r="C11" s="1404"/>
      <c r="D11" s="77">
        <f>Welcome!$D$4</f>
        <v>0</v>
      </c>
    </row>
    <row r="12" spans="1:5" ht="15.75" thickBot="1" x14ac:dyDescent="0.3">
      <c r="A12" s="75" t="s">
        <v>767</v>
      </c>
      <c r="B12" s="1405">
        <f>'MDA Worksheet'!$R$18</f>
        <v>0</v>
      </c>
      <c r="C12" s="140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2"/>
      <c r="C17" s="1402"/>
      <c r="D17" s="1402"/>
      <c r="E17" s="1402"/>
    </row>
    <row r="18" spans="1:5" x14ac:dyDescent="0.25">
      <c r="A18" s="73"/>
      <c r="B18" s="116"/>
      <c r="C18" s="73"/>
      <c r="D18" s="116"/>
    </row>
    <row r="19" spans="1:5" ht="15.75" thickBot="1" x14ac:dyDescent="0.3">
      <c r="A19" s="75" t="s">
        <v>843</v>
      </c>
      <c r="B19" s="1402">
        <f>Welcome!$D$8</f>
        <v>0</v>
      </c>
      <c r="C19" s="1402"/>
      <c r="D19" s="1402"/>
      <c r="E19" s="140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0" t="s">
        <v>1235</v>
      </c>
      <c r="B42" s="1381"/>
      <c r="C42" s="1381"/>
      <c r="D42" s="1381"/>
      <c r="E42" s="1382"/>
    </row>
    <row r="43" spans="1:5" s="805" customFormat="1" x14ac:dyDescent="0.25">
      <c r="A43" s="1383"/>
      <c r="B43" s="1384"/>
      <c r="C43" s="1384"/>
      <c r="D43" s="1384"/>
      <c r="E43" s="1385"/>
    </row>
    <row r="44" spans="1:5" s="805" customFormat="1" ht="15.75" thickBot="1" x14ac:dyDescent="0.3">
      <c r="A44" s="1386"/>
      <c r="B44" s="1387"/>
      <c r="C44" s="1387"/>
      <c r="D44" s="1387"/>
      <c r="E44" s="1388"/>
    </row>
    <row r="45" spans="1:5" s="805" customFormat="1" ht="15.75" thickBot="1" x14ac:dyDescent="0.3">
      <c r="A45" s="838"/>
    </row>
    <row r="46" spans="1:5" s="805" customFormat="1" ht="15.75" thickBot="1" x14ac:dyDescent="0.3">
      <c r="A46" s="1380" t="s">
        <v>1224</v>
      </c>
      <c r="B46" s="1381"/>
      <c r="C46" s="1381"/>
      <c r="D46" s="1381"/>
      <c r="E46" s="1382"/>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14"/>
      <c r="B53" s="1415"/>
      <c r="C53" s="1415"/>
      <c r="D53" s="1415"/>
      <c r="E53" s="1416"/>
    </row>
    <row r="54" spans="1:5" s="805" customFormat="1" ht="15.75" thickBot="1" x14ac:dyDescent="0.3">
      <c r="A54" s="1417"/>
      <c r="B54" s="1418"/>
      <c r="C54" s="1418"/>
      <c r="D54" s="1418"/>
      <c r="E54" s="1419"/>
    </row>
    <row r="55" spans="1:5" ht="15.75" thickBot="1" x14ac:dyDescent="0.3">
      <c r="A55" s="838"/>
      <c r="B55" s="805"/>
      <c r="C55" s="805"/>
      <c r="D55" s="805"/>
      <c r="E55" s="805"/>
    </row>
    <row r="56" spans="1:5" ht="30.75" customHeight="1" thickBot="1" x14ac:dyDescent="0.3">
      <c r="A56" s="1396" t="s">
        <v>775</v>
      </c>
      <c r="B56" s="1397"/>
      <c r="C56" s="1397"/>
      <c r="D56" s="1397"/>
      <c r="E56" s="139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9" t="s">
        <v>787</v>
      </c>
      <c r="B67" s="1400"/>
      <c r="C67" s="1400"/>
      <c r="D67" s="1400"/>
      <c r="E67" s="140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9" t="s">
        <v>1236</v>
      </c>
      <c r="B74" s="1390"/>
      <c r="C74" s="1390"/>
      <c r="D74" s="1390"/>
      <c r="E74" s="1391"/>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2" t="s">
        <v>790</v>
      </c>
      <c r="B78" s="1393"/>
      <c r="C78" s="1393"/>
      <c r="D78" s="1393"/>
      <c r="E78" s="139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2" t="s">
        <v>792</v>
      </c>
      <c r="B83" s="1393"/>
      <c r="C83" s="1393"/>
      <c r="D83" s="1393"/>
      <c r="E83" s="139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0" t="s">
        <v>1208</v>
      </c>
      <c r="D3" s="1421"/>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1" t="s">
        <v>1251</v>
      </c>
      <c r="C29" s="1432"/>
      <c r="D29" s="1432"/>
      <c r="E29" s="1432"/>
      <c r="F29" s="1432"/>
      <c r="G29" s="1432"/>
      <c r="H29" s="1432"/>
      <c r="I29" s="143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2"/>
      <c r="C30" s="1423"/>
      <c r="D30" s="1423"/>
      <c r="E30" s="1423"/>
      <c r="F30" s="1423"/>
      <c r="G30" s="1423"/>
      <c r="H30" s="1423"/>
      <c r="I30" s="142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5"/>
      <c r="C31" s="1426"/>
      <c r="D31" s="1426"/>
      <c r="E31" s="1426"/>
      <c r="F31" s="1426"/>
      <c r="G31" s="1426"/>
      <c r="H31" s="1426"/>
      <c r="I31" s="142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5"/>
      <c r="C32" s="1426"/>
      <c r="D32" s="1426"/>
      <c r="E32" s="1426"/>
      <c r="F32" s="1426"/>
      <c r="G32" s="1426"/>
      <c r="H32" s="1426"/>
      <c r="I32" s="142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5"/>
      <c r="C33" s="1426"/>
      <c r="D33" s="1426"/>
      <c r="E33" s="1426"/>
      <c r="F33" s="1426"/>
      <c r="G33" s="1426"/>
      <c r="H33" s="1426"/>
      <c r="I33" s="142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5"/>
      <c r="C34" s="1426"/>
      <c r="D34" s="1426"/>
      <c r="E34" s="1426"/>
      <c r="F34" s="1426"/>
      <c r="G34" s="1426"/>
      <c r="H34" s="1426"/>
      <c r="I34" s="142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8"/>
      <c r="C35" s="1429"/>
      <c r="D35" s="1429"/>
      <c r="E35" s="1429"/>
      <c r="F35" s="1429"/>
      <c r="G35" s="1429"/>
      <c r="H35" s="1429"/>
      <c r="I35" s="143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4" t="s">
        <v>1165</v>
      </c>
      <c r="C37" s="1435"/>
      <c r="D37" s="1435"/>
      <c r="E37" s="1435"/>
      <c r="F37" s="1435"/>
      <c r="G37" s="1435"/>
      <c r="H37" s="1435"/>
      <c r="I37" s="143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2"/>
      <c r="C38" s="1423"/>
      <c r="D38" s="1423"/>
      <c r="E38" s="1423"/>
      <c r="F38" s="1423"/>
      <c r="G38" s="1423"/>
      <c r="H38" s="1423"/>
      <c r="I38" s="142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5"/>
      <c r="C39" s="1426"/>
      <c r="D39" s="1426"/>
      <c r="E39" s="1426"/>
      <c r="F39" s="1426"/>
      <c r="G39" s="1426"/>
      <c r="H39" s="1426"/>
      <c r="I39" s="142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5"/>
      <c r="C40" s="1426"/>
      <c r="D40" s="1426"/>
      <c r="E40" s="1426"/>
      <c r="F40" s="1426"/>
      <c r="G40" s="1426"/>
      <c r="H40" s="1426"/>
      <c r="I40" s="142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5"/>
      <c r="C41" s="1426"/>
      <c r="D41" s="1426"/>
      <c r="E41" s="1426"/>
      <c r="F41" s="1426"/>
      <c r="G41" s="1426"/>
      <c r="H41" s="1426"/>
      <c r="I41" s="142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5"/>
      <c r="C42" s="1426"/>
      <c r="D42" s="1426"/>
      <c r="E42" s="1426"/>
      <c r="F42" s="1426"/>
      <c r="G42" s="1426"/>
      <c r="H42" s="1426"/>
      <c r="I42" s="142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8"/>
      <c r="C43" s="1429"/>
      <c r="D43" s="1429"/>
      <c r="E43" s="1429"/>
      <c r="F43" s="1429"/>
      <c r="G43" s="1429"/>
      <c r="H43" s="1429"/>
      <c r="I43" s="143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0" t="s">
        <v>917</v>
      </c>
      <c r="G2" s="1440"/>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1">
        <f>SUM($I$6:$I$15)</f>
        <v>0</v>
      </c>
      <c r="J17" s="1443" t="s">
        <v>1387</v>
      </c>
      <c r="K17" s="1445">
        <f>SUM($K$6:$K$15)</f>
        <v>0</v>
      </c>
      <c r="L17" s="1443" t="s">
        <v>1388</v>
      </c>
      <c r="M17" s="736"/>
      <c r="N17" s="736"/>
      <c r="O17" s="736"/>
      <c r="P17" s="1441">
        <f>SUMIF($F$6:$F$15,"&gt;0",$P$6:$P$15)</f>
        <v>0</v>
      </c>
      <c r="Q17" s="1437" t="s">
        <v>1389</v>
      </c>
      <c r="R17" s="143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2"/>
      <c r="J18" s="1444"/>
      <c r="K18" s="1446"/>
      <c r="L18" s="1444"/>
      <c r="M18" s="736"/>
      <c r="N18" s="736"/>
      <c r="O18" s="736"/>
      <c r="P18" s="1442"/>
      <c r="Q18" s="1438"/>
      <c r="R18" s="1439"/>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3KNNrjq6tcAvYvNBsOrWWY0aoq3mO5tylZU0ZOSHF1ccGOMNFtQaKOIXPRaFiPlj6lZYKObbj1vfYwQ8+fdQ==" saltValue="XrGqcvAbTkOctLcbba8Ne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0" t="str">
        <f>IFERROR(VLOOKUP($H$4,'Market Geography'!$D:$G,4,FALSE),"Select Market")</f>
        <v>Select Market</v>
      </c>
      <c r="I3" s="1451"/>
      <c r="J3" s="1451"/>
      <c r="K3" s="145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7">
        <f>Welcome!$D$4</f>
        <v>0</v>
      </c>
      <c r="I4" s="1448"/>
      <c r="J4" s="1448"/>
      <c r="K4" s="144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7" t="str">
        <f>'Multi-Customer'!$S$49</f>
        <v>Enter Customer(s)</v>
      </c>
      <c r="I5" s="1448"/>
      <c r="J5" s="1448"/>
      <c r="K5" s="144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7" t="str">
        <f>'Multi-Customer'!$AH$40</f>
        <v>MULTIPLE TYPES</v>
      </c>
      <c r="I6" s="1448"/>
      <c r="J6" s="1448"/>
      <c r="K6" s="144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3" t="s">
        <v>206</v>
      </c>
      <c r="I7" s="1454"/>
      <c r="J7" s="1454"/>
      <c r="K7" s="1455"/>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8" t="s">
        <v>119</v>
      </c>
      <c r="H33" s="1459"/>
      <c r="I33" s="466">
        <f>IF($E$3="MDA",'PIM Ranges'!$AX$7,'PIM Ranges'!$BJ$7)</f>
        <v>8.8999999999999996E-2</v>
      </c>
      <c r="J33" s="134"/>
      <c r="K33" s="1460" t="str">
        <f>IF(COUNTIF($AB$10:$AB$30,"ERROR")&lt;1,"",IF(COUNTIF($AB$10:$AB$30,"ERROR")&lt;2,(COUNTIF($AB$10:$AB$30,"ERROR")&amp;" Margin Missing Above"),(COUNTIF($AB$10:$AB$30,"ERROR")&amp;" Margins Missing Above")))</f>
        <v/>
      </c>
      <c r="L33" s="146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6" t="s">
        <v>491</v>
      </c>
      <c r="H34" s="1457"/>
      <c r="I34" s="462">
        <f>J31</f>
        <v>0</v>
      </c>
      <c r="J34" s="134"/>
      <c r="K34" s="1460" t="str">
        <f>IF(COUNTIFS($L$10:$L$30,"X",$AF$10:$AF$30,"BELOW")&lt;1,"",IF(COUNTIFS($L$10:$L$30,"X",$AF$10:$AF$30,"BELOW")&lt;2,(COUNTIFS($L$10:$L$30,"X",$AF$10:$AF$30,"BELOW")&amp;" Margin Below Minimum"),(COUNTIFS($L$10:$L$30,"X",$AF$10:$AF$30,"BELOW")&amp;" Margins Below Minimum")))</f>
        <v/>
      </c>
      <c r="L34" s="146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6" t="s">
        <v>1342</v>
      </c>
      <c r="H35" s="1457"/>
      <c r="I35" s="463" t="str">
        <f>IFERROR(I34/G31,"")</f>
        <v/>
      </c>
      <c r="K35" s="1460" t="str">
        <f>IF(COUNTIFS($L$10:$L$30,"X",$AF$10:$AF$30,"ABOVE")&lt;1,"",IF(COUNTIFS($L$10:$L$30,"X",$AF$10:$AF$30,"ABOVE")&lt;2,(COUNTIFS($L$10:$L$30,"X",$AF$10:$AF$30,"ABOVE")&amp;" Margin Above Maximum"),(COUNTIFS($L$10:$L$30,"X",$AF$10:$AF$30,"ABOVE")&amp;" Margins Above Maximum")))</f>
        <v/>
      </c>
      <c r="L35" s="146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6"/>
      <c r="H36" s="145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6" t="str">
        <f>IFERROR(IF(I35&gt;I33,"","Below Recommended TAGP: "),"")</f>
        <v/>
      </c>
      <c r="H37" s="145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6"/>
      <c r="H38" s="145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6" t="s">
        <v>1343</v>
      </c>
      <c r="H39" s="145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1" t="s">
        <v>492</v>
      </c>
      <c r="H40" s="1462"/>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3"/>
      <c r="G52" s="14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3"/>
      <c r="G53" s="14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3"/>
      <c r="G54" s="14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DERiRFG2LFt4dJXf0j1N4EryY92m1lQB3RvhYrvCKbAPa9ZC5WTV1u0/W2iGCC4o7+jPQ5pn9DolmP5hzxuSw==" saltValue="DBzGBgtb2P92+oTW76y3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79">
        <f>Welcome!$D$8</f>
        <v>0</v>
      </c>
      <c r="I3" s="1480"/>
      <c r="J3" s="1034"/>
      <c r="K3" s="1156" t="s">
        <v>110</v>
      </c>
      <c r="L3" s="1481" t="str">
        <f>IFERROR(VLOOKUP($L$4,'Market Geography'!$D:$G,4,FALSE),"Select Market")</f>
        <v>Select Market</v>
      </c>
      <c r="M3" s="1482"/>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83" t="str">
        <f>Welcome!$D$12</f>
        <v>Select Term</v>
      </c>
      <c r="I4" s="1484"/>
      <c r="J4" s="181"/>
      <c r="K4" s="1157" t="s">
        <v>881</v>
      </c>
      <c r="L4" s="1485">
        <f>Welcome!$D$4</f>
        <v>0</v>
      </c>
      <c r="M4" s="1486"/>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87">
        <f>'PIM Model'!$G$31</f>
        <v>0</v>
      </c>
      <c r="I5" s="1488"/>
      <c r="J5" s="1034"/>
      <c r="K5" s="1157" t="s">
        <v>107</v>
      </c>
      <c r="L5" s="1485" t="str">
        <f>'Multi-Customer'!$S$49</f>
        <v>Enter Customer(s)</v>
      </c>
      <c r="M5" s="1486"/>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89">
        <f>'Variable Costs (Back)'!$K$26</f>
        <v>0</v>
      </c>
      <c r="I6" s="1490"/>
      <c r="J6" s="1034"/>
      <c r="K6" s="1157" t="s">
        <v>1262</v>
      </c>
      <c r="L6" s="1485" t="str">
        <f>'Multi-Customer'!$AH$40</f>
        <v>MULTIPLE TYPES</v>
      </c>
      <c r="M6" s="1486"/>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91">
        <f>IFERROR('PIM Ranges'!$AU$3,0)</f>
        <v>0</v>
      </c>
      <c r="I7" s="1492"/>
      <c r="J7" s="1034"/>
      <c r="K7" s="1158" t="s">
        <v>1255</v>
      </c>
      <c r="L7" s="1493" t="s">
        <v>206</v>
      </c>
      <c r="M7" s="1494"/>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7"/>
      <c r="E8" s="1498"/>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7"/>
      <c r="E9" s="1498"/>
      <c r="F9" s="136"/>
      <c r="G9" s="1159" t="s">
        <v>896</v>
      </c>
      <c r="H9" s="1495">
        <f>IFERROR('PIM Model'!$G$31,0)</f>
        <v>0</v>
      </c>
      <c r="I9" s="1496"/>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473">
        <f>IFERROR('PIM Model'!$G$32,0)</f>
        <v>0</v>
      </c>
      <c r="I10" s="1474"/>
      <c r="L10" s="177"/>
      <c r="M10" s="177"/>
      <c r="N10" s="177"/>
      <c r="O10" s="177"/>
      <c r="P10" s="177"/>
      <c r="Q10" s="182"/>
      <c r="R10" s="1223">
        <v>0</v>
      </c>
      <c r="S10" s="1499" t="s">
        <v>1623</v>
      </c>
      <c r="T10" s="1499"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499"/>
      <c r="T11" s="1499"/>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8" t="s">
        <v>898</v>
      </c>
      <c r="E12" s="1478"/>
      <c r="F12" s="185"/>
      <c r="G12" s="1475"/>
      <c r="H12" s="1476"/>
      <c r="I12" s="186"/>
      <c r="J12" s="1477"/>
      <c r="K12" s="1477"/>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8" t="s">
        <v>898</v>
      </c>
      <c r="E26" s="1478"/>
      <c r="F26" s="185"/>
      <c r="G26" s="1475"/>
      <c r="H26" s="1476"/>
      <c r="I26" s="186"/>
      <c r="J26" s="1477"/>
      <c r="K26" s="1477"/>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8" t="s">
        <v>898</v>
      </c>
      <c r="E40" s="1478"/>
      <c r="F40" s="185"/>
      <c r="G40" s="1475"/>
      <c r="H40" s="1476"/>
      <c r="I40" s="186"/>
      <c r="J40" s="1477"/>
      <c r="K40" s="1477"/>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2" t="s">
        <v>524</v>
      </c>
      <c r="E54" s="1472"/>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2" t="s">
        <v>524</v>
      </c>
      <c r="E68" s="1472"/>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2" t="s">
        <v>530</v>
      </c>
      <c r="E82" s="1472"/>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2" t="s">
        <v>530</v>
      </c>
      <c r="E96" s="1472"/>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2" t="s">
        <v>1177</v>
      </c>
      <c r="E110" s="1472"/>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2" t="s">
        <v>1177</v>
      </c>
      <c r="E118" s="1472"/>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2" t="s">
        <v>1177</v>
      </c>
      <c r="E126" s="1472"/>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2" t="s">
        <v>1177</v>
      </c>
      <c r="E134" s="1472"/>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2" t="s">
        <v>1177</v>
      </c>
      <c r="E142" s="1472"/>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2" t="s">
        <v>724</v>
      </c>
      <c r="E150" s="1472"/>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2" t="s">
        <v>1158</v>
      </c>
      <c r="E158" s="1472"/>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2" t="s">
        <v>1158</v>
      </c>
      <c r="E166" s="1472"/>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2" t="s">
        <v>1057</v>
      </c>
      <c r="E174" s="1472"/>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2" t="s">
        <v>1576</v>
      </c>
      <c r="E182" s="1472"/>
      <c r="F182" s="213"/>
      <c r="G182" s="236"/>
      <c r="H182" s="183"/>
      <c r="I182" s="237"/>
      <c r="J182" s="216"/>
      <c r="K182" s="217"/>
      <c r="L182" s="183"/>
      <c r="M182" s="217"/>
      <c r="N182" s="14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8"/>
      <c r="P182" s="1469"/>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70"/>
      <c r="O183" s="1470"/>
      <c r="P183" s="1471"/>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70"/>
      <c r="O184" s="1470"/>
      <c r="P184" s="1471"/>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0"/>
      <c r="O185" s="1470"/>
      <c r="P185" s="1471"/>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4" t="s">
        <v>1579</v>
      </c>
      <c r="E189" s="1465"/>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6" t="s">
        <v>1580</v>
      </c>
      <c r="E190" s="1467"/>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2" t="s">
        <v>1209</v>
      </c>
      <c r="E193" s="1472"/>
      <c r="F193" s="213"/>
      <c r="G193" s="236"/>
      <c r="H193" s="183"/>
      <c r="I193" s="237"/>
      <c r="J193" s="216"/>
      <c r="K193" s="217"/>
      <c r="L193" s="183"/>
      <c r="M193" s="217"/>
      <c r="N193" s="14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8"/>
      <c r="P193" s="1469"/>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70"/>
      <c r="O194" s="1470"/>
      <c r="P194" s="1471"/>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70"/>
      <c r="O195" s="1470"/>
      <c r="P195" s="1471"/>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0"/>
      <c r="O196" s="1470"/>
      <c r="P196" s="1471"/>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503"/>
      <c r="K197" s="194" t="s">
        <v>751</v>
      </c>
      <c r="L197" s="1503"/>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504"/>
      <c r="K198" s="1168"/>
      <c r="L198" s="1505"/>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2" t="s">
        <v>1209</v>
      </c>
      <c r="E205" s="1472"/>
      <c r="F205" s="213"/>
      <c r="G205" s="236"/>
      <c r="H205" s="183"/>
      <c r="I205" s="237"/>
      <c r="J205" s="216"/>
      <c r="K205" s="217"/>
      <c r="L205" s="183"/>
      <c r="M205" s="217"/>
      <c r="N205" s="14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8"/>
      <c r="P205" s="1469"/>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70"/>
      <c r="O206" s="1470"/>
      <c r="P206" s="1471"/>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70"/>
      <c r="O207" s="1470"/>
      <c r="P207" s="1471"/>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0"/>
      <c r="O208" s="1470"/>
      <c r="P208" s="1471"/>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503"/>
      <c r="K209" s="194" t="s">
        <v>751</v>
      </c>
      <c r="L209" s="1503"/>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504"/>
      <c r="K210" s="1168"/>
      <c r="L210" s="1505"/>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0" t="s">
        <v>1586</v>
      </c>
      <c r="E217" s="1500"/>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1"/>
      <c r="D231" s="1501"/>
      <c r="I231" s="653"/>
      <c r="L231" s="1035"/>
      <c r="M231" s="1502"/>
      <c r="N231" s="1502"/>
      <c r="O231" s="1502"/>
      <c r="P231" s="1502"/>
      <c r="R231" s="1034"/>
    </row>
  </sheetData>
  <sheetProtection algorithmName="SHA-512" hashValue="R5XdIhvyb9v18ZFQPxVHZ7LwPmBoz9thGFstoptYjlKShKrZf3PvnkGZz7m+AATBQ0EWaR16MOrMF2MF6bGD+A==" saltValue="z7Oj8ALL5z9Lo1QZ1upgr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6" t="s">
        <v>210</v>
      </c>
      <c r="D2" s="1506"/>
      <c r="E2" s="1506"/>
      <c r="F2" s="500"/>
      <c r="G2" s="172"/>
      <c r="H2" s="172"/>
      <c r="I2" s="172"/>
      <c r="J2" s="172"/>
      <c r="K2" s="172"/>
      <c r="L2" s="175"/>
    </row>
    <row r="3" spans="2:23" x14ac:dyDescent="0.25">
      <c r="B3" s="178"/>
      <c r="C3" s="1515" t="s">
        <v>1246</v>
      </c>
      <c r="D3" s="1516"/>
      <c r="E3" s="385">
        <f>Welcome!$D$8</f>
        <v>0</v>
      </c>
      <c r="F3" s="388"/>
      <c r="G3" s="472" t="s">
        <v>110</v>
      </c>
      <c r="H3" s="1511" t="str">
        <f>IFERROR(VLOOKUP($H$4,'Market Geography'!$D:$G,4,FALSE),"Select Market")</f>
        <v>Select Market</v>
      </c>
      <c r="I3" s="1511"/>
      <c r="J3" s="1511"/>
      <c r="K3" s="1512"/>
      <c r="L3" s="179"/>
    </row>
    <row r="4" spans="2:23" x14ac:dyDescent="0.25">
      <c r="B4" s="178"/>
      <c r="C4" s="1517" t="s">
        <v>1247</v>
      </c>
      <c r="D4" s="1518"/>
      <c r="E4" s="354" t="str">
        <f>Welcome!$D$12</f>
        <v>Select Term</v>
      </c>
      <c r="F4" s="501"/>
      <c r="G4" s="473" t="s">
        <v>881</v>
      </c>
      <c r="H4" s="1513">
        <f>Welcome!$D$4</f>
        <v>0</v>
      </c>
      <c r="I4" s="1513"/>
      <c r="J4" s="1513"/>
      <c r="K4" s="1514"/>
      <c r="L4" s="179"/>
    </row>
    <row r="5" spans="2:23" x14ac:dyDescent="0.25">
      <c r="B5" s="178"/>
      <c r="C5" s="1517" t="s">
        <v>1252</v>
      </c>
      <c r="D5" s="1518"/>
      <c r="E5" s="143">
        <f>'PIM Model'!$G$31</f>
        <v>0</v>
      </c>
      <c r="F5" s="502"/>
      <c r="G5" s="473" t="s">
        <v>107</v>
      </c>
      <c r="H5" s="1513" t="str">
        <f>'Multi-Customer'!$S$49</f>
        <v>Enter Customer(s)</v>
      </c>
      <c r="I5" s="1513"/>
      <c r="J5" s="1513"/>
      <c r="K5" s="1514"/>
      <c r="L5" s="179"/>
    </row>
    <row r="6" spans="2:23" x14ac:dyDescent="0.25">
      <c r="B6" s="178"/>
      <c r="C6" s="1517" t="s">
        <v>1253</v>
      </c>
      <c r="D6" s="1518"/>
      <c r="E6" s="144">
        <f>'PIM Model'!$E$6</f>
        <v>0</v>
      </c>
      <c r="F6" s="388"/>
      <c r="G6" s="473" t="s">
        <v>1262</v>
      </c>
      <c r="H6" s="1513" t="str">
        <f>IF('Multi-Customer'!$AH$40 = "MULTIPLE MENU TYPES","MULTIPLE TYPES",'Multi-Customer'!$AH$40)</f>
        <v>MULTIPLE TYPES</v>
      </c>
      <c r="I6" s="1513"/>
      <c r="J6" s="1513"/>
      <c r="K6" s="1514"/>
      <c r="L6" s="179"/>
      <c r="R6" s="503"/>
    </row>
    <row r="7" spans="2:23" ht="15.75" thickBot="1" x14ac:dyDescent="0.3">
      <c r="B7" s="178"/>
      <c r="C7" s="1522" t="s">
        <v>1254</v>
      </c>
      <c r="D7" s="1523"/>
      <c r="E7" s="386">
        <f>IFERROR('PIM Ranges'!$AU$3,0)</f>
        <v>0</v>
      </c>
      <c r="F7" s="177"/>
      <c r="G7" s="474" t="s">
        <v>1255</v>
      </c>
      <c r="H7" s="1520" t="s">
        <v>206</v>
      </c>
      <c r="I7" s="1520"/>
      <c r="J7" s="1520"/>
      <c r="K7" s="1521"/>
      <c r="L7" s="179"/>
      <c r="P7" s="177"/>
      <c r="Q7" s="153"/>
      <c r="R7" s="504"/>
      <c r="S7" s="134"/>
      <c r="T7" s="153"/>
      <c r="U7" s="177"/>
      <c r="V7" s="153"/>
      <c r="W7" s="177"/>
    </row>
    <row r="8" spans="2:23" ht="13.9" customHeight="1" x14ac:dyDescent="0.25">
      <c r="B8" s="178"/>
      <c r="D8" s="136"/>
      <c r="E8" s="1463"/>
      <c r="F8" s="146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09" t="s">
        <v>886</v>
      </c>
      <c r="J10" s="150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7" t="str">
        <f>IFERROR($E11/$E$5,"")</f>
        <v/>
      </c>
      <c r="J11" s="1507"/>
      <c r="K11" s="245"/>
      <c r="L11" s="179"/>
      <c r="R11" s="503"/>
    </row>
    <row r="12" spans="2:23" ht="36" customHeight="1" x14ac:dyDescent="0.25">
      <c r="B12" s="178"/>
      <c r="C12" s="244"/>
      <c r="D12" s="1524" t="s">
        <v>684</v>
      </c>
      <c r="E12" s="1524"/>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7" t="str">
        <f>IFERROR(E13/E5,"")</f>
        <v/>
      </c>
      <c r="J13" s="1507"/>
      <c r="K13" s="245"/>
      <c r="L13" s="179"/>
    </row>
    <row r="14" spans="2:23" s="771" customFormat="1" ht="36.6" customHeight="1" x14ac:dyDescent="0.25">
      <c r="B14" s="178"/>
      <c r="C14" s="244"/>
      <c r="D14" s="1524" t="s">
        <v>1167</v>
      </c>
      <c r="E14" s="152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7" t="str">
        <f>IFERROR($E15/$E$5,"")</f>
        <v/>
      </c>
      <c r="J15" s="1507"/>
      <c r="K15" s="245"/>
      <c r="L15" s="179"/>
    </row>
    <row r="16" spans="2:23" ht="26.45" customHeight="1" x14ac:dyDescent="0.25">
      <c r="B16" s="178"/>
      <c r="C16" s="244"/>
      <c r="D16" s="1519" t="s">
        <v>686</v>
      </c>
      <c r="E16" s="151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7" t="str">
        <f>IFERROR($E17/$E$5,"")</f>
        <v/>
      </c>
      <c r="J17" s="1507"/>
      <c r="K17" s="245"/>
      <c r="L17" s="179"/>
    </row>
    <row r="18" spans="2:12" ht="25.9" customHeight="1" x14ac:dyDescent="0.25">
      <c r="B18" s="178"/>
      <c r="C18" s="244"/>
      <c r="D18" s="1519" t="s">
        <v>685</v>
      </c>
      <c r="E18" s="152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08" t="str">
        <f>IFERROR($E19/$E$5,"")</f>
        <v/>
      </c>
      <c r="J19" s="150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7" t="str">
        <f>IFERROR($E23/$E$5,"")</f>
        <v/>
      </c>
      <c r="J23" s="1507"/>
      <c r="K23" s="245"/>
      <c r="L23" s="179"/>
    </row>
    <row r="24" spans="2:12" ht="16.149999999999999" customHeight="1" x14ac:dyDescent="0.25">
      <c r="B24" s="178"/>
      <c r="C24" s="244"/>
      <c r="D24" s="1510" t="s">
        <v>928</v>
      </c>
      <c r="E24" s="151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09" t="s">
        <v>886</v>
      </c>
      <c r="J28" s="1509"/>
      <c r="K28" s="245"/>
      <c r="L28" s="179"/>
    </row>
    <row r="29" spans="2:12" ht="25.15" customHeight="1" x14ac:dyDescent="0.25">
      <c r="B29" s="178"/>
      <c r="C29" s="244"/>
      <c r="D29" s="524" t="s">
        <v>221</v>
      </c>
      <c r="E29" s="525">
        <f>IFERROR('EB_CM (Back)'!$F$47,0)</f>
        <v>0</v>
      </c>
      <c r="F29" s="188"/>
      <c r="G29" s="512">
        <f>IFERROR(E29/'PIM Model'!$H$31,0)</f>
        <v>0</v>
      </c>
      <c r="H29" s="188"/>
      <c r="I29" s="1507" t="str">
        <f>IFERROR($E29/$E$5,"")</f>
        <v/>
      </c>
      <c r="J29" s="150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7" t="str">
        <f>IFERROR($E30/$E$5,"")</f>
        <v/>
      </c>
      <c r="J30" s="1507"/>
      <c r="K30" s="245"/>
      <c r="L30" s="179"/>
    </row>
    <row r="31" spans="2:12" ht="27.6" customHeight="1" x14ac:dyDescent="0.25">
      <c r="B31" s="178"/>
      <c r="C31" s="530"/>
      <c r="D31" s="1519" t="s">
        <v>230</v>
      </c>
      <c r="E31" s="1519"/>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19"/>
      <c r="E37" s="1519"/>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5" t="s">
        <v>1246</v>
      </c>
      <c r="D4" s="1516"/>
      <c r="E4" s="646">
        <f>Welcome!$D$8</f>
        <v>0</v>
      </c>
      <c r="F4" s="139"/>
      <c r="G4" s="472" t="s">
        <v>110</v>
      </c>
      <c r="H4" s="1450" t="str">
        <f>IFERROR(VLOOKUP($H$5,'Market Geography'!$D:$G,4,FALSE),"Select Market")</f>
        <v>Select Market</v>
      </c>
      <c r="I4" s="1451"/>
      <c r="J4" s="1452"/>
      <c r="K4" s="922"/>
      <c r="L4" s="922"/>
      <c r="M4" s="922"/>
      <c r="N4" s="922"/>
      <c r="O4" s="922"/>
      <c r="P4" s="796"/>
      <c r="Q4" s="798"/>
      <c r="R4" s="737"/>
      <c r="S4" s="536"/>
    </row>
    <row r="5" spans="1:31" x14ac:dyDescent="0.25">
      <c r="B5" s="178"/>
      <c r="C5" s="1517" t="s">
        <v>1247</v>
      </c>
      <c r="D5" s="1518"/>
      <c r="E5" s="354" t="str">
        <f>Welcome!$D$12</f>
        <v>Select Term</v>
      </c>
      <c r="F5" s="139"/>
      <c r="G5" s="473" t="s">
        <v>881</v>
      </c>
      <c r="H5" s="1447">
        <f>Welcome!$D$4</f>
        <v>0</v>
      </c>
      <c r="I5" s="1448"/>
      <c r="J5" s="1449"/>
      <c r="K5" s="922"/>
      <c r="L5" s="922"/>
      <c r="M5" s="922"/>
      <c r="N5" s="922"/>
      <c r="O5" s="922"/>
      <c r="P5" s="796"/>
      <c r="Q5" s="798"/>
      <c r="R5" s="737"/>
      <c r="S5" s="536"/>
    </row>
    <row r="6" spans="1:31" x14ac:dyDescent="0.25">
      <c r="B6" s="178"/>
      <c r="C6" s="1517" t="s">
        <v>1252</v>
      </c>
      <c r="D6" s="1518"/>
      <c r="E6" s="355">
        <f>IFERROR('PIM Model'!$G$31,0)</f>
        <v>0</v>
      </c>
      <c r="F6" s="387"/>
      <c r="G6" s="473" t="s">
        <v>107</v>
      </c>
      <c r="H6" s="1447" t="str">
        <f>'Multi-Customer'!$S$49</f>
        <v>Enter Customer(s)</v>
      </c>
      <c r="I6" s="1448"/>
      <c r="J6" s="1449"/>
      <c r="K6" s="922"/>
      <c r="L6" s="922"/>
      <c r="M6" s="922"/>
      <c r="N6" s="922"/>
      <c r="O6" s="922"/>
      <c r="P6" s="796"/>
      <c r="Q6" s="798"/>
      <c r="R6" s="737"/>
      <c r="S6" s="536"/>
    </row>
    <row r="7" spans="1:31" x14ac:dyDescent="0.25">
      <c r="B7" s="178"/>
      <c r="C7" s="1517" t="s">
        <v>1253</v>
      </c>
      <c r="D7" s="1518"/>
      <c r="E7" s="537">
        <f>IFERROR('Variable Costs (Back)'!$K$26,0)</f>
        <v>0</v>
      </c>
      <c r="F7" s="177"/>
      <c r="G7" s="473" t="s">
        <v>1262</v>
      </c>
      <c r="H7" s="1447" t="str">
        <f>'Multi-Customer'!$AH$40</f>
        <v>MULTIPLE TYPES</v>
      </c>
      <c r="I7" s="1448"/>
      <c r="J7" s="1449"/>
      <c r="K7" s="922"/>
      <c r="L7" s="922"/>
      <c r="M7" s="922"/>
      <c r="N7" s="922"/>
      <c r="O7" s="922"/>
      <c r="P7" s="796"/>
      <c r="Q7" s="798"/>
      <c r="R7" s="737"/>
      <c r="S7" s="536"/>
    </row>
    <row r="8" spans="1:31" ht="15.75" thickBot="1" x14ac:dyDescent="0.3">
      <c r="B8" s="178"/>
      <c r="C8" s="1522" t="s">
        <v>1254</v>
      </c>
      <c r="D8" s="1523"/>
      <c r="E8" s="386">
        <f>IFERROR('PIM Ranges'!$AU$3,0)</f>
        <v>0</v>
      </c>
      <c r="F8" s="388"/>
      <c r="G8" s="474" t="s">
        <v>1255</v>
      </c>
      <c r="H8" s="1526" t="s">
        <v>206</v>
      </c>
      <c r="I8" s="1527"/>
      <c r="J8" s="1528"/>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4" t="s">
        <v>1207</v>
      </c>
      <c r="R11" s="1534"/>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29" t="s">
        <v>1207</v>
      </c>
      <c r="R21" s="1530"/>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3" t="s">
        <v>230</v>
      </c>
      <c r="E33" s="1533"/>
      <c r="F33" s="1533"/>
      <c r="G33" s="1533"/>
      <c r="H33" s="555"/>
      <c r="I33" s="1532" t="str">
        <f>IF($J$34=0,IF($N$34=0,"","Customer EB % Missing"),IF($N$34=0,"Customer Drops/Wk Missing","Customer EB % &amp; Drops/Wk Missing"))</f>
        <v/>
      </c>
      <c r="J33" s="1532"/>
      <c r="K33" s="1532"/>
      <c r="L33" s="1532"/>
      <c r="M33" s="1532"/>
      <c r="N33" s="1532"/>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29" t="s">
        <v>1207</v>
      </c>
      <c r="R38" s="1530"/>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1"/>
      <c r="C42" s="1531"/>
      <c r="D42" s="1531"/>
      <c r="N42" s="1502"/>
      <c r="O42" s="1502"/>
      <c r="P42" s="1502"/>
      <c r="Q42" s="1502"/>
      <c r="R42" s="1502"/>
      <c r="S42" s="1502"/>
    </row>
    <row r="43" spans="2:20" x14ac:dyDescent="0.25">
      <c r="S43" s="562"/>
    </row>
  </sheetData>
  <sheetProtection algorithmName="SHA-512" hashValue="9VfSv2Sap7rwza3e3IZGvYicslfSoAfcsguwL630p/SrjatHdJauYZiDlhe2/K9aThYLNyFmwt8XK4fis4dOAg==" saltValue="VkWWldalpMEU6b7UhD0cJ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0" t="s">
        <v>649</v>
      </c>
      <c r="D2" s="1541"/>
      <c r="E2" s="1541"/>
      <c r="F2" s="1541"/>
      <c r="G2" s="1541"/>
      <c r="H2" s="1541"/>
      <c r="I2" s="1541"/>
      <c r="J2" s="1541"/>
      <c r="K2" s="1541"/>
      <c r="L2" s="1541"/>
      <c r="M2" s="1541"/>
      <c r="N2" s="1541"/>
      <c r="O2" s="1541"/>
      <c r="P2" s="1542"/>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3"/>
      <c r="G4" s="1543"/>
      <c r="P4" s="609"/>
      <c r="T4" s="1" t="s">
        <v>483</v>
      </c>
    </row>
    <row r="5" spans="3:23" x14ac:dyDescent="0.25">
      <c r="C5" s="137"/>
      <c r="E5" s="395"/>
      <c r="P5" s="138"/>
    </row>
    <row r="6" spans="3:23" x14ac:dyDescent="0.25">
      <c r="C6" s="137"/>
      <c r="E6" s="136" t="s">
        <v>1263</v>
      </c>
      <c r="F6" s="1543"/>
      <c r="G6" s="1543"/>
      <c r="P6" s="138"/>
    </row>
    <row r="7" spans="3:23" x14ac:dyDescent="0.25">
      <c r="C7" s="137"/>
      <c r="E7" s="136"/>
      <c r="P7" s="138"/>
    </row>
    <row r="8" spans="3:23" x14ac:dyDescent="0.25">
      <c r="C8" s="137"/>
      <c r="E8" s="136" t="s">
        <v>1264</v>
      </c>
      <c r="F8" s="1543"/>
      <c r="G8" s="1543"/>
      <c r="P8" s="138"/>
    </row>
    <row r="9" spans="3:23" x14ac:dyDescent="0.25">
      <c r="C9" s="137"/>
      <c r="E9" s="136" t="s">
        <v>1265</v>
      </c>
      <c r="F9" s="1543"/>
      <c r="G9" s="1543"/>
      <c r="P9" s="138"/>
    </row>
    <row r="10" spans="3:23" x14ac:dyDescent="0.25">
      <c r="C10" s="137"/>
      <c r="E10" s="136" t="s">
        <v>877</v>
      </c>
      <c r="F10" s="1543"/>
      <c r="G10" s="1543"/>
      <c r="P10" s="138"/>
    </row>
    <row r="11" spans="3:23" x14ac:dyDescent="0.25">
      <c r="C11" s="137"/>
      <c r="E11" s="136" t="s">
        <v>830</v>
      </c>
      <c r="F11" s="1543"/>
      <c r="G11" s="1543"/>
      <c r="P11" s="138"/>
    </row>
    <row r="12" spans="3:23" x14ac:dyDescent="0.25">
      <c r="C12" s="137"/>
      <c r="E12" s="136" t="s">
        <v>1266</v>
      </c>
      <c r="F12" s="1543"/>
      <c r="G12" s="1543"/>
      <c r="P12" s="138"/>
    </row>
    <row r="13" spans="3:23" x14ac:dyDescent="0.25">
      <c r="C13" s="137"/>
      <c r="E13" s="136"/>
      <c r="F13" s="1545"/>
      <c r="G13" s="1545"/>
      <c r="P13" s="138"/>
    </row>
    <row r="14" spans="3:23" x14ac:dyDescent="0.25">
      <c r="C14" s="137"/>
      <c r="E14" s="136" t="s">
        <v>1267</v>
      </c>
      <c r="F14" s="1544"/>
      <c r="G14" s="1544"/>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6" t="str">
        <f>IF(F14="","",F14+(364*IF(OR(Welcome!D12="Select Term",Welcome!D12=""),0,Welcome!D12))+6)</f>
        <v/>
      </c>
      <c r="G17" s="1546"/>
      <c r="O17" s="942"/>
      <c r="P17" s="138"/>
    </row>
    <row r="18" spans="1:17" ht="13.5" customHeight="1" x14ac:dyDescent="0.25">
      <c r="C18" s="137"/>
      <c r="P18" s="138"/>
    </row>
    <row r="19" spans="1:17" s="775" customFormat="1" ht="14.25" customHeight="1" x14ac:dyDescent="0.25">
      <c r="C19" s="137"/>
      <c r="E19" s="136" t="s">
        <v>1269</v>
      </c>
      <c r="F19" s="1538">
        <f>Welcome!D8</f>
        <v>0</v>
      </c>
      <c r="G19" s="1539"/>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5" t="s">
        <v>1566</v>
      </c>
      <c r="G44" s="1536"/>
      <c r="H44" s="1537"/>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DHnQvDXFg1Vm7E/ZshcB6Gutk2t+i33lz9LeusiKxWz3ztmkfWy6QN0scraSNUceTJydrwVhhKjQzreLv9sSHw==" saltValue="KnGwjWDgbZuTWJrnQ0fHB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8" t="s">
        <v>1289</v>
      </c>
      <c r="C2" s="1551"/>
      <c r="D2" s="1551"/>
      <c r="E2" s="1551"/>
      <c r="F2" s="1551"/>
      <c r="G2" s="1551"/>
      <c r="H2" s="1551"/>
      <c r="I2" s="1551"/>
      <c r="J2" s="1552"/>
      <c r="K2" s="906"/>
      <c r="L2" s="906"/>
      <c r="M2" s="1547" t="s">
        <v>1290</v>
      </c>
      <c r="N2" s="1547"/>
      <c r="O2" s="1547"/>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8" t="s">
        <v>1303</v>
      </c>
      <c r="C7" s="1549"/>
      <c r="D7" s="1549"/>
      <c r="E7" s="1549"/>
      <c r="F7" s="1549"/>
      <c r="G7" s="1549"/>
      <c r="H7" s="1549"/>
      <c r="I7" s="1550"/>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3" t="s">
        <v>1330</v>
      </c>
      <c r="C15" s="1554"/>
      <c r="D15" s="1554"/>
      <c r="E15" s="1554"/>
      <c r="F15" s="1554"/>
      <c r="G15" s="1554"/>
      <c r="H15" s="1554"/>
      <c r="I15" s="1555"/>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6" t="s">
        <v>1358</v>
      </c>
      <c r="C2" s="1557"/>
      <c r="D2" s="1557"/>
      <c r="E2" s="1557"/>
      <c r="F2" s="1557"/>
      <c r="G2" s="1557"/>
      <c r="H2" s="1557"/>
      <c r="I2" s="1557"/>
      <c r="J2" s="1557"/>
      <c r="K2" s="1557"/>
      <c r="L2" s="1557"/>
      <c r="M2" s="1557"/>
      <c r="N2" s="1558"/>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59" t="s">
        <v>1373</v>
      </c>
      <c r="C8" s="1557"/>
      <c r="D8" s="1557"/>
      <c r="E8" s="1557"/>
      <c r="F8" s="1557"/>
      <c r="G8" s="1557"/>
      <c r="H8" s="1557"/>
      <c r="I8" s="1557"/>
      <c r="J8" s="1557"/>
      <c r="K8" s="1557"/>
      <c r="L8" s="1557"/>
      <c r="M8" s="1557"/>
      <c r="N8" s="1558"/>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59" t="s">
        <v>1385</v>
      </c>
      <c r="C32" s="1560"/>
      <c r="D32" s="1560"/>
      <c r="E32" s="1560"/>
      <c r="F32" s="1560"/>
      <c r="G32" s="1560"/>
      <c r="H32" s="1560"/>
      <c r="I32" s="1560"/>
      <c r="J32" s="1560"/>
      <c r="K32" s="1560"/>
      <c r="L32" s="1560"/>
      <c r="M32" s="1560"/>
      <c r="N32" s="1561"/>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77"/>
      <c r="K1" s="1577"/>
      <c r="L1" s="1577"/>
      <c r="M1" s="1577"/>
      <c r="N1" s="1577"/>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65" t="s">
        <v>1587</v>
      </c>
      <c r="C3" s="1575"/>
      <c r="D3" s="1575"/>
      <c r="E3" s="1575"/>
      <c r="F3" s="1575"/>
      <c r="G3" s="1575"/>
      <c r="H3" s="1575"/>
      <c r="I3" s="1575"/>
      <c r="J3" s="1575"/>
      <c r="K3" s="1575"/>
      <c r="L3" s="1575"/>
      <c r="M3" s="1575"/>
      <c r="N3" s="1575"/>
      <c r="O3" s="1575"/>
      <c r="P3" s="1575"/>
      <c r="Q3" s="1575"/>
      <c r="R3" s="1575"/>
      <c r="S3" s="1575"/>
      <c r="T3" s="1575"/>
      <c r="U3" s="1576"/>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6" t="s">
        <v>1588</v>
      </c>
      <c r="E5" s="1567"/>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68">
        <v>1201</v>
      </c>
      <c r="E7" s="1569"/>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0" t="str">
        <f>AA3</f>
        <v/>
      </c>
      <c r="E9" s="1571"/>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0" t="str">
        <f>AB3</f>
        <v/>
      </c>
      <c r="E11" s="1571"/>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7" t="s">
        <v>651</v>
      </c>
      <c r="E13" s="1558"/>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68" t="s">
        <v>1600</v>
      </c>
      <c r="E15" s="1569"/>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65" t="s">
        <v>1601</v>
      </c>
      <c r="C17" s="1575"/>
      <c r="D17" s="1575"/>
      <c r="E17" s="1575"/>
      <c r="F17" s="1575"/>
      <c r="G17" s="1575"/>
      <c r="H17" s="1575"/>
      <c r="I17" s="1575"/>
      <c r="J17" s="1575"/>
      <c r="K17" s="1575"/>
      <c r="L17" s="1575"/>
      <c r="M17" s="1575"/>
      <c r="N17" s="1575"/>
      <c r="O17" s="1575"/>
      <c r="P17" s="1575"/>
      <c r="Q17" s="1575"/>
      <c r="R17" s="1575"/>
      <c r="S17" s="1575"/>
      <c r="T17" s="1575"/>
      <c r="U17" s="1576"/>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6" t="s">
        <v>1588</v>
      </c>
      <c r="E19" s="1567"/>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68">
        <v>1202</v>
      </c>
      <c r="E21" s="1569"/>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0" t="str">
        <f>AA4</f>
        <v/>
      </c>
      <c r="E23" s="1571"/>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0" t="str">
        <f>AB4</f>
        <v/>
      </c>
      <c r="E25" s="1571"/>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7" t="s">
        <v>651</v>
      </c>
      <c r="E27" s="1558"/>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68" t="s">
        <v>1600</v>
      </c>
      <c r="E29" s="1569"/>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65" t="s">
        <v>1602</v>
      </c>
      <c r="C31" s="1575"/>
      <c r="D31" s="1575"/>
      <c r="E31" s="1575"/>
      <c r="F31" s="1575"/>
      <c r="G31" s="1575"/>
      <c r="H31" s="1575"/>
      <c r="I31" s="1575"/>
      <c r="J31" s="1575"/>
      <c r="K31" s="1575"/>
      <c r="L31" s="1575"/>
      <c r="M31" s="1575"/>
      <c r="N31" s="1575"/>
      <c r="O31" s="1575"/>
      <c r="P31" s="1575"/>
      <c r="Q31" s="1575"/>
      <c r="R31" s="1575"/>
      <c r="S31" s="1575"/>
      <c r="T31" s="1575"/>
      <c r="U31" s="1576"/>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6" t="s">
        <v>1603</v>
      </c>
      <c r="E33" s="1567"/>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68">
        <v>1401</v>
      </c>
      <c r="E35" s="1569"/>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0" t="str">
        <f>AA5</f>
        <v/>
      </c>
      <c r="E37" s="1571"/>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0" t="str">
        <f>AB5</f>
        <v/>
      </c>
      <c r="E39" s="1571"/>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7" t="s">
        <v>651</v>
      </c>
      <c r="E41" s="1558"/>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68" t="s">
        <v>1600</v>
      </c>
      <c r="E43" s="1569"/>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65" t="s">
        <v>1614</v>
      </c>
      <c r="C45" s="1575"/>
      <c r="D45" s="1575"/>
      <c r="E45" s="1575"/>
      <c r="F45" s="1575"/>
      <c r="G45" s="1575"/>
      <c r="H45" s="1575"/>
      <c r="I45" s="1575"/>
      <c r="J45" s="1575"/>
      <c r="K45" s="1575"/>
      <c r="L45" s="1575"/>
      <c r="M45" s="1575"/>
      <c r="N45" s="1575"/>
      <c r="O45" s="1575"/>
      <c r="P45" s="1575"/>
      <c r="Q45" s="1575"/>
      <c r="R45" s="1575"/>
      <c r="S45" s="1575"/>
      <c r="T45" s="1575"/>
      <c r="U45" s="1576"/>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6" t="s">
        <v>1603</v>
      </c>
      <c r="E47" s="1567"/>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68">
        <v>1402</v>
      </c>
      <c r="E49" s="1569"/>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0" t="str">
        <f>AA6</f>
        <v/>
      </c>
      <c r="E51" s="1571"/>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0" t="str">
        <f>AB6</f>
        <v/>
      </c>
      <c r="E53" s="1571"/>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7" t="s">
        <v>651</v>
      </c>
      <c r="E55" s="1558"/>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68" t="s">
        <v>1600</v>
      </c>
      <c r="E57" s="1569"/>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65" t="s">
        <v>1615</v>
      </c>
      <c r="C59" s="1575"/>
      <c r="D59" s="1575"/>
      <c r="E59" s="1575"/>
      <c r="F59" s="1575"/>
      <c r="G59" s="1575"/>
      <c r="H59" s="1575"/>
      <c r="I59" s="1575"/>
      <c r="J59" s="1575"/>
      <c r="K59" s="1575"/>
      <c r="L59" s="1575"/>
      <c r="M59" s="1575"/>
      <c r="N59" s="1575"/>
      <c r="O59" s="1575"/>
      <c r="P59" s="1575"/>
      <c r="Q59" s="1575"/>
      <c r="R59" s="1575"/>
      <c r="S59" s="1575"/>
      <c r="T59" s="1575"/>
      <c r="U59" s="1576"/>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6" t="s">
        <v>1616</v>
      </c>
      <c r="E61" s="1567"/>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68">
        <v>1501</v>
      </c>
      <c r="E63" s="1569"/>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0" t="str">
        <f>AA7</f>
        <v/>
      </c>
      <c r="E65" s="1571"/>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0" t="str">
        <f>AB7</f>
        <v/>
      </c>
      <c r="E67" s="1571"/>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7" t="s">
        <v>651</v>
      </c>
      <c r="E71" s="1558"/>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68" t="s">
        <v>1600</v>
      </c>
      <c r="E73" s="1569"/>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65" t="s">
        <v>1617</v>
      </c>
      <c r="C75" s="1575"/>
      <c r="D75" s="1575"/>
      <c r="E75" s="1575"/>
      <c r="F75" s="1575"/>
      <c r="G75" s="1575"/>
      <c r="H75" s="1575"/>
      <c r="I75" s="1575"/>
      <c r="J75" s="1575"/>
      <c r="K75" s="1575"/>
      <c r="L75" s="1575"/>
      <c r="M75" s="1575"/>
      <c r="N75" s="1575"/>
      <c r="O75" s="1575"/>
      <c r="P75" s="1575"/>
      <c r="Q75" s="1575"/>
      <c r="R75" s="1575"/>
      <c r="S75" s="1575"/>
      <c r="T75" s="1575"/>
      <c r="U75" s="1576"/>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6" t="s">
        <v>1616</v>
      </c>
      <c r="E77" s="1567"/>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68">
        <v>1502</v>
      </c>
      <c r="E79" s="1569"/>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0" t="str">
        <f>AA8</f>
        <v/>
      </c>
      <c r="E81" s="1571"/>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0" t="str">
        <f>AB8</f>
        <v/>
      </c>
      <c r="E83" s="1571"/>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7" t="s">
        <v>651</v>
      </c>
      <c r="E87" s="1558"/>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68" t="s">
        <v>1600</v>
      </c>
      <c r="E89" s="1569"/>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65" t="s">
        <v>1618</v>
      </c>
      <c r="C91" s="1575"/>
      <c r="D91" s="1575"/>
      <c r="E91" s="1575"/>
      <c r="F91" s="1575"/>
      <c r="G91" s="1575"/>
      <c r="H91" s="1575"/>
      <c r="I91" s="1575"/>
      <c r="J91" s="1575"/>
      <c r="K91" s="1575"/>
      <c r="L91" s="1575"/>
      <c r="M91" s="1575"/>
      <c r="N91" s="1575"/>
      <c r="O91" s="1575"/>
      <c r="P91" s="1575"/>
      <c r="Q91" s="1575"/>
      <c r="R91" s="1575"/>
      <c r="S91" s="1575"/>
      <c r="T91" s="1575"/>
      <c r="U91" s="1576"/>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6" t="s">
        <v>1625</v>
      </c>
      <c r="E93" s="1567"/>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68">
        <v>5501</v>
      </c>
      <c r="E95" s="1569"/>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0" t="str">
        <f>AA9</f>
        <v/>
      </c>
      <c r="E97" s="1571"/>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0" t="str">
        <f>AB9</f>
        <v/>
      </c>
      <c r="E99" s="1571"/>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7" t="s">
        <v>651</v>
      </c>
      <c r="E101" s="1558"/>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68" t="s">
        <v>1628</v>
      </c>
      <c r="E103" s="1550"/>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65" t="s">
        <v>1629</v>
      </c>
      <c r="C105" s="1549"/>
      <c r="D105" s="1549"/>
      <c r="E105" s="1549"/>
      <c r="F105" s="1549"/>
      <c r="G105" s="1549"/>
      <c r="H105" s="1549"/>
      <c r="I105" s="1549"/>
      <c r="J105" s="1549"/>
      <c r="K105" s="1549"/>
      <c r="L105" s="1549"/>
      <c r="M105" s="1549"/>
      <c r="N105" s="1549"/>
      <c r="O105" s="1549"/>
      <c r="P105" s="1549"/>
      <c r="Q105" s="1549"/>
      <c r="R105" s="1549"/>
      <c r="S105" s="1549"/>
      <c r="T105" s="1549"/>
      <c r="U105" s="1550"/>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6" t="s">
        <v>1625</v>
      </c>
      <c r="E107" s="1567"/>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68">
        <v>5502</v>
      </c>
      <c r="E109" s="1569"/>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0" t="str">
        <f>AA10</f>
        <v/>
      </c>
      <c r="E111" s="1571"/>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0" t="str">
        <f>AB10</f>
        <v/>
      </c>
      <c r="E113" s="1571"/>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7" t="s">
        <v>651</v>
      </c>
      <c r="E115" s="1558"/>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68" t="s">
        <v>1628</v>
      </c>
      <c r="E117" s="1550"/>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65" t="s">
        <v>1630</v>
      </c>
      <c r="C119" s="1549"/>
      <c r="D119" s="1549"/>
      <c r="E119" s="1549"/>
      <c r="F119" s="1549"/>
      <c r="G119" s="1549"/>
      <c r="H119" s="1549"/>
      <c r="I119" s="1549"/>
      <c r="J119" s="1549"/>
      <c r="K119" s="1549"/>
      <c r="L119" s="1549"/>
      <c r="M119" s="1549"/>
      <c r="N119" s="1549"/>
      <c r="O119" s="1549"/>
      <c r="P119" s="1549"/>
      <c r="Q119" s="1549"/>
      <c r="R119" s="1549"/>
      <c r="S119" s="1549"/>
      <c r="T119" s="1549"/>
      <c r="U119" s="1550"/>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6" t="s">
        <v>1626</v>
      </c>
      <c r="E121" s="1567"/>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68">
        <v>2801</v>
      </c>
      <c r="E123" s="1569"/>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0" t="str">
        <f>AA11</f>
        <v/>
      </c>
      <c r="E125" s="1571"/>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0" t="str">
        <f>AB11</f>
        <v/>
      </c>
      <c r="E127" s="1571"/>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7" t="s">
        <v>651</v>
      </c>
      <c r="E131" s="1558"/>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68" t="s">
        <v>1628</v>
      </c>
      <c r="E133" s="1550"/>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65" t="s">
        <v>1631</v>
      </c>
      <c r="C135" s="1549"/>
      <c r="D135" s="1549"/>
      <c r="E135" s="1549"/>
      <c r="F135" s="1549"/>
      <c r="G135" s="1549"/>
      <c r="H135" s="1549"/>
      <c r="I135" s="1549"/>
      <c r="J135" s="1549"/>
      <c r="K135" s="1549"/>
      <c r="L135" s="1549"/>
      <c r="M135" s="1549"/>
      <c r="N135" s="1549"/>
      <c r="O135" s="1549"/>
      <c r="P135" s="1549"/>
      <c r="Q135" s="1549"/>
      <c r="R135" s="1549"/>
      <c r="S135" s="1549"/>
      <c r="T135" s="1549"/>
      <c r="U135" s="1550"/>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6" t="s">
        <v>1626</v>
      </c>
      <c r="E137" s="1567"/>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68">
        <v>2802</v>
      </c>
      <c r="E139" s="1569"/>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0" t="str">
        <f>AA12</f>
        <v/>
      </c>
      <c r="E141" s="1571"/>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0" t="str">
        <f>AB12</f>
        <v/>
      </c>
      <c r="E143" s="1571"/>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7" t="s">
        <v>651</v>
      </c>
      <c r="E147" s="1558"/>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68" t="s">
        <v>1628</v>
      </c>
      <c r="E149" s="1550"/>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65" t="s">
        <v>1632</v>
      </c>
      <c r="C151" s="1549"/>
      <c r="D151" s="1549"/>
      <c r="E151" s="1549"/>
      <c r="F151" s="1549"/>
      <c r="G151" s="1549"/>
      <c r="H151" s="1549"/>
      <c r="I151" s="1549"/>
      <c r="J151" s="1549"/>
      <c r="K151" s="1549"/>
      <c r="L151" s="1549"/>
      <c r="M151" s="1549"/>
      <c r="N151" s="1549"/>
      <c r="O151" s="1549"/>
      <c r="P151" s="1549"/>
      <c r="Q151" s="1549"/>
      <c r="R151" s="1549"/>
      <c r="S151" s="1549"/>
      <c r="T151" s="1549"/>
      <c r="U151" s="1550"/>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6" t="s">
        <v>1633</v>
      </c>
      <c r="E153" s="1567"/>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68">
        <v>3401</v>
      </c>
      <c r="E155" s="1569"/>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0" t="str">
        <f>AA13</f>
        <v/>
      </c>
      <c r="E157" s="1571"/>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0" t="str">
        <f>AB13</f>
        <v/>
      </c>
      <c r="E159" s="1571"/>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7" t="s">
        <v>651</v>
      </c>
      <c r="E161" s="1558"/>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68" t="s">
        <v>1634</v>
      </c>
      <c r="E163" s="1550"/>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65" t="s">
        <v>1635</v>
      </c>
      <c r="C165" s="1549"/>
      <c r="D165" s="1549"/>
      <c r="E165" s="1549"/>
      <c r="F165" s="1549"/>
      <c r="G165" s="1549"/>
      <c r="H165" s="1549"/>
      <c r="I165" s="1549"/>
      <c r="J165" s="1549"/>
      <c r="K165" s="1549"/>
      <c r="L165" s="1549"/>
      <c r="M165" s="1549"/>
      <c r="N165" s="1549"/>
      <c r="O165" s="1549"/>
      <c r="P165" s="1549"/>
      <c r="Q165" s="1549"/>
      <c r="R165" s="1549"/>
      <c r="S165" s="1549"/>
      <c r="T165" s="1549"/>
      <c r="U165" s="1550"/>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6" t="s">
        <v>1633</v>
      </c>
      <c r="E167" s="1567"/>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68">
        <v>3402</v>
      </c>
      <c r="E169" s="1569"/>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0" t="str">
        <f>AA14</f>
        <v/>
      </c>
      <c r="E171" s="1571"/>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0" t="str">
        <f>AB14</f>
        <v/>
      </c>
      <c r="E173" s="1571"/>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7" t="s">
        <v>651</v>
      </c>
      <c r="E175" s="1558"/>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68" t="s">
        <v>1634</v>
      </c>
      <c r="E177" s="1550"/>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65" t="s">
        <v>1636</v>
      </c>
      <c r="C179" s="1549"/>
      <c r="D179" s="1549"/>
      <c r="E179" s="1549"/>
      <c r="F179" s="1549"/>
      <c r="G179" s="1549"/>
      <c r="H179" s="1549"/>
      <c r="I179" s="1549"/>
      <c r="J179" s="1549"/>
      <c r="K179" s="1549"/>
      <c r="L179" s="1549"/>
      <c r="M179" s="1549"/>
      <c r="N179" s="1549"/>
      <c r="O179" s="1549"/>
      <c r="P179" s="1549"/>
      <c r="Q179" s="1549"/>
      <c r="R179" s="1549"/>
      <c r="S179" s="1549"/>
      <c r="T179" s="1549"/>
      <c r="U179" s="1550"/>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6" t="s">
        <v>1637</v>
      </c>
      <c r="E181" s="1567"/>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68">
        <v>3501</v>
      </c>
      <c r="E183" s="1569"/>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0" t="str">
        <f>AA15</f>
        <v/>
      </c>
      <c r="E185" s="1571"/>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0" t="str">
        <f>AB15</f>
        <v/>
      </c>
      <c r="E187" s="1571"/>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7" t="s">
        <v>651</v>
      </c>
      <c r="E189" s="1558"/>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68" t="s">
        <v>1634</v>
      </c>
      <c r="E191" s="1550"/>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65" t="s">
        <v>1638</v>
      </c>
      <c r="C193" s="1549"/>
      <c r="D193" s="1549"/>
      <c r="E193" s="1549"/>
      <c r="F193" s="1549"/>
      <c r="G193" s="1549"/>
      <c r="H193" s="1549"/>
      <c r="I193" s="1549"/>
      <c r="J193" s="1549"/>
      <c r="K193" s="1549"/>
      <c r="L193" s="1549"/>
      <c r="M193" s="1549"/>
      <c r="N193" s="1549"/>
      <c r="O193" s="1549"/>
      <c r="P193" s="1549"/>
      <c r="Q193" s="1549"/>
      <c r="R193" s="1549"/>
      <c r="S193" s="1549"/>
      <c r="T193" s="1549"/>
      <c r="U193" s="1550"/>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6" t="s">
        <v>1637</v>
      </c>
      <c r="E195" s="1567"/>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68">
        <v>3502</v>
      </c>
      <c r="E197" s="1569"/>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0" t="str">
        <f>AA16</f>
        <v/>
      </c>
      <c r="E199" s="1571"/>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0" t="str">
        <f>AB16</f>
        <v/>
      </c>
      <c r="E201" s="1571"/>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7" t="s">
        <v>651</v>
      </c>
      <c r="E203" s="1558"/>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68" t="s">
        <v>1634</v>
      </c>
      <c r="E205" s="1550"/>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65" t="s">
        <v>1639</v>
      </c>
      <c r="C207" s="1549"/>
      <c r="D207" s="1549"/>
      <c r="E207" s="1549"/>
      <c r="F207" s="1549"/>
      <c r="G207" s="1549"/>
      <c r="H207" s="1549"/>
      <c r="I207" s="1549"/>
      <c r="J207" s="1549"/>
      <c r="K207" s="1549"/>
      <c r="L207" s="1549"/>
      <c r="M207" s="1549"/>
      <c r="N207" s="1549"/>
      <c r="O207" s="1549"/>
      <c r="P207" s="1549"/>
      <c r="Q207" s="1549"/>
      <c r="R207" s="1549"/>
      <c r="S207" s="1549"/>
      <c r="T207" s="1549"/>
      <c r="U207" s="1550"/>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6" t="s">
        <v>1640</v>
      </c>
      <c r="E209" s="1567"/>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68">
        <v>3601</v>
      </c>
      <c r="E211" s="1569"/>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0" t="str">
        <f>AA17</f>
        <v/>
      </c>
      <c r="E213" s="1571"/>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0" t="str">
        <f>AB17</f>
        <v/>
      </c>
      <c r="E215" s="1571"/>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7" t="s">
        <v>651</v>
      </c>
      <c r="E219" s="1558"/>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68" t="s">
        <v>1634</v>
      </c>
      <c r="E221" s="1550"/>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65" t="s">
        <v>1641</v>
      </c>
      <c r="C223" s="1549"/>
      <c r="D223" s="1549"/>
      <c r="E223" s="1549"/>
      <c r="F223" s="1549"/>
      <c r="G223" s="1549"/>
      <c r="H223" s="1549"/>
      <c r="I223" s="1549"/>
      <c r="J223" s="1549"/>
      <c r="K223" s="1549"/>
      <c r="L223" s="1549"/>
      <c r="M223" s="1549"/>
      <c r="N223" s="1549"/>
      <c r="O223" s="1549"/>
      <c r="P223" s="1549"/>
      <c r="Q223" s="1549"/>
      <c r="R223" s="1549"/>
      <c r="S223" s="1549"/>
      <c r="T223" s="1549"/>
      <c r="U223" s="1550"/>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6" t="s">
        <v>1640</v>
      </c>
      <c r="E225" s="1567"/>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68">
        <v>3602</v>
      </c>
      <c r="E227" s="1569"/>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0" t="str">
        <f>AA18</f>
        <v/>
      </c>
      <c r="E229" s="1571"/>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0" t="str">
        <f>AB18</f>
        <v/>
      </c>
      <c r="E231" s="1571"/>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7" t="s">
        <v>651</v>
      </c>
      <c r="E235" s="1558"/>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68" t="s">
        <v>1634</v>
      </c>
      <c r="E237" s="1550"/>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72" t="s">
        <v>1783</v>
      </c>
      <c r="C239" s="1573"/>
      <c r="D239" s="1573"/>
      <c r="E239" s="1573"/>
      <c r="F239" s="1573"/>
      <c r="G239" s="1573"/>
      <c r="H239" s="1573"/>
      <c r="I239" s="1573"/>
      <c r="J239" s="1573"/>
      <c r="K239" s="1573"/>
      <c r="L239" s="1573"/>
      <c r="M239" s="1573"/>
      <c r="N239" s="1573"/>
      <c r="O239" s="1573"/>
      <c r="P239" s="1573"/>
      <c r="Q239" s="1573"/>
      <c r="R239" s="1573"/>
      <c r="S239" s="1573"/>
      <c r="T239" s="1573"/>
      <c r="U239" s="1574"/>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6" t="s">
        <v>1642</v>
      </c>
      <c r="E241" s="1567"/>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68">
        <v>1301</v>
      </c>
      <c r="E243" s="1569"/>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0" t="str">
        <f>AA19</f>
        <v/>
      </c>
      <c r="E245" s="1571"/>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0" t="str">
        <f>AB19</f>
        <v/>
      </c>
      <c r="E247" s="1571"/>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7" t="s">
        <v>651</v>
      </c>
      <c r="E249" s="1558"/>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68" t="s">
        <v>1600</v>
      </c>
      <c r="E251" s="1550"/>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72" t="s">
        <v>1782</v>
      </c>
      <c r="C253" s="1573"/>
      <c r="D253" s="1573"/>
      <c r="E253" s="1573"/>
      <c r="F253" s="1573"/>
      <c r="G253" s="1573"/>
      <c r="H253" s="1573"/>
      <c r="I253" s="1573"/>
      <c r="J253" s="1573"/>
      <c r="K253" s="1573"/>
      <c r="L253" s="1573"/>
      <c r="M253" s="1573"/>
      <c r="N253" s="1573"/>
      <c r="O253" s="1573"/>
      <c r="P253" s="1573"/>
      <c r="Q253" s="1573"/>
      <c r="R253" s="1573"/>
      <c r="S253" s="1573"/>
      <c r="T253" s="1573"/>
      <c r="U253" s="1574"/>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6" t="s">
        <v>1642</v>
      </c>
      <c r="E255" s="1567"/>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68">
        <v>1302</v>
      </c>
      <c r="E257" s="1569"/>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0" t="str">
        <f>AA20</f>
        <v/>
      </c>
      <c r="E259" s="1571"/>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0" t="str">
        <f>AB20</f>
        <v/>
      </c>
      <c r="E261" s="1571"/>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7" t="s">
        <v>651</v>
      </c>
      <c r="E263" s="1558"/>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68" t="s">
        <v>1600</v>
      </c>
      <c r="E265" s="1550"/>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72" t="s">
        <v>1784</v>
      </c>
      <c r="C267" s="1573"/>
      <c r="D267" s="1573"/>
      <c r="E267" s="1573"/>
      <c r="F267" s="1573"/>
      <c r="G267" s="1573"/>
      <c r="H267" s="1573"/>
      <c r="I267" s="1573"/>
      <c r="J267" s="1573"/>
      <c r="K267" s="1573"/>
      <c r="L267" s="1573"/>
      <c r="M267" s="1573"/>
      <c r="N267" s="1573"/>
      <c r="O267" s="1573"/>
      <c r="P267" s="1573"/>
      <c r="Q267" s="1573"/>
      <c r="R267" s="1573"/>
      <c r="S267" s="1573"/>
      <c r="T267" s="1573"/>
      <c r="U267" s="1574"/>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6" t="s">
        <v>1642</v>
      </c>
      <c r="E269" s="1567"/>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68">
        <v>1303</v>
      </c>
      <c r="E271" s="1569"/>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0" t="str">
        <f>AA21</f>
        <v/>
      </c>
      <c r="E273" s="1571"/>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0" t="str">
        <f>AB21</f>
        <v/>
      </c>
      <c r="E275" s="1571"/>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7" t="s">
        <v>651</v>
      </c>
      <c r="E277" s="1558"/>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68" t="s">
        <v>1600</v>
      </c>
      <c r="E279" s="1550"/>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72" t="s">
        <v>1785</v>
      </c>
      <c r="C281" s="1573"/>
      <c r="D281" s="1573"/>
      <c r="E281" s="1573"/>
      <c r="F281" s="1573"/>
      <c r="G281" s="1573"/>
      <c r="H281" s="1573"/>
      <c r="I281" s="1573"/>
      <c r="J281" s="1573"/>
      <c r="K281" s="1573"/>
      <c r="L281" s="1573"/>
      <c r="M281" s="1573"/>
      <c r="N281" s="1573"/>
      <c r="O281" s="1573"/>
      <c r="P281" s="1573"/>
      <c r="Q281" s="1573"/>
      <c r="R281" s="1573"/>
      <c r="S281" s="1573"/>
      <c r="T281" s="1573"/>
      <c r="U281" s="1574"/>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6" t="s">
        <v>1642</v>
      </c>
      <c r="E283" s="1567"/>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68">
        <v>1304</v>
      </c>
      <c r="E285" s="1569"/>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0" t="str">
        <f>AA22</f>
        <v/>
      </c>
      <c r="E287" s="1571"/>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0" t="str">
        <f>AB22</f>
        <v/>
      </c>
      <c r="E289" s="1571"/>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7" t="s">
        <v>651</v>
      </c>
      <c r="E291" s="1558"/>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68" t="s">
        <v>1600</v>
      </c>
      <c r="E293" s="1550"/>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72" t="s">
        <v>1786</v>
      </c>
      <c r="C295" s="1573"/>
      <c r="D295" s="1573"/>
      <c r="E295" s="1573"/>
      <c r="F295" s="1573"/>
      <c r="G295" s="1573"/>
      <c r="H295" s="1573"/>
      <c r="I295" s="1573"/>
      <c r="J295" s="1573"/>
      <c r="K295" s="1573"/>
      <c r="L295" s="1573"/>
      <c r="M295" s="1573"/>
      <c r="N295" s="1573"/>
      <c r="O295" s="1573"/>
      <c r="P295" s="1573"/>
      <c r="Q295" s="1573"/>
      <c r="R295" s="1573"/>
      <c r="S295" s="1573"/>
      <c r="T295" s="1573"/>
      <c r="U295" s="1574"/>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6" t="s">
        <v>1642</v>
      </c>
      <c r="E297" s="1567"/>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68">
        <v>1305</v>
      </c>
      <c r="E299" s="1569"/>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0" t="str">
        <f>AA23</f>
        <v/>
      </c>
      <c r="E301" s="1571"/>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0" t="str">
        <f>AB23</f>
        <v/>
      </c>
      <c r="E303" s="1571"/>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7" t="s">
        <v>651</v>
      </c>
      <c r="E305" s="1558"/>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68" t="s">
        <v>1600</v>
      </c>
      <c r="E307" s="1550"/>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65" t="s">
        <v>1645</v>
      </c>
      <c r="C309" s="1549"/>
      <c r="D309" s="1549"/>
      <c r="E309" s="1549"/>
      <c r="F309" s="1549"/>
      <c r="G309" s="1549"/>
      <c r="H309" s="1549"/>
      <c r="I309" s="1549"/>
      <c r="J309" s="1549"/>
      <c r="K309" s="1549"/>
      <c r="L309" s="1549"/>
      <c r="M309" s="1549"/>
      <c r="N309" s="1549"/>
      <c r="O309" s="1549"/>
      <c r="P309" s="1549"/>
      <c r="Q309" s="1549"/>
      <c r="R309" s="1549"/>
      <c r="S309" s="1549"/>
      <c r="T309" s="1549"/>
      <c r="U309" s="1550"/>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6" t="s">
        <v>1643</v>
      </c>
      <c r="E311" s="1567"/>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68">
        <v>4001</v>
      </c>
      <c r="E313" s="1569"/>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0" t="str">
        <f>AA24</f>
        <v/>
      </c>
      <c r="E315" s="1571"/>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0" t="str">
        <f>AB24</f>
        <v/>
      </c>
      <c r="E317" s="1571"/>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7" t="s">
        <v>651</v>
      </c>
      <c r="E319" s="1558"/>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68" t="s">
        <v>1600</v>
      </c>
      <c r="E321" s="1550"/>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72" t="s">
        <v>1806</v>
      </c>
      <c r="C323" s="1573"/>
      <c r="D323" s="1573"/>
      <c r="E323" s="1573"/>
      <c r="F323" s="1573"/>
      <c r="G323" s="1573"/>
      <c r="H323" s="1573"/>
      <c r="I323" s="1573"/>
      <c r="J323" s="1573"/>
      <c r="K323" s="1573"/>
      <c r="L323" s="1573"/>
      <c r="M323" s="1573"/>
      <c r="N323" s="1573"/>
      <c r="O323" s="1573"/>
      <c r="P323" s="1573"/>
      <c r="Q323" s="1573"/>
      <c r="R323" s="1573"/>
      <c r="S323" s="1573"/>
      <c r="T323" s="1573"/>
      <c r="U323" s="1574"/>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78" t="s">
        <v>1703</v>
      </c>
      <c r="E325" s="1579"/>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80">
        <v>4601</v>
      </c>
      <c r="E327" s="1581"/>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0" t="str">
        <f>AA25</f>
        <v/>
      </c>
      <c r="E329" s="1571"/>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0" t="str">
        <f>AB25</f>
        <v/>
      </c>
      <c r="E331" s="1571"/>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7" t="s">
        <v>651</v>
      </c>
      <c r="E333" s="1558"/>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80" t="s">
        <v>1709</v>
      </c>
      <c r="E335" s="1574"/>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72" t="s">
        <v>1807</v>
      </c>
      <c r="C337" s="1573"/>
      <c r="D337" s="1573"/>
      <c r="E337" s="1573"/>
      <c r="F337" s="1573"/>
      <c r="G337" s="1573"/>
      <c r="H337" s="1573"/>
      <c r="I337" s="1573"/>
      <c r="J337" s="1573"/>
      <c r="K337" s="1573"/>
      <c r="L337" s="1573"/>
      <c r="M337" s="1573"/>
      <c r="N337" s="1573"/>
      <c r="O337" s="1573"/>
      <c r="P337" s="1573"/>
      <c r="Q337" s="1573"/>
      <c r="R337" s="1573"/>
      <c r="S337" s="1573"/>
      <c r="T337" s="1573"/>
      <c r="U337" s="1574"/>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78" t="s">
        <v>1703</v>
      </c>
      <c r="E339" s="1579"/>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80">
        <v>4602</v>
      </c>
      <c r="E341" s="1581"/>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0" t="str">
        <f>AA26</f>
        <v/>
      </c>
      <c r="E343" s="1571"/>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0" t="str">
        <f>AB26</f>
        <v/>
      </c>
      <c r="E345" s="1571"/>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7" t="s">
        <v>651</v>
      </c>
      <c r="E347" s="1558"/>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80" t="s">
        <v>1709</v>
      </c>
      <c r="E349" s="1574"/>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82" t="s">
        <v>1890</v>
      </c>
      <c r="C351" s="1583"/>
      <c r="D351" s="1583"/>
      <c r="E351" s="1583"/>
      <c r="F351" s="1583"/>
      <c r="G351" s="1583"/>
      <c r="H351" s="1583"/>
      <c r="I351" s="1583"/>
      <c r="J351" s="1583"/>
      <c r="K351" s="1583"/>
      <c r="L351" s="1583"/>
      <c r="M351" s="1583"/>
      <c r="N351" s="1583"/>
      <c r="O351" s="1583"/>
      <c r="P351" s="1583"/>
      <c r="Q351" s="1583"/>
      <c r="R351" s="1583"/>
      <c r="S351" s="1583"/>
      <c r="T351" s="1583"/>
      <c r="U351" s="1584"/>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78" t="s">
        <v>1733</v>
      </c>
      <c r="E353" s="1579"/>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80">
        <v>4901</v>
      </c>
      <c r="E355" s="1581"/>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0" t="str">
        <f>AA27</f>
        <v/>
      </c>
      <c r="E357" s="1571"/>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0" t="str">
        <f>AB27</f>
        <v/>
      </c>
      <c r="E359" s="1571"/>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7" t="s">
        <v>651</v>
      </c>
      <c r="E361" s="1558"/>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80" t="s">
        <v>1709</v>
      </c>
      <c r="E363" s="1574"/>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72" t="s">
        <v>1710</v>
      </c>
      <c r="C365" s="1573"/>
      <c r="D365" s="1573"/>
      <c r="E365" s="1573"/>
      <c r="F365" s="1573"/>
      <c r="G365" s="1573"/>
      <c r="H365" s="1573"/>
      <c r="I365" s="1573"/>
      <c r="J365" s="1573"/>
      <c r="K365" s="1573"/>
      <c r="L365" s="1573"/>
      <c r="M365" s="1573"/>
      <c r="N365" s="1573"/>
      <c r="O365" s="1573"/>
      <c r="P365" s="1573"/>
      <c r="Q365" s="1573"/>
      <c r="R365" s="1573"/>
      <c r="S365" s="1573"/>
      <c r="T365" s="1573"/>
      <c r="U365" s="1574"/>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78" t="s">
        <v>1711</v>
      </c>
      <c r="E367" s="1579"/>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80">
        <v>5001</v>
      </c>
      <c r="E369" s="1581"/>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0" t="str">
        <f>AA28</f>
        <v/>
      </c>
      <c r="E371" s="1571"/>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0" t="str">
        <f>AB28</f>
        <v/>
      </c>
      <c r="E373" s="1571"/>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7" t="s">
        <v>651</v>
      </c>
      <c r="E375" s="1558"/>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80" t="s">
        <v>1600</v>
      </c>
      <c r="E377" s="1574"/>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72" t="s">
        <v>1712</v>
      </c>
      <c r="C379" s="1573"/>
      <c r="D379" s="1573"/>
      <c r="E379" s="1573"/>
      <c r="F379" s="1573"/>
      <c r="G379" s="1573"/>
      <c r="H379" s="1573"/>
      <c r="I379" s="1573"/>
      <c r="J379" s="1573"/>
      <c r="K379" s="1573"/>
      <c r="L379" s="1573"/>
      <c r="M379" s="1573"/>
      <c r="N379" s="1573"/>
      <c r="O379" s="1573"/>
      <c r="P379" s="1573"/>
      <c r="Q379" s="1573"/>
      <c r="R379" s="1573"/>
      <c r="S379" s="1573"/>
      <c r="T379" s="1573"/>
      <c r="U379" s="1574"/>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6" t="s">
        <v>1210</v>
      </c>
      <c r="E381" s="1567"/>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68">
        <v>801</v>
      </c>
      <c r="E383" s="1569"/>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0" t="str">
        <f>AA29</f>
        <v/>
      </c>
      <c r="E385" s="1571"/>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0" t="str">
        <f>AB29</f>
        <v/>
      </c>
      <c r="E387" s="1571"/>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7" t="s">
        <v>651</v>
      </c>
      <c r="E389" s="1558"/>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68" t="s">
        <v>1709</v>
      </c>
      <c r="E391" s="1550"/>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65" t="s">
        <v>1714</v>
      </c>
      <c r="C393" s="1549"/>
      <c r="D393" s="1549"/>
      <c r="E393" s="1549"/>
      <c r="F393" s="1549"/>
      <c r="G393" s="1549"/>
      <c r="H393" s="1549"/>
      <c r="I393" s="1549"/>
      <c r="J393" s="1549"/>
      <c r="K393" s="1549"/>
      <c r="L393" s="1549"/>
      <c r="M393" s="1549"/>
      <c r="N393" s="1549"/>
      <c r="O393" s="1549"/>
      <c r="P393" s="1549"/>
      <c r="Q393" s="1549"/>
      <c r="R393" s="1549"/>
      <c r="S393" s="1549"/>
      <c r="T393" s="1549"/>
      <c r="U393" s="1550"/>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6" t="s">
        <v>1715</v>
      </c>
      <c r="E395" s="1567"/>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68">
        <v>901</v>
      </c>
      <c r="E397" s="1569"/>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0" t="str">
        <f>AA30</f>
        <v/>
      </c>
      <c r="E399" s="1571"/>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0" t="str">
        <f>AB30</f>
        <v/>
      </c>
      <c r="E401" s="1571"/>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7" t="s">
        <v>651</v>
      </c>
      <c r="E403" s="1558"/>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68" t="s">
        <v>1709</v>
      </c>
      <c r="E405" s="1550"/>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65" t="s">
        <v>1716</v>
      </c>
      <c r="C407" s="1549"/>
      <c r="D407" s="1549"/>
      <c r="E407" s="1549"/>
      <c r="F407" s="1549"/>
      <c r="G407" s="1549"/>
      <c r="H407" s="1549"/>
      <c r="I407" s="1549"/>
      <c r="J407" s="1549"/>
      <c r="K407" s="1549"/>
      <c r="L407" s="1549"/>
      <c r="M407" s="1549"/>
      <c r="N407" s="1549"/>
      <c r="O407" s="1549"/>
      <c r="P407" s="1549"/>
      <c r="Q407" s="1549"/>
      <c r="R407" s="1549"/>
      <c r="S407" s="1549"/>
      <c r="T407" s="1549"/>
      <c r="U407" s="1550"/>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6" t="s">
        <v>1717</v>
      </c>
      <c r="E409" s="1567"/>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68">
        <v>501</v>
      </c>
      <c r="E411" s="1569"/>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0" t="str">
        <f>AA31</f>
        <v/>
      </c>
      <c r="E413" s="1571"/>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0" t="str">
        <f>AB31</f>
        <v/>
      </c>
      <c r="E415" s="1571"/>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7" t="s">
        <v>651</v>
      </c>
      <c r="E417" s="1558"/>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68" t="s">
        <v>1709</v>
      </c>
      <c r="E419" s="1550"/>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65" t="s">
        <v>1718</v>
      </c>
      <c r="C421" s="1549"/>
      <c r="D421" s="1549"/>
      <c r="E421" s="1549"/>
      <c r="F421" s="1549"/>
      <c r="G421" s="1549"/>
      <c r="H421" s="1549"/>
      <c r="I421" s="1549"/>
      <c r="J421" s="1549"/>
      <c r="K421" s="1549"/>
      <c r="L421" s="1549"/>
      <c r="M421" s="1549"/>
      <c r="N421" s="1549"/>
      <c r="O421" s="1549"/>
      <c r="P421" s="1549"/>
      <c r="Q421" s="1549"/>
      <c r="R421" s="1549"/>
      <c r="S421" s="1549"/>
      <c r="T421" s="1549"/>
      <c r="U421" s="1550"/>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6" t="s">
        <v>1717</v>
      </c>
      <c r="E423" s="1567"/>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85">
        <v>502</v>
      </c>
      <c r="E425" s="1569"/>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0" t="str">
        <f>AA32</f>
        <v/>
      </c>
      <c r="E427" s="1571"/>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0" t="str">
        <f>AB32</f>
        <v/>
      </c>
      <c r="E429" s="1571"/>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7" t="s">
        <v>651</v>
      </c>
      <c r="E431" s="1558"/>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68" t="s">
        <v>1709</v>
      </c>
      <c r="E433" s="1550"/>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65" t="s">
        <v>1719</v>
      </c>
      <c r="C435" s="1549"/>
      <c r="D435" s="1549"/>
      <c r="E435" s="1549"/>
      <c r="F435" s="1549"/>
      <c r="G435" s="1549"/>
      <c r="H435" s="1549"/>
      <c r="I435" s="1549"/>
      <c r="J435" s="1549"/>
      <c r="K435" s="1549"/>
      <c r="L435" s="1549"/>
      <c r="M435" s="1549"/>
      <c r="N435" s="1549"/>
      <c r="O435" s="1549"/>
      <c r="P435" s="1549"/>
      <c r="Q435" s="1549"/>
      <c r="R435" s="1549"/>
      <c r="S435" s="1549"/>
      <c r="T435" s="1549"/>
      <c r="U435" s="1550"/>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6" t="s">
        <v>1720</v>
      </c>
      <c r="E437" s="1567"/>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68">
        <v>5601</v>
      </c>
      <c r="E439" s="1569"/>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0" t="str">
        <f>AA33</f>
        <v/>
      </c>
      <c r="E441" s="1571"/>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0" t="str">
        <f>AB33</f>
        <v/>
      </c>
      <c r="E443" s="1571"/>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7" t="s">
        <v>651</v>
      </c>
      <c r="E445" s="1558"/>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68" t="s">
        <v>1709</v>
      </c>
      <c r="E447" s="1550"/>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65" t="s">
        <v>1721</v>
      </c>
      <c r="C449" s="1549"/>
      <c r="D449" s="1549"/>
      <c r="E449" s="1549"/>
      <c r="F449" s="1549"/>
      <c r="G449" s="1549"/>
      <c r="H449" s="1549"/>
      <c r="I449" s="1549"/>
      <c r="J449" s="1549"/>
      <c r="K449" s="1549"/>
      <c r="L449" s="1549"/>
      <c r="M449" s="1549"/>
      <c r="N449" s="1549"/>
      <c r="O449" s="1549"/>
      <c r="P449" s="1549"/>
      <c r="Q449" s="1549"/>
      <c r="R449" s="1549"/>
      <c r="S449" s="1549"/>
      <c r="T449" s="1549"/>
      <c r="U449" s="1550"/>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6" t="s">
        <v>1720</v>
      </c>
      <c r="E451" s="1567"/>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68">
        <v>5602</v>
      </c>
      <c r="E453" s="1569"/>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0" t="str">
        <f>AA34</f>
        <v/>
      </c>
      <c r="E455" s="1571"/>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0" t="str">
        <f>AB34</f>
        <v/>
      </c>
      <c r="E457" s="1571"/>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7" t="s">
        <v>651</v>
      </c>
      <c r="E459" s="1558"/>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68" t="s">
        <v>1709</v>
      </c>
      <c r="E461" s="1550"/>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65" t="s">
        <v>1722</v>
      </c>
      <c r="C463" s="1549"/>
      <c r="D463" s="1549"/>
      <c r="E463" s="1549"/>
      <c r="F463" s="1549"/>
      <c r="G463" s="1549"/>
      <c r="H463" s="1549"/>
      <c r="I463" s="1549"/>
      <c r="J463" s="1549"/>
      <c r="K463" s="1549"/>
      <c r="L463" s="1549"/>
      <c r="M463" s="1549"/>
      <c r="N463" s="1549"/>
      <c r="O463" s="1549"/>
      <c r="P463" s="1549"/>
      <c r="Q463" s="1549"/>
      <c r="R463" s="1549"/>
      <c r="S463" s="1549"/>
      <c r="T463" s="1549"/>
      <c r="U463" s="1550"/>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6" t="s">
        <v>1723</v>
      </c>
      <c r="E465" s="1567"/>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68">
        <v>601</v>
      </c>
      <c r="E467" s="1569"/>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62" t="s">
        <v>1724</v>
      </c>
      <c r="O468" s="1562"/>
      <c r="P468" s="1562"/>
      <c r="Q468" s="1209"/>
      <c r="R468" s="1205" t="s">
        <v>1706</v>
      </c>
      <c r="S468" s="1209"/>
      <c r="T468" s="1205" t="s">
        <v>1707</v>
      </c>
      <c r="U468" s="1209"/>
    </row>
    <row r="469" spans="1:21" ht="30.75" customHeight="1" thickBot="1" x14ac:dyDescent="0.3">
      <c r="A469" s="1252"/>
      <c r="B469" s="1209"/>
      <c r="C469" s="1202" t="s">
        <v>1485</v>
      </c>
      <c r="D469" s="1570" t="str">
        <f>AA35</f>
        <v/>
      </c>
      <c r="E469" s="1571"/>
      <c r="F469" s="1209"/>
      <c r="G469" s="1209"/>
      <c r="H469" s="1170"/>
      <c r="I469" s="1209"/>
      <c r="J469" s="1171">
        <v>1</v>
      </c>
      <c r="K469" s="1209"/>
      <c r="L469" s="1170"/>
      <c r="M469" s="1209"/>
      <c r="N469" s="1563" t="s">
        <v>1725</v>
      </c>
      <c r="O469" s="1563"/>
      <c r="P469" s="1563"/>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64" t="s">
        <v>1726</v>
      </c>
      <c r="O470" s="1564"/>
      <c r="P470" s="1564"/>
      <c r="Q470" s="1209"/>
      <c r="R470" s="1209"/>
      <c r="S470" s="1209"/>
      <c r="T470" s="1209"/>
      <c r="U470" s="1209"/>
    </row>
    <row r="471" spans="1:21" ht="30.75" thickBot="1" x14ac:dyDescent="0.3">
      <c r="A471" s="1252"/>
      <c r="B471" s="1209"/>
      <c r="C471" s="1202" t="s">
        <v>1486</v>
      </c>
      <c r="D471" s="1570" t="str">
        <f>AB35</f>
        <v/>
      </c>
      <c r="E471" s="1571"/>
      <c r="F471" s="1209"/>
      <c r="G471" s="1209"/>
      <c r="H471" s="1204" t="s">
        <v>1595</v>
      </c>
      <c r="I471" s="1209"/>
      <c r="J471" s="1171">
        <v>3</v>
      </c>
      <c r="K471" s="1209"/>
      <c r="L471" s="1196"/>
      <c r="M471" s="1209"/>
      <c r="N471" s="1564" t="s">
        <v>1727</v>
      </c>
      <c r="O471" s="1564"/>
      <c r="P471" s="1564"/>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63" t="s">
        <v>1728</v>
      </c>
      <c r="O472" s="1563"/>
      <c r="P472" s="1563"/>
      <c r="Q472" s="1209"/>
      <c r="R472" s="1209"/>
      <c r="S472" s="1209"/>
      <c r="T472" s="1237" t="s">
        <v>653</v>
      </c>
      <c r="U472" s="1209"/>
    </row>
    <row r="473" spans="1:21" ht="30.75" thickBot="1" x14ac:dyDescent="0.3">
      <c r="A473" s="1252"/>
      <c r="B473" s="1209"/>
      <c r="C473" s="1203" t="s">
        <v>1598</v>
      </c>
      <c r="D473" s="1557" t="s">
        <v>651</v>
      </c>
      <c r="E473" s="1558"/>
      <c r="F473" s="1209"/>
      <c r="G473" s="1209"/>
      <c r="H473" s="1209"/>
      <c r="I473" s="1209"/>
      <c r="J473" s="1171">
        <v>5</v>
      </c>
      <c r="K473" s="1209"/>
      <c r="L473" s="1196"/>
      <c r="M473" s="1209"/>
      <c r="N473" s="1563" t="s">
        <v>1729</v>
      </c>
      <c r="O473" s="1563"/>
      <c r="P473" s="1563"/>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68" t="s">
        <v>1709</v>
      </c>
      <c r="E475" s="1550"/>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65" t="s">
        <v>1730</v>
      </c>
      <c r="C477" s="1549"/>
      <c r="D477" s="1549"/>
      <c r="E477" s="1549"/>
      <c r="F477" s="1549"/>
      <c r="G477" s="1549"/>
      <c r="H477" s="1549"/>
      <c r="I477" s="1549"/>
      <c r="J477" s="1549"/>
      <c r="K477" s="1549"/>
      <c r="L477" s="1549"/>
      <c r="M477" s="1549"/>
      <c r="N477" s="1549"/>
      <c r="O477" s="1549"/>
      <c r="P477" s="1549"/>
      <c r="Q477" s="1549"/>
      <c r="R477" s="1549"/>
      <c r="S477" s="1549"/>
      <c r="T477" s="1549"/>
      <c r="U477" s="1550"/>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6" t="s">
        <v>1723</v>
      </c>
      <c r="E479" s="1567"/>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68">
        <v>602</v>
      </c>
      <c r="E481" s="1569"/>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62" t="s">
        <v>1724</v>
      </c>
      <c r="O482" s="1562"/>
      <c r="P482" s="1562"/>
      <c r="Q482" s="1209"/>
      <c r="R482" s="1205" t="s">
        <v>1706</v>
      </c>
      <c r="S482" s="1209"/>
      <c r="T482" s="1205" t="s">
        <v>1707</v>
      </c>
      <c r="U482" s="1209"/>
    </row>
    <row r="483" spans="1:21" ht="30.75" customHeight="1" thickBot="1" x14ac:dyDescent="0.3">
      <c r="A483" s="1252"/>
      <c r="B483" s="1209"/>
      <c r="C483" s="1202" t="s">
        <v>1485</v>
      </c>
      <c r="D483" s="1570" t="str">
        <f>AA36</f>
        <v/>
      </c>
      <c r="E483" s="1571"/>
      <c r="F483" s="1209"/>
      <c r="G483" s="1209"/>
      <c r="H483" s="1236"/>
      <c r="I483" s="1209"/>
      <c r="J483" s="1171">
        <v>1</v>
      </c>
      <c r="K483" s="1209"/>
      <c r="L483" s="1196"/>
      <c r="M483" s="1209"/>
      <c r="N483" s="1563" t="s">
        <v>1725</v>
      </c>
      <c r="O483" s="1563"/>
      <c r="P483" s="1563"/>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63" t="s">
        <v>1726</v>
      </c>
      <c r="O484" s="1563"/>
      <c r="P484" s="1563"/>
      <c r="Q484" s="1209"/>
      <c r="R484" s="1209"/>
      <c r="S484" s="1209"/>
      <c r="T484" s="1209"/>
      <c r="U484" s="1209"/>
    </row>
    <row r="485" spans="1:21" ht="30.75" thickBot="1" x14ac:dyDescent="0.3">
      <c r="A485" s="1252"/>
      <c r="B485" s="1209"/>
      <c r="C485" s="1202" t="s">
        <v>1486</v>
      </c>
      <c r="D485" s="1570" t="str">
        <f>AB36</f>
        <v/>
      </c>
      <c r="E485" s="1571"/>
      <c r="F485" s="1209"/>
      <c r="G485" s="1209"/>
      <c r="H485" s="1204" t="s">
        <v>1595</v>
      </c>
      <c r="I485" s="1209"/>
      <c r="J485" s="1171">
        <v>3</v>
      </c>
      <c r="K485" s="1209"/>
      <c r="L485" s="1196"/>
      <c r="M485" s="1209"/>
      <c r="N485" s="1563" t="s">
        <v>1727</v>
      </c>
      <c r="O485" s="1563"/>
      <c r="P485" s="1563"/>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63" t="s">
        <v>1728</v>
      </c>
      <c r="O486" s="1563"/>
      <c r="P486" s="1563"/>
      <c r="Q486" s="1209"/>
      <c r="R486" s="1209"/>
      <c r="S486" s="1209"/>
      <c r="T486" s="1237" t="s">
        <v>653</v>
      </c>
      <c r="U486" s="1209"/>
    </row>
    <row r="487" spans="1:21" ht="30.75" thickBot="1" x14ac:dyDescent="0.3">
      <c r="A487" s="1252"/>
      <c r="B487" s="1209"/>
      <c r="C487" s="1203" t="s">
        <v>1598</v>
      </c>
      <c r="D487" s="1557" t="s">
        <v>651</v>
      </c>
      <c r="E487" s="1558"/>
      <c r="F487" s="1209"/>
      <c r="G487" s="1209"/>
      <c r="H487" s="1209"/>
      <c r="I487" s="1209"/>
      <c r="J487" s="1171">
        <v>5</v>
      </c>
      <c r="K487" s="1209"/>
      <c r="L487" s="1196"/>
      <c r="M487" s="1209"/>
      <c r="N487" s="1563" t="s">
        <v>1729</v>
      </c>
      <c r="O487" s="1563"/>
      <c r="P487" s="1563"/>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68" t="s">
        <v>1709</v>
      </c>
      <c r="E489" s="1550"/>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65" t="s">
        <v>1731</v>
      </c>
      <c r="C491" s="1549"/>
      <c r="D491" s="1549"/>
      <c r="E491" s="1549"/>
      <c r="F491" s="1549"/>
      <c r="G491" s="1549"/>
      <c r="H491" s="1549"/>
      <c r="I491" s="1549"/>
      <c r="J491" s="1549"/>
      <c r="K491" s="1549"/>
      <c r="L491" s="1549"/>
      <c r="M491" s="1549"/>
      <c r="N491" s="1549"/>
      <c r="O491" s="1549"/>
      <c r="P491" s="1549"/>
      <c r="Q491" s="1549"/>
      <c r="R491" s="1549"/>
      <c r="S491" s="1549"/>
      <c r="T491" s="1549"/>
      <c r="U491" s="1550"/>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6" t="s">
        <v>1732</v>
      </c>
      <c r="E493" s="1567"/>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68">
        <v>1001</v>
      </c>
      <c r="E495" s="1569"/>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0" t="str">
        <f>AA37</f>
        <v/>
      </c>
      <c r="E497" s="1571"/>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0" t="str">
        <f>AB37</f>
        <v/>
      </c>
      <c r="E499" s="1571"/>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7" t="s">
        <v>651</v>
      </c>
      <c r="E501" s="1558"/>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89"/>
      <c r="K2" s="1589"/>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13" t="e">
        <f>VLOOKUP($J$4,'Market Geography'!$D:$G,4,FALSE)</f>
        <v>#N/A</v>
      </c>
      <c r="K3" s="1513"/>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13">
        <f>Welcome!$D$4</f>
        <v>0</v>
      </c>
      <c r="K4" s="1513"/>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0" t="e">
        <f>VLOOKUP($J$4,'Market Geography'!$D:$F,3,FALSE)</f>
        <v>#N/A</v>
      </c>
      <c r="K5" s="1590"/>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13" t="s">
        <v>134</v>
      </c>
      <c r="K6" s="1513"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13" t="str">
        <f>IF(Welcome!$D$8="MDA","C","N")</f>
        <v>N</v>
      </c>
      <c r="K7" s="1513"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6" t="s">
        <v>975</v>
      </c>
      <c r="AE13" s="1587"/>
      <c r="AF13" s="1588"/>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2" t="s">
        <v>1020</v>
      </c>
      <c r="F1" s="1593"/>
      <c r="G1" s="1593"/>
      <c r="H1" s="1593"/>
      <c r="I1" s="1593"/>
      <c r="J1" s="1594"/>
      <c r="L1" s="1592" t="s">
        <v>1019</v>
      </c>
      <c r="M1" s="1594"/>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2" t="s">
        <v>1021</v>
      </c>
      <c r="F20" s="1593"/>
      <c r="G20" s="1594"/>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1" t="s">
        <v>113</v>
      </c>
      <c r="M22" s="1591"/>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2" t="s">
        <v>1019</v>
      </c>
      <c r="M23" s="159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1" t="s">
        <v>1022</v>
      </c>
      <c r="F28" s="1591"/>
      <c r="G28" s="1591"/>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5" t="s">
        <v>837</v>
      </c>
      <c r="U1" s="1595"/>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5" t="s">
        <v>838</v>
      </c>
      <c r="U5" s="159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5"/>
      <c r="U6" s="159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6"/>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6"/>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7" t="s">
        <v>960</v>
      </c>
      <c r="AX5" s="1598"/>
      <c r="AY5" s="488">
        <v>1757315</v>
      </c>
      <c r="AZ5" s="282" t="s">
        <v>214</v>
      </c>
      <c r="BA5" s="1" t="s">
        <v>214</v>
      </c>
      <c r="BB5" s="481">
        <v>3.2000000000000001E-2</v>
      </c>
      <c r="BC5" s="481">
        <v>6.9000000000000006E-2</v>
      </c>
      <c r="BD5" s="481">
        <v>8.2000000000000003E-2</v>
      </c>
      <c r="BE5" s="481">
        <v>9.6000000000000002E-2</v>
      </c>
      <c r="BF5" s="482">
        <v>0.13300000000000001</v>
      </c>
      <c r="BI5" s="1597" t="s">
        <v>961</v>
      </c>
      <c r="BJ5" s="159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0" t="s">
        <v>959</v>
      </c>
      <c r="AR10" s="1600"/>
      <c r="AW10" s="1599" t="s">
        <v>957</v>
      </c>
      <c r="AX10" s="1599"/>
      <c r="AY10" s="1599"/>
      <c r="AZ10" s="1599"/>
      <c r="BA10" s="1599"/>
      <c r="BD10" s="1599" t="s">
        <v>958</v>
      </c>
      <c r="BE10" s="1599"/>
      <c r="BF10" s="1599"/>
      <c r="BG10" s="1599"/>
      <c r="BH10" s="159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4" t="s">
        <v>799</v>
      </c>
      <c r="B1" s="1604"/>
      <c r="C1" s="1604"/>
      <c r="D1" s="1604"/>
      <c r="F1" s="1605" t="s">
        <v>728</v>
      </c>
      <c r="G1" s="1605"/>
      <c r="I1" s="1606" t="s">
        <v>798</v>
      </c>
      <c r="J1" s="1607"/>
      <c r="K1" s="1607"/>
      <c r="L1" s="1607"/>
      <c r="M1" s="1607"/>
      <c r="N1" s="1607"/>
      <c r="O1" s="1607"/>
      <c r="P1" s="1607"/>
      <c r="Q1" s="1607"/>
      <c r="R1" s="1607"/>
      <c r="S1" s="1607"/>
      <c r="T1" s="1607"/>
      <c r="U1" s="1607"/>
      <c r="V1" s="1608"/>
    </row>
    <row r="2" spans="1:23" x14ac:dyDescent="0.25">
      <c r="I2" s="325"/>
      <c r="J2" s="135"/>
      <c r="K2" s="135"/>
      <c r="L2" s="135"/>
      <c r="M2" s="135"/>
      <c r="N2" s="135"/>
      <c r="O2" s="135"/>
      <c r="P2" s="135"/>
      <c r="Q2" s="135"/>
      <c r="R2" s="135"/>
      <c r="S2" s="135"/>
      <c r="T2" s="135"/>
      <c r="U2" s="135"/>
      <c r="V2" s="328"/>
    </row>
    <row r="3" spans="1:23" x14ac:dyDescent="0.25">
      <c r="A3" s="1034" t="s">
        <v>245</v>
      </c>
      <c r="B3" s="1602">
        <f>Welcome!$D$4</f>
        <v>0</v>
      </c>
      <c r="C3" s="1602"/>
      <c r="I3" s="321">
        <v>1</v>
      </c>
      <c r="J3" s="1034" t="s">
        <v>754</v>
      </c>
      <c r="L3" s="1602" t="str">
        <f>"ALC "&amp;'Required Info to Submit'!$F$6</f>
        <v xml:space="preserve">ALC </v>
      </c>
      <c r="M3" s="1602"/>
      <c r="N3" s="1602"/>
      <c r="O3" s="1602"/>
      <c r="P3" s="1602"/>
      <c r="R3" s="1034"/>
      <c r="V3" s="138"/>
    </row>
    <row r="4" spans="1:23" ht="45" x14ac:dyDescent="0.25">
      <c r="A4" s="1034" t="s">
        <v>735</v>
      </c>
      <c r="B4" s="1601">
        <f>'Required Info to Submit'!$F$6</f>
        <v>0</v>
      </c>
      <c r="C4" s="1601"/>
      <c r="D4" s="1044" t="s">
        <v>889</v>
      </c>
      <c r="F4" s="242" t="s">
        <v>729</v>
      </c>
      <c r="G4" s="627">
        <f>Incentives!$H$9</f>
        <v>0</v>
      </c>
      <c r="H4" s="279"/>
      <c r="I4" s="321">
        <v>2</v>
      </c>
      <c r="J4" s="1034" t="s">
        <v>730</v>
      </c>
      <c r="L4" s="329">
        <f>'Required Info to Submit'!$F$14</f>
        <v>0</v>
      </c>
      <c r="M4" s="329"/>
      <c r="N4" s="329"/>
      <c r="O4" s="330">
        <v>3</v>
      </c>
      <c r="P4" s="1602" t="s">
        <v>732</v>
      </c>
      <c r="Q4" s="1602"/>
      <c r="R4" s="1602"/>
      <c r="S4" s="1603" t="e">
        <f>$L$4+(364*$G$5)+6</f>
        <v>#VALUE!</v>
      </c>
      <c r="T4" s="1603"/>
      <c r="U4" s="329"/>
      <c r="V4" s="138"/>
    </row>
    <row r="5" spans="1:23" x14ac:dyDescent="0.25">
      <c r="A5" s="1034" t="s">
        <v>1017</v>
      </c>
      <c r="B5" s="1609">
        <f>'Required Info to Submit'!$F$8</f>
        <v>0</v>
      </c>
      <c r="C5" s="1609"/>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0">
        <f>'Required Info to Submit'!$F$14</f>
        <v>0</v>
      </c>
      <c r="C6" s="1610"/>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2" t="s">
        <v>755</v>
      </c>
      <c r="Q6" s="1602"/>
      <c r="R6" s="1602"/>
      <c r="S6" s="1611">
        <f>-('Tracking &amp; Profitability'!$E$23)</f>
        <v>0</v>
      </c>
      <c r="T6" s="1611"/>
      <c r="U6" s="20"/>
      <c r="V6" s="138"/>
    </row>
    <row r="7" spans="1:23" x14ac:dyDescent="0.25">
      <c r="A7" s="1034" t="s">
        <v>794</v>
      </c>
      <c r="B7" s="1602">
        <f>'Required Info to Submit'!$F$10</f>
        <v>0</v>
      </c>
      <c r="C7" s="1602"/>
      <c r="F7" s="1044" t="str">
        <f>IF(Incentives!E15="Yes","VB","")</f>
        <v/>
      </c>
      <c r="G7" s="1044" t="str">
        <f>IF(Incentives!E57="YES","DS","")</f>
        <v/>
      </c>
      <c r="I7" s="321">
        <v>6</v>
      </c>
      <c r="J7" s="1034" t="s">
        <v>756</v>
      </c>
      <c r="L7" s="1602" t="str">
        <f>'MDA Worksheet'!$K$95</f>
        <v/>
      </c>
      <c r="M7" s="1602"/>
      <c r="N7" s="1602"/>
      <c r="O7" s="330">
        <v>8</v>
      </c>
      <c r="P7" s="1602" t="s">
        <v>869</v>
      </c>
      <c r="Q7" s="1602"/>
      <c r="R7" s="1602"/>
      <c r="S7" s="1602">
        <f>'Required Info to Submit'!$F$10</f>
        <v>0</v>
      </c>
      <c r="T7" s="1602"/>
      <c r="V7" s="138"/>
    </row>
    <row r="8" spans="1:23" x14ac:dyDescent="0.25">
      <c r="A8" s="1034" t="s">
        <v>795</v>
      </c>
      <c r="B8" s="1602">
        <f>'Required Info to Submit'!$F$9</f>
        <v>0</v>
      </c>
      <c r="C8" s="1602"/>
      <c r="F8" s="1044" t="str">
        <f>IF(Incentives!E85="Yes","EB","")</f>
        <v/>
      </c>
      <c r="G8" s="1044" t="str">
        <f>IF(Incentives!E113="Yes","SG","")</f>
        <v/>
      </c>
      <c r="I8" s="137"/>
      <c r="M8" s="1034"/>
      <c r="R8" s="1034"/>
      <c r="V8" s="138"/>
    </row>
    <row r="9" spans="1:23" x14ac:dyDescent="0.25">
      <c r="A9" s="1034" t="s">
        <v>654</v>
      </c>
      <c r="B9" s="1602">
        <f>'Required Info to Submit'!$F$12</f>
        <v>0</v>
      </c>
      <c r="C9" s="1602"/>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2">
        <f>'Required Info to Submit'!$F$11</f>
        <v>0</v>
      </c>
      <c r="C10" s="1602"/>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18"/>
      <c r="C11" s="1618"/>
      <c r="F11" s="1044" t="str">
        <f>IF(Incentives!E208="Yes","Roll","")</f>
        <v/>
      </c>
      <c r="I11" s="1612" t="s">
        <v>736</v>
      </c>
      <c r="J11" s="1613"/>
      <c r="K11" s="1613"/>
      <c r="L11" s="1614"/>
      <c r="M11" s="284"/>
      <c r="N11" s="1612" t="s">
        <v>478</v>
      </c>
      <c r="O11" s="1613"/>
      <c r="P11" s="1613"/>
      <c r="Q11" s="1614"/>
      <c r="R11" s="284"/>
      <c r="S11" s="1612" t="s">
        <v>530</v>
      </c>
      <c r="T11" s="1613"/>
      <c r="U11" s="1613"/>
      <c r="V11" s="1614"/>
    </row>
    <row r="12" spans="1:23" ht="15.75" thickBot="1" x14ac:dyDescent="0.3">
      <c r="A12" s="1619" t="s">
        <v>736</v>
      </c>
      <c r="B12" s="1620"/>
      <c r="C12" s="1620"/>
      <c r="D12" s="1621"/>
      <c r="E12" s="814"/>
      <c r="F12" s="135"/>
      <c r="G12" s="135"/>
      <c r="H12" s="770"/>
      <c r="I12" s="1622" t="s">
        <v>737</v>
      </c>
      <c r="J12" s="1623"/>
      <c r="K12" s="1623"/>
      <c r="L12" s="1624"/>
      <c r="M12" s="284"/>
      <c r="N12" s="1622" t="s">
        <v>738</v>
      </c>
      <c r="O12" s="1623"/>
      <c r="P12" s="1623"/>
      <c r="Q12" s="1624"/>
      <c r="R12" s="284"/>
      <c r="S12" s="1622" t="s">
        <v>739</v>
      </c>
      <c r="T12" s="1623"/>
      <c r="U12" s="1623"/>
      <c r="V12" s="162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2" t="s">
        <v>1168</v>
      </c>
      <c r="J23" s="1613"/>
      <c r="K23" s="1613"/>
      <c r="L23" s="1614"/>
      <c r="M23" s="769"/>
      <c r="N23" s="1615" t="s">
        <v>1169</v>
      </c>
      <c r="O23" s="1616"/>
      <c r="P23" s="1616"/>
      <c r="Q23" s="1617"/>
      <c r="R23" s="769"/>
      <c r="S23" s="1612" t="s">
        <v>1164</v>
      </c>
      <c r="T23" s="1613"/>
      <c r="U23" s="1613"/>
      <c r="V23" s="1614"/>
    </row>
    <row r="24" spans="1:23" ht="15.75" thickBot="1" x14ac:dyDescent="0.3">
      <c r="A24" s="1619" t="s">
        <v>478</v>
      </c>
      <c r="B24" s="1620"/>
      <c r="C24" s="1620"/>
      <c r="D24" s="1621"/>
      <c r="E24" s="283"/>
      <c r="F24" s="135"/>
      <c r="G24" s="135"/>
      <c r="H24" s="284"/>
      <c r="I24" s="1622" t="s">
        <v>748</v>
      </c>
      <c r="J24" s="1623"/>
      <c r="K24" s="1623"/>
      <c r="L24" s="1624"/>
      <c r="M24" s="769"/>
      <c r="N24" s="1625" t="s">
        <v>748</v>
      </c>
      <c r="O24" s="1626"/>
      <c r="P24" s="1626"/>
      <c r="Q24" s="1627"/>
      <c r="R24" s="769"/>
      <c r="S24" s="1622" t="s">
        <v>749</v>
      </c>
      <c r="T24" s="1623"/>
      <c r="U24" s="1623"/>
      <c r="V24" s="1624"/>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8" t="s">
        <v>750</v>
      </c>
      <c r="J33" s="1629"/>
      <c r="K33" s="1629"/>
      <c r="L33" s="1630"/>
      <c r="M33" s="770"/>
      <c r="N33" s="1631" t="s">
        <v>1058</v>
      </c>
      <c r="O33" s="1632"/>
      <c r="P33" s="1632"/>
      <c r="Q33" s="1633"/>
      <c r="R33" s="770"/>
      <c r="S33" s="1631" t="s">
        <v>1177</v>
      </c>
      <c r="T33" s="1632"/>
      <c r="U33" s="1632"/>
      <c r="V33" s="1633"/>
    </row>
    <row r="34" spans="1:22" ht="15.75" thickBot="1" x14ac:dyDescent="0.3">
      <c r="A34" s="1619" t="s">
        <v>530</v>
      </c>
      <c r="B34" s="1620"/>
      <c r="C34" s="1620"/>
      <c r="D34" s="1621"/>
      <c r="E34" s="283"/>
      <c r="F34" s="135"/>
      <c r="G34" s="135"/>
      <c r="H34" s="284"/>
      <c r="I34" s="1634" t="s">
        <v>753</v>
      </c>
      <c r="J34" s="1635"/>
      <c r="K34" s="1635"/>
      <c r="L34" s="1636"/>
      <c r="M34" s="770"/>
      <c r="N34" s="1637" t="s">
        <v>752</v>
      </c>
      <c r="O34" s="1638"/>
      <c r="P34" s="1638"/>
      <c r="Q34" s="1639"/>
      <c r="R34" s="770"/>
      <c r="S34" s="1622" t="s">
        <v>1183</v>
      </c>
      <c r="T34" s="1623"/>
      <c r="U34" s="1623"/>
      <c r="V34" s="162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2" t="s">
        <v>1221</v>
      </c>
      <c r="O41" s="1613"/>
      <c r="P41" s="1613"/>
      <c r="Q41" s="1614"/>
      <c r="S41" s="1612"/>
      <c r="T41" s="1613"/>
      <c r="U41" s="1613"/>
      <c r="V41" s="1614"/>
    </row>
    <row r="42" spans="1:22" ht="15.75" thickBot="1" x14ac:dyDescent="0.3">
      <c r="A42" s="256"/>
      <c r="B42" s="310">
        <f>Incentives!$G$91</f>
        <v>0</v>
      </c>
      <c r="C42" s="320">
        <v>1</v>
      </c>
      <c r="D42" s="698">
        <f>Incentives!$K$91</f>
        <v>0</v>
      </c>
      <c r="E42" s="318"/>
      <c r="N42" s="1622" t="s">
        <v>1222</v>
      </c>
      <c r="O42" s="1623"/>
      <c r="P42" s="1623"/>
      <c r="Q42" s="1624"/>
      <c r="S42" s="1622"/>
      <c r="T42" s="1623"/>
      <c r="U42" s="1623"/>
      <c r="V42" s="1624"/>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19" t="s">
        <v>1177</v>
      </c>
      <c r="B44" s="1620"/>
      <c r="C44" s="1620"/>
      <c r="D44" s="1621"/>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19" t="s">
        <v>750</v>
      </c>
      <c r="B51" s="1620"/>
      <c r="C51" s="1620"/>
      <c r="D51" s="1621"/>
      <c r="E51" s="283"/>
      <c r="I51" s="808">
        <v>8</v>
      </c>
      <c r="J51" s="263">
        <f>IFERROR('MDA Worksheet'!D102,"")</f>
        <v>0</v>
      </c>
      <c r="K51" s="1042" t="str">
        <f>IFERROR('MDA Worksheet'!K102,"")</f>
        <v/>
      </c>
      <c r="N51" s="137" t="s">
        <v>1223</v>
      </c>
      <c r="O51" s="1640" t="str">
        <f>"Amount to be paid to the customer $ "&amp;TEXT(D69,"#,###,###.00")</f>
        <v>Amount to be paid to the customer $ .00</v>
      </c>
      <c r="P51" s="1640"/>
      <c r="Q51" s="1641"/>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0" t="str">
        <f>"Claw Back Amount $ "&amp;TEXT(D71,"#,###,###.00")</f>
        <v>Claw Back Amount $ .00</v>
      </c>
      <c r="P52" s="1640"/>
      <c r="Q52" s="1641"/>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19" t="s">
        <v>1168</v>
      </c>
      <c r="B57" s="1620"/>
      <c r="C57" s="1620"/>
      <c r="D57" s="1621"/>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19" t="s">
        <v>1210</v>
      </c>
      <c r="B66" s="1620"/>
      <c r="C66" s="1620"/>
      <c r="D66" s="1621"/>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19" t="e">
        <f>Incentives!#REF!</f>
        <v>#REF!</v>
      </c>
      <c r="B74" s="1620"/>
      <c r="C74" s="1620"/>
      <c r="D74" s="1620"/>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19" t="s">
        <v>1057</v>
      </c>
      <c r="B80" s="1620"/>
      <c r="C80" s="1620"/>
      <c r="D80" s="1621"/>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0" t="s">
        <v>722</v>
      </c>
      <c r="C2" s="1681"/>
      <c r="D2" s="1681"/>
      <c r="E2" s="1681"/>
      <c r="F2" s="1681"/>
      <c r="G2" s="1681"/>
      <c r="H2" s="1681"/>
      <c r="I2" s="1681"/>
      <c r="J2" s="1681"/>
      <c r="K2" s="1681"/>
      <c r="L2" s="1681"/>
      <c r="M2" s="1681"/>
      <c r="N2" s="1681"/>
      <c r="O2" s="1681"/>
      <c r="P2" s="1681"/>
      <c r="Q2" s="1681"/>
      <c r="R2" s="1681"/>
      <c r="S2" s="1681"/>
      <c r="T2" s="1681"/>
      <c r="U2" s="1681"/>
      <c r="V2" s="1681"/>
      <c r="W2" s="1681"/>
      <c r="X2" s="1681"/>
      <c r="Y2" s="1681"/>
      <c r="Z2" s="1681"/>
      <c r="AA2" s="1681"/>
      <c r="AB2" s="1681"/>
      <c r="AC2" s="1681"/>
      <c r="AD2" s="1681"/>
      <c r="AE2" s="1681"/>
      <c r="AF2" s="1681"/>
      <c r="AG2" s="1681"/>
      <c r="AH2" s="1681"/>
      <c r="AI2" s="1681"/>
      <c r="AJ2" s="1681"/>
      <c r="AK2" s="1681"/>
      <c r="AL2" s="1681"/>
      <c r="AM2" s="1681"/>
      <c r="AN2" s="1681"/>
      <c r="AO2" s="1681"/>
      <c r="AP2" s="1681"/>
      <c r="AQ2" s="1681"/>
      <c r="AR2" s="1681"/>
      <c r="AS2" s="1681"/>
      <c r="AT2" s="1681"/>
      <c r="AU2" s="1681"/>
      <c r="AV2" s="1681"/>
      <c r="AW2" s="1681"/>
      <c r="AX2" s="1681"/>
      <c r="AY2" s="1681"/>
      <c r="AZ2" s="1681"/>
      <c r="BA2" s="1681"/>
      <c r="BB2" s="1681"/>
      <c r="BC2" s="1681"/>
      <c r="BD2" s="1681"/>
      <c r="BE2" s="1681"/>
      <c r="BF2" s="1682"/>
    </row>
    <row r="3" spans="2:68" x14ac:dyDescent="0.25">
      <c r="B3" s="1683"/>
      <c r="C3" s="1684"/>
      <c r="D3" s="1684"/>
      <c r="E3" s="1684"/>
      <c r="F3" s="1684"/>
      <c r="G3" s="1684"/>
      <c r="H3" s="1684"/>
      <c r="I3" s="1684"/>
      <c r="J3" s="1684"/>
      <c r="K3" s="1684"/>
      <c r="L3" s="1684"/>
      <c r="M3" s="1684"/>
      <c r="N3" s="1684"/>
      <c r="O3" s="1684"/>
      <c r="P3" s="1684"/>
      <c r="Q3" s="1684"/>
      <c r="R3" s="1684"/>
      <c r="S3" s="1684"/>
      <c r="T3" s="1684"/>
      <c r="U3" s="1684"/>
      <c r="V3" s="1684"/>
      <c r="W3" s="1684"/>
      <c r="X3" s="1684"/>
      <c r="Y3" s="1684"/>
      <c r="Z3" s="1684"/>
      <c r="AA3" s="1684"/>
      <c r="AB3" s="1684"/>
      <c r="AC3" s="1684"/>
      <c r="AD3" s="1684"/>
      <c r="AE3" s="1684"/>
      <c r="AF3" s="1684"/>
      <c r="AG3" s="1684"/>
      <c r="AH3" s="1684"/>
      <c r="AI3" s="1684"/>
      <c r="AJ3" s="1684"/>
      <c r="AK3" s="1684"/>
      <c r="AL3" s="1684"/>
      <c r="AM3" s="1684"/>
      <c r="AN3" s="1684"/>
      <c r="AO3" s="1684"/>
      <c r="AP3" s="1684"/>
      <c r="AQ3" s="1684"/>
      <c r="AR3" s="1684"/>
      <c r="AS3" s="1684"/>
      <c r="AT3" s="1684"/>
      <c r="AU3" s="1684"/>
      <c r="AV3" s="1684"/>
      <c r="AW3" s="1684"/>
      <c r="AX3" s="1684"/>
      <c r="AY3" s="1684"/>
      <c r="AZ3" s="1684"/>
      <c r="BA3" s="1684"/>
      <c r="BB3" s="1684"/>
      <c r="BC3" s="1684"/>
      <c r="BD3" s="1684"/>
      <c r="BE3" s="1684"/>
      <c r="BF3" s="16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2" t="s">
        <v>649</v>
      </c>
      <c r="C8" s="1643"/>
      <c r="D8" s="1643"/>
      <c r="E8" s="1643"/>
      <c r="F8" s="1643"/>
      <c r="G8" s="1643"/>
      <c r="H8" s="1643"/>
      <c r="I8" s="1643"/>
      <c r="J8" s="1643"/>
      <c r="K8" s="1643"/>
      <c r="L8" s="1643"/>
      <c r="M8" s="1643"/>
      <c r="N8" s="1643"/>
      <c r="O8" s="1643"/>
      <c r="P8" s="1643"/>
      <c r="Q8" s="1643"/>
      <c r="R8" s="1643"/>
      <c r="S8" s="1643"/>
      <c r="T8" s="1643"/>
      <c r="U8" s="1643"/>
      <c r="V8" s="1643"/>
      <c r="W8" s="1643"/>
      <c r="X8" s="1643"/>
      <c r="Y8" s="1643"/>
      <c r="Z8" s="1643"/>
      <c r="AA8" s="1643"/>
      <c r="AB8" s="1643"/>
      <c r="AC8" s="1643"/>
      <c r="AD8" s="1643"/>
      <c r="AE8" s="1643"/>
      <c r="AF8" s="1643"/>
      <c r="AG8" s="1643"/>
      <c r="AH8" s="1643"/>
      <c r="AI8" s="1643"/>
      <c r="AJ8" s="1643"/>
      <c r="AK8" s="1643"/>
      <c r="AL8" s="1643"/>
      <c r="AM8" s="1643"/>
      <c r="AN8" s="1643"/>
      <c r="AO8" s="1643"/>
      <c r="AP8" s="1643"/>
      <c r="AQ8" s="1643"/>
      <c r="AR8" s="1643"/>
      <c r="AS8" s="1643"/>
      <c r="AT8" s="1643"/>
      <c r="AU8" s="1643"/>
      <c r="AV8" s="1643"/>
      <c r="AW8" s="1643"/>
      <c r="AX8" s="1643"/>
      <c r="AY8" s="1643"/>
      <c r="AZ8" s="1643"/>
      <c r="BA8" s="1643"/>
      <c r="BB8" s="1643"/>
      <c r="BC8" s="1643"/>
      <c r="BD8" s="1643"/>
      <c r="BE8" s="1643"/>
      <c r="BF8" s="1644"/>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699" t="s">
        <v>881</v>
      </c>
      <c r="C10" s="1595"/>
      <c r="D10" s="1595"/>
      <c r="E10" s="1595"/>
      <c r="F10" s="1595"/>
      <c r="G10" s="1595"/>
      <c r="H10" s="1595"/>
      <c r="I10" s="1595"/>
      <c r="J10" s="1595"/>
      <c r="K10" s="1690">
        <f>'Tracking &amp; Profitability'!$H$5</f>
        <v>0</v>
      </c>
      <c r="L10" s="1690"/>
      <c r="M10" s="1690"/>
      <c r="N10" s="1690"/>
      <c r="O10" s="1690"/>
      <c r="P10" s="1690"/>
      <c r="Q10" s="1690"/>
      <c r="R10" s="1690"/>
      <c r="S10" s="1690"/>
      <c r="T10" s="1690"/>
      <c r="U10" s="1690"/>
      <c r="V10" s="1690"/>
      <c r="W10" s="1690"/>
      <c r="X10" s="1690"/>
      <c r="Y10" s="1690"/>
      <c r="Z10" s="1690"/>
      <c r="AA10" s="1690"/>
      <c r="AB10" s="1690"/>
      <c r="AC10" s="1690"/>
      <c r="AD10" s="1690"/>
      <c r="AE10" s="1690"/>
      <c r="AI10" s="1595" t="s">
        <v>721</v>
      </c>
      <c r="AJ10" s="1595"/>
      <c r="AK10" s="1595"/>
      <c r="AL10" s="1595"/>
      <c r="AM10" s="1595"/>
      <c r="AN10" s="1595"/>
      <c r="AO10" s="1595"/>
      <c r="AP10" s="1595"/>
      <c r="AQ10" s="1595"/>
      <c r="AR10" s="1595"/>
      <c r="AT10" s="1698"/>
      <c r="AU10" s="1698"/>
      <c r="AV10" s="1698"/>
      <c r="AW10" s="1698"/>
      <c r="AX10" s="1698"/>
      <c r="AY10" s="1698"/>
      <c r="AZ10" s="1698"/>
      <c r="BA10" s="1698"/>
      <c r="BB10" s="1698"/>
      <c r="BC10" s="1698"/>
      <c r="BD10" s="1698"/>
      <c r="BF10" s="138"/>
    </row>
    <row r="11" spans="2:68" x14ac:dyDescent="0.25">
      <c r="B11" s="137"/>
      <c r="AL11" s="2"/>
      <c r="AM11" s="2"/>
      <c r="AN11" s="2"/>
      <c r="AO11" s="2"/>
      <c r="AP11" s="2"/>
      <c r="AQ11" s="2"/>
      <c r="AR11" s="2"/>
      <c r="AS11" s="2"/>
      <c r="AT11" s="2"/>
      <c r="AU11" s="2"/>
      <c r="AV11" s="2"/>
      <c r="BF11" s="138"/>
    </row>
    <row r="12" spans="2:68" x14ac:dyDescent="0.25">
      <c r="B12" s="1692" t="s">
        <v>882</v>
      </c>
      <c r="C12" s="1689"/>
      <c r="D12" s="1689"/>
      <c r="E12" s="1689"/>
      <c r="F12" s="1689"/>
      <c r="G12" s="1689"/>
      <c r="H12" s="1689"/>
      <c r="I12" s="1689"/>
      <c r="J12" s="1689"/>
      <c r="K12" s="1700">
        <f>'Required Info to Submit'!$F$4</f>
        <v>0</v>
      </c>
      <c r="L12" s="1700"/>
      <c r="M12" s="1700"/>
      <c r="N12" s="1700"/>
      <c r="O12" s="1700"/>
      <c r="P12" s="1700"/>
      <c r="Q12" s="1700"/>
      <c r="R12" s="1700"/>
      <c r="S12" s="1700"/>
      <c r="T12" s="1700"/>
      <c r="U12" s="1700"/>
      <c r="V12" s="1700"/>
      <c r="W12" s="1700"/>
      <c r="X12" s="1700"/>
      <c r="Y12" s="1700"/>
      <c r="Z12" s="1700"/>
      <c r="AA12" s="1700"/>
      <c r="AB12" s="1700"/>
      <c r="AC12" s="1700"/>
      <c r="AD12" s="1700"/>
      <c r="AE12" s="17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2" t="s">
        <v>899</v>
      </c>
      <c r="C14" s="1689"/>
      <c r="D14" s="1689"/>
      <c r="E14" s="1689"/>
      <c r="F14" s="1689"/>
      <c r="G14" s="1689"/>
      <c r="H14" s="1689"/>
      <c r="I14" s="1689"/>
      <c r="J14" s="1689"/>
      <c r="K14" s="1689"/>
      <c r="L14" s="1689"/>
      <c r="M14" s="1689"/>
      <c r="N14" s="1689"/>
      <c r="O14" s="1689"/>
      <c r="P14" s="1689"/>
      <c r="Q14" s="1689"/>
      <c r="R14" s="1691">
        <f>'Required Info to Submit'!$F$6</f>
        <v>0</v>
      </c>
      <c r="S14" s="1691"/>
      <c r="T14" s="1691"/>
      <c r="U14" s="1691"/>
      <c r="V14" s="1691"/>
      <c r="W14" s="1691"/>
      <c r="X14" s="1691"/>
      <c r="Y14" s="1691"/>
      <c r="Z14" s="1691"/>
      <c r="AA14" s="1691"/>
      <c r="AB14" s="1691"/>
      <c r="AC14" s="1691"/>
      <c r="AD14" s="1691"/>
      <c r="AE14" s="1691"/>
      <c r="AF14" s="1691"/>
      <c r="AG14" s="1691"/>
      <c r="AH14" s="1691"/>
      <c r="AI14" s="1691"/>
      <c r="AJ14" s="1691"/>
      <c r="AK14" s="1691"/>
      <c r="AL14" s="1691"/>
      <c r="AM14" s="1691"/>
      <c r="AN14" s="1691"/>
      <c r="AO14" s="1691"/>
      <c r="AP14" s="1691"/>
      <c r="AQ14" s="1691"/>
      <c r="AR14" s="1691"/>
      <c r="AS14" s="1691"/>
      <c r="AT14" s="1691"/>
      <c r="AU14" s="1691"/>
      <c r="AV14" s="1691"/>
      <c r="AW14" s="1691"/>
      <c r="AX14" s="1691"/>
      <c r="AY14" s="1691"/>
      <c r="AZ14" s="1691"/>
      <c r="BA14" s="1691"/>
      <c r="BB14" s="1691"/>
      <c r="BC14" s="1691"/>
      <c r="BD14" s="1691"/>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2" t="s">
        <v>720</v>
      </c>
      <c r="C16" s="1689"/>
      <c r="D16" s="1689"/>
      <c r="E16" s="1689"/>
      <c r="F16" s="1689"/>
      <c r="G16" s="1689"/>
      <c r="H16" s="1689"/>
      <c r="I16" s="1689"/>
      <c r="J16" s="1689"/>
      <c r="K16" s="1689"/>
      <c r="L16" s="1689"/>
      <c r="M16" s="1689"/>
      <c r="N16" s="1689"/>
      <c r="O16" s="1689"/>
      <c r="P16" s="1689"/>
      <c r="Q16" s="1689"/>
      <c r="R16" s="1700" t="s">
        <v>241</v>
      </c>
      <c r="S16" s="1700"/>
      <c r="T16" s="1684" t="s">
        <v>650</v>
      </c>
      <c r="U16" s="1684"/>
      <c r="V16" s="1684"/>
      <c r="W16" s="1684"/>
      <c r="X16" s="1684"/>
      <c r="Y16" s="1684"/>
      <c r="Z16" s="1684"/>
      <c r="AA16" s="1684"/>
      <c r="AB16" s="1684"/>
      <c r="AC16" s="1684"/>
      <c r="AD16" s="1684"/>
      <c r="AE16" s="1684"/>
      <c r="AF16" s="1684"/>
      <c r="AG16" s="1684"/>
      <c r="AH16" s="1684"/>
      <c r="AI16" s="1684"/>
      <c r="AJ16" s="1684"/>
      <c r="AK16" s="1684"/>
      <c r="AL16" s="1684"/>
      <c r="AO16" s="1684"/>
      <c r="AP16" s="1684"/>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3" t="s">
        <v>875</v>
      </c>
      <c r="C18" s="1694"/>
      <c r="D18" s="1694"/>
      <c r="E18" s="1694"/>
      <c r="F18" s="1694"/>
      <c r="G18" s="1694"/>
      <c r="H18" s="1694"/>
      <c r="I18" s="1694"/>
      <c r="J18" s="1694"/>
      <c r="K18" s="1694"/>
      <c r="L18" s="1694"/>
      <c r="M18" s="1694"/>
      <c r="N18" s="1694"/>
      <c r="O18" s="1694"/>
      <c r="P18" s="1694"/>
      <c r="Q18" s="1694"/>
      <c r="R18" s="1690">
        <f>'Required Info to Submit'!$F$8</f>
        <v>0</v>
      </c>
      <c r="S18" s="1690"/>
      <c r="T18" s="1690"/>
      <c r="U18" s="1690"/>
      <c r="V18" s="1690"/>
      <c r="W18" s="1690"/>
      <c r="X18" s="1690"/>
      <c r="Y18" s="1690"/>
      <c r="Z18" s="1690"/>
      <c r="AA18" s="1690"/>
      <c r="AB18" s="1690"/>
      <c r="AC18" s="1690"/>
      <c r="AD18" s="1690"/>
      <c r="AE18" s="1690"/>
      <c r="AF18" s="1690"/>
      <c r="AG18" s="1690"/>
      <c r="AH18" s="1690"/>
      <c r="AI18" s="1690"/>
      <c r="AJ18" s="1690"/>
      <c r="AK18" s="1690"/>
      <c r="AL18" s="1690"/>
      <c r="AN18" s="1689" t="s">
        <v>877</v>
      </c>
      <c r="AO18" s="1689"/>
      <c r="AP18" s="1689"/>
      <c r="AQ18" s="1689"/>
      <c r="AR18" s="1689"/>
      <c r="AS18" s="1689"/>
      <c r="AT18" s="1689"/>
      <c r="AU18" s="1689"/>
      <c r="AV18" s="1690">
        <f>'Required Info to Submit'!F10</f>
        <v>0</v>
      </c>
      <c r="AW18" s="1690"/>
      <c r="AX18" s="1690"/>
      <c r="AY18" s="1690"/>
      <c r="AZ18" s="1690"/>
      <c r="BA18" s="1690"/>
      <c r="BB18" s="1690"/>
      <c r="BC18" s="1690"/>
      <c r="BD18" s="1690"/>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2" t="s">
        <v>876</v>
      </c>
      <c r="C20" s="1689"/>
      <c r="D20" s="1689"/>
      <c r="E20" s="1689"/>
      <c r="F20" s="1689"/>
      <c r="G20" s="1689"/>
      <c r="H20" s="1689"/>
      <c r="I20" s="1689"/>
      <c r="J20" s="1689"/>
      <c r="K20" s="1689"/>
      <c r="L20" s="1689"/>
      <c r="M20" s="1689"/>
      <c r="N20" s="1689"/>
      <c r="O20" s="1689"/>
      <c r="P20" s="1689"/>
      <c r="Q20" s="1689"/>
      <c r="R20" s="1690">
        <f>'Required Info to Submit'!F9</f>
        <v>0</v>
      </c>
      <c r="S20" s="1690"/>
      <c r="T20" s="1690"/>
      <c r="U20" s="1690"/>
      <c r="V20" s="1690"/>
      <c r="W20" s="1690"/>
      <c r="X20" s="1690"/>
      <c r="Y20" s="1690"/>
      <c r="Z20" s="1690"/>
      <c r="AA20" s="1690"/>
      <c r="AB20" s="1690"/>
      <c r="AC20" s="1690"/>
      <c r="AD20" s="1690"/>
      <c r="AE20" s="1690"/>
      <c r="AF20" s="1690"/>
      <c r="AG20" s="1690"/>
      <c r="AH20" s="1690"/>
      <c r="AI20" s="1690"/>
      <c r="AJ20" s="1690"/>
      <c r="AK20" s="1690"/>
      <c r="AL20" s="1690"/>
      <c r="AN20" s="1689" t="s">
        <v>830</v>
      </c>
      <c r="AO20" s="1689"/>
      <c r="AP20" s="1689"/>
      <c r="AQ20" s="1689"/>
      <c r="AR20" s="1689"/>
      <c r="AS20" s="1689"/>
      <c r="AT20" s="1689"/>
      <c r="AU20" s="1689"/>
      <c r="AV20" s="1690">
        <f>'Required Info to Submit'!F11</f>
        <v>0</v>
      </c>
      <c r="AW20" s="1690"/>
      <c r="AX20" s="1690"/>
      <c r="AY20" s="1690"/>
      <c r="AZ20" s="1690"/>
      <c r="BA20" s="1690"/>
      <c r="BB20" s="1690"/>
      <c r="BC20" s="1690"/>
      <c r="BD20" s="1690"/>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2" t="s">
        <v>878</v>
      </c>
      <c r="C22" s="1689"/>
      <c r="D22" s="1689"/>
      <c r="E22" s="1689"/>
      <c r="F22" s="1689"/>
      <c r="G22" s="1689"/>
      <c r="H22" s="1689"/>
      <c r="I22" s="1689"/>
      <c r="J22" s="1689"/>
      <c r="K22" s="1689"/>
      <c r="L22" s="1689"/>
      <c r="M22" s="1689"/>
      <c r="N22" s="1689"/>
      <c r="O22" s="1689"/>
      <c r="P22" s="1689"/>
      <c r="Q22" s="1689"/>
      <c r="R22" s="1690">
        <f>'Required Info to Submit'!F12</f>
        <v>0</v>
      </c>
      <c r="S22" s="1690"/>
      <c r="T22" s="1690"/>
      <c r="U22" s="1690"/>
      <c r="V22" s="1690"/>
      <c r="W22" s="1690"/>
      <c r="X22" s="1690"/>
      <c r="Y22" s="1690"/>
      <c r="Z22" s="1690"/>
      <c r="AA22" s="1690"/>
      <c r="AB22" s="1690"/>
      <c r="AC22" s="1690"/>
      <c r="AD22" s="1690"/>
      <c r="AE22" s="1690"/>
      <c r="AF22" s="1690"/>
      <c r="AG22" s="1690"/>
      <c r="AH22" s="1690"/>
      <c r="AI22" s="1690"/>
      <c r="AJ22" s="1690"/>
      <c r="AK22" s="1690"/>
      <c r="AL22" s="1690"/>
      <c r="AN22" s="1689"/>
      <c r="AO22" s="1689"/>
      <c r="AP22" s="1689"/>
      <c r="AQ22" s="1689"/>
      <c r="AR22" s="1689"/>
      <c r="AS22" s="1689"/>
      <c r="AT22" s="1689"/>
      <c r="AU22" s="1689"/>
      <c r="AV22" s="1696"/>
      <c r="AW22" s="1696"/>
      <c r="AX22" s="1696"/>
      <c r="AY22" s="1696"/>
      <c r="AZ22" s="1696"/>
      <c r="BA22" s="1696"/>
      <c r="BB22" s="1696"/>
      <c r="BC22" s="1696"/>
      <c r="BD22" s="1696"/>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2" t="s">
        <v>879</v>
      </c>
      <c r="C24" s="1689"/>
      <c r="D24" s="1689"/>
      <c r="E24" s="1689"/>
      <c r="F24" s="1689"/>
      <c r="G24" s="1689"/>
      <c r="H24" s="1689"/>
      <c r="I24" s="1689"/>
      <c r="J24" s="1689"/>
      <c r="K24" s="1689"/>
      <c r="L24" s="1689"/>
      <c r="M24" s="1689"/>
      <c r="N24" s="1689"/>
      <c r="O24" s="1689"/>
      <c r="P24" s="1689"/>
      <c r="Q24" s="1689"/>
      <c r="R24" s="1701">
        <f>'Required Info to Submit'!$F$14</f>
        <v>0</v>
      </c>
      <c r="S24" s="1701"/>
      <c r="T24" s="1701"/>
      <c r="U24" s="1701"/>
      <c r="V24" s="1701"/>
      <c r="W24" s="1701"/>
      <c r="X24" s="1701"/>
      <c r="Y24" s="1701"/>
      <c r="Z24" s="1701"/>
      <c r="AA24" s="1701"/>
      <c r="AB24" s="1701"/>
      <c r="AC24" s="1701"/>
      <c r="AN24" s="1595" t="s">
        <v>883</v>
      </c>
      <c r="AO24" s="1595"/>
      <c r="AP24" s="1595"/>
      <c r="AQ24" s="1595"/>
      <c r="AR24" s="1595"/>
      <c r="AS24" s="1595"/>
      <c r="AT24" s="1595"/>
      <c r="AU24" s="1595"/>
      <c r="AV24" s="1697" t="e">
        <f>#REF!</f>
        <v>#REF!</v>
      </c>
      <c r="AW24" s="1697"/>
      <c r="AX24" s="1697"/>
      <c r="AY24" s="1697"/>
      <c r="AZ24" s="1697"/>
      <c r="BA24" s="1697"/>
      <c r="BB24" s="1697"/>
      <c r="BC24" s="1697"/>
      <c r="BD24" s="1697"/>
      <c r="BF24" s="138"/>
    </row>
    <row r="25" spans="2:68" ht="17.25" x14ac:dyDescent="0.25">
      <c r="B25" s="137"/>
      <c r="C25" s="267"/>
      <c r="D25" s="267"/>
      <c r="E25" s="267"/>
      <c r="F25" s="267"/>
      <c r="G25" s="267"/>
      <c r="H25" s="1695" t="s">
        <v>719</v>
      </c>
      <c r="I25" s="1695"/>
      <c r="J25" s="1695"/>
      <c r="K25" s="1695"/>
      <c r="L25" s="1695"/>
      <c r="M25" s="1695"/>
      <c r="N25" s="1695"/>
      <c r="O25" s="1695"/>
      <c r="P25" s="1695"/>
      <c r="Q25" s="267"/>
      <c r="AN25" s="1695" t="s">
        <v>718</v>
      </c>
      <c r="AO25" s="1695"/>
      <c r="AP25" s="1695"/>
      <c r="AQ25" s="1695"/>
      <c r="AR25" s="1695"/>
      <c r="AS25" s="1695"/>
      <c r="AT25" s="1695"/>
      <c r="BF25" s="138"/>
    </row>
    <row r="26" spans="2:68" ht="18.75" x14ac:dyDescent="0.3">
      <c r="B26" s="1642" t="s">
        <v>655</v>
      </c>
      <c r="C26" s="1643"/>
      <c r="D26" s="1643"/>
      <c r="E26" s="1643"/>
      <c r="F26" s="1643"/>
      <c r="G26" s="1643"/>
      <c r="H26" s="1643"/>
      <c r="I26" s="1643"/>
      <c r="J26" s="1643"/>
      <c r="K26" s="1643"/>
      <c r="L26" s="1643"/>
      <c r="M26" s="1643"/>
      <c r="N26" s="1643"/>
      <c r="O26" s="1643"/>
      <c r="P26" s="1643"/>
      <c r="Q26" s="1643"/>
      <c r="R26" s="1643"/>
      <c r="S26" s="1643"/>
      <c r="T26" s="1643"/>
      <c r="U26" s="1643"/>
      <c r="V26" s="1643"/>
      <c r="W26" s="1643"/>
      <c r="X26" s="1643"/>
      <c r="Y26" s="1643"/>
      <c r="Z26" s="1643"/>
      <c r="AA26" s="1643"/>
      <c r="AB26" s="1643"/>
      <c r="AC26" s="1643"/>
      <c r="AD26" s="1643"/>
      <c r="AE26" s="1643"/>
      <c r="AF26" s="1643"/>
      <c r="AG26" s="1643"/>
      <c r="AH26" s="1643"/>
      <c r="AI26" s="1643"/>
      <c r="AJ26" s="1643"/>
      <c r="AK26" s="1643"/>
      <c r="AL26" s="1643"/>
      <c r="AM26" s="1643"/>
      <c r="AN26" s="1643"/>
      <c r="AO26" s="1643"/>
      <c r="AP26" s="1643"/>
      <c r="AQ26" s="1643"/>
      <c r="AR26" s="1643"/>
      <c r="AS26" s="1643"/>
      <c r="AT26" s="1643"/>
      <c r="AU26" s="1643"/>
      <c r="AV26" s="1643"/>
      <c r="AW26" s="1643"/>
      <c r="AX26" s="1643"/>
      <c r="AY26" s="1643"/>
      <c r="AZ26" s="1643"/>
      <c r="BA26" s="1643"/>
      <c r="BB26" s="1643"/>
      <c r="BC26" s="1643"/>
      <c r="BD26" s="1643"/>
      <c r="BE26" s="1643"/>
      <c r="BF26" s="1644"/>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5" t="s">
        <v>656</v>
      </c>
      <c r="C28" s="1706"/>
      <c r="D28" s="1706"/>
      <c r="E28" s="1706"/>
      <c r="F28" s="1706"/>
      <c r="G28" s="1706"/>
      <c r="H28" s="1706"/>
      <c r="I28" s="1706"/>
      <c r="J28" s="1706"/>
      <c r="K28" s="1706"/>
      <c r="L28" s="1706"/>
      <c r="M28" s="1706"/>
      <c r="N28" s="1706"/>
      <c r="O28" s="1706"/>
      <c r="P28" s="1706"/>
      <c r="Q28" s="1706"/>
      <c r="T28" s="1702">
        <f>'Tracking &amp; Profitability'!$E$6</f>
        <v>0</v>
      </c>
      <c r="U28" s="1702"/>
      <c r="V28" s="1702"/>
      <c r="W28" s="1702"/>
      <c r="X28" s="1702"/>
      <c r="Y28" s="1702"/>
      <c r="Z28" s="1702"/>
      <c r="AA28" s="1702"/>
      <c r="AB28" s="1702"/>
      <c r="AF28" t="s">
        <v>717</v>
      </c>
      <c r="AO28" s="1700">
        <v>5</v>
      </c>
      <c r="AP28" s="1700"/>
      <c r="AQ28" s="1700"/>
      <c r="AR28" s="1684" t="s">
        <v>657</v>
      </c>
      <c r="AS28" s="1684"/>
      <c r="AU28" s="1700">
        <v>5</v>
      </c>
      <c r="AV28" s="1700"/>
      <c r="AW28" s="1700"/>
      <c r="AX28" s="1684" t="s">
        <v>716</v>
      </c>
      <c r="AY28" s="1684"/>
      <c r="BA28" s="1700">
        <v>5</v>
      </c>
      <c r="BB28" s="1700"/>
      <c r="BC28" s="1700"/>
      <c r="BD28" s="1684" t="s">
        <v>658</v>
      </c>
      <c r="BE28" s="1684"/>
      <c r="BF28" s="138"/>
    </row>
    <row r="29" spans="2:68" ht="17.25" x14ac:dyDescent="0.25">
      <c r="B29" s="137"/>
      <c r="T29" s="134"/>
      <c r="U29" s="134"/>
      <c r="V29" s="134"/>
      <c r="W29" s="134"/>
      <c r="X29" s="134"/>
      <c r="Y29" s="134"/>
      <c r="Z29" s="134"/>
      <c r="AA29" s="134"/>
      <c r="AB29" s="134"/>
      <c r="AF29" s="1695" t="s">
        <v>715</v>
      </c>
      <c r="AG29" s="1695"/>
      <c r="AH29" s="1695"/>
      <c r="AI29" s="1695"/>
      <c r="AJ29" s="1695"/>
      <c r="AK29" s="1695"/>
      <c r="AL29" s="1695"/>
      <c r="AM29" s="1695"/>
      <c r="AN29" s="1695"/>
      <c r="AO29" s="1695"/>
      <c r="AP29" s="1695"/>
      <c r="AQ29" s="1695"/>
      <c r="AR29" s="1695"/>
      <c r="AS29" s="1695"/>
      <c r="AT29" s="1695"/>
      <c r="AU29" s="1695"/>
      <c r="AV29" s="1695"/>
      <c r="AW29" s="1695"/>
      <c r="AX29" s="1695"/>
      <c r="AY29" s="1695"/>
      <c r="AZ29" s="1695"/>
      <c r="BA29" s="1695"/>
      <c r="BB29" s="1695"/>
      <c r="BC29" s="1695"/>
      <c r="BD29" s="1695"/>
      <c r="BE29" s="1695"/>
      <c r="BF29" s="138"/>
    </row>
    <row r="30" spans="2:68" x14ac:dyDescent="0.25">
      <c r="B30" s="1699" t="s">
        <v>712</v>
      </c>
      <c r="C30" s="1595"/>
      <c r="D30" s="1595"/>
      <c r="E30" s="1595"/>
      <c r="F30" s="1595"/>
      <c r="G30" s="1595"/>
      <c r="H30" s="1595"/>
      <c r="I30" s="1595"/>
      <c r="J30" s="1595"/>
      <c r="K30" s="1595"/>
      <c r="L30" s="1595"/>
      <c r="M30" s="1595"/>
      <c r="N30" s="1595"/>
      <c r="O30" s="1595"/>
      <c r="P30" s="1595"/>
      <c r="Q30" s="1595"/>
      <c r="T30" s="1709">
        <v>1</v>
      </c>
      <c r="U30" s="1709"/>
      <c r="V30" s="1709"/>
      <c r="W30" s="1709"/>
      <c r="AF30" s="1602" t="s">
        <v>714</v>
      </c>
      <c r="AG30" s="1602"/>
      <c r="AH30" s="1602"/>
      <c r="AI30" s="1602"/>
      <c r="AJ30" s="1602"/>
      <c r="AK30" s="1602"/>
      <c r="AL30" s="1602"/>
      <c r="AM30" s="1602"/>
      <c r="AN30" s="1602"/>
      <c r="AO30" s="1602"/>
      <c r="AP30" s="1700" t="s">
        <v>1044</v>
      </c>
      <c r="AQ30" s="1700"/>
      <c r="AR30" s="1700"/>
      <c r="AT30" s="1602" t="s">
        <v>713</v>
      </c>
      <c r="AU30" s="1602"/>
      <c r="AV30" s="1602"/>
      <c r="AW30" s="1602"/>
      <c r="AX30" s="1602"/>
      <c r="AY30" s="1602"/>
      <c r="AZ30" s="1602"/>
      <c r="BA30" s="1602"/>
      <c r="BB30" s="1602"/>
      <c r="BC30" s="1602"/>
      <c r="BF30" s="138"/>
    </row>
    <row r="31" spans="2:68" x14ac:dyDescent="0.25">
      <c r="B31" s="137"/>
      <c r="BF31" s="138"/>
      <c r="BP31" s="266"/>
    </row>
    <row r="32" spans="2:68" x14ac:dyDescent="0.25">
      <c r="B32" s="1699" t="s">
        <v>709</v>
      </c>
      <c r="C32" s="1595"/>
      <c r="D32" s="1595"/>
      <c r="E32" s="1595"/>
      <c r="F32" s="1595"/>
      <c r="G32" s="1595"/>
      <c r="H32" s="1595"/>
      <c r="I32" s="1595"/>
      <c r="J32" s="1595"/>
      <c r="K32" s="1595"/>
      <c r="L32" s="1595"/>
      <c r="M32" s="1595"/>
      <c r="N32" s="1595"/>
      <c r="O32" s="1595"/>
      <c r="P32" s="1595"/>
      <c r="Q32" s="1595"/>
      <c r="T32" s="1703" t="s">
        <v>1018</v>
      </c>
      <c r="U32" s="1703"/>
      <c r="V32" s="1703"/>
      <c r="W32" s="1703"/>
      <c r="X32" s="1703"/>
      <c r="Y32" s="1703"/>
      <c r="Z32" s="1703"/>
      <c r="AA32" s="1703"/>
      <c r="AB32" s="1703"/>
      <c r="AC32" s="1703"/>
      <c r="AD32" s="1703"/>
      <c r="AE32" s="1703"/>
      <c r="AF32" s="1703"/>
      <c r="AG32" s="1703"/>
      <c r="AH32" s="1703"/>
      <c r="AI32" s="1703"/>
      <c r="AJ32" s="1703"/>
      <c r="AK32" s="1703"/>
      <c r="AL32" s="1703"/>
      <c r="AM32" s="1703"/>
      <c r="AN32" s="1703"/>
      <c r="AO32" s="1703"/>
      <c r="BF32" s="138"/>
    </row>
    <row r="33" spans="2:92" x14ac:dyDescent="0.25">
      <c r="B33" s="137"/>
      <c r="BF33" s="138"/>
    </row>
    <row r="34" spans="2:92" x14ac:dyDescent="0.25">
      <c r="B34" s="137"/>
      <c r="C34" s="82"/>
      <c r="D34" s="82"/>
      <c r="E34" s="82"/>
      <c r="F34" s="82"/>
      <c r="G34" s="82"/>
      <c r="H34" s="82"/>
      <c r="I34" s="1700"/>
      <c r="J34" s="1700"/>
      <c r="K34" s="1684" t="s">
        <v>485</v>
      </c>
      <c r="L34" s="1684"/>
      <c r="M34" s="1684"/>
      <c r="N34" s="1684"/>
      <c r="O34" s="1684"/>
      <c r="P34" s="1684"/>
      <c r="Q34" s="1684"/>
      <c r="R34" s="1700" t="s">
        <v>241</v>
      </c>
      <c r="S34" s="1700"/>
      <c r="T34" s="1684" t="s">
        <v>484</v>
      </c>
      <c r="U34" s="1684"/>
      <c r="V34" s="1684"/>
      <c r="W34" s="1684"/>
      <c r="X34" s="1700"/>
      <c r="Y34" s="1700"/>
      <c r="Z34" s="1684" t="s">
        <v>483</v>
      </c>
      <c r="AA34" s="1684"/>
      <c r="AB34" s="1684"/>
      <c r="AF34" t="s">
        <v>711</v>
      </c>
      <c r="AL34" s="1700">
        <v>5</v>
      </c>
      <c r="AM34" s="1700"/>
      <c r="AN34" s="1700"/>
      <c r="AO34" t="s">
        <v>710</v>
      </c>
      <c r="BF34" s="138"/>
    </row>
    <row r="35" spans="2:92" x14ac:dyDescent="0.25">
      <c r="B35" s="137"/>
      <c r="BF35" s="138"/>
      <c r="BP35" s="268"/>
      <c r="CN35" s="266"/>
    </row>
    <row r="36" spans="2:92" x14ac:dyDescent="0.25">
      <c r="B36" s="1705" t="s">
        <v>708</v>
      </c>
      <c r="C36" s="1706"/>
      <c r="D36" s="1706"/>
      <c r="E36" s="1706"/>
      <c r="F36" s="1706"/>
      <c r="G36" s="1706"/>
      <c r="H36" s="1706"/>
      <c r="I36" s="1706"/>
      <c r="J36" s="1706"/>
      <c r="K36" s="1706"/>
      <c r="L36" s="1706"/>
      <c r="M36" s="1706"/>
      <c r="N36" s="1706"/>
      <c r="O36" s="1706"/>
      <c r="P36" s="1706"/>
      <c r="Q36" s="1706"/>
      <c r="R36" s="1706"/>
      <c r="T36" s="1715" t="str">
        <f>IFERROR($T$28/('Tracking &amp; Profitability'!$E$7*52*Welcome!$D$14),"Error on A La Carte")</f>
        <v>Error on A La Carte</v>
      </c>
      <c r="U36" s="1715"/>
      <c r="V36" s="1715"/>
      <c r="W36" s="1715"/>
      <c r="X36" s="1715"/>
      <c r="Y36" s="1715"/>
      <c r="Z36" s="1715"/>
      <c r="AA36" s="1715"/>
      <c r="AB36" s="1715"/>
      <c r="AF36" s="1706" t="s">
        <v>480</v>
      </c>
      <c r="AG36" s="1706"/>
      <c r="AH36" s="1706"/>
      <c r="AI36" s="1706"/>
      <c r="AJ36" s="1706"/>
      <c r="AK36" s="1706"/>
      <c r="AL36" s="1706"/>
      <c r="AM36" s="1706"/>
      <c r="AN36" s="1706"/>
      <c r="AO36" s="1706"/>
      <c r="AP36" s="1706"/>
      <c r="AQ36" s="1706"/>
      <c r="AR36" s="1706"/>
      <c r="AS36" s="1706"/>
      <c r="AU36" s="1700" t="e">
        <f>ROUND(((1-(('PIM Model'!$G$15+'PIM Model'!$G$17+'PIM Model'!$G$18)/'PIM Model'!$G$31))*100),0)&amp;"%/"&amp;ROUND((('PIM Model'!$G$15+'PIM Model'!$G$17+'PIM Model'!$G$18)/'PIM Model'!$G$31*100),0)&amp;"%"</f>
        <v>#DIV/0!</v>
      </c>
      <c r="AV36" s="1700"/>
      <c r="AW36" s="1700"/>
      <c r="AX36" s="1700"/>
      <c r="AY36" s="1700"/>
      <c r="AZ36" s="170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5" t="s">
        <v>706</v>
      </c>
      <c r="C38" s="1706"/>
      <c r="D38" s="1706"/>
      <c r="E38" s="1706"/>
      <c r="F38" s="1706"/>
      <c r="G38" s="1706"/>
      <c r="H38" s="1706"/>
      <c r="I38" s="1706"/>
      <c r="J38" s="1706"/>
      <c r="K38" s="1706"/>
      <c r="L38" s="1706"/>
      <c r="M38" s="1706"/>
      <c r="N38" s="1706"/>
      <c r="O38" s="1706"/>
      <c r="P38" s="1706"/>
      <c r="Q38" s="1706"/>
      <c r="R38" s="1706"/>
      <c r="T38" s="1716" t="str">
        <f>IFERROR('PIM Model'!$H$31/('PIM Model'!$E$6*52*Welcome!$D$14),"Error on A La Carte")</f>
        <v>Error on A La Carte</v>
      </c>
      <c r="U38" s="1716"/>
      <c r="V38" s="1716"/>
      <c r="W38" s="1716"/>
      <c r="X38" s="1716"/>
      <c r="Y38" s="1716"/>
      <c r="Z38" s="1716"/>
      <c r="AA38" s="1716"/>
      <c r="AB38" s="1716"/>
      <c r="AC38" s="269"/>
      <c r="AD38" s="269"/>
      <c r="AF38" s="1595" t="s">
        <v>659</v>
      </c>
      <c r="AG38" s="1595"/>
      <c r="AH38" s="1595"/>
      <c r="AI38" s="1595"/>
      <c r="AJ38" s="1595"/>
      <c r="AK38" s="1595"/>
      <c r="AL38" s="1595"/>
      <c r="AM38" s="1595"/>
      <c r="AN38" s="1595"/>
      <c r="AO38" s="1595"/>
      <c r="AP38" s="1595"/>
      <c r="AQ38" s="1595"/>
      <c r="AR38" s="1595"/>
      <c r="AS38" s="1595"/>
      <c r="AU38" s="1700">
        <f>COUNTIF('PIM Model'!$E$10:$E$30,"Include")</f>
        <v>21</v>
      </c>
      <c r="AV38" s="1700"/>
      <c r="AW38" s="1700"/>
      <c r="AX38" s="1700"/>
      <c r="AY38" s="1700"/>
      <c r="AZ38" s="1700"/>
      <c r="BF38" s="138"/>
    </row>
    <row r="39" spans="2:92" x14ac:dyDescent="0.25">
      <c r="B39" s="137"/>
      <c r="BF39" s="138"/>
    </row>
    <row r="40" spans="2:92" x14ac:dyDescent="0.25">
      <c r="B40" s="1705" t="s">
        <v>704</v>
      </c>
      <c r="C40" s="1706"/>
      <c r="D40" s="1706"/>
      <c r="E40" s="1706"/>
      <c r="F40" s="1706"/>
      <c r="G40" s="1706"/>
      <c r="H40" s="1706"/>
      <c r="I40" s="1706"/>
      <c r="J40" s="1706"/>
      <c r="K40" s="1706"/>
      <c r="L40" s="1706"/>
      <c r="M40" s="1706"/>
      <c r="N40" s="1706"/>
      <c r="O40" s="1706"/>
      <c r="P40" s="1706"/>
      <c r="Q40" s="1706"/>
      <c r="R40" s="1706"/>
      <c r="T40" s="1702">
        <f>IFERROR('PIM Model'!$G$31/'PIM Model'!$H$31,0)</f>
        <v>0</v>
      </c>
      <c r="U40" s="1702"/>
      <c r="V40" s="1702"/>
      <c r="W40" s="1702"/>
      <c r="X40" s="1702"/>
      <c r="Y40" s="1702"/>
      <c r="Z40" s="1702"/>
      <c r="AA40" s="1702"/>
      <c r="AB40" s="1702"/>
      <c r="AF40" s="1595" t="s">
        <v>707</v>
      </c>
      <c r="AG40" s="1595"/>
      <c r="AH40" s="1595"/>
      <c r="AI40" s="1595"/>
      <c r="AJ40" s="1595"/>
      <c r="AK40" s="1595"/>
      <c r="AL40" s="1595"/>
      <c r="AM40" s="1595"/>
      <c r="AN40" s="1595"/>
      <c r="AO40" s="1595"/>
      <c r="AP40" s="1595"/>
      <c r="AQ40" s="1595"/>
      <c r="AR40" s="1595"/>
      <c r="AS40" s="1595"/>
      <c r="AU40" s="1700">
        <f>$AO$28+$AU$28+$BA$28</f>
        <v>15</v>
      </c>
      <c r="AV40" s="1700"/>
      <c r="AW40" s="1700"/>
      <c r="BC40" s="1684"/>
      <c r="BD40" s="1684"/>
      <c r="BE40" s="1684"/>
      <c r="BF40" s="138"/>
    </row>
    <row r="41" spans="2:92" x14ac:dyDescent="0.25">
      <c r="B41" s="137"/>
      <c r="BF41" s="138"/>
      <c r="BP41" s="266"/>
      <c r="CN41" s="268"/>
    </row>
    <row r="42" spans="2:92" x14ac:dyDescent="0.25">
      <c r="B42" s="1699" t="s">
        <v>702</v>
      </c>
      <c r="C42" s="1595"/>
      <c r="D42" s="1595"/>
      <c r="E42" s="1595"/>
      <c r="F42" s="1595"/>
      <c r="G42" s="1595"/>
      <c r="H42" s="1595"/>
      <c r="I42" s="1595"/>
      <c r="J42" s="1595"/>
      <c r="K42" s="1595"/>
      <c r="L42" s="1595"/>
      <c r="M42" s="1595"/>
      <c r="N42" s="1595"/>
      <c r="O42" s="1595"/>
      <c r="P42" s="1595"/>
      <c r="Q42" s="1595"/>
      <c r="R42" s="1595"/>
      <c r="T42" s="1702" t="s">
        <v>758</v>
      </c>
      <c r="U42" s="1702"/>
      <c r="V42" s="1702"/>
      <c r="W42" s="1702"/>
      <c r="X42" s="1702"/>
      <c r="Y42" s="1702"/>
      <c r="Z42" s="1702"/>
      <c r="AA42" s="1702"/>
      <c r="AB42" s="1702"/>
      <c r="AF42" s="1595" t="s">
        <v>705</v>
      </c>
      <c r="AG42" s="1595"/>
      <c r="AH42" s="1595"/>
      <c r="AI42" s="1595"/>
      <c r="AJ42" s="1595"/>
      <c r="AK42" s="1595"/>
      <c r="AL42" s="1595"/>
      <c r="AM42" s="1595"/>
      <c r="AN42" s="1595"/>
      <c r="AO42" s="1595"/>
      <c r="AP42" s="1595"/>
      <c r="AQ42" s="1595"/>
      <c r="AR42" s="1595"/>
      <c r="AS42" s="1595"/>
      <c r="AU42" s="1700" t="s">
        <v>651</v>
      </c>
      <c r="AV42" s="1700"/>
      <c r="AW42" s="1700"/>
      <c r="BC42" s="1684"/>
      <c r="BD42" s="1684"/>
      <c r="BE42" s="1684"/>
      <c r="BF42" s="138"/>
    </row>
    <row r="43" spans="2:92" x14ac:dyDescent="0.25">
      <c r="B43" s="137"/>
      <c r="BF43" s="138"/>
      <c r="BP43" s="266"/>
      <c r="CN43" s="268"/>
    </row>
    <row r="44" spans="2:92" x14ac:dyDescent="0.25">
      <c r="B44" s="1705" t="s">
        <v>700</v>
      </c>
      <c r="C44" s="1706"/>
      <c r="D44" s="1706"/>
      <c r="E44" s="1706"/>
      <c r="F44" s="1706"/>
      <c r="G44" s="1706"/>
      <c r="H44" s="1706"/>
      <c r="I44" s="1706"/>
      <c r="J44" s="1706"/>
      <c r="K44" s="1706"/>
      <c r="L44" s="1706"/>
      <c r="M44" s="1706"/>
      <c r="N44" s="1706"/>
      <c r="O44" s="1706"/>
      <c r="P44" s="1706"/>
      <c r="Q44" s="1706"/>
      <c r="R44" s="1706"/>
      <c r="T44" s="1708">
        <f>'Tracking &amp; Profitability'!$E$7</f>
        <v>0</v>
      </c>
      <c r="U44" s="1708"/>
      <c r="V44" s="1708"/>
      <c r="W44" s="1708"/>
      <c r="X44" s="1708"/>
      <c r="Y44" s="1708"/>
      <c r="Z44" s="1708"/>
      <c r="AA44" s="1708"/>
      <c r="AB44" s="1708"/>
      <c r="AF44" s="1595" t="s">
        <v>703</v>
      </c>
      <c r="AG44" s="1595"/>
      <c r="AH44" s="1595"/>
      <c r="AI44" s="1595"/>
      <c r="AJ44" s="1595"/>
      <c r="AK44" s="1595"/>
      <c r="AL44" s="1595"/>
      <c r="AM44" s="1595"/>
      <c r="AN44" s="1595"/>
      <c r="AO44" s="1595"/>
      <c r="AP44" s="1595"/>
      <c r="AQ44" s="1595"/>
      <c r="AR44" s="1595"/>
      <c r="AS44" s="1595"/>
      <c r="AU44" s="1700" t="s">
        <v>651</v>
      </c>
      <c r="AV44" s="1700"/>
      <c r="AW44" s="1700"/>
      <c r="BC44" s="1684"/>
      <c r="BD44" s="1684"/>
      <c r="BE44" s="1684"/>
      <c r="BF44" s="138"/>
    </row>
    <row r="45" spans="2:92" x14ac:dyDescent="0.25">
      <c r="B45" s="137"/>
      <c r="BF45" s="138"/>
      <c r="CN45" s="268"/>
    </row>
    <row r="46" spans="2:92" x14ac:dyDescent="0.25">
      <c r="B46" s="1710" t="s">
        <v>660</v>
      </c>
      <c r="C46" s="1711"/>
      <c r="D46" s="1711"/>
      <c r="E46" s="1711"/>
      <c r="F46" s="1711"/>
      <c r="G46" s="1711"/>
      <c r="H46" s="1711"/>
      <c r="I46" s="1711"/>
      <c r="J46" s="1711"/>
      <c r="K46" s="1711"/>
      <c r="L46" s="1711"/>
      <c r="M46" s="1711"/>
      <c r="N46" s="1711"/>
      <c r="O46" s="1711"/>
      <c r="P46" s="1711"/>
      <c r="Q46" s="1711"/>
      <c r="R46" s="1711"/>
      <c r="T46" s="1690">
        <v>150</v>
      </c>
      <c r="U46" s="1690"/>
      <c r="V46" s="1690"/>
      <c r="W46" s="1690"/>
      <c r="X46" s="1690"/>
      <c r="Y46" s="1690"/>
      <c r="Z46" s="1690"/>
      <c r="AA46" s="1690"/>
      <c r="AB46" s="1690"/>
      <c r="AF46" s="1704" t="s">
        <v>701</v>
      </c>
      <c r="AG46" s="1704"/>
      <c r="AH46" s="1704"/>
      <c r="AI46" s="1704"/>
      <c r="AJ46" s="1704"/>
      <c r="AK46" s="1704"/>
      <c r="AL46" s="1704"/>
      <c r="AM46" s="1704"/>
      <c r="AN46" s="1704"/>
      <c r="AO46" s="1704"/>
      <c r="AP46" s="1704"/>
      <c r="AQ46" s="1704"/>
      <c r="AR46" s="1704"/>
      <c r="AS46" s="1704"/>
      <c r="AU46" s="1720">
        <v>0.3</v>
      </c>
      <c r="AV46" s="1720"/>
      <c r="AW46" s="1720"/>
      <c r="AX46" s="1720"/>
      <c r="AY46" s="1720"/>
      <c r="AZ46" s="1720"/>
      <c r="BF46" s="138"/>
    </row>
    <row r="47" spans="2:92" x14ac:dyDescent="0.25">
      <c r="B47" s="137"/>
      <c r="BF47" s="138"/>
      <c r="CN47" s="268"/>
    </row>
    <row r="48" spans="2:92" x14ac:dyDescent="0.25">
      <c r="B48" s="1705" t="s">
        <v>481</v>
      </c>
      <c r="C48" s="1706"/>
      <c r="D48" s="1706"/>
      <c r="E48" s="1706"/>
      <c r="F48" s="1706"/>
      <c r="G48" s="1706"/>
      <c r="H48" s="1706"/>
      <c r="I48" s="1706"/>
      <c r="J48" s="1706"/>
      <c r="K48" s="1706"/>
      <c r="L48" s="1706"/>
      <c r="M48" s="1706"/>
      <c r="N48" s="1706"/>
      <c r="O48" s="1706"/>
      <c r="P48" s="1706"/>
      <c r="Q48" s="1706"/>
      <c r="R48" s="1706"/>
      <c r="T48" s="1690">
        <f>$K$10</f>
        <v>0</v>
      </c>
      <c r="U48" s="1690"/>
      <c r="V48" s="1690"/>
      <c r="W48" s="1690"/>
      <c r="X48" s="1690"/>
      <c r="Y48" s="1690"/>
      <c r="Z48" s="1690"/>
      <c r="AA48" s="1690"/>
      <c r="AB48" s="1690"/>
      <c r="AF48" s="1704" t="s">
        <v>699</v>
      </c>
      <c r="AG48" s="1704"/>
      <c r="AH48" s="1704"/>
      <c r="AI48" s="1704"/>
      <c r="AJ48" s="1704"/>
      <c r="AK48" s="1704"/>
      <c r="AL48" s="1704"/>
      <c r="AM48" s="1704"/>
      <c r="AN48" s="1704"/>
      <c r="AO48" s="1704"/>
      <c r="AP48" s="1704"/>
      <c r="AQ48" s="1704"/>
      <c r="AR48" s="1704"/>
      <c r="AS48" s="1704"/>
      <c r="AU48" s="1724">
        <v>2.25</v>
      </c>
      <c r="AV48" s="1725"/>
      <c r="AW48" s="1725"/>
      <c r="AX48" s="1725"/>
      <c r="AY48" s="1725"/>
      <c r="AZ48" s="1725"/>
      <c r="BF48" s="138"/>
    </row>
    <row r="49" spans="2:92" x14ac:dyDescent="0.25">
      <c r="B49" s="137"/>
      <c r="BF49" s="138"/>
      <c r="CN49" s="268"/>
    </row>
    <row r="50" spans="2:92" x14ac:dyDescent="0.25">
      <c r="B50" s="1714" t="s">
        <v>698</v>
      </c>
      <c r="C50" s="1704"/>
      <c r="D50" s="1704"/>
      <c r="E50" s="1704"/>
      <c r="F50" s="1704"/>
      <c r="G50" s="1704"/>
      <c r="H50" s="1704"/>
      <c r="I50" s="1704"/>
      <c r="J50" s="1704"/>
      <c r="K50" s="1704"/>
      <c r="L50" s="1704"/>
      <c r="M50" s="1704"/>
      <c r="N50" s="1704"/>
      <c r="O50" s="1704"/>
      <c r="P50" s="1704"/>
      <c r="Q50" s="1704"/>
      <c r="R50" s="1704"/>
      <c r="T50" s="1712">
        <v>500</v>
      </c>
      <c r="U50" s="1712"/>
      <c r="V50" s="1712"/>
      <c r="W50" s="1712"/>
      <c r="X50" s="1712"/>
      <c r="Y50" s="1712"/>
      <c r="Z50" s="1595" t="s">
        <v>697</v>
      </c>
      <c r="AA50" s="1595"/>
      <c r="AB50" s="1595"/>
      <c r="AC50" s="1712">
        <v>35</v>
      </c>
      <c r="AD50" s="1712"/>
      <c r="AE50" s="1712"/>
      <c r="AF50" s="1712"/>
      <c r="AG50" s="171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7" t="s">
        <v>681</v>
      </c>
      <c r="C53" s="1718"/>
      <c r="D53" s="1718"/>
      <c r="E53" s="1718"/>
      <c r="F53" s="1718"/>
      <c r="G53" s="1718"/>
      <c r="H53" s="1718"/>
      <c r="I53" s="1718"/>
      <c r="J53" s="1718"/>
      <c r="K53" s="1718"/>
      <c r="L53" s="1718"/>
      <c r="M53" s="1718"/>
      <c r="N53" s="1718"/>
      <c r="O53" s="1718"/>
      <c r="P53" s="1718"/>
      <c r="Q53" s="1718"/>
      <c r="R53" s="1718"/>
      <c r="S53" s="1718"/>
      <c r="T53" s="1718"/>
      <c r="U53" s="1718"/>
      <c r="V53" s="1718"/>
      <c r="W53" s="1718"/>
      <c r="X53" s="1718"/>
      <c r="Y53" s="1718"/>
      <c r="Z53" s="1718"/>
      <c r="AA53" s="1718"/>
      <c r="AB53" s="1718"/>
      <c r="AC53" s="1718"/>
      <c r="AD53" s="1718"/>
      <c r="AE53" s="1718"/>
      <c r="AF53" s="1718"/>
      <c r="AG53" s="1718"/>
      <c r="AH53" s="1718"/>
      <c r="AI53" s="1718"/>
      <c r="AJ53" s="1718"/>
      <c r="AK53" s="1718"/>
      <c r="AL53" s="1718"/>
      <c r="AM53" s="1718"/>
      <c r="AN53" s="1718"/>
      <c r="AO53" s="1718"/>
      <c r="AP53" s="1718"/>
      <c r="AQ53" s="1718"/>
      <c r="AR53" s="1718"/>
      <c r="AS53" s="1718"/>
      <c r="AT53" s="1718"/>
      <c r="AU53" s="1718"/>
      <c r="AV53" s="1718"/>
      <c r="AW53" s="1718"/>
      <c r="AX53" s="1718"/>
      <c r="AY53" s="1718"/>
      <c r="AZ53" s="1718"/>
      <c r="BA53" s="1718"/>
      <c r="BB53" s="1718"/>
      <c r="BC53" s="1718"/>
      <c r="BD53" s="1718"/>
      <c r="BE53" s="1718"/>
      <c r="BF53" s="1719"/>
    </row>
    <row r="54" spans="2:92" x14ac:dyDescent="0.25">
      <c r="B54" s="1721" t="s">
        <v>696</v>
      </c>
      <c r="C54" s="1722"/>
      <c r="D54" s="1722"/>
      <c r="E54" s="1722"/>
      <c r="F54" s="1722"/>
      <c r="G54" s="1722"/>
      <c r="H54" s="1722"/>
      <c r="I54" s="1722"/>
      <c r="J54" s="1722"/>
      <c r="K54" s="1722"/>
      <c r="L54" s="1722"/>
      <c r="M54" s="1722"/>
      <c r="N54" s="1722"/>
      <c r="O54" s="1722"/>
      <c r="P54" s="1722"/>
      <c r="Q54" s="1722"/>
      <c r="R54" s="1722"/>
      <c r="S54" s="1722"/>
      <c r="T54" s="1722"/>
      <c r="U54" s="1722"/>
      <c r="V54" s="1722"/>
      <c r="W54" s="1722"/>
      <c r="X54" s="1722"/>
      <c r="Y54" s="1722"/>
      <c r="Z54" s="1722"/>
      <c r="AA54" s="1722"/>
      <c r="AB54" s="1722"/>
      <c r="AC54" s="1722"/>
      <c r="AD54" s="1722"/>
      <c r="AE54" s="1722"/>
      <c r="AF54" s="1722"/>
      <c r="AG54" s="1722"/>
      <c r="AH54" s="1722"/>
      <c r="AI54" s="1722"/>
      <c r="AJ54" s="1722"/>
      <c r="AK54" s="1722"/>
      <c r="AL54" s="1722"/>
      <c r="AM54" s="1722"/>
      <c r="AN54" s="1722"/>
      <c r="AO54" s="1722"/>
      <c r="AP54" s="1722"/>
      <c r="AQ54" s="1722"/>
      <c r="AR54" s="1722"/>
      <c r="AS54" s="1722"/>
      <c r="AT54" s="1722"/>
      <c r="AU54" s="1722"/>
      <c r="AV54" s="1722"/>
      <c r="AW54" s="1722"/>
      <c r="AX54" s="1722"/>
      <c r="AY54" s="1722"/>
      <c r="AZ54" s="1722"/>
      <c r="BA54" s="1722"/>
      <c r="BB54" s="1722"/>
      <c r="BC54" s="1722"/>
      <c r="BD54" s="1722"/>
      <c r="BE54" s="1722"/>
      <c r="BF54" s="1723"/>
      <c r="BP54" s="266"/>
    </row>
    <row r="55" spans="2:92" x14ac:dyDescent="0.25">
      <c r="B55" s="137"/>
      <c r="AC55" s="271"/>
      <c r="AD55" s="271"/>
      <c r="AE55" s="271"/>
      <c r="AF55" s="271"/>
      <c r="AG55" s="271"/>
      <c r="AH55" s="271"/>
      <c r="AK55" s="1689"/>
      <c r="AL55" s="1689"/>
      <c r="AM55" s="1689"/>
      <c r="AN55" s="1689"/>
      <c r="AO55" s="1545"/>
      <c r="AP55" s="1545"/>
      <c r="AQ55" s="1545"/>
      <c r="AR55" s="134"/>
      <c r="AS55" s="134"/>
      <c r="AT55" s="1545"/>
      <c r="AU55" s="1545"/>
      <c r="AV55" s="1545"/>
      <c r="AW55" s="134"/>
      <c r="AX55" s="134"/>
      <c r="AY55" s="1545"/>
      <c r="AZ55" s="1545"/>
      <c r="BA55" s="1545"/>
      <c r="BB55" s="134"/>
      <c r="BC55" s="134"/>
      <c r="BD55" s="1545"/>
      <c r="BE55" s="1545"/>
      <c r="BF55" s="1707"/>
      <c r="BP55" s="272"/>
    </row>
    <row r="56" spans="2:92" x14ac:dyDescent="0.25">
      <c r="B56" s="137"/>
      <c r="C56" s="1602" t="s">
        <v>103</v>
      </c>
      <c r="D56" s="1602"/>
      <c r="E56" s="1602"/>
      <c r="F56" s="1602"/>
      <c r="G56" s="1602"/>
      <c r="H56" s="1602"/>
      <c r="I56" s="1602"/>
      <c r="J56" s="1602"/>
      <c r="K56" s="1602"/>
      <c r="L56" s="1602"/>
      <c r="M56" s="1602"/>
      <c r="N56" s="1602"/>
      <c r="O56" s="1602"/>
      <c r="P56" s="1602"/>
      <c r="Q56" s="1602"/>
      <c r="R56" s="1602"/>
      <c r="S56" s="1602"/>
      <c r="T56" s="1602"/>
      <c r="U56" s="1602"/>
      <c r="V56" s="1602"/>
      <c r="W56" s="1602"/>
      <c r="X56" s="1602"/>
      <c r="Y56" s="1602"/>
      <c r="Z56" s="1602"/>
      <c r="AC56" s="1700" t="str">
        <f>'PIM Model'!$AD$11</f>
        <v/>
      </c>
      <c r="AD56" s="1700"/>
      <c r="AE56" s="1700" t="str">
        <f>'PIM Model'!$D$11</f>
        <v>%</v>
      </c>
      <c r="AF56" s="1700"/>
      <c r="AG56" s="1700" t="str">
        <f>'PIM Model'!$D$11</f>
        <v>%</v>
      </c>
      <c r="AH56" s="1700"/>
      <c r="AI56" s="1684" t="str">
        <f>'PIM Model'!$D$11</f>
        <v>%</v>
      </c>
      <c r="AJ56" s="1684"/>
      <c r="AK56" s="134"/>
      <c r="AL56" s="134"/>
      <c r="AM56" s="134"/>
      <c r="AN56" s="134"/>
      <c r="AO56" s="1545"/>
      <c r="AP56" s="1545"/>
      <c r="AQ56" s="1545"/>
      <c r="AR56" s="134"/>
      <c r="AS56" s="134"/>
      <c r="AT56" s="1545"/>
      <c r="AU56" s="1545"/>
      <c r="AV56" s="1545"/>
      <c r="AW56" s="134"/>
      <c r="AX56" s="134"/>
      <c r="AY56" s="1545"/>
      <c r="AZ56" s="1545"/>
      <c r="BA56" s="1545"/>
      <c r="BB56" s="134"/>
      <c r="BC56" s="134"/>
      <c r="BD56" s="1545"/>
      <c r="BE56" s="1545"/>
      <c r="BF56" s="1707"/>
      <c r="BP56" s="266"/>
    </row>
    <row r="57" spans="2:92" x14ac:dyDescent="0.25">
      <c r="B57" s="137"/>
      <c r="C57" s="1602" t="s">
        <v>102</v>
      </c>
      <c r="D57" s="1602"/>
      <c r="E57" s="1602"/>
      <c r="F57" s="1602"/>
      <c r="G57" s="1602"/>
      <c r="H57" s="1602"/>
      <c r="I57" s="1602"/>
      <c r="J57" s="1602"/>
      <c r="K57" s="1602"/>
      <c r="L57" s="1602"/>
      <c r="M57" s="1602"/>
      <c r="N57" s="1602"/>
      <c r="O57" s="1602"/>
      <c r="P57" s="1602"/>
      <c r="Q57" s="1602"/>
      <c r="R57" s="1602"/>
      <c r="S57" s="1602"/>
      <c r="T57" s="1602"/>
      <c r="U57" s="1602"/>
      <c r="V57" s="1602"/>
      <c r="W57" s="1602"/>
      <c r="X57" s="1602"/>
      <c r="Y57" s="1602"/>
      <c r="Z57" s="1602"/>
      <c r="AC57" s="1687" t="str">
        <f>'PIM Model'!$AD$13</f>
        <v/>
      </c>
      <c r="AD57" s="1687"/>
      <c r="AE57" s="1687" t="str">
        <f>'PIM Model'!$D$13</f>
        <v>%</v>
      </c>
      <c r="AF57" s="1687"/>
      <c r="AG57" s="1687" t="str">
        <f>'PIM Model'!$D$13</f>
        <v>%</v>
      </c>
      <c r="AH57" s="1687"/>
      <c r="AI57" s="1684" t="str">
        <f>'PIM Model'!$D$13</f>
        <v>%</v>
      </c>
      <c r="AJ57" s="168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2" t="s">
        <v>101</v>
      </c>
      <c r="D58" s="1602"/>
      <c r="E58" s="1602"/>
      <c r="F58" s="1602"/>
      <c r="G58" s="1602"/>
      <c r="H58" s="1602"/>
      <c r="I58" s="1602"/>
      <c r="J58" s="1602"/>
      <c r="K58" s="1602"/>
      <c r="L58" s="1602"/>
      <c r="M58" s="1602"/>
      <c r="N58" s="1602"/>
      <c r="O58" s="1602"/>
      <c r="P58" s="1602"/>
      <c r="Q58" s="1602"/>
      <c r="R58" s="1602"/>
      <c r="S58" s="1602"/>
      <c r="T58" s="1602"/>
      <c r="U58" s="1602"/>
      <c r="V58" s="1602"/>
      <c r="W58" s="1602"/>
      <c r="X58" s="1602"/>
      <c r="Y58" s="1602"/>
      <c r="Z58" s="1602"/>
      <c r="AC58" s="1687" t="str">
        <f>'PIM Model'!$AD$19</f>
        <v/>
      </c>
      <c r="AD58" s="1687"/>
      <c r="AE58" s="1687" t="str">
        <f>'PIM Model'!$D$19</f>
        <v>%</v>
      </c>
      <c r="AF58" s="1687"/>
      <c r="AG58" s="1687" t="str">
        <f>'PIM Model'!$D$19</f>
        <v>%</v>
      </c>
      <c r="AH58" s="1687"/>
      <c r="AI58" s="1684" t="str">
        <f>'PIM Model'!$D$19</f>
        <v>%</v>
      </c>
      <c r="AJ58" s="168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2" t="s">
        <v>100</v>
      </c>
      <c r="D59" s="1602"/>
      <c r="E59" s="1602"/>
      <c r="F59" s="1602"/>
      <c r="G59" s="1602"/>
      <c r="H59" s="1602"/>
      <c r="I59" s="1602"/>
      <c r="J59" s="1602"/>
      <c r="K59" s="1602"/>
      <c r="L59" s="1602"/>
      <c r="M59" s="1602"/>
      <c r="N59" s="1602"/>
      <c r="O59" s="1602"/>
      <c r="P59" s="1602"/>
      <c r="Q59" s="1602"/>
      <c r="R59" s="1602"/>
      <c r="S59" s="1602"/>
      <c r="T59" s="1602"/>
      <c r="U59" s="1602"/>
      <c r="V59" s="1602"/>
      <c r="W59" s="1602"/>
      <c r="X59" s="1602"/>
      <c r="Y59" s="1602"/>
      <c r="Z59" s="1602"/>
      <c r="AC59" s="1687" t="str">
        <f>'PIM Model'!$AD$14</f>
        <v/>
      </c>
      <c r="AD59" s="1687"/>
      <c r="AE59" s="1687" t="str">
        <f>'PIM Model'!$D$14</f>
        <v>%</v>
      </c>
      <c r="AF59" s="1687"/>
      <c r="AG59" s="1687" t="str">
        <f>'PIM Model'!$D$14</f>
        <v>%</v>
      </c>
      <c r="AH59" s="1687"/>
      <c r="AI59" s="1684" t="str">
        <f>'PIM Model'!$D$14</f>
        <v>%</v>
      </c>
      <c r="AJ59" s="168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2" t="s">
        <v>104</v>
      </c>
      <c r="D60" s="1602"/>
      <c r="E60" s="1602"/>
      <c r="F60" s="1602"/>
      <c r="G60" s="1602"/>
      <c r="H60" s="1602"/>
      <c r="I60" s="1602"/>
      <c r="J60" s="1602"/>
      <c r="K60" s="1602"/>
      <c r="L60" s="1602"/>
      <c r="M60" s="1602"/>
      <c r="N60" s="1602"/>
      <c r="O60" s="1602"/>
      <c r="P60" s="1602"/>
      <c r="Q60" s="1602"/>
      <c r="R60" s="1602"/>
      <c r="S60" s="1602"/>
      <c r="T60" s="1602"/>
      <c r="U60" s="1602"/>
      <c r="V60" s="1602"/>
      <c r="W60" s="1602"/>
      <c r="X60" s="1602"/>
      <c r="Y60" s="1602"/>
      <c r="Z60" s="1602"/>
      <c r="AC60" s="1687" t="str">
        <f>'PIM Model'!$AD$15</f>
        <v/>
      </c>
      <c r="AD60" s="1687"/>
      <c r="AE60" s="1687" t="str">
        <f>'PIM Model'!$D$15</f>
        <v>%</v>
      </c>
      <c r="AF60" s="1687"/>
      <c r="AG60" s="1687" t="str">
        <f>'PIM Model'!$D$15</f>
        <v>%</v>
      </c>
      <c r="AH60" s="1687"/>
      <c r="AI60" s="1684" t="str">
        <f>'PIM Model'!$D$15</f>
        <v>%</v>
      </c>
      <c r="AJ60" s="168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2" t="s">
        <v>99</v>
      </c>
      <c r="D61" s="1602"/>
      <c r="E61" s="1602"/>
      <c r="F61" s="1602"/>
      <c r="G61" s="1602"/>
      <c r="H61" s="1602"/>
      <c r="I61" s="1602"/>
      <c r="J61" s="1602"/>
      <c r="K61" s="1602"/>
      <c r="L61" s="1602"/>
      <c r="M61" s="1602"/>
      <c r="N61" s="1602"/>
      <c r="O61" s="1602"/>
      <c r="P61" s="1602"/>
      <c r="Q61" s="1602"/>
      <c r="R61" s="1602"/>
      <c r="S61" s="1602"/>
      <c r="T61" s="1602"/>
      <c r="U61" s="1602"/>
      <c r="V61" s="1602"/>
      <c r="W61" s="1602"/>
      <c r="X61" s="1602"/>
      <c r="Y61" s="1602"/>
      <c r="Z61" s="1602"/>
      <c r="AC61" s="1687" t="str">
        <f>'PIM Model'!$AD$10</f>
        <v/>
      </c>
      <c r="AD61" s="1687"/>
      <c r="AE61" s="1687" t="str">
        <f>'PIM Model'!$D$10</f>
        <v>%</v>
      </c>
      <c r="AF61" s="1687"/>
      <c r="AG61" s="1687" t="str">
        <f>'PIM Model'!$D$10</f>
        <v>%</v>
      </c>
      <c r="AH61" s="1687"/>
      <c r="AI61" s="1684" t="str">
        <f>'PIM Model'!$D$10</f>
        <v>%</v>
      </c>
      <c r="AJ61" s="168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1" t="s">
        <v>98</v>
      </c>
      <c r="D62" s="1501"/>
      <c r="E62" s="1501"/>
      <c r="F62" s="1501"/>
      <c r="G62" s="1501"/>
      <c r="H62" s="1501"/>
      <c r="I62" s="1501"/>
      <c r="J62" s="1501"/>
      <c r="K62" s="1501"/>
      <c r="L62" s="1501"/>
      <c r="M62" s="1501"/>
      <c r="N62" s="1501"/>
      <c r="O62" s="1501"/>
      <c r="P62" s="1501"/>
      <c r="Q62" s="1501"/>
      <c r="R62" s="1501"/>
      <c r="S62" s="1501"/>
      <c r="T62" s="1501"/>
      <c r="U62" s="1501"/>
      <c r="V62" s="1501"/>
      <c r="W62" s="1501"/>
      <c r="X62" s="1501"/>
      <c r="Y62" s="1501"/>
      <c r="Z62" s="1501"/>
      <c r="AC62" s="1687" t="str">
        <f>'PIM Model'!$AD$16</f>
        <v/>
      </c>
      <c r="AD62" s="1687"/>
      <c r="AE62" s="1687" t="str">
        <f>'PIM Model'!$D$16</f>
        <v>%</v>
      </c>
      <c r="AF62" s="1687"/>
      <c r="AG62" s="1687" t="str">
        <f>'PIM Model'!$D$16</f>
        <v>%</v>
      </c>
      <c r="AH62" s="1687"/>
      <c r="AI62" s="1684" t="str">
        <f>'PIM Model'!$D$16</f>
        <v>%</v>
      </c>
      <c r="AJ62" s="168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1" t="s">
        <v>97</v>
      </c>
      <c r="D63" s="1501"/>
      <c r="E63" s="1501"/>
      <c r="F63" s="1501"/>
      <c r="G63" s="1501"/>
      <c r="H63" s="1501"/>
      <c r="I63" s="1501"/>
      <c r="J63" s="1501"/>
      <c r="K63" s="1501"/>
      <c r="L63" s="1501"/>
      <c r="M63" s="1501"/>
      <c r="N63" s="1501"/>
      <c r="O63" s="1501"/>
      <c r="P63" s="1501"/>
      <c r="Q63" s="1501"/>
      <c r="R63" s="1501"/>
      <c r="S63" s="1501"/>
      <c r="T63" s="1501"/>
      <c r="U63" s="1501"/>
      <c r="V63" s="1501"/>
      <c r="W63" s="1501"/>
      <c r="X63" s="1501"/>
      <c r="Y63" s="1501"/>
      <c r="Z63" s="1501"/>
      <c r="AC63" s="1687" t="str">
        <f>'PIM Model'!$AD$20</f>
        <v/>
      </c>
      <c r="AD63" s="1687"/>
      <c r="AE63" s="1687" t="str">
        <f>'PIM Model'!$D$20</f>
        <v>%</v>
      </c>
      <c r="AF63" s="1687"/>
      <c r="AG63" s="1687" t="str">
        <f>'PIM Model'!$D$20</f>
        <v>%</v>
      </c>
      <c r="AH63" s="1687"/>
      <c r="AI63" s="1684" t="str">
        <f>'PIM Model'!$D$20</f>
        <v>%</v>
      </c>
      <c r="AJ63" s="168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1" t="s">
        <v>96</v>
      </c>
      <c r="D64" s="1501"/>
      <c r="E64" s="1501"/>
      <c r="F64" s="1501"/>
      <c r="G64" s="1501"/>
      <c r="H64" s="1501"/>
      <c r="I64" s="1501"/>
      <c r="J64" s="1501"/>
      <c r="K64" s="1501"/>
      <c r="L64" s="1501"/>
      <c r="M64" s="1501"/>
      <c r="N64" s="1501"/>
      <c r="O64" s="1501"/>
      <c r="P64" s="1501"/>
      <c r="Q64" s="1501"/>
      <c r="R64" s="1501"/>
      <c r="S64" s="1501"/>
      <c r="T64" s="1501"/>
      <c r="U64" s="1501"/>
      <c r="V64" s="1501"/>
      <c r="W64" s="1501"/>
      <c r="X64" s="1501"/>
      <c r="Y64" s="1501"/>
      <c r="Z64" s="1501"/>
      <c r="AC64" s="1687" t="str">
        <f>'PIM Model'!$AD$18</f>
        <v/>
      </c>
      <c r="AD64" s="1687"/>
      <c r="AE64" s="1687" t="str">
        <f>'PIM Model'!$D$18</f>
        <v>%</v>
      </c>
      <c r="AF64" s="1687"/>
      <c r="AG64" s="1687" t="str">
        <f>'PIM Model'!$D$18</f>
        <v>%</v>
      </c>
      <c r="AH64" s="1687"/>
      <c r="AI64" s="1684" t="str">
        <f>'PIM Model'!$D$18</f>
        <v>%</v>
      </c>
      <c r="AJ64" s="168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1" t="s">
        <v>95</v>
      </c>
      <c r="D65" s="1501"/>
      <c r="E65" s="1501"/>
      <c r="F65" s="1501"/>
      <c r="G65" s="1501"/>
      <c r="H65" s="1501"/>
      <c r="I65" s="1501"/>
      <c r="J65" s="1501"/>
      <c r="K65" s="1501"/>
      <c r="L65" s="1501"/>
      <c r="M65" s="1501"/>
      <c r="N65" s="1501"/>
      <c r="O65" s="1501"/>
      <c r="P65" s="1501"/>
      <c r="Q65" s="1501"/>
      <c r="R65" s="1501"/>
      <c r="S65" s="1501"/>
      <c r="T65" s="1501"/>
      <c r="U65" s="1501"/>
      <c r="V65" s="1501"/>
      <c r="W65" s="1501"/>
      <c r="X65" s="1501"/>
      <c r="Y65" s="1501"/>
      <c r="Z65" s="1501"/>
      <c r="AC65" s="1687" t="str">
        <f>'PIM Model'!$AD$17</f>
        <v/>
      </c>
      <c r="AD65" s="1687"/>
      <c r="AE65" s="1687" t="str">
        <f>'PIM Model'!$D$17</f>
        <v>%</v>
      </c>
      <c r="AF65" s="1687"/>
      <c r="AG65" s="1687" t="str">
        <f>'PIM Model'!$D$17</f>
        <v>%</v>
      </c>
      <c r="AH65" s="1687"/>
      <c r="AI65" s="1684" t="str">
        <f>'PIM Model'!$D$17</f>
        <v>%</v>
      </c>
      <c r="AJ65" s="168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1" t="s">
        <v>94</v>
      </c>
      <c r="D66" s="1501"/>
      <c r="E66" s="1501"/>
      <c r="F66" s="1501"/>
      <c r="G66" s="1501"/>
      <c r="H66" s="1501"/>
      <c r="I66" s="1501"/>
      <c r="J66" s="1501"/>
      <c r="K66" s="1501"/>
      <c r="L66" s="1501"/>
      <c r="M66" s="1501"/>
      <c r="N66" s="1501"/>
      <c r="O66" s="1501"/>
      <c r="P66" s="1501"/>
      <c r="Q66" s="1501"/>
      <c r="R66" s="1501"/>
      <c r="S66" s="1501"/>
      <c r="T66" s="1501"/>
      <c r="U66" s="1501"/>
      <c r="V66" s="1501"/>
      <c r="W66" s="1501"/>
      <c r="X66" s="1501"/>
      <c r="Y66" s="1501"/>
      <c r="Z66" s="1501"/>
      <c r="AC66" s="1687" t="str">
        <f>'PIM Model'!$AD$27</f>
        <v/>
      </c>
      <c r="AD66" s="1687"/>
      <c r="AE66" s="1687" t="str">
        <f>'PIM Model'!$D$27</f>
        <v>%</v>
      </c>
      <c r="AF66" s="1687"/>
      <c r="AG66" s="1687" t="str">
        <f>'PIM Model'!$D$27</f>
        <v>%</v>
      </c>
      <c r="AH66" s="1687"/>
      <c r="AI66" s="1684" t="str">
        <f>'PIM Model'!$D$27</f>
        <v>%</v>
      </c>
      <c r="AJ66" s="168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4" t="s">
        <v>695</v>
      </c>
      <c r="F67" s="1684"/>
      <c r="G67" s="1684"/>
      <c r="H67" s="1684"/>
      <c r="I67" s="1684"/>
      <c r="J67" s="1684"/>
      <c r="K67" s="1684"/>
      <c r="M67" s="1688" t="s">
        <v>241</v>
      </c>
      <c r="N67" s="1688"/>
      <c r="O67" s="1688"/>
      <c r="P67" t="s">
        <v>651</v>
      </c>
      <c r="S67" s="1686"/>
      <c r="T67" s="1686"/>
      <c r="U67" s="1686"/>
      <c r="V67" s="1684" t="s">
        <v>653</v>
      </c>
      <c r="W67" s="168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1" t="s">
        <v>93</v>
      </c>
      <c r="D68" s="1501"/>
      <c r="E68" s="1501"/>
      <c r="F68" s="1501"/>
      <c r="G68" s="1501"/>
      <c r="H68" s="1501"/>
      <c r="I68" s="1501"/>
      <c r="J68" s="1501"/>
      <c r="K68" s="1501"/>
      <c r="L68" s="1501"/>
      <c r="M68" s="1501"/>
      <c r="N68" s="1501"/>
      <c r="O68" s="1501"/>
      <c r="P68" s="1501"/>
      <c r="Q68" s="1501"/>
      <c r="R68" s="1501"/>
      <c r="S68" s="1501"/>
      <c r="T68" s="1501"/>
      <c r="U68" s="1501"/>
      <c r="V68" s="1501"/>
      <c r="W68" s="1501"/>
      <c r="X68" s="1501"/>
      <c r="Y68" s="1501"/>
      <c r="Z68" s="1501"/>
      <c r="AC68" s="1687" t="str">
        <f>'PIM Model'!$AD$21</f>
        <v/>
      </c>
      <c r="AD68" s="1687"/>
      <c r="AE68" s="1687" t="str">
        <f>'PIM Model'!$D$21</f>
        <v>%</v>
      </c>
      <c r="AF68" s="1687"/>
      <c r="AG68" s="1687" t="str">
        <f>'PIM Model'!$D$21</f>
        <v>%</v>
      </c>
      <c r="AH68" s="1687"/>
      <c r="AI68" s="1684" t="str">
        <f>'PIM Model'!$D$21</f>
        <v>%</v>
      </c>
      <c r="AJ68" s="168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1" t="s">
        <v>92</v>
      </c>
      <c r="D69" s="1501"/>
      <c r="E69" s="1501"/>
      <c r="F69" s="1501"/>
      <c r="G69" s="1501"/>
      <c r="H69" s="1501"/>
      <c r="I69" s="1501"/>
      <c r="J69" s="1501"/>
      <c r="K69" s="1501"/>
      <c r="L69" s="1501"/>
      <c r="M69" s="1501"/>
      <c r="N69" s="1501"/>
      <c r="O69" s="1501"/>
      <c r="P69" s="1501"/>
      <c r="Q69" s="1501"/>
      <c r="R69" s="1501"/>
      <c r="S69" s="1501"/>
      <c r="T69" s="1501"/>
      <c r="U69" s="1501"/>
      <c r="V69" s="1501"/>
      <c r="W69" s="1501"/>
      <c r="X69" s="1501"/>
      <c r="Y69" s="1501"/>
      <c r="Z69" s="1501"/>
      <c r="AC69" s="1687" t="str">
        <f>'PIM Model'!$AD$23</f>
        <v/>
      </c>
      <c r="AD69" s="1687"/>
      <c r="AE69" s="1687" t="str">
        <f>'PIM Model'!$D$23</f>
        <v>%</v>
      </c>
      <c r="AF69" s="1687"/>
      <c r="AG69" s="1687" t="str">
        <f>'PIM Model'!$D$23</f>
        <v>%</v>
      </c>
      <c r="AH69" s="1687"/>
      <c r="AI69" s="1684" t="str">
        <f>'PIM Model'!$D$23</f>
        <v>%</v>
      </c>
      <c r="AJ69" s="168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1" t="s">
        <v>91</v>
      </c>
      <c r="D70" s="1501"/>
      <c r="E70" s="1501"/>
      <c r="F70" s="1501"/>
      <c r="G70" s="1501"/>
      <c r="H70" s="1501"/>
      <c r="I70" s="1501"/>
      <c r="J70" s="1501"/>
      <c r="K70" s="1501"/>
      <c r="L70" s="1501"/>
      <c r="M70" s="1501"/>
      <c r="N70" s="1501"/>
      <c r="O70" s="1501"/>
      <c r="P70" s="1501"/>
      <c r="Q70" s="1501"/>
      <c r="R70" s="1501"/>
      <c r="S70" s="1501"/>
      <c r="T70" s="1501"/>
      <c r="U70" s="1501"/>
      <c r="V70" s="1501"/>
      <c r="W70" s="1501"/>
      <c r="X70" s="1501"/>
      <c r="Y70" s="1501"/>
      <c r="Z70" s="1501"/>
      <c r="AC70" s="1687" t="str">
        <f>'PIM Model'!$AD$24</f>
        <v/>
      </c>
      <c r="AD70" s="1687"/>
      <c r="AE70" s="1687" t="str">
        <f>'PIM Model'!$D$24</f>
        <v>%</v>
      </c>
      <c r="AF70" s="1687"/>
      <c r="AG70" s="1687" t="str">
        <f>'PIM Model'!$D$24</f>
        <v>%</v>
      </c>
      <c r="AH70" s="1687"/>
      <c r="AI70" s="1684" t="str">
        <f>'PIM Model'!$D$24</f>
        <v>%</v>
      </c>
      <c r="AJ70" s="1684"/>
      <c r="AK70" s="134"/>
      <c r="AL70" s="134"/>
      <c r="AM70" s="134"/>
      <c r="AN70" s="134"/>
      <c r="AO70" s="1545"/>
      <c r="AP70" s="1545"/>
      <c r="AQ70" s="1545"/>
      <c r="AR70" s="134"/>
      <c r="AS70" s="134"/>
      <c r="AT70" s="1545"/>
      <c r="AU70" s="1545"/>
      <c r="AV70" s="1545"/>
      <c r="AW70" s="134"/>
      <c r="AX70" s="134"/>
      <c r="AY70" s="1545"/>
      <c r="AZ70" s="1545"/>
      <c r="BA70" s="1545"/>
      <c r="BB70" s="134"/>
      <c r="BC70" s="134"/>
      <c r="BD70" s="1545"/>
      <c r="BE70" s="1545"/>
      <c r="BF70" s="1707"/>
    </row>
    <row r="71" spans="2:70" x14ac:dyDescent="0.25">
      <c r="B71" s="137"/>
      <c r="C71" s="1501" t="s">
        <v>90</v>
      </c>
      <c r="D71" s="1501"/>
      <c r="E71" s="1501"/>
      <c r="F71" s="1501"/>
      <c r="G71" s="1501"/>
      <c r="H71" s="1501"/>
      <c r="I71" s="1501"/>
      <c r="J71" s="1501"/>
      <c r="K71" s="1501"/>
      <c r="L71" s="1501"/>
      <c r="M71" s="1501"/>
      <c r="N71" s="1501"/>
      <c r="O71" s="1501"/>
      <c r="P71" s="1501"/>
      <c r="Q71" s="1501"/>
      <c r="R71" s="1501"/>
      <c r="S71" s="1501"/>
      <c r="T71" s="1501"/>
      <c r="U71" s="1501"/>
      <c r="V71" s="1501"/>
      <c r="W71" s="1501"/>
      <c r="X71" s="1501"/>
      <c r="Y71" s="1501"/>
      <c r="Z71" s="1501"/>
      <c r="AC71" s="1687" t="str">
        <f>'PIM Model'!$AD$25</f>
        <v/>
      </c>
      <c r="AD71" s="1687"/>
      <c r="AE71" s="1687" t="str">
        <f>'PIM Model'!$D$25</f>
        <v>%</v>
      </c>
      <c r="AF71" s="1687"/>
      <c r="AG71" s="1687" t="str">
        <f>'PIM Model'!$D$25</f>
        <v>%</v>
      </c>
      <c r="AH71" s="1687"/>
      <c r="AI71" s="1684" t="str">
        <f>'PIM Model'!$D$25</f>
        <v>%</v>
      </c>
      <c r="AJ71" s="1684"/>
      <c r="AK71" s="134"/>
      <c r="AL71" s="134"/>
      <c r="AM71" s="134"/>
      <c r="AN71" s="134"/>
      <c r="AO71" s="1545"/>
      <c r="AP71" s="1545"/>
      <c r="AQ71" s="1545"/>
      <c r="AR71" s="134"/>
      <c r="AS71" s="134"/>
      <c r="AT71" s="1545"/>
      <c r="AU71" s="1545"/>
      <c r="AV71" s="1545"/>
      <c r="AW71" s="134"/>
      <c r="AX71" s="134"/>
      <c r="AY71" s="1545"/>
      <c r="AZ71" s="1545"/>
      <c r="BA71" s="1545"/>
      <c r="BB71" s="134"/>
      <c r="BC71" s="134"/>
      <c r="BD71" s="1545"/>
      <c r="BE71" s="1545"/>
      <c r="BF71" s="1707"/>
    </row>
    <row r="72" spans="2:70" x14ac:dyDescent="0.25">
      <c r="B72" s="137"/>
      <c r="C72" s="1501" t="s">
        <v>89</v>
      </c>
      <c r="D72" s="1501"/>
      <c r="E72" s="1501"/>
      <c r="F72" s="1501"/>
      <c r="G72" s="1501"/>
      <c r="H72" s="1501"/>
      <c r="I72" s="1501"/>
      <c r="J72" s="1501"/>
      <c r="K72" s="1501"/>
      <c r="L72" s="1501"/>
      <c r="M72" s="1501"/>
      <c r="N72" s="1501"/>
      <c r="O72" s="1501"/>
      <c r="P72" s="1501"/>
      <c r="Q72" s="1501"/>
      <c r="R72" s="1501"/>
      <c r="S72" s="1501"/>
      <c r="T72" s="1501"/>
      <c r="U72" s="1501"/>
      <c r="V72" s="1501"/>
      <c r="W72" s="1501"/>
      <c r="X72" s="1501"/>
      <c r="Y72" s="1501"/>
      <c r="Z72" s="1501"/>
      <c r="AC72" s="1687" t="str">
        <f>'PIM Model'!$AD$26</f>
        <v/>
      </c>
      <c r="AD72" s="1687"/>
      <c r="AE72" s="1687" t="str">
        <f>'PIM Model'!$D$26</f>
        <v>%</v>
      </c>
      <c r="AF72" s="1687"/>
      <c r="AG72" s="1687" t="str">
        <f>'PIM Model'!$D$26</f>
        <v>%</v>
      </c>
      <c r="AH72" s="1687"/>
      <c r="AI72" s="1684" t="str">
        <f>'PIM Model'!$D$26</f>
        <v>%</v>
      </c>
      <c r="AJ72" s="1684"/>
      <c r="AK72" s="134"/>
      <c r="AL72" s="134"/>
      <c r="AM72" s="134"/>
      <c r="AN72" s="134"/>
      <c r="AO72" s="1545"/>
      <c r="AP72" s="1545"/>
      <c r="AQ72" s="1545"/>
      <c r="AR72" s="134"/>
      <c r="AS72" s="134"/>
      <c r="AT72" s="1545"/>
      <c r="AU72" s="1545"/>
      <c r="AV72" s="1545"/>
      <c r="AW72" s="134"/>
      <c r="AX72" s="134"/>
      <c r="AY72" s="1545"/>
      <c r="AZ72" s="1545"/>
      <c r="BA72" s="1545"/>
      <c r="BB72" s="134"/>
      <c r="BC72" s="134"/>
      <c r="BD72" s="1545"/>
      <c r="BE72" s="1545"/>
      <c r="BF72" s="1707"/>
    </row>
    <row r="73" spans="2:70" x14ac:dyDescent="0.25">
      <c r="B73" s="137"/>
      <c r="C73" s="1501" t="s">
        <v>88</v>
      </c>
      <c r="D73" s="1501"/>
      <c r="E73" s="1501"/>
      <c r="F73" s="1501"/>
      <c r="G73" s="1501"/>
      <c r="H73" s="1501"/>
      <c r="I73" s="1501"/>
      <c r="J73" s="1501"/>
      <c r="K73" s="1501"/>
      <c r="L73" s="1501"/>
      <c r="M73" s="1501"/>
      <c r="N73" s="1501"/>
      <c r="O73" s="1501"/>
      <c r="P73" s="1501"/>
      <c r="Q73" s="1501"/>
      <c r="R73" s="1501"/>
      <c r="S73" s="1501"/>
      <c r="T73" s="1501"/>
      <c r="U73" s="1501"/>
      <c r="V73" s="1501"/>
      <c r="W73" s="1501"/>
      <c r="X73" s="1501"/>
      <c r="Y73" s="1501"/>
      <c r="Z73" s="1501"/>
      <c r="AC73" s="1687" t="str">
        <f>'PIM Model'!$AD$29</f>
        <v/>
      </c>
      <c r="AD73" s="1687"/>
      <c r="AE73" s="1687" t="str">
        <f>'PIM Model'!$D$29</f>
        <v>%</v>
      </c>
      <c r="AF73" s="1687"/>
      <c r="AG73" s="1687" t="str">
        <f>'PIM Model'!$D$29</f>
        <v>%</v>
      </c>
      <c r="AH73" s="1687"/>
      <c r="AI73" s="1684" t="str">
        <f>'PIM Model'!$D$29</f>
        <v>%</v>
      </c>
      <c r="AJ73" s="1684"/>
      <c r="AK73" s="134"/>
      <c r="AL73" s="134"/>
      <c r="AM73" s="134"/>
      <c r="AN73" s="134"/>
      <c r="AO73" s="1545"/>
      <c r="AP73" s="1545"/>
      <c r="AQ73" s="1545"/>
      <c r="AR73" s="134"/>
      <c r="AS73" s="134"/>
      <c r="AT73" s="1545"/>
      <c r="AU73" s="1545"/>
      <c r="AV73" s="1545"/>
      <c r="AW73" s="134"/>
      <c r="AX73" s="134"/>
      <c r="AY73" s="1545"/>
      <c r="AZ73" s="1545"/>
      <c r="BA73" s="1545"/>
      <c r="BB73" s="134"/>
      <c r="BC73" s="134"/>
      <c r="BD73" s="1545"/>
      <c r="BE73" s="1545"/>
      <c r="BF73" s="1707"/>
    </row>
    <row r="74" spans="2:70" x14ac:dyDescent="0.25">
      <c r="B74" s="137"/>
      <c r="C74" s="1501" t="s">
        <v>87</v>
      </c>
      <c r="D74" s="1501"/>
      <c r="E74" s="1501"/>
      <c r="F74" s="1501"/>
      <c r="G74" s="1501"/>
      <c r="H74" s="1501"/>
      <c r="I74" s="1501"/>
      <c r="J74" s="1501"/>
      <c r="K74" s="1501"/>
      <c r="L74" s="1501"/>
      <c r="M74" s="1501"/>
      <c r="N74" s="1501"/>
      <c r="O74" s="1501"/>
      <c r="P74" s="1501"/>
      <c r="Q74" s="1501"/>
      <c r="R74" s="1501"/>
      <c r="S74" s="1501"/>
      <c r="T74" s="1501"/>
      <c r="U74" s="1501"/>
      <c r="V74" s="1501"/>
      <c r="W74" s="1501"/>
      <c r="X74" s="1501"/>
      <c r="Y74" s="1501"/>
      <c r="Z74" s="1501"/>
      <c r="AC74" s="1687" t="str">
        <f>'PIM Model'!$AD$30</f>
        <v/>
      </c>
      <c r="AD74" s="1687"/>
      <c r="AE74" s="1687" t="str">
        <f>'PIM Model'!$D$30</f>
        <v>%</v>
      </c>
      <c r="AF74" s="1687"/>
      <c r="AG74" s="1687" t="str">
        <f>'PIM Model'!$D$30</f>
        <v>%</v>
      </c>
      <c r="AH74" s="1687"/>
      <c r="AI74" s="1684" t="str">
        <f>'PIM Model'!$D$30</f>
        <v>%</v>
      </c>
      <c r="AJ74" s="1684"/>
      <c r="AK74" s="134"/>
      <c r="AL74" s="134"/>
      <c r="AM74" s="134"/>
      <c r="AN74" s="134"/>
      <c r="AO74" s="1545"/>
      <c r="AP74" s="1545"/>
      <c r="AQ74" s="1545"/>
      <c r="AR74" s="134"/>
      <c r="AS74" s="134"/>
      <c r="AT74" s="1545"/>
      <c r="AU74" s="1545"/>
      <c r="AV74" s="1545"/>
      <c r="AW74" s="134"/>
      <c r="AX74" s="134"/>
      <c r="AY74" s="1545"/>
      <c r="AZ74" s="1545"/>
      <c r="BA74" s="1545"/>
      <c r="BB74" s="134"/>
      <c r="BC74" s="134"/>
      <c r="BD74" s="1545"/>
      <c r="BE74" s="1545"/>
      <c r="BF74" s="1707"/>
    </row>
    <row r="75" spans="2:70" x14ac:dyDescent="0.25">
      <c r="B75" s="137"/>
      <c r="C75" s="1501" t="s">
        <v>86</v>
      </c>
      <c r="D75" s="1501"/>
      <c r="E75" s="1501"/>
      <c r="F75" s="1501"/>
      <c r="G75" s="1501"/>
      <c r="H75" s="1501"/>
      <c r="I75" s="1501"/>
      <c r="J75" s="1501"/>
      <c r="K75" s="1501"/>
      <c r="L75" s="1501"/>
      <c r="M75" s="1501"/>
      <c r="N75" s="1501"/>
      <c r="O75" s="1501"/>
      <c r="P75" s="1501"/>
      <c r="Q75" s="1501"/>
      <c r="R75" s="1501"/>
      <c r="S75" s="1501"/>
      <c r="T75" s="1501"/>
      <c r="U75" s="1501"/>
      <c r="V75" s="1501"/>
      <c r="W75" s="1501"/>
      <c r="X75" s="1501"/>
      <c r="Y75" s="1501"/>
      <c r="Z75" s="1501"/>
      <c r="AC75" s="1687" t="str">
        <f>'PIM Model'!$AD$28</f>
        <v/>
      </c>
      <c r="AD75" s="1687"/>
      <c r="AE75" s="1687" t="str">
        <f>'PIM Model'!$D$28</f>
        <v>%</v>
      </c>
      <c r="AF75" s="1687"/>
      <c r="AG75" s="1687" t="str">
        <f>'PIM Model'!$D$28</f>
        <v>%</v>
      </c>
      <c r="AH75" s="1687"/>
      <c r="AI75" s="1684" t="str">
        <f>'PIM Model'!$D$28</f>
        <v>%</v>
      </c>
      <c r="AJ75" s="1684"/>
      <c r="BF75" s="138"/>
    </row>
    <row r="76" spans="2:70" x14ac:dyDescent="0.25">
      <c r="B76" s="137"/>
      <c r="C76" s="1501" t="s">
        <v>105</v>
      </c>
      <c r="D76" s="1501"/>
      <c r="E76" s="1501"/>
      <c r="F76" s="1501"/>
      <c r="G76" s="1501"/>
      <c r="H76" s="1501"/>
      <c r="I76" s="1501"/>
      <c r="J76" s="1501"/>
      <c r="K76" s="1501"/>
      <c r="L76" s="1501"/>
      <c r="M76" s="1501"/>
      <c r="N76" s="1501"/>
      <c r="O76" s="1501"/>
      <c r="P76" s="1501"/>
      <c r="Q76" s="1501"/>
      <c r="R76" s="1501"/>
      <c r="S76" s="1501"/>
      <c r="T76" s="1501"/>
      <c r="U76" s="1501"/>
      <c r="V76" s="1501"/>
      <c r="W76" s="1501"/>
      <c r="X76" s="1501"/>
      <c r="Y76" s="1501"/>
      <c r="Z76" s="1501"/>
      <c r="AC76" s="1687" t="str">
        <f>'PIM Model'!$AD$22</f>
        <v/>
      </c>
      <c r="AD76" s="1687"/>
      <c r="AE76" s="1687" t="str">
        <f>'PIM Model'!$D$22</f>
        <v>%</v>
      </c>
      <c r="AF76" s="1687"/>
      <c r="AG76" s="1687" t="str">
        <f>'PIM Model'!$D$22</f>
        <v>%</v>
      </c>
      <c r="AH76" s="1687"/>
      <c r="AI76" s="1684" t="str">
        <f>'PIM Model'!$D$22</f>
        <v>%</v>
      </c>
      <c r="AJ76" s="1684"/>
      <c r="BF76" s="138"/>
    </row>
    <row r="77" spans="2:70" x14ac:dyDescent="0.25">
      <c r="B77" s="667"/>
      <c r="C77" s="1713" t="s">
        <v>726</v>
      </c>
      <c r="D77" s="1713"/>
      <c r="E77" s="1713"/>
      <c r="F77" s="1713"/>
      <c r="G77" s="1713"/>
      <c r="H77" s="1713"/>
      <c r="I77" s="1713"/>
      <c r="J77" s="1713"/>
      <c r="K77" s="1713"/>
      <c r="L77" s="1713"/>
      <c r="M77" s="1713"/>
      <c r="N77" s="1713"/>
      <c r="O77" s="1713"/>
      <c r="P77" s="1713"/>
      <c r="Q77" s="1713"/>
      <c r="R77" s="1713"/>
      <c r="S77" s="1713"/>
      <c r="T77" s="1713"/>
      <c r="U77" s="1713"/>
      <c r="V77" s="1713"/>
      <c r="W77" s="1713"/>
      <c r="X77" s="1713"/>
      <c r="Y77" s="1713"/>
      <c r="Z77" s="1713"/>
      <c r="AC77" s="1687" t="str">
        <f>'PIM Model'!$AD$12</f>
        <v/>
      </c>
      <c r="AD77" s="1687"/>
      <c r="AE77" s="1687" t="str">
        <f>'PIM Model'!$D$12</f>
        <v>%</v>
      </c>
      <c r="AF77" s="1687"/>
      <c r="AG77" s="1687" t="str">
        <f>'PIM Model'!$D$12</f>
        <v>%</v>
      </c>
      <c r="AH77" s="1687"/>
      <c r="AI77" s="1684" t="str">
        <f>'PIM Model'!$D$12</f>
        <v>%</v>
      </c>
      <c r="AJ77" s="1684"/>
      <c r="BF77" s="138"/>
    </row>
    <row r="78" spans="2:70" x14ac:dyDescent="0.25">
      <c r="B78" s="137"/>
      <c r="C78" s="1713" t="s">
        <v>727</v>
      </c>
      <c r="D78" s="1713"/>
      <c r="E78" s="1713"/>
      <c r="F78" s="1713"/>
      <c r="G78" s="1713"/>
      <c r="H78" s="1713"/>
      <c r="I78" s="1713"/>
      <c r="J78" s="1713"/>
      <c r="K78" s="1713"/>
      <c r="L78" s="1713"/>
      <c r="M78" s="1713"/>
      <c r="N78" s="1713"/>
      <c r="O78" s="1713"/>
      <c r="P78" s="1713"/>
      <c r="Q78" s="1713"/>
      <c r="R78" s="1713"/>
      <c r="S78" s="1713"/>
      <c r="T78" s="1713"/>
      <c r="U78" s="1713"/>
      <c r="V78" s="1713"/>
      <c r="W78" s="1713"/>
      <c r="X78" s="1713"/>
      <c r="Y78" s="1713"/>
      <c r="Z78" s="1713"/>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4" t="s">
        <v>694</v>
      </c>
      <c r="E81" s="1684"/>
      <c r="F81" s="1684"/>
      <c r="G81" s="1684"/>
      <c r="H81" s="1684"/>
      <c r="I81" s="1684"/>
      <c r="J81" s="1684"/>
      <c r="K81" s="1684"/>
      <c r="L81" s="1684"/>
      <c r="M81" s="1684"/>
      <c r="N81" s="1684"/>
      <c r="O81" s="1684"/>
      <c r="P81" s="1684"/>
      <c r="Q81" s="1684"/>
      <c r="R81" s="1684"/>
      <c r="S81" s="1684"/>
      <c r="T81" s="1684"/>
      <c r="U81" s="1684"/>
      <c r="V81" s="1684"/>
      <c r="W81" s="1684"/>
      <c r="X81" s="1684"/>
      <c r="Y81" s="1684"/>
      <c r="Z81" s="1684"/>
      <c r="AA81" s="1684"/>
      <c r="AB81" s="1684"/>
      <c r="AC81" s="1684"/>
      <c r="AD81" s="1684"/>
      <c r="AE81" s="1684"/>
      <c r="AF81" s="1684"/>
      <c r="AG81" s="1684"/>
      <c r="AH81" s="1684"/>
      <c r="AI81" s="1684"/>
      <c r="AJ81" s="1684"/>
      <c r="AK81" s="1684"/>
      <c r="AL81" s="1684"/>
      <c r="AM81" s="1684"/>
      <c r="AN81" s="1684"/>
      <c r="AO81" s="1684"/>
      <c r="AP81" s="1684"/>
      <c r="AQ81" s="1684"/>
      <c r="AR81" s="1684"/>
      <c r="AS81" s="1684"/>
      <c r="AT81" s="1684"/>
      <c r="AU81" s="1684"/>
      <c r="AV81" s="1684"/>
      <c r="AW81" s="1684"/>
      <c r="AX81" s="1684"/>
      <c r="AY81" s="1684"/>
      <c r="AZ81" s="1684"/>
      <c r="BA81" s="1684"/>
      <c r="BB81" s="1684"/>
      <c r="BC81" s="1684"/>
      <c r="BD81" s="1684"/>
      <c r="BF81" s="138"/>
    </row>
    <row r="82" spans="1:70" x14ac:dyDescent="0.25">
      <c r="B82" s="137"/>
      <c r="D82" s="1688" t="s">
        <v>241</v>
      </c>
      <c r="E82" s="1688"/>
      <c r="F82" s="1684" t="s">
        <v>693</v>
      </c>
      <c r="G82" s="1684"/>
      <c r="H82" s="1684"/>
      <c r="I82" s="1684"/>
      <c r="J82" s="1684"/>
      <c r="K82" s="1684"/>
      <c r="L82" s="1684"/>
      <c r="M82" s="1684"/>
      <c r="N82" s="1684"/>
      <c r="O82" s="1684"/>
      <c r="P82" s="1684"/>
      <c r="Q82" s="1684"/>
      <c r="R82" s="1684"/>
      <c r="S82" s="1684"/>
      <c r="T82" s="1684"/>
      <c r="U82" s="1684"/>
      <c r="V82" s="1684"/>
      <c r="W82" s="1684"/>
      <c r="X82" s="1684"/>
      <c r="Y82" s="1684"/>
      <c r="Z82" s="1684"/>
      <c r="AA82" s="1684"/>
      <c r="AB82" s="1684"/>
      <c r="AC82" s="1684"/>
      <c r="AD82" s="1684"/>
      <c r="AE82" s="1684"/>
      <c r="AF82" s="1684"/>
      <c r="AG82" s="1684"/>
      <c r="AH82" s="1684"/>
      <c r="AI82" s="1684"/>
      <c r="AJ82" s="1684"/>
      <c r="AK82" s="1684"/>
      <c r="AL82" s="1684"/>
      <c r="AM82" s="1684"/>
      <c r="AN82" s="1684"/>
      <c r="AO82" s="1684"/>
      <c r="AP82" s="1684"/>
      <c r="AQ82" s="1684"/>
      <c r="AR82" s="1684"/>
      <c r="AS82" s="1684"/>
      <c r="AT82" s="1684"/>
      <c r="AU82" s="1684"/>
      <c r="AV82" s="1684"/>
      <c r="AW82" s="1684"/>
      <c r="AX82" s="1684"/>
      <c r="AY82" s="1684"/>
      <c r="AZ82" s="1684"/>
      <c r="BA82" s="1684"/>
      <c r="BB82" s="1684"/>
      <c r="BC82" s="1684"/>
      <c r="BD82" s="1684"/>
      <c r="BF82" s="138"/>
    </row>
    <row r="83" spans="1:70" x14ac:dyDescent="0.25">
      <c r="B83" s="137"/>
      <c r="D83" s="1686"/>
      <c r="E83" s="1686"/>
      <c r="F83" s="1684" t="s">
        <v>692</v>
      </c>
      <c r="G83" s="1684"/>
      <c r="H83" s="1684"/>
      <c r="I83" s="1684"/>
      <c r="J83" s="1684"/>
      <c r="K83" s="1684"/>
      <c r="L83" s="1684"/>
      <c r="M83" s="1684"/>
      <c r="N83" s="1684"/>
      <c r="O83" s="1684"/>
      <c r="P83" s="1684"/>
      <c r="Q83" s="1684"/>
      <c r="R83" s="1684"/>
      <c r="S83" s="1684"/>
      <c r="T83" s="1684"/>
      <c r="U83" s="1684"/>
      <c r="V83" s="1684"/>
      <c r="W83" s="1684"/>
      <c r="X83" s="1684"/>
      <c r="Y83" s="1684"/>
      <c r="Z83" s="1684"/>
      <c r="AA83" s="1684"/>
      <c r="AB83" s="1684"/>
      <c r="AC83" s="1684"/>
      <c r="AD83" s="1684"/>
      <c r="AE83" s="1684"/>
      <c r="AF83" s="1684"/>
      <c r="AG83" s="1684"/>
      <c r="AH83" s="1684"/>
      <c r="AI83" s="1684"/>
      <c r="AJ83" s="1684"/>
      <c r="AK83" s="1684"/>
      <c r="AL83" s="1684"/>
      <c r="AM83" s="1684"/>
      <c r="AN83" s="1684"/>
      <c r="AO83" s="1684"/>
      <c r="AP83" s="1684"/>
      <c r="AQ83" s="1684"/>
      <c r="AR83" s="1684"/>
      <c r="AS83" s="1684"/>
      <c r="AT83" s="1684"/>
      <c r="AU83" s="1684"/>
      <c r="AV83" s="1684"/>
      <c r="AW83" s="1684"/>
      <c r="AX83" s="1684"/>
      <c r="AY83" s="1684"/>
      <c r="AZ83" s="1684"/>
      <c r="BA83" s="1684"/>
      <c r="BB83" s="1684"/>
      <c r="BC83" s="1684"/>
      <c r="BD83" s="1684"/>
      <c r="BF83" s="138"/>
    </row>
    <row r="84" spans="1:70" x14ac:dyDescent="0.25">
      <c r="A84" s="273"/>
      <c r="B84" s="137"/>
      <c r="D84" s="1686"/>
      <c r="E84" s="1686"/>
      <c r="F84" s="1684" t="s">
        <v>691</v>
      </c>
      <c r="G84" s="1684"/>
      <c r="H84" s="1684"/>
      <c r="I84" s="1684"/>
      <c r="J84" s="1684"/>
      <c r="K84" s="1684"/>
      <c r="L84" s="1684"/>
      <c r="M84" s="1684"/>
      <c r="N84" s="1684"/>
      <c r="O84" s="1684"/>
      <c r="P84" s="1684"/>
      <c r="Q84" s="1684"/>
      <c r="R84" s="1684"/>
      <c r="S84" s="1684"/>
      <c r="T84" s="1684"/>
      <c r="U84" s="1684"/>
      <c r="V84" s="1684"/>
      <c r="W84" s="1684"/>
      <c r="X84" s="1684"/>
      <c r="Y84" s="1684"/>
      <c r="Z84" s="1684"/>
      <c r="AA84" s="1684"/>
      <c r="AB84" s="1684"/>
      <c r="AC84" s="1684"/>
      <c r="AD84" s="1684"/>
      <c r="AE84" s="1684"/>
      <c r="AF84" s="1684"/>
      <c r="AG84" s="1684"/>
      <c r="AH84" s="1684"/>
      <c r="AI84" s="1684"/>
      <c r="AJ84" s="1684"/>
      <c r="AK84" s="1684"/>
      <c r="AL84" s="1684"/>
      <c r="AM84" s="1684"/>
      <c r="AN84" s="1684"/>
      <c r="AO84" s="1684"/>
      <c r="AP84" s="1684"/>
      <c r="AQ84" s="1684"/>
      <c r="AR84" s="1684"/>
      <c r="AS84" s="1684"/>
      <c r="AT84" s="1684"/>
      <c r="AU84" s="1684"/>
      <c r="AV84" s="1684"/>
      <c r="AW84" s="1684"/>
      <c r="AX84" s="1684"/>
      <c r="AY84" s="1684"/>
      <c r="AZ84" s="1684"/>
      <c r="BA84" s="1684"/>
      <c r="BB84" s="1684"/>
      <c r="BC84" s="1684"/>
      <c r="BD84" s="1684"/>
      <c r="BF84" s="138"/>
    </row>
    <row r="85" spans="1:70" x14ac:dyDescent="0.25">
      <c r="B85" s="137"/>
      <c r="BF85" s="138"/>
    </row>
    <row r="86" spans="1:70" x14ac:dyDescent="0.25">
      <c r="B86" s="137"/>
      <c r="D86" s="1684" t="s">
        <v>690</v>
      </c>
      <c r="E86" s="1684"/>
      <c r="F86" s="1684"/>
      <c r="G86" s="1684"/>
      <c r="H86" s="1684"/>
      <c r="I86" s="1684"/>
      <c r="J86" s="1684"/>
      <c r="K86" s="1684"/>
      <c r="L86" s="1684"/>
      <c r="M86" s="1684"/>
      <c r="N86" s="1684"/>
      <c r="O86" s="1684"/>
      <c r="P86" s="1684"/>
      <c r="Q86" s="1684"/>
      <c r="R86" s="1684"/>
      <c r="S86" s="1684"/>
      <c r="T86" s="1684"/>
      <c r="U86" s="1684"/>
      <c r="V86" s="1684"/>
      <c r="W86" s="1684"/>
      <c r="X86" s="1684"/>
      <c r="Y86" s="1684"/>
      <c r="Z86" s="1684"/>
      <c r="AA86" s="1684"/>
      <c r="AB86" s="1684"/>
      <c r="AC86" s="1684"/>
      <c r="AD86" s="1684"/>
      <c r="AE86" s="1684"/>
      <c r="AF86" s="1684"/>
      <c r="AG86" s="1684"/>
      <c r="AH86" s="1684"/>
      <c r="AI86" s="1684"/>
      <c r="AJ86" s="1684"/>
      <c r="AK86" s="1684"/>
      <c r="AL86" s="1684"/>
      <c r="AM86" s="1684"/>
      <c r="AN86" s="1684"/>
      <c r="AO86" s="1684"/>
      <c r="AP86" s="1684"/>
      <c r="AQ86" s="1684"/>
      <c r="AR86" s="1684"/>
      <c r="AS86" s="1684"/>
      <c r="AT86" s="1684"/>
      <c r="AU86" s="1684"/>
      <c r="AV86" s="1684"/>
      <c r="AW86" s="1684"/>
      <c r="AX86" s="1684"/>
      <c r="AY86" s="1684"/>
      <c r="AZ86" s="1684"/>
      <c r="BA86" s="1684"/>
      <c r="BB86" s="1684"/>
      <c r="BC86" s="1684"/>
      <c r="BD86" s="1684"/>
      <c r="BF86" s="138"/>
    </row>
    <row r="87" spans="1:70" x14ac:dyDescent="0.25">
      <c r="B87" s="137"/>
      <c r="D87" s="1688" t="s">
        <v>241</v>
      </c>
      <c r="E87" s="1688"/>
      <c r="F87" s="1684" t="s">
        <v>689</v>
      </c>
      <c r="G87" s="1684"/>
      <c r="H87" s="1684"/>
      <c r="I87" s="1684"/>
      <c r="J87" s="1684"/>
      <c r="K87" s="1684"/>
      <c r="L87" s="1684"/>
      <c r="M87" s="1684"/>
      <c r="N87" s="1684"/>
      <c r="O87" s="1684"/>
      <c r="P87" s="1684"/>
      <c r="Q87" s="1684"/>
      <c r="R87" s="1684"/>
      <c r="S87" s="1684"/>
      <c r="T87" s="1684"/>
      <c r="U87" s="1684"/>
      <c r="V87" s="1684"/>
      <c r="W87" s="1684"/>
      <c r="X87" s="1684"/>
      <c r="Y87" s="1684"/>
      <c r="Z87" s="1684"/>
      <c r="AA87" s="1684"/>
      <c r="AB87" s="1684"/>
      <c r="AC87" s="1684"/>
      <c r="AD87" s="1684"/>
      <c r="AE87" s="1684"/>
      <c r="AF87" s="1684"/>
      <c r="AG87" s="1684"/>
      <c r="AH87" s="1684"/>
      <c r="AI87" s="1684"/>
      <c r="AJ87" s="1684"/>
      <c r="AK87" s="1684"/>
      <c r="AL87" s="1684"/>
      <c r="AM87" s="1684"/>
      <c r="AN87" s="1684"/>
      <c r="AO87" s="1684"/>
      <c r="AP87" s="1684"/>
      <c r="AQ87" s="1684"/>
      <c r="AR87" s="1684"/>
      <c r="AS87" s="1684"/>
      <c r="AT87" s="1684"/>
      <c r="AU87" s="1684"/>
      <c r="AV87" s="1684"/>
      <c r="AW87" s="1684"/>
      <c r="AX87" s="1684"/>
      <c r="AY87" s="1684"/>
      <c r="AZ87" s="1684"/>
      <c r="BA87" s="1684"/>
      <c r="BB87" s="1684"/>
      <c r="BC87" s="1684"/>
      <c r="BD87" s="1684"/>
      <c r="BF87" s="138"/>
    </row>
    <row r="88" spans="1:70" x14ac:dyDescent="0.25">
      <c r="B88" s="137"/>
      <c r="D88" s="1686"/>
      <c r="E88" s="1686"/>
      <c r="F88" s="1684" t="s">
        <v>688</v>
      </c>
      <c r="G88" s="1684"/>
      <c r="H88" s="1684"/>
      <c r="I88" s="1684"/>
      <c r="J88" s="1684"/>
      <c r="K88" s="1684"/>
      <c r="L88" s="1684"/>
      <c r="M88" s="1684"/>
      <c r="N88" s="1684"/>
      <c r="O88" s="1684"/>
      <c r="P88" s="1684"/>
      <c r="Q88" s="1684"/>
      <c r="R88" s="1684"/>
      <c r="S88" s="1684"/>
      <c r="T88" s="1684"/>
      <c r="U88" s="1684"/>
      <c r="V88" s="1684"/>
      <c r="W88" s="1684"/>
      <c r="X88" s="1684"/>
      <c r="Y88" s="1684"/>
      <c r="Z88" s="1684"/>
      <c r="AA88" s="1684"/>
      <c r="AB88" s="1684"/>
      <c r="AC88" s="1684"/>
      <c r="AD88" s="1684"/>
      <c r="AE88" s="1684"/>
      <c r="AF88" s="1684"/>
      <c r="AG88" s="1684"/>
      <c r="AH88" s="1684"/>
      <c r="AI88" s="1684"/>
      <c r="AJ88" s="1684"/>
      <c r="AK88" s="1684"/>
      <c r="AL88" s="1684"/>
      <c r="AM88" s="1684"/>
      <c r="AN88" s="1684"/>
      <c r="AO88" s="1684"/>
      <c r="AP88" s="1684"/>
      <c r="AQ88" s="1684"/>
      <c r="AR88" s="1684"/>
      <c r="AS88" s="1684"/>
      <c r="AT88" s="1684"/>
      <c r="AU88" s="1684"/>
      <c r="AV88" s="1684"/>
      <c r="AW88" s="1684"/>
      <c r="AX88" s="1684"/>
      <c r="AY88" s="1684"/>
      <c r="AZ88" s="1684"/>
      <c r="BA88" s="1684"/>
      <c r="BB88" s="1684"/>
      <c r="BC88" s="1684"/>
      <c r="BD88" s="168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2" t="s">
        <v>1007</v>
      </c>
      <c r="C92" s="1643"/>
      <c r="D92" s="1643"/>
      <c r="E92" s="1643"/>
      <c r="F92" s="1643"/>
      <c r="G92" s="1643"/>
      <c r="H92" s="1643"/>
      <c r="I92" s="1643"/>
      <c r="J92" s="1643"/>
      <c r="K92" s="1643"/>
      <c r="L92" s="1643"/>
      <c r="M92" s="1643"/>
      <c r="N92" s="1643"/>
      <c r="O92" s="1643"/>
      <c r="P92" s="1643"/>
      <c r="Q92" s="1643"/>
      <c r="R92" s="1643"/>
      <c r="S92" s="1643"/>
      <c r="T92" s="1643"/>
      <c r="U92" s="1643"/>
      <c r="V92" s="1643"/>
      <c r="W92" s="1643"/>
      <c r="X92" s="1643"/>
      <c r="Y92" s="1643"/>
      <c r="Z92" s="1643"/>
      <c r="AA92" s="1643"/>
      <c r="AB92" s="1643"/>
      <c r="AC92" s="1643"/>
      <c r="AD92" s="1643"/>
      <c r="AE92" s="1643"/>
      <c r="AF92" s="1643"/>
      <c r="AG92" s="1643"/>
      <c r="AH92" s="1643"/>
      <c r="AI92" s="1643"/>
      <c r="AJ92" s="1643"/>
      <c r="AK92" s="1643"/>
      <c r="AL92" s="1643"/>
      <c r="AM92" s="1643"/>
      <c r="AN92" s="1643"/>
      <c r="AO92" s="1643"/>
      <c r="AP92" s="1643"/>
      <c r="AQ92" s="1643"/>
      <c r="AR92" s="1643"/>
      <c r="AS92" s="1643"/>
      <c r="AT92" s="1643"/>
      <c r="AU92" s="1643"/>
      <c r="AV92" s="1643"/>
      <c r="AW92" s="1643"/>
      <c r="AX92" s="1643"/>
      <c r="AY92" s="1643"/>
      <c r="AZ92" s="1643"/>
      <c r="BA92" s="1643"/>
      <c r="BB92" s="1643"/>
      <c r="BC92" s="1643"/>
      <c r="BD92" s="1643"/>
      <c r="BE92" s="1643"/>
      <c r="BF92" s="1644"/>
    </row>
    <row r="93" spans="1:70" ht="15.75" thickBot="1" x14ac:dyDescent="0.3">
      <c r="B93" s="137"/>
      <c r="BF93" s="138"/>
      <c r="BR93" s="266"/>
    </row>
    <row r="94" spans="1:70" ht="15.75" thickBot="1" x14ac:dyDescent="0.3">
      <c r="B94" s="137"/>
      <c r="D94" s="1679" t="s">
        <v>734</v>
      </c>
      <c r="E94" s="1649"/>
      <c r="F94" s="1649"/>
      <c r="G94" s="1649"/>
      <c r="H94" s="1649"/>
      <c r="I94" s="1649"/>
      <c r="J94" s="1649"/>
      <c r="K94" s="1648" t="s">
        <v>735</v>
      </c>
      <c r="L94" s="1649"/>
      <c r="M94" s="1649"/>
      <c r="N94" s="1649"/>
      <c r="O94" s="1649"/>
      <c r="P94" s="1649"/>
      <c r="Q94" s="1649"/>
      <c r="R94" s="1649"/>
      <c r="S94" s="1649"/>
      <c r="T94" s="1649"/>
      <c r="U94" s="1648" t="s">
        <v>795</v>
      </c>
      <c r="V94" s="1649"/>
      <c r="W94" s="1649"/>
      <c r="X94" s="1649"/>
      <c r="Y94" s="1649"/>
      <c r="Z94" s="1649"/>
      <c r="AA94" s="1649"/>
      <c r="AB94" s="1649"/>
      <c r="AC94" s="1649"/>
      <c r="AD94" s="1649"/>
      <c r="AE94" s="1649"/>
      <c r="AF94" s="1649"/>
      <c r="AG94" s="1649"/>
      <c r="AH94" s="1649"/>
      <c r="AI94" s="1649"/>
      <c r="AJ94" s="1648" t="s">
        <v>800</v>
      </c>
      <c r="AK94" s="1649"/>
      <c r="AL94" s="1649"/>
      <c r="AM94" s="1649"/>
      <c r="AN94" s="1649"/>
      <c r="AO94" s="1649"/>
      <c r="AP94" s="1649"/>
      <c r="AQ94" s="1649"/>
      <c r="AR94" s="1649"/>
      <c r="AS94" s="1649"/>
      <c r="AT94" s="1650"/>
      <c r="AU94" s="1648" t="s">
        <v>801</v>
      </c>
      <c r="AV94" s="1649"/>
      <c r="AW94" s="1649"/>
      <c r="AX94" s="1650"/>
      <c r="AY94" s="1648" t="s">
        <v>845</v>
      </c>
      <c r="AZ94" s="1649"/>
      <c r="BA94" s="1649"/>
      <c r="BB94" s="1649"/>
      <c r="BC94" s="1660"/>
      <c r="BF94" s="138"/>
    </row>
    <row r="95" spans="1:70" x14ac:dyDescent="0.25">
      <c r="B95" s="137"/>
      <c r="C95" s="623">
        <v>1</v>
      </c>
      <c r="D95" s="1678">
        <f>'Customer Inputs'!$B$6</f>
        <v>0</v>
      </c>
      <c r="E95" s="1678"/>
      <c r="F95" s="1678"/>
      <c r="G95" s="1678"/>
      <c r="H95" s="1678"/>
      <c r="I95" s="1678"/>
      <c r="J95" s="1678"/>
      <c r="K95" s="1665" t="str">
        <f>IFERROR(IFERROR('Multi-Customer'!$BB$39,VLOOKUP($D95,'Required Info to Submit'!$E$23:$J$32,2,FALSE)),"")</f>
        <v/>
      </c>
      <c r="L95" s="1665"/>
      <c r="M95" s="1665"/>
      <c r="N95" s="1665"/>
      <c r="O95" s="1665"/>
      <c r="P95" s="1665"/>
      <c r="Q95" s="1665"/>
      <c r="R95" s="1665"/>
      <c r="S95" s="1665"/>
      <c r="T95" s="1665"/>
      <c r="U95" s="1665" t="str">
        <f>IFERROR(IFERROR('Multi-Customer'!$BB$41&amp;" "&amp;'Multi-Customer'!$BB$42,VLOOKUP($D95,'Required Info to Submit'!$E$23:$J$32,3,FALSE)),"")</f>
        <v/>
      </c>
      <c r="V95" s="1665"/>
      <c r="W95" s="1665"/>
      <c r="X95" s="1665"/>
      <c r="Y95" s="1665"/>
      <c r="Z95" s="1665"/>
      <c r="AA95" s="1665"/>
      <c r="AB95" s="1665"/>
      <c r="AC95" s="1665"/>
      <c r="AD95" s="1665"/>
      <c r="AE95" s="1665"/>
      <c r="AF95" s="1665"/>
      <c r="AG95" s="1665"/>
      <c r="AH95" s="1665"/>
      <c r="AI95" s="1665"/>
      <c r="AJ95" s="1672" t="str">
        <f>IFERROR(IFERROR('Multi-Customer'!$BB$43,VLOOKUP($D95,'Required Info to Submit'!$E$23:$J$32,4,FALSE)),"")</f>
        <v/>
      </c>
      <c r="AK95" s="1673"/>
      <c r="AL95" s="1673"/>
      <c r="AM95" s="1673"/>
      <c r="AN95" s="1673"/>
      <c r="AO95" s="1673"/>
      <c r="AP95" s="1673"/>
      <c r="AQ95" s="1673"/>
      <c r="AR95" s="1673"/>
      <c r="AS95" s="1673"/>
      <c r="AT95" s="1674"/>
      <c r="AU95" s="1645" t="str">
        <f>IFERROR(IFERROR('Multi-Customer'!$BB$44,VLOOKUP($D95,'Required Info to Submit'!$E$23:$J$32,5,FALSE)),"")</f>
        <v/>
      </c>
      <c r="AV95" s="1646"/>
      <c r="AW95" s="1646"/>
      <c r="AX95" s="1647"/>
      <c r="AY95" s="1657" t="str">
        <f>IFERROR(IFERROR('Multi-Customer'!$BB$45,VLOOKUP($D95,'Required Info to Submit'!$E$23:$J$32,6,FALSE)),"")</f>
        <v/>
      </c>
      <c r="AZ95" s="1658"/>
      <c r="BA95" s="1658"/>
      <c r="BB95" s="1658"/>
      <c r="BC95" s="1659"/>
      <c r="BF95" s="138"/>
    </row>
    <row r="96" spans="1:70" x14ac:dyDescent="0.25">
      <c r="B96" s="137"/>
      <c r="C96" s="624">
        <v>2</v>
      </c>
      <c r="D96" s="1677">
        <f>'Customer Inputs'!$B$7</f>
        <v>0</v>
      </c>
      <c r="E96" s="1677"/>
      <c r="F96" s="1677"/>
      <c r="G96" s="1677"/>
      <c r="H96" s="1677"/>
      <c r="I96" s="1677"/>
      <c r="J96" s="1677"/>
      <c r="K96" s="1664" t="str">
        <f>IFERROR(IFERROR('Multi-Customer'!$BY$39,VLOOKUP($D96,'Required Info to Submit'!$E$23:$J$32,2,FALSE)),"")</f>
        <v/>
      </c>
      <c r="L96" s="1664"/>
      <c r="M96" s="1664"/>
      <c r="N96" s="1664"/>
      <c r="O96" s="1664"/>
      <c r="P96" s="1664"/>
      <c r="Q96" s="1664"/>
      <c r="R96" s="1664"/>
      <c r="S96" s="1664"/>
      <c r="T96" s="1664"/>
      <c r="U96" s="1664" t="str">
        <f>IFERROR(IFERROR('Multi-Customer'!$BY$41&amp;" "&amp;'Multi-Customer'!$BY$42,VLOOKUP($D96,'Required Info to Submit'!$E$23:$J$32,3,FALSE)),"")</f>
        <v/>
      </c>
      <c r="V96" s="1664"/>
      <c r="W96" s="1664"/>
      <c r="X96" s="1664"/>
      <c r="Y96" s="1664"/>
      <c r="Z96" s="1664"/>
      <c r="AA96" s="1664"/>
      <c r="AB96" s="1664"/>
      <c r="AC96" s="1664"/>
      <c r="AD96" s="1664"/>
      <c r="AE96" s="1664"/>
      <c r="AF96" s="1664"/>
      <c r="AG96" s="1664"/>
      <c r="AH96" s="1664"/>
      <c r="AI96" s="1664"/>
      <c r="AJ96" s="1669" t="str">
        <f>IFERROR(IFERROR('Multi-Customer'!$BY$43,VLOOKUP($D96,'Required Info to Submit'!$E$23:$J$32,4,FALSE)),"")</f>
        <v/>
      </c>
      <c r="AK96" s="1670"/>
      <c r="AL96" s="1670"/>
      <c r="AM96" s="1670"/>
      <c r="AN96" s="1670"/>
      <c r="AO96" s="1670"/>
      <c r="AP96" s="1670"/>
      <c r="AQ96" s="1670"/>
      <c r="AR96" s="1670"/>
      <c r="AS96" s="1670"/>
      <c r="AT96" s="1671"/>
      <c r="AU96" s="1592" t="str">
        <f>IFERROR(IFERROR('Multi-Customer'!$BY$44,VLOOKUP($D96,'Required Info to Submit'!$E$23:$J$32,5,FALSE)),"")</f>
        <v/>
      </c>
      <c r="AV96" s="1593"/>
      <c r="AW96" s="1593"/>
      <c r="AX96" s="1594"/>
      <c r="AY96" s="1654" t="str">
        <f>IFERROR(IFERROR('Multi-Customer'!$BY$45,VLOOKUP($D96,'Required Info to Submit'!$E$23:$J$32,6,FALSE)),"")</f>
        <v/>
      </c>
      <c r="AZ96" s="1655"/>
      <c r="BA96" s="1655"/>
      <c r="BB96" s="1655"/>
      <c r="BC96" s="1656"/>
      <c r="BF96" s="138"/>
    </row>
    <row r="97" spans="2:58" x14ac:dyDescent="0.25">
      <c r="B97" s="137"/>
      <c r="C97" s="624">
        <v>3</v>
      </c>
      <c r="D97" s="1677">
        <f>'Customer Inputs'!$B$8</f>
        <v>0</v>
      </c>
      <c r="E97" s="1677"/>
      <c r="F97" s="1677"/>
      <c r="G97" s="1677"/>
      <c r="H97" s="1677"/>
      <c r="I97" s="1677"/>
      <c r="J97" s="1677"/>
      <c r="K97" s="1664" t="str">
        <f>IFERROR(IFERROR('Multi-Customer'!$CV$39,VLOOKUP($D97,'Required Info to Submit'!$E$23:$J$32,2,FALSE)),"")</f>
        <v/>
      </c>
      <c r="L97" s="1664"/>
      <c r="M97" s="1664"/>
      <c r="N97" s="1664"/>
      <c r="O97" s="1664"/>
      <c r="P97" s="1664"/>
      <c r="Q97" s="1664"/>
      <c r="R97" s="1664"/>
      <c r="S97" s="1664"/>
      <c r="T97" s="1664"/>
      <c r="U97" s="1664" t="str">
        <f>IFERROR(IFERROR('Multi-Customer'!$CV$41&amp;" "&amp;'Multi-Customer'!$CV$42,VLOOKUP($D97,'Required Info to Submit'!$E$23:$J$32,3,FALSE)),"")</f>
        <v/>
      </c>
      <c r="V97" s="1664"/>
      <c r="W97" s="1664"/>
      <c r="X97" s="1664"/>
      <c r="Y97" s="1664"/>
      <c r="Z97" s="1664"/>
      <c r="AA97" s="1664"/>
      <c r="AB97" s="1664"/>
      <c r="AC97" s="1664"/>
      <c r="AD97" s="1664"/>
      <c r="AE97" s="1664"/>
      <c r="AF97" s="1664"/>
      <c r="AG97" s="1664"/>
      <c r="AH97" s="1664"/>
      <c r="AI97" s="1664"/>
      <c r="AJ97" s="1669" t="str">
        <f>IFERROR(IFERROR('Multi-Customer'!$CV$43,VLOOKUP($D97,'Required Info to Submit'!$E$23:$J$32,4,FALSE)),"")</f>
        <v/>
      </c>
      <c r="AK97" s="1670"/>
      <c r="AL97" s="1670"/>
      <c r="AM97" s="1670"/>
      <c r="AN97" s="1670"/>
      <c r="AO97" s="1670"/>
      <c r="AP97" s="1670"/>
      <c r="AQ97" s="1670"/>
      <c r="AR97" s="1670"/>
      <c r="AS97" s="1670"/>
      <c r="AT97" s="1671"/>
      <c r="AU97" s="1592" t="str">
        <f>IFERROR(IFERROR('Multi-Customer'!$CV$44,VLOOKUP($D97,'Required Info to Submit'!$E$23:$J$32,5,FALSE)),"")</f>
        <v/>
      </c>
      <c r="AV97" s="1593"/>
      <c r="AW97" s="1593"/>
      <c r="AX97" s="1594"/>
      <c r="AY97" s="1654" t="str">
        <f>IFERROR(IFERROR('Multi-Customer'!$CV$45,VLOOKUP($D97,'Required Info to Submit'!$E$23:$J$32,6,FALSE)),"")</f>
        <v/>
      </c>
      <c r="AZ97" s="1655"/>
      <c r="BA97" s="1655"/>
      <c r="BB97" s="1655"/>
      <c r="BC97" s="1656"/>
      <c r="BF97" s="138"/>
    </row>
    <row r="98" spans="2:58" x14ac:dyDescent="0.25">
      <c r="B98" s="137"/>
      <c r="C98" s="624">
        <v>4</v>
      </c>
      <c r="D98" s="1677">
        <f>'Customer Inputs'!$B$9</f>
        <v>0</v>
      </c>
      <c r="E98" s="1677"/>
      <c r="F98" s="1677"/>
      <c r="G98" s="1677"/>
      <c r="H98" s="1677"/>
      <c r="I98" s="1677"/>
      <c r="J98" s="1677"/>
      <c r="K98" s="1664" t="str">
        <f>IFERROR(IFERROR('Multi-Customer'!$DS$39,VLOOKUP($D98,'Required Info to Submit'!$E$23:$J$32,2,FALSE)),"")</f>
        <v/>
      </c>
      <c r="L98" s="1664"/>
      <c r="M98" s="1664"/>
      <c r="N98" s="1664"/>
      <c r="O98" s="1664"/>
      <c r="P98" s="1664"/>
      <c r="Q98" s="1664"/>
      <c r="R98" s="1664"/>
      <c r="S98" s="1664"/>
      <c r="T98" s="1664"/>
      <c r="U98" s="1664" t="str">
        <f>IFERROR(IFERROR('Multi-Customer'!$DS$41&amp;" "&amp;'Multi-Customer'!$DS$42,VLOOKUP($D98,'Required Info to Submit'!$E$23:$J$32,3,FALSE)),"")</f>
        <v/>
      </c>
      <c r="V98" s="1664"/>
      <c r="W98" s="1664"/>
      <c r="X98" s="1664"/>
      <c r="Y98" s="1664"/>
      <c r="Z98" s="1664"/>
      <c r="AA98" s="1664"/>
      <c r="AB98" s="1664"/>
      <c r="AC98" s="1664"/>
      <c r="AD98" s="1664"/>
      <c r="AE98" s="1664"/>
      <c r="AF98" s="1664"/>
      <c r="AG98" s="1664"/>
      <c r="AH98" s="1664"/>
      <c r="AI98" s="1664"/>
      <c r="AJ98" s="1669" t="str">
        <f>IFERROR(IFERROR('Multi-Customer'!$DS$43,VLOOKUP($D98,'Required Info to Submit'!$E$23:$J$32,4,FALSE)),"")</f>
        <v/>
      </c>
      <c r="AK98" s="1670"/>
      <c r="AL98" s="1670"/>
      <c r="AM98" s="1670"/>
      <c r="AN98" s="1670"/>
      <c r="AO98" s="1670"/>
      <c r="AP98" s="1670"/>
      <c r="AQ98" s="1670"/>
      <c r="AR98" s="1670"/>
      <c r="AS98" s="1670"/>
      <c r="AT98" s="1671"/>
      <c r="AU98" s="1592" t="str">
        <f>IFERROR(IFERROR('Multi-Customer'!$DS$44,VLOOKUP($D98,'Required Info to Submit'!$E$23:$J$32,5,FALSE)),"")</f>
        <v/>
      </c>
      <c r="AV98" s="1593"/>
      <c r="AW98" s="1593"/>
      <c r="AX98" s="1594"/>
      <c r="AY98" s="1654" t="str">
        <f>IFERROR(IFERROR('Multi-Customer'!$DS$45,VLOOKUP($D98,'Required Info to Submit'!$E$23:$J$32,6,FALSE)),"")</f>
        <v/>
      </c>
      <c r="AZ98" s="1655"/>
      <c r="BA98" s="1655"/>
      <c r="BB98" s="1655"/>
      <c r="BC98" s="1656"/>
      <c r="BF98" s="138"/>
    </row>
    <row r="99" spans="2:58" x14ac:dyDescent="0.25">
      <c r="B99" s="137"/>
      <c r="C99" s="624">
        <v>5</v>
      </c>
      <c r="D99" s="1677">
        <f>'Customer Inputs'!$B$10</f>
        <v>0</v>
      </c>
      <c r="E99" s="1677"/>
      <c r="F99" s="1677"/>
      <c r="G99" s="1677"/>
      <c r="H99" s="1677"/>
      <c r="I99" s="1677"/>
      <c r="J99" s="1677"/>
      <c r="K99" s="1664" t="str">
        <f>IFERROR(IFERROR('Multi-Customer'!$EP$39,VLOOKUP($D99,'Required Info to Submit'!$E$23:$J$32,2,FALSE)),"")</f>
        <v/>
      </c>
      <c r="L99" s="1664"/>
      <c r="M99" s="1664"/>
      <c r="N99" s="1664"/>
      <c r="O99" s="1664"/>
      <c r="P99" s="1664"/>
      <c r="Q99" s="1664"/>
      <c r="R99" s="1664"/>
      <c r="S99" s="1664"/>
      <c r="T99" s="1664"/>
      <c r="U99" s="1664" t="str">
        <f>IFERROR(IFERROR('Multi-Customer'!$EP$41&amp;" "&amp;'Multi-Customer'!$EP$42,VLOOKUP($D99,'Required Info to Submit'!$E$23:$J$32,3,FALSE)),"")</f>
        <v/>
      </c>
      <c r="V99" s="1664"/>
      <c r="W99" s="1664"/>
      <c r="X99" s="1664"/>
      <c r="Y99" s="1664"/>
      <c r="Z99" s="1664"/>
      <c r="AA99" s="1664"/>
      <c r="AB99" s="1664"/>
      <c r="AC99" s="1664"/>
      <c r="AD99" s="1664"/>
      <c r="AE99" s="1664"/>
      <c r="AF99" s="1664"/>
      <c r="AG99" s="1664"/>
      <c r="AH99" s="1664"/>
      <c r="AI99" s="1664"/>
      <c r="AJ99" s="1669" t="str">
        <f>IFERROR(IFERROR('Multi-Customer'!$EP$43,VLOOKUP($D99,'Required Info to Submit'!$E$23:$J$32,4,FALSE)),"")</f>
        <v/>
      </c>
      <c r="AK99" s="1670"/>
      <c r="AL99" s="1670"/>
      <c r="AM99" s="1670"/>
      <c r="AN99" s="1670"/>
      <c r="AO99" s="1670"/>
      <c r="AP99" s="1670"/>
      <c r="AQ99" s="1670"/>
      <c r="AR99" s="1670"/>
      <c r="AS99" s="1670"/>
      <c r="AT99" s="1671"/>
      <c r="AU99" s="1592" t="str">
        <f>IFERROR(IFERROR('Multi-Customer'!$EP$44,VLOOKUP($D99,'Required Info to Submit'!$E$23:$J$32,5,FALSE)),"")</f>
        <v/>
      </c>
      <c r="AV99" s="1593"/>
      <c r="AW99" s="1593"/>
      <c r="AX99" s="1594"/>
      <c r="AY99" s="1654" t="str">
        <f>IFERROR(IFERROR('Multi-Customer'!$EP$45,VLOOKUP($D99,'Required Info to Submit'!$E$23:$J$32,6,FALSE)),"")</f>
        <v/>
      </c>
      <c r="AZ99" s="1655"/>
      <c r="BA99" s="1655"/>
      <c r="BB99" s="1655"/>
      <c r="BC99" s="1656"/>
      <c r="BF99" s="138"/>
    </row>
    <row r="100" spans="2:58" x14ac:dyDescent="0.25">
      <c r="B100" s="137"/>
      <c r="C100" s="624">
        <v>6</v>
      </c>
      <c r="D100" s="1677">
        <f>'Customer Inputs'!$B$11</f>
        <v>0</v>
      </c>
      <c r="E100" s="1677"/>
      <c r="F100" s="1677"/>
      <c r="G100" s="1677"/>
      <c r="H100" s="1677"/>
      <c r="I100" s="1677"/>
      <c r="J100" s="1677"/>
      <c r="K100" s="1664" t="str">
        <f>IFERROR(IFERROR('Multi-Customer'!$FM$39,VLOOKUP($D100,'Required Info to Submit'!$E$23:$J$32,2,FALSE)),"")</f>
        <v/>
      </c>
      <c r="L100" s="1664"/>
      <c r="M100" s="1664"/>
      <c r="N100" s="1664"/>
      <c r="O100" s="1664"/>
      <c r="P100" s="1664"/>
      <c r="Q100" s="1664"/>
      <c r="R100" s="1664"/>
      <c r="S100" s="1664"/>
      <c r="T100" s="1664"/>
      <c r="U100" s="1664" t="str">
        <f>IFERROR(IFERROR('Multi-Customer'!$FM$41&amp;" "&amp;'Multi-Customer'!$FM$42,VLOOKUP($D100,'Required Info to Submit'!$E$23:$J$32,3,FALSE)),"")</f>
        <v/>
      </c>
      <c r="V100" s="1664"/>
      <c r="W100" s="1664"/>
      <c r="X100" s="1664"/>
      <c r="Y100" s="1664"/>
      <c r="Z100" s="1664"/>
      <c r="AA100" s="1664"/>
      <c r="AB100" s="1664"/>
      <c r="AC100" s="1664"/>
      <c r="AD100" s="1664"/>
      <c r="AE100" s="1664"/>
      <c r="AF100" s="1664"/>
      <c r="AG100" s="1664"/>
      <c r="AH100" s="1664"/>
      <c r="AI100" s="1664"/>
      <c r="AJ100" s="1669" t="str">
        <f>IFERROR(IFERROR('Multi-Customer'!$FM$43,VLOOKUP($D100,'Required Info to Submit'!$E$23:$J$32,4,FALSE)),"")</f>
        <v/>
      </c>
      <c r="AK100" s="1670"/>
      <c r="AL100" s="1670"/>
      <c r="AM100" s="1670"/>
      <c r="AN100" s="1670"/>
      <c r="AO100" s="1670"/>
      <c r="AP100" s="1670"/>
      <c r="AQ100" s="1670"/>
      <c r="AR100" s="1670"/>
      <c r="AS100" s="1670"/>
      <c r="AT100" s="1671"/>
      <c r="AU100" s="1592" t="str">
        <f>IFERROR(IFERROR('Multi-Customer'!$FM$44,VLOOKUP($D100,'Required Info to Submit'!$E$23:$J$32,5,FALSE)),"")</f>
        <v/>
      </c>
      <c r="AV100" s="1593"/>
      <c r="AW100" s="1593"/>
      <c r="AX100" s="1594"/>
      <c r="AY100" s="1654" t="str">
        <f>IFERROR(IFERROR('Multi-Customer'!$FM$45,VLOOKUP($D100,'Required Info to Submit'!$E$23:$J$32,6,FALSE)),"")</f>
        <v/>
      </c>
      <c r="AZ100" s="1655"/>
      <c r="BA100" s="1655"/>
      <c r="BB100" s="1655"/>
      <c r="BC100" s="1656"/>
      <c r="BF100" s="138"/>
    </row>
    <row r="101" spans="2:58" x14ac:dyDescent="0.25">
      <c r="B101" s="137"/>
      <c r="C101" s="624">
        <v>7</v>
      </c>
      <c r="D101" s="1677">
        <f>'Customer Inputs'!$B$12</f>
        <v>0</v>
      </c>
      <c r="E101" s="1677"/>
      <c r="F101" s="1677"/>
      <c r="G101" s="1677"/>
      <c r="H101" s="1677"/>
      <c r="I101" s="1677"/>
      <c r="J101" s="1677"/>
      <c r="K101" s="1664" t="str">
        <f>IFERROR(IFERROR('Multi-Customer'!$GJ$39,VLOOKUP($D101,'Required Info to Submit'!$E$23:$J$32,2,FALSE)),"")</f>
        <v/>
      </c>
      <c r="L101" s="1664"/>
      <c r="M101" s="1664"/>
      <c r="N101" s="1664"/>
      <c r="O101" s="1664"/>
      <c r="P101" s="1664"/>
      <c r="Q101" s="1664"/>
      <c r="R101" s="1664"/>
      <c r="S101" s="1664"/>
      <c r="T101" s="1664"/>
      <c r="U101" s="1664" t="str">
        <f>IFERROR(IFERROR('Multi-Customer'!$GJ$41&amp;" "&amp;'Multi-Customer'!$GJ$42,VLOOKUP($D101,'Required Info to Submit'!$E$23:$J$32,3,FALSE)),"")</f>
        <v/>
      </c>
      <c r="V101" s="1664"/>
      <c r="W101" s="1664"/>
      <c r="X101" s="1664"/>
      <c r="Y101" s="1664"/>
      <c r="Z101" s="1664"/>
      <c r="AA101" s="1664"/>
      <c r="AB101" s="1664"/>
      <c r="AC101" s="1664"/>
      <c r="AD101" s="1664"/>
      <c r="AE101" s="1664"/>
      <c r="AF101" s="1664"/>
      <c r="AG101" s="1664"/>
      <c r="AH101" s="1664"/>
      <c r="AI101" s="1664"/>
      <c r="AJ101" s="1669" t="str">
        <f>IFERROR(IFERROR('Multi-Customer'!$GJ$43,VLOOKUP($D101,'Required Info to Submit'!$E$23:$J$32,4,FALSE)),"")</f>
        <v/>
      </c>
      <c r="AK101" s="1670"/>
      <c r="AL101" s="1670"/>
      <c r="AM101" s="1670"/>
      <c r="AN101" s="1670"/>
      <c r="AO101" s="1670"/>
      <c r="AP101" s="1670"/>
      <c r="AQ101" s="1670"/>
      <c r="AR101" s="1670"/>
      <c r="AS101" s="1670"/>
      <c r="AT101" s="1671"/>
      <c r="AU101" s="1592" t="str">
        <f>IFERROR(IFERROR('Multi-Customer'!$GJ$44,VLOOKUP($D101,'Required Info to Submit'!$E$23:$J$32,5,FALSE)),"")</f>
        <v/>
      </c>
      <c r="AV101" s="1593"/>
      <c r="AW101" s="1593"/>
      <c r="AX101" s="1594"/>
      <c r="AY101" s="1654" t="str">
        <f>IFERROR(IFERROR('Multi-Customer'!$GJ$45,VLOOKUP($D101,'Required Info to Submit'!$E$23:$J$32,6,FALSE)),"")</f>
        <v/>
      </c>
      <c r="AZ101" s="1655"/>
      <c r="BA101" s="1655"/>
      <c r="BB101" s="1655"/>
      <c r="BC101" s="1656"/>
      <c r="BF101" s="138"/>
    </row>
    <row r="102" spans="2:58" x14ac:dyDescent="0.25">
      <c r="B102" s="137"/>
      <c r="C102" s="624">
        <v>8</v>
      </c>
      <c r="D102" s="1677">
        <f>'Customer Inputs'!$B$13</f>
        <v>0</v>
      </c>
      <c r="E102" s="1677"/>
      <c r="F102" s="1677"/>
      <c r="G102" s="1677"/>
      <c r="H102" s="1677"/>
      <c r="I102" s="1677"/>
      <c r="J102" s="1677"/>
      <c r="K102" s="1664" t="str">
        <f>IFERROR(IFERROR('Multi-Customer'!$HG$39,VLOOKUP($D102,'Required Info to Submit'!$E$23:$J$32,2,FALSE)),"")</f>
        <v/>
      </c>
      <c r="L102" s="1664"/>
      <c r="M102" s="1664"/>
      <c r="N102" s="1664"/>
      <c r="O102" s="1664"/>
      <c r="P102" s="1664"/>
      <c r="Q102" s="1664"/>
      <c r="R102" s="1664"/>
      <c r="S102" s="1664"/>
      <c r="T102" s="1664"/>
      <c r="U102" s="1664" t="str">
        <f>IFERROR(IFERROR('Multi-Customer'!$HG$41&amp;" "&amp;'Multi-Customer'!$HG$42,VLOOKUP($D102,'Required Info to Submit'!$E$23:$J$32,3,FALSE)),"")</f>
        <v/>
      </c>
      <c r="V102" s="1664"/>
      <c r="W102" s="1664"/>
      <c r="X102" s="1664"/>
      <c r="Y102" s="1664"/>
      <c r="Z102" s="1664"/>
      <c r="AA102" s="1664"/>
      <c r="AB102" s="1664"/>
      <c r="AC102" s="1664"/>
      <c r="AD102" s="1664"/>
      <c r="AE102" s="1664"/>
      <c r="AF102" s="1664"/>
      <c r="AG102" s="1664"/>
      <c r="AH102" s="1664"/>
      <c r="AI102" s="1664"/>
      <c r="AJ102" s="1669" t="str">
        <f>IFERROR(IFERROR('Multi-Customer'!$HG$43,VLOOKUP($D102,'Required Info to Submit'!$E$23:$J$32,4,FALSE)),"")</f>
        <v/>
      </c>
      <c r="AK102" s="1670"/>
      <c r="AL102" s="1670"/>
      <c r="AM102" s="1670"/>
      <c r="AN102" s="1670"/>
      <c r="AO102" s="1670"/>
      <c r="AP102" s="1670"/>
      <c r="AQ102" s="1670"/>
      <c r="AR102" s="1670"/>
      <c r="AS102" s="1670"/>
      <c r="AT102" s="1671"/>
      <c r="AU102" s="1592" t="str">
        <f>IFERROR(IFERROR('Multi-Customer'!$HG$44,VLOOKUP($D102,'Required Info to Submit'!$E$23:$J$32,5,FALSE)),"")</f>
        <v/>
      </c>
      <c r="AV102" s="1593"/>
      <c r="AW102" s="1593"/>
      <c r="AX102" s="1594"/>
      <c r="AY102" s="1654" t="str">
        <f>IFERROR(IFERROR('Multi-Customer'!$HG$45,VLOOKUP($D102,'Required Info to Submit'!$E$23:$J$32,6,FALSE)),"")</f>
        <v/>
      </c>
      <c r="AZ102" s="1655"/>
      <c r="BA102" s="1655"/>
      <c r="BB102" s="1655"/>
      <c r="BC102" s="1656"/>
      <c r="BF102" s="138"/>
    </row>
    <row r="103" spans="2:58" x14ac:dyDescent="0.25">
      <c r="B103" s="137"/>
      <c r="C103" s="624">
        <v>9</v>
      </c>
      <c r="D103" s="1677">
        <f>'Customer Inputs'!$B$14</f>
        <v>0</v>
      </c>
      <c r="E103" s="1677"/>
      <c r="F103" s="1677"/>
      <c r="G103" s="1677"/>
      <c r="H103" s="1677"/>
      <c r="I103" s="1677"/>
      <c r="J103" s="1677"/>
      <c r="K103" s="1664" t="str">
        <f>IFERROR(IFERROR('Multi-Customer'!$ID$39,VLOOKUP($D103,'Required Info to Submit'!$E$23:$J$32,2,FALSE)),"")</f>
        <v/>
      </c>
      <c r="L103" s="1664"/>
      <c r="M103" s="1664"/>
      <c r="N103" s="1664"/>
      <c r="O103" s="1664"/>
      <c r="P103" s="1664"/>
      <c r="Q103" s="1664"/>
      <c r="R103" s="1664"/>
      <c r="S103" s="1664"/>
      <c r="T103" s="1664"/>
      <c r="U103" s="1664" t="str">
        <f>IFERROR(IFERROR('Multi-Customer'!$ID$41&amp;" "&amp;'Multi-Customer'!$ID$42,VLOOKUP($D103,'Required Info to Submit'!$E$23:$J$32,3,FALSE)),"")</f>
        <v/>
      </c>
      <c r="V103" s="1664"/>
      <c r="W103" s="1664"/>
      <c r="X103" s="1664"/>
      <c r="Y103" s="1664"/>
      <c r="Z103" s="1664"/>
      <c r="AA103" s="1664"/>
      <c r="AB103" s="1664"/>
      <c r="AC103" s="1664"/>
      <c r="AD103" s="1664"/>
      <c r="AE103" s="1664"/>
      <c r="AF103" s="1664"/>
      <c r="AG103" s="1664"/>
      <c r="AH103" s="1664"/>
      <c r="AI103" s="1664"/>
      <c r="AJ103" s="1669" t="str">
        <f>IFERROR(IFERROR('Multi-Customer'!$ID$43,VLOOKUP($D103,'Required Info to Submit'!$E$23:$J$32,4,FALSE)),"")</f>
        <v/>
      </c>
      <c r="AK103" s="1670"/>
      <c r="AL103" s="1670"/>
      <c r="AM103" s="1670"/>
      <c r="AN103" s="1670"/>
      <c r="AO103" s="1670"/>
      <c r="AP103" s="1670"/>
      <c r="AQ103" s="1670"/>
      <c r="AR103" s="1670"/>
      <c r="AS103" s="1670"/>
      <c r="AT103" s="1671"/>
      <c r="AU103" s="1592" t="str">
        <f>IFERROR(IFERROR('Multi-Customer'!$ID$44,VLOOKUP($D103,'Required Info to Submit'!$E$23:$J$32,5,FALSE)),"")</f>
        <v/>
      </c>
      <c r="AV103" s="1593"/>
      <c r="AW103" s="1593"/>
      <c r="AX103" s="1594"/>
      <c r="AY103" s="1654" t="str">
        <f>IFERROR(IFERROR('Multi-Customer'!$ID$45,VLOOKUP($D103,'Required Info to Submit'!$E$23:$J$32,6,FALSE)),"")</f>
        <v/>
      </c>
      <c r="AZ103" s="1655"/>
      <c r="BA103" s="1655"/>
      <c r="BB103" s="1655"/>
      <c r="BC103" s="1656"/>
      <c r="BF103" s="138"/>
    </row>
    <row r="104" spans="2:58" ht="15.75" thickBot="1" x14ac:dyDescent="0.3">
      <c r="B104" s="137"/>
      <c r="C104" s="625">
        <v>10</v>
      </c>
      <c r="D104" s="1676">
        <f>'Customer Inputs'!$B$15</f>
        <v>0</v>
      </c>
      <c r="E104" s="1676"/>
      <c r="F104" s="1676"/>
      <c r="G104" s="1676"/>
      <c r="H104" s="1676"/>
      <c r="I104" s="1676"/>
      <c r="J104" s="1676"/>
      <c r="K104" s="1675" t="str">
        <f>IFERROR(IFERROR('Multi-Customer'!$JA$39,VLOOKUP($D104,'Required Info to Submit'!$E$23:$J$32,2,FALSE)),"")</f>
        <v/>
      </c>
      <c r="L104" s="1675"/>
      <c r="M104" s="1675"/>
      <c r="N104" s="1675"/>
      <c r="O104" s="1675"/>
      <c r="P104" s="1675"/>
      <c r="Q104" s="1675"/>
      <c r="R104" s="1675"/>
      <c r="S104" s="1675"/>
      <c r="T104" s="1675"/>
      <c r="U104" s="1675" t="str">
        <f>IFERROR(IFERROR('Multi-Customer'!$JA$41&amp;" "&amp;'Multi-Customer'!$JA$42,VLOOKUP($D104,'Required Info to Submit'!$E$23:$J$32,3,FALSE)),"")</f>
        <v/>
      </c>
      <c r="V104" s="1675"/>
      <c r="W104" s="1675"/>
      <c r="X104" s="1675"/>
      <c r="Y104" s="1675"/>
      <c r="Z104" s="1675"/>
      <c r="AA104" s="1675"/>
      <c r="AB104" s="1675"/>
      <c r="AC104" s="1675"/>
      <c r="AD104" s="1675"/>
      <c r="AE104" s="1675"/>
      <c r="AF104" s="1675"/>
      <c r="AG104" s="1675"/>
      <c r="AH104" s="1675"/>
      <c r="AI104" s="1675"/>
      <c r="AJ104" s="1666" t="str">
        <f>IFERROR(IFERROR('Multi-Customer'!$JA$43,VLOOKUP($D104,'Required Info to Submit'!$E$23:$J$32,4,FALSE)),"")</f>
        <v/>
      </c>
      <c r="AK104" s="1667"/>
      <c r="AL104" s="1667"/>
      <c r="AM104" s="1667"/>
      <c r="AN104" s="1667"/>
      <c r="AO104" s="1667"/>
      <c r="AP104" s="1667"/>
      <c r="AQ104" s="1667"/>
      <c r="AR104" s="1667"/>
      <c r="AS104" s="1667"/>
      <c r="AT104" s="1668"/>
      <c r="AU104" s="1661" t="str">
        <f>IFERROR(IFERROR('Multi-Customer'!$JA$44,VLOOKUP($D104,'Required Info to Submit'!$E$23:$J$32,5,FALSE)),"")</f>
        <v/>
      </c>
      <c r="AV104" s="1662"/>
      <c r="AW104" s="1662"/>
      <c r="AX104" s="1663"/>
      <c r="AY104" s="1651" t="str">
        <f>IFERROR(IFERROR('Multi-Customer'!$JA$45,VLOOKUP($D104,'Required Info to Submit'!$E$23:$J$32,6,FALSE)),"")</f>
        <v/>
      </c>
      <c r="AZ104" s="1652"/>
      <c r="BA104" s="1652"/>
      <c r="BB104" s="1652"/>
      <c r="BC104" s="1653"/>
      <c r="BF104" s="138"/>
    </row>
    <row r="105" spans="2:58" x14ac:dyDescent="0.25">
      <c r="B105" s="137"/>
      <c r="BF105" s="138"/>
    </row>
    <row r="106" spans="2:58" x14ac:dyDescent="0.25">
      <c r="B106" s="137"/>
      <c r="BF106" s="138"/>
    </row>
    <row r="107" spans="2:58" ht="18.75" x14ac:dyDescent="0.3">
      <c r="B107" s="1642" t="s">
        <v>1015</v>
      </c>
      <c r="C107" s="1643"/>
      <c r="D107" s="1643"/>
      <c r="E107" s="1643"/>
      <c r="F107" s="1643"/>
      <c r="G107" s="1643"/>
      <c r="H107" s="1643"/>
      <c r="I107" s="1643"/>
      <c r="J107" s="1643"/>
      <c r="K107" s="1643"/>
      <c r="L107" s="1643"/>
      <c r="M107" s="1643"/>
      <c r="N107" s="1643"/>
      <c r="O107" s="1643"/>
      <c r="P107" s="1643"/>
      <c r="Q107" s="1643"/>
      <c r="R107" s="1643"/>
      <c r="S107" s="1643"/>
      <c r="T107" s="1643"/>
      <c r="U107" s="1643"/>
      <c r="V107" s="1643"/>
      <c r="W107" s="1643"/>
      <c r="X107" s="1643"/>
      <c r="Y107" s="1643"/>
      <c r="Z107" s="1643"/>
      <c r="AA107" s="1643"/>
      <c r="AB107" s="1643"/>
      <c r="AC107" s="1643"/>
      <c r="AD107" s="1643"/>
      <c r="AE107" s="1643"/>
      <c r="AF107" s="1643"/>
      <c r="AG107" s="1643"/>
      <c r="AH107" s="1643"/>
      <c r="AI107" s="1643"/>
      <c r="AJ107" s="1643"/>
      <c r="AK107" s="1643"/>
      <c r="AL107" s="1643"/>
      <c r="AM107" s="1643"/>
      <c r="AN107" s="1643"/>
      <c r="AO107" s="1643"/>
      <c r="AP107" s="1643"/>
      <c r="AQ107" s="1643"/>
      <c r="AR107" s="1643"/>
      <c r="AS107" s="1643"/>
      <c r="AT107" s="1643"/>
      <c r="AU107" s="1643"/>
      <c r="AV107" s="1643"/>
      <c r="AW107" s="1643"/>
      <c r="AX107" s="1643"/>
      <c r="AY107" s="1643"/>
      <c r="AZ107" s="1643"/>
      <c r="BA107" s="1643"/>
      <c r="BB107" s="1643"/>
      <c r="BC107" s="1643"/>
      <c r="BD107" s="1643"/>
      <c r="BE107" s="1643"/>
      <c r="BF107" s="1644"/>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0" t="s">
        <v>1016</v>
      </c>
      <c r="V109" s="1731"/>
      <c r="W109" s="1731"/>
      <c r="X109" s="1731"/>
      <c r="Y109" s="1731"/>
      <c r="Z109" s="1731" t="s">
        <v>1009</v>
      </c>
      <c r="AA109" s="1731"/>
      <c r="AB109" s="1731"/>
      <c r="AC109" s="1731"/>
      <c r="AD109" s="1731"/>
      <c r="AE109" s="1731"/>
      <c r="AF109" s="1731" t="s">
        <v>1010</v>
      </c>
      <c r="AG109" s="1731"/>
      <c r="AH109" s="1731"/>
      <c r="AI109" s="1731"/>
      <c r="AJ109" s="1731"/>
      <c r="AK109" s="1731"/>
      <c r="AL109" s="1731"/>
      <c r="AM109" s="1731" t="s">
        <v>1013</v>
      </c>
      <c r="AN109" s="1731"/>
      <c r="AO109" s="1731"/>
      <c r="AP109" s="1731"/>
      <c r="AQ109" s="1731"/>
      <c r="AR109" s="1731"/>
      <c r="AS109" s="1757"/>
      <c r="AT109" s="242"/>
      <c r="AU109" s="242"/>
      <c r="AV109" s="242"/>
      <c r="AW109" s="242"/>
      <c r="AX109" s="242"/>
      <c r="AY109" s="242"/>
      <c r="AZ109" s="242"/>
      <c r="BA109" s="242"/>
      <c r="BB109" s="242"/>
      <c r="BC109" s="242"/>
      <c r="BD109" s="242"/>
      <c r="BE109" s="242"/>
      <c r="BF109" s="628"/>
    </row>
    <row r="110" spans="2:58" x14ac:dyDescent="0.25">
      <c r="B110" s="137"/>
      <c r="D110" s="1726" t="s">
        <v>99</v>
      </c>
      <c r="E110" s="1665"/>
      <c r="F110" s="1665"/>
      <c r="G110" s="1665"/>
      <c r="H110" s="1665"/>
      <c r="I110" s="1665"/>
      <c r="J110" s="1665"/>
      <c r="K110" s="1665"/>
      <c r="L110" s="1665"/>
      <c r="M110" s="1665"/>
      <c r="N110" s="1665"/>
      <c r="O110" s="1665"/>
      <c r="P110" s="1665"/>
      <c r="Q110" s="1665"/>
      <c r="R110" s="1665"/>
      <c r="S110" s="1665"/>
      <c r="T110" s="1727"/>
      <c r="U110" s="1735" t="str">
        <f>IF('PIM Model'!$B$10=0,"",'PIM Model'!$B$10)</f>
        <v/>
      </c>
      <c r="V110" s="1732"/>
      <c r="W110" s="1732"/>
      <c r="X110" s="1732"/>
      <c r="Y110" s="1732"/>
      <c r="Z110" s="1732" t="str">
        <f>'PIM Model'!$AF$10</f>
        <v/>
      </c>
      <c r="AA110" s="1732"/>
      <c r="AB110" s="1732"/>
      <c r="AC110" s="1732"/>
      <c r="AD110" s="1732"/>
      <c r="AE110" s="1732"/>
      <c r="AF110" s="1744" t="str">
        <f>'PIM Model'!$AG$10</f>
        <v/>
      </c>
      <c r="AG110" s="1745"/>
      <c r="AH110" s="1745"/>
      <c r="AI110" s="1745"/>
      <c r="AJ110" s="1745"/>
      <c r="AK110" s="1745"/>
      <c r="AL110" s="1746"/>
      <c r="AM110" s="1744" t="str">
        <f>'PIM Model'!$AH$10</f>
        <v/>
      </c>
      <c r="AN110" s="1745"/>
      <c r="AO110" s="1745"/>
      <c r="AP110" s="1745"/>
      <c r="AQ110" s="1745"/>
      <c r="AR110" s="1745"/>
      <c r="AS110" s="1758"/>
      <c r="BF110" s="138"/>
    </row>
    <row r="111" spans="2:58" x14ac:dyDescent="0.25">
      <c r="B111" s="137"/>
      <c r="D111" s="1728" t="s">
        <v>103</v>
      </c>
      <c r="E111" s="1664"/>
      <c r="F111" s="1664"/>
      <c r="G111" s="1664"/>
      <c r="H111" s="1664"/>
      <c r="I111" s="1664"/>
      <c r="J111" s="1664"/>
      <c r="K111" s="1664"/>
      <c r="L111" s="1664"/>
      <c r="M111" s="1664"/>
      <c r="N111" s="1664"/>
      <c r="O111" s="1664"/>
      <c r="P111" s="1664"/>
      <c r="Q111" s="1664"/>
      <c r="R111" s="1664"/>
      <c r="S111" s="1664"/>
      <c r="T111" s="1729"/>
      <c r="U111" s="1736" t="str">
        <f>IF('PIM Model'!$B$11=0,"",'PIM Model'!$B$11)</f>
        <v/>
      </c>
      <c r="V111" s="1591"/>
      <c r="W111" s="1591"/>
      <c r="X111" s="1591"/>
      <c r="Y111" s="1591"/>
      <c r="Z111" s="1591" t="str">
        <f>'PIM Model'!$AF$11</f>
        <v/>
      </c>
      <c r="AA111" s="1591"/>
      <c r="AB111" s="1591"/>
      <c r="AC111" s="1591"/>
      <c r="AD111" s="1591"/>
      <c r="AE111" s="1591"/>
      <c r="AF111" s="1654" t="str">
        <f>'PIM Model'!$AG$11</f>
        <v/>
      </c>
      <c r="AG111" s="1655"/>
      <c r="AH111" s="1655"/>
      <c r="AI111" s="1655"/>
      <c r="AJ111" s="1655"/>
      <c r="AK111" s="1655"/>
      <c r="AL111" s="1740"/>
      <c r="AM111" s="1654" t="str">
        <f>'PIM Model'!$AH$11</f>
        <v/>
      </c>
      <c r="AN111" s="1655"/>
      <c r="AO111" s="1655"/>
      <c r="AP111" s="1655"/>
      <c r="AQ111" s="1655"/>
      <c r="AR111" s="1655"/>
      <c r="AS111" s="1656"/>
      <c r="BF111" s="138"/>
    </row>
    <row r="112" spans="2:58" x14ac:dyDescent="0.25">
      <c r="B112" s="137"/>
      <c r="D112" s="1728" t="s">
        <v>1390</v>
      </c>
      <c r="E112" s="1664"/>
      <c r="F112" s="1664"/>
      <c r="G112" s="1664"/>
      <c r="H112" s="1664"/>
      <c r="I112" s="1664"/>
      <c r="J112" s="1664"/>
      <c r="K112" s="1664"/>
      <c r="L112" s="1664"/>
      <c r="M112" s="1664"/>
      <c r="N112" s="1664"/>
      <c r="O112" s="1664"/>
      <c r="P112" s="1664"/>
      <c r="Q112" s="1664"/>
      <c r="R112" s="1664"/>
      <c r="S112" s="1664"/>
      <c r="T112" s="1729"/>
      <c r="U112" s="1736" t="str">
        <f>IF('PIM Model'!$B$12=0,"",'PIM Model'!$B$12)</f>
        <v/>
      </c>
      <c r="V112" s="1591"/>
      <c r="W112" s="1591"/>
      <c r="X112" s="1591"/>
      <c r="Y112" s="1591"/>
      <c r="Z112" s="1591" t="str">
        <f>'PIM Model'!$AF$12</f>
        <v/>
      </c>
      <c r="AA112" s="1591"/>
      <c r="AB112" s="1591"/>
      <c r="AC112" s="1591"/>
      <c r="AD112" s="1591"/>
      <c r="AE112" s="1591"/>
      <c r="AF112" s="1654" t="str">
        <f>'PIM Model'!$AG$12</f>
        <v/>
      </c>
      <c r="AG112" s="1655"/>
      <c r="AH112" s="1655"/>
      <c r="AI112" s="1655"/>
      <c r="AJ112" s="1655"/>
      <c r="AK112" s="1655"/>
      <c r="AL112" s="1740"/>
      <c r="AM112" s="1654" t="str">
        <f>'PIM Model'!$AH$12</f>
        <v/>
      </c>
      <c r="AN112" s="1655"/>
      <c r="AO112" s="1655"/>
      <c r="AP112" s="1655"/>
      <c r="AQ112" s="1655"/>
      <c r="AR112" s="1655"/>
      <c r="AS112" s="1656"/>
      <c r="BF112" s="138"/>
    </row>
    <row r="113" spans="2:58" x14ac:dyDescent="0.25">
      <c r="B113" s="137"/>
      <c r="D113" s="1728" t="s">
        <v>102</v>
      </c>
      <c r="E113" s="1664"/>
      <c r="F113" s="1664"/>
      <c r="G113" s="1664"/>
      <c r="H113" s="1664"/>
      <c r="I113" s="1664"/>
      <c r="J113" s="1664"/>
      <c r="K113" s="1664"/>
      <c r="L113" s="1664"/>
      <c r="M113" s="1664"/>
      <c r="N113" s="1664"/>
      <c r="O113" s="1664"/>
      <c r="P113" s="1664"/>
      <c r="Q113" s="1664"/>
      <c r="R113" s="1664"/>
      <c r="S113" s="1664"/>
      <c r="T113" s="1729"/>
      <c r="U113" s="1736" t="str">
        <f>IF('PIM Model'!$B$13=0,"",'PIM Model'!$B$13)</f>
        <v/>
      </c>
      <c r="V113" s="1591"/>
      <c r="W113" s="1591"/>
      <c r="X113" s="1591"/>
      <c r="Y113" s="1591"/>
      <c r="Z113" s="1591" t="str">
        <f>'PIM Model'!$AF$13</f>
        <v/>
      </c>
      <c r="AA113" s="1591"/>
      <c r="AB113" s="1591"/>
      <c r="AC113" s="1591"/>
      <c r="AD113" s="1591"/>
      <c r="AE113" s="1591"/>
      <c r="AF113" s="1654" t="str">
        <f>'PIM Model'!$AG$13</f>
        <v/>
      </c>
      <c r="AG113" s="1655"/>
      <c r="AH113" s="1655"/>
      <c r="AI113" s="1655"/>
      <c r="AJ113" s="1655"/>
      <c r="AK113" s="1655"/>
      <c r="AL113" s="1740"/>
      <c r="AM113" s="1654" t="str">
        <f>'PIM Model'!$AH$13</f>
        <v/>
      </c>
      <c r="AN113" s="1655"/>
      <c r="AO113" s="1655"/>
      <c r="AP113" s="1655"/>
      <c r="AQ113" s="1655"/>
      <c r="AR113" s="1655"/>
      <c r="AS113" s="1656"/>
      <c r="BF113" s="138"/>
    </row>
    <row r="114" spans="2:58" x14ac:dyDescent="0.25">
      <c r="B114" s="137"/>
      <c r="D114" s="1728" t="s">
        <v>100</v>
      </c>
      <c r="E114" s="1664"/>
      <c r="F114" s="1664"/>
      <c r="G114" s="1664"/>
      <c r="H114" s="1664"/>
      <c r="I114" s="1664"/>
      <c r="J114" s="1664"/>
      <c r="K114" s="1664"/>
      <c r="L114" s="1664"/>
      <c r="M114" s="1664"/>
      <c r="N114" s="1664"/>
      <c r="O114" s="1664"/>
      <c r="P114" s="1664"/>
      <c r="Q114" s="1664"/>
      <c r="R114" s="1664"/>
      <c r="S114" s="1664"/>
      <c r="T114" s="1729"/>
      <c r="U114" s="1736" t="str">
        <f>IF('PIM Model'!$B$14=0,"",'PIM Model'!$B$14)</f>
        <v/>
      </c>
      <c r="V114" s="1591"/>
      <c r="W114" s="1591"/>
      <c r="X114" s="1591"/>
      <c r="Y114" s="1591"/>
      <c r="Z114" s="1591" t="str">
        <f>'PIM Model'!$AF$14</f>
        <v/>
      </c>
      <c r="AA114" s="1591"/>
      <c r="AB114" s="1591"/>
      <c r="AC114" s="1591"/>
      <c r="AD114" s="1591"/>
      <c r="AE114" s="1591"/>
      <c r="AF114" s="1654" t="str">
        <f>'PIM Model'!$AG$14</f>
        <v/>
      </c>
      <c r="AG114" s="1655"/>
      <c r="AH114" s="1655"/>
      <c r="AI114" s="1655"/>
      <c r="AJ114" s="1655"/>
      <c r="AK114" s="1655"/>
      <c r="AL114" s="1740"/>
      <c r="AM114" s="1654" t="str">
        <f>'PIM Model'!$AH$14</f>
        <v/>
      </c>
      <c r="AN114" s="1655"/>
      <c r="AO114" s="1655"/>
      <c r="AP114" s="1655"/>
      <c r="AQ114" s="1655"/>
      <c r="AR114" s="1655"/>
      <c r="AS114" s="1656"/>
      <c r="BF114" s="138"/>
    </row>
    <row r="115" spans="2:58" x14ac:dyDescent="0.25">
      <c r="B115" s="137"/>
      <c r="D115" s="1728" t="s">
        <v>104</v>
      </c>
      <c r="E115" s="1664"/>
      <c r="F115" s="1664"/>
      <c r="G115" s="1664"/>
      <c r="H115" s="1664"/>
      <c r="I115" s="1664"/>
      <c r="J115" s="1664"/>
      <c r="K115" s="1664"/>
      <c r="L115" s="1664"/>
      <c r="M115" s="1664"/>
      <c r="N115" s="1664"/>
      <c r="O115" s="1664"/>
      <c r="P115" s="1664"/>
      <c r="Q115" s="1664"/>
      <c r="R115" s="1664"/>
      <c r="S115" s="1664"/>
      <c r="T115" s="1729"/>
      <c r="U115" s="1736" t="str">
        <f>IF('PIM Model'!$B$15=0,"",'PIM Model'!$B$15)</f>
        <v/>
      </c>
      <c r="V115" s="1591"/>
      <c r="W115" s="1591"/>
      <c r="X115" s="1591"/>
      <c r="Y115" s="1591"/>
      <c r="Z115" s="1591" t="str">
        <f>'PIM Model'!$AF$15</f>
        <v/>
      </c>
      <c r="AA115" s="1591"/>
      <c r="AB115" s="1591"/>
      <c r="AC115" s="1591"/>
      <c r="AD115" s="1591"/>
      <c r="AE115" s="1591"/>
      <c r="AF115" s="1654" t="str">
        <f>'PIM Model'!$AG$15</f>
        <v/>
      </c>
      <c r="AG115" s="1655"/>
      <c r="AH115" s="1655"/>
      <c r="AI115" s="1655"/>
      <c r="AJ115" s="1655"/>
      <c r="AK115" s="1655"/>
      <c r="AL115" s="1740"/>
      <c r="AM115" s="1654" t="str">
        <f>'PIM Model'!$AH$15</f>
        <v/>
      </c>
      <c r="AN115" s="1655"/>
      <c r="AO115" s="1655"/>
      <c r="AP115" s="1655"/>
      <c r="AQ115" s="1655"/>
      <c r="AR115" s="1655"/>
      <c r="AS115" s="1656"/>
      <c r="BF115" s="138"/>
    </row>
    <row r="116" spans="2:58" x14ac:dyDescent="0.25">
      <c r="B116" s="137"/>
      <c r="D116" s="1728" t="s">
        <v>98</v>
      </c>
      <c r="E116" s="1664"/>
      <c r="F116" s="1664"/>
      <c r="G116" s="1664"/>
      <c r="H116" s="1664"/>
      <c r="I116" s="1664"/>
      <c r="J116" s="1664"/>
      <c r="K116" s="1664"/>
      <c r="L116" s="1664"/>
      <c r="M116" s="1664"/>
      <c r="N116" s="1664"/>
      <c r="O116" s="1664"/>
      <c r="P116" s="1664"/>
      <c r="Q116" s="1664"/>
      <c r="R116" s="1664"/>
      <c r="S116" s="1664"/>
      <c r="T116" s="1729"/>
      <c r="U116" s="1736" t="str">
        <f>IF('PIM Model'!$B$16=0,"",'PIM Model'!$B$16)</f>
        <v/>
      </c>
      <c r="V116" s="1591"/>
      <c r="W116" s="1591"/>
      <c r="X116" s="1591"/>
      <c r="Y116" s="1591"/>
      <c r="Z116" s="1591" t="str">
        <f>'PIM Model'!$AF$16</f>
        <v/>
      </c>
      <c r="AA116" s="1591"/>
      <c r="AB116" s="1591"/>
      <c r="AC116" s="1591"/>
      <c r="AD116" s="1591"/>
      <c r="AE116" s="1591"/>
      <c r="AF116" s="1654" t="str">
        <f>'PIM Model'!$AG$16</f>
        <v/>
      </c>
      <c r="AG116" s="1655"/>
      <c r="AH116" s="1655"/>
      <c r="AI116" s="1655"/>
      <c r="AJ116" s="1655"/>
      <c r="AK116" s="1655"/>
      <c r="AL116" s="1740"/>
      <c r="AM116" s="1654" t="str">
        <f>'PIM Model'!$AH$16</f>
        <v/>
      </c>
      <c r="AN116" s="1655"/>
      <c r="AO116" s="1655"/>
      <c r="AP116" s="1655"/>
      <c r="AQ116" s="1655"/>
      <c r="AR116" s="1655"/>
      <c r="AS116" s="1656"/>
      <c r="BF116" s="138"/>
    </row>
    <row r="117" spans="2:58" x14ac:dyDescent="0.25">
      <c r="B117" s="137"/>
      <c r="D117" s="1728" t="s">
        <v>95</v>
      </c>
      <c r="E117" s="1664"/>
      <c r="F117" s="1664"/>
      <c r="G117" s="1664"/>
      <c r="H117" s="1664"/>
      <c r="I117" s="1664"/>
      <c r="J117" s="1664"/>
      <c r="K117" s="1664"/>
      <c r="L117" s="1664"/>
      <c r="M117" s="1664"/>
      <c r="N117" s="1664"/>
      <c r="O117" s="1664"/>
      <c r="P117" s="1664"/>
      <c r="Q117" s="1664"/>
      <c r="R117" s="1664"/>
      <c r="S117" s="1664"/>
      <c r="T117" s="1729"/>
      <c r="U117" s="1736" t="str">
        <f>IF('PIM Model'!$B$17=0,"",'PIM Model'!$B$17)</f>
        <v/>
      </c>
      <c r="V117" s="1591"/>
      <c r="W117" s="1591"/>
      <c r="X117" s="1591"/>
      <c r="Y117" s="1591"/>
      <c r="Z117" s="1591" t="str">
        <f>'PIM Model'!$AF$17</f>
        <v/>
      </c>
      <c r="AA117" s="1591"/>
      <c r="AB117" s="1591"/>
      <c r="AC117" s="1591"/>
      <c r="AD117" s="1591"/>
      <c r="AE117" s="1591"/>
      <c r="AF117" s="1654" t="str">
        <f>'PIM Model'!$AG$17</f>
        <v/>
      </c>
      <c r="AG117" s="1655"/>
      <c r="AH117" s="1655"/>
      <c r="AI117" s="1655"/>
      <c r="AJ117" s="1655"/>
      <c r="AK117" s="1655"/>
      <c r="AL117" s="1740"/>
      <c r="AM117" s="1654" t="str">
        <f>'PIM Model'!$AH$17</f>
        <v/>
      </c>
      <c r="AN117" s="1655"/>
      <c r="AO117" s="1655"/>
      <c r="AP117" s="1655"/>
      <c r="AQ117" s="1655"/>
      <c r="AR117" s="1655"/>
      <c r="AS117" s="1656"/>
      <c r="BF117" s="138"/>
    </row>
    <row r="118" spans="2:58" x14ac:dyDescent="0.25">
      <c r="B118" s="137"/>
      <c r="D118" s="1728" t="s">
        <v>96</v>
      </c>
      <c r="E118" s="1664"/>
      <c r="F118" s="1664"/>
      <c r="G118" s="1664"/>
      <c r="H118" s="1664"/>
      <c r="I118" s="1664"/>
      <c r="J118" s="1664"/>
      <c r="K118" s="1664"/>
      <c r="L118" s="1664"/>
      <c r="M118" s="1664"/>
      <c r="N118" s="1664"/>
      <c r="O118" s="1664"/>
      <c r="P118" s="1664"/>
      <c r="Q118" s="1664"/>
      <c r="R118" s="1664"/>
      <c r="S118" s="1664"/>
      <c r="T118" s="1729"/>
      <c r="U118" s="1736" t="str">
        <f>IF('PIM Model'!$B$18=0,"",'PIM Model'!$B$18)</f>
        <v/>
      </c>
      <c r="V118" s="1591"/>
      <c r="W118" s="1591"/>
      <c r="X118" s="1591"/>
      <c r="Y118" s="1591"/>
      <c r="Z118" s="1591" t="str">
        <f>'PIM Model'!$AF$18</f>
        <v/>
      </c>
      <c r="AA118" s="1591"/>
      <c r="AB118" s="1591"/>
      <c r="AC118" s="1591"/>
      <c r="AD118" s="1591"/>
      <c r="AE118" s="1591"/>
      <c r="AF118" s="1654" t="str">
        <f>'PIM Model'!$AG$18</f>
        <v/>
      </c>
      <c r="AG118" s="1655"/>
      <c r="AH118" s="1655"/>
      <c r="AI118" s="1655"/>
      <c r="AJ118" s="1655"/>
      <c r="AK118" s="1655"/>
      <c r="AL118" s="1740"/>
      <c r="AM118" s="1654" t="str">
        <f>'PIM Model'!$AH$18</f>
        <v/>
      </c>
      <c r="AN118" s="1655"/>
      <c r="AO118" s="1655"/>
      <c r="AP118" s="1655"/>
      <c r="AQ118" s="1655"/>
      <c r="AR118" s="1655"/>
      <c r="AS118" s="1656"/>
      <c r="BF118" s="138"/>
    </row>
    <row r="119" spans="2:58" x14ac:dyDescent="0.25">
      <c r="B119" s="137"/>
      <c r="D119" s="1728" t="s">
        <v>101</v>
      </c>
      <c r="E119" s="1664"/>
      <c r="F119" s="1664"/>
      <c r="G119" s="1664"/>
      <c r="H119" s="1664"/>
      <c r="I119" s="1664"/>
      <c r="J119" s="1664"/>
      <c r="K119" s="1664"/>
      <c r="L119" s="1664"/>
      <c r="M119" s="1664"/>
      <c r="N119" s="1664"/>
      <c r="O119" s="1664"/>
      <c r="P119" s="1664"/>
      <c r="Q119" s="1664"/>
      <c r="R119" s="1664"/>
      <c r="S119" s="1664"/>
      <c r="T119" s="1729"/>
      <c r="U119" s="1736" t="str">
        <f>IF('PIM Model'!$B$19=0,"",'PIM Model'!$B$19)</f>
        <v/>
      </c>
      <c r="V119" s="1591"/>
      <c r="W119" s="1591"/>
      <c r="X119" s="1591"/>
      <c r="Y119" s="1591"/>
      <c r="Z119" s="1591" t="str">
        <f>'PIM Model'!$AF$19</f>
        <v/>
      </c>
      <c r="AA119" s="1591"/>
      <c r="AB119" s="1591"/>
      <c r="AC119" s="1591"/>
      <c r="AD119" s="1591"/>
      <c r="AE119" s="1591"/>
      <c r="AF119" s="1654" t="str">
        <f>'PIM Model'!$AG$19</f>
        <v/>
      </c>
      <c r="AG119" s="1655"/>
      <c r="AH119" s="1655"/>
      <c r="AI119" s="1655"/>
      <c r="AJ119" s="1655"/>
      <c r="AK119" s="1655"/>
      <c r="AL119" s="1740"/>
      <c r="AM119" s="1654" t="str">
        <f>'PIM Model'!$AH$19</f>
        <v/>
      </c>
      <c r="AN119" s="1655"/>
      <c r="AO119" s="1655"/>
      <c r="AP119" s="1655"/>
      <c r="AQ119" s="1655"/>
      <c r="AR119" s="1655"/>
      <c r="AS119" s="1656"/>
      <c r="BF119" s="138"/>
    </row>
    <row r="120" spans="2:58" x14ac:dyDescent="0.25">
      <c r="B120" s="137"/>
      <c r="D120" s="1728" t="s">
        <v>97</v>
      </c>
      <c r="E120" s="1664"/>
      <c r="F120" s="1664"/>
      <c r="G120" s="1664"/>
      <c r="H120" s="1664"/>
      <c r="I120" s="1664"/>
      <c r="J120" s="1664"/>
      <c r="K120" s="1664"/>
      <c r="L120" s="1664"/>
      <c r="M120" s="1664"/>
      <c r="N120" s="1664"/>
      <c r="O120" s="1664"/>
      <c r="P120" s="1664"/>
      <c r="Q120" s="1664"/>
      <c r="R120" s="1664"/>
      <c r="S120" s="1664"/>
      <c r="T120" s="1729"/>
      <c r="U120" s="1736" t="str">
        <f>IF('PIM Model'!$B$20=0,"",'PIM Model'!$B$20)</f>
        <v/>
      </c>
      <c r="V120" s="1591"/>
      <c r="W120" s="1591"/>
      <c r="X120" s="1591"/>
      <c r="Y120" s="1591"/>
      <c r="Z120" s="1591" t="str">
        <f>'PIM Model'!$AF$20</f>
        <v/>
      </c>
      <c r="AA120" s="1591"/>
      <c r="AB120" s="1591"/>
      <c r="AC120" s="1591"/>
      <c r="AD120" s="1591"/>
      <c r="AE120" s="1591"/>
      <c r="AF120" s="1654" t="str">
        <f>'PIM Model'!$AG$20</f>
        <v/>
      </c>
      <c r="AG120" s="1655"/>
      <c r="AH120" s="1655"/>
      <c r="AI120" s="1655"/>
      <c r="AJ120" s="1655"/>
      <c r="AK120" s="1655"/>
      <c r="AL120" s="1740"/>
      <c r="AM120" s="1654" t="str">
        <f>'PIM Model'!$AH$20</f>
        <v/>
      </c>
      <c r="AN120" s="1655"/>
      <c r="AO120" s="1655"/>
      <c r="AP120" s="1655"/>
      <c r="AQ120" s="1655"/>
      <c r="AR120" s="1655"/>
      <c r="AS120" s="1656"/>
      <c r="BF120" s="138"/>
    </row>
    <row r="121" spans="2:58" x14ac:dyDescent="0.25">
      <c r="B121" s="137"/>
      <c r="D121" s="1728" t="s">
        <v>93</v>
      </c>
      <c r="E121" s="1664"/>
      <c r="F121" s="1664"/>
      <c r="G121" s="1664"/>
      <c r="H121" s="1664"/>
      <c r="I121" s="1664"/>
      <c r="J121" s="1664"/>
      <c r="K121" s="1664"/>
      <c r="L121" s="1664"/>
      <c r="M121" s="1664"/>
      <c r="N121" s="1664"/>
      <c r="O121" s="1664"/>
      <c r="P121" s="1664"/>
      <c r="Q121" s="1664"/>
      <c r="R121" s="1664"/>
      <c r="S121" s="1664"/>
      <c r="T121" s="1729"/>
      <c r="U121" s="1736" t="str">
        <f>IF('PIM Model'!$B$21=0,"",'PIM Model'!$B$21)</f>
        <v/>
      </c>
      <c r="V121" s="1591"/>
      <c r="W121" s="1591"/>
      <c r="X121" s="1591"/>
      <c r="Y121" s="1591"/>
      <c r="Z121" s="1591" t="str">
        <f>'PIM Model'!$AF$21</f>
        <v/>
      </c>
      <c r="AA121" s="1591"/>
      <c r="AB121" s="1591"/>
      <c r="AC121" s="1591"/>
      <c r="AD121" s="1591"/>
      <c r="AE121" s="1591"/>
      <c r="AF121" s="1654" t="str">
        <f>'PIM Model'!$AG$21</f>
        <v/>
      </c>
      <c r="AG121" s="1655"/>
      <c r="AH121" s="1655"/>
      <c r="AI121" s="1655"/>
      <c r="AJ121" s="1655"/>
      <c r="AK121" s="1655"/>
      <c r="AL121" s="1740"/>
      <c r="AM121" s="1654" t="str">
        <f>'PIM Model'!$AH$21</f>
        <v/>
      </c>
      <c r="AN121" s="1655"/>
      <c r="AO121" s="1655"/>
      <c r="AP121" s="1655"/>
      <c r="AQ121" s="1655"/>
      <c r="AR121" s="1655"/>
      <c r="AS121" s="1656"/>
      <c r="BF121" s="138"/>
    </row>
    <row r="122" spans="2:58" x14ac:dyDescent="0.25">
      <c r="B122" s="137"/>
      <c r="D122" s="1728" t="s">
        <v>105</v>
      </c>
      <c r="E122" s="1664"/>
      <c r="F122" s="1664"/>
      <c r="G122" s="1664"/>
      <c r="H122" s="1664"/>
      <c r="I122" s="1664"/>
      <c r="J122" s="1664"/>
      <c r="K122" s="1664"/>
      <c r="L122" s="1664"/>
      <c r="M122" s="1664"/>
      <c r="N122" s="1664"/>
      <c r="O122" s="1664"/>
      <c r="P122" s="1664"/>
      <c r="Q122" s="1664"/>
      <c r="R122" s="1664"/>
      <c r="S122" s="1664"/>
      <c r="T122" s="1729"/>
      <c r="U122" s="1736" t="str">
        <f>IF('PIM Model'!$B$22=0,"",'PIM Model'!$B$22)</f>
        <v/>
      </c>
      <c r="V122" s="1591"/>
      <c r="W122" s="1591"/>
      <c r="X122" s="1591"/>
      <c r="Y122" s="1591"/>
      <c r="Z122" s="1591" t="str">
        <f>'PIM Model'!$AF$22</f>
        <v/>
      </c>
      <c r="AA122" s="1591"/>
      <c r="AB122" s="1591"/>
      <c r="AC122" s="1591"/>
      <c r="AD122" s="1591"/>
      <c r="AE122" s="1591"/>
      <c r="AF122" s="1654" t="str">
        <f>'PIM Model'!$AG$22</f>
        <v/>
      </c>
      <c r="AG122" s="1655"/>
      <c r="AH122" s="1655"/>
      <c r="AI122" s="1655"/>
      <c r="AJ122" s="1655"/>
      <c r="AK122" s="1655"/>
      <c r="AL122" s="1740"/>
      <c r="AM122" s="1654" t="str">
        <f>'PIM Model'!$AH$22</f>
        <v/>
      </c>
      <c r="AN122" s="1655"/>
      <c r="AO122" s="1655"/>
      <c r="AP122" s="1655"/>
      <c r="AQ122" s="1655"/>
      <c r="AR122" s="1655"/>
      <c r="AS122" s="1656"/>
      <c r="BF122" s="138"/>
    </row>
    <row r="123" spans="2:58" x14ac:dyDescent="0.25">
      <c r="B123" s="137"/>
      <c r="D123" s="1728" t="s">
        <v>92</v>
      </c>
      <c r="E123" s="1664"/>
      <c r="F123" s="1664"/>
      <c r="G123" s="1664"/>
      <c r="H123" s="1664"/>
      <c r="I123" s="1664"/>
      <c r="J123" s="1664"/>
      <c r="K123" s="1664"/>
      <c r="L123" s="1664"/>
      <c r="M123" s="1664"/>
      <c r="N123" s="1664"/>
      <c r="O123" s="1664"/>
      <c r="P123" s="1664"/>
      <c r="Q123" s="1664"/>
      <c r="R123" s="1664"/>
      <c r="S123" s="1664"/>
      <c r="T123" s="1729"/>
      <c r="U123" s="1736" t="str">
        <f>IF('PIM Model'!$B$23=0,"",'PIM Model'!$B$23)</f>
        <v/>
      </c>
      <c r="V123" s="1591"/>
      <c r="W123" s="1591"/>
      <c r="X123" s="1591"/>
      <c r="Y123" s="1591"/>
      <c r="Z123" s="1591" t="str">
        <f>'PIM Model'!$AF$23</f>
        <v/>
      </c>
      <c r="AA123" s="1591"/>
      <c r="AB123" s="1591"/>
      <c r="AC123" s="1591"/>
      <c r="AD123" s="1591"/>
      <c r="AE123" s="1591"/>
      <c r="AF123" s="1654" t="str">
        <f>'PIM Model'!$AG$23</f>
        <v/>
      </c>
      <c r="AG123" s="1655"/>
      <c r="AH123" s="1655"/>
      <c r="AI123" s="1655"/>
      <c r="AJ123" s="1655"/>
      <c r="AK123" s="1655"/>
      <c r="AL123" s="1740"/>
      <c r="AM123" s="1654" t="str">
        <f>'PIM Model'!$AH$23</f>
        <v/>
      </c>
      <c r="AN123" s="1655"/>
      <c r="AO123" s="1655"/>
      <c r="AP123" s="1655"/>
      <c r="AQ123" s="1655"/>
      <c r="AR123" s="1655"/>
      <c r="AS123" s="1656"/>
      <c r="BF123" s="138"/>
    </row>
    <row r="124" spans="2:58" x14ac:dyDescent="0.25">
      <c r="B124" s="137"/>
      <c r="D124" s="1728" t="s">
        <v>91</v>
      </c>
      <c r="E124" s="1664"/>
      <c r="F124" s="1664"/>
      <c r="G124" s="1664"/>
      <c r="H124" s="1664"/>
      <c r="I124" s="1664"/>
      <c r="J124" s="1664"/>
      <c r="K124" s="1664"/>
      <c r="L124" s="1664"/>
      <c r="M124" s="1664"/>
      <c r="N124" s="1664"/>
      <c r="O124" s="1664"/>
      <c r="P124" s="1664"/>
      <c r="Q124" s="1664"/>
      <c r="R124" s="1664"/>
      <c r="S124" s="1664"/>
      <c r="T124" s="1729"/>
      <c r="U124" s="1736" t="str">
        <f>IF('PIM Model'!$B$24=0,"",'PIM Model'!$B$24)</f>
        <v/>
      </c>
      <c r="V124" s="1591"/>
      <c r="W124" s="1591"/>
      <c r="X124" s="1591"/>
      <c r="Y124" s="1591"/>
      <c r="Z124" s="1591" t="str">
        <f>'PIM Model'!$AF$24</f>
        <v/>
      </c>
      <c r="AA124" s="1591"/>
      <c r="AB124" s="1591"/>
      <c r="AC124" s="1591"/>
      <c r="AD124" s="1591"/>
      <c r="AE124" s="1591"/>
      <c r="AF124" s="1654" t="str">
        <f>'PIM Model'!$AG$24</f>
        <v/>
      </c>
      <c r="AG124" s="1655"/>
      <c r="AH124" s="1655"/>
      <c r="AI124" s="1655"/>
      <c r="AJ124" s="1655"/>
      <c r="AK124" s="1655"/>
      <c r="AL124" s="1740"/>
      <c r="AM124" s="1654" t="str">
        <f>'PIM Model'!$AH$24</f>
        <v/>
      </c>
      <c r="AN124" s="1655"/>
      <c r="AO124" s="1655"/>
      <c r="AP124" s="1655"/>
      <c r="AQ124" s="1655"/>
      <c r="AR124" s="1655"/>
      <c r="AS124" s="1656"/>
      <c r="BF124" s="138"/>
    </row>
    <row r="125" spans="2:58" x14ac:dyDescent="0.25">
      <c r="B125" s="137"/>
      <c r="D125" s="1728" t="s">
        <v>90</v>
      </c>
      <c r="E125" s="1664"/>
      <c r="F125" s="1664"/>
      <c r="G125" s="1664"/>
      <c r="H125" s="1664"/>
      <c r="I125" s="1664"/>
      <c r="J125" s="1664"/>
      <c r="K125" s="1664"/>
      <c r="L125" s="1664"/>
      <c r="M125" s="1664"/>
      <c r="N125" s="1664"/>
      <c r="O125" s="1664"/>
      <c r="P125" s="1664"/>
      <c r="Q125" s="1664"/>
      <c r="R125" s="1664"/>
      <c r="S125" s="1664"/>
      <c r="T125" s="1729"/>
      <c r="U125" s="1736" t="str">
        <f>IF('PIM Model'!$B$25=0,"",'PIM Model'!$B$25)</f>
        <v/>
      </c>
      <c r="V125" s="1591"/>
      <c r="W125" s="1591"/>
      <c r="X125" s="1591"/>
      <c r="Y125" s="1591"/>
      <c r="Z125" s="1591" t="str">
        <f>'PIM Model'!$AF$25</f>
        <v/>
      </c>
      <c r="AA125" s="1591"/>
      <c r="AB125" s="1591"/>
      <c r="AC125" s="1591"/>
      <c r="AD125" s="1591"/>
      <c r="AE125" s="1591"/>
      <c r="AF125" s="1654" t="str">
        <f>'PIM Model'!$AG$25</f>
        <v/>
      </c>
      <c r="AG125" s="1655"/>
      <c r="AH125" s="1655"/>
      <c r="AI125" s="1655"/>
      <c r="AJ125" s="1655"/>
      <c r="AK125" s="1655"/>
      <c r="AL125" s="1740"/>
      <c r="AM125" s="1654" t="str">
        <f>'PIM Model'!$AH$25</f>
        <v/>
      </c>
      <c r="AN125" s="1655"/>
      <c r="AO125" s="1655"/>
      <c r="AP125" s="1655"/>
      <c r="AQ125" s="1655"/>
      <c r="AR125" s="1655"/>
      <c r="AS125" s="1656"/>
      <c r="BF125" s="138"/>
    </row>
    <row r="126" spans="2:58" x14ac:dyDescent="0.25">
      <c r="B126" s="137"/>
      <c r="D126" s="1728" t="s">
        <v>89</v>
      </c>
      <c r="E126" s="1664"/>
      <c r="F126" s="1664"/>
      <c r="G126" s="1664"/>
      <c r="H126" s="1664"/>
      <c r="I126" s="1664"/>
      <c r="J126" s="1664"/>
      <c r="K126" s="1664"/>
      <c r="L126" s="1664"/>
      <c r="M126" s="1664"/>
      <c r="N126" s="1664"/>
      <c r="O126" s="1664"/>
      <c r="P126" s="1664"/>
      <c r="Q126" s="1664"/>
      <c r="R126" s="1664"/>
      <c r="S126" s="1664"/>
      <c r="T126" s="1729"/>
      <c r="U126" s="1736" t="str">
        <f>IF('PIM Model'!$B$26=0,"",'PIM Model'!$B$26)</f>
        <v/>
      </c>
      <c r="V126" s="1591"/>
      <c r="W126" s="1591"/>
      <c r="X126" s="1591"/>
      <c r="Y126" s="1591"/>
      <c r="Z126" s="1591" t="str">
        <f>'PIM Model'!$AF$26</f>
        <v/>
      </c>
      <c r="AA126" s="1591"/>
      <c r="AB126" s="1591"/>
      <c r="AC126" s="1591"/>
      <c r="AD126" s="1591"/>
      <c r="AE126" s="1591"/>
      <c r="AF126" s="1654" t="str">
        <f>'PIM Model'!$AG$26</f>
        <v/>
      </c>
      <c r="AG126" s="1655"/>
      <c r="AH126" s="1655"/>
      <c r="AI126" s="1655"/>
      <c r="AJ126" s="1655"/>
      <c r="AK126" s="1655"/>
      <c r="AL126" s="1740"/>
      <c r="AM126" s="1654" t="str">
        <f>'PIM Model'!$AH$26</f>
        <v/>
      </c>
      <c r="AN126" s="1655"/>
      <c r="AO126" s="1655"/>
      <c r="AP126" s="1655"/>
      <c r="AQ126" s="1655"/>
      <c r="AR126" s="1655"/>
      <c r="AS126" s="1656"/>
      <c r="BF126" s="138"/>
    </row>
    <row r="127" spans="2:58" x14ac:dyDescent="0.25">
      <c r="B127" s="137"/>
      <c r="D127" s="1728" t="s">
        <v>94</v>
      </c>
      <c r="E127" s="1664"/>
      <c r="F127" s="1664"/>
      <c r="G127" s="1664"/>
      <c r="H127" s="1664"/>
      <c r="I127" s="1664"/>
      <c r="J127" s="1664"/>
      <c r="K127" s="1664"/>
      <c r="L127" s="1664"/>
      <c r="M127" s="1664"/>
      <c r="N127" s="1664"/>
      <c r="O127" s="1664"/>
      <c r="P127" s="1664"/>
      <c r="Q127" s="1664"/>
      <c r="R127" s="1664"/>
      <c r="S127" s="1664"/>
      <c r="T127" s="1729"/>
      <c r="U127" s="1736" t="str">
        <f>IF('PIM Model'!$B$27=0,"",'PIM Model'!$B$27)</f>
        <v/>
      </c>
      <c r="V127" s="1591"/>
      <c r="W127" s="1591"/>
      <c r="X127" s="1591"/>
      <c r="Y127" s="1591"/>
      <c r="Z127" s="1591" t="str">
        <f>'PIM Model'!$AF$27</f>
        <v/>
      </c>
      <c r="AA127" s="1591"/>
      <c r="AB127" s="1591"/>
      <c r="AC127" s="1591"/>
      <c r="AD127" s="1591"/>
      <c r="AE127" s="1591"/>
      <c r="AF127" s="1654" t="str">
        <f>'PIM Model'!$AG$27</f>
        <v/>
      </c>
      <c r="AG127" s="1655"/>
      <c r="AH127" s="1655"/>
      <c r="AI127" s="1655"/>
      <c r="AJ127" s="1655"/>
      <c r="AK127" s="1655"/>
      <c r="AL127" s="1740"/>
      <c r="AM127" s="1654" t="str">
        <f>'PIM Model'!$AH$27</f>
        <v/>
      </c>
      <c r="AN127" s="1655"/>
      <c r="AO127" s="1655"/>
      <c r="AP127" s="1655"/>
      <c r="AQ127" s="1655"/>
      <c r="AR127" s="1655"/>
      <c r="AS127" s="1656"/>
      <c r="BF127" s="138"/>
    </row>
    <row r="128" spans="2:58" x14ac:dyDescent="0.25">
      <c r="B128" s="137"/>
      <c r="D128" s="1728" t="s">
        <v>86</v>
      </c>
      <c r="E128" s="1664"/>
      <c r="F128" s="1664"/>
      <c r="G128" s="1664"/>
      <c r="H128" s="1664"/>
      <c r="I128" s="1664"/>
      <c r="J128" s="1664"/>
      <c r="K128" s="1664"/>
      <c r="L128" s="1664"/>
      <c r="M128" s="1664"/>
      <c r="N128" s="1664"/>
      <c r="O128" s="1664"/>
      <c r="P128" s="1664"/>
      <c r="Q128" s="1664"/>
      <c r="R128" s="1664"/>
      <c r="S128" s="1664"/>
      <c r="T128" s="1729"/>
      <c r="U128" s="1736" t="str">
        <f>IF('PIM Model'!$B$28=0,"",'PIM Model'!$B$28)</f>
        <v/>
      </c>
      <c r="V128" s="1591"/>
      <c r="W128" s="1591"/>
      <c r="X128" s="1591"/>
      <c r="Y128" s="1591"/>
      <c r="Z128" s="1591" t="str">
        <f>'PIM Model'!$AF$28</f>
        <v/>
      </c>
      <c r="AA128" s="1591"/>
      <c r="AB128" s="1591"/>
      <c r="AC128" s="1591"/>
      <c r="AD128" s="1591"/>
      <c r="AE128" s="1591"/>
      <c r="AF128" s="1654" t="str">
        <f>'PIM Model'!$AG$28</f>
        <v/>
      </c>
      <c r="AG128" s="1655"/>
      <c r="AH128" s="1655"/>
      <c r="AI128" s="1655"/>
      <c r="AJ128" s="1655"/>
      <c r="AK128" s="1655"/>
      <c r="AL128" s="1740"/>
      <c r="AM128" s="1654" t="str">
        <f>'PIM Model'!$AH$28</f>
        <v/>
      </c>
      <c r="AN128" s="1655"/>
      <c r="AO128" s="1655"/>
      <c r="AP128" s="1655"/>
      <c r="AQ128" s="1655"/>
      <c r="AR128" s="1655"/>
      <c r="AS128" s="1656"/>
      <c r="BF128" s="138"/>
    </row>
    <row r="129" spans="2:58" x14ac:dyDescent="0.25">
      <c r="B129" s="137"/>
      <c r="D129" s="1728" t="s">
        <v>88</v>
      </c>
      <c r="E129" s="1664"/>
      <c r="F129" s="1664"/>
      <c r="G129" s="1664"/>
      <c r="H129" s="1664"/>
      <c r="I129" s="1664"/>
      <c r="J129" s="1664"/>
      <c r="K129" s="1664"/>
      <c r="L129" s="1664"/>
      <c r="M129" s="1664"/>
      <c r="N129" s="1664"/>
      <c r="O129" s="1664"/>
      <c r="P129" s="1664"/>
      <c r="Q129" s="1664"/>
      <c r="R129" s="1664"/>
      <c r="S129" s="1664"/>
      <c r="T129" s="1729"/>
      <c r="U129" s="1736" t="str">
        <f>IF('PIM Model'!$B$29=0,"",'PIM Model'!$B$29)</f>
        <v/>
      </c>
      <c r="V129" s="1591"/>
      <c r="W129" s="1591"/>
      <c r="X129" s="1591"/>
      <c r="Y129" s="1591"/>
      <c r="Z129" s="1591" t="str">
        <f>'PIM Model'!$AF$29</f>
        <v/>
      </c>
      <c r="AA129" s="1591"/>
      <c r="AB129" s="1591"/>
      <c r="AC129" s="1591"/>
      <c r="AD129" s="1591"/>
      <c r="AE129" s="1591"/>
      <c r="AF129" s="1654" t="str">
        <f>'PIM Model'!$AG$29</f>
        <v/>
      </c>
      <c r="AG129" s="1655"/>
      <c r="AH129" s="1655"/>
      <c r="AI129" s="1655"/>
      <c r="AJ129" s="1655"/>
      <c r="AK129" s="1655"/>
      <c r="AL129" s="1740"/>
      <c r="AM129" s="1654" t="str">
        <f>'PIM Model'!$AH$29</f>
        <v/>
      </c>
      <c r="AN129" s="1655"/>
      <c r="AO129" s="1655"/>
      <c r="AP129" s="1655"/>
      <c r="AQ129" s="1655"/>
      <c r="AR129" s="1655"/>
      <c r="AS129" s="1656"/>
      <c r="BF129" s="138"/>
    </row>
    <row r="130" spans="2:58" ht="15.75" thickBot="1" x14ac:dyDescent="0.3">
      <c r="B130" s="137"/>
      <c r="D130" s="1737" t="s">
        <v>87</v>
      </c>
      <c r="E130" s="1738"/>
      <c r="F130" s="1738"/>
      <c r="G130" s="1738"/>
      <c r="H130" s="1738"/>
      <c r="I130" s="1738"/>
      <c r="J130" s="1738"/>
      <c r="K130" s="1738"/>
      <c r="L130" s="1738"/>
      <c r="M130" s="1738"/>
      <c r="N130" s="1738"/>
      <c r="O130" s="1738"/>
      <c r="P130" s="1738"/>
      <c r="Q130" s="1738"/>
      <c r="R130" s="1738"/>
      <c r="S130" s="1738"/>
      <c r="T130" s="1739"/>
      <c r="U130" s="1733" t="str">
        <f>IF('PIM Model'!$B$30=0,"",'PIM Model'!$B$30)</f>
        <v/>
      </c>
      <c r="V130" s="1734"/>
      <c r="W130" s="1734"/>
      <c r="X130" s="1734"/>
      <c r="Y130" s="1734"/>
      <c r="Z130" s="1734" t="str">
        <f>'PIM Model'!$AF$30</f>
        <v/>
      </c>
      <c r="AA130" s="1734"/>
      <c r="AB130" s="1734"/>
      <c r="AC130" s="1734"/>
      <c r="AD130" s="1734"/>
      <c r="AE130" s="1734"/>
      <c r="AF130" s="1741" t="str">
        <f>'PIM Model'!$AG$30</f>
        <v/>
      </c>
      <c r="AG130" s="1742"/>
      <c r="AH130" s="1742"/>
      <c r="AI130" s="1742"/>
      <c r="AJ130" s="1742"/>
      <c r="AK130" s="1742"/>
      <c r="AL130" s="1756"/>
      <c r="AM130" s="1741" t="str">
        <f>'PIM Model'!$AH$30</f>
        <v/>
      </c>
      <c r="AN130" s="1742"/>
      <c r="AO130" s="1742"/>
      <c r="AP130" s="1742"/>
      <c r="AQ130" s="1742"/>
      <c r="AR130" s="1742"/>
      <c r="AS130" s="1743"/>
      <c r="BF130" s="138"/>
    </row>
    <row r="131" spans="2:58" ht="16.5" thickTop="1" thickBot="1" x14ac:dyDescent="0.3">
      <c r="B131" s="137"/>
      <c r="D131" s="1747" t="s">
        <v>1014</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1" t="s">
        <v>1038</v>
      </c>
      <c r="C2" s="1762"/>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59" t="s">
        <v>854</v>
      </c>
      <c r="C6" s="176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59" t="s">
        <v>855</v>
      </c>
      <c r="C13" s="176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6" sqref="B1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3" t="s">
        <v>1440</v>
      </c>
      <c r="B1" s="1763"/>
      <c r="C1" s="1763"/>
      <c r="D1" s="1763"/>
      <c r="E1" s="1763"/>
      <c r="F1" s="1763" t="s">
        <v>1441</v>
      </c>
      <c r="G1" s="1763"/>
      <c r="H1" s="1763"/>
      <c r="I1" s="1763" t="s">
        <v>1442</v>
      </c>
      <c r="J1" s="1763"/>
      <c r="K1" s="1763"/>
      <c r="L1" s="1763" t="s">
        <v>1443</v>
      </c>
      <c r="M1" s="1763"/>
      <c r="N1" s="1763"/>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47"/>
      <c r="J3" s="1347"/>
      <c r="K3" s="1347"/>
      <c r="L3" s="1347"/>
      <c r="M3" s="1347"/>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47"/>
      <c r="J4" s="1347"/>
      <c r="K4" s="1347"/>
      <c r="L4" s="1347"/>
      <c r="M4" s="1347"/>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47"/>
      <c r="J5" s="1347"/>
      <c r="K5" s="1347"/>
      <c r="L5" s="1347"/>
      <c r="M5" s="1347"/>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47"/>
      <c r="J6" s="1347"/>
      <c r="K6" s="1347"/>
      <c r="L6" s="1347" t="s">
        <v>793</v>
      </c>
      <c r="M6" s="1347">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47"/>
      <c r="J7" s="1347"/>
      <c r="K7" s="1347"/>
      <c r="L7" s="1347"/>
      <c r="M7" s="1347"/>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47"/>
      <c r="J8" s="1347"/>
      <c r="K8" s="1347"/>
      <c r="L8" s="1347"/>
      <c r="M8" s="1347"/>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47"/>
      <c r="J9" s="1347"/>
      <c r="K9" s="1347"/>
      <c r="L9" s="1347"/>
      <c r="M9" s="1347"/>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47"/>
      <c r="J10" s="1347"/>
      <c r="K10" s="1347"/>
      <c r="L10" s="1347"/>
      <c r="M10" s="1347"/>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47"/>
      <c r="J11" s="1347"/>
      <c r="K11" s="1347"/>
      <c r="L11" s="1347"/>
      <c r="M11" s="1347"/>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47"/>
      <c r="J12" s="1347"/>
      <c r="K12" s="1347"/>
      <c r="L12" s="1029" t="s">
        <v>1306</v>
      </c>
      <c r="M12" s="1347">
        <v>9</v>
      </c>
      <c r="N12" s="1347"/>
      <c r="O12" s="1346"/>
    </row>
    <row r="13" spans="1:15" x14ac:dyDescent="0.25">
      <c r="A13" s="1029" t="s">
        <v>1254</v>
      </c>
      <c r="B13" s="1347" t="str">
        <f>IFERROR(_xlfn.CONCAT("D",MATCH(A13,'Tracking &amp; Profitability'!C$1:C$60,0)),"")</f>
        <v>D8</v>
      </c>
      <c r="C13" s="1347" t="str">
        <f>IFERROR(_xlfn.CONCAT("E",MATCH(A13,'Tracking &amp; Profitability'!C$1:C$60,0)),"")</f>
        <v>E8</v>
      </c>
      <c r="D13" s="1029" t="s">
        <v>1449</v>
      </c>
      <c r="E13" s="1029" t="s">
        <v>129</v>
      </c>
      <c r="F13" s="1029" t="s">
        <v>1468</v>
      </c>
      <c r="G13" s="1029" t="s">
        <v>1454</v>
      </c>
      <c r="H13" s="1029" t="s">
        <v>1467</v>
      </c>
      <c r="I13" s="1347"/>
      <c r="J13" s="1347"/>
      <c r="K13" s="1347"/>
      <c r="L13" s="1347"/>
      <c r="M13" s="1347"/>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47"/>
      <c r="J14" s="1347"/>
      <c r="K14" s="1347"/>
      <c r="L14" s="1347"/>
      <c r="M14" s="1347"/>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47"/>
      <c r="J15" s="1347"/>
      <c r="K15" s="1347"/>
      <c r="L15" s="1347"/>
      <c r="M15" s="1347"/>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47"/>
      <c r="J16" s="1347"/>
      <c r="K16" s="1347"/>
      <c r="L16" s="1347"/>
      <c r="M16" s="1347"/>
      <c r="N16" s="1347"/>
      <c r="O16" s="1346"/>
    </row>
    <row r="17" spans="1:15" x14ac:dyDescent="0.25">
      <c r="A17" s="1029" t="s">
        <v>1253</v>
      </c>
      <c r="B17" s="1347" t="str">
        <f>IFERROR(_xlfn.CONCAT("D",MATCH(A17,'Tracking &amp; Profitability'!C$1:C$60,0)),"")</f>
        <v>D7</v>
      </c>
      <c r="C17" s="1347" t="str">
        <f>IFERROR(_xlfn.CONCAT("E",MATCH(A17,'Tracking &amp; Profitability'!C$1:C$60,0)),"")</f>
        <v>E7</v>
      </c>
      <c r="D17" s="1029" t="s">
        <v>1449</v>
      </c>
      <c r="E17" s="1029" t="s">
        <v>129</v>
      </c>
      <c r="F17" s="1029" t="s">
        <v>1278</v>
      </c>
      <c r="G17" s="1029" t="s">
        <v>1460</v>
      </c>
      <c r="H17" s="1029" t="s">
        <v>1467</v>
      </c>
      <c r="I17" s="1347"/>
      <c r="J17" s="1347"/>
      <c r="K17" s="1347"/>
      <c r="L17" s="1347"/>
      <c r="M17" s="1347"/>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47"/>
      <c r="J18" s="1347"/>
      <c r="K18" s="1347"/>
      <c r="L18" s="1029" t="s">
        <v>1307</v>
      </c>
      <c r="M18" s="1347">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47"/>
      <c r="J19" s="1347"/>
      <c r="K19" s="1347"/>
      <c r="L19" s="1347"/>
      <c r="M19" s="1347"/>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47"/>
      <c r="J20" s="1347"/>
      <c r="K20" s="1347"/>
      <c r="L20" s="1347"/>
      <c r="M20" s="1347"/>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47"/>
      <c r="J21" s="1347"/>
      <c r="K21" s="1347"/>
      <c r="L21" s="1029" t="s">
        <v>1319</v>
      </c>
      <c r="M21" s="1347">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47"/>
      <c r="J22" s="1347"/>
      <c r="K22" s="1347"/>
      <c r="L22" s="1029" t="s">
        <v>1320</v>
      </c>
      <c r="M22" s="1347">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47"/>
      <c r="J23" s="1347"/>
      <c r="K23" s="1347"/>
      <c r="L23" s="1029" t="s">
        <v>1470</v>
      </c>
      <c r="M23" s="1347">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47"/>
      <c r="J24" s="1347"/>
      <c r="K24" s="1347"/>
      <c r="L24" s="1029" t="s">
        <v>1323</v>
      </c>
      <c r="M24" s="1347">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47"/>
      <c r="J25" s="1347"/>
      <c r="K25" s="1347"/>
      <c r="L25" s="1029" t="s">
        <v>1324</v>
      </c>
      <c r="M25" s="1347">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47"/>
      <c r="J26" s="1347"/>
      <c r="K26" s="1347"/>
      <c r="L26" s="1029" t="s">
        <v>1311</v>
      </c>
      <c r="M26" s="1347">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47"/>
      <c r="J27" s="1347"/>
      <c r="K27" s="1347"/>
      <c r="L27" s="1347"/>
      <c r="M27" s="1347"/>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47"/>
      <c r="J28" s="1347"/>
      <c r="K28" s="1347"/>
      <c r="L28" s="1089" t="s">
        <v>1542</v>
      </c>
      <c r="M28" s="1347">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47"/>
      <c r="J29" s="1347"/>
      <c r="K29" s="1347"/>
      <c r="L29" s="1089" t="s">
        <v>1477</v>
      </c>
      <c r="M29" s="1347">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47"/>
      <c r="J30" s="1347"/>
      <c r="K30" s="1347"/>
      <c r="L30" s="1089" t="s">
        <v>1361</v>
      </c>
      <c r="M30" s="1347">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47"/>
      <c r="J31" s="1347"/>
      <c r="K31" s="1347"/>
      <c r="L31" s="1347" t="s">
        <v>1526</v>
      </c>
      <c r="M31" s="1347">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47"/>
      <c r="J32" s="1347"/>
      <c r="K32" s="1347"/>
      <c r="L32" s="1347"/>
      <c r="M32" s="1347"/>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47"/>
      <c r="J33" s="1347"/>
      <c r="K33" s="1347"/>
      <c r="L33" s="1347"/>
      <c r="M33" s="1347"/>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47"/>
      <c r="J34" s="1347"/>
      <c r="K34" s="1347"/>
      <c r="L34" s="1347" t="s">
        <v>657</v>
      </c>
      <c r="M34" s="1347">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47"/>
      <c r="J35" s="1347"/>
      <c r="K35" s="1347"/>
      <c r="L35" s="1347" t="s">
        <v>1248</v>
      </c>
      <c r="M35" s="1347">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47"/>
      <c r="J36" s="1347"/>
      <c r="K36" s="1347"/>
      <c r="L36" s="1347" t="s">
        <v>1249</v>
      </c>
      <c r="M36" s="1347">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47"/>
      <c r="J37" s="1347"/>
      <c r="K37" s="1347"/>
      <c r="L37" s="1347" t="s">
        <v>1250</v>
      </c>
      <c r="M37" s="1347">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47"/>
      <c r="J38" s="1347"/>
      <c r="K38" s="1347"/>
      <c r="L38" s="1347" t="s">
        <v>1502</v>
      </c>
      <c r="M38" s="1347">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47"/>
      <c r="J39" s="1347"/>
      <c r="K39" s="1346"/>
      <c r="L39" s="1347" t="s">
        <v>1503</v>
      </c>
      <c r="M39" s="1347">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47"/>
      <c r="J40" s="1347"/>
      <c r="K40" s="1346"/>
      <c r="L40" s="1347" t="s">
        <v>1504</v>
      </c>
      <c r="M40" s="1347">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47"/>
      <c r="J41" s="1347"/>
      <c r="K41" s="1346"/>
      <c r="L41" s="1347" t="s">
        <v>1505</v>
      </c>
      <c r="M41" s="1347">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47"/>
      <c r="J42" s="1347"/>
      <c r="K42" s="1346"/>
      <c r="L42" s="1347" t="s">
        <v>1573</v>
      </c>
      <c r="M42" s="1347">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47">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47">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47">
        <v>38</v>
      </c>
      <c r="N45" s="1029"/>
      <c r="O45" s="1346"/>
    </row>
    <row r="46" spans="1:15" x14ac:dyDescent="0.25">
      <c r="A46" s="1104" t="s">
        <v>1277</v>
      </c>
      <c r="B46" s="1029" t="str">
        <f ca="1">_xlfn.IFNA(_xlfn.CONCAT(IF('Customer Inputs'!$U$6="Existing",SUBSTITUTE(ADDRESS(1,MATCH(O46,INDIRECT("'"&amp;E46&amp;"'"&amp;"!$A$5:$Z$5"),0),4),1,""),SUBSTITUTE(ADDRESS(1,MATCH(A46,INDIRECT("'"&amp;E46&amp;"'"&amp;"!A$5:Z$5"),0),4),1,"")),6),"")</f>
        <v>P6</v>
      </c>
      <c r="C46" s="1029" t="str">
        <f ca="1">_xlfn.IFNA(IF('Customer Inputs'!$U$6="Existing",SUBSTITUTE(ADDRESS(1,MATCH(O46,INDIRECT("'"&amp;E46&amp;"'"&amp;"!$A$5:$Z$5"),0),4),1,""),SUBSTITUTE(ADDRESS(1,MATCH(A46,INDIRECT("'"&amp;E46&amp;"'"&amp;"!A$5:Z$5"),0),4),1,"")),"")</f>
        <v>P</v>
      </c>
      <c r="D46" s="1029" t="s">
        <v>1456</v>
      </c>
      <c r="E46" s="1029" t="s">
        <v>917</v>
      </c>
      <c r="F46" s="1029"/>
      <c r="G46" s="1029"/>
      <c r="H46" s="1029"/>
      <c r="I46" s="1029"/>
      <c r="J46" s="1029"/>
      <c r="K46" s="1105"/>
      <c r="L46" s="1029" t="s">
        <v>1277</v>
      </c>
      <c r="M46" s="1347">
        <v>39</v>
      </c>
      <c r="N46" s="1029"/>
      <c r="O46" s="1346" t="s">
        <v>915</v>
      </c>
    </row>
    <row r="47" spans="1:15" x14ac:dyDescent="0.25">
      <c r="A47" s="1107" t="s">
        <v>1278</v>
      </c>
      <c r="B47" s="1029" t="str">
        <f ca="1">_xlfn.IFNA(_xlfn.CONCAT(IF('Customer Inputs'!$U$6="Existing",SUBSTITUTE(ADDRESS(1,MATCH(O47,INDIRECT("'"&amp;E47&amp;"'"&amp;"!$A$5:$Z$5"),0),4),1,""),SUBSTITUTE(ADDRESS(1,MATCH(A47,INDIRECT("'"&amp;E47&amp;"'"&amp;"!A$5:Z$5"),0),4),1,"")),6),"")</f>
        <v>Q6</v>
      </c>
      <c r="C47" s="1029" t="str">
        <f ca="1">_xlfn.IFNA(IF('Customer Inputs'!$U$6="Existing",SUBSTITUTE(ADDRESS(1,MATCH(O47,INDIRECT("'"&amp;E47&amp;"'"&amp;"!$A$5:$Z$5"),0),4),1,""),SUBSTITUTE(ADDRESS(1,MATCH(A47,INDIRECT("'"&amp;E47&amp;"'"&amp;"!A$5:Z$5"),0),4),1,"")),"")</f>
        <v>Q</v>
      </c>
      <c r="D47" s="1029" t="s">
        <v>1456</v>
      </c>
      <c r="E47" s="1029" t="s">
        <v>917</v>
      </c>
      <c r="F47" s="1029"/>
      <c r="G47" s="1029"/>
      <c r="H47" s="1029"/>
      <c r="I47" s="1029"/>
      <c r="J47" s="1029"/>
      <c r="K47" s="1105"/>
      <c r="L47" s="1088" t="s">
        <v>1278</v>
      </c>
      <c r="M47" s="1347">
        <v>40</v>
      </c>
      <c r="N47" s="1029"/>
      <c r="O47" s="1346" t="s">
        <v>1275</v>
      </c>
    </row>
    <row r="48" spans="1:15" x14ac:dyDescent="0.25">
      <c r="A48" s="1107" t="s">
        <v>1279</v>
      </c>
      <c r="B48" s="1029" t="str">
        <f ca="1">_xlfn.IFNA(_xlfn.CONCAT(IF('Customer Inputs'!$U$6="Existing",SUBSTITUTE(ADDRESS(1,MATCH(O48,INDIRECT("'"&amp;E48&amp;"'"&amp;"!$A$5:$Z$5"),0),4),1,""),SUBSTITUTE(ADDRESS(1,MATCH(A48,INDIRECT("'"&amp;E48&amp;"'"&amp;"!A$5:Z$5"),0),4),1,"")),6),"")</f>
        <v>R6</v>
      </c>
      <c r="C48" s="1029" t="str">
        <f ca="1">_xlfn.IFNA(IF('Customer Inputs'!$U$6="Existing",SUBSTITUTE(ADDRESS(1,MATCH(O48,INDIRECT("'"&amp;E48&amp;"'"&amp;"!$A$5:$Z$5"),0),4),1,""),SUBSTITUTE(ADDRESS(1,MATCH(A48,INDIRECT("'"&amp;E48&amp;"'"&amp;"!A$5:Z$5"),0),4),1,"")),"")</f>
        <v>R</v>
      </c>
      <c r="D48" s="1029" t="s">
        <v>1456</v>
      </c>
      <c r="E48" s="1029" t="s">
        <v>917</v>
      </c>
      <c r="F48" s="1029"/>
      <c r="G48" s="1029"/>
      <c r="H48" s="1029"/>
      <c r="I48" s="1029"/>
      <c r="J48" s="1029"/>
      <c r="K48" s="1105"/>
      <c r="L48" s="1088" t="s">
        <v>1279</v>
      </c>
      <c r="M48" s="1347">
        <v>41</v>
      </c>
      <c r="N48" s="1029"/>
      <c r="O48" s="1346" t="s">
        <v>1282</v>
      </c>
    </row>
    <row r="49" spans="1:15" x14ac:dyDescent="0.25">
      <c r="A49" s="1107" t="s">
        <v>1280</v>
      </c>
      <c r="B49" s="1029" t="str">
        <f ca="1">_xlfn.IFNA(_xlfn.CONCAT(IF('Customer Inputs'!$U$6="Existing",SUBSTITUTE(ADDRESS(1,MATCH(O49,INDIRECT("'"&amp;E49&amp;"'"&amp;"!$A$5:$Z$5"),0),4),1,""),SUBSTITUTE(ADDRESS(1,MATCH(A49,INDIRECT("'"&amp;E49&amp;"'"&amp;"!A$5:Z$5"),0),4),1,"")),6),"")</f>
        <v>T6</v>
      </c>
      <c r="C49" s="1029" t="str">
        <f ca="1">_xlfn.IFNA(IF('Customer Inputs'!$U$6="Existing",SUBSTITUTE(ADDRESS(1,MATCH(O49,INDIRECT("'"&amp;E49&amp;"'"&amp;"!$A$5:$Z$5"),0),4),1,""),SUBSTITUTE(ADDRESS(1,MATCH(A49,INDIRECT("'"&amp;E49&amp;"'"&amp;"!A$5:Z$5"),0),4),1,"")),"")</f>
        <v>T</v>
      </c>
      <c r="D49" s="1029" t="s">
        <v>1456</v>
      </c>
      <c r="E49" s="1029" t="s">
        <v>917</v>
      </c>
      <c r="F49" s="1029"/>
      <c r="G49" s="1029"/>
      <c r="H49" s="1029"/>
      <c r="I49" s="1029"/>
      <c r="J49" s="1029"/>
      <c r="K49" s="1105"/>
      <c r="L49" s="1088" t="s">
        <v>1280</v>
      </c>
      <c r="M49" s="1347">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47">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47">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47"/>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47">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47">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47">
        <v>59</v>
      </c>
      <c r="N55" s="1029"/>
      <c r="O55" s="1346"/>
    </row>
    <row r="56" spans="1:15" x14ac:dyDescent="0.25">
      <c r="A56" s="1108" t="s">
        <v>1277</v>
      </c>
      <c r="B56" s="1029" t="str">
        <f ca="1">_xlfn.IFNA(_xlfn.CONCAT(IF('Customer Inputs'!$U$7="Existing",SUBSTITUTE(ADDRESS(1,MATCH(O56,INDIRECT("'"&amp;E56&amp;"'"&amp;"!A5:Z5"),0),4),1,""),SUBSTITUTE(ADDRESS(1,MATCH(A56,INDIRECT("'"&amp;E56&amp;"'"&amp;"!A5:Z5"),0),4),1,"")),7),"")</f>
        <v>P7</v>
      </c>
      <c r="C56" s="1029" t="str">
        <f ca="1">_xlfn.IFNA(IF('Customer Inputs'!$U$7="Existing",SUBSTITUTE(ADDRESS(1,MATCH(O56,INDIRECT("'"&amp;E56&amp;"'"&amp;"!A5:Z5"),0),4),1,""),SUBSTITUTE(ADDRESS(1,MATCH(A56,INDIRECT("'"&amp;E56&amp;"'"&amp;"!A5:Z5"),0),4),1,"")),"")</f>
        <v>P</v>
      </c>
      <c r="D56" s="1029" t="s">
        <v>1456</v>
      </c>
      <c r="E56" s="1029" t="s">
        <v>917</v>
      </c>
      <c r="F56" s="1029"/>
      <c r="G56" s="1029"/>
      <c r="H56" s="1029"/>
      <c r="I56" s="1029"/>
      <c r="J56" s="1029"/>
      <c r="K56" s="1029"/>
      <c r="L56" s="1029" t="s">
        <v>1277</v>
      </c>
      <c r="M56" s="1347">
        <v>60</v>
      </c>
      <c r="N56" s="1029"/>
      <c r="O56" s="1346" t="s">
        <v>915</v>
      </c>
    </row>
    <row r="57" spans="1:15" x14ac:dyDescent="0.25">
      <c r="A57" s="1110" t="s">
        <v>1278</v>
      </c>
      <c r="B57" s="1029" t="str">
        <f ca="1">_xlfn.IFNA(_xlfn.CONCAT(IF('Customer Inputs'!$U$7="Existing",SUBSTITUTE(ADDRESS(1,MATCH(O57,INDIRECT("'"&amp;E57&amp;"'"&amp;"!A5:Z5"),0),4),1,""),SUBSTITUTE(ADDRESS(1,MATCH(A57,INDIRECT("'"&amp;E57&amp;"'"&amp;"!A5:Z5"),0),4),1,"")),7),"")</f>
        <v>Q7</v>
      </c>
      <c r="C57" s="1029" t="str">
        <f ca="1">_xlfn.IFNA(IF('Customer Inputs'!$U$7="Existing",SUBSTITUTE(ADDRESS(1,MATCH(O57,INDIRECT("'"&amp;E57&amp;"'"&amp;"!A5:Z5"),0),4),1,""),SUBSTITUTE(ADDRESS(1,MATCH(A57,INDIRECT("'"&amp;E57&amp;"'"&amp;"!A5:Z5"),0),4),1,"")),"")</f>
        <v>Q</v>
      </c>
      <c r="D57" s="1029" t="s">
        <v>1456</v>
      </c>
      <c r="E57" s="1029" t="s">
        <v>917</v>
      </c>
      <c r="F57" s="1029"/>
      <c r="G57" s="1029"/>
      <c r="H57" s="1029"/>
      <c r="I57" s="1029"/>
      <c r="J57" s="1029"/>
      <c r="K57" s="1029"/>
      <c r="L57" s="1088" t="s">
        <v>1278</v>
      </c>
      <c r="M57" s="1347">
        <v>61</v>
      </c>
      <c r="N57" s="1029"/>
      <c r="O57" s="1346" t="s">
        <v>1275</v>
      </c>
    </row>
    <row r="58" spans="1:15" x14ac:dyDescent="0.25">
      <c r="A58" s="1110" t="s">
        <v>1279</v>
      </c>
      <c r="B58" s="1029" t="str">
        <f ca="1">_xlfn.IFNA(_xlfn.CONCAT(IF('Customer Inputs'!$U$7="Existing",SUBSTITUTE(ADDRESS(1,MATCH(O58,INDIRECT("'"&amp;E58&amp;"'"&amp;"!A5:Z5"),0),4),1,""),SUBSTITUTE(ADDRESS(1,MATCH(A58,INDIRECT("'"&amp;E58&amp;"'"&amp;"!A5:Z5"),0),4),1,"")),7),"")</f>
        <v>R7</v>
      </c>
      <c r="C58" s="1029" t="str">
        <f ca="1">_xlfn.IFNA(IF('Customer Inputs'!$U$7="Existing",SUBSTITUTE(ADDRESS(1,MATCH(O58,INDIRECT("'"&amp;E58&amp;"'"&amp;"!A5:Z5"),0),4),1,""),SUBSTITUTE(ADDRESS(1,MATCH(A58,INDIRECT("'"&amp;E58&amp;"'"&amp;"!A5:Z5"),0),4),1,"")),"")</f>
        <v>R</v>
      </c>
      <c r="D58" s="1029" t="s">
        <v>1456</v>
      </c>
      <c r="E58" s="1029" t="s">
        <v>917</v>
      </c>
      <c r="F58" s="1029"/>
      <c r="G58" s="1029"/>
      <c r="H58" s="1029"/>
      <c r="I58" s="1029"/>
      <c r="J58" s="1029"/>
      <c r="K58" s="1029"/>
      <c r="L58" s="1088" t="s">
        <v>1279</v>
      </c>
      <c r="M58" s="1347">
        <v>62</v>
      </c>
      <c r="N58" s="1029"/>
      <c r="O58" s="1346" t="s">
        <v>1282</v>
      </c>
    </row>
    <row r="59" spans="1:15" x14ac:dyDescent="0.25">
      <c r="A59" s="1110" t="s">
        <v>1280</v>
      </c>
      <c r="B59" s="1029" t="str">
        <f ca="1">_xlfn.IFNA(_xlfn.CONCAT(IF('Customer Inputs'!$U$7="Existing",SUBSTITUTE(ADDRESS(1,MATCH(O59,INDIRECT("'"&amp;E59&amp;"'"&amp;"!A5:Z5"),0),4),1,""),SUBSTITUTE(ADDRESS(1,MATCH(A59,INDIRECT("'"&amp;E59&amp;"'"&amp;"!A5:Z5"),0),4),1,"")),7),"")</f>
        <v>T7</v>
      </c>
      <c r="C59" s="1029" t="str">
        <f ca="1">_xlfn.IFNA(IF('Customer Inputs'!$U$7="Existing",SUBSTITUTE(ADDRESS(1,MATCH(O59,INDIRECT("'"&amp;E59&amp;"'"&amp;"!A5:Z5"),0),4),1,""),SUBSTITUTE(ADDRESS(1,MATCH(A59,INDIRECT("'"&amp;E59&amp;"'"&amp;"!A5:Z5"),0),4),1,"")),"")</f>
        <v>T</v>
      </c>
      <c r="D59" s="1029" t="s">
        <v>1456</v>
      </c>
      <c r="E59" s="1029" t="s">
        <v>917</v>
      </c>
      <c r="F59" s="1029"/>
      <c r="G59" s="1029"/>
      <c r="H59" s="1029"/>
      <c r="I59" s="1029"/>
      <c r="J59" s="1029"/>
      <c r="K59" s="1029"/>
      <c r="L59" s="1088" t="s">
        <v>1280</v>
      </c>
      <c r="M59" s="1347">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47">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47">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47"/>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47">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47">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47">
        <v>80</v>
      </c>
      <c r="N65" s="1029"/>
      <c r="O65" s="1346"/>
    </row>
    <row r="66" spans="1:15" x14ac:dyDescent="0.25">
      <c r="A66" s="1104" t="s">
        <v>1277</v>
      </c>
      <c r="B66" s="1029" t="str">
        <f ca="1">_xlfn.IFNA(_xlfn.CONCAT(IF('Customer Inputs'!$U$8="Existing",SUBSTITUTE(ADDRESS(1,MATCH(O66,INDIRECT("'"&amp;E66&amp;"'"&amp;"!A5:Z5"),0),4),1,""),SUBSTITUTE(ADDRESS(1,MATCH(A66,INDIRECT("'"&amp;E66&amp;"'"&amp;"!A5:Z5"),0),4),1,"")),8),"")</f>
        <v>P8</v>
      </c>
      <c r="C66" s="1029" t="str">
        <f ca="1">_xlfn.IFNA(IF('Customer Inputs'!$U$8="Existing",SUBSTITUTE(ADDRESS(1,MATCH(O66,INDIRECT("'"&amp;E66&amp;"'"&amp;"!A5:Z5"),0),4),1,""),SUBSTITUTE(ADDRESS(1,MATCH(A66,INDIRECT("'"&amp;E66&amp;"'"&amp;"!A5:Z5"),0),4),1,"")),"")</f>
        <v>P</v>
      </c>
      <c r="D66" s="1029" t="s">
        <v>1456</v>
      </c>
      <c r="E66" s="1029" t="s">
        <v>917</v>
      </c>
      <c r="F66" s="1029"/>
      <c r="G66" s="1029"/>
      <c r="H66" s="1029"/>
      <c r="I66" s="1029"/>
      <c r="J66" s="1029"/>
      <c r="K66" s="1029"/>
      <c r="L66" s="1029" t="s">
        <v>1277</v>
      </c>
      <c r="M66" s="1347">
        <v>81</v>
      </c>
      <c r="N66" s="1029"/>
      <c r="O66" s="1346" t="s">
        <v>915</v>
      </c>
    </row>
    <row r="67" spans="1:15" x14ac:dyDescent="0.25">
      <c r="A67" s="1107" t="s">
        <v>1278</v>
      </c>
      <c r="B67" s="1029" t="str">
        <f ca="1">_xlfn.IFNA(_xlfn.CONCAT(IF('Customer Inputs'!$U$8="Existing",SUBSTITUTE(ADDRESS(1,MATCH(O67,INDIRECT("'"&amp;E67&amp;"'"&amp;"!A5:Z5"),0),4),1,""),SUBSTITUTE(ADDRESS(1,MATCH(A67,INDIRECT("'"&amp;E67&amp;"'"&amp;"!A5:Z5"),0),4),1,"")),8),"")</f>
        <v>Q8</v>
      </c>
      <c r="C67" s="1029" t="str">
        <f ca="1">_xlfn.IFNA(IF('Customer Inputs'!$U$8="Existing",SUBSTITUTE(ADDRESS(1,MATCH(O67,INDIRECT("'"&amp;E67&amp;"'"&amp;"!A5:Z5"),0),4),1,""),SUBSTITUTE(ADDRESS(1,MATCH(A67,INDIRECT("'"&amp;E67&amp;"'"&amp;"!A5:Z5"),0),4),1,"")),"")</f>
        <v>Q</v>
      </c>
      <c r="D67" s="1029" t="s">
        <v>1456</v>
      </c>
      <c r="E67" s="1029" t="s">
        <v>917</v>
      </c>
      <c r="F67" s="1029"/>
      <c r="G67" s="1029"/>
      <c r="H67" s="1029"/>
      <c r="I67" s="1029"/>
      <c r="J67" s="1029"/>
      <c r="K67" s="1029"/>
      <c r="L67" s="1088" t="s">
        <v>1278</v>
      </c>
      <c r="M67" s="1347">
        <v>82</v>
      </c>
      <c r="N67" s="1029"/>
      <c r="O67" s="1346" t="s">
        <v>1275</v>
      </c>
    </row>
    <row r="68" spans="1:15" x14ac:dyDescent="0.25">
      <c r="A68" s="1107" t="s">
        <v>1279</v>
      </c>
      <c r="B68" s="1029" t="str">
        <f ca="1">_xlfn.IFNA(_xlfn.CONCAT(IF('Customer Inputs'!$U$8="Existing",SUBSTITUTE(ADDRESS(1,MATCH(O68,INDIRECT("'"&amp;E68&amp;"'"&amp;"!A5:Z5"),0),4),1,""),SUBSTITUTE(ADDRESS(1,MATCH(A68,INDIRECT("'"&amp;E68&amp;"'"&amp;"!A5:Z5"),0),4),1,"")),8),"")</f>
        <v>R8</v>
      </c>
      <c r="C68" s="1029" t="str">
        <f ca="1">_xlfn.IFNA(IF('Customer Inputs'!$U$8="Existing",SUBSTITUTE(ADDRESS(1,MATCH(O68,INDIRECT("'"&amp;E68&amp;"'"&amp;"!A5:Z5"),0),4),1,""),SUBSTITUTE(ADDRESS(1,MATCH(A68,INDIRECT("'"&amp;E68&amp;"'"&amp;"!A5:Z5"),0),4),1,"")),"")</f>
        <v>R</v>
      </c>
      <c r="D68" s="1029" t="s">
        <v>1456</v>
      </c>
      <c r="E68" s="1029" t="s">
        <v>917</v>
      </c>
      <c r="F68" s="1029"/>
      <c r="G68" s="1029"/>
      <c r="H68" s="1029"/>
      <c r="I68" s="1029"/>
      <c r="J68" s="1029"/>
      <c r="K68" s="1029"/>
      <c r="L68" s="1088" t="s">
        <v>1279</v>
      </c>
      <c r="M68" s="1347">
        <v>83</v>
      </c>
      <c r="N68" s="1029"/>
      <c r="O68" s="1346" t="s">
        <v>1282</v>
      </c>
    </row>
    <row r="69" spans="1:15" x14ac:dyDescent="0.25">
      <c r="A69" s="1107" t="s">
        <v>1280</v>
      </c>
      <c r="B69" s="1029" t="str">
        <f ca="1">_xlfn.IFNA(_xlfn.CONCAT(IF('Customer Inputs'!$U$8="Existing",SUBSTITUTE(ADDRESS(1,MATCH(O69,INDIRECT("'"&amp;E69&amp;"'"&amp;"!A5:Z5"),0),4),1,""),SUBSTITUTE(ADDRESS(1,MATCH(A69,INDIRECT("'"&amp;E69&amp;"'"&amp;"!A5:Z5"),0),4),1,"")),8),"")</f>
        <v>T8</v>
      </c>
      <c r="C69" s="1029" t="str">
        <f ca="1">_xlfn.IFNA(IF('Customer Inputs'!$U$8="Existing",SUBSTITUTE(ADDRESS(1,MATCH(O69,INDIRECT("'"&amp;E69&amp;"'"&amp;"!A5:Z5"),0),4),1,""),SUBSTITUTE(ADDRESS(1,MATCH(A69,INDIRECT("'"&amp;E69&amp;"'"&amp;"!A5:Z5"),0),4),1,"")),"")</f>
        <v>T</v>
      </c>
      <c r="D69" s="1029" t="s">
        <v>1456</v>
      </c>
      <c r="E69" s="1029" t="s">
        <v>917</v>
      </c>
      <c r="F69" s="1029"/>
      <c r="G69" s="1029"/>
      <c r="H69" s="1029"/>
      <c r="I69" s="1029"/>
      <c r="J69" s="1029"/>
      <c r="K69" s="1029"/>
      <c r="L69" s="1088" t="s">
        <v>1280</v>
      </c>
      <c r="M69" s="1347">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47">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47">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47"/>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47">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47">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47">
        <v>101</v>
      </c>
      <c r="N75" s="1029"/>
      <c r="O75" s="1346"/>
    </row>
    <row r="76" spans="1:15" x14ac:dyDescent="0.25">
      <c r="A76" s="1108" t="s">
        <v>1277</v>
      </c>
      <c r="B76" s="1029" t="str">
        <f ca="1">_xlfn.IFNA(_xlfn.CONCAT(IF('Customer Inputs'!$U$9="Existing",SUBSTITUTE(ADDRESS(1,MATCH(O76,INDIRECT("'"&amp;E76&amp;"'"&amp;"!A5:Z5"),0),4),1,""),SUBSTITUTE(ADDRESS(1,MATCH(A76,INDIRECT("'"&amp;E76&amp;"'"&amp;"!A5:Z5"),0),4),1,"")),9),"")</f>
        <v>P9</v>
      </c>
      <c r="C76" s="1029" t="str">
        <f ca="1">_xlfn.IFNA(IF('Customer Inputs'!$U$9="Existing",SUBSTITUTE(ADDRESS(1,MATCH(O76,INDIRECT("'"&amp;E76&amp;"'"&amp;"!A5:Z5"),0),4),1,""),SUBSTITUTE(ADDRESS(1,MATCH(A76,INDIRECT("'"&amp;E76&amp;"'"&amp;"!A5:Z5"),0),4),1,"")),"")</f>
        <v>P</v>
      </c>
      <c r="D76" s="1029" t="s">
        <v>1456</v>
      </c>
      <c r="E76" s="1029" t="s">
        <v>917</v>
      </c>
      <c r="F76" s="1029"/>
      <c r="G76" s="1029"/>
      <c r="H76" s="1029"/>
      <c r="I76" s="1029"/>
      <c r="J76" s="1029"/>
      <c r="K76" s="1029"/>
      <c r="L76" s="1029" t="s">
        <v>1277</v>
      </c>
      <c r="M76" s="1347">
        <v>102</v>
      </c>
      <c r="N76" s="1029"/>
      <c r="O76" s="1346" t="s">
        <v>915</v>
      </c>
    </row>
    <row r="77" spans="1:15" x14ac:dyDescent="0.25">
      <c r="A77" s="1110" t="s">
        <v>1278</v>
      </c>
      <c r="B77" s="1029" t="str">
        <f ca="1">_xlfn.IFNA(_xlfn.CONCAT(IF('Customer Inputs'!$U$9="Existing",SUBSTITUTE(ADDRESS(1,MATCH(O77,INDIRECT("'"&amp;E77&amp;"'"&amp;"!A5:Z5"),0),4),1,""),SUBSTITUTE(ADDRESS(1,MATCH(A77,INDIRECT("'"&amp;E77&amp;"'"&amp;"!A5:Z5"),0),4),1,"")),9),"")</f>
        <v>Q9</v>
      </c>
      <c r="C77" s="1029" t="str">
        <f ca="1">_xlfn.IFNA(IF('Customer Inputs'!$U$9="Existing",SUBSTITUTE(ADDRESS(1,MATCH(O77,INDIRECT("'"&amp;E77&amp;"'"&amp;"!A5:Z5"),0),4),1,""),SUBSTITUTE(ADDRESS(1,MATCH(A77,INDIRECT("'"&amp;E77&amp;"'"&amp;"!A5:Z5"),0),4),1,"")),"")</f>
        <v>Q</v>
      </c>
      <c r="D77" s="1029" t="s">
        <v>1456</v>
      </c>
      <c r="E77" s="1029" t="s">
        <v>917</v>
      </c>
      <c r="F77" s="1029"/>
      <c r="G77" s="1029"/>
      <c r="H77" s="1029"/>
      <c r="I77" s="1029"/>
      <c r="J77" s="1029"/>
      <c r="K77" s="1029"/>
      <c r="L77" s="1088" t="s">
        <v>1278</v>
      </c>
      <c r="M77" s="1347">
        <v>103</v>
      </c>
      <c r="N77" s="1029"/>
      <c r="O77" s="1346" t="s">
        <v>1275</v>
      </c>
    </row>
    <row r="78" spans="1:15" x14ac:dyDescent="0.25">
      <c r="A78" s="1110" t="s">
        <v>1279</v>
      </c>
      <c r="B78" s="1029" t="str">
        <f ca="1">_xlfn.IFNA(_xlfn.CONCAT(IF('Customer Inputs'!$U$9="Existing",SUBSTITUTE(ADDRESS(1,MATCH(O78,INDIRECT("'"&amp;E78&amp;"'"&amp;"!A5:Z5"),0),4),1,""),SUBSTITUTE(ADDRESS(1,MATCH(A78,INDIRECT("'"&amp;E78&amp;"'"&amp;"!A5:Z5"),0),4),1,"")),9),"")</f>
        <v>R9</v>
      </c>
      <c r="C78" s="1029" t="str">
        <f ca="1">_xlfn.IFNA(IF('Customer Inputs'!$U$9="Existing",SUBSTITUTE(ADDRESS(1,MATCH(O78,INDIRECT("'"&amp;E78&amp;"'"&amp;"!A5:Z5"),0),4),1,""),SUBSTITUTE(ADDRESS(1,MATCH(A78,INDIRECT("'"&amp;E78&amp;"'"&amp;"!A5:Z5"),0),4),1,"")),"")</f>
        <v>R</v>
      </c>
      <c r="D78" s="1029" t="s">
        <v>1456</v>
      </c>
      <c r="E78" s="1029" t="s">
        <v>917</v>
      </c>
      <c r="F78" s="1029"/>
      <c r="G78" s="1029"/>
      <c r="H78" s="1029"/>
      <c r="I78" s="1029"/>
      <c r="J78" s="1029"/>
      <c r="K78" s="1029"/>
      <c r="L78" s="1088" t="s">
        <v>1279</v>
      </c>
      <c r="M78" s="1347">
        <v>104</v>
      </c>
      <c r="N78" s="1029"/>
      <c r="O78" s="1346" t="s">
        <v>1282</v>
      </c>
    </row>
    <row r="79" spans="1:15" x14ac:dyDescent="0.25">
      <c r="A79" s="1110" t="s">
        <v>1280</v>
      </c>
      <c r="B79" s="1029" t="str">
        <f ca="1">_xlfn.IFNA(_xlfn.CONCAT(IF('Customer Inputs'!$U$9="Existing",SUBSTITUTE(ADDRESS(1,MATCH(O79,INDIRECT("'"&amp;E79&amp;"'"&amp;"!A5:Z5"),0),4),1,""),SUBSTITUTE(ADDRESS(1,MATCH(A79,INDIRECT("'"&amp;E79&amp;"'"&amp;"!A5:Z5"),0),4),1,"")),9),"")</f>
        <v>T9</v>
      </c>
      <c r="C79" s="1029" t="str">
        <f ca="1">_xlfn.IFNA(IF('Customer Inputs'!$U$9="Existing",SUBSTITUTE(ADDRESS(1,MATCH(O79,INDIRECT("'"&amp;E79&amp;"'"&amp;"!A5:Z5"),0),4),1,""),SUBSTITUTE(ADDRESS(1,MATCH(A79,INDIRECT("'"&amp;E79&amp;"'"&amp;"!A5:Z5"),0),4),1,"")),"")</f>
        <v>T</v>
      </c>
      <c r="D79" s="1029" t="s">
        <v>1456</v>
      </c>
      <c r="E79" s="1029" t="s">
        <v>917</v>
      </c>
      <c r="F79" s="1029"/>
      <c r="G79" s="1029"/>
      <c r="H79" s="1029"/>
      <c r="I79" s="1029"/>
      <c r="J79" s="1029"/>
      <c r="K79" s="1029"/>
      <c r="L79" s="1088" t="s">
        <v>1280</v>
      </c>
      <c r="M79" s="1347">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47">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47">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47"/>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47">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47">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47">
        <v>122</v>
      </c>
      <c r="N85" s="1029"/>
      <c r="O85" s="1346"/>
    </row>
    <row r="86" spans="1:15" x14ac:dyDescent="0.25">
      <c r="A86" s="1104" t="s">
        <v>1277</v>
      </c>
      <c r="B86" s="1029" t="str">
        <f ca="1">_xlfn.IFNA(_xlfn.CONCAT(IF('Customer Inputs'!$U$10="Existing",SUBSTITUTE(ADDRESS(1,MATCH(O86,INDIRECT("'"&amp;E86&amp;"'"&amp;"!A5:Z5"),0),4),1,""),SUBSTITUTE(ADDRESS(1,MATCH(A86,INDIRECT("'"&amp;E86&amp;"'"&amp;"!A5:Z5"),0),4),1,"")),10),"")</f>
        <v>P10</v>
      </c>
      <c r="C86" s="1029" t="str">
        <f ca="1">_xlfn.IFNA(IF('Customer Inputs'!$U$10="Existing",SUBSTITUTE(ADDRESS(1,MATCH(O86,INDIRECT("'"&amp;E86&amp;"'"&amp;"!A5:Z5"),0),4),1,""),SUBSTITUTE(ADDRESS(1,MATCH(A86,INDIRECT("'"&amp;E86&amp;"'"&amp;"!A5:Z5"),0),4),1,"")),"")</f>
        <v>P</v>
      </c>
      <c r="D86" s="1029" t="s">
        <v>1456</v>
      </c>
      <c r="E86" s="1029" t="s">
        <v>917</v>
      </c>
      <c r="F86" s="1029"/>
      <c r="G86" s="1029"/>
      <c r="H86" s="1029"/>
      <c r="I86" s="1029"/>
      <c r="J86" s="1029"/>
      <c r="K86" s="1029"/>
      <c r="L86" s="1029" t="s">
        <v>1277</v>
      </c>
      <c r="M86" s="1347">
        <v>123</v>
      </c>
      <c r="N86" s="1029"/>
      <c r="O86" s="1346" t="s">
        <v>915</v>
      </c>
    </row>
    <row r="87" spans="1:15" x14ac:dyDescent="0.25">
      <c r="A87" s="1107" t="s">
        <v>1278</v>
      </c>
      <c r="B87" s="1029" t="str">
        <f ca="1">_xlfn.IFNA(_xlfn.CONCAT(IF('Customer Inputs'!$U$10="Existing",SUBSTITUTE(ADDRESS(1,MATCH(O87,INDIRECT("'"&amp;E87&amp;"'"&amp;"!A5:Z5"),0),4),1,""),SUBSTITUTE(ADDRESS(1,MATCH(A87,INDIRECT("'"&amp;E87&amp;"'"&amp;"!A5:Z5"),0),4),1,"")),10),"")</f>
        <v>Q10</v>
      </c>
      <c r="C87" s="1029" t="str">
        <f ca="1">_xlfn.IFNA(IF('Customer Inputs'!$U$10="Existing",SUBSTITUTE(ADDRESS(1,MATCH(O87,INDIRECT("'"&amp;E87&amp;"'"&amp;"!A5:Z5"),0),4),1,""),SUBSTITUTE(ADDRESS(1,MATCH(A87,INDIRECT("'"&amp;E87&amp;"'"&amp;"!A5:Z5"),0),4),1,"")),"")</f>
        <v>Q</v>
      </c>
      <c r="D87" s="1029" t="s">
        <v>1456</v>
      </c>
      <c r="E87" s="1029" t="s">
        <v>917</v>
      </c>
      <c r="F87" s="1029"/>
      <c r="G87" s="1029"/>
      <c r="H87" s="1029"/>
      <c r="I87" s="1029"/>
      <c r="J87" s="1029"/>
      <c r="K87" s="1029"/>
      <c r="L87" s="1088" t="s">
        <v>1278</v>
      </c>
      <c r="M87" s="1347">
        <v>124</v>
      </c>
      <c r="N87" s="1029"/>
      <c r="O87" s="1346" t="s">
        <v>1275</v>
      </c>
    </row>
    <row r="88" spans="1:15" x14ac:dyDescent="0.25">
      <c r="A88" s="1107" t="s">
        <v>1279</v>
      </c>
      <c r="B88" s="1029" t="str">
        <f ca="1">_xlfn.IFNA(_xlfn.CONCAT(IF('Customer Inputs'!$U$10="Existing",SUBSTITUTE(ADDRESS(1,MATCH(O88,INDIRECT("'"&amp;E88&amp;"'"&amp;"!A5:Z5"),0),4),1,""),SUBSTITUTE(ADDRESS(1,MATCH(A88,INDIRECT("'"&amp;E88&amp;"'"&amp;"!A5:Z5"),0),4),1,"")),10),"")</f>
        <v>R10</v>
      </c>
      <c r="C88" s="1029" t="str">
        <f ca="1">_xlfn.IFNA(IF('Customer Inputs'!$U$10="Existing",SUBSTITUTE(ADDRESS(1,MATCH(O88,INDIRECT("'"&amp;E88&amp;"'"&amp;"!A5:Z5"),0),4),1,""),SUBSTITUTE(ADDRESS(1,MATCH(A88,INDIRECT("'"&amp;E88&amp;"'"&amp;"!A5:Z5"),0),4),1,"")),"")</f>
        <v>R</v>
      </c>
      <c r="D88" s="1029" t="s">
        <v>1456</v>
      </c>
      <c r="E88" s="1029" t="s">
        <v>917</v>
      </c>
      <c r="F88" s="1029"/>
      <c r="G88" s="1029"/>
      <c r="H88" s="1029"/>
      <c r="I88" s="1029"/>
      <c r="J88" s="1029"/>
      <c r="K88" s="1029"/>
      <c r="L88" s="1088" t="s">
        <v>1279</v>
      </c>
      <c r="M88" s="1347">
        <v>125</v>
      </c>
      <c r="N88" s="1029"/>
      <c r="O88" s="1346" t="s">
        <v>1282</v>
      </c>
    </row>
    <row r="89" spans="1:15" x14ac:dyDescent="0.25">
      <c r="A89" s="1107" t="s">
        <v>1280</v>
      </c>
      <c r="B89" s="1029" t="str">
        <f ca="1">_xlfn.IFNA(_xlfn.CONCAT(IF('Customer Inputs'!$U$10="Existing",SUBSTITUTE(ADDRESS(1,MATCH(O89,INDIRECT("'"&amp;E89&amp;"'"&amp;"!A5:Z5"),0),4),1,""),SUBSTITUTE(ADDRESS(1,MATCH(A89,INDIRECT("'"&amp;E89&amp;"'"&amp;"!A5:Z5"),0),4),1,"")),10),"")</f>
        <v>T10</v>
      </c>
      <c r="C89" s="1029" t="str">
        <f ca="1">_xlfn.IFNA(IF('Customer Inputs'!$U$10="Existing",SUBSTITUTE(ADDRESS(1,MATCH(O89,INDIRECT("'"&amp;E89&amp;"'"&amp;"!A5:Z5"),0),4),1,""),SUBSTITUTE(ADDRESS(1,MATCH(A89,INDIRECT("'"&amp;E89&amp;"'"&amp;"!A5:Z5"),0),4),1,"")),"")</f>
        <v>T</v>
      </c>
      <c r="D89" s="1029" t="s">
        <v>1456</v>
      </c>
      <c r="E89" s="1029" t="s">
        <v>917</v>
      </c>
      <c r="F89" s="1029"/>
      <c r="G89" s="1029"/>
      <c r="H89" s="1029"/>
      <c r="I89" s="1029"/>
      <c r="J89" s="1029"/>
      <c r="K89" s="1029"/>
      <c r="L89" s="1088" t="s">
        <v>1280</v>
      </c>
      <c r="M89" s="1347">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47">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47">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47"/>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47">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47">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47">
        <v>143</v>
      </c>
      <c r="N95" s="1029"/>
      <c r="O95" s="1346"/>
    </row>
    <row r="96" spans="1:15" x14ac:dyDescent="0.25">
      <c r="A96" s="1108" t="s">
        <v>1277</v>
      </c>
      <c r="B96" s="1029" t="str">
        <f ca="1">_xlfn.IFNA(_xlfn.CONCAT(IF('Customer Inputs'!$U$11="Existing",SUBSTITUTE(ADDRESS(1,MATCH(O96,INDIRECT("'"&amp;E96&amp;"'"&amp;"!A5:Z5"),0),4),1,""),SUBSTITUTE(ADDRESS(1,MATCH(A96,INDIRECT("'"&amp;E96&amp;"'"&amp;"!A5:Z5"),0),4),1,"")),11),"")</f>
        <v>P11</v>
      </c>
      <c r="C96" s="1029" t="str">
        <f ca="1">_xlfn.IFNA(IF('Customer Inputs'!$U$11="Existing",SUBSTITUTE(ADDRESS(1,MATCH(O96,INDIRECT("'"&amp;E96&amp;"'"&amp;"!A5:Z5"),0),4),1,""),SUBSTITUTE(ADDRESS(1,MATCH(A96,INDIRECT("'"&amp;E96&amp;"'"&amp;"!A5:Z5"),0),4),1,"")),"")</f>
        <v>P</v>
      </c>
      <c r="D96" s="1029" t="s">
        <v>1456</v>
      </c>
      <c r="E96" s="1029" t="s">
        <v>917</v>
      </c>
      <c r="F96" s="1029"/>
      <c r="G96" s="1029"/>
      <c r="H96" s="1029"/>
      <c r="I96" s="1029"/>
      <c r="J96" s="1029"/>
      <c r="K96" s="1029"/>
      <c r="L96" s="1029" t="s">
        <v>1277</v>
      </c>
      <c r="M96" s="1347">
        <v>144</v>
      </c>
      <c r="N96" s="1029"/>
      <c r="O96" s="1346" t="s">
        <v>915</v>
      </c>
    </row>
    <row r="97" spans="1:15" x14ac:dyDescent="0.25">
      <c r="A97" s="1110" t="s">
        <v>1278</v>
      </c>
      <c r="B97" s="1029" t="str">
        <f ca="1">_xlfn.IFNA(_xlfn.CONCAT(IF('Customer Inputs'!$U$11="Existing",SUBSTITUTE(ADDRESS(1,MATCH(O97,INDIRECT("'"&amp;E97&amp;"'"&amp;"!A5:Z5"),0),4),1,""),SUBSTITUTE(ADDRESS(1,MATCH(A97,INDIRECT("'"&amp;E97&amp;"'"&amp;"!A5:Z5"),0),4),1,"")),11),"")</f>
        <v>Q11</v>
      </c>
      <c r="C97" s="1029" t="str">
        <f ca="1">_xlfn.IFNA(IF('Customer Inputs'!$U$11="Existing",SUBSTITUTE(ADDRESS(1,MATCH(O97,INDIRECT("'"&amp;E97&amp;"'"&amp;"!A5:Z5"),0),4),1,""),SUBSTITUTE(ADDRESS(1,MATCH(A97,INDIRECT("'"&amp;E97&amp;"'"&amp;"!A5:Z5"),0),4),1,"")),"")</f>
        <v>Q</v>
      </c>
      <c r="D97" s="1029" t="s">
        <v>1456</v>
      </c>
      <c r="E97" s="1029" t="s">
        <v>917</v>
      </c>
      <c r="F97" s="1029"/>
      <c r="G97" s="1029"/>
      <c r="H97" s="1029"/>
      <c r="I97" s="1029"/>
      <c r="J97" s="1029"/>
      <c r="K97" s="1029"/>
      <c r="L97" s="1088" t="s">
        <v>1278</v>
      </c>
      <c r="M97" s="1347">
        <v>145</v>
      </c>
      <c r="N97" s="1029"/>
      <c r="O97" s="1346" t="s">
        <v>1275</v>
      </c>
    </row>
    <row r="98" spans="1:15" x14ac:dyDescent="0.25">
      <c r="A98" s="1110" t="s">
        <v>1279</v>
      </c>
      <c r="B98" s="1029" t="str">
        <f ca="1">_xlfn.IFNA(_xlfn.CONCAT(IF('Customer Inputs'!$U$11="Existing",SUBSTITUTE(ADDRESS(1,MATCH(O98,INDIRECT("'"&amp;E98&amp;"'"&amp;"!A5:Z5"),0),4),1,""),SUBSTITUTE(ADDRESS(1,MATCH(A98,INDIRECT("'"&amp;E98&amp;"'"&amp;"!A5:Z5"),0),4),1,"")),11),"")</f>
        <v>R11</v>
      </c>
      <c r="C98" s="1029" t="str">
        <f ca="1">_xlfn.IFNA(IF('Customer Inputs'!$U$11="Existing",SUBSTITUTE(ADDRESS(1,MATCH(O98,INDIRECT("'"&amp;E98&amp;"'"&amp;"!A5:Z5"),0),4),1,""),SUBSTITUTE(ADDRESS(1,MATCH(A98,INDIRECT("'"&amp;E98&amp;"'"&amp;"!A5:Z5"),0),4),1,"")),"")</f>
        <v>R</v>
      </c>
      <c r="D98" s="1029" t="s">
        <v>1456</v>
      </c>
      <c r="E98" s="1029" t="s">
        <v>917</v>
      </c>
      <c r="F98" s="1029"/>
      <c r="G98" s="1029"/>
      <c r="H98" s="1029"/>
      <c r="I98" s="1029"/>
      <c r="J98" s="1029"/>
      <c r="K98" s="1029"/>
      <c r="L98" s="1088" t="s">
        <v>1279</v>
      </c>
      <c r="M98" s="1347">
        <v>146</v>
      </c>
      <c r="N98" s="1029"/>
      <c r="O98" s="1346" t="s">
        <v>1282</v>
      </c>
    </row>
    <row r="99" spans="1:15" x14ac:dyDescent="0.25">
      <c r="A99" s="1110" t="s">
        <v>1280</v>
      </c>
      <c r="B99" s="1029" t="str">
        <f ca="1">_xlfn.IFNA(_xlfn.CONCAT(IF('Customer Inputs'!$U$11="Existing",SUBSTITUTE(ADDRESS(1,MATCH(O99,INDIRECT("'"&amp;E99&amp;"'"&amp;"!A5:Z5"),0),4),1,""),SUBSTITUTE(ADDRESS(1,MATCH(A99,INDIRECT("'"&amp;E99&amp;"'"&amp;"!A5:Z5"),0),4),1,"")),11),"")</f>
        <v>T11</v>
      </c>
      <c r="C99" s="1029" t="str">
        <f ca="1">_xlfn.IFNA(IF('Customer Inputs'!$U$11="Existing",SUBSTITUTE(ADDRESS(1,MATCH(O99,INDIRECT("'"&amp;E99&amp;"'"&amp;"!A5:Z5"),0),4),1,""),SUBSTITUTE(ADDRESS(1,MATCH(A99,INDIRECT("'"&amp;E99&amp;"'"&amp;"!A5:Z5"),0),4),1,"")),"")</f>
        <v>T</v>
      </c>
      <c r="D99" s="1029" t="s">
        <v>1456</v>
      </c>
      <c r="E99" s="1111" t="s">
        <v>917</v>
      </c>
      <c r="F99" s="1347"/>
      <c r="G99" s="1347"/>
      <c r="H99" s="1347"/>
      <c r="I99" s="1347"/>
      <c r="J99" s="1347"/>
      <c r="K99" s="1347"/>
      <c r="L99" s="1088" t="s">
        <v>1280</v>
      </c>
      <c r="M99" s="1347">
        <v>147</v>
      </c>
      <c r="N99" s="1347"/>
      <c r="O99" s="1346" t="s">
        <v>1276</v>
      </c>
    </row>
    <row r="100" spans="1:15" x14ac:dyDescent="0.25">
      <c r="A100" s="1110" t="s">
        <v>1281</v>
      </c>
      <c r="B100" s="1029" t="str">
        <f t="shared" ca="1" si="10"/>
        <v>U11</v>
      </c>
      <c r="C100" s="1029" t="str">
        <f t="shared" ca="1" si="5"/>
        <v>U</v>
      </c>
      <c r="D100" s="1029" t="s">
        <v>1456</v>
      </c>
      <c r="E100" s="1111" t="s">
        <v>917</v>
      </c>
      <c r="F100" s="1347"/>
      <c r="G100" s="1347"/>
      <c r="H100" s="1347"/>
      <c r="I100" s="1347"/>
      <c r="J100" s="1347"/>
      <c r="K100" s="1347"/>
      <c r="L100" s="1088" t="s">
        <v>1281</v>
      </c>
      <c r="M100" s="1347">
        <v>148</v>
      </c>
      <c r="N100" s="1347"/>
      <c r="O100" s="1346"/>
    </row>
    <row r="101" spans="1:15" x14ac:dyDescent="0.25">
      <c r="A101" s="1110" t="s">
        <v>1438</v>
      </c>
      <c r="B101" s="1029" t="str">
        <f t="shared" ca="1" si="10"/>
        <v>V11</v>
      </c>
      <c r="C101" s="1029" t="str">
        <f t="shared" ca="1" si="5"/>
        <v>V</v>
      </c>
      <c r="D101" s="1029" t="s">
        <v>1456</v>
      </c>
      <c r="E101" s="1111" t="s">
        <v>917</v>
      </c>
      <c r="F101" s="1347"/>
      <c r="G101" s="1347"/>
      <c r="H101" s="1347"/>
      <c r="I101" s="1347"/>
      <c r="J101" s="1347"/>
      <c r="K101" s="1347"/>
      <c r="L101" s="1088" t="s">
        <v>1529</v>
      </c>
      <c r="M101" s="1347">
        <v>149</v>
      </c>
      <c r="N101" s="1347"/>
      <c r="O101" s="1346"/>
    </row>
    <row r="102" spans="1:15" x14ac:dyDescent="0.25">
      <c r="A102" s="1110" t="s">
        <v>1734</v>
      </c>
      <c r="B102" s="1029" t="str">
        <f t="shared" ca="1" si="10"/>
        <v/>
      </c>
      <c r="C102" s="1029" t="str">
        <f t="shared" ca="1" si="5"/>
        <v/>
      </c>
      <c r="D102" s="1029" t="s">
        <v>1456</v>
      </c>
      <c r="E102" s="1111" t="s">
        <v>917</v>
      </c>
      <c r="F102" s="1347"/>
      <c r="G102" s="1347"/>
      <c r="H102" s="1347"/>
      <c r="I102" s="1347"/>
      <c r="J102" s="1347"/>
      <c r="K102" s="1347"/>
      <c r="L102" s="1088" t="s">
        <v>1734</v>
      </c>
      <c r="M102" s="1347"/>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47"/>
      <c r="G103" s="1347"/>
      <c r="H103" s="1347"/>
      <c r="I103" s="1347"/>
      <c r="J103" s="1347"/>
      <c r="K103" s="1347"/>
      <c r="L103" s="1029" t="s">
        <v>1274</v>
      </c>
      <c r="M103" s="1347">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47"/>
      <c r="G104" s="1347"/>
      <c r="H104" s="1347"/>
      <c r="I104" s="1347"/>
      <c r="J104" s="1347"/>
      <c r="K104" s="1347"/>
      <c r="L104" s="52" t="s">
        <v>1356</v>
      </c>
      <c r="M104" s="1347">
        <v>163</v>
      </c>
      <c r="N104" s="1347"/>
      <c r="O104" s="1346"/>
    </row>
    <row r="105" spans="1:15" ht="30" x14ac:dyDescent="0.25">
      <c r="A105" s="1104" t="s">
        <v>1357</v>
      </c>
      <c r="B105" s="1029" t="str">
        <f t="shared" ca="1" si="11"/>
        <v>J12</v>
      </c>
      <c r="C105" s="1029" t="str">
        <f t="shared" ca="1" si="5"/>
        <v>J</v>
      </c>
      <c r="D105" s="1029" t="s">
        <v>1456</v>
      </c>
      <c r="E105" s="1111" t="s">
        <v>917</v>
      </c>
      <c r="F105" s="1347"/>
      <c r="G105" s="1347"/>
      <c r="H105" s="1347"/>
      <c r="I105" s="1347"/>
      <c r="J105" s="1347"/>
      <c r="K105" s="1347"/>
      <c r="L105" s="1029" t="s">
        <v>1357</v>
      </c>
      <c r="M105" s="1347">
        <v>164</v>
      </c>
      <c r="N105" s="1347"/>
      <c r="O105" s="1346"/>
    </row>
    <row r="106" spans="1:15" x14ac:dyDescent="0.25">
      <c r="A106" s="1104" t="s">
        <v>1277</v>
      </c>
      <c r="B106" s="1029" t="str">
        <f ca="1">_xlfn.IFNA(_xlfn.CONCAT(IF('Customer Inputs'!$U$12="Existing",SUBSTITUTE(ADDRESS(1,MATCH(O106,INDIRECT("'"&amp;E106&amp;"'"&amp;"!A5:Z5"),0),4),1,""),SUBSTITUTE(ADDRESS(1,MATCH(A106,INDIRECT("'"&amp;E106&amp;"'"&amp;"!A5:Z5"),0),4),1,"")),12),"")</f>
        <v>P12</v>
      </c>
      <c r="C106" s="1029" t="str">
        <f ca="1">_xlfn.IFNA(IF('Customer Inputs'!$U$12="Existing",SUBSTITUTE(ADDRESS(1,MATCH(O106,INDIRECT("'"&amp;E106&amp;"'"&amp;"!A5:Z5"),0),4),1,""),SUBSTITUTE(ADDRESS(1,MATCH(A106,INDIRECT("'"&amp;E106&amp;"'"&amp;"!A5:Z5"),0),4),1,"")),"")</f>
        <v>P</v>
      </c>
      <c r="D106" s="1029" t="s">
        <v>1456</v>
      </c>
      <c r="E106" s="1111" t="s">
        <v>917</v>
      </c>
      <c r="F106" s="1347"/>
      <c r="G106" s="1347"/>
      <c r="H106" s="1347"/>
      <c r="I106" s="1347"/>
      <c r="J106" s="1347"/>
      <c r="K106" s="1347"/>
      <c r="L106" s="1029" t="s">
        <v>1277</v>
      </c>
      <c r="M106" s="1347">
        <v>165</v>
      </c>
      <c r="N106" s="1347"/>
      <c r="O106" s="1346" t="s">
        <v>915</v>
      </c>
    </row>
    <row r="107" spans="1:15" x14ac:dyDescent="0.25">
      <c r="A107" s="1107" t="s">
        <v>1278</v>
      </c>
      <c r="B107" s="1029" t="str">
        <f ca="1">_xlfn.IFNA(_xlfn.CONCAT(IF('Customer Inputs'!$U$12="Existing",SUBSTITUTE(ADDRESS(1,MATCH(O107,INDIRECT("'"&amp;E107&amp;"'"&amp;"!A5:Z5"),0),4),1,""),SUBSTITUTE(ADDRESS(1,MATCH(A107,INDIRECT("'"&amp;E107&amp;"'"&amp;"!A5:Z5"),0),4),1,"")),12),"")</f>
        <v>Q12</v>
      </c>
      <c r="C107" s="1029" t="str">
        <f ca="1">_xlfn.IFNA(IF('Customer Inputs'!$U$12="Existing",SUBSTITUTE(ADDRESS(1,MATCH(O107,INDIRECT("'"&amp;E107&amp;"'"&amp;"!A5:Z5"),0),4),1,""),SUBSTITUTE(ADDRESS(1,MATCH(A107,INDIRECT("'"&amp;E107&amp;"'"&amp;"!A5:Z5"),0),4),1,"")),"")</f>
        <v>Q</v>
      </c>
      <c r="D107" s="1029" t="s">
        <v>1456</v>
      </c>
      <c r="E107" s="1111" t="s">
        <v>917</v>
      </c>
      <c r="F107" s="1347"/>
      <c r="G107" s="1347"/>
      <c r="H107" s="1347"/>
      <c r="I107" s="1347"/>
      <c r="J107" s="1347"/>
      <c r="K107" s="1347"/>
      <c r="L107" s="1088" t="s">
        <v>1278</v>
      </c>
      <c r="M107" s="1347">
        <v>166</v>
      </c>
      <c r="N107" s="1347"/>
      <c r="O107" s="1346" t="s">
        <v>1275</v>
      </c>
    </row>
    <row r="108" spans="1:15" x14ac:dyDescent="0.25">
      <c r="A108" s="1107" t="s">
        <v>1279</v>
      </c>
      <c r="B108" s="1029" t="str">
        <f ca="1">_xlfn.IFNA(_xlfn.CONCAT(IF('Customer Inputs'!$U$12="Existing",SUBSTITUTE(ADDRESS(1,MATCH(O108,INDIRECT("'"&amp;E108&amp;"'"&amp;"!A5:Z5"),0),4),1,""),SUBSTITUTE(ADDRESS(1,MATCH(A108,INDIRECT("'"&amp;E108&amp;"'"&amp;"!A5:Z5"),0),4),1,"")),12),"")</f>
        <v>R12</v>
      </c>
      <c r="C108" s="1029" t="str">
        <f ca="1">_xlfn.IFNA(IF('Customer Inputs'!$U$12="Existing",SUBSTITUTE(ADDRESS(1,MATCH(O108,INDIRECT("'"&amp;E108&amp;"'"&amp;"!A5:Z5"),0),4),1,""),SUBSTITUTE(ADDRESS(1,MATCH(A108,INDIRECT("'"&amp;E108&amp;"'"&amp;"!A5:Z5"),0),4),1,"")),"")</f>
        <v>R</v>
      </c>
      <c r="D108" s="1029" t="s">
        <v>1456</v>
      </c>
      <c r="E108" s="1111" t="s">
        <v>917</v>
      </c>
      <c r="F108" s="1347"/>
      <c r="G108" s="1347"/>
      <c r="H108" s="1347"/>
      <c r="I108" s="1347"/>
      <c r="J108" s="1347"/>
      <c r="K108" s="1347"/>
      <c r="L108" s="1088" t="s">
        <v>1279</v>
      </c>
      <c r="M108" s="1347">
        <v>167</v>
      </c>
      <c r="N108" s="1347"/>
      <c r="O108" s="1346" t="s">
        <v>1282</v>
      </c>
    </row>
    <row r="109" spans="1:15" x14ac:dyDescent="0.25">
      <c r="A109" s="1107" t="s">
        <v>1280</v>
      </c>
      <c r="B109" s="1029" t="str">
        <f ca="1">_xlfn.IFNA(_xlfn.CONCAT(IF('Customer Inputs'!$U$12="Existing",SUBSTITUTE(ADDRESS(1,MATCH(O109,INDIRECT("'"&amp;E109&amp;"'"&amp;"!A5:Z5"),0),4),1,""),SUBSTITUTE(ADDRESS(1,MATCH(A109,INDIRECT("'"&amp;E109&amp;"'"&amp;"!A5:Z5"),0),4),1,"")),12),"")</f>
        <v>T12</v>
      </c>
      <c r="C109" s="1029" t="str">
        <f ca="1">_xlfn.IFNA(IF('Customer Inputs'!$U$12="Existing",SUBSTITUTE(ADDRESS(1,MATCH(O109,INDIRECT("'"&amp;E109&amp;"'"&amp;"!A5:Z5"),0),4),1,""),SUBSTITUTE(ADDRESS(1,MATCH(A109,INDIRECT("'"&amp;E109&amp;"'"&amp;"!A5:Z5"),0),4),1,"")),"")</f>
        <v>T</v>
      </c>
      <c r="D109" s="1029" t="s">
        <v>1456</v>
      </c>
      <c r="E109" s="1111" t="s">
        <v>917</v>
      </c>
      <c r="F109" s="1347"/>
      <c r="G109" s="1347"/>
      <c r="H109" s="1347"/>
      <c r="I109" s="1347"/>
      <c r="J109" s="1347"/>
      <c r="K109" s="1347"/>
      <c r="L109" s="1088" t="s">
        <v>1280</v>
      </c>
      <c r="M109" s="1347">
        <v>168</v>
      </c>
      <c r="N109" s="1347"/>
      <c r="O109" s="1346" t="s">
        <v>1276</v>
      </c>
    </row>
    <row r="110" spans="1:15" x14ac:dyDescent="0.25">
      <c r="A110" s="1107" t="s">
        <v>1281</v>
      </c>
      <c r="B110" s="1029" t="str">
        <f t="shared" ca="1" si="11"/>
        <v>U12</v>
      </c>
      <c r="C110" s="1029" t="str">
        <f t="shared" ca="1" si="5"/>
        <v>U</v>
      </c>
      <c r="D110" s="1029" t="s">
        <v>1456</v>
      </c>
      <c r="E110" s="1111" t="s">
        <v>917</v>
      </c>
      <c r="F110" s="1347"/>
      <c r="G110" s="1347"/>
      <c r="H110" s="1347"/>
      <c r="I110" s="1347"/>
      <c r="J110" s="1347"/>
      <c r="K110" s="1347"/>
      <c r="L110" s="1088" t="s">
        <v>1281</v>
      </c>
      <c r="M110" s="1347">
        <v>169</v>
      </c>
      <c r="N110" s="1347"/>
      <c r="O110" s="1346"/>
    </row>
    <row r="111" spans="1:15" x14ac:dyDescent="0.25">
      <c r="A111" s="1107" t="s">
        <v>1438</v>
      </c>
      <c r="B111" s="1029" t="str">
        <f t="shared" ca="1" si="11"/>
        <v>V12</v>
      </c>
      <c r="C111" s="1029" t="str">
        <f t="shared" ca="1" si="5"/>
        <v>V</v>
      </c>
      <c r="D111" s="1029" t="s">
        <v>1456</v>
      </c>
      <c r="E111" s="1111" t="s">
        <v>917</v>
      </c>
      <c r="F111" s="1347"/>
      <c r="G111" s="1347"/>
      <c r="H111" s="1347"/>
      <c r="I111" s="1347"/>
      <c r="J111" s="1347"/>
      <c r="K111" s="1347"/>
      <c r="L111" s="1088" t="s">
        <v>1529</v>
      </c>
      <c r="M111" s="1347">
        <v>170</v>
      </c>
      <c r="N111" s="1347"/>
      <c r="O111" s="1346"/>
    </row>
    <row r="112" spans="1:15" x14ac:dyDescent="0.25">
      <c r="A112" s="1107" t="s">
        <v>1734</v>
      </c>
      <c r="B112" s="1029" t="str">
        <f t="shared" ca="1" si="11"/>
        <v/>
      </c>
      <c r="C112" s="1029" t="str">
        <f t="shared" ca="1" si="5"/>
        <v/>
      </c>
      <c r="D112" s="1029" t="s">
        <v>1456</v>
      </c>
      <c r="E112" s="1111" t="s">
        <v>917</v>
      </c>
      <c r="F112" s="1347"/>
      <c r="G112" s="1347"/>
      <c r="H112" s="1347"/>
      <c r="I112" s="1347"/>
      <c r="J112" s="1347"/>
      <c r="K112" s="1347"/>
      <c r="L112" s="1088" t="s">
        <v>1734</v>
      </c>
      <c r="M112" s="1347"/>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47"/>
      <c r="G113" s="1347"/>
      <c r="H113" s="1347"/>
      <c r="I113" s="1347"/>
      <c r="J113" s="1347"/>
      <c r="K113" s="1347"/>
      <c r="L113" s="1029" t="s">
        <v>1274</v>
      </c>
      <c r="M113" s="1347">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47"/>
      <c r="G114" s="1347"/>
      <c r="H114" s="1347"/>
      <c r="I114" s="1347"/>
      <c r="J114" s="1347"/>
      <c r="K114" s="1347"/>
      <c r="L114" s="52" t="s">
        <v>1356</v>
      </c>
      <c r="M114" s="1347">
        <v>184</v>
      </c>
      <c r="N114" s="1347"/>
      <c r="O114" s="1346"/>
    </row>
    <row r="115" spans="1:15" ht="30" x14ac:dyDescent="0.25">
      <c r="A115" s="1108" t="s">
        <v>1357</v>
      </c>
      <c r="B115" s="1029" t="str">
        <f t="shared" ca="1" si="12"/>
        <v>J13</v>
      </c>
      <c r="C115" s="1029" t="str">
        <f t="shared" ca="1" si="5"/>
        <v>J</v>
      </c>
      <c r="D115" s="1029" t="s">
        <v>1456</v>
      </c>
      <c r="E115" s="1111" t="s">
        <v>917</v>
      </c>
      <c r="F115" s="1347"/>
      <c r="G115" s="1347"/>
      <c r="H115" s="1347"/>
      <c r="I115" s="1347"/>
      <c r="J115" s="1347"/>
      <c r="K115" s="1347"/>
      <c r="L115" s="1029" t="s">
        <v>1357</v>
      </c>
      <c r="M115" s="1347">
        <v>185</v>
      </c>
      <c r="N115" s="1347"/>
      <c r="O115" s="1346"/>
    </row>
    <row r="116" spans="1:15" x14ac:dyDescent="0.25">
      <c r="A116" s="1108" t="s">
        <v>1277</v>
      </c>
      <c r="B116" s="1029" t="str">
        <f ca="1">_xlfn.IFNA(_xlfn.CONCAT(IF('Customer Inputs'!$U$13="Existing",SUBSTITUTE(ADDRESS(1,MATCH(O116,INDIRECT("'"&amp;E116&amp;"'"&amp;"!A5:Z5"),0),4),1,""),SUBSTITUTE(ADDRESS(1,MATCH(A116,INDIRECT("'"&amp;E116&amp;"'"&amp;"!A5:Z5"),0),4),1,"")),13),"")</f>
        <v>P13</v>
      </c>
      <c r="C116" s="1029" t="str">
        <f ca="1">_xlfn.IFNA(IF('Customer Inputs'!$U$13="Existing",SUBSTITUTE(ADDRESS(1,MATCH(O116,INDIRECT("'"&amp;E116&amp;"'"&amp;"!A5:Z5"),0),4),1,""),SUBSTITUTE(ADDRESS(1,MATCH(A116,INDIRECT("'"&amp;E116&amp;"'"&amp;"!A5:Z5"),0),4),1,"")),"")</f>
        <v>P</v>
      </c>
      <c r="D116" s="1029" t="s">
        <v>1456</v>
      </c>
      <c r="E116" s="1111" t="s">
        <v>917</v>
      </c>
      <c r="F116" s="1347"/>
      <c r="G116" s="1347"/>
      <c r="H116" s="1347"/>
      <c r="I116" s="1347"/>
      <c r="J116" s="1347"/>
      <c r="K116" s="1347"/>
      <c r="L116" s="1029" t="s">
        <v>1277</v>
      </c>
      <c r="M116" s="1347">
        <v>186</v>
      </c>
      <c r="N116" s="1347"/>
      <c r="O116" s="1346" t="s">
        <v>915</v>
      </c>
    </row>
    <row r="117" spans="1:15" x14ac:dyDescent="0.25">
      <c r="A117" s="1110" t="s">
        <v>1278</v>
      </c>
      <c r="B117" s="1029" t="str">
        <f ca="1">_xlfn.IFNA(_xlfn.CONCAT(IF('Customer Inputs'!$U$13="Existing",SUBSTITUTE(ADDRESS(1,MATCH(O117,INDIRECT("'"&amp;E117&amp;"'"&amp;"!A5:Z5"),0),4),1,""),SUBSTITUTE(ADDRESS(1,MATCH(A117,INDIRECT("'"&amp;E117&amp;"'"&amp;"!A5:Z5"),0),4),1,"")),13),"")</f>
        <v>Q13</v>
      </c>
      <c r="C117" s="1029" t="str">
        <f ca="1">_xlfn.IFNA(IF('Customer Inputs'!$U$13="Existing",SUBSTITUTE(ADDRESS(1,MATCH(O117,INDIRECT("'"&amp;E117&amp;"'"&amp;"!A5:Z5"),0),4),1,""),SUBSTITUTE(ADDRESS(1,MATCH(A117,INDIRECT("'"&amp;E117&amp;"'"&amp;"!A5:Z5"),0),4),1,"")),"")</f>
        <v>Q</v>
      </c>
      <c r="D117" s="1029" t="s">
        <v>1456</v>
      </c>
      <c r="E117" s="1111" t="s">
        <v>917</v>
      </c>
      <c r="F117" s="1347"/>
      <c r="G117" s="1347"/>
      <c r="H117" s="1347"/>
      <c r="I117" s="1347"/>
      <c r="J117" s="1347"/>
      <c r="K117" s="1347"/>
      <c r="L117" s="1088" t="s">
        <v>1278</v>
      </c>
      <c r="M117" s="1347">
        <v>187</v>
      </c>
      <c r="N117" s="1347"/>
      <c r="O117" s="1346" t="s">
        <v>1275</v>
      </c>
    </row>
    <row r="118" spans="1:15" x14ac:dyDescent="0.25">
      <c r="A118" s="1110" t="s">
        <v>1279</v>
      </c>
      <c r="B118" s="1029" t="str">
        <f ca="1">_xlfn.IFNA(_xlfn.CONCAT(IF('Customer Inputs'!$U$13="Existing",SUBSTITUTE(ADDRESS(1,MATCH(O118,INDIRECT("'"&amp;E118&amp;"'"&amp;"!A5:Z5"),0),4),1,""),SUBSTITUTE(ADDRESS(1,MATCH(A118,INDIRECT("'"&amp;E118&amp;"'"&amp;"!A5:Z5"),0),4),1,"")),13),"")</f>
        <v>R13</v>
      </c>
      <c r="C118" s="1029" t="str">
        <f ca="1">_xlfn.IFNA(IF('Customer Inputs'!$U$13="Existing",SUBSTITUTE(ADDRESS(1,MATCH(O118,INDIRECT("'"&amp;E118&amp;"'"&amp;"!A5:Z5"),0),4),1,""),SUBSTITUTE(ADDRESS(1,MATCH(A118,INDIRECT("'"&amp;E118&amp;"'"&amp;"!A5:Z5"),0),4),1,"")),"")</f>
        <v>R</v>
      </c>
      <c r="D118" s="1029" t="s">
        <v>1456</v>
      </c>
      <c r="E118" s="1111" t="s">
        <v>917</v>
      </c>
      <c r="F118" s="1347"/>
      <c r="G118" s="1347"/>
      <c r="H118" s="1347"/>
      <c r="I118" s="1347"/>
      <c r="J118" s="1347"/>
      <c r="K118" s="1347"/>
      <c r="L118" s="1088" t="s">
        <v>1279</v>
      </c>
      <c r="M118" s="1347">
        <v>188</v>
      </c>
      <c r="N118" s="1347"/>
      <c r="O118" s="1346" t="s">
        <v>1282</v>
      </c>
    </row>
    <row r="119" spans="1:15" x14ac:dyDescent="0.25">
      <c r="A119" s="1110" t="s">
        <v>1280</v>
      </c>
      <c r="B119" s="1029" t="str">
        <f ca="1">_xlfn.IFNA(_xlfn.CONCAT(IF('Customer Inputs'!$U$13="Existing",SUBSTITUTE(ADDRESS(1,MATCH(O119,INDIRECT("'"&amp;E119&amp;"'"&amp;"!A5:Z5"),0),4),1,""),SUBSTITUTE(ADDRESS(1,MATCH(A119,INDIRECT("'"&amp;E119&amp;"'"&amp;"!A5:Z5"),0),4),1,"")),13),"")</f>
        <v>T13</v>
      </c>
      <c r="C119" s="1029" t="str">
        <f ca="1">_xlfn.IFNA(IF('Customer Inputs'!$U$13="Existing",SUBSTITUTE(ADDRESS(1,MATCH(O119,INDIRECT("'"&amp;E119&amp;"'"&amp;"!A5:Z5"),0),4),1,""),SUBSTITUTE(ADDRESS(1,MATCH(A119,INDIRECT("'"&amp;E119&amp;"'"&amp;"!A5:Z5"),0),4),1,"")),"")</f>
        <v>T</v>
      </c>
      <c r="D119" s="1029" t="s">
        <v>1456</v>
      </c>
      <c r="E119" s="1111" t="s">
        <v>917</v>
      </c>
      <c r="F119" s="1347"/>
      <c r="G119" s="1347"/>
      <c r="H119" s="1347"/>
      <c r="I119" s="1347"/>
      <c r="J119" s="1347"/>
      <c r="K119" s="1347"/>
      <c r="L119" s="1088" t="s">
        <v>1280</v>
      </c>
      <c r="M119" s="1347">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47"/>
      <c r="G120" s="1347"/>
      <c r="H120" s="1347"/>
      <c r="I120" s="1347"/>
      <c r="J120" s="1347"/>
      <c r="K120" s="1347"/>
      <c r="L120" s="1088" t="s">
        <v>1281</v>
      </c>
      <c r="M120" s="1347">
        <v>190</v>
      </c>
      <c r="N120" s="1347"/>
      <c r="O120" s="1346"/>
    </row>
    <row r="121" spans="1:15" x14ac:dyDescent="0.25">
      <c r="A121" s="1110" t="s">
        <v>1438</v>
      </c>
      <c r="B121" s="1029" t="str">
        <f t="shared" ca="1" si="12"/>
        <v>V13</v>
      </c>
      <c r="C121" s="1029" t="str">
        <f t="shared" ca="1" si="13"/>
        <v>V</v>
      </c>
      <c r="D121" s="1029" t="s">
        <v>1456</v>
      </c>
      <c r="E121" s="1111" t="s">
        <v>917</v>
      </c>
      <c r="F121" s="1347"/>
      <c r="G121" s="1347"/>
      <c r="H121" s="1347"/>
      <c r="I121" s="1347"/>
      <c r="J121" s="1347"/>
      <c r="K121" s="1347"/>
      <c r="L121" s="1088" t="s">
        <v>1529</v>
      </c>
      <c r="M121" s="1347">
        <v>191</v>
      </c>
      <c r="N121" s="1347"/>
      <c r="O121" s="1346"/>
    </row>
    <row r="122" spans="1:15" x14ac:dyDescent="0.25">
      <c r="A122" s="1110" t="s">
        <v>1734</v>
      </c>
      <c r="B122" s="1029" t="str">
        <f t="shared" ca="1" si="12"/>
        <v/>
      </c>
      <c r="C122" s="1029" t="str">
        <f t="shared" ca="1" si="13"/>
        <v/>
      </c>
      <c r="D122" s="1029" t="s">
        <v>1456</v>
      </c>
      <c r="E122" s="1111" t="s">
        <v>917</v>
      </c>
      <c r="F122" s="1347"/>
      <c r="G122" s="1347"/>
      <c r="H122" s="1347"/>
      <c r="I122" s="1347"/>
      <c r="J122" s="1347"/>
      <c r="K122" s="1347"/>
      <c r="L122" s="1088" t="s">
        <v>1734</v>
      </c>
      <c r="M122" s="1347"/>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47"/>
      <c r="G123" s="1347"/>
      <c r="H123" s="1347"/>
      <c r="I123" s="1347"/>
      <c r="J123" s="1347"/>
      <c r="K123" s="1347"/>
      <c r="L123" s="1029" t="s">
        <v>1274</v>
      </c>
      <c r="M123" s="1347">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47"/>
      <c r="G124" s="1347"/>
      <c r="H124" s="1347"/>
      <c r="I124" s="1347"/>
      <c r="J124" s="1347"/>
      <c r="K124" s="1347"/>
      <c r="L124" s="52" t="s">
        <v>1356</v>
      </c>
      <c r="M124" s="1347">
        <v>205</v>
      </c>
      <c r="N124" s="1347"/>
      <c r="O124" s="1346"/>
    </row>
    <row r="125" spans="1:15" ht="30" x14ac:dyDescent="0.25">
      <c r="A125" s="1104" t="s">
        <v>1357</v>
      </c>
      <c r="B125" s="1029" t="str">
        <f t="shared" ca="1" si="14"/>
        <v>J14</v>
      </c>
      <c r="C125" s="1029" t="str">
        <f t="shared" ca="1" si="13"/>
        <v>J</v>
      </c>
      <c r="D125" s="1029" t="s">
        <v>1456</v>
      </c>
      <c r="E125" s="1111" t="s">
        <v>917</v>
      </c>
      <c r="F125" s="1347"/>
      <c r="G125" s="1347"/>
      <c r="H125" s="1347"/>
      <c r="I125" s="1347"/>
      <c r="J125" s="1347"/>
      <c r="K125" s="1347"/>
      <c r="L125" s="1029" t="s">
        <v>1357</v>
      </c>
      <c r="M125" s="1347">
        <v>206</v>
      </c>
      <c r="N125" s="1347"/>
      <c r="O125" s="1346"/>
    </row>
    <row r="126" spans="1:15" x14ac:dyDescent="0.25">
      <c r="A126" s="1104" t="s">
        <v>1277</v>
      </c>
      <c r="B126" s="1029" t="str">
        <f ca="1">_xlfn.IFNA(_xlfn.CONCAT(IF('Customer Inputs'!$U$14="Existing",SUBSTITUTE(ADDRESS(1,MATCH(O126,INDIRECT("'"&amp;E126&amp;"'"&amp;"!A5:Z5"),0),4),1,""),SUBSTITUTE(ADDRESS(1,MATCH(A126,INDIRECT("'"&amp;E126&amp;"'"&amp;"!A5:Z5"),0),4),1,"")),14),"")</f>
        <v>P14</v>
      </c>
      <c r="C126" s="1029" t="str">
        <f ca="1">_xlfn.IFNA(IF('Customer Inputs'!$U$14="Existing",SUBSTITUTE(ADDRESS(1,MATCH(O126,INDIRECT("'"&amp;E126&amp;"'"&amp;"!A5:Z5"),0),4),1,""),SUBSTITUTE(ADDRESS(1,MATCH(A126,INDIRECT("'"&amp;E126&amp;"'"&amp;"!A5:Z5"),0),4),1,"")),"")</f>
        <v>P</v>
      </c>
      <c r="D126" s="1029" t="s">
        <v>1456</v>
      </c>
      <c r="E126" s="1111" t="s">
        <v>917</v>
      </c>
      <c r="F126" s="1347"/>
      <c r="G126" s="1347"/>
      <c r="H126" s="1347"/>
      <c r="I126" s="1347"/>
      <c r="J126" s="1347"/>
      <c r="K126" s="1347"/>
      <c r="L126" s="1029" t="s">
        <v>1277</v>
      </c>
      <c r="M126" s="1347">
        <v>207</v>
      </c>
      <c r="N126" s="1347"/>
      <c r="O126" s="1346" t="s">
        <v>915</v>
      </c>
    </row>
    <row r="127" spans="1:15" x14ac:dyDescent="0.25">
      <c r="A127" s="1107" t="s">
        <v>1278</v>
      </c>
      <c r="B127" s="1029" t="str">
        <f ca="1">_xlfn.IFNA(_xlfn.CONCAT(IF('Customer Inputs'!$U$14="Existing",SUBSTITUTE(ADDRESS(1,MATCH(O127,INDIRECT("'"&amp;E127&amp;"'"&amp;"!A5:Z5"),0),4),1,""),SUBSTITUTE(ADDRESS(1,MATCH(A127,INDIRECT("'"&amp;E127&amp;"'"&amp;"!A5:Z5"),0),4),1,"")),14),"")</f>
        <v>Q14</v>
      </c>
      <c r="C127" s="1029" t="str">
        <f ca="1">_xlfn.IFNA(IF('Customer Inputs'!$U$14="Existing",SUBSTITUTE(ADDRESS(1,MATCH(O127,INDIRECT("'"&amp;E127&amp;"'"&amp;"!A5:Z5"),0),4),1,""),SUBSTITUTE(ADDRESS(1,MATCH(A127,INDIRECT("'"&amp;E127&amp;"'"&amp;"!A5:Z5"),0),4),1,"")),"")</f>
        <v>Q</v>
      </c>
      <c r="D127" s="1029" t="s">
        <v>1456</v>
      </c>
      <c r="E127" s="1111" t="s">
        <v>917</v>
      </c>
      <c r="F127" s="1347"/>
      <c r="G127" s="1347"/>
      <c r="H127" s="1347"/>
      <c r="I127" s="1347"/>
      <c r="J127" s="1347"/>
      <c r="K127" s="1347"/>
      <c r="L127" s="1088" t="s">
        <v>1278</v>
      </c>
      <c r="M127" s="1347">
        <v>208</v>
      </c>
      <c r="N127" s="1347"/>
      <c r="O127" s="1346" t="s">
        <v>1275</v>
      </c>
    </row>
    <row r="128" spans="1:15" x14ac:dyDescent="0.25">
      <c r="A128" s="1107" t="s">
        <v>1279</v>
      </c>
      <c r="B128" s="1029" t="str">
        <f ca="1">_xlfn.IFNA(_xlfn.CONCAT(IF('Customer Inputs'!$U$14="Existing",SUBSTITUTE(ADDRESS(1,MATCH(O128,INDIRECT("'"&amp;E128&amp;"'"&amp;"!A5:Z5"),0),4),1,""),SUBSTITUTE(ADDRESS(1,MATCH(A128,INDIRECT("'"&amp;E128&amp;"'"&amp;"!A5:Z5"),0),4),1,"")),14),"")</f>
        <v>R14</v>
      </c>
      <c r="C128" s="1029" t="str">
        <f ca="1">_xlfn.IFNA(IF('Customer Inputs'!$U$14="Existing",SUBSTITUTE(ADDRESS(1,MATCH(O128,INDIRECT("'"&amp;E128&amp;"'"&amp;"!A5:Z5"),0),4),1,""),SUBSTITUTE(ADDRESS(1,MATCH(A128,INDIRECT("'"&amp;E128&amp;"'"&amp;"!A5:Z5"),0),4),1,"")),"")</f>
        <v>R</v>
      </c>
      <c r="D128" s="1029" t="s">
        <v>1456</v>
      </c>
      <c r="E128" s="1111" t="s">
        <v>917</v>
      </c>
      <c r="F128" s="1347"/>
      <c r="G128" s="1347"/>
      <c r="H128" s="1347"/>
      <c r="I128" s="1347"/>
      <c r="J128" s="1347"/>
      <c r="K128" s="1347"/>
      <c r="L128" s="1088" t="s">
        <v>1279</v>
      </c>
      <c r="M128" s="1347">
        <v>209</v>
      </c>
      <c r="N128" s="1347"/>
      <c r="O128" s="1346" t="s">
        <v>1282</v>
      </c>
    </row>
    <row r="129" spans="1:15" x14ac:dyDescent="0.25">
      <c r="A129" s="1107" t="s">
        <v>1280</v>
      </c>
      <c r="B129" s="1029" t="str">
        <f ca="1">_xlfn.IFNA(_xlfn.CONCAT(IF('Customer Inputs'!$U$14="Existing",SUBSTITUTE(ADDRESS(1,MATCH(O129,INDIRECT("'"&amp;E129&amp;"'"&amp;"!A5:Z5"),0),4),1,""),SUBSTITUTE(ADDRESS(1,MATCH(A129,INDIRECT("'"&amp;E129&amp;"'"&amp;"!A5:Z5"),0),4),1,"")),14),"")</f>
        <v>T14</v>
      </c>
      <c r="C129" s="1029" t="str">
        <f ca="1">_xlfn.IFNA(IF('Customer Inputs'!$U$14="Existing",SUBSTITUTE(ADDRESS(1,MATCH(O129,INDIRECT("'"&amp;E129&amp;"'"&amp;"!A5:Z5"),0),4),1,""),SUBSTITUTE(ADDRESS(1,MATCH(A129,INDIRECT("'"&amp;E129&amp;"'"&amp;"!A5:Z5"),0),4),1,"")),"")</f>
        <v>T</v>
      </c>
      <c r="D129" s="1029" t="s">
        <v>1456</v>
      </c>
      <c r="E129" s="1111" t="s">
        <v>917</v>
      </c>
      <c r="F129" s="1347"/>
      <c r="G129" s="1347"/>
      <c r="H129" s="1347"/>
      <c r="I129" s="1347"/>
      <c r="J129" s="1347"/>
      <c r="K129" s="1347"/>
      <c r="L129" s="1088" t="s">
        <v>1280</v>
      </c>
      <c r="M129" s="1347">
        <v>210</v>
      </c>
      <c r="N129" s="1347"/>
      <c r="O129" s="1346" t="s">
        <v>1276</v>
      </c>
    </row>
    <row r="130" spans="1:15" x14ac:dyDescent="0.25">
      <c r="A130" s="1107" t="s">
        <v>1281</v>
      </c>
      <c r="B130" s="1029" t="str">
        <f t="shared" ca="1" si="14"/>
        <v>U14</v>
      </c>
      <c r="C130" s="1029" t="str">
        <f t="shared" ca="1" si="13"/>
        <v>U</v>
      </c>
      <c r="D130" s="1029" t="s">
        <v>1456</v>
      </c>
      <c r="E130" s="1111" t="s">
        <v>917</v>
      </c>
      <c r="F130" s="1347"/>
      <c r="G130" s="1347"/>
      <c r="H130" s="1347"/>
      <c r="I130" s="1347"/>
      <c r="J130" s="1347"/>
      <c r="K130" s="1347"/>
      <c r="L130" s="1088" t="s">
        <v>1281</v>
      </c>
      <c r="M130" s="1347">
        <v>211</v>
      </c>
      <c r="N130" s="1347"/>
      <c r="O130" s="1346"/>
    </row>
    <row r="131" spans="1:15" x14ac:dyDescent="0.25">
      <c r="A131" s="1107" t="s">
        <v>1438</v>
      </c>
      <c r="B131" s="1029" t="str">
        <f t="shared" ca="1" si="14"/>
        <v>V14</v>
      </c>
      <c r="C131" s="1029" t="str">
        <f t="shared" ca="1" si="13"/>
        <v>V</v>
      </c>
      <c r="D131" s="1029" t="s">
        <v>1456</v>
      </c>
      <c r="E131" s="1111" t="s">
        <v>917</v>
      </c>
      <c r="F131" s="1347"/>
      <c r="G131" s="1347"/>
      <c r="H131" s="1347"/>
      <c r="I131" s="1347"/>
      <c r="J131" s="1347"/>
      <c r="K131" s="1347"/>
      <c r="L131" s="1088" t="s">
        <v>1529</v>
      </c>
      <c r="M131" s="1347">
        <v>212</v>
      </c>
      <c r="N131" s="1347"/>
      <c r="O131" s="1346"/>
    </row>
    <row r="132" spans="1:15" x14ac:dyDescent="0.25">
      <c r="A132" s="1107" t="s">
        <v>1734</v>
      </c>
      <c r="B132" s="1029" t="str">
        <f t="shared" ca="1" si="14"/>
        <v/>
      </c>
      <c r="C132" s="1029" t="str">
        <f t="shared" ca="1" si="13"/>
        <v/>
      </c>
      <c r="D132" s="1029" t="s">
        <v>1456</v>
      </c>
      <c r="E132" s="1111" t="s">
        <v>917</v>
      </c>
      <c r="F132" s="1347"/>
      <c r="G132" s="1347"/>
      <c r="H132" s="1347"/>
      <c r="I132" s="1347"/>
      <c r="J132" s="1347"/>
      <c r="K132" s="1347"/>
      <c r="L132" s="1088" t="s">
        <v>1734</v>
      </c>
      <c r="M132" s="1347"/>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47"/>
      <c r="G133" s="1347"/>
      <c r="H133" s="1347"/>
      <c r="I133" s="1347"/>
      <c r="J133" s="1347"/>
      <c r="K133" s="1347"/>
      <c r="L133" s="1029" t="s">
        <v>1274</v>
      </c>
      <c r="M133" s="1347">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47"/>
      <c r="G134" s="1347"/>
      <c r="H134" s="1347"/>
      <c r="I134" s="1347"/>
      <c r="J134" s="1347"/>
      <c r="K134" s="1347"/>
      <c r="L134" s="52" t="s">
        <v>1356</v>
      </c>
      <c r="M134" s="1347">
        <v>226</v>
      </c>
      <c r="N134" s="1347"/>
      <c r="O134" s="1346"/>
    </row>
    <row r="135" spans="1:15" ht="30" x14ac:dyDescent="0.25">
      <c r="A135" s="1108" t="s">
        <v>1357</v>
      </c>
      <c r="B135" s="1029" t="str">
        <f t="shared" ca="1" si="15"/>
        <v>J15</v>
      </c>
      <c r="C135" s="1029" t="str">
        <f t="shared" ca="1" si="13"/>
        <v>J</v>
      </c>
      <c r="D135" s="1029" t="s">
        <v>1456</v>
      </c>
      <c r="E135" s="1111" t="s">
        <v>917</v>
      </c>
      <c r="F135" s="1347"/>
      <c r="G135" s="1347"/>
      <c r="H135" s="1347"/>
      <c r="I135" s="1347"/>
      <c r="J135" s="1347"/>
      <c r="K135" s="1347"/>
      <c r="L135" s="1029" t="s">
        <v>1357</v>
      </c>
      <c r="M135" s="1347">
        <v>227</v>
      </c>
      <c r="N135" s="1347"/>
      <c r="O135" s="1346"/>
    </row>
    <row r="136" spans="1:15" x14ac:dyDescent="0.25">
      <c r="A136" s="1108" t="s">
        <v>1277</v>
      </c>
      <c r="B136" s="1029" t="str">
        <f ca="1">_xlfn.IFNA(_xlfn.CONCAT(IF('Customer Inputs'!$U$15="Existing",SUBSTITUTE(ADDRESS(1,MATCH(O136,INDIRECT("'"&amp;E136&amp;"'"&amp;"!A5:Z5"),0),4),1,""),SUBSTITUTE(ADDRESS(1,MATCH(A136,INDIRECT("'"&amp;E136&amp;"'"&amp;"!A5:Z5"),0),4),1,"")),15),"")</f>
        <v>P15</v>
      </c>
      <c r="C136" s="1029" t="str">
        <f ca="1">_xlfn.IFNA(IF('Customer Inputs'!$U$15="Existing",SUBSTITUTE(ADDRESS(1,MATCH(O136,INDIRECT("'"&amp;E136&amp;"'"&amp;"!A5:Z5"),0),4),1,""),SUBSTITUTE(ADDRESS(1,MATCH(A136,INDIRECT("'"&amp;E136&amp;"'"&amp;"!A5:Z5"),0),4),1,"")),"")</f>
        <v>P</v>
      </c>
      <c r="D136" s="1029" t="s">
        <v>1456</v>
      </c>
      <c r="E136" s="1111" t="s">
        <v>917</v>
      </c>
      <c r="F136" s="1347"/>
      <c r="G136" s="1347"/>
      <c r="H136" s="1347"/>
      <c r="I136" s="1347"/>
      <c r="J136" s="1347"/>
      <c r="K136" s="1347"/>
      <c r="L136" s="1029" t="s">
        <v>1277</v>
      </c>
      <c r="M136" s="1347">
        <v>228</v>
      </c>
      <c r="N136" s="1347"/>
      <c r="O136" s="1346" t="s">
        <v>915</v>
      </c>
    </row>
    <row r="137" spans="1:15" x14ac:dyDescent="0.25">
      <c r="A137" s="1110" t="s">
        <v>1278</v>
      </c>
      <c r="B137" s="1029" t="str">
        <f ca="1">_xlfn.IFNA(_xlfn.CONCAT(IF('Customer Inputs'!$U$15="Existing",SUBSTITUTE(ADDRESS(1,MATCH(O137,INDIRECT("'"&amp;E137&amp;"'"&amp;"!A5:Z5"),0),4),1,""),SUBSTITUTE(ADDRESS(1,MATCH(A137,INDIRECT("'"&amp;E137&amp;"'"&amp;"!A5:Z5"),0),4),1,"")),15),"")</f>
        <v>Q15</v>
      </c>
      <c r="C137" s="1029" t="str">
        <f ca="1">_xlfn.IFNA(IF('Customer Inputs'!$U$15="Existing",SUBSTITUTE(ADDRESS(1,MATCH(O137,INDIRECT("'"&amp;E137&amp;"'"&amp;"!A5:Z5"),0),4),1,""),SUBSTITUTE(ADDRESS(1,MATCH(A137,INDIRECT("'"&amp;E137&amp;"'"&amp;"!A5:Z5"),0),4),1,"")),"")</f>
        <v>Q</v>
      </c>
      <c r="D137" s="1029" t="s">
        <v>1456</v>
      </c>
      <c r="E137" s="1111" t="s">
        <v>917</v>
      </c>
      <c r="F137" s="1347"/>
      <c r="G137" s="1347"/>
      <c r="H137" s="1347"/>
      <c r="I137" s="1347"/>
      <c r="J137" s="1347"/>
      <c r="K137" s="1347"/>
      <c r="L137" s="1088" t="s">
        <v>1278</v>
      </c>
      <c r="M137" s="1347">
        <v>229</v>
      </c>
      <c r="N137" s="1347"/>
      <c r="O137" s="1346" t="s">
        <v>1275</v>
      </c>
    </row>
    <row r="138" spans="1:15" x14ac:dyDescent="0.25">
      <c r="A138" s="1110" t="s">
        <v>1279</v>
      </c>
      <c r="B138" s="1029" t="str">
        <f ca="1">_xlfn.IFNA(_xlfn.CONCAT(IF('Customer Inputs'!$U$15="Existing",SUBSTITUTE(ADDRESS(1,MATCH(O138,INDIRECT("'"&amp;E138&amp;"'"&amp;"!A5:Z5"),0),4),1,""),SUBSTITUTE(ADDRESS(1,MATCH(A138,INDIRECT("'"&amp;E138&amp;"'"&amp;"!A5:Z5"),0),4),1,"")),15),"")</f>
        <v>R15</v>
      </c>
      <c r="C138" s="1029" t="str">
        <f ca="1">_xlfn.IFNA(IF('Customer Inputs'!$U$15="Existing",SUBSTITUTE(ADDRESS(1,MATCH(O138,INDIRECT("'"&amp;E138&amp;"'"&amp;"!A5:Z5"),0),4),1,""),SUBSTITUTE(ADDRESS(1,MATCH(A138,INDIRECT("'"&amp;E138&amp;"'"&amp;"!A5:Z5"),0),4),1,"")),"")</f>
        <v>R</v>
      </c>
      <c r="D138" s="1029" t="s">
        <v>1456</v>
      </c>
      <c r="E138" s="1111" t="s">
        <v>917</v>
      </c>
      <c r="F138" s="1347"/>
      <c r="G138" s="1347"/>
      <c r="H138" s="1347"/>
      <c r="I138" s="1347"/>
      <c r="J138" s="1347"/>
      <c r="K138" s="1347"/>
      <c r="L138" s="1088" t="s">
        <v>1279</v>
      </c>
      <c r="M138" s="1347">
        <v>230</v>
      </c>
      <c r="N138" s="1347"/>
      <c r="O138" s="1346" t="s">
        <v>1282</v>
      </c>
    </row>
    <row r="139" spans="1:15" x14ac:dyDescent="0.25">
      <c r="A139" s="1110" t="s">
        <v>1280</v>
      </c>
      <c r="B139" s="1029" t="str">
        <f ca="1">_xlfn.IFNA(_xlfn.CONCAT(IF('Customer Inputs'!$U$15="Existing",SUBSTITUTE(ADDRESS(1,MATCH(O139,INDIRECT("'"&amp;E139&amp;"'"&amp;"!A5:Z5"),0),4),1,""),SUBSTITUTE(ADDRESS(1,MATCH(A139,INDIRECT("'"&amp;E139&amp;"'"&amp;"!A5:Z5"),0),4),1,"")),15),"")</f>
        <v>T15</v>
      </c>
      <c r="C139" s="1029" t="str">
        <f ca="1">_xlfn.IFNA(IF('Customer Inputs'!$U$15="Existing",SUBSTITUTE(ADDRESS(1,MATCH(O139,INDIRECT("'"&amp;E139&amp;"'"&amp;"!A5:Z5"),0),4),1,""),SUBSTITUTE(ADDRESS(1,MATCH(A139,INDIRECT("'"&amp;E139&amp;"'"&amp;"!A5:Z5"),0),4),1,"")),"")</f>
        <v>T</v>
      </c>
      <c r="D139" s="1029" t="s">
        <v>1456</v>
      </c>
      <c r="E139" s="1111" t="s">
        <v>917</v>
      </c>
      <c r="F139" s="1347"/>
      <c r="G139" s="1347"/>
      <c r="H139" s="1347"/>
      <c r="I139" s="1347"/>
      <c r="J139" s="1347"/>
      <c r="K139" s="1347"/>
      <c r="L139" s="1088" t="s">
        <v>1280</v>
      </c>
      <c r="M139" s="1347">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47"/>
      <c r="G140" s="1347"/>
      <c r="H140" s="1347"/>
      <c r="I140" s="1347"/>
      <c r="J140" s="1347"/>
      <c r="K140" s="1347"/>
      <c r="L140" s="1088" t="s">
        <v>1281</v>
      </c>
      <c r="M140" s="1347">
        <v>232</v>
      </c>
      <c r="N140" s="1347"/>
      <c r="O140" s="1346"/>
    </row>
    <row r="141" spans="1:15" x14ac:dyDescent="0.25">
      <c r="A141" s="1110" t="s">
        <v>1438</v>
      </c>
      <c r="B141" s="1029" t="str">
        <f t="shared" ca="1" si="16"/>
        <v>V15</v>
      </c>
      <c r="C141" s="1029" t="str">
        <f t="shared" ca="1" si="17"/>
        <v>V</v>
      </c>
      <c r="D141" s="1029" t="s">
        <v>1456</v>
      </c>
      <c r="E141" s="1111" t="s">
        <v>917</v>
      </c>
      <c r="F141" s="1347"/>
      <c r="G141" s="1347"/>
      <c r="H141" s="1347"/>
      <c r="I141" s="1347"/>
      <c r="J141" s="1347"/>
      <c r="K141" s="1347"/>
      <c r="L141" s="1088" t="s">
        <v>1529</v>
      </c>
      <c r="M141" s="1347">
        <v>233</v>
      </c>
      <c r="N141" s="1347"/>
      <c r="O141" s="1346"/>
    </row>
    <row r="142" spans="1:15" x14ac:dyDescent="0.25">
      <c r="A142" s="1110" t="s">
        <v>1734</v>
      </c>
      <c r="B142" s="1029" t="str">
        <f t="shared" ca="1" si="16"/>
        <v/>
      </c>
      <c r="C142" s="1029" t="str">
        <f t="shared" ca="1" si="17"/>
        <v/>
      </c>
      <c r="D142" s="1029" t="s">
        <v>1456</v>
      </c>
      <c r="E142" s="1111" t="s">
        <v>917</v>
      </c>
      <c r="F142" s="1347"/>
      <c r="G142" s="1347"/>
      <c r="H142" s="1347"/>
      <c r="I142" s="1347"/>
      <c r="J142" s="1347"/>
      <c r="K142" s="1347"/>
      <c r="L142" s="1088" t="s">
        <v>1734</v>
      </c>
      <c r="M142" s="1347"/>
      <c r="N142" s="1347"/>
      <c r="O142" s="1346"/>
    </row>
    <row r="143" spans="1:15" x14ac:dyDescent="0.25">
      <c r="A143" s="1347"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47"/>
      <c r="G143" s="1347"/>
      <c r="H143" s="1347"/>
      <c r="I143" s="1347"/>
      <c r="J143" s="1347"/>
      <c r="K143" s="1347"/>
      <c r="L143" s="1347" t="s">
        <v>1308</v>
      </c>
      <c r="M143" s="1347">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47"/>
      <c r="G144" s="1347"/>
      <c r="H144" s="1347"/>
      <c r="I144" s="1347"/>
      <c r="J144" s="1347"/>
      <c r="K144" s="1347"/>
      <c r="L144" s="1112" t="s">
        <v>1312</v>
      </c>
      <c r="M144" s="1347">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47"/>
      <c r="G145" s="1347"/>
      <c r="H145" s="1347"/>
      <c r="I145" s="1347"/>
      <c r="J145" s="1347"/>
      <c r="K145" s="1347"/>
      <c r="L145" s="1112" t="s">
        <v>1313</v>
      </c>
      <c r="M145" s="1347">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47"/>
      <c r="G146" s="1347"/>
      <c r="H146" s="1347"/>
      <c r="I146" s="1347"/>
      <c r="J146" s="1347"/>
      <c r="K146" s="1347"/>
      <c r="L146" s="1112" t="s">
        <v>1336</v>
      </c>
      <c r="M146" s="1347">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46"/>
      <c r="G147" s="1346"/>
      <c r="H147" s="1346"/>
      <c r="I147" s="1346"/>
      <c r="J147" s="1346"/>
      <c r="K147" s="1346"/>
      <c r="L147" s="1112" t="s">
        <v>1332</v>
      </c>
      <c r="M147" s="1347">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46"/>
      <c r="G148" s="1346"/>
      <c r="H148" s="1346"/>
      <c r="I148" s="1346"/>
      <c r="J148" s="1346"/>
      <c r="K148" s="1346"/>
      <c r="L148" s="1112" t="s">
        <v>1333</v>
      </c>
      <c r="M148" s="1347">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46"/>
      <c r="G149" s="1346"/>
      <c r="H149" s="1346"/>
      <c r="I149" s="1346"/>
      <c r="J149" s="1346"/>
      <c r="K149" s="1346"/>
      <c r="L149" s="1112" t="s">
        <v>1337</v>
      </c>
      <c r="M149" s="1347">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46"/>
      <c r="G150" s="1346"/>
      <c r="H150" s="1346"/>
      <c r="I150" s="1346"/>
      <c r="J150" s="1346"/>
      <c r="K150" s="1346"/>
      <c r="L150" s="1112" t="s">
        <v>1334</v>
      </c>
      <c r="M150" s="1347">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46"/>
      <c r="G151" s="1346"/>
      <c r="H151" s="1346"/>
      <c r="I151" s="1346"/>
      <c r="J151" s="1346"/>
      <c r="K151" s="1346"/>
      <c r="L151" s="1112" t="s">
        <v>1295</v>
      </c>
      <c r="M151" s="1347">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47">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47">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46"/>
      <c r="G154" s="1346"/>
      <c r="H154" s="1346"/>
      <c r="I154" s="1346"/>
      <c r="J154" s="1346"/>
      <c r="K154" s="1346"/>
      <c r="L154" s="1112" t="s">
        <v>1292</v>
      </c>
      <c r="M154" s="1347">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46"/>
      <c r="G155" s="1346"/>
      <c r="H155" s="1346"/>
      <c r="I155" s="1346"/>
      <c r="J155" s="1346"/>
      <c r="K155" s="1346"/>
      <c r="L155" s="1112" t="s">
        <v>1293</v>
      </c>
      <c r="M155" s="1347">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46"/>
      <c r="G156" s="1346"/>
      <c r="H156" s="1346"/>
      <c r="I156" s="1346"/>
      <c r="J156" s="1346"/>
      <c r="K156" s="1346"/>
      <c r="L156" s="1112" t="s">
        <v>1828</v>
      </c>
      <c r="M156" s="1347">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46"/>
      <c r="G157" s="1346"/>
      <c r="H157" s="1346"/>
      <c r="I157" s="1346"/>
      <c r="J157" s="1346"/>
      <c r="K157" s="1346"/>
      <c r="L157" s="1112" t="s">
        <v>1826</v>
      </c>
      <c r="M157" s="1347">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46"/>
      <c r="G158" s="1346"/>
      <c r="H158" s="1346"/>
      <c r="I158" s="1346"/>
      <c r="J158" s="1346"/>
      <c r="K158" s="1346"/>
      <c r="L158" s="1029" t="s">
        <v>1520</v>
      </c>
      <c r="M158" s="1347">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46"/>
      <c r="G159" s="1346"/>
      <c r="H159" s="1346"/>
      <c r="I159" s="1346"/>
      <c r="J159" s="1346"/>
      <c r="K159" s="1346"/>
      <c r="L159" s="1029" t="s">
        <v>1521</v>
      </c>
      <c r="M159" s="1347">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46"/>
      <c r="G160" s="1346"/>
      <c r="H160" s="1346"/>
      <c r="I160" s="1346"/>
      <c r="J160" s="1346"/>
      <c r="K160" s="1346"/>
      <c r="L160" s="1112" t="s">
        <v>1548</v>
      </c>
      <c r="M160" s="1347">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46"/>
      <c r="G161" s="1346"/>
      <c r="H161" s="1346"/>
      <c r="I161" s="1346"/>
      <c r="J161" s="1346"/>
      <c r="K161" s="1346"/>
      <c r="L161" s="1112" t="s">
        <v>1549</v>
      </c>
      <c r="M161" s="1347">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46"/>
      <c r="G162" s="1346"/>
      <c r="H162" s="1346"/>
      <c r="I162" s="1346"/>
      <c r="J162" s="1346"/>
      <c r="K162" s="1346"/>
      <c r="L162" s="1112" t="s">
        <v>1551</v>
      </c>
      <c r="M162" s="1347">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46"/>
      <c r="G163" s="1346"/>
      <c r="H163" s="1346"/>
      <c r="I163" s="1346"/>
      <c r="J163" s="1346"/>
      <c r="K163" s="1346"/>
      <c r="L163" s="1112" t="s">
        <v>1552</v>
      </c>
      <c r="M163" s="1347">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46"/>
      <c r="G164" s="1346"/>
      <c r="H164" s="1346"/>
      <c r="I164" s="1346"/>
      <c r="J164" s="1346"/>
      <c r="K164" s="1346"/>
      <c r="L164" s="1112" t="s">
        <v>1553</v>
      </c>
      <c r="M164" s="1347">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46"/>
      <c r="G165" s="1346"/>
      <c r="H165" s="1346"/>
      <c r="I165" s="1346"/>
      <c r="J165" s="1346"/>
      <c r="K165" s="1346"/>
      <c r="L165" s="1112" t="s">
        <v>1554</v>
      </c>
      <c r="M165" s="1347">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46"/>
      <c r="G166" s="1346"/>
      <c r="H166" s="1346"/>
      <c r="I166" s="1346"/>
      <c r="J166" s="1346"/>
      <c r="K166" s="1346"/>
      <c r="L166" s="1112" t="s">
        <v>1555</v>
      </c>
      <c r="M166" s="1347">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47" t="s">
        <v>1456</v>
      </c>
      <c r="E167" s="1029" t="s">
        <v>1501</v>
      </c>
      <c r="F167" s="1346"/>
      <c r="G167" s="1346"/>
      <c r="H167" s="1346"/>
      <c r="I167" s="1346"/>
      <c r="J167" s="1346"/>
      <c r="K167" s="1346"/>
      <c r="L167" s="1087" t="s">
        <v>1270</v>
      </c>
      <c r="M167" s="1347">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47" t="s">
        <v>1456</v>
      </c>
      <c r="E168" s="1029" t="s">
        <v>1501</v>
      </c>
      <c r="F168" s="1346"/>
      <c r="G168" s="1346"/>
      <c r="H168" s="1346"/>
      <c r="I168" s="1346"/>
      <c r="J168" s="1346"/>
      <c r="K168" s="1346"/>
      <c r="L168" s="1087" t="s">
        <v>794</v>
      </c>
      <c r="M168" s="1347">
        <v>36</v>
      </c>
      <c r="N168" s="1347"/>
      <c r="O168" s="1346"/>
    </row>
    <row r="169" spans="1:15" x14ac:dyDescent="0.25">
      <c r="A169" s="1114" t="s">
        <v>793</v>
      </c>
      <c r="B169" s="1029" t="str">
        <f t="shared" ca="1" si="18"/>
        <v>K23</v>
      </c>
      <c r="C169" s="1029" t="str">
        <f t="shared" ca="1" si="19"/>
        <v>K</v>
      </c>
      <c r="D169" s="1347" t="s">
        <v>1456</v>
      </c>
      <c r="E169" s="1029" t="s">
        <v>1501</v>
      </c>
      <c r="F169" s="1346"/>
      <c r="G169" s="1346"/>
      <c r="H169" s="1346"/>
      <c r="I169" s="1346"/>
      <c r="J169" s="1346"/>
      <c r="K169" s="1346"/>
      <c r="L169" s="1087" t="s">
        <v>793</v>
      </c>
      <c r="M169" s="1347">
        <v>46</v>
      </c>
      <c r="N169" s="1347"/>
      <c r="O169" s="1346"/>
    </row>
    <row r="170" spans="1:15" x14ac:dyDescent="0.25">
      <c r="A170" s="1114" t="s">
        <v>1271</v>
      </c>
      <c r="B170" s="1029" t="str">
        <f t="shared" ca="1" si="18"/>
        <v>L23</v>
      </c>
      <c r="C170" s="1029" t="str">
        <f t="shared" ca="1" si="19"/>
        <v>L</v>
      </c>
      <c r="D170" s="1347" t="s">
        <v>1456</v>
      </c>
      <c r="E170" s="1029" t="s">
        <v>1501</v>
      </c>
      <c r="F170" s="1346"/>
      <c r="G170" s="1346"/>
      <c r="H170" s="1346"/>
      <c r="I170" s="1346"/>
      <c r="J170" s="1346"/>
      <c r="K170" s="1346"/>
      <c r="L170" s="1087" t="s">
        <v>1271</v>
      </c>
      <c r="M170" s="1347">
        <v>47</v>
      </c>
      <c r="N170" s="1347"/>
      <c r="O170" s="1346"/>
    </row>
    <row r="171" spans="1:15" x14ac:dyDescent="0.25">
      <c r="A171" s="1114" t="s">
        <v>1272</v>
      </c>
      <c r="B171" s="1029" t="str">
        <f t="shared" ca="1" si="18"/>
        <v>M23</v>
      </c>
      <c r="C171" s="1029" t="str">
        <f t="shared" ca="1" si="19"/>
        <v>M</v>
      </c>
      <c r="D171" s="1347" t="s">
        <v>1456</v>
      </c>
      <c r="E171" s="1029" t="s">
        <v>1501</v>
      </c>
      <c r="F171" s="1346"/>
      <c r="G171" s="1346"/>
      <c r="H171" s="1346"/>
      <c r="I171" s="1346"/>
      <c r="J171" s="1346"/>
      <c r="K171" s="1346"/>
      <c r="L171" s="1087" t="s">
        <v>1272</v>
      </c>
      <c r="M171" s="1347">
        <v>48</v>
      </c>
      <c r="N171" s="1347"/>
      <c r="O171" s="1346"/>
    </row>
    <row r="172" spans="1:15" x14ac:dyDescent="0.25">
      <c r="A172" s="1114" t="s">
        <v>1273</v>
      </c>
      <c r="B172" s="1029" t="str">
        <f t="shared" ca="1" si="18"/>
        <v>N23</v>
      </c>
      <c r="C172" s="1029" t="str">
        <f t="shared" ca="1" si="19"/>
        <v>N</v>
      </c>
      <c r="D172" s="1347" t="s">
        <v>1456</v>
      </c>
      <c r="E172" s="1029" t="s">
        <v>1501</v>
      </c>
      <c r="F172" s="1346"/>
      <c r="G172" s="1346"/>
      <c r="H172" s="1346"/>
      <c r="I172" s="1346"/>
      <c r="J172" s="1346"/>
      <c r="K172" s="1346"/>
      <c r="L172" s="1087" t="s">
        <v>1466</v>
      </c>
      <c r="M172" s="1347">
        <v>49</v>
      </c>
      <c r="N172" s="1347"/>
      <c r="O172" s="1346"/>
    </row>
    <row r="173" spans="1:15" x14ac:dyDescent="0.25">
      <c r="A173" s="1114" t="s">
        <v>1391</v>
      </c>
      <c r="B173" s="1029" t="str">
        <f t="shared" ca="1" si="18"/>
        <v>O23</v>
      </c>
      <c r="C173" s="1029" t="str">
        <f t="shared" ca="1" si="19"/>
        <v>O</v>
      </c>
      <c r="D173" s="1347" t="s">
        <v>1456</v>
      </c>
      <c r="E173" s="1029" t="s">
        <v>1501</v>
      </c>
      <c r="F173" s="1346"/>
      <c r="G173" s="1346"/>
      <c r="H173" s="1346"/>
      <c r="I173" s="1346"/>
      <c r="J173" s="1346"/>
      <c r="K173" s="1346"/>
      <c r="L173" s="1087" t="s">
        <v>1391</v>
      </c>
      <c r="M173" s="1347">
        <v>50</v>
      </c>
      <c r="N173" s="1347"/>
      <c r="O173" s="1346"/>
    </row>
    <row r="174" spans="1:15" x14ac:dyDescent="0.25">
      <c r="A174" s="1114" t="s">
        <v>795</v>
      </c>
      <c r="B174" s="1029" t="str">
        <f t="shared" ca="1" si="18"/>
        <v>G23</v>
      </c>
      <c r="C174" s="1029" t="str">
        <f t="shared" ca="1" si="19"/>
        <v>G</v>
      </c>
      <c r="D174" s="1347" t="s">
        <v>1456</v>
      </c>
      <c r="E174" s="1029" t="s">
        <v>1501</v>
      </c>
      <c r="F174" s="1346"/>
      <c r="G174" s="1346"/>
      <c r="H174" s="1346"/>
      <c r="I174" s="1346"/>
      <c r="J174" s="1346"/>
      <c r="K174" s="1346"/>
      <c r="L174" s="1087" t="s">
        <v>795</v>
      </c>
      <c r="M174" s="1347">
        <v>51</v>
      </c>
      <c r="N174" s="1347"/>
      <c r="O174" s="1346"/>
    </row>
    <row r="175" spans="1:15" x14ac:dyDescent="0.25">
      <c r="A175" s="1114" t="s">
        <v>800</v>
      </c>
      <c r="B175" s="1029" t="str">
        <f t="shared" ca="1" si="18"/>
        <v>H23</v>
      </c>
      <c r="C175" s="1029" t="str">
        <f t="shared" ca="1" si="19"/>
        <v>H</v>
      </c>
      <c r="D175" s="1347" t="s">
        <v>1456</v>
      </c>
      <c r="E175" s="1029" t="s">
        <v>1501</v>
      </c>
      <c r="F175" s="1346"/>
      <c r="G175" s="1346"/>
      <c r="H175" s="1346"/>
      <c r="I175" s="1346"/>
      <c r="J175" s="1346"/>
      <c r="K175" s="1346"/>
      <c r="L175" s="1087" t="s">
        <v>800</v>
      </c>
      <c r="M175" s="1347">
        <v>52</v>
      </c>
      <c r="N175" s="1347"/>
      <c r="O175" s="1346"/>
    </row>
    <row r="176" spans="1:15" x14ac:dyDescent="0.25">
      <c r="A176" s="1114" t="s">
        <v>801</v>
      </c>
      <c r="B176" s="1029" t="str">
        <f t="shared" ca="1" si="18"/>
        <v>I23</v>
      </c>
      <c r="C176" s="1029" t="str">
        <f t="shared" ca="1" si="19"/>
        <v>I</v>
      </c>
      <c r="D176" s="1347" t="s">
        <v>1456</v>
      </c>
      <c r="E176" s="1029" t="s">
        <v>1501</v>
      </c>
      <c r="F176" s="1346"/>
      <c r="G176" s="1346"/>
      <c r="H176" s="1346"/>
      <c r="I176" s="1346"/>
      <c r="J176" s="1346"/>
      <c r="K176" s="1346"/>
      <c r="L176" s="1087" t="s">
        <v>801</v>
      </c>
      <c r="M176" s="1347">
        <v>53</v>
      </c>
      <c r="N176" s="1347"/>
      <c r="O176" s="1346"/>
    </row>
    <row r="177" spans="1:15" x14ac:dyDescent="0.25">
      <c r="A177" s="1114" t="s">
        <v>204</v>
      </c>
      <c r="B177" s="1029" t="str">
        <f t="shared" ca="1" si="18"/>
        <v>J23</v>
      </c>
      <c r="C177" s="1029" t="str">
        <f t="shared" ca="1" si="19"/>
        <v>J</v>
      </c>
      <c r="D177" s="1347" t="s">
        <v>1456</v>
      </c>
      <c r="E177" s="1029" t="s">
        <v>1501</v>
      </c>
      <c r="F177" s="1346"/>
      <c r="G177" s="1346"/>
      <c r="H177" s="1346"/>
      <c r="I177" s="1346"/>
      <c r="J177" s="1346"/>
      <c r="K177" s="1346"/>
      <c r="L177" s="1087" t="s">
        <v>204</v>
      </c>
      <c r="M177" s="1347">
        <v>54</v>
      </c>
      <c r="N177" s="1347"/>
      <c r="O177" s="1346"/>
    </row>
    <row r="178" spans="1:15" x14ac:dyDescent="0.25">
      <c r="A178" s="1115" t="s">
        <v>1270</v>
      </c>
      <c r="B178" s="1029" t="str">
        <f ca="1">_xlfn.IFNA(_xlfn.CONCAT(SUBSTITUTE(ADDRESS(1,MATCH(A178,INDIRECT("'"&amp;E178&amp;"'"&amp;"!A22:Z22"),0),4),1,""),24),"")</f>
        <v>E24</v>
      </c>
      <c r="C178" s="1029" t="str">
        <f t="shared" ca="1" si="19"/>
        <v>E</v>
      </c>
      <c r="D178" s="1347" t="s">
        <v>1456</v>
      </c>
      <c r="E178" s="1029" t="s">
        <v>1501</v>
      </c>
      <c r="F178" s="1346"/>
      <c r="G178" s="1346"/>
      <c r="H178" s="1346"/>
      <c r="I178" s="1346"/>
      <c r="J178" s="1346"/>
      <c r="K178" s="1346"/>
      <c r="L178" s="1087" t="s">
        <v>1270</v>
      </c>
      <c r="M178" s="1347">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47" t="s">
        <v>1456</v>
      </c>
      <c r="E179" s="1029" t="s">
        <v>1501</v>
      </c>
      <c r="F179" s="1346"/>
      <c r="G179" s="1346"/>
      <c r="H179" s="1346"/>
      <c r="I179" s="1346"/>
      <c r="J179" s="1346"/>
      <c r="K179" s="1346"/>
      <c r="L179" s="1087" t="s">
        <v>794</v>
      </c>
      <c r="M179" s="1347">
        <v>57</v>
      </c>
      <c r="N179" s="1347"/>
      <c r="O179" s="1346"/>
    </row>
    <row r="180" spans="1:15" x14ac:dyDescent="0.25">
      <c r="A180" s="1116" t="s">
        <v>793</v>
      </c>
      <c r="B180" s="1029" t="str">
        <f t="shared" ca="1" si="20"/>
        <v>K24</v>
      </c>
      <c r="C180" s="1029" t="str">
        <f t="shared" ca="1" si="19"/>
        <v>K</v>
      </c>
      <c r="D180" s="1347" t="s">
        <v>1456</v>
      </c>
      <c r="E180" s="1029" t="s">
        <v>1501</v>
      </c>
      <c r="F180" s="1346"/>
      <c r="G180" s="1346"/>
      <c r="H180" s="1346"/>
      <c r="I180" s="1346"/>
      <c r="J180" s="1346"/>
      <c r="K180" s="1346"/>
      <c r="L180" s="1087" t="s">
        <v>793</v>
      </c>
      <c r="M180" s="1347">
        <v>67</v>
      </c>
      <c r="N180" s="1347"/>
      <c r="O180" s="1346"/>
    </row>
    <row r="181" spans="1:15" x14ac:dyDescent="0.25">
      <c r="A181" s="1116" t="s">
        <v>1271</v>
      </c>
      <c r="B181" s="1029" t="str">
        <f t="shared" ca="1" si="20"/>
        <v>L24</v>
      </c>
      <c r="C181" s="1029" t="str">
        <f t="shared" ca="1" si="19"/>
        <v>L</v>
      </c>
      <c r="D181" s="1347" t="s">
        <v>1456</v>
      </c>
      <c r="E181" s="1029" t="s">
        <v>1501</v>
      </c>
      <c r="F181" s="1346"/>
      <c r="G181" s="1346"/>
      <c r="H181" s="1346"/>
      <c r="I181" s="1346"/>
      <c r="J181" s="1346"/>
      <c r="K181" s="1346"/>
      <c r="L181" s="1087" t="s">
        <v>1271</v>
      </c>
      <c r="M181" s="1347">
        <v>68</v>
      </c>
      <c r="N181" s="1347"/>
      <c r="O181" s="1346"/>
    </row>
    <row r="182" spans="1:15" x14ac:dyDescent="0.25">
      <c r="A182" s="1116" t="s">
        <v>1272</v>
      </c>
      <c r="B182" s="1029" t="str">
        <f t="shared" ca="1" si="20"/>
        <v>M24</v>
      </c>
      <c r="C182" s="1029" t="str">
        <f t="shared" ca="1" si="19"/>
        <v>M</v>
      </c>
      <c r="D182" s="1347" t="s">
        <v>1456</v>
      </c>
      <c r="E182" s="1029" t="s">
        <v>1501</v>
      </c>
      <c r="F182" s="1346"/>
      <c r="G182" s="1346"/>
      <c r="H182" s="1346"/>
      <c r="I182" s="1346"/>
      <c r="J182" s="1346"/>
      <c r="K182" s="1346"/>
      <c r="L182" s="1087" t="s">
        <v>1272</v>
      </c>
      <c r="M182" s="1347">
        <v>69</v>
      </c>
      <c r="N182" s="1347"/>
      <c r="O182" s="1346"/>
    </row>
    <row r="183" spans="1:15" x14ac:dyDescent="0.25">
      <c r="A183" s="1116" t="s">
        <v>1273</v>
      </c>
      <c r="B183" s="1029" t="str">
        <f t="shared" ca="1" si="20"/>
        <v>N24</v>
      </c>
      <c r="C183" s="1029" t="str">
        <f t="shared" ca="1" si="19"/>
        <v>N</v>
      </c>
      <c r="D183" s="1347" t="s">
        <v>1456</v>
      </c>
      <c r="E183" s="1029" t="s">
        <v>1501</v>
      </c>
      <c r="F183" s="1346"/>
      <c r="G183" s="1346"/>
      <c r="H183" s="1346"/>
      <c r="I183" s="1346"/>
      <c r="J183" s="1346"/>
      <c r="K183" s="1346"/>
      <c r="L183" s="1087" t="s">
        <v>1466</v>
      </c>
      <c r="M183" s="1347">
        <v>70</v>
      </c>
      <c r="N183" s="1347"/>
      <c r="O183" s="1346"/>
    </row>
    <row r="184" spans="1:15" x14ac:dyDescent="0.25">
      <c r="A184" s="1116" t="s">
        <v>1391</v>
      </c>
      <c r="B184" s="1029" t="str">
        <f t="shared" ca="1" si="20"/>
        <v>O24</v>
      </c>
      <c r="C184" s="1029" t="str">
        <f t="shared" ca="1" si="19"/>
        <v>O</v>
      </c>
      <c r="D184" s="1347" t="s">
        <v>1456</v>
      </c>
      <c r="E184" s="1029" t="s">
        <v>1501</v>
      </c>
      <c r="F184" s="1346"/>
      <c r="G184" s="1346"/>
      <c r="H184" s="1346"/>
      <c r="I184" s="1346"/>
      <c r="J184" s="1346"/>
      <c r="K184" s="1346"/>
      <c r="L184" s="1087" t="s">
        <v>1391</v>
      </c>
      <c r="M184" s="1347">
        <v>71</v>
      </c>
      <c r="N184" s="1347"/>
      <c r="O184" s="1346"/>
    </row>
    <row r="185" spans="1:15" x14ac:dyDescent="0.25">
      <c r="A185" s="1116" t="s">
        <v>795</v>
      </c>
      <c r="B185" s="1029" t="str">
        <f t="shared" ca="1" si="20"/>
        <v>G24</v>
      </c>
      <c r="C185" s="1029" t="str">
        <f t="shared" ca="1" si="19"/>
        <v>G</v>
      </c>
      <c r="D185" s="1347" t="s">
        <v>1456</v>
      </c>
      <c r="E185" s="1029" t="s">
        <v>1501</v>
      </c>
      <c r="F185" s="1346"/>
      <c r="G185" s="1346"/>
      <c r="H185" s="1346"/>
      <c r="I185" s="1346"/>
      <c r="J185" s="1346"/>
      <c r="K185" s="1346"/>
      <c r="L185" s="1087" t="s">
        <v>795</v>
      </c>
      <c r="M185" s="1347">
        <v>72</v>
      </c>
      <c r="N185" s="1347"/>
      <c r="O185" s="1346"/>
    </row>
    <row r="186" spans="1:15" x14ac:dyDescent="0.25">
      <c r="A186" s="1116" t="s">
        <v>800</v>
      </c>
      <c r="B186" s="1029" t="str">
        <f t="shared" ca="1" si="20"/>
        <v>H24</v>
      </c>
      <c r="C186" s="1029" t="str">
        <f t="shared" ca="1" si="19"/>
        <v>H</v>
      </c>
      <c r="D186" s="1347" t="s">
        <v>1456</v>
      </c>
      <c r="E186" s="1029" t="s">
        <v>1501</v>
      </c>
      <c r="F186" s="1346"/>
      <c r="G186" s="1346"/>
      <c r="H186" s="1346"/>
      <c r="I186" s="1346"/>
      <c r="J186" s="1346"/>
      <c r="K186" s="1346"/>
      <c r="L186" s="1087" t="s">
        <v>800</v>
      </c>
      <c r="M186" s="1347">
        <v>73</v>
      </c>
      <c r="N186" s="1347"/>
      <c r="O186" s="1346"/>
    </row>
    <row r="187" spans="1:15" x14ac:dyDescent="0.25">
      <c r="A187" s="1116" t="s">
        <v>801</v>
      </c>
      <c r="B187" s="1029" t="str">
        <f t="shared" ca="1" si="20"/>
        <v>I24</v>
      </c>
      <c r="C187" s="1029" t="str">
        <f t="shared" ca="1" si="19"/>
        <v>I</v>
      </c>
      <c r="D187" s="1347" t="s">
        <v>1456</v>
      </c>
      <c r="E187" s="1029" t="s">
        <v>1501</v>
      </c>
      <c r="F187" s="1346"/>
      <c r="G187" s="1346"/>
      <c r="H187" s="1346"/>
      <c r="I187" s="1346"/>
      <c r="J187" s="1346"/>
      <c r="K187" s="1346"/>
      <c r="L187" s="1087" t="s">
        <v>801</v>
      </c>
      <c r="M187" s="1347">
        <v>74</v>
      </c>
      <c r="N187" s="1347"/>
      <c r="O187" s="1346"/>
    </row>
    <row r="188" spans="1:15" x14ac:dyDescent="0.25">
      <c r="A188" s="1116" t="s">
        <v>204</v>
      </c>
      <c r="B188" s="1029" t="str">
        <f t="shared" ca="1" si="20"/>
        <v>J24</v>
      </c>
      <c r="C188" s="1029" t="str">
        <f t="shared" ca="1" si="19"/>
        <v>J</v>
      </c>
      <c r="D188" s="1347" t="s">
        <v>1456</v>
      </c>
      <c r="E188" s="1029" t="s">
        <v>1501</v>
      </c>
      <c r="F188" s="1346"/>
      <c r="G188" s="1346"/>
      <c r="H188" s="1346"/>
      <c r="I188" s="1346"/>
      <c r="J188" s="1346"/>
      <c r="K188" s="1346"/>
      <c r="L188" s="1087" t="s">
        <v>204</v>
      </c>
      <c r="M188" s="1347">
        <v>75</v>
      </c>
      <c r="N188" s="1347"/>
      <c r="O188" s="1346"/>
    </row>
    <row r="189" spans="1:15" x14ac:dyDescent="0.25">
      <c r="A189" s="1113" t="s">
        <v>1270</v>
      </c>
      <c r="B189" s="1029" t="str">
        <f ca="1">_xlfn.IFNA(_xlfn.CONCAT(SUBSTITUTE(ADDRESS(1,MATCH(A189,INDIRECT("'"&amp;E189&amp;"'"&amp;"!A22:Z22"),0),4),1,""),25),"")</f>
        <v>E25</v>
      </c>
      <c r="C189" s="1029" t="str">
        <f t="shared" ca="1" si="19"/>
        <v>E</v>
      </c>
      <c r="D189" s="1347" t="s">
        <v>1456</v>
      </c>
      <c r="E189" s="1029" t="s">
        <v>1501</v>
      </c>
      <c r="F189" s="1346"/>
      <c r="G189" s="1346"/>
      <c r="H189" s="1346"/>
      <c r="I189" s="1346"/>
      <c r="J189" s="1346"/>
      <c r="K189" s="1346"/>
      <c r="L189" s="1087" t="s">
        <v>1270</v>
      </c>
      <c r="M189" s="1347">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47" t="s">
        <v>1456</v>
      </c>
      <c r="E190" s="1029" t="s">
        <v>1501</v>
      </c>
      <c r="F190" s="1346"/>
      <c r="G190" s="1346"/>
      <c r="H190" s="1346"/>
      <c r="I190" s="1346"/>
      <c r="J190" s="1346"/>
      <c r="K190" s="1346"/>
      <c r="L190" s="1087" t="s">
        <v>794</v>
      </c>
      <c r="M190" s="1347">
        <v>78</v>
      </c>
      <c r="N190" s="1347"/>
      <c r="O190" s="1346"/>
    </row>
    <row r="191" spans="1:15" x14ac:dyDescent="0.25">
      <c r="A191" s="1114" t="s">
        <v>793</v>
      </c>
      <c r="B191" s="1029" t="str">
        <f t="shared" ca="1" si="21"/>
        <v>K25</v>
      </c>
      <c r="C191" s="1029" t="str">
        <f t="shared" ca="1" si="19"/>
        <v>K</v>
      </c>
      <c r="D191" s="1347" t="s">
        <v>1456</v>
      </c>
      <c r="E191" s="1029" t="s">
        <v>1501</v>
      </c>
      <c r="F191" s="1346"/>
      <c r="G191" s="1346"/>
      <c r="H191" s="1346"/>
      <c r="I191" s="1346"/>
      <c r="J191" s="1346"/>
      <c r="K191" s="1346"/>
      <c r="L191" s="1087" t="s">
        <v>793</v>
      </c>
      <c r="M191" s="1347">
        <v>88</v>
      </c>
      <c r="N191" s="1347"/>
      <c r="O191" s="1346"/>
    </row>
    <row r="192" spans="1:15" x14ac:dyDescent="0.25">
      <c r="A192" s="1114" t="s">
        <v>1271</v>
      </c>
      <c r="B192" s="1029" t="str">
        <f t="shared" ca="1" si="21"/>
        <v>L25</v>
      </c>
      <c r="C192" s="1029" t="str">
        <f t="shared" ca="1" si="19"/>
        <v>L</v>
      </c>
      <c r="D192" s="1347" t="s">
        <v>1456</v>
      </c>
      <c r="E192" s="1029" t="s">
        <v>1501</v>
      </c>
      <c r="F192" s="1346"/>
      <c r="G192" s="1346"/>
      <c r="H192" s="1346"/>
      <c r="I192" s="1346"/>
      <c r="J192" s="1346"/>
      <c r="K192" s="1346"/>
      <c r="L192" s="1087" t="s">
        <v>1271</v>
      </c>
      <c r="M192" s="1347">
        <v>89</v>
      </c>
      <c r="N192" s="1347"/>
      <c r="O192" s="1346"/>
    </row>
    <row r="193" spans="1:15" x14ac:dyDescent="0.25">
      <c r="A193" s="1114" t="s">
        <v>1272</v>
      </c>
      <c r="B193" s="1029" t="str">
        <f t="shared" ca="1" si="21"/>
        <v>M25</v>
      </c>
      <c r="C193" s="1029" t="str">
        <f t="shared" ca="1" si="19"/>
        <v>M</v>
      </c>
      <c r="D193" s="1347" t="s">
        <v>1456</v>
      </c>
      <c r="E193" s="1029" t="s">
        <v>1501</v>
      </c>
      <c r="F193" s="1346"/>
      <c r="G193" s="1346"/>
      <c r="H193" s="1346"/>
      <c r="I193" s="1346"/>
      <c r="J193" s="1346"/>
      <c r="K193" s="1346"/>
      <c r="L193" s="1087" t="s">
        <v>1272</v>
      </c>
      <c r="M193" s="1347">
        <v>90</v>
      </c>
      <c r="N193" s="1347"/>
      <c r="O193" s="1346"/>
    </row>
    <row r="194" spans="1:15" x14ac:dyDescent="0.25">
      <c r="A194" s="1114" t="s">
        <v>1273</v>
      </c>
      <c r="B194" s="1029" t="str">
        <f t="shared" ca="1" si="21"/>
        <v>N25</v>
      </c>
      <c r="C194" s="1029" t="str">
        <f t="shared" ca="1" si="19"/>
        <v>N</v>
      </c>
      <c r="D194" s="1347" t="s">
        <v>1456</v>
      </c>
      <c r="E194" s="1029" t="s">
        <v>1501</v>
      </c>
      <c r="F194" s="1346"/>
      <c r="G194" s="1346"/>
      <c r="H194" s="1346"/>
      <c r="I194" s="1346"/>
      <c r="J194" s="1346"/>
      <c r="K194" s="1346"/>
      <c r="L194" s="1087" t="s">
        <v>1466</v>
      </c>
      <c r="M194" s="1347">
        <v>91</v>
      </c>
      <c r="N194" s="1347"/>
      <c r="O194" s="1346"/>
    </row>
    <row r="195" spans="1:15" x14ac:dyDescent="0.25">
      <c r="A195" s="1114" t="s">
        <v>1391</v>
      </c>
      <c r="B195" s="1029" t="str">
        <f t="shared" ca="1" si="21"/>
        <v>O25</v>
      </c>
      <c r="C195" s="1029" t="str">
        <f t="shared" ca="1" si="19"/>
        <v>O</v>
      </c>
      <c r="D195" s="1347" t="s">
        <v>1456</v>
      </c>
      <c r="E195" s="1029" t="s">
        <v>1501</v>
      </c>
      <c r="F195" s="1346"/>
      <c r="G195" s="1346"/>
      <c r="H195" s="1346"/>
      <c r="I195" s="1346"/>
      <c r="J195" s="1346"/>
      <c r="K195" s="1346"/>
      <c r="L195" s="1087" t="s">
        <v>1391</v>
      </c>
      <c r="M195" s="1347">
        <v>92</v>
      </c>
      <c r="N195" s="1347"/>
      <c r="O195" s="1346"/>
    </row>
    <row r="196" spans="1:15" x14ac:dyDescent="0.25">
      <c r="A196" s="1114" t="s">
        <v>795</v>
      </c>
      <c r="B196" s="1029" t="str">
        <f t="shared" ca="1" si="21"/>
        <v>G25</v>
      </c>
      <c r="C196" s="1029" t="str">
        <f t="shared" ca="1" si="19"/>
        <v>G</v>
      </c>
      <c r="D196" s="1347" t="s">
        <v>1456</v>
      </c>
      <c r="E196" s="1029" t="s">
        <v>1501</v>
      </c>
      <c r="F196" s="1346"/>
      <c r="G196" s="1346"/>
      <c r="H196" s="1346"/>
      <c r="I196" s="1346"/>
      <c r="J196" s="1346"/>
      <c r="K196" s="1346"/>
      <c r="L196" s="1087" t="s">
        <v>795</v>
      </c>
      <c r="M196" s="1347">
        <v>93</v>
      </c>
      <c r="N196" s="1347"/>
      <c r="O196" s="1346"/>
    </row>
    <row r="197" spans="1:15" x14ac:dyDescent="0.25">
      <c r="A197" s="1114" t="s">
        <v>800</v>
      </c>
      <c r="B197" s="1029" t="str">
        <f t="shared" ca="1" si="21"/>
        <v>H25</v>
      </c>
      <c r="C197" s="1029" t="str">
        <f t="shared" ca="1" si="19"/>
        <v>H</v>
      </c>
      <c r="D197" s="1347" t="s">
        <v>1456</v>
      </c>
      <c r="E197" s="1029" t="s">
        <v>1501</v>
      </c>
      <c r="F197" s="1346"/>
      <c r="G197" s="1346"/>
      <c r="H197" s="1346"/>
      <c r="I197" s="1346"/>
      <c r="J197" s="1346"/>
      <c r="K197" s="1346"/>
      <c r="L197" s="1087" t="s">
        <v>800</v>
      </c>
      <c r="M197" s="1347">
        <v>94</v>
      </c>
      <c r="N197" s="1347"/>
      <c r="O197" s="1346"/>
    </row>
    <row r="198" spans="1:15" x14ac:dyDescent="0.25">
      <c r="A198" s="1114" t="s">
        <v>801</v>
      </c>
      <c r="B198" s="1029" t="str">
        <f t="shared" ca="1" si="21"/>
        <v>I25</v>
      </c>
      <c r="C198" s="1029" t="str">
        <f t="shared" ca="1" si="19"/>
        <v>I</v>
      </c>
      <c r="D198" s="1347" t="s">
        <v>1456</v>
      </c>
      <c r="E198" s="1029" t="s">
        <v>1501</v>
      </c>
      <c r="F198" s="1346"/>
      <c r="G198" s="1346"/>
      <c r="H198" s="1346"/>
      <c r="I198" s="1346"/>
      <c r="J198" s="1346"/>
      <c r="K198" s="1346"/>
      <c r="L198" s="1087" t="s">
        <v>801</v>
      </c>
      <c r="M198" s="1347">
        <v>95</v>
      </c>
      <c r="N198" s="1347"/>
      <c r="O198" s="1346"/>
    </row>
    <row r="199" spans="1:15" x14ac:dyDescent="0.25">
      <c r="A199" s="1114" t="s">
        <v>204</v>
      </c>
      <c r="B199" s="1029" t="str">
        <f t="shared" ca="1" si="21"/>
        <v>J25</v>
      </c>
      <c r="C199" s="1029" t="str">
        <f t="shared" ca="1" si="19"/>
        <v>J</v>
      </c>
      <c r="D199" s="1347" t="s">
        <v>1456</v>
      </c>
      <c r="E199" s="1029" t="s">
        <v>1501</v>
      </c>
      <c r="F199" s="1346"/>
      <c r="G199" s="1346"/>
      <c r="H199" s="1346"/>
      <c r="I199" s="1346"/>
      <c r="J199" s="1346"/>
      <c r="K199" s="1346"/>
      <c r="L199" s="1087" t="s">
        <v>204</v>
      </c>
      <c r="M199" s="1347">
        <v>96</v>
      </c>
      <c r="N199" s="1347"/>
      <c r="O199" s="1346"/>
    </row>
    <row r="200" spans="1:15" x14ac:dyDescent="0.25">
      <c r="A200" s="1115" t="s">
        <v>1270</v>
      </c>
      <c r="B200" s="1029" t="str">
        <f ca="1">_xlfn.IFNA(_xlfn.CONCAT(SUBSTITUTE(ADDRESS(1,MATCH(A200,INDIRECT("'"&amp;E200&amp;"'"&amp;"!A22:Z22"),0),4),1,""),26),"")</f>
        <v>E26</v>
      </c>
      <c r="C200" s="1029" t="str">
        <f t="shared" ca="1" si="19"/>
        <v>E</v>
      </c>
      <c r="D200" s="1347" t="s">
        <v>1456</v>
      </c>
      <c r="E200" s="1029" t="s">
        <v>1501</v>
      </c>
      <c r="F200" s="1346"/>
      <c r="G200" s="1346"/>
      <c r="H200" s="1346"/>
      <c r="I200" s="1346"/>
      <c r="J200" s="1346"/>
      <c r="K200" s="1346"/>
      <c r="L200" s="1087" t="s">
        <v>1270</v>
      </c>
      <c r="M200" s="1347">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47" t="s">
        <v>1456</v>
      </c>
      <c r="E201" s="1029" t="s">
        <v>1501</v>
      </c>
      <c r="F201" s="1346"/>
      <c r="G201" s="1346"/>
      <c r="H201" s="1346"/>
      <c r="I201" s="1346"/>
      <c r="J201" s="1346"/>
      <c r="K201" s="1346"/>
      <c r="L201" s="1087" t="s">
        <v>794</v>
      </c>
      <c r="M201" s="1347">
        <v>99</v>
      </c>
      <c r="N201" s="1347"/>
      <c r="O201" s="1346"/>
    </row>
    <row r="202" spans="1:15" x14ac:dyDescent="0.25">
      <c r="A202" s="1116" t="s">
        <v>793</v>
      </c>
      <c r="B202" s="1029" t="str">
        <f t="shared" ca="1" si="22"/>
        <v>K26</v>
      </c>
      <c r="C202" s="1029" t="str">
        <f t="shared" ca="1" si="19"/>
        <v>K</v>
      </c>
      <c r="D202" s="1347" t="s">
        <v>1456</v>
      </c>
      <c r="E202" s="1029" t="s">
        <v>1501</v>
      </c>
      <c r="F202" s="1346"/>
      <c r="G202" s="1346"/>
      <c r="H202" s="1346"/>
      <c r="I202" s="1346"/>
      <c r="J202" s="1346"/>
      <c r="K202" s="1346"/>
      <c r="L202" s="1087" t="s">
        <v>793</v>
      </c>
      <c r="M202" s="1347">
        <v>109</v>
      </c>
      <c r="N202" s="1347"/>
      <c r="O202" s="1346"/>
    </row>
    <row r="203" spans="1:15" x14ac:dyDescent="0.25">
      <c r="A203" s="1116" t="s">
        <v>1271</v>
      </c>
      <c r="B203" s="1029" t="str">
        <f t="shared" ca="1" si="22"/>
        <v>L26</v>
      </c>
      <c r="C203" s="1029" t="str">
        <f t="shared" ca="1" si="19"/>
        <v>L</v>
      </c>
      <c r="D203" s="1347" t="s">
        <v>1456</v>
      </c>
      <c r="E203" s="1029" t="s">
        <v>1501</v>
      </c>
      <c r="F203" s="1346"/>
      <c r="G203" s="1346"/>
      <c r="H203" s="1346"/>
      <c r="I203" s="1346"/>
      <c r="J203" s="1346"/>
      <c r="K203" s="1346"/>
      <c r="L203" s="1087" t="s">
        <v>1271</v>
      </c>
      <c r="M203" s="1347">
        <v>110</v>
      </c>
      <c r="N203" s="1347"/>
      <c r="O203" s="1346"/>
    </row>
    <row r="204" spans="1:15" x14ac:dyDescent="0.25">
      <c r="A204" s="1116" t="s">
        <v>1272</v>
      </c>
      <c r="B204" s="1029" t="str">
        <f t="shared" ca="1" si="22"/>
        <v>M26</v>
      </c>
      <c r="C204" s="1029" t="str">
        <f t="shared" ca="1" si="19"/>
        <v>M</v>
      </c>
      <c r="D204" s="1347" t="s">
        <v>1456</v>
      </c>
      <c r="E204" s="1029" t="s">
        <v>1501</v>
      </c>
      <c r="F204" s="1346"/>
      <c r="G204" s="1346"/>
      <c r="H204" s="1346"/>
      <c r="I204" s="1346"/>
      <c r="J204" s="1346"/>
      <c r="K204" s="1346"/>
      <c r="L204" s="1087" t="s">
        <v>1272</v>
      </c>
      <c r="M204" s="1347">
        <v>111</v>
      </c>
      <c r="N204" s="1347"/>
      <c r="O204" s="1346"/>
    </row>
    <row r="205" spans="1:15" x14ac:dyDescent="0.25">
      <c r="A205" s="1116" t="s">
        <v>1273</v>
      </c>
      <c r="B205" s="1029" t="str">
        <f t="shared" ca="1" si="22"/>
        <v>N26</v>
      </c>
      <c r="C205" s="1029" t="str">
        <f t="shared" ca="1" si="19"/>
        <v>N</v>
      </c>
      <c r="D205" s="1347" t="s">
        <v>1456</v>
      </c>
      <c r="E205" s="1029" t="s">
        <v>1501</v>
      </c>
      <c r="F205" s="1346"/>
      <c r="G205" s="1346"/>
      <c r="H205" s="1346"/>
      <c r="I205" s="1346"/>
      <c r="J205" s="1346"/>
      <c r="K205" s="1346"/>
      <c r="L205" s="1087" t="s">
        <v>1466</v>
      </c>
      <c r="M205" s="1347">
        <v>112</v>
      </c>
      <c r="N205" s="1347"/>
      <c r="O205" s="1346"/>
    </row>
    <row r="206" spans="1:15" x14ac:dyDescent="0.25">
      <c r="A206" s="1116" t="s">
        <v>1391</v>
      </c>
      <c r="B206" s="1029" t="str">
        <f t="shared" ca="1" si="22"/>
        <v>O26</v>
      </c>
      <c r="C206" s="1029" t="str">
        <f t="shared" ca="1" si="19"/>
        <v>O</v>
      </c>
      <c r="D206" s="1347" t="s">
        <v>1456</v>
      </c>
      <c r="E206" s="1029" t="s">
        <v>1501</v>
      </c>
      <c r="F206" s="1346"/>
      <c r="G206" s="1346"/>
      <c r="H206" s="1346"/>
      <c r="I206" s="1346"/>
      <c r="J206" s="1346"/>
      <c r="K206" s="1346"/>
      <c r="L206" s="1087" t="s">
        <v>1391</v>
      </c>
      <c r="M206" s="1347">
        <v>113</v>
      </c>
      <c r="N206" s="1347"/>
      <c r="O206" s="1346"/>
    </row>
    <row r="207" spans="1:15" x14ac:dyDescent="0.25">
      <c r="A207" s="1116" t="s">
        <v>795</v>
      </c>
      <c r="B207" s="1029" t="str">
        <f t="shared" ca="1" si="22"/>
        <v>G26</v>
      </c>
      <c r="C207" s="1029" t="str">
        <f t="shared" ca="1" si="19"/>
        <v>G</v>
      </c>
      <c r="D207" s="1347" t="s">
        <v>1456</v>
      </c>
      <c r="E207" s="1029" t="s">
        <v>1501</v>
      </c>
      <c r="F207" s="1346"/>
      <c r="G207" s="1346"/>
      <c r="H207" s="1346"/>
      <c r="I207" s="1346"/>
      <c r="J207" s="1346"/>
      <c r="K207" s="1346"/>
      <c r="L207" s="1087" t="s">
        <v>795</v>
      </c>
      <c r="M207" s="1347">
        <v>114</v>
      </c>
      <c r="N207" s="1347"/>
      <c r="O207" s="1346"/>
    </row>
    <row r="208" spans="1:15" x14ac:dyDescent="0.25">
      <c r="A208" s="1116" t="s">
        <v>800</v>
      </c>
      <c r="B208" s="1029" t="str">
        <f t="shared" ca="1" si="22"/>
        <v>H26</v>
      </c>
      <c r="C208" s="1029" t="str">
        <f t="shared" ca="1" si="19"/>
        <v>H</v>
      </c>
      <c r="D208" s="1347" t="s">
        <v>1456</v>
      </c>
      <c r="E208" s="1029" t="s">
        <v>1501</v>
      </c>
      <c r="F208" s="1346"/>
      <c r="G208" s="1346"/>
      <c r="H208" s="1346"/>
      <c r="I208" s="1346"/>
      <c r="J208" s="1346"/>
      <c r="K208" s="1346"/>
      <c r="L208" s="1087" t="s">
        <v>800</v>
      </c>
      <c r="M208" s="1347">
        <v>115</v>
      </c>
      <c r="N208" s="1347"/>
      <c r="O208" s="1346"/>
    </row>
    <row r="209" spans="1:15" x14ac:dyDescent="0.25">
      <c r="A209" s="1116" t="s">
        <v>801</v>
      </c>
      <c r="B209" s="1029" t="str">
        <f t="shared" ca="1" si="22"/>
        <v>I26</v>
      </c>
      <c r="C209" s="1029" t="str">
        <f t="shared" ca="1" si="19"/>
        <v>I</v>
      </c>
      <c r="D209" s="1347" t="s">
        <v>1456</v>
      </c>
      <c r="E209" s="1029" t="s">
        <v>1501</v>
      </c>
      <c r="F209" s="1346"/>
      <c r="G209" s="1346"/>
      <c r="H209" s="1346"/>
      <c r="I209" s="1346"/>
      <c r="J209" s="1346"/>
      <c r="K209" s="1346"/>
      <c r="L209" s="1087" t="s">
        <v>801</v>
      </c>
      <c r="M209" s="1347">
        <v>116</v>
      </c>
      <c r="N209" s="1347"/>
      <c r="O209" s="1346"/>
    </row>
    <row r="210" spans="1:15" x14ac:dyDescent="0.25">
      <c r="A210" s="1116" t="s">
        <v>204</v>
      </c>
      <c r="B210" s="1029" t="str">
        <f t="shared" ca="1" si="22"/>
        <v>J26</v>
      </c>
      <c r="C210" s="1029" t="str">
        <f t="shared" ca="1" si="19"/>
        <v>J</v>
      </c>
      <c r="D210" s="1347" t="s">
        <v>1456</v>
      </c>
      <c r="E210" s="1029" t="s">
        <v>1501</v>
      </c>
      <c r="F210" s="1346"/>
      <c r="G210" s="1346"/>
      <c r="H210" s="1346"/>
      <c r="I210" s="1346"/>
      <c r="J210" s="1346"/>
      <c r="K210" s="1346"/>
      <c r="L210" s="1087" t="s">
        <v>204</v>
      </c>
      <c r="M210" s="1347">
        <v>117</v>
      </c>
      <c r="N210" s="1347"/>
      <c r="O210" s="1346"/>
    </row>
    <row r="211" spans="1:15" x14ac:dyDescent="0.25">
      <c r="A211" s="1113" t="s">
        <v>1270</v>
      </c>
      <c r="B211" s="1029" t="str">
        <f ca="1">_xlfn.IFNA(_xlfn.CONCAT(SUBSTITUTE(ADDRESS(1,MATCH(A211,INDIRECT("'"&amp;E211&amp;"'"&amp;"!A22:Z22"),0),4),1,""),27),"")</f>
        <v>E27</v>
      </c>
      <c r="C211" s="1029" t="str">
        <f t="shared" ca="1" si="19"/>
        <v>E</v>
      </c>
      <c r="D211" s="1347" t="s">
        <v>1456</v>
      </c>
      <c r="E211" s="1029" t="s">
        <v>1501</v>
      </c>
      <c r="F211" s="1346"/>
      <c r="G211" s="1346"/>
      <c r="H211" s="1346"/>
      <c r="I211" s="1346"/>
      <c r="J211" s="1346"/>
      <c r="K211" s="1346"/>
      <c r="L211" s="1087" t="s">
        <v>1270</v>
      </c>
      <c r="M211" s="1347">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47" t="s">
        <v>1456</v>
      </c>
      <c r="E212" s="1029" t="s">
        <v>1501</v>
      </c>
      <c r="F212" s="1346"/>
      <c r="G212" s="1346"/>
      <c r="H212" s="1346"/>
      <c r="I212" s="1346"/>
      <c r="J212" s="1346"/>
      <c r="K212" s="1346"/>
      <c r="L212" s="1087" t="s">
        <v>794</v>
      </c>
      <c r="M212" s="1347">
        <v>120</v>
      </c>
      <c r="N212" s="1347"/>
      <c r="O212" s="1346"/>
    </row>
    <row r="213" spans="1:15" x14ac:dyDescent="0.25">
      <c r="A213" s="1114" t="s">
        <v>793</v>
      </c>
      <c r="B213" s="1029" t="str">
        <f t="shared" ca="1" si="23"/>
        <v>K27</v>
      </c>
      <c r="C213" s="1029" t="str">
        <f t="shared" ca="1" si="19"/>
        <v>K</v>
      </c>
      <c r="D213" s="1347" t="s">
        <v>1456</v>
      </c>
      <c r="E213" s="1029" t="s">
        <v>1501</v>
      </c>
      <c r="F213" s="1346"/>
      <c r="G213" s="1346"/>
      <c r="H213" s="1346"/>
      <c r="I213" s="1346"/>
      <c r="J213" s="1346"/>
      <c r="K213" s="1346"/>
      <c r="L213" s="1087" t="s">
        <v>793</v>
      </c>
      <c r="M213" s="1347">
        <v>130</v>
      </c>
      <c r="N213" s="1347"/>
      <c r="O213" s="1346"/>
    </row>
    <row r="214" spans="1:15" x14ac:dyDescent="0.25">
      <c r="A214" s="1114" t="s">
        <v>1271</v>
      </c>
      <c r="B214" s="1029" t="str">
        <f t="shared" ca="1" si="23"/>
        <v>L27</v>
      </c>
      <c r="C214" s="1029" t="str">
        <f t="shared" ca="1" si="19"/>
        <v>L</v>
      </c>
      <c r="D214" s="1347" t="s">
        <v>1456</v>
      </c>
      <c r="E214" s="1029" t="s">
        <v>1501</v>
      </c>
      <c r="F214" s="1346"/>
      <c r="G214" s="1346"/>
      <c r="H214" s="1346"/>
      <c r="I214" s="1346"/>
      <c r="J214" s="1346"/>
      <c r="K214" s="1346"/>
      <c r="L214" s="1087" t="s">
        <v>1271</v>
      </c>
      <c r="M214" s="1347">
        <v>131</v>
      </c>
      <c r="N214" s="1347"/>
      <c r="O214" s="1346"/>
    </row>
    <row r="215" spans="1:15" x14ac:dyDescent="0.25">
      <c r="A215" s="1114" t="s">
        <v>1272</v>
      </c>
      <c r="B215" s="1029" t="str">
        <f t="shared" ca="1" si="23"/>
        <v>M27</v>
      </c>
      <c r="C215" s="1029" t="str">
        <f t="shared" ca="1" si="19"/>
        <v>M</v>
      </c>
      <c r="D215" s="1347" t="s">
        <v>1456</v>
      </c>
      <c r="E215" s="1029" t="s">
        <v>1501</v>
      </c>
      <c r="F215" s="1346"/>
      <c r="G215" s="1346"/>
      <c r="H215" s="1346"/>
      <c r="I215" s="1346"/>
      <c r="J215" s="1346"/>
      <c r="K215" s="1346"/>
      <c r="L215" s="1087" t="s">
        <v>1272</v>
      </c>
      <c r="M215" s="1347">
        <v>132</v>
      </c>
      <c r="N215" s="1347"/>
      <c r="O215" s="1346"/>
    </row>
    <row r="216" spans="1:15" x14ac:dyDescent="0.25">
      <c r="A216" s="1114" t="s">
        <v>1273</v>
      </c>
      <c r="B216" s="1029" t="str">
        <f t="shared" ca="1" si="23"/>
        <v>N27</v>
      </c>
      <c r="C216" s="1029" t="str">
        <f t="shared" ca="1" si="19"/>
        <v>N</v>
      </c>
      <c r="D216" s="1347" t="s">
        <v>1456</v>
      </c>
      <c r="E216" s="1029" t="s">
        <v>1501</v>
      </c>
      <c r="F216" s="1346"/>
      <c r="G216" s="1346"/>
      <c r="H216" s="1346"/>
      <c r="I216" s="1346"/>
      <c r="J216" s="1346"/>
      <c r="K216" s="1346"/>
      <c r="L216" s="1087" t="s">
        <v>1466</v>
      </c>
      <c r="M216" s="1347">
        <v>133</v>
      </c>
      <c r="N216" s="1347"/>
      <c r="O216" s="1346"/>
    </row>
    <row r="217" spans="1:15" x14ac:dyDescent="0.25">
      <c r="A217" s="1114" t="s">
        <v>1391</v>
      </c>
      <c r="B217" s="1029" t="str">
        <f t="shared" ca="1" si="23"/>
        <v>O27</v>
      </c>
      <c r="C217" s="1029" t="str">
        <f t="shared" ca="1" si="19"/>
        <v>O</v>
      </c>
      <c r="D217" s="1347" t="s">
        <v>1456</v>
      </c>
      <c r="E217" s="1029" t="s">
        <v>1501</v>
      </c>
      <c r="F217" s="1346"/>
      <c r="G217" s="1346"/>
      <c r="H217" s="1346"/>
      <c r="I217" s="1346"/>
      <c r="J217" s="1346"/>
      <c r="K217" s="1346"/>
      <c r="L217" s="1087" t="s">
        <v>1391</v>
      </c>
      <c r="M217" s="1347">
        <v>134</v>
      </c>
      <c r="N217" s="1347"/>
      <c r="O217" s="1346"/>
    </row>
    <row r="218" spans="1:15" x14ac:dyDescent="0.25">
      <c r="A218" s="1114" t="s">
        <v>795</v>
      </c>
      <c r="B218" s="1029" t="str">
        <f t="shared" ca="1" si="23"/>
        <v>G27</v>
      </c>
      <c r="C218" s="1029" t="str">
        <f t="shared" ca="1" si="19"/>
        <v>G</v>
      </c>
      <c r="D218" s="1347" t="s">
        <v>1456</v>
      </c>
      <c r="E218" s="1029" t="s">
        <v>1501</v>
      </c>
      <c r="F218" s="1346"/>
      <c r="G218" s="1346"/>
      <c r="H218" s="1346"/>
      <c r="I218" s="1346"/>
      <c r="J218" s="1346"/>
      <c r="K218" s="1346"/>
      <c r="L218" s="1087" t="s">
        <v>795</v>
      </c>
      <c r="M218" s="1347">
        <v>135</v>
      </c>
      <c r="N218" s="1347"/>
      <c r="O218" s="1346"/>
    </row>
    <row r="219" spans="1:15" x14ac:dyDescent="0.25">
      <c r="A219" s="1114" t="s">
        <v>800</v>
      </c>
      <c r="B219" s="1029" t="str">
        <f t="shared" ca="1" si="23"/>
        <v>H27</v>
      </c>
      <c r="C219" s="1029" t="str">
        <f t="shared" ca="1" si="19"/>
        <v>H</v>
      </c>
      <c r="D219" s="1347" t="s">
        <v>1456</v>
      </c>
      <c r="E219" s="1029" t="s">
        <v>1501</v>
      </c>
      <c r="F219" s="1346"/>
      <c r="G219" s="1346"/>
      <c r="H219" s="1346"/>
      <c r="I219" s="1346"/>
      <c r="J219" s="1346"/>
      <c r="K219" s="1346"/>
      <c r="L219" s="1087" t="s">
        <v>800</v>
      </c>
      <c r="M219" s="1347">
        <v>136</v>
      </c>
      <c r="N219" s="1347"/>
      <c r="O219" s="1346"/>
    </row>
    <row r="220" spans="1:15" x14ac:dyDescent="0.25">
      <c r="A220" s="1114" t="s">
        <v>801</v>
      </c>
      <c r="B220" s="1029" t="str">
        <f t="shared" ca="1" si="23"/>
        <v>I27</v>
      </c>
      <c r="C220" s="1029" t="str">
        <f t="shared" ca="1" si="19"/>
        <v>I</v>
      </c>
      <c r="D220" s="1347" t="s">
        <v>1456</v>
      </c>
      <c r="E220" s="1029" t="s">
        <v>1501</v>
      </c>
      <c r="F220" s="1346"/>
      <c r="G220" s="1346"/>
      <c r="H220" s="1346"/>
      <c r="I220" s="1346"/>
      <c r="J220" s="1346"/>
      <c r="K220" s="1346"/>
      <c r="L220" s="1087" t="s">
        <v>801</v>
      </c>
      <c r="M220" s="1347">
        <v>137</v>
      </c>
      <c r="N220" s="1347"/>
      <c r="O220" s="1346"/>
    </row>
    <row r="221" spans="1:15" x14ac:dyDescent="0.25">
      <c r="A221" s="1114" t="s">
        <v>204</v>
      </c>
      <c r="B221" s="1029" t="str">
        <f t="shared" ca="1" si="23"/>
        <v>J27</v>
      </c>
      <c r="C221" s="1029" t="str">
        <f t="shared" ca="1" si="19"/>
        <v>J</v>
      </c>
      <c r="D221" s="1347" t="s">
        <v>1456</v>
      </c>
      <c r="E221" s="1029" t="s">
        <v>1501</v>
      </c>
      <c r="F221" s="1346"/>
      <c r="G221" s="1346"/>
      <c r="H221" s="1346"/>
      <c r="I221" s="1346"/>
      <c r="J221" s="1346"/>
      <c r="K221" s="1346"/>
      <c r="L221" s="1087" t="s">
        <v>204</v>
      </c>
      <c r="M221" s="1347">
        <v>138</v>
      </c>
      <c r="N221" s="1347"/>
      <c r="O221" s="1346"/>
    </row>
    <row r="222" spans="1:15" x14ac:dyDescent="0.25">
      <c r="A222" s="1115" t="s">
        <v>1270</v>
      </c>
      <c r="B222" s="1029" t="str">
        <f ca="1">_xlfn.IFNA(_xlfn.CONCAT(SUBSTITUTE(ADDRESS(1,MATCH(A222,INDIRECT("'"&amp;E222&amp;"'"&amp;"!A22:Z22"),0),4),1,""),28),"")</f>
        <v>E28</v>
      </c>
      <c r="C222" s="1029" t="str">
        <f t="shared" ca="1" si="19"/>
        <v>E</v>
      </c>
      <c r="D222" s="1347" t="s">
        <v>1456</v>
      </c>
      <c r="E222" s="1029" t="s">
        <v>1501</v>
      </c>
      <c r="F222" s="1346"/>
      <c r="G222" s="1346"/>
      <c r="H222" s="1346"/>
      <c r="I222" s="1346"/>
      <c r="J222" s="1346"/>
      <c r="K222" s="1346"/>
      <c r="L222" s="1087" t="s">
        <v>1270</v>
      </c>
      <c r="M222" s="1347">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47" t="s">
        <v>1456</v>
      </c>
      <c r="E223" s="1029" t="s">
        <v>1501</v>
      </c>
      <c r="F223" s="1346"/>
      <c r="G223" s="1346"/>
      <c r="H223" s="1346"/>
      <c r="I223" s="1346"/>
      <c r="J223" s="1346"/>
      <c r="K223" s="1346"/>
      <c r="L223" s="1087" t="s">
        <v>794</v>
      </c>
      <c r="M223" s="1347">
        <v>141</v>
      </c>
      <c r="N223" s="1347"/>
      <c r="O223" s="1346"/>
    </row>
    <row r="224" spans="1:15" x14ac:dyDescent="0.25">
      <c r="A224" s="1116" t="s">
        <v>793</v>
      </c>
      <c r="B224" s="1029" t="str">
        <f t="shared" ca="1" si="24"/>
        <v>K28</v>
      </c>
      <c r="C224" s="1029" t="str">
        <f t="shared" ca="1" si="19"/>
        <v>K</v>
      </c>
      <c r="D224" s="1347" t="s">
        <v>1456</v>
      </c>
      <c r="E224" s="1029" t="s">
        <v>1501</v>
      </c>
      <c r="F224" s="1346"/>
      <c r="G224" s="1346"/>
      <c r="H224" s="1346"/>
      <c r="I224" s="1346"/>
      <c r="J224" s="1346"/>
      <c r="K224" s="1346"/>
      <c r="L224" s="1087" t="s">
        <v>793</v>
      </c>
      <c r="M224" s="1347">
        <v>151</v>
      </c>
      <c r="N224" s="1347"/>
      <c r="O224" s="1346"/>
    </row>
    <row r="225" spans="1:15" x14ac:dyDescent="0.25">
      <c r="A225" s="1116" t="s">
        <v>1271</v>
      </c>
      <c r="B225" s="1029" t="str">
        <f t="shared" ca="1" si="24"/>
        <v>L28</v>
      </c>
      <c r="C225" s="1029" t="str">
        <f t="shared" ca="1" si="19"/>
        <v>L</v>
      </c>
      <c r="D225" s="1347" t="s">
        <v>1456</v>
      </c>
      <c r="E225" s="1029" t="s">
        <v>1501</v>
      </c>
      <c r="F225" s="1346"/>
      <c r="G225" s="1346"/>
      <c r="H225" s="1346"/>
      <c r="I225" s="1346"/>
      <c r="J225" s="1346"/>
      <c r="K225" s="1346"/>
      <c r="L225" s="1087" t="s">
        <v>1271</v>
      </c>
      <c r="M225" s="1347">
        <v>152</v>
      </c>
      <c r="N225" s="1347"/>
      <c r="O225" s="1346"/>
    </row>
    <row r="226" spans="1:15" x14ac:dyDescent="0.25">
      <c r="A226" s="1116" t="s">
        <v>1272</v>
      </c>
      <c r="B226" s="1029" t="str">
        <f t="shared" ca="1" si="24"/>
        <v>M28</v>
      </c>
      <c r="C226" s="1029" t="str">
        <f t="shared" ca="1" si="19"/>
        <v>M</v>
      </c>
      <c r="D226" s="1347" t="s">
        <v>1456</v>
      </c>
      <c r="E226" s="1029" t="s">
        <v>1501</v>
      </c>
      <c r="F226" s="1346"/>
      <c r="G226" s="1346"/>
      <c r="H226" s="1346"/>
      <c r="I226" s="1346"/>
      <c r="J226" s="1346"/>
      <c r="K226" s="1346"/>
      <c r="L226" s="1087" t="s">
        <v>1272</v>
      </c>
      <c r="M226" s="1347">
        <v>153</v>
      </c>
      <c r="N226" s="1347"/>
      <c r="O226" s="1346"/>
    </row>
    <row r="227" spans="1:15" x14ac:dyDescent="0.25">
      <c r="A227" s="1116" t="s">
        <v>1273</v>
      </c>
      <c r="B227" s="1029" t="str">
        <f t="shared" ca="1" si="24"/>
        <v>N28</v>
      </c>
      <c r="C227" s="1029" t="str">
        <f t="shared" ca="1" si="19"/>
        <v>N</v>
      </c>
      <c r="D227" s="1347" t="s">
        <v>1456</v>
      </c>
      <c r="E227" s="1029" t="s">
        <v>1501</v>
      </c>
      <c r="F227" s="1346"/>
      <c r="G227" s="1346"/>
      <c r="H227" s="1346"/>
      <c r="I227" s="1346"/>
      <c r="J227" s="1346"/>
      <c r="K227" s="1346"/>
      <c r="L227" s="1087" t="s">
        <v>1466</v>
      </c>
      <c r="M227" s="1347">
        <v>154</v>
      </c>
      <c r="N227" s="1347"/>
      <c r="O227" s="1346"/>
    </row>
    <row r="228" spans="1:15" x14ac:dyDescent="0.25">
      <c r="A228" s="1116" t="s">
        <v>1391</v>
      </c>
      <c r="B228" s="1029" t="str">
        <f t="shared" ca="1" si="24"/>
        <v>O28</v>
      </c>
      <c r="C228" s="1029" t="str">
        <f t="shared" ca="1" si="19"/>
        <v>O</v>
      </c>
      <c r="D228" s="1347" t="s">
        <v>1456</v>
      </c>
      <c r="E228" s="1029" t="s">
        <v>1501</v>
      </c>
      <c r="F228" s="1346"/>
      <c r="G228" s="1346"/>
      <c r="H228" s="1346"/>
      <c r="I228" s="1346"/>
      <c r="J228" s="1346"/>
      <c r="K228" s="1346"/>
      <c r="L228" s="1087" t="s">
        <v>1391</v>
      </c>
      <c r="M228" s="1347">
        <v>155</v>
      </c>
      <c r="N228" s="1347"/>
      <c r="O228" s="1346"/>
    </row>
    <row r="229" spans="1:15" x14ac:dyDescent="0.25">
      <c r="A229" s="1116" t="s">
        <v>795</v>
      </c>
      <c r="B229" s="1029" t="str">
        <f t="shared" ca="1" si="24"/>
        <v>G28</v>
      </c>
      <c r="C229" s="1029" t="str">
        <f t="shared" ca="1" si="19"/>
        <v>G</v>
      </c>
      <c r="D229" s="1347" t="s">
        <v>1456</v>
      </c>
      <c r="E229" s="1029" t="s">
        <v>1501</v>
      </c>
      <c r="F229" s="1346"/>
      <c r="G229" s="1346"/>
      <c r="H229" s="1346"/>
      <c r="I229" s="1346"/>
      <c r="J229" s="1346"/>
      <c r="K229" s="1346"/>
      <c r="L229" s="1087" t="s">
        <v>795</v>
      </c>
      <c r="M229" s="1347">
        <v>156</v>
      </c>
      <c r="N229" s="1347"/>
      <c r="O229" s="1346"/>
    </row>
    <row r="230" spans="1:15" x14ac:dyDescent="0.25">
      <c r="A230" s="1116" t="s">
        <v>800</v>
      </c>
      <c r="B230" s="1029" t="str">
        <f t="shared" ca="1" si="24"/>
        <v>H28</v>
      </c>
      <c r="C230" s="1029" t="str">
        <f t="shared" ca="1" si="19"/>
        <v>H</v>
      </c>
      <c r="D230" s="1347" t="s">
        <v>1456</v>
      </c>
      <c r="E230" s="1029" t="s">
        <v>1501</v>
      </c>
      <c r="F230" s="1346"/>
      <c r="G230" s="1346"/>
      <c r="H230" s="1346"/>
      <c r="I230" s="1346"/>
      <c r="J230" s="1346"/>
      <c r="K230" s="1346"/>
      <c r="L230" s="1087" t="s">
        <v>800</v>
      </c>
      <c r="M230" s="1347">
        <v>157</v>
      </c>
      <c r="N230" s="1347"/>
      <c r="O230" s="1346"/>
    </row>
    <row r="231" spans="1:15" x14ac:dyDescent="0.25">
      <c r="A231" s="1116" t="s">
        <v>801</v>
      </c>
      <c r="B231" s="1029" t="str">
        <f t="shared" ca="1" si="24"/>
        <v>I28</v>
      </c>
      <c r="C231" s="1029" t="str">
        <f t="shared" ca="1" si="19"/>
        <v>I</v>
      </c>
      <c r="D231" s="1347" t="s">
        <v>1456</v>
      </c>
      <c r="E231" s="1029" t="s">
        <v>1501</v>
      </c>
      <c r="F231" s="1346"/>
      <c r="G231" s="1346"/>
      <c r="H231" s="1346"/>
      <c r="I231" s="1346"/>
      <c r="J231" s="1346"/>
      <c r="K231" s="1346"/>
      <c r="L231" s="1087" t="s">
        <v>801</v>
      </c>
      <c r="M231" s="1347">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47" t="s">
        <v>1456</v>
      </c>
      <c r="E232" s="1029" t="s">
        <v>1501</v>
      </c>
      <c r="F232" s="1346"/>
      <c r="G232" s="1346"/>
      <c r="H232" s="1346"/>
      <c r="I232" s="1346"/>
      <c r="J232" s="1346"/>
      <c r="K232" s="1346"/>
      <c r="L232" s="1087" t="s">
        <v>204</v>
      </c>
      <c r="M232" s="1347">
        <v>159</v>
      </c>
      <c r="N232" s="1347"/>
      <c r="O232" s="1346"/>
    </row>
    <row r="233" spans="1:15" x14ac:dyDescent="0.25">
      <c r="A233" s="1113" t="s">
        <v>1270</v>
      </c>
      <c r="B233" s="1029" t="str">
        <f ca="1">_xlfn.IFNA(_xlfn.CONCAT(SUBSTITUTE(ADDRESS(1,MATCH(A233,INDIRECT("'"&amp;E233&amp;"'"&amp;"!A22:Z22"),0),4),1,""),29),"")</f>
        <v>E29</v>
      </c>
      <c r="C233" s="1029" t="str">
        <f t="shared" ca="1" si="25"/>
        <v>E</v>
      </c>
      <c r="D233" s="1347" t="s">
        <v>1456</v>
      </c>
      <c r="E233" s="1029" t="s">
        <v>1501</v>
      </c>
      <c r="F233" s="1346"/>
      <c r="G233" s="1346"/>
      <c r="H233" s="1346"/>
      <c r="I233" s="1346"/>
      <c r="J233" s="1346"/>
      <c r="K233" s="1346"/>
      <c r="L233" s="1087" t="s">
        <v>1270</v>
      </c>
      <c r="M233" s="1347">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47" t="s">
        <v>1456</v>
      </c>
      <c r="E234" s="1029" t="s">
        <v>1501</v>
      </c>
      <c r="F234" s="1346"/>
      <c r="G234" s="1346"/>
      <c r="H234" s="1346"/>
      <c r="I234" s="1346"/>
      <c r="J234" s="1346"/>
      <c r="K234" s="1346"/>
      <c r="L234" s="1087" t="s">
        <v>794</v>
      </c>
      <c r="M234" s="1347">
        <v>162</v>
      </c>
      <c r="N234" s="1347"/>
      <c r="O234" s="1346"/>
    </row>
    <row r="235" spans="1:15" x14ac:dyDescent="0.25">
      <c r="A235" s="1114" t="s">
        <v>793</v>
      </c>
      <c r="B235" s="1029" t="str">
        <f t="shared" ca="1" si="26"/>
        <v>K29</v>
      </c>
      <c r="C235" s="1029" t="str">
        <f t="shared" ca="1" si="25"/>
        <v>K</v>
      </c>
      <c r="D235" s="1347" t="s">
        <v>1456</v>
      </c>
      <c r="E235" s="1029" t="s">
        <v>1501</v>
      </c>
      <c r="F235" s="1346"/>
      <c r="G235" s="1346"/>
      <c r="H235" s="1346"/>
      <c r="I235" s="1346"/>
      <c r="J235" s="1346"/>
      <c r="K235" s="1346"/>
      <c r="L235" s="1087" t="s">
        <v>793</v>
      </c>
      <c r="M235" s="1347">
        <v>172</v>
      </c>
      <c r="N235" s="1347"/>
      <c r="O235" s="1346"/>
    </row>
    <row r="236" spans="1:15" x14ac:dyDescent="0.25">
      <c r="A236" s="1114" t="s">
        <v>1271</v>
      </c>
      <c r="B236" s="1029" t="str">
        <f t="shared" ca="1" si="26"/>
        <v>L29</v>
      </c>
      <c r="C236" s="1029" t="str">
        <f t="shared" ca="1" si="25"/>
        <v>L</v>
      </c>
      <c r="D236" s="1347" t="s">
        <v>1456</v>
      </c>
      <c r="E236" s="1029" t="s">
        <v>1501</v>
      </c>
      <c r="F236" s="1346"/>
      <c r="G236" s="1346"/>
      <c r="H236" s="1346"/>
      <c r="I236" s="1346"/>
      <c r="J236" s="1346"/>
      <c r="K236" s="1346"/>
      <c r="L236" s="1087" t="s">
        <v>1271</v>
      </c>
      <c r="M236" s="1347">
        <v>173</v>
      </c>
      <c r="N236" s="1347"/>
      <c r="O236" s="1346"/>
    </row>
    <row r="237" spans="1:15" x14ac:dyDescent="0.25">
      <c r="A237" s="1114" t="s">
        <v>1272</v>
      </c>
      <c r="B237" s="1029" t="str">
        <f t="shared" ca="1" si="26"/>
        <v>M29</v>
      </c>
      <c r="C237" s="1029" t="str">
        <f t="shared" ca="1" si="25"/>
        <v>M</v>
      </c>
      <c r="D237" s="1347" t="s">
        <v>1456</v>
      </c>
      <c r="E237" s="1029" t="s">
        <v>1501</v>
      </c>
      <c r="F237" s="1346"/>
      <c r="G237" s="1346"/>
      <c r="H237" s="1346"/>
      <c r="I237" s="1346"/>
      <c r="J237" s="1346"/>
      <c r="K237" s="1346"/>
      <c r="L237" s="1087" t="s">
        <v>1272</v>
      </c>
      <c r="M237" s="1347">
        <v>174</v>
      </c>
      <c r="N237" s="1347"/>
      <c r="O237" s="1346"/>
    </row>
    <row r="238" spans="1:15" x14ac:dyDescent="0.25">
      <c r="A238" s="1114" t="s">
        <v>1273</v>
      </c>
      <c r="B238" s="1029" t="str">
        <f t="shared" ca="1" si="26"/>
        <v>N29</v>
      </c>
      <c r="C238" s="1029" t="str">
        <f t="shared" ca="1" si="25"/>
        <v>N</v>
      </c>
      <c r="D238" s="1347" t="s">
        <v>1456</v>
      </c>
      <c r="E238" s="1029" t="s">
        <v>1501</v>
      </c>
      <c r="F238" s="1346"/>
      <c r="G238" s="1346"/>
      <c r="H238" s="1346"/>
      <c r="I238" s="1346"/>
      <c r="J238" s="1346"/>
      <c r="K238" s="1346"/>
      <c r="L238" s="1087" t="s">
        <v>1466</v>
      </c>
      <c r="M238" s="1347">
        <v>175</v>
      </c>
      <c r="N238" s="1347"/>
      <c r="O238" s="1346"/>
    </row>
    <row r="239" spans="1:15" x14ac:dyDescent="0.25">
      <c r="A239" s="1114" t="s">
        <v>1391</v>
      </c>
      <c r="B239" s="1029" t="str">
        <f t="shared" ca="1" si="26"/>
        <v>O29</v>
      </c>
      <c r="C239" s="1029" t="str">
        <f t="shared" ca="1" si="25"/>
        <v>O</v>
      </c>
      <c r="D239" s="1347" t="s">
        <v>1456</v>
      </c>
      <c r="E239" s="1029" t="s">
        <v>1501</v>
      </c>
      <c r="F239" s="1346"/>
      <c r="G239" s="1346"/>
      <c r="H239" s="1346"/>
      <c r="I239" s="1346"/>
      <c r="J239" s="1346"/>
      <c r="K239" s="1346"/>
      <c r="L239" s="1087" t="s">
        <v>1391</v>
      </c>
      <c r="M239" s="1347">
        <v>176</v>
      </c>
      <c r="N239" s="1347"/>
      <c r="O239" s="1346"/>
    </row>
    <row r="240" spans="1:15" x14ac:dyDescent="0.25">
      <c r="A240" s="1114" t="s">
        <v>795</v>
      </c>
      <c r="B240" s="1029" t="str">
        <f t="shared" ca="1" si="26"/>
        <v>G29</v>
      </c>
      <c r="C240" s="1029" t="str">
        <f t="shared" ca="1" si="25"/>
        <v>G</v>
      </c>
      <c r="D240" s="1347" t="s">
        <v>1456</v>
      </c>
      <c r="E240" s="1029" t="s">
        <v>1501</v>
      </c>
      <c r="F240" s="1346"/>
      <c r="G240" s="1346"/>
      <c r="H240" s="1346"/>
      <c r="I240" s="1346"/>
      <c r="J240" s="1346"/>
      <c r="K240" s="1346"/>
      <c r="L240" s="1087" t="s">
        <v>795</v>
      </c>
      <c r="M240" s="1347">
        <v>177</v>
      </c>
      <c r="N240" s="1347"/>
      <c r="O240" s="1346"/>
    </row>
    <row r="241" spans="1:15" x14ac:dyDescent="0.25">
      <c r="A241" s="1114" t="s">
        <v>800</v>
      </c>
      <c r="B241" s="1029" t="str">
        <f t="shared" ca="1" si="26"/>
        <v>H29</v>
      </c>
      <c r="C241" s="1029" t="str">
        <f t="shared" ca="1" si="25"/>
        <v>H</v>
      </c>
      <c r="D241" s="1347" t="s">
        <v>1456</v>
      </c>
      <c r="E241" s="1029" t="s">
        <v>1501</v>
      </c>
      <c r="F241" s="1346"/>
      <c r="G241" s="1346"/>
      <c r="H241" s="1346"/>
      <c r="I241" s="1346"/>
      <c r="J241" s="1346"/>
      <c r="K241" s="1346"/>
      <c r="L241" s="1087" t="s">
        <v>800</v>
      </c>
      <c r="M241" s="1347">
        <v>178</v>
      </c>
      <c r="N241" s="1347"/>
      <c r="O241" s="1346"/>
    </row>
    <row r="242" spans="1:15" x14ac:dyDescent="0.25">
      <c r="A242" s="1114" t="s">
        <v>801</v>
      </c>
      <c r="B242" s="1029" t="str">
        <f t="shared" ca="1" si="26"/>
        <v>I29</v>
      </c>
      <c r="C242" s="1029" t="str">
        <f t="shared" ca="1" si="25"/>
        <v>I</v>
      </c>
      <c r="D242" s="1347" t="s">
        <v>1456</v>
      </c>
      <c r="E242" s="1029" t="s">
        <v>1501</v>
      </c>
      <c r="F242" s="1346"/>
      <c r="G242" s="1346"/>
      <c r="H242" s="1346"/>
      <c r="I242" s="1346"/>
      <c r="J242" s="1346"/>
      <c r="K242" s="1346"/>
      <c r="L242" s="1087" t="s">
        <v>801</v>
      </c>
      <c r="M242" s="1347">
        <v>179</v>
      </c>
      <c r="N242" s="1347"/>
      <c r="O242" s="1346"/>
    </row>
    <row r="243" spans="1:15" x14ac:dyDescent="0.25">
      <c r="A243" s="1114" t="s">
        <v>204</v>
      </c>
      <c r="B243" s="1029" t="str">
        <f t="shared" ca="1" si="26"/>
        <v>J29</v>
      </c>
      <c r="C243" s="1029" t="str">
        <f t="shared" ca="1" si="25"/>
        <v>J</v>
      </c>
      <c r="D243" s="1347" t="s">
        <v>1456</v>
      </c>
      <c r="E243" s="1029" t="s">
        <v>1501</v>
      </c>
      <c r="F243" s="1346"/>
      <c r="G243" s="1346"/>
      <c r="H243" s="1346"/>
      <c r="I243" s="1346"/>
      <c r="J243" s="1346"/>
      <c r="K243" s="1346"/>
      <c r="L243" s="1087" t="s">
        <v>204</v>
      </c>
      <c r="M243" s="1347">
        <v>180</v>
      </c>
      <c r="N243" s="1347"/>
      <c r="O243" s="1346"/>
    </row>
    <row r="244" spans="1:15" x14ac:dyDescent="0.25">
      <c r="A244" s="1115" t="s">
        <v>1270</v>
      </c>
      <c r="B244" s="1029" t="str">
        <f ca="1">_xlfn.IFNA(_xlfn.CONCAT(SUBSTITUTE(ADDRESS(1,MATCH(A244,INDIRECT("'"&amp;E244&amp;"'"&amp;"!A22:Z22"),0),4),1,""),30),"")</f>
        <v>E30</v>
      </c>
      <c r="C244" s="1029" t="str">
        <f t="shared" ca="1" si="25"/>
        <v>E</v>
      </c>
      <c r="D244" s="1347" t="s">
        <v>1456</v>
      </c>
      <c r="E244" s="1029" t="s">
        <v>1501</v>
      </c>
      <c r="F244" s="1346"/>
      <c r="G244" s="1346"/>
      <c r="H244" s="1346"/>
      <c r="I244" s="1346"/>
      <c r="J244" s="1346"/>
      <c r="K244" s="1346"/>
      <c r="L244" s="1087" t="s">
        <v>1270</v>
      </c>
      <c r="M244" s="1347">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47" t="s">
        <v>1456</v>
      </c>
      <c r="E245" s="1029" t="s">
        <v>1501</v>
      </c>
      <c r="F245" s="1346"/>
      <c r="G245" s="1346"/>
      <c r="H245" s="1346"/>
      <c r="I245" s="1346"/>
      <c r="J245" s="1346"/>
      <c r="K245" s="1346"/>
      <c r="L245" s="1087" t="s">
        <v>794</v>
      </c>
      <c r="M245" s="1347">
        <v>183</v>
      </c>
      <c r="N245" s="1347"/>
      <c r="O245" s="1346"/>
    </row>
    <row r="246" spans="1:15" x14ac:dyDescent="0.25">
      <c r="A246" s="1116" t="s">
        <v>793</v>
      </c>
      <c r="B246" s="1029" t="str">
        <f t="shared" ca="1" si="27"/>
        <v>K30</v>
      </c>
      <c r="C246" s="1029" t="str">
        <f t="shared" ca="1" si="25"/>
        <v>K</v>
      </c>
      <c r="D246" s="1347" t="s">
        <v>1456</v>
      </c>
      <c r="E246" s="1029" t="s">
        <v>1501</v>
      </c>
      <c r="F246" s="1346"/>
      <c r="G246" s="1346"/>
      <c r="H246" s="1346"/>
      <c r="I246" s="1346"/>
      <c r="J246" s="1346"/>
      <c r="K246" s="1346"/>
      <c r="L246" s="1087" t="s">
        <v>793</v>
      </c>
      <c r="M246" s="1347">
        <v>193</v>
      </c>
      <c r="N246" s="1347"/>
      <c r="O246" s="1346"/>
    </row>
    <row r="247" spans="1:15" x14ac:dyDescent="0.25">
      <c r="A247" s="1116" t="s">
        <v>1271</v>
      </c>
      <c r="B247" s="1029" t="str">
        <f t="shared" ca="1" si="27"/>
        <v>L30</v>
      </c>
      <c r="C247" s="1029" t="str">
        <f t="shared" ca="1" si="25"/>
        <v>L</v>
      </c>
      <c r="D247" s="1347" t="s">
        <v>1456</v>
      </c>
      <c r="E247" s="1029" t="s">
        <v>1501</v>
      </c>
      <c r="F247" s="1346"/>
      <c r="G247" s="1346"/>
      <c r="H247" s="1346"/>
      <c r="I247" s="1346"/>
      <c r="J247" s="1346"/>
      <c r="K247" s="1346"/>
      <c r="L247" s="1087" t="s">
        <v>1271</v>
      </c>
      <c r="M247" s="1347">
        <v>194</v>
      </c>
      <c r="N247" s="1347"/>
      <c r="O247" s="1346"/>
    </row>
    <row r="248" spans="1:15" x14ac:dyDescent="0.25">
      <c r="A248" s="1116" t="s">
        <v>1272</v>
      </c>
      <c r="B248" s="1029" t="str">
        <f t="shared" ca="1" si="27"/>
        <v>M30</v>
      </c>
      <c r="C248" s="1029" t="str">
        <f t="shared" ca="1" si="25"/>
        <v>M</v>
      </c>
      <c r="D248" s="1347" t="s">
        <v>1456</v>
      </c>
      <c r="E248" s="1029" t="s">
        <v>1501</v>
      </c>
      <c r="F248" s="1346"/>
      <c r="G248" s="1346"/>
      <c r="H248" s="1346"/>
      <c r="I248" s="1346"/>
      <c r="J248" s="1346"/>
      <c r="K248" s="1346"/>
      <c r="L248" s="1087" t="s">
        <v>1272</v>
      </c>
      <c r="M248" s="1347">
        <v>195</v>
      </c>
      <c r="N248" s="1347"/>
      <c r="O248" s="1346"/>
    </row>
    <row r="249" spans="1:15" x14ac:dyDescent="0.25">
      <c r="A249" s="1116" t="s">
        <v>1273</v>
      </c>
      <c r="B249" s="1029" t="str">
        <f t="shared" ca="1" si="27"/>
        <v>N30</v>
      </c>
      <c r="C249" s="1029" t="str">
        <f t="shared" ca="1" si="25"/>
        <v>N</v>
      </c>
      <c r="D249" s="1347" t="s">
        <v>1456</v>
      </c>
      <c r="E249" s="1029" t="s">
        <v>1501</v>
      </c>
      <c r="F249" s="1346"/>
      <c r="G249" s="1346"/>
      <c r="H249" s="1346"/>
      <c r="I249" s="1346"/>
      <c r="J249" s="1346"/>
      <c r="K249" s="1346"/>
      <c r="L249" s="1087" t="s">
        <v>1466</v>
      </c>
      <c r="M249" s="1347">
        <v>196</v>
      </c>
      <c r="N249" s="1347"/>
      <c r="O249" s="1346"/>
    </row>
    <row r="250" spans="1:15" x14ac:dyDescent="0.25">
      <c r="A250" s="1116" t="s">
        <v>1391</v>
      </c>
      <c r="B250" s="1029" t="str">
        <f t="shared" ca="1" si="27"/>
        <v>O30</v>
      </c>
      <c r="C250" s="1029" t="str">
        <f t="shared" ca="1" si="25"/>
        <v>O</v>
      </c>
      <c r="D250" s="1347" t="s">
        <v>1456</v>
      </c>
      <c r="E250" s="1029" t="s">
        <v>1501</v>
      </c>
      <c r="F250" s="1346"/>
      <c r="G250" s="1346"/>
      <c r="H250" s="1346"/>
      <c r="I250" s="1346"/>
      <c r="J250" s="1346"/>
      <c r="K250" s="1346"/>
      <c r="L250" s="1087" t="s">
        <v>1391</v>
      </c>
      <c r="M250" s="1347">
        <v>197</v>
      </c>
      <c r="N250" s="1347"/>
      <c r="O250" s="1346"/>
    </row>
    <row r="251" spans="1:15" x14ac:dyDescent="0.25">
      <c r="A251" s="1116" t="s">
        <v>795</v>
      </c>
      <c r="B251" s="1029" t="str">
        <f t="shared" ca="1" si="27"/>
        <v>G30</v>
      </c>
      <c r="C251" s="1029" t="str">
        <f t="shared" ca="1" si="25"/>
        <v>G</v>
      </c>
      <c r="D251" s="1347" t="s">
        <v>1456</v>
      </c>
      <c r="E251" s="1029" t="s">
        <v>1501</v>
      </c>
      <c r="F251" s="1346"/>
      <c r="G251" s="1346"/>
      <c r="H251" s="1346"/>
      <c r="I251" s="1346"/>
      <c r="J251" s="1346"/>
      <c r="K251" s="1346"/>
      <c r="L251" s="1087" t="s">
        <v>795</v>
      </c>
      <c r="M251" s="1347">
        <v>198</v>
      </c>
      <c r="N251" s="1347"/>
      <c r="O251" s="1346"/>
    </row>
    <row r="252" spans="1:15" x14ac:dyDescent="0.25">
      <c r="A252" s="1116" t="s">
        <v>800</v>
      </c>
      <c r="B252" s="1029" t="str">
        <f t="shared" ca="1" si="27"/>
        <v>H30</v>
      </c>
      <c r="C252" s="1029" t="str">
        <f t="shared" ca="1" si="25"/>
        <v>H</v>
      </c>
      <c r="D252" s="1347" t="s">
        <v>1456</v>
      </c>
      <c r="E252" s="1029" t="s">
        <v>1501</v>
      </c>
      <c r="F252" s="1346"/>
      <c r="G252" s="1346"/>
      <c r="H252" s="1346"/>
      <c r="I252" s="1346"/>
      <c r="J252" s="1346"/>
      <c r="K252" s="1346"/>
      <c r="L252" s="1087" t="s">
        <v>800</v>
      </c>
      <c r="M252" s="1347">
        <v>199</v>
      </c>
      <c r="N252" s="1347"/>
      <c r="O252" s="1346"/>
    </row>
    <row r="253" spans="1:15" x14ac:dyDescent="0.25">
      <c r="A253" s="1116" t="s">
        <v>801</v>
      </c>
      <c r="B253" s="1029" t="str">
        <f t="shared" ca="1" si="27"/>
        <v>I30</v>
      </c>
      <c r="C253" s="1029" t="str">
        <f t="shared" ca="1" si="25"/>
        <v>I</v>
      </c>
      <c r="D253" s="1347" t="s">
        <v>1456</v>
      </c>
      <c r="E253" s="1029" t="s">
        <v>1501</v>
      </c>
      <c r="F253" s="1346"/>
      <c r="G253" s="1346"/>
      <c r="H253" s="1346"/>
      <c r="I253" s="1346"/>
      <c r="J253" s="1346"/>
      <c r="K253" s="1346"/>
      <c r="L253" s="1087" t="s">
        <v>801</v>
      </c>
      <c r="M253" s="1347">
        <v>200</v>
      </c>
      <c r="N253" s="1347"/>
      <c r="O253" s="1346"/>
    </row>
    <row r="254" spans="1:15" x14ac:dyDescent="0.25">
      <c r="A254" s="1116" t="s">
        <v>204</v>
      </c>
      <c r="B254" s="1029" t="str">
        <f t="shared" ca="1" si="27"/>
        <v>J30</v>
      </c>
      <c r="C254" s="1029" t="str">
        <f t="shared" ca="1" si="25"/>
        <v>J</v>
      </c>
      <c r="D254" s="1347" t="s">
        <v>1456</v>
      </c>
      <c r="E254" s="1029" t="s">
        <v>1501</v>
      </c>
      <c r="F254" s="1346"/>
      <c r="G254" s="1346"/>
      <c r="H254" s="1346"/>
      <c r="I254" s="1346"/>
      <c r="J254" s="1346"/>
      <c r="K254" s="1346"/>
      <c r="L254" s="1087" t="s">
        <v>204</v>
      </c>
      <c r="M254" s="1347">
        <v>201</v>
      </c>
      <c r="N254" s="1347"/>
      <c r="O254" s="1346"/>
    </row>
    <row r="255" spans="1:15" x14ac:dyDescent="0.25">
      <c r="A255" s="1113" t="s">
        <v>1270</v>
      </c>
      <c r="B255" s="1029" t="str">
        <f ca="1">_xlfn.IFNA(_xlfn.CONCAT(SUBSTITUTE(ADDRESS(1,MATCH(A255,INDIRECT("'"&amp;E255&amp;"'"&amp;"!A22:Z22"),0),4),1,""),31),"")</f>
        <v>E31</v>
      </c>
      <c r="C255" s="1029" t="str">
        <f t="shared" ca="1" si="25"/>
        <v>E</v>
      </c>
      <c r="D255" s="1347" t="s">
        <v>1456</v>
      </c>
      <c r="E255" s="1029" t="s">
        <v>1501</v>
      </c>
      <c r="F255" s="1346"/>
      <c r="G255" s="1346"/>
      <c r="H255" s="1346"/>
      <c r="I255" s="1346"/>
      <c r="J255" s="1346"/>
      <c r="K255" s="1346"/>
      <c r="L255" s="1087" t="s">
        <v>1270</v>
      </c>
      <c r="M255" s="1347">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47" t="s">
        <v>1456</v>
      </c>
      <c r="E256" s="1029" t="s">
        <v>1501</v>
      </c>
      <c r="F256" s="1346"/>
      <c r="G256" s="1346"/>
      <c r="H256" s="1346"/>
      <c r="I256" s="1346"/>
      <c r="J256" s="1346"/>
      <c r="K256" s="1346"/>
      <c r="L256" s="1087" t="s">
        <v>794</v>
      </c>
      <c r="M256" s="1347">
        <v>204</v>
      </c>
      <c r="N256" s="1347"/>
      <c r="O256" s="1346"/>
    </row>
    <row r="257" spans="1:15" x14ac:dyDescent="0.25">
      <c r="A257" s="1114" t="s">
        <v>793</v>
      </c>
      <c r="B257" s="1029" t="str">
        <f t="shared" ca="1" si="28"/>
        <v>K31</v>
      </c>
      <c r="C257" s="1029" t="str">
        <f t="shared" ca="1" si="25"/>
        <v>K</v>
      </c>
      <c r="D257" s="1347" t="s">
        <v>1456</v>
      </c>
      <c r="E257" s="1029" t="s">
        <v>1501</v>
      </c>
      <c r="F257" s="1346"/>
      <c r="G257" s="1346"/>
      <c r="H257" s="1346"/>
      <c r="I257" s="1346"/>
      <c r="J257" s="1346"/>
      <c r="K257" s="1346"/>
      <c r="L257" s="1087" t="s">
        <v>793</v>
      </c>
      <c r="M257" s="1347">
        <v>214</v>
      </c>
      <c r="N257" s="1347"/>
      <c r="O257" s="1346"/>
    </row>
    <row r="258" spans="1:15" x14ac:dyDescent="0.25">
      <c r="A258" s="1114" t="s">
        <v>1271</v>
      </c>
      <c r="B258" s="1029" t="str">
        <f t="shared" ca="1" si="28"/>
        <v>L31</v>
      </c>
      <c r="C258" s="1029" t="str">
        <f t="shared" ca="1" si="25"/>
        <v>L</v>
      </c>
      <c r="D258" s="1347" t="s">
        <v>1456</v>
      </c>
      <c r="E258" s="1029" t="s">
        <v>1501</v>
      </c>
      <c r="F258" s="1346"/>
      <c r="G258" s="1346"/>
      <c r="H258" s="1346"/>
      <c r="I258" s="1346"/>
      <c r="J258" s="1346"/>
      <c r="K258" s="1346"/>
      <c r="L258" s="1087" t="s">
        <v>1271</v>
      </c>
      <c r="M258" s="1347">
        <v>215</v>
      </c>
      <c r="N258" s="1347"/>
      <c r="O258" s="1346"/>
    </row>
    <row r="259" spans="1:15" x14ac:dyDescent="0.25">
      <c r="A259" s="1114" t="s">
        <v>1272</v>
      </c>
      <c r="B259" s="1029" t="str">
        <f t="shared" ca="1" si="28"/>
        <v>M31</v>
      </c>
      <c r="C259" s="1029" t="str">
        <f t="shared" ca="1" si="25"/>
        <v>M</v>
      </c>
      <c r="D259" s="1347" t="s">
        <v>1456</v>
      </c>
      <c r="E259" s="1029" t="s">
        <v>1501</v>
      </c>
      <c r="F259" s="1346"/>
      <c r="G259" s="1346"/>
      <c r="H259" s="1346"/>
      <c r="I259" s="1346"/>
      <c r="J259" s="1346"/>
      <c r="K259" s="1346"/>
      <c r="L259" s="1087" t="s">
        <v>1272</v>
      </c>
      <c r="M259" s="1347">
        <v>216</v>
      </c>
      <c r="N259" s="1347"/>
      <c r="O259" s="1346"/>
    </row>
    <row r="260" spans="1:15" x14ac:dyDescent="0.25">
      <c r="A260" s="1114" t="s">
        <v>1273</v>
      </c>
      <c r="B260" s="1029" t="str">
        <f t="shared" ca="1" si="28"/>
        <v>N31</v>
      </c>
      <c r="C260" s="1029" t="str">
        <f t="shared" ca="1" si="25"/>
        <v>N</v>
      </c>
      <c r="D260" s="1347" t="s">
        <v>1456</v>
      </c>
      <c r="E260" s="1029" t="s">
        <v>1501</v>
      </c>
      <c r="F260" s="1346"/>
      <c r="G260" s="1346"/>
      <c r="H260" s="1346"/>
      <c r="I260" s="1346"/>
      <c r="J260" s="1346"/>
      <c r="K260" s="1346"/>
      <c r="L260" s="1087" t="s">
        <v>1466</v>
      </c>
      <c r="M260" s="1347">
        <v>217</v>
      </c>
      <c r="N260" s="1347"/>
      <c r="O260" s="1346"/>
    </row>
    <row r="261" spans="1:15" x14ac:dyDescent="0.25">
      <c r="A261" s="1114" t="s">
        <v>1391</v>
      </c>
      <c r="B261" s="1029" t="str">
        <f t="shared" ca="1" si="28"/>
        <v>O31</v>
      </c>
      <c r="C261" s="1029" t="str">
        <f t="shared" ca="1" si="25"/>
        <v>O</v>
      </c>
      <c r="D261" s="1347" t="s">
        <v>1456</v>
      </c>
      <c r="E261" s="1029" t="s">
        <v>1501</v>
      </c>
      <c r="F261" s="1346"/>
      <c r="G261" s="1346"/>
      <c r="H261" s="1346"/>
      <c r="I261" s="1346"/>
      <c r="J261" s="1346"/>
      <c r="K261" s="1346"/>
      <c r="L261" s="1087" t="s">
        <v>1391</v>
      </c>
      <c r="M261" s="1347">
        <v>218</v>
      </c>
      <c r="N261" s="1347"/>
      <c r="O261" s="1346"/>
    </row>
    <row r="262" spans="1:15" x14ac:dyDescent="0.25">
      <c r="A262" s="1114" t="s">
        <v>795</v>
      </c>
      <c r="B262" s="1029" t="str">
        <f t="shared" ca="1" si="28"/>
        <v>G31</v>
      </c>
      <c r="C262" s="1029" t="str">
        <f t="shared" ca="1" si="25"/>
        <v>G</v>
      </c>
      <c r="D262" s="1347" t="s">
        <v>1456</v>
      </c>
      <c r="E262" s="1029" t="s">
        <v>1501</v>
      </c>
      <c r="F262" s="1346"/>
      <c r="G262" s="1346"/>
      <c r="H262" s="1346"/>
      <c r="I262" s="1346"/>
      <c r="J262" s="1346"/>
      <c r="K262" s="1346"/>
      <c r="L262" s="1087" t="s">
        <v>795</v>
      </c>
      <c r="M262" s="1347">
        <v>219</v>
      </c>
      <c r="N262" s="1347"/>
      <c r="O262" s="1346"/>
    </row>
    <row r="263" spans="1:15" x14ac:dyDescent="0.25">
      <c r="A263" s="1114" t="s">
        <v>800</v>
      </c>
      <c r="B263" s="1029" t="str">
        <f t="shared" ca="1" si="28"/>
        <v>H31</v>
      </c>
      <c r="C263" s="1029" t="str">
        <f t="shared" ca="1" si="25"/>
        <v>H</v>
      </c>
      <c r="D263" s="1347" t="s">
        <v>1456</v>
      </c>
      <c r="E263" s="1029" t="s">
        <v>1501</v>
      </c>
      <c r="F263" s="1346"/>
      <c r="G263" s="1346"/>
      <c r="H263" s="1346"/>
      <c r="I263" s="1346"/>
      <c r="J263" s="1346"/>
      <c r="K263" s="1346"/>
      <c r="L263" s="1087" t="s">
        <v>800</v>
      </c>
      <c r="M263" s="1347">
        <v>220</v>
      </c>
      <c r="N263" s="1347"/>
      <c r="O263" s="1346"/>
    </row>
    <row r="264" spans="1:15" x14ac:dyDescent="0.25">
      <c r="A264" s="1114" t="s">
        <v>801</v>
      </c>
      <c r="B264" s="1029" t="str">
        <f t="shared" ca="1" si="28"/>
        <v>I31</v>
      </c>
      <c r="C264" s="1029" t="str">
        <f t="shared" ca="1" si="25"/>
        <v>I</v>
      </c>
      <c r="D264" s="1347" t="s">
        <v>1456</v>
      </c>
      <c r="E264" s="1029" t="s">
        <v>1501</v>
      </c>
      <c r="F264" s="1346"/>
      <c r="G264" s="1346"/>
      <c r="H264" s="1346"/>
      <c r="I264" s="1346"/>
      <c r="J264" s="1346"/>
      <c r="K264" s="1346"/>
      <c r="L264" s="1087" t="s">
        <v>801</v>
      </c>
      <c r="M264" s="1347">
        <v>221</v>
      </c>
      <c r="N264" s="1347"/>
      <c r="O264" s="1346"/>
    </row>
    <row r="265" spans="1:15" x14ac:dyDescent="0.25">
      <c r="A265" s="1114" t="s">
        <v>204</v>
      </c>
      <c r="B265" s="1029" t="str">
        <f t="shared" ca="1" si="28"/>
        <v>J31</v>
      </c>
      <c r="C265" s="1029" t="str">
        <f t="shared" ca="1" si="25"/>
        <v>J</v>
      </c>
      <c r="D265" s="1347" t="s">
        <v>1456</v>
      </c>
      <c r="E265" s="1029" t="s">
        <v>1501</v>
      </c>
      <c r="F265" s="1346"/>
      <c r="G265" s="1346"/>
      <c r="H265" s="1346"/>
      <c r="I265" s="1346"/>
      <c r="J265" s="1346"/>
      <c r="K265" s="1346"/>
      <c r="L265" s="1087" t="s">
        <v>204</v>
      </c>
      <c r="M265" s="1347">
        <v>222</v>
      </c>
      <c r="N265" s="1347"/>
      <c r="O265" s="1346"/>
    </row>
    <row r="266" spans="1:15" x14ac:dyDescent="0.25">
      <c r="A266" s="1115" t="s">
        <v>1270</v>
      </c>
      <c r="B266" s="1029" t="str">
        <f ca="1">_xlfn.IFNA(_xlfn.CONCAT(SUBSTITUTE(ADDRESS(1,MATCH(A266,INDIRECT("'"&amp;E266&amp;"'"&amp;"!A22:Z22"),0),4),1,""),32),"")</f>
        <v>E32</v>
      </c>
      <c r="C266" s="1029" t="str">
        <f t="shared" ca="1" si="25"/>
        <v>E</v>
      </c>
      <c r="D266" s="1347" t="s">
        <v>1456</v>
      </c>
      <c r="E266" s="1029" t="s">
        <v>1501</v>
      </c>
      <c r="F266" s="1346"/>
      <c r="G266" s="1346"/>
      <c r="H266" s="1346"/>
      <c r="I266" s="1346"/>
      <c r="J266" s="1346"/>
      <c r="K266" s="1346"/>
      <c r="L266" s="1087" t="s">
        <v>1270</v>
      </c>
      <c r="M266" s="1347">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47" t="s">
        <v>1456</v>
      </c>
      <c r="E267" s="1029" t="s">
        <v>1501</v>
      </c>
      <c r="F267" s="1346"/>
      <c r="G267" s="1346"/>
      <c r="H267" s="1346"/>
      <c r="I267" s="1346"/>
      <c r="J267" s="1346"/>
      <c r="K267" s="1346"/>
      <c r="L267" s="1087" t="s">
        <v>794</v>
      </c>
      <c r="M267" s="1347">
        <v>225</v>
      </c>
      <c r="N267" s="1347"/>
      <c r="O267" s="1346"/>
    </row>
    <row r="268" spans="1:15" x14ac:dyDescent="0.25">
      <c r="A268" s="1116" t="s">
        <v>793</v>
      </c>
      <c r="B268" s="1029" t="str">
        <f t="shared" ca="1" si="29"/>
        <v>K32</v>
      </c>
      <c r="C268" s="1029" t="str">
        <f t="shared" ca="1" si="25"/>
        <v>K</v>
      </c>
      <c r="D268" s="1347" t="s">
        <v>1456</v>
      </c>
      <c r="E268" s="1029" t="s">
        <v>1501</v>
      </c>
      <c r="F268" s="1346"/>
      <c r="G268" s="1346"/>
      <c r="H268" s="1346"/>
      <c r="I268" s="1346"/>
      <c r="J268" s="1346"/>
      <c r="K268" s="1346"/>
      <c r="L268" s="1087" t="s">
        <v>793</v>
      </c>
      <c r="M268" s="1347">
        <v>235</v>
      </c>
      <c r="N268" s="1347"/>
      <c r="O268" s="1346"/>
    </row>
    <row r="269" spans="1:15" x14ac:dyDescent="0.25">
      <c r="A269" s="1116" t="s">
        <v>1271</v>
      </c>
      <c r="B269" s="1029" t="str">
        <f t="shared" ca="1" si="29"/>
        <v>L32</v>
      </c>
      <c r="C269" s="1029" t="str">
        <f t="shared" ca="1" si="25"/>
        <v>L</v>
      </c>
      <c r="D269" s="1347" t="s">
        <v>1456</v>
      </c>
      <c r="E269" s="1029" t="s">
        <v>1501</v>
      </c>
      <c r="F269" s="1346"/>
      <c r="G269" s="1346"/>
      <c r="H269" s="1346"/>
      <c r="I269" s="1346"/>
      <c r="J269" s="1346"/>
      <c r="K269" s="1346"/>
      <c r="L269" s="1087" t="s">
        <v>1271</v>
      </c>
      <c r="M269" s="1347">
        <v>236</v>
      </c>
      <c r="N269" s="1347"/>
      <c r="O269" s="1346"/>
    </row>
    <row r="270" spans="1:15" x14ac:dyDescent="0.25">
      <c r="A270" s="1116" t="s">
        <v>1272</v>
      </c>
      <c r="B270" s="1029" t="str">
        <f t="shared" ca="1" si="29"/>
        <v>M32</v>
      </c>
      <c r="C270" s="1029" t="str">
        <f t="shared" ca="1" si="25"/>
        <v>M</v>
      </c>
      <c r="D270" s="1347" t="s">
        <v>1456</v>
      </c>
      <c r="E270" s="1029" t="s">
        <v>1501</v>
      </c>
      <c r="F270" s="1346"/>
      <c r="G270" s="1346"/>
      <c r="H270" s="1346"/>
      <c r="I270" s="1346"/>
      <c r="J270" s="1346"/>
      <c r="K270" s="1346"/>
      <c r="L270" s="1087" t="s">
        <v>1272</v>
      </c>
      <c r="M270" s="1347">
        <v>237</v>
      </c>
      <c r="N270" s="1347"/>
      <c r="O270" s="1346"/>
    </row>
    <row r="271" spans="1:15" x14ac:dyDescent="0.25">
      <c r="A271" s="1116" t="s">
        <v>1273</v>
      </c>
      <c r="B271" s="1029" t="str">
        <f t="shared" ca="1" si="29"/>
        <v>N32</v>
      </c>
      <c r="C271" s="1029" t="str">
        <f t="shared" ca="1" si="25"/>
        <v>N</v>
      </c>
      <c r="D271" s="1347" t="s">
        <v>1456</v>
      </c>
      <c r="E271" s="1029" t="s">
        <v>1501</v>
      </c>
      <c r="F271" s="1346"/>
      <c r="G271" s="1346"/>
      <c r="H271" s="1346"/>
      <c r="I271" s="1346"/>
      <c r="J271" s="1346"/>
      <c r="K271" s="1346"/>
      <c r="L271" s="1087" t="s">
        <v>1466</v>
      </c>
      <c r="M271" s="1347">
        <v>238</v>
      </c>
      <c r="N271" s="1347"/>
      <c r="O271" s="1346"/>
    </row>
    <row r="272" spans="1:15" x14ac:dyDescent="0.25">
      <c r="A272" s="1116" t="s">
        <v>1391</v>
      </c>
      <c r="B272" s="1029" t="str">
        <f t="shared" ca="1" si="29"/>
        <v>O32</v>
      </c>
      <c r="C272" s="1029" t="str">
        <f t="shared" ca="1" si="25"/>
        <v>O</v>
      </c>
      <c r="D272" s="1347" t="s">
        <v>1456</v>
      </c>
      <c r="E272" s="1029" t="s">
        <v>1501</v>
      </c>
      <c r="F272" s="1346"/>
      <c r="G272" s="1346"/>
      <c r="H272" s="1346"/>
      <c r="I272" s="1346"/>
      <c r="J272" s="1346"/>
      <c r="K272" s="1346"/>
      <c r="L272" s="1087" t="s">
        <v>1391</v>
      </c>
      <c r="M272" s="1347">
        <v>239</v>
      </c>
      <c r="N272" s="1347"/>
      <c r="O272" s="1346"/>
    </row>
    <row r="273" spans="1:15" x14ac:dyDescent="0.25">
      <c r="A273" s="1116" t="s">
        <v>795</v>
      </c>
      <c r="B273" s="1029" t="str">
        <f t="shared" ca="1" si="29"/>
        <v>G32</v>
      </c>
      <c r="C273" s="1029" t="str">
        <f t="shared" ca="1" si="25"/>
        <v>G</v>
      </c>
      <c r="D273" s="1347" t="s">
        <v>1456</v>
      </c>
      <c r="E273" s="1029" t="s">
        <v>1501</v>
      </c>
      <c r="F273" s="1346"/>
      <c r="G273" s="1346"/>
      <c r="H273" s="1346"/>
      <c r="I273" s="1346"/>
      <c r="J273" s="1346"/>
      <c r="K273" s="1346"/>
      <c r="L273" s="1087" t="s">
        <v>795</v>
      </c>
      <c r="M273" s="1347">
        <v>240</v>
      </c>
      <c r="N273" s="1347"/>
      <c r="O273" s="1346"/>
    </row>
    <row r="274" spans="1:15" x14ac:dyDescent="0.25">
      <c r="A274" s="1116" t="s">
        <v>800</v>
      </c>
      <c r="B274" s="1029" t="str">
        <f t="shared" ca="1" si="29"/>
        <v>H32</v>
      </c>
      <c r="C274" s="1029" t="str">
        <f t="shared" ca="1" si="25"/>
        <v>H</v>
      </c>
      <c r="D274" s="1347" t="s">
        <v>1456</v>
      </c>
      <c r="E274" s="1029" t="s">
        <v>1501</v>
      </c>
      <c r="F274" s="1346"/>
      <c r="G274" s="1346"/>
      <c r="H274" s="1346"/>
      <c r="I274" s="1346"/>
      <c r="J274" s="1346"/>
      <c r="K274" s="1346"/>
      <c r="L274" s="1087" t="s">
        <v>800</v>
      </c>
      <c r="M274" s="1347">
        <v>241</v>
      </c>
      <c r="N274" s="1347"/>
      <c r="O274" s="1346"/>
    </row>
    <row r="275" spans="1:15" x14ac:dyDescent="0.25">
      <c r="A275" s="1116" t="s">
        <v>801</v>
      </c>
      <c r="B275" s="1029" t="str">
        <f t="shared" ca="1" si="29"/>
        <v>I32</v>
      </c>
      <c r="C275" s="1029" t="str">
        <f t="shared" ca="1" si="25"/>
        <v>I</v>
      </c>
      <c r="D275" s="1347" t="s">
        <v>1456</v>
      </c>
      <c r="E275" s="1029" t="s">
        <v>1501</v>
      </c>
      <c r="F275" s="1346"/>
      <c r="G275" s="1346"/>
      <c r="H275" s="1346"/>
      <c r="I275" s="1346"/>
      <c r="J275" s="1346"/>
      <c r="K275" s="1346"/>
      <c r="L275" s="1087" t="s">
        <v>801</v>
      </c>
      <c r="M275" s="1347">
        <v>242</v>
      </c>
      <c r="N275" s="1347"/>
      <c r="O275" s="1346"/>
    </row>
    <row r="276" spans="1:15" x14ac:dyDescent="0.25">
      <c r="A276" s="1116" t="s">
        <v>204</v>
      </c>
      <c r="B276" s="1029" t="str">
        <f t="shared" ca="1" si="29"/>
        <v>J32</v>
      </c>
      <c r="C276" s="1029" t="str">
        <f t="shared" ca="1" si="25"/>
        <v>J</v>
      </c>
      <c r="D276" s="1347" t="s">
        <v>1456</v>
      </c>
      <c r="E276" s="1029" t="s">
        <v>1501</v>
      </c>
      <c r="F276" s="1346"/>
      <c r="G276" s="1346"/>
      <c r="H276" s="1346"/>
      <c r="I276" s="1346"/>
      <c r="J276" s="1346"/>
      <c r="K276" s="1346"/>
      <c r="L276" s="1087" t="s">
        <v>204</v>
      </c>
      <c r="M276" s="1347">
        <v>243</v>
      </c>
      <c r="N276" s="1347"/>
      <c r="O276" s="1346"/>
    </row>
    <row r="277" spans="1:15" x14ac:dyDescent="0.25">
      <c r="A277" s="1117" t="s">
        <v>1047</v>
      </c>
      <c r="B277" s="1347" t="str">
        <f>IFERROR(_xlfn.CONCAT("D",MATCH(A277,'Tracking &amp; Profitability'!D$1:D$60,0)),"")</f>
        <v>D16</v>
      </c>
      <c r="C277" s="1347" t="str">
        <f>IFERROR(_xlfn.CONCAT("E",MATCH(A277,'Tracking &amp; Profitability'!D$1:D$60,0)),"")</f>
        <v>E16</v>
      </c>
      <c r="D277" s="1029" t="s">
        <v>1449</v>
      </c>
      <c r="E277" s="1347" t="s">
        <v>129</v>
      </c>
      <c r="F277" s="1346"/>
      <c r="G277" s="1346"/>
      <c r="H277" s="1346"/>
      <c r="I277" s="1346"/>
      <c r="J277" s="1346"/>
      <c r="K277" s="1346"/>
      <c r="L277" s="1117" t="s">
        <v>1565</v>
      </c>
      <c r="M277" s="1347">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46"/>
      <c r="G278" s="1346"/>
      <c r="H278" s="1346"/>
      <c r="I278" s="1346"/>
      <c r="J278" s="1346"/>
      <c r="K278" s="1346"/>
      <c r="L278" s="1090" t="s">
        <v>1383</v>
      </c>
      <c r="M278" s="1347">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46"/>
      <c r="G279" s="1346"/>
      <c r="H279" s="1346"/>
      <c r="I279" s="1346"/>
      <c r="J279" s="1346"/>
      <c r="K279" s="1346"/>
      <c r="L279" s="1090" t="s">
        <v>254</v>
      </c>
      <c r="M279" s="1347">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46"/>
      <c r="G280" s="1346"/>
      <c r="H280" s="1346"/>
      <c r="I280" s="1346"/>
      <c r="J280" s="1346"/>
      <c r="K280" s="1346"/>
      <c r="L280" s="1090" t="s">
        <v>1339</v>
      </c>
      <c r="M280" s="1347">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46"/>
      <c r="G281" s="1346"/>
      <c r="H281" s="1346"/>
      <c r="I281" s="1346"/>
      <c r="J281" s="1346"/>
      <c r="K281" s="1346"/>
      <c r="L281" s="1090" t="s">
        <v>225</v>
      </c>
      <c r="M281" s="1347">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47" t="s">
        <v>1456</v>
      </c>
      <c r="E282" s="1029" t="s">
        <v>208</v>
      </c>
      <c r="F282" s="1346"/>
      <c r="G282" s="1346"/>
      <c r="H282" s="1346"/>
      <c r="I282" s="1346"/>
      <c r="J282" s="1346"/>
      <c r="K282" s="1346"/>
      <c r="L282" s="1090" t="s">
        <v>466</v>
      </c>
      <c r="M282" s="1347">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46"/>
      <c r="G283" s="1346"/>
      <c r="H283" s="1346"/>
      <c r="I283" s="1346"/>
      <c r="J283" s="1346"/>
      <c r="K283" s="1346"/>
      <c r="L283" s="1090" t="s">
        <v>1376</v>
      </c>
      <c r="M283" s="1347">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46"/>
      <c r="G284" s="1346"/>
      <c r="H284" s="1346"/>
      <c r="I284" s="1346"/>
      <c r="J284" s="1346"/>
      <c r="K284" s="1346"/>
      <c r="L284" s="1090" t="s">
        <v>1378</v>
      </c>
      <c r="M284" s="1347">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46"/>
      <c r="G285" s="1346"/>
      <c r="H285" s="1346"/>
      <c r="I285" s="1346"/>
      <c r="J285" s="1346"/>
      <c r="K285" s="1346"/>
      <c r="L285" s="1090" t="s">
        <v>1379</v>
      </c>
      <c r="M285" s="1347">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46"/>
      <c r="G286" s="1346"/>
      <c r="H286" s="1346"/>
      <c r="I286" s="1346"/>
      <c r="J286" s="1346"/>
      <c r="K286" s="1346"/>
      <c r="L286" s="1090" t="s">
        <v>1380</v>
      </c>
      <c r="M286" s="1347">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46"/>
      <c r="G287" s="1346"/>
      <c r="H287" s="1346"/>
      <c r="I287" s="1346"/>
      <c r="J287" s="1346"/>
      <c r="K287" s="1346"/>
      <c r="L287" s="1090" t="s">
        <v>1381</v>
      </c>
      <c r="M287" s="1347">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46"/>
      <c r="G288" s="1346"/>
      <c r="H288" s="1346"/>
      <c r="I288" s="1346"/>
      <c r="J288" s="1346"/>
      <c r="K288" s="1346"/>
      <c r="L288" s="1090" t="s">
        <v>1382</v>
      </c>
      <c r="M288" s="1347">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46"/>
      <c r="G289" s="1346"/>
      <c r="H289" s="1346"/>
      <c r="I289" s="1346"/>
      <c r="J289" s="1346"/>
      <c r="K289" s="1346"/>
      <c r="L289" s="1090" t="s">
        <v>1320</v>
      </c>
      <c r="M289" s="1347">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46"/>
      <c r="G290" s="1346"/>
      <c r="H290" s="1346"/>
      <c r="I290" s="1346"/>
      <c r="J290" s="1346"/>
      <c r="K290" s="1346"/>
      <c r="L290" s="1090" t="s">
        <v>1383</v>
      </c>
      <c r="M290" s="1347">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46"/>
      <c r="G291" s="1346"/>
      <c r="H291" s="1346"/>
      <c r="I291" s="1346"/>
      <c r="J291" s="1346"/>
      <c r="K291" s="1346"/>
      <c r="L291" s="1090" t="s">
        <v>254</v>
      </c>
      <c r="M291" s="1347">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46"/>
      <c r="G292" s="1346"/>
      <c r="H292" s="1346"/>
      <c r="I292" s="1346"/>
      <c r="J292" s="1346"/>
      <c r="K292" s="1346"/>
      <c r="L292" s="1090" t="s">
        <v>1339</v>
      </c>
      <c r="M292" s="1347">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46"/>
      <c r="G293" s="1346"/>
      <c r="H293" s="1346"/>
      <c r="I293" s="1346"/>
      <c r="J293" s="1346"/>
      <c r="K293" s="1346"/>
      <c r="L293" s="1090" t="s">
        <v>225</v>
      </c>
      <c r="M293" s="1347">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47" t="s">
        <v>1456</v>
      </c>
      <c r="E294" s="1029" t="s">
        <v>208</v>
      </c>
      <c r="F294" s="1346"/>
      <c r="G294" s="1346"/>
      <c r="H294" s="1346"/>
      <c r="I294" s="1346"/>
      <c r="J294" s="1346"/>
      <c r="K294" s="1346"/>
      <c r="L294" s="1090" t="s">
        <v>466</v>
      </c>
      <c r="M294" s="1347">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46"/>
      <c r="G295" s="1346"/>
      <c r="H295" s="1346"/>
      <c r="I295" s="1346"/>
      <c r="J295" s="1346"/>
      <c r="K295" s="1346"/>
      <c r="L295" s="1090" t="s">
        <v>1376</v>
      </c>
      <c r="M295" s="1347">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46"/>
      <c r="G296" s="1346"/>
      <c r="H296" s="1346"/>
      <c r="I296" s="1346"/>
      <c r="J296" s="1346"/>
      <c r="K296" s="1346"/>
      <c r="L296" s="1090" t="s">
        <v>1378</v>
      </c>
      <c r="M296" s="1347">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46"/>
      <c r="G297" s="1346"/>
      <c r="H297" s="1346"/>
      <c r="I297" s="1346"/>
      <c r="J297" s="1346"/>
      <c r="K297" s="1346"/>
      <c r="L297" s="1090" t="s">
        <v>1379</v>
      </c>
      <c r="M297" s="1347">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46"/>
      <c r="G298" s="1346"/>
      <c r="H298" s="1346"/>
      <c r="I298" s="1346"/>
      <c r="J298" s="1346"/>
      <c r="K298" s="1346"/>
      <c r="L298" s="1090" t="s">
        <v>1380</v>
      </c>
      <c r="M298" s="1347">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46"/>
      <c r="G299" s="1346"/>
      <c r="H299" s="1346"/>
      <c r="I299" s="1346"/>
      <c r="J299" s="1346"/>
      <c r="K299" s="1346"/>
      <c r="L299" s="1090" t="s">
        <v>1381</v>
      </c>
      <c r="M299" s="1347">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46"/>
      <c r="G300" s="1346"/>
      <c r="H300" s="1346"/>
      <c r="I300" s="1346"/>
      <c r="J300" s="1346"/>
      <c r="K300" s="1346"/>
      <c r="L300" s="1090" t="s">
        <v>1382</v>
      </c>
      <c r="M300" s="1347">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46"/>
      <c r="G301" s="1346"/>
      <c r="H301" s="1346"/>
      <c r="I301" s="1346"/>
      <c r="J301" s="1346"/>
      <c r="K301" s="1346"/>
      <c r="L301" s="1090" t="s">
        <v>1320</v>
      </c>
      <c r="M301" s="1347">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46"/>
      <c r="G302" s="1346"/>
      <c r="H302" s="1346"/>
      <c r="I302" s="1346"/>
      <c r="J302" s="1346"/>
      <c r="K302" s="1346"/>
      <c r="L302" s="1090" t="s">
        <v>1383</v>
      </c>
      <c r="M302" s="1347">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46"/>
      <c r="G303" s="1346"/>
      <c r="H303" s="1346"/>
      <c r="I303" s="1346"/>
      <c r="J303" s="1346"/>
      <c r="K303" s="1346"/>
      <c r="L303" s="1090" t="s">
        <v>254</v>
      </c>
      <c r="M303" s="1347">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46"/>
      <c r="G304" s="1346"/>
      <c r="H304" s="1346"/>
      <c r="I304" s="1346"/>
      <c r="J304" s="1346"/>
      <c r="K304" s="1346"/>
      <c r="L304" s="1090" t="s">
        <v>1339</v>
      </c>
      <c r="M304" s="1347">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46"/>
      <c r="G305" s="1346"/>
      <c r="H305" s="1346"/>
      <c r="I305" s="1346"/>
      <c r="J305" s="1346"/>
      <c r="K305" s="1346"/>
      <c r="L305" s="1090" t="s">
        <v>225</v>
      </c>
      <c r="M305" s="1347">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47" t="s">
        <v>1456</v>
      </c>
      <c r="E306" s="1029" t="s">
        <v>208</v>
      </c>
      <c r="F306" s="1346"/>
      <c r="G306" s="1346"/>
      <c r="H306" s="1346"/>
      <c r="I306" s="1346"/>
      <c r="J306" s="1346"/>
      <c r="K306" s="1346"/>
      <c r="L306" s="1090" t="s">
        <v>466</v>
      </c>
      <c r="M306" s="1347">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46"/>
      <c r="G307" s="1346"/>
      <c r="H307" s="1346"/>
      <c r="I307" s="1346"/>
      <c r="J307" s="1346"/>
      <c r="K307" s="1346"/>
      <c r="L307" s="1090" t="s">
        <v>1376</v>
      </c>
      <c r="M307" s="1347">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46"/>
      <c r="G308" s="1346"/>
      <c r="H308" s="1346"/>
      <c r="I308" s="1346"/>
      <c r="J308" s="1346"/>
      <c r="K308" s="1346"/>
      <c r="L308" s="1090" t="s">
        <v>1378</v>
      </c>
      <c r="M308" s="1347">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46"/>
      <c r="G309" s="1346"/>
      <c r="H309" s="1346"/>
      <c r="I309" s="1346"/>
      <c r="J309" s="1346"/>
      <c r="K309" s="1346"/>
      <c r="L309" s="1090" t="s">
        <v>1379</v>
      </c>
      <c r="M309" s="1347">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46"/>
      <c r="G310" s="1346"/>
      <c r="H310" s="1346"/>
      <c r="I310" s="1346"/>
      <c r="J310" s="1346"/>
      <c r="K310" s="1346"/>
      <c r="L310" s="1090" t="s">
        <v>1380</v>
      </c>
      <c r="M310" s="1347">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46"/>
      <c r="G311" s="1346"/>
      <c r="H311" s="1346"/>
      <c r="I311" s="1346"/>
      <c r="J311" s="1346"/>
      <c r="K311" s="1346"/>
      <c r="L311" s="1090" t="s">
        <v>1381</v>
      </c>
      <c r="M311" s="1347">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46"/>
      <c r="G312" s="1346"/>
      <c r="H312" s="1346"/>
      <c r="I312" s="1346"/>
      <c r="J312" s="1346"/>
      <c r="K312" s="1346"/>
      <c r="L312" s="1090" t="s">
        <v>1382</v>
      </c>
      <c r="M312" s="1347">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46"/>
      <c r="G313" s="1346"/>
      <c r="H313" s="1346"/>
      <c r="I313" s="1346"/>
      <c r="J313" s="1346"/>
      <c r="K313" s="1346"/>
      <c r="L313" s="1090" t="s">
        <v>1320</v>
      </c>
      <c r="M313" s="1347">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46"/>
      <c r="G314" s="1346"/>
      <c r="H314" s="1346"/>
      <c r="I314" s="1346"/>
      <c r="J314" s="1346"/>
      <c r="K314" s="1346"/>
      <c r="L314" s="1090" t="s">
        <v>1383</v>
      </c>
      <c r="M314" s="1347">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46"/>
      <c r="G315" s="1346"/>
      <c r="H315" s="1346"/>
      <c r="I315" s="1346"/>
      <c r="J315" s="1346"/>
      <c r="K315" s="1346"/>
      <c r="L315" s="1090" t="s">
        <v>254</v>
      </c>
      <c r="M315" s="1347">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46"/>
      <c r="G316" s="1346"/>
      <c r="H316" s="1346"/>
      <c r="I316" s="1346"/>
      <c r="J316" s="1346"/>
      <c r="K316" s="1346"/>
      <c r="L316" s="1090" t="s">
        <v>1339</v>
      </c>
      <c r="M316" s="1347">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46"/>
      <c r="G317" s="1346"/>
      <c r="H317" s="1346"/>
      <c r="I317" s="1346"/>
      <c r="J317" s="1346"/>
      <c r="K317" s="1346"/>
      <c r="L317" s="1090" t="s">
        <v>225</v>
      </c>
      <c r="M317" s="1347">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47" t="s">
        <v>1456</v>
      </c>
      <c r="E318" s="1029" t="s">
        <v>208</v>
      </c>
      <c r="F318" s="1346"/>
      <c r="G318" s="1346"/>
      <c r="H318" s="1346"/>
      <c r="I318" s="1346"/>
      <c r="J318" s="1346"/>
      <c r="K318" s="1346"/>
      <c r="L318" s="1090" t="s">
        <v>466</v>
      </c>
      <c r="M318" s="1347">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46"/>
      <c r="G319" s="1346"/>
      <c r="H319" s="1346"/>
      <c r="I319" s="1346"/>
      <c r="J319" s="1346"/>
      <c r="K319" s="1346"/>
      <c r="L319" s="1090" t="s">
        <v>1376</v>
      </c>
      <c r="M319" s="1347">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46"/>
      <c r="G320" s="1346"/>
      <c r="H320" s="1346"/>
      <c r="I320" s="1346"/>
      <c r="J320" s="1346"/>
      <c r="K320" s="1346"/>
      <c r="L320" s="1090" t="s">
        <v>1378</v>
      </c>
      <c r="M320" s="1347">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46"/>
      <c r="G321" s="1346"/>
      <c r="H321" s="1346"/>
      <c r="I321" s="1346"/>
      <c r="J321" s="1346"/>
      <c r="K321" s="1346"/>
      <c r="L321" s="1090" t="s">
        <v>1379</v>
      </c>
      <c r="M321" s="1347">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46"/>
      <c r="G322" s="1346"/>
      <c r="H322" s="1346"/>
      <c r="I322" s="1346"/>
      <c r="J322" s="1346"/>
      <c r="K322" s="1346"/>
      <c r="L322" s="1090" t="s">
        <v>1380</v>
      </c>
      <c r="M322" s="1347">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46"/>
      <c r="G323" s="1346"/>
      <c r="H323" s="1346"/>
      <c r="I323" s="1346"/>
      <c r="J323" s="1346"/>
      <c r="K323" s="1346"/>
      <c r="L323" s="1090" t="s">
        <v>1381</v>
      </c>
      <c r="M323" s="1347">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46"/>
      <c r="G324" s="1346"/>
      <c r="H324" s="1346"/>
      <c r="I324" s="1346"/>
      <c r="J324" s="1346"/>
      <c r="K324" s="1346"/>
      <c r="L324" s="1090" t="s">
        <v>1382</v>
      </c>
      <c r="M324" s="1347">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46"/>
      <c r="G325" s="1346"/>
      <c r="H325" s="1346"/>
      <c r="I325" s="1346"/>
      <c r="J325" s="1346"/>
      <c r="K325" s="1346"/>
      <c r="L325" s="1090" t="s">
        <v>1320</v>
      </c>
      <c r="M325" s="1347">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46"/>
      <c r="G326" s="1346"/>
      <c r="H326" s="1346"/>
      <c r="I326" s="1346"/>
      <c r="J326" s="1346"/>
      <c r="K326" s="1346"/>
      <c r="L326" s="1090" t="s">
        <v>1383</v>
      </c>
      <c r="M326" s="1347">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46"/>
      <c r="G327" s="1346"/>
      <c r="H327" s="1346"/>
      <c r="I327" s="1346"/>
      <c r="J327" s="1346"/>
      <c r="K327" s="1346"/>
      <c r="L327" s="1090" t="s">
        <v>254</v>
      </c>
      <c r="M327" s="1347">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46"/>
      <c r="G328" s="1346"/>
      <c r="H328" s="1346"/>
      <c r="I328" s="1346"/>
      <c r="J328" s="1346"/>
      <c r="K328" s="1346"/>
      <c r="L328" s="1090" t="s">
        <v>1339</v>
      </c>
      <c r="M328" s="1347">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46"/>
      <c r="G329" s="1346"/>
      <c r="H329" s="1346"/>
      <c r="I329" s="1346"/>
      <c r="J329" s="1346"/>
      <c r="K329" s="1346"/>
      <c r="L329" s="1090" t="s">
        <v>225</v>
      </c>
      <c r="M329" s="1347">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47" t="s">
        <v>1456</v>
      </c>
      <c r="E330" s="1029" t="s">
        <v>208</v>
      </c>
      <c r="F330" s="1346"/>
      <c r="G330" s="1346"/>
      <c r="H330" s="1346"/>
      <c r="I330" s="1346"/>
      <c r="J330" s="1346"/>
      <c r="K330" s="1346"/>
      <c r="L330" s="1090" t="s">
        <v>466</v>
      </c>
      <c r="M330" s="1347">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46"/>
      <c r="G331" s="1346"/>
      <c r="H331" s="1346"/>
      <c r="I331" s="1346"/>
      <c r="J331" s="1346"/>
      <c r="K331" s="1346"/>
      <c r="L331" s="1090" t="s">
        <v>1376</v>
      </c>
      <c r="M331" s="1347">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46"/>
      <c r="G332" s="1346"/>
      <c r="H332" s="1346"/>
      <c r="I332" s="1346"/>
      <c r="J332" s="1346"/>
      <c r="K332" s="1346"/>
      <c r="L332" s="1090" t="s">
        <v>1378</v>
      </c>
      <c r="M332" s="1347">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46"/>
      <c r="G333" s="1346"/>
      <c r="H333" s="1346"/>
      <c r="I333" s="1346"/>
      <c r="J333" s="1346"/>
      <c r="K333" s="1346"/>
      <c r="L333" s="1090" t="s">
        <v>1379</v>
      </c>
      <c r="M333" s="1347">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46"/>
      <c r="G334" s="1346"/>
      <c r="H334" s="1346"/>
      <c r="I334" s="1346"/>
      <c r="J334" s="1346"/>
      <c r="K334" s="1346"/>
      <c r="L334" s="1090" t="s">
        <v>1380</v>
      </c>
      <c r="M334" s="1347">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46"/>
      <c r="G335" s="1346"/>
      <c r="H335" s="1346"/>
      <c r="I335" s="1346"/>
      <c r="J335" s="1346"/>
      <c r="K335" s="1346"/>
      <c r="L335" s="1090" t="s">
        <v>1381</v>
      </c>
      <c r="M335" s="1347">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46"/>
      <c r="G336" s="1346"/>
      <c r="H336" s="1346"/>
      <c r="I336" s="1346"/>
      <c r="J336" s="1346"/>
      <c r="K336" s="1346"/>
      <c r="L336" s="1090" t="s">
        <v>1382</v>
      </c>
      <c r="M336" s="1347">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46"/>
      <c r="G337" s="1346"/>
      <c r="H337" s="1346"/>
      <c r="I337" s="1346"/>
      <c r="J337" s="1346"/>
      <c r="K337" s="1346"/>
      <c r="L337" s="1090" t="s">
        <v>1320</v>
      </c>
      <c r="M337" s="1347">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46"/>
      <c r="G338" s="1346"/>
      <c r="H338" s="1346"/>
      <c r="I338" s="1346"/>
      <c r="J338" s="1346"/>
      <c r="K338" s="1346"/>
      <c r="L338" s="1090" t="s">
        <v>1383</v>
      </c>
      <c r="M338" s="1347">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46"/>
      <c r="G339" s="1346"/>
      <c r="H339" s="1346"/>
      <c r="I339" s="1346"/>
      <c r="J339" s="1346"/>
      <c r="K339" s="1346"/>
      <c r="L339" s="1090" t="s">
        <v>254</v>
      </c>
      <c r="M339" s="1347">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46"/>
      <c r="G340" s="1346"/>
      <c r="H340" s="1346"/>
      <c r="I340" s="1346"/>
      <c r="J340" s="1346"/>
      <c r="K340" s="1346"/>
      <c r="L340" s="1090" t="s">
        <v>1339</v>
      </c>
      <c r="M340" s="1347">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46"/>
      <c r="G341" s="1346"/>
      <c r="H341" s="1346"/>
      <c r="I341" s="1346"/>
      <c r="J341" s="1346"/>
      <c r="K341" s="1346"/>
      <c r="L341" s="1090" t="s">
        <v>225</v>
      </c>
      <c r="M341" s="1347">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47" t="s">
        <v>1456</v>
      </c>
      <c r="E342" s="1029" t="s">
        <v>208</v>
      </c>
      <c r="F342" s="1346"/>
      <c r="G342" s="1346"/>
      <c r="H342" s="1346"/>
      <c r="I342" s="1346"/>
      <c r="J342" s="1346"/>
      <c r="K342" s="1346"/>
      <c r="L342" s="1090" t="s">
        <v>466</v>
      </c>
      <c r="M342" s="1347">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46"/>
      <c r="G343" s="1346"/>
      <c r="H343" s="1346"/>
      <c r="I343" s="1346"/>
      <c r="J343" s="1346"/>
      <c r="K343" s="1346"/>
      <c r="L343" s="1090" t="s">
        <v>1376</v>
      </c>
      <c r="M343" s="1347">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46"/>
      <c r="G344" s="1346"/>
      <c r="H344" s="1346"/>
      <c r="I344" s="1346"/>
      <c r="J344" s="1346"/>
      <c r="K344" s="1346"/>
      <c r="L344" s="1090" t="s">
        <v>1378</v>
      </c>
      <c r="M344" s="1347">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46"/>
      <c r="G345" s="1346"/>
      <c r="H345" s="1346"/>
      <c r="I345" s="1346"/>
      <c r="J345" s="1346"/>
      <c r="K345" s="1346"/>
      <c r="L345" s="1090" t="s">
        <v>1379</v>
      </c>
      <c r="M345" s="1347">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46"/>
      <c r="G346" s="1346"/>
      <c r="H346" s="1346"/>
      <c r="I346" s="1346"/>
      <c r="J346" s="1346"/>
      <c r="K346" s="1346"/>
      <c r="L346" s="1090" t="s">
        <v>1380</v>
      </c>
      <c r="M346" s="1347">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46"/>
      <c r="G347" s="1346"/>
      <c r="H347" s="1346"/>
      <c r="I347" s="1346"/>
      <c r="J347" s="1346"/>
      <c r="K347" s="1346"/>
      <c r="L347" s="1090" t="s">
        <v>1381</v>
      </c>
      <c r="M347" s="1347">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46"/>
      <c r="G348" s="1346"/>
      <c r="H348" s="1346"/>
      <c r="I348" s="1346"/>
      <c r="J348" s="1346"/>
      <c r="K348" s="1346"/>
      <c r="L348" s="1090" t="s">
        <v>1382</v>
      </c>
      <c r="M348" s="1347">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46"/>
      <c r="G349" s="1346"/>
      <c r="H349" s="1346"/>
      <c r="I349" s="1346"/>
      <c r="J349" s="1346"/>
      <c r="K349" s="1346"/>
      <c r="L349" s="1090" t="s">
        <v>1320</v>
      </c>
      <c r="M349" s="1347">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46"/>
      <c r="G350" s="1346"/>
      <c r="H350" s="1346"/>
      <c r="I350" s="1346"/>
      <c r="J350" s="1346"/>
      <c r="K350" s="1346"/>
      <c r="L350" s="1090" t="s">
        <v>1383</v>
      </c>
      <c r="M350" s="1347">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46"/>
      <c r="G351" s="1346"/>
      <c r="H351" s="1346"/>
      <c r="I351" s="1346"/>
      <c r="J351" s="1346"/>
      <c r="K351" s="1346"/>
      <c r="L351" s="1090" t="s">
        <v>254</v>
      </c>
      <c r="M351" s="1347">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46"/>
      <c r="G352" s="1346"/>
      <c r="H352" s="1346"/>
      <c r="I352" s="1346"/>
      <c r="J352" s="1346"/>
      <c r="K352" s="1346"/>
      <c r="L352" s="1090" t="s">
        <v>1339</v>
      </c>
      <c r="M352" s="1347">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46"/>
      <c r="G353" s="1346"/>
      <c r="H353" s="1346"/>
      <c r="I353" s="1346"/>
      <c r="J353" s="1346"/>
      <c r="K353" s="1346"/>
      <c r="L353" s="1090" t="s">
        <v>225</v>
      </c>
      <c r="M353" s="1347">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47" t="s">
        <v>1456</v>
      </c>
      <c r="E354" s="1029" t="s">
        <v>208</v>
      </c>
      <c r="F354" s="1346"/>
      <c r="G354" s="1346"/>
      <c r="H354" s="1346"/>
      <c r="I354" s="1346"/>
      <c r="J354" s="1346"/>
      <c r="K354" s="1346"/>
      <c r="L354" s="1090" t="s">
        <v>466</v>
      </c>
      <c r="M354" s="1347">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46"/>
      <c r="G355" s="1346"/>
      <c r="H355" s="1346"/>
      <c r="I355" s="1346"/>
      <c r="J355" s="1346"/>
      <c r="K355" s="1346"/>
      <c r="L355" s="1090" t="s">
        <v>1376</v>
      </c>
      <c r="M355" s="1347">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46"/>
      <c r="G356" s="1346"/>
      <c r="H356" s="1346"/>
      <c r="I356" s="1346"/>
      <c r="J356" s="1346"/>
      <c r="K356" s="1346"/>
      <c r="L356" s="1090" t="s">
        <v>1378</v>
      </c>
      <c r="M356" s="1347">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46"/>
      <c r="G357" s="1346"/>
      <c r="H357" s="1346"/>
      <c r="I357" s="1346"/>
      <c r="J357" s="1346"/>
      <c r="K357" s="1346"/>
      <c r="L357" s="1090" t="s">
        <v>1379</v>
      </c>
      <c r="M357" s="1347">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46"/>
      <c r="G358" s="1346"/>
      <c r="H358" s="1346"/>
      <c r="I358" s="1346"/>
      <c r="J358" s="1346"/>
      <c r="K358" s="1346"/>
      <c r="L358" s="1090" t="s">
        <v>1380</v>
      </c>
      <c r="M358" s="1347">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46"/>
      <c r="G359" s="1346"/>
      <c r="H359" s="1346"/>
      <c r="I359" s="1346"/>
      <c r="J359" s="1346"/>
      <c r="K359" s="1346"/>
      <c r="L359" s="1090" t="s">
        <v>1381</v>
      </c>
      <c r="M359" s="1347">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46"/>
      <c r="G360" s="1346"/>
      <c r="H360" s="1346"/>
      <c r="I360" s="1346"/>
      <c r="J360" s="1346"/>
      <c r="K360" s="1346"/>
      <c r="L360" s="1090" t="s">
        <v>1382</v>
      </c>
      <c r="M360" s="1347">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46"/>
      <c r="G361" s="1346"/>
      <c r="H361" s="1346"/>
      <c r="I361" s="1346"/>
      <c r="J361" s="1346"/>
      <c r="K361" s="1346"/>
      <c r="L361" s="1090" t="s">
        <v>1320</v>
      </c>
      <c r="M361" s="1347">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46"/>
      <c r="G362" s="1346"/>
      <c r="H362" s="1346"/>
      <c r="I362" s="1346"/>
      <c r="J362" s="1346"/>
      <c r="K362" s="1346"/>
      <c r="L362" s="1090" t="s">
        <v>1383</v>
      </c>
      <c r="M362" s="1347">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46"/>
      <c r="G363" s="1346"/>
      <c r="H363" s="1346"/>
      <c r="I363" s="1346"/>
      <c r="J363" s="1346"/>
      <c r="K363" s="1346"/>
      <c r="L363" s="1090" t="s">
        <v>254</v>
      </c>
      <c r="M363" s="1347">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46"/>
      <c r="G364" s="1346"/>
      <c r="H364" s="1346"/>
      <c r="I364" s="1346"/>
      <c r="J364" s="1346"/>
      <c r="K364" s="1346"/>
      <c r="L364" s="1090" t="s">
        <v>1339</v>
      </c>
      <c r="M364" s="1347">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46"/>
      <c r="G365" s="1346"/>
      <c r="H365" s="1346"/>
      <c r="I365" s="1346"/>
      <c r="J365" s="1346"/>
      <c r="K365" s="1346"/>
      <c r="L365" s="1090" t="s">
        <v>225</v>
      </c>
      <c r="M365" s="1347">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47" t="s">
        <v>1456</v>
      </c>
      <c r="E366" s="1029" t="s">
        <v>208</v>
      </c>
      <c r="F366" s="1346"/>
      <c r="G366" s="1346"/>
      <c r="H366" s="1346"/>
      <c r="I366" s="1346"/>
      <c r="J366" s="1346"/>
      <c r="K366" s="1346"/>
      <c r="L366" s="1090" t="s">
        <v>466</v>
      </c>
      <c r="M366" s="1347">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46"/>
      <c r="G367" s="1346"/>
      <c r="H367" s="1346"/>
      <c r="I367" s="1346"/>
      <c r="J367" s="1346"/>
      <c r="K367" s="1346"/>
      <c r="L367" s="1090" t="s">
        <v>1376</v>
      </c>
      <c r="M367" s="1347">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46"/>
      <c r="G368" s="1346"/>
      <c r="H368" s="1346"/>
      <c r="I368" s="1346"/>
      <c r="J368" s="1346"/>
      <c r="K368" s="1346"/>
      <c r="L368" s="1090" t="s">
        <v>1378</v>
      </c>
      <c r="M368" s="1347">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46"/>
      <c r="G369" s="1346"/>
      <c r="H369" s="1346"/>
      <c r="I369" s="1346"/>
      <c r="J369" s="1346"/>
      <c r="K369" s="1346"/>
      <c r="L369" s="1090" t="s">
        <v>1379</v>
      </c>
      <c r="M369" s="1347">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46"/>
      <c r="G370" s="1346"/>
      <c r="H370" s="1346"/>
      <c r="I370" s="1346"/>
      <c r="J370" s="1346"/>
      <c r="K370" s="1346"/>
      <c r="L370" s="1090" t="s">
        <v>1380</v>
      </c>
      <c r="M370" s="1347">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46"/>
      <c r="G371" s="1346"/>
      <c r="H371" s="1346"/>
      <c r="I371" s="1346"/>
      <c r="J371" s="1346"/>
      <c r="K371" s="1346"/>
      <c r="L371" s="1090" t="s">
        <v>1381</v>
      </c>
      <c r="M371" s="1347">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46"/>
      <c r="G372" s="1346"/>
      <c r="H372" s="1346"/>
      <c r="I372" s="1346"/>
      <c r="J372" s="1346"/>
      <c r="K372" s="1346"/>
      <c r="L372" s="1090" t="s">
        <v>1382</v>
      </c>
      <c r="M372" s="1347">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46"/>
      <c r="G373" s="1346"/>
      <c r="H373" s="1346"/>
      <c r="I373" s="1346"/>
      <c r="J373" s="1346"/>
      <c r="K373" s="1346"/>
      <c r="L373" s="1090" t="s">
        <v>1320</v>
      </c>
      <c r="M373" s="1347">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46"/>
      <c r="G374" s="1346"/>
      <c r="H374" s="1346"/>
      <c r="I374" s="1346"/>
      <c r="J374" s="1346"/>
      <c r="K374" s="1346"/>
      <c r="L374" s="1090" t="s">
        <v>1383</v>
      </c>
      <c r="M374" s="1347">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46"/>
      <c r="G375" s="1346"/>
      <c r="H375" s="1346"/>
      <c r="I375" s="1346"/>
      <c r="J375" s="1346"/>
      <c r="K375" s="1346"/>
      <c r="L375" s="1090" t="s">
        <v>254</v>
      </c>
      <c r="M375" s="1347">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46"/>
      <c r="G376" s="1346"/>
      <c r="H376" s="1346"/>
      <c r="I376" s="1346"/>
      <c r="J376" s="1346"/>
      <c r="K376" s="1346"/>
      <c r="L376" s="1090" t="s">
        <v>1339</v>
      </c>
      <c r="M376" s="1347">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46"/>
      <c r="G377" s="1346"/>
      <c r="H377" s="1346"/>
      <c r="I377" s="1346"/>
      <c r="J377" s="1346"/>
      <c r="K377" s="1346"/>
      <c r="L377" s="1090" t="s">
        <v>225</v>
      </c>
      <c r="M377" s="1347">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47" t="s">
        <v>1456</v>
      </c>
      <c r="E378" s="1029" t="s">
        <v>208</v>
      </c>
      <c r="F378" s="1346"/>
      <c r="G378" s="1346"/>
      <c r="H378" s="1346"/>
      <c r="I378" s="1346"/>
      <c r="J378" s="1346"/>
      <c r="K378" s="1346"/>
      <c r="L378" s="1090" t="s">
        <v>466</v>
      </c>
      <c r="M378" s="1347">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46"/>
      <c r="G379" s="1346"/>
      <c r="H379" s="1346"/>
      <c r="I379" s="1346"/>
      <c r="J379" s="1346"/>
      <c r="K379" s="1346"/>
      <c r="L379" s="1090" t="s">
        <v>1376</v>
      </c>
      <c r="M379" s="1347">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46"/>
      <c r="G380" s="1346"/>
      <c r="H380" s="1346"/>
      <c r="I380" s="1346"/>
      <c r="J380" s="1346"/>
      <c r="K380" s="1346"/>
      <c r="L380" s="1090" t="s">
        <v>1378</v>
      </c>
      <c r="M380" s="1347">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46"/>
      <c r="G381" s="1346"/>
      <c r="H381" s="1346"/>
      <c r="I381" s="1346"/>
      <c r="J381" s="1346"/>
      <c r="K381" s="1346"/>
      <c r="L381" s="1090" t="s">
        <v>1379</v>
      </c>
      <c r="M381" s="1347">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46"/>
      <c r="G382" s="1346"/>
      <c r="H382" s="1346"/>
      <c r="I382" s="1346"/>
      <c r="J382" s="1346"/>
      <c r="K382" s="1346"/>
      <c r="L382" s="1090" t="s">
        <v>1380</v>
      </c>
      <c r="M382" s="1347">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46"/>
      <c r="G383" s="1346"/>
      <c r="H383" s="1346"/>
      <c r="I383" s="1346"/>
      <c r="J383" s="1346"/>
      <c r="K383" s="1346"/>
      <c r="L383" s="1090" t="s">
        <v>1381</v>
      </c>
      <c r="M383" s="1347">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46"/>
      <c r="G384" s="1346"/>
      <c r="H384" s="1346"/>
      <c r="I384" s="1346"/>
      <c r="J384" s="1346"/>
      <c r="K384" s="1346"/>
      <c r="L384" s="1090" t="s">
        <v>1382</v>
      </c>
      <c r="M384" s="1347">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46"/>
      <c r="G385" s="1346"/>
      <c r="H385" s="1346"/>
      <c r="I385" s="1346"/>
      <c r="J385" s="1346"/>
      <c r="K385" s="1346"/>
      <c r="L385" s="1090" t="s">
        <v>1320</v>
      </c>
      <c r="M385" s="1347">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46"/>
      <c r="G386" s="1346"/>
      <c r="H386" s="1346"/>
      <c r="I386" s="1346"/>
      <c r="J386" s="1346"/>
      <c r="K386" s="1346"/>
      <c r="L386" s="1090" t="s">
        <v>1383</v>
      </c>
      <c r="M386" s="1347">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46"/>
      <c r="G387" s="1346"/>
      <c r="H387" s="1346"/>
      <c r="I387" s="1346"/>
      <c r="J387" s="1346"/>
      <c r="K387" s="1346"/>
      <c r="L387" s="1090" t="s">
        <v>254</v>
      </c>
      <c r="M387" s="1347">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46"/>
      <c r="G388" s="1346"/>
      <c r="H388" s="1346"/>
      <c r="I388" s="1346"/>
      <c r="J388" s="1346"/>
      <c r="K388" s="1346"/>
      <c r="L388" s="1090" t="s">
        <v>1339</v>
      </c>
      <c r="M388" s="1347">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46"/>
      <c r="G389" s="1346"/>
      <c r="H389" s="1346"/>
      <c r="I389" s="1346"/>
      <c r="J389" s="1346"/>
      <c r="K389" s="1346"/>
      <c r="L389" s="1090" t="s">
        <v>225</v>
      </c>
      <c r="M389" s="1347">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47" t="s">
        <v>1456</v>
      </c>
      <c r="E390" s="1029" t="s">
        <v>208</v>
      </c>
      <c r="F390" s="1346"/>
      <c r="G390" s="1346"/>
      <c r="H390" s="1346"/>
      <c r="I390" s="1346"/>
      <c r="J390" s="1346"/>
      <c r="K390" s="1346"/>
      <c r="L390" s="1090" t="s">
        <v>466</v>
      </c>
      <c r="M390" s="1347">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46"/>
      <c r="G391" s="1346"/>
      <c r="H391" s="1346"/>
      <c r="I391" s="1346"/>
      <c r="J391" s="1346"/>
      <c r="K391" s="1346"/>
      <c r="L391" s="1090" t="s">
        <v>1376</v>
      </c>
      <c r="M391" s="1347">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46"/>
      <c r="G392" s="1346"/>
      <c r="H392" s="1346"/>
      <c r="I392" s="1346"/>
      <c r="J392" s="1346"/>
      <c r="K392" s="1346"/>
      <c r="L392" s="1090" t="s">
        <v>1378</v>
      </c>
      <c r="M392" s="1347">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46"/>
      <c r="G393" s="1346"/>
      <c r="H393" s="1346"/>
      <c r="I393" s="1346"/>
      <c r="J393" s="1346"/>
      <c r="K393" s="1346"/>
      <c r="L393" s="1090" t="s">
        <v>1379</v>
      </c>
      <c r="M393" s="1347">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46"/>
      <c r="G394" s="1346"/>
      <c r="H394" s="1346"/>
      <c r="I394" s="1346"/>
      <c r="J394" s="1346"/>
      <c r="K394" s="1346"/>
      <c r="L394" s="1090" t="s">
        <v>1380</v>
      </c>
      <c r="M394" s="1347">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46"/>
      <c r="G395" s="1346"/>
      <c r="H395" s="1346"/>
      <c r="I395" s="1346"/>
      <c r="J395" s="1346"/>
      <c r="K395" s="1346"/>
      <c r="L395" s="1090" t="s">
        <v>1381</v>
      </c>
      <c r="M395" s="1347">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46"/>
      <c r="G396" s="1346"/>
      <c r="H396" s="1346"/>
      <c r="I396" s="1346"/>
      <c r="J396" s="1346"/>
      <c r="K396" s="1346"/>
      <c r="L396" s="1090" t="s">
        <v>1382</v>
      </c>
      <c r="M396" s="1347">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46"/>
      <c r="G397" s="1346"/>
      <c r="H397" s="1346"/>
      <c r="I397" s="1346"/>
      <c r="J397" s="1346"/>
      <c r="K397" s="1346"/>
      <c r="L397" s="1090" t="s">
        <v>1320</v>
      </c>
      <c r="M397" s="1347">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46"/>
      <c r="G398" s="1346"/>
      <c r="H398" s="1346"/>
      <c r="I398" s="1346"/>
      <c r="J398" s="1346"/>
      <c r="K398" s="1346"/>
      <c r="L398" s="1090" t="s">
        <v>1383</v>
      </c>
      <c r="M398" s="1347">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46"/>
      <c r="G399" s="1346"/>
      <c r="H399" s="1346"/>
      <c r="I399" s="1346"/>
      <c r="J399" s="1346"/>
      <c r="K399" s="1346"/>
      <c r="L399" s="1090" t="s">
        <v>254</v>
      </c>
      <c r="M399" s="1347">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46"/>
      <c r="G400" s="1346"/>
      <c r="H400" s="1346"/>
      <c r="I400" s="1346"/>
      <c r="J400" s="1346"/>
      <c r="K400" s="1346"/>
      <c r="L400" s="1090" t="s">
        <v>1339</v>
      </c>
      <c r="M400" s="1347">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46"/>
      <c r="G401" s="1346"/>
      <c r="H401" s="1346"/>
      <c r="I401" s="1346"/>
      <c r="J401" s="1346"/>
      <c r="K401" s="1346"/>
      <c r="L401" s="1090" t="s">
        <v>225</v>
      </c>
      <c r="M401" s="1347">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47" t="s">
        <v>1456</v>
      </c>
      <c r="E402" s="1029" t="s">
        <v>208</v>
      </c>
      <c r="F402" s="1346"/>
      <c r="G402" s="1346"/>
      <c r="H402" s="1346"/>
      <c r="I402" s="1346"/>
      <c r="J402" s="1346"/>
      <c r="K402" s="1346"/>
      <c r="L402" s="1090" t="s">
        <v>466</v>
      </c>
      <c r="M402" s="1347">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46"/>
      <c r="G403" s="1346"/>
      <c r="H403" s="1346"/>
      <c r="I403" s="1346"/>
      <c r="J403" s="1346"/>
      <c r="K403" s="1346"/>
      <c r="L403" s="1090" t="s">
        <v>1376</v>
      </c>
      <c r="M403" s="1347">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46"/>
      <c r="G404" s="1346"/>
      <c r="H404" s="1346"/>
      <c r="I404" s="1346"/>
      <c r="J404" s="1346"/>
      <c r="K404" s="1346"/>
      <c r="L404" s="1090" t="s">
        <v>1378</v>
      </c>
      <c r="M404" s="1347">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46"/>
      <c r="G405" s="1346"/>
      <c r="H405" s="1346"/>
      <c r="I405" s="1346"/>
      <c r="J405" s="1346"/>
      <c r="K405" s="1346"/>
      <c r="L405" s="1090" t="s">
        <v>1379</v>
      </c>
      <c r="M405" s="1347">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46"/>
      <c r="G406" s="1346"/>
      <c r="H406" s="1346"/>
      <c r="I406" s="1346"/>
      <c r="J406" s="1346"/>
      <c r="K406" s="1346"/>
      <c r="L406" s="1090" t="s">
        <v>1380</v>
      </c>
      <c r="M406" s="1347">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46"/>
      <c r="G407" s="1346"/>
      <c r="H407" s="1346"/>
      <c r="I407" s="1346"/>
      <c r="J407" s="1346"/>
      <c r="K407" s="1346"/>
      <c r="L407" s="1090" t="s">
        <v>1381</v>
      </c>
      <c r="M407" s="1347">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46"/>
      <c r="G408" s="1346"/>
      <c r="H408" s="1346"/>
      <c r="I408" s="1346"/>
      <c r="J408" s="1346"/>
      <c r="K408" s="1346"/>
      <c r="L408" s="1090" t="s">
        <v>1382</v>
      </c>
      <c r="M408" s="1347">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46"/>
      <c r="G409" s="1346"/>
      <c r="H409" s="1346"/>
      <c r="I409" s="1346"/>
      <c r="J409" s="1346"/>
      <c r="K409" s="1346"/>
      <c r="L409" s="1090" t="s">
        <v>1320</v>
      </c>
      <c r="M409" s="1347">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46"/>
      <c r="G410" s="1346"/>
      <c r="H410" s="1346"/>
      <c r="I410" s="1346"/>
      <c r="J410" s="1346"/>
      <c r="K410" s="1346"/>
      <c r="L410" s="1090" t="s">
        <v>1383</v>
      </c>
      <c r="M410" s="1347">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46"/>
      <c r="G411" s="1346"/>
      <c r="H411" s="1346"/>
      <c r="I411" s="1346"/>
      <c r="J411" s="1346"/>
      <c r="K411" s="1346"/>
      <c r="L411" s="1090" t="s">
        <v>254</v>
      </c>
      <c r="M411" s="1347">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46"/>
      <c r="G412" s="1346"/>
      <c r="H412" s="1346"/>
      <c r="I412" s="1346"/>
      <c r="J412" s="1346"/>
      <c r="K412" s="1346"/>
      <c r="L412" s="1090" t="s">
        <v>1339</v>
      </c>
      <c r="M412" s="1347">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46"/>
      <c r="G413" s="1346"/>
      <c r="H413" s="1346"/>
      <c r="I413" s="1346"/>
      <c r="J413" s="1346"/>
      <c r="K413" s="1346"/>
      <c r="L413" s="1090" t="s">
        <v>225</v>
      </c>
      <c r="M413" s="1347">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47" t="s">
        <v>1456</v>
      </c>
      <c r="E414" s="1029" t="s">
        <v>208</v>
      </c>
      <c r="F414" s="1346"/>
      <c r="G414" s="1346"/>
      <c r="H414" s="1346"/>
      <c r="I414" s="1346"/>
      <c r="J414" s="1346"/>
      <c r="K414" s="1346"/>
      <c r="L414" s="1090" t="s">
        <v>466</v>
      </c>
      <c r="M414" s="1347">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46"/>
      <c r="G415" s="1346"/>
      <c r="H415" s="1346"/>
      <c r="I415" s="1346"/>
      <c r="J415" s="1346"/>
      <c r="K415" s="1346"/>
      <c r="L415" s="1090" t="s">
        <v>1376</v>
      </c>
      <c r="M415" s="1347">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46"/>
      <c r="G416" s="1346"/>
      <c r="H416" s="1346"/>
      <c r="I416" s="1346"/>
      <c r="J416" s="1346"/>
      <c r="K416" s="1346"/>
      <c r="L416" s="1090" t="s">
        <v>1378</v>
      </c>
      <c r="M416" s="1347">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46"/>
      <c r="G417" s="1346"/>
      <c r="H417" s="1346"/>
      <c r="I417" s="1346"/>
      <c r="J417" s="1346"/>
      <c r="K417" s="1346"/>
      <c r="L417" s="1090" t="s">
        <v>1379</v>
      </c>
      <c r="M417" s="1347">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46"/>
      <c r="G418" s="1346"/>
      <c r="H418" s="1346"/>
      <c r="I418" s="1346"/>
      <c r="J418" s="1346"/>
      <c r="K418" s="1346"/>
      <c r="L418" s="1090" t="s">
        <v>1380</v>
      </c>
      <c r="M418" s="1347">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46"/>
      <c r="G419" s="1346"/>
      <c r="H419" s="1346"/>
      <c r="I419" s="1346"/>
      <c r="J419" s="1346"/>
      <c r="K419" s="1346"/>
      <c r="L419" s="1090" t="s">
        <v>1381</v>
      </c>
      <c r="M419" s="1347">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46"/>
      <c r="G420" s="1346"/>
      <c r="H420" s="1346"/>
      <c r="I420" s="1346"/>
      <c r="J420" s="1346"/>
      <c r="K420" s="1346"/>
      <c r="L420" s="1090" t="s">
        <v>1382</v>
      </c>
      <c r="M420" s="1347">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46"/>
      <c r="G421" s="1346"/>
      <c r="H421" s="1346"/>
      <c r="I421" s="1346"/>
      <c r="J421" s="1346"/>
      <c r="K421" s="1346"/>
      <c r="L421" s="1090" t="s">
        <v>1320</v>
      </c>
      <c r="M421" s="1347">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46"/>
      <c r="G422" s="1346"/>
      <c r="H422" s="1346"/>
      <c r="I422" s="1346"/>
      <c r="J422" s="1346"/>
      <c r="K422" s="1346"/>
      <c r="L422" s="1090" t="s">
        <v>1383</v>
      </c>
      <c r="M422" s="1347">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46"/>
      <c r="G423" s="1346"/>
      <c r="H423" s="1346"/>
      <c r="I423" s="1346"/>
      <c r="J423" s="1346"/>
      <c r="K423" s="1346"/>
      <c r="L423" s="1090" t="s">
        <v>254</v>
      </c>
      <c r="M423" s="1347">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46"/>
      <c r="G424" s="1346"/>
      <c r="H424" s="1346"/>
      <c r="I424" s="1346"/>
      <c r="J424" s="1346"/>
      <c r="K424" s="1346"/>
      <c r="L424" s="1090" t="s">
        <v>1339</v>
      </c>
      <c r="M424" s="1347">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46"/>
      <c r="G425" s="1346"/>
      <c r="H425" s="1346"/>
      <c r="I425" s="1346"/>
      <c r="J425" s="1346"/>
      <c r="K425" s="1346"/>
      <c r="L425" s="1090" t="s">
        <v>225</v>
      </c>
      <c r="M425" s="1347">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47" t="s">
        <v>1456</v>
      </c>
      <c r="E426" s="1029" t="s">
        <v>208</v>
      </c>
      <c r="F426" s="1346"/>
      <c r="G426" s="1346"/>
      <c r="H426" s="1346"/>
      <c r="I426" s="1346"/>
      <c r="J426" s="1346"/>
      <c r="K426" s="1346"/>
      <c r="L426" s="1090" t="s">
        <v>466</v>
      </c>
      <c r="M426" s="1347">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46"/>
      <c r="G427" s="1346"/>
      <c r="H427" s="1346"/>
      <c r="I427" s="1346"/>
      <c r="J427" s="1346"/>
      <c r="K427" s="1346"/>
      <c r="L427" s="1090" t="s">
        <v>1376</v>
      </c>
      <c r="M427" s="1347">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46"/>
      <c r="G428" s="1346"/>
      <c r="H428" s="1346"/>
      <c r="I428" s="1346"/>
      <c r="J428" s="1346"/>
      <c r="K428" s="1346"/>
      <c r="L428" s="1090" t="s">
        <v>1378</v>
      </c>
      <c r="M428" s="1347">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46"/>
      <c r="G429" s="1346"/>
      <c r="H429" s="1346"/>
      <c r="I429" s="1346"/>
      <c r="J429" s="1346"/>
      <c r="K429" s="1346"/>
      <c r="L429" s="1090" t="s">
        <v>1379</v>
      </c>
      <c r="M429" s="1347">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46"/>
      <c r="G430" s="1346"/>
      <c r="H430" s="1346"/>
      <c r="I430" s="1346"/>
      <c r="J430" s="1346"/>
      <c r="K430" s="1346"/>
      <c r="L430" s="1090" t="s">
        <v>1380</v>
      </c>
      <c r="M430" s="1347">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46"/>
      <c r="G431" s="1346"/>
      <c r="H431" s="1346"/>
      <c r="I431" s="1346"/>
      <c r="J431" s="1346"/>
      <c r="K431" s="1346"/>
      <c r="L431" s="1090" t="s">
        <v>1381</v>
      </c>
      <c r="M431" s="1347">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46"/>
      <c r="G432" s="1346"/>
      <c r="H432" s="1346"/>
      <c r="I432" s="1346"/>
      <c r="J432" s="1346"/>
      <c r="K432" s="1346"/>
      <c r="L432" s="1090" t="s">
        <v>1382</v>
      </c>
      <c r="M432" s="1347">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46"/>
      <c r="G433" s="1346"/>
      <c r="H433" s="1346"/>
      <c r="I433" s="1346"/>
      <c r="J433" s="1346"/>
      <c r="K433" s="1346"/>
      <c r="L433" s="1090" t="s">
        <v>1320</v>
      </c>
      <c r="M433" s="1347">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46"/>
      <c r="G434" s="1346"/>
      <c r="H434" s="1346"/>
      <c r="I434" s="1346"/>
      <c r="J434" s="1346"/>
      <c r="K434" s="1346"/>
      <c r="L434" s="1090" t="s">
        <v>1383</v>
      </c>
      <c r="M434" s="1347">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46"/>
      <c r="G435" s="1346"/>
      <c r="H435" s="1346"/>
      <c r="I435" s="1346"/>
      <c r="J435" s="1346"/>
      <c r="K435" s="1346"/>
      <c r="L435" s="1090" t="s">
        <v>254</v>
      </c>
      <c r="M435" s="1347">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46"/>
      <c r="G436" s="1346"/>
      <c r="H436" s="1346"/>
      <c r="I436" s="1346"/>
      <c r="J436" s="1346"/>
      <c r="K436" s="1346"/>
      <c r="L436" s="1090" t="s">
        <v>1339</v>
      </c>
      <c r="M436" s="1347">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46"/>
      <c r="G437" s="1346"/>
      <c r="H437" s="1346"/>
      <c r="I437" s="1346"/>
      <c r="J437" s="1346"/>
      <c r="K437" s="1346"/>
      <c r="L437" s="1090" t="s">
        <v>225</v>
      </c>
      <c r="M437" s="1347">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47" t="s">
        <v>1456</v>
      </c>
      <c r="E438" s="1029" t="s">
        <v>208</v>
      </c>
      <c r="F438" s="1346"/>
      <c r="G438" s="1346"/>
      <c r="H438" s="1346"/>
      <c r="I438" s="1346"/>
      <c r="J438" s="1346"/>
      <c r="K438" s="1346"/>
      <c r="L438" s="1090" t="s">
        <v>466</v>
      </c>
      <c r="M438" s="1347">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46"/>
      <c r="G439" s="1346"/>
      <c r="H439" s="1346"/>
      <c r="I439" s="1346"/>
      <c r="J439" s="1346"/>
      <c r="K439" s="1346"/>
      <c r="L439" s="1090" t="s">
        <v>1376</v>
      </c>
      <c r="M439" s="1347">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46"/>
      <c r="G440" s="1346"/>
      <c r="H440" s="1346"/>
      <c r="I440" s="1346"/>
      <c r="J440" s="1346"/>
      <c r="K440" s="1346"/>
      <c r="L440" s="1090" t="s">
        <v>1378</v>
      </c>
      <c r="M440" s="1347">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46"/>
      <c r="G441" s="1346"/>
      <c r="H441" s="1346"/>
      <c r="I441" s="1346"/>
      <c r="J441" s="1346"/>
      <c r="K441" s="1346"/>
      <c r="L441" s="1090" t="s">
        <v>1379</v>
      </c>
      <c r="M441" s="1347">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46"/>
      <c r="G442" s="1346"/>
      <c r="H442" s="1346"/>
      <c r="I442" s="1346"/>
      <c r="J442" s="1346"/>
      <c r="K442" s="1346"/>
      <c r="L442" s="1090" t="s">
        <v>1380</v>
      </c>
      <c r="M442" s="1347">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46"/>
      <c r="G443" s="1346"/>
      <c r="H443" s="1346"/>
      <c r="I443" s="1346"/>
      <c r="J443" s="1346"/>
      <c r="K443" s="1346"/>
      <c r="L443" s="1090" t="s">
        <v>1381</v>
      </c>
      <c r="M443" s="1347">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46"/>
      <c r="G444" s="1346"/>
      <c r="H444" s="1346"/>
      <c r="I444" s="1346"/>
      <c r="J444" s="1346"/>
      <c r="K444" s="1346"/>
      <c r="L444" s="1090" t="s">
        <v>1382</v>
      </c>
      <c r="M444" s="1347">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46"/>
      <c r="G445" s="1346"/>
      <c r="H445" s="1346"/>
      <c r="I445" s="1346"/>
      <c r="J445" s="1346"/>
      <c r="K445" s="1346"/>
      <c r="L445" s="1090" t="s">
        <v>1320</v>
      </c>
      <c r="M445" s="1347">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46"/>
      <c r="G446" s="1346"/>
      <c r="H446" s="1346"/>
      <c r="I446" s="1346"/>
      <c r="J446" s="1346"/>
      <c r="K446" s="1346"/>
      <c r="L446" s="1090" t="s">
        <v>1383</v>
      </c>
      <c r="M446" s="1347">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46"/>
      <c r="G447" s="1346"/>
      <c r="H447" s="1346"/>
      <c r="I447" s="1346"/>
      <c r="J447" s="1346"/>
      <c r="K447" s="1346"/>
      <c r="L447" s="1090" t="s">
        <v>254</v>
      </c>
      <c r="M447" s="1347">
        <v>426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46"/>
      <c r="G448" s="1346"/>
      <c r="H448" s="1346"/>
      <c r="I448" s="1346"/>
      <c r="J448" s="1346"/>
      <c r="K448" s="1346"/>
      <c r="L448" s="1090" t="s">
        <v>1339</v>
      </c>
      <c r="M448" s="1347">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46"/>
      <c r="G449" s="1346"/>
      <c r="H449" s="1346"/>
      <c r="I449" s="1346"/>
      <c r="J449" s="1346"/>
      <c r="K449" s="1346"/>
      <c r="L449" s="1090" t="s">
        <v>225</v>
      </c>
      <c r="M449" s="1347">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47" t="s">
        <v>1456</v>
      </c>
      <c r="E450" s="1029" t="s">
        <v>208</v>
      </c>
      <c r="F450" s="1346"/>
      <c r="G450" s="1346"/>
      <c r="H450" s="1346"/>
      <c r="I450" s="1346"/>
      <c r="J450" s="1346"/>
      <c r="K450" s="1346"/>
      <c r="L450" s="1090" t="s">
        <v>466</v>
      </c>
      <c r="M450" s="1347">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46"/>
      <c r="G451" s="1346"/>
      <c r="H451" s="1346"/>
      <c r="I451" s="1346"/>
      <c r="J451" s="1346"/>
      <c r="K451" s="1346"/>
      <c r="L451" s="1090" t="s">
        <v>1376</v>
      </c>
      <c r="M451" s="1347">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46"/>
      <c r="G452" s="1346"/>
      <c r="H452" s="1346"/>
      <c r="I452" s="1346"/>
      <c r="J452" s="1346"/>
      <c r="K452" s="1346"/>
      <c r="L452" s="1090" t="s">
        <v>1378</v>
      </c>
      <c r="M452" s="1347">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46"/>
      <c r="G453" s="1346"/>
      <c r="H453" s="1346"/>
      <c r="I453" s="1346"/>
      <c r="J453" s="1346"/>
      <c r="K453" s="1346"/>
      <c r="L453" s="1090" t="s">
        <v>1379</v>
      </c>
      <c r="M453" s="1347">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46"/>
      <c r="G454" s="1346"/>
      <c r="H454" s="1346"/>
      <c r="I454" s="1346"/>
      <c r="J454" s="1346"/>
      <c r="K454" s="1346"/>
      <c r="L454" s="1090" t="s">
        <v>1380</v>
      </c>
      <c r="M454" s="1347">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46"/>
      <c r="G455" s="1346"/>
      <c r="H455" s="1346"/>
      <c r="I455" s="1346"/>
      <c r="J455" s="1346"/>
      <c r="K455" s="1346"/>
      <c r="L455" s="1090" t="s">
        <v>1381</v>
      </c>
      <c r="M455" s="1347">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46"/>
      <c r="G456" s="1346"/>
      <c r="H456" s="1346"/>
      <c r="I456" s="1346"/>
      <c r="J456" s="1346"/>
      <c r="K456" s="1346"/>
      <c r="L456" s="1090" t="s">
        <v>1382</v>
      </c>
      <c r="M456" s="1347">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46"/>
      <c r="G457" s="1346"/>
      <c r="H457" s="1346"/>
      <c r="I457" s="1346"/>
      <c r="J457" s="1346"/>
      <c r="K457" s="1346"/>
      <c r="L457" s="1090" t="s">
        <v>1320</v>
      </c>
      <c r="M457" s="1347">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46"/>
      <c r="G458" s="1346"/>
      <c r="H458" s="1346"/>
      <c r="I458" s="1346"/>
      <c r="J458" s="1346"/>
      <c r="K458" s="1346"/>
      <c r="L458" s="1090" t="s">
        <v>1383</v>
      </c>
      <c r="M458" s="1347">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46"/>
      <c r="G459" s="1346"/>
      <c r="H459" s="1346"/>
      <c r="I459" s="1346"/>
      <c r="J459" s="1346"/>
      <c r="K459" s="1346"/>
      <c r="L459" s="1090" t="s">
        <v>254</v>
      </c>
      <c r="M459" s="1347">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46"/>
      <c r="G460" s="1346"/>
      <c r="H460" s="1346"/>
      <c r="I460" s="1346"/>
      <c r="J460" s="1346"/>
      <c r="K460" s="1346"/>
      <c r="L460" s="1090" t="s">
        <v>1339</v>
      </c>
      <c r="M460" s="1347">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46"/>
      <c r="G461" s="1346"/>
      <c r="H461" s="1346"/>
      <c r="I461" s="1346"/>
      <c r="J461" s="1346"/>
      <c r="K461" s="1346"/>
      <c r="L461" s="1090" t="s">
        <v>225</v>
      </c>
      <c r="M461" s="1347">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47" t="s">
        <v>1456</v>
      </c>
      <c r="E462" s="1029" t="s">
        <v>208</v>
      </c>
      <c r="F462" s="1346"/>
      <c r="G462" s="1346"/>
      <c r="H462" s="1346"/>
      <c r="I462" s="1346"/>
      <c r="J462" s="1346"/>
      <c r="K462" s="1346"/>
      <c r="L462" s="1090" t="s">
        <v>466</v>
      </c>
      <c r="M462" s="1347">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46"/>
      <c r="G463" s="1346"/>
      <c r="H463" s="1346"/>
      <c r="I463" s="1346"/>
      <c r="J463" s="1346"/>
      <c r="K463" s="1346"/>
      <c r="L463" s="1090" t="s">
        <v>1376</v>
      </c>
      <c r="M463" s="1347">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46"/>
      <c r="G464" s="1346"/>
      <c r="H464" s="1346"/>
      <c r="I464" s="1346"/>
      <c r="J464" s="1346"/>
      <c r="K464" s="1346"/>
      <c r="L464" s="1090" t="s">
        <v>1378</v>
      </c>
      <c r="M464" s="1347">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46"/>
      <c r="G465" s="1346"/>
      <c r="H465" s="1346"/>
      <c r="I465" s="1346"/>
      <c r="J465" s="1346"/>
      <c r="K465" s="1346"/>
      <c r="L465" s="1090" t="s">
        <v>1379</v>
      </c>
      <c r="M465" s="1347">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46"/>
      <c r="G466" s="1346"/>
      <c r="H466" s="1346"/>
      <c r="I466" s="1346"/>
      <c r="J466" s="1346"/>
      <c r="K466" s="1346"/>
      <c r="L466" s="1090" t="s">
        <v>1380</v>
      </c>
      <c r="M466" s="1347">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46"/>
      <c r="G467" s="1346"/>
      <c r="H467" s="1346"/>
      <c r="I467" s="1346"/>
      <c r="J467" s="1346"/>
      <c r="K467" s="1346"/>
      <c r="L467" s="1090" t="s">
        <v>1381</v>
      </c>
      <c r="M467" s="1347">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46"/>
      <c r="G468" s="1346"/>
      <c r="H468" s="1346"/>
      <c r="I468" s="1346"/>
      <c r="J468" s="1346"/>
      <c r="K468" s="1346"/>
      <c r="L468" s="1090" t="s">
        <v>1382</v>
      </c>
      <c r="M468" s="1347">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46"/>
      <c r="G469" s="1346"/>
      <c r="H469" s="1346"/>
      <c r="I469" s="1346"/>
      <c r="J469" s="1346"/>
      <c r="K469" s="1346"/>
      <c r="L469" s="1090" t="s">
        <v>1320</v>
      </c>
      <c r="M469" s="1347">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46"/>
      <c r="G470" s="1346"/>
      <c r="H470" s="1346"/>
      <c r="I470" s="1346"/>
      <c r="J470" s="1346"/>
      <c r="K470" s="1346"/>
      <c r="L470" s="1090" t="s">
        <v>1383</v>
      </c>
      <c r="M470" s="1347">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46"/>
      <c r="G471" s="1346"/>
      <c r="H471" s="1346"/>
      <c r="I471" s="1346"/>
      <c r="J471" s="1346"/>
      <c r="K471" s="1346"/>
      <c r="L471" s="1090" t="s">
        <v>254</v>
      </c>
      <c r="M471" s="1347">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46"/>
      <c r="G472" s="1346"/>
      <c r="H472" s="1346"/>
      <c r="I472" s="1346"/>
      <c r="J472" s="1346"/>
      <c r="K472" s="1346"/>
      <c r="L472" s="1090" t="s">
        <v>1339</v>
      </c>
      <c r="M472" s="1347">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46"/>
      <c r="G473" s="1346"/>
      <c r="H473" s="1346"/>
      <c r="I473" s="1346"/>
      <c r="J473" s="1346"/>
      <c r="K473" s="1346"/>
      <c r="L473" s="1090" t="s">
        <v>225</v>
      </c>
      <c r="M473" s="1347">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47" t="s">
        <v>1456</v>
      </c>
      <c r="E474" s="1029" t="s">
        <v>208</v>
      </c>
      <c r="F474" s="1346"/>
      <c r="G474" s="1346"/>
      <c r="H474" s="1346"/>
      <c r="I474" s="1346"/>
      <c r="J474" s="1346"/>
      <c r="K474" s="1346"/>
      <c r="L474" s="1090" t="s">
        <v>466</v>
      </c>
      <c r="M474" s="1347">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46"/>
      <c r="G475" s="1346"/>
      <c r="H475" s="1346"/>
      <c r="I475" s="1346"/>
      <c r="J475" s="1346"/>
      <c r="K475" s="1346"/>
      <c r="L475" s="1090" t="s">
        <v>1376</v>
      </c>
      <c r="M475" s="1347">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46"/>
      <c r="G476" s="1346"/>
      <c r="H476" s="1346"/>
      <c r="I476" s="1346"/>
      <c r="J476" s="1346"/>
      <c r="K476" s="1346"/>
      <c r="L476" s="1090" t="s">
        <v>1378</v>
      </c>
      <c r="M476" s="1347">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46"/>
      <c r="G477" s="1346"/>
      <c r="H477" s="1346"/>
      <c r="I477" s="1346"/>
      <c r="J477" s="1346"/>
      <c r="K477" s="1346"/>
      <c r="L477" s="1090" t="s">
        <v>1379</v>
      </c>
      <c r="M477" s="1347">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46"/>
      <c r="G478" s="1346"/>
      <c r="H478" s="1346"/>
      <c r="I478" s="1346"/>
      <c r="J478" s="1346"/>
      <c r="K478" s="1346"/>
      <c r="L478" s="1090" t="s">
        <v>1380</v>
      </c>
      <c r="M478" s="1347">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46"/>
      <c r="G479" s="1346"/>
      <c r="H479" s="1346"/>
      <c r="I479" s="1346"/>
      <c r="J479" s="1346"/>
      <c r="K479" s="1346"/>
      <c r="L479" s="1090" t="s">
        <v>1381</v>
      </c>
      <c r="M479" s="1347">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46"/>
      <c r="G480" s="1346"/>
      <c r="H480" s="1346"/>
      <c r="I480" s="1346"/>
      <c r="J480" s="1346"/>
      <c r="K480" s="1346"/>
      <c r="L480" s="1090" t="s">
        <v>1382</v>
      </c>
      <c r="M480" s="1347">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46"/>
      <c r="G481" s="1346"/>
      <c r="H481" s="1346"/>
      <c r="I481" s="1346"/>
      <c r="J481" s="1346"/>
      <c r="K481" s="1346"/>
      <c r="L481" s="1090" t="s">
        <v>1320</v>
      </c>
      <c r="M481" s="1347">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46"/>
      <c r="G482" s="1346"/>
      <c r="H482" s="1346"/>
      <c r="I482" s="1346"/>
      <c r="J482" s="1346"/>
      <c r="K482" s="1346"/>
      <c r="L482" s="1090" t="s">
        <v>1383</v>
      </c>
      <c r="M482" s="1347">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46"/>
      <c r="G483" s="1346"/>
      <c r="H483" s="1346"/>
      <c r="I483" s="1346"/>
      <c r="J483" s="1346"/>
      <c r="K483" s="1346"/>
      <c r="L483" s="1090" t="s">
        <v>254</v>
      </c>
      <c r="M483" s="1347">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46"/>
      <c r="G484" s="1346"/>
      <c r="H484" s="1346"/>
      <c r="I484" s="1346"/>
      <c r="J484" s="1346"/>
      <c r="K484" s="1346"/>
      <c r="L484" s="1090" t="s">
        <v>1339</v>
      </c>
      <c r="M484" s="1347">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46"/>
      <c r="G485" s="1346"/>
      <c r="H485" s="1346"/>
      <c r="I485" s="1346"/>
      <c r="J485" s="1346"/>
      <c r="K485" s="1346"/>
      <c r="L485" s="1090" t="s">
        <v>225</v>
      </c>
      <c r="M485" s="1347">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47" t="s">
        <v>1456</v>
      </c>
      <c r="E486" s="1029" t="s">
        <v>208</v>
      </c>
      <c r="F486" s="1346"/>
      <c r="G486" s="1346"/>
      <c r="H486" s="1346"/>
      <c r="I486" s="1346"/>
      <c r="J486" s="1346"/>
      <c r="K486" s="1346"/>
      <c r="L486" s="1090" t="s">
        <v>466</v>
      </c>
      <c r="M486" s="1347">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46"/>
      <c r="G487" s="1346"/>
      <c r="H487" s="1346"/>
      <c r="I487" s="1346"/>
      <c r="J487" s="1346"/>
      <c r="K487" s="1346"/>
      <c r="L487" s="1090" t="s">
        <v>1376</v>
      </c>
      <c r="M487" s="1347">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46"/>
      <c r="G488" s="1346"/>
      <c r="H488" s="1346"/>
      <c r="I488" s="1346"/>
      <c r="J488" s="1346"/>
      <c r="K488" s="1346"/>
      <c r="L488" s="1090" t="s">
        <v>1378</v>
      </c>
      <c r="M488" s="1347">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46"/>
      <c r="G489" s="1346"/>
      <c r="H489" s="1346"/>
      <c r="I489" s="1346"/>
      <c r="J489" s="1346"/>
      <c r="K489" s="1346"/>
      <c r="L489" s="1090" t="s">
        <v>1379</v>
      </c>
      <c r="M489" s="1347">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46"/>
      <c r="G490" s="1346"/>
      <c r="H490" s="1346"/>
      <c r="I490" s="1346"/>
      <c r="J490" s="1346"/>
      <c r="K490" s="1346"/>
      <c r="L490" s="1090" t="s">
        <v>1380</v>
      </c>
      <c r="M490" s="1347">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46"/>
      <c r="G491" s="1346"/>
      <c r="H491" s="1346"/>
      <c r="I491" s="1346"/>
      <c r="J491" s="1346"/>
      <c r="K491" s="1346"/>
      <c r="L491" s="1090" t="s">
        <v>1381</v>
      </c>
      <c r="M491" s="1347">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46"/>
      <c r="G492" s="1346"/>
      <c r="H492" s="1346"/>
      <c r="I492" s="1346"/>
      <c r="J492" s="1346"/>
      <c r="K492" s="1346"/>
      <c r="L492" s="1090" t="s">
        <v>1382</v>
      </c>
      <c r="M492" s="1347">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46"/>
      <c r="G493" s="1346"/>
      <c r="H493" s="1346"/>
      <c r="I493" s="1346"/>
      <c r="J493" s="1346"/>
      <c r="K493" s="1346"/>
      <c r="L493" s="1090" t="s">
        <v>1320</v>
      </c>
      <c r="M493" s="1347">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46"/>
      <c r="G494" s="1346"/>
      <c r="H494" s="1346"/>
      <c r="I494" s="1346"/>
      <c r="J494" s="1346"/>
      <c r="K494" s="1346"/>
      <c r="L494" s="1090" t="s">
        <v>1383</v>
      </c>
      <c r="M494" s="1347">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46"/>
      <c r="G495" s="1346"/>
      <c r="H495" s="1346"/>
      <c r="I495" s="1346"/>
      <c r="J495" s="1346"/>
      <c r="K495" s="1346"/>
      <c r="L495" s="1090" t="s">
        <v>254</v>
      </c>
      <c r="M495" s="1347">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46"/>
      <c r="G496" s="1346"/>
      <c r="H496" s="1346"/>
      <c r="I496" s="1346"/>
      <c r="J496" s="1346"/>
      <c r="K496" s="1346"/>
      <c r="L496" s="1090" t="s">
        <v>1339</v>
      </c>
      <c r="M496" s="1347">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46"/>
      <c r="G497" s="1346"/>
      <c r="H497" s="1346"/>
      <c r="I497" s="1346"/>
      <c r="J497" s="1346"/>
      <c r="K497" s="1346"/>
      <c r="L497" s="1090" t="s">
        <v>225</v>
      </c>
      <c r="M497" s="1347">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47" t="s">
        <v>1456</v>
      </c>
      <c r="E498" s="1029" t="s">
        <v>208</v>
      </c>
      <c r="F498" s="1346"/>
      <c r="G498" s="1346"/>
      <c r="H498" s="1346"/>
      <c r="I498" s="1346"/>
      <c r="J498" s="1346"/>
      <c r="K498" s="1346"/>
      <c r="L498" s="1090" t="s">
        <v>466</v>
      </c>
      <c r="M498" s="1347">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46"/>
      <c r="G499" s="1346"/>
      <c r="H499" s="1346"/>
      <c r="I499" s="1346"/>
      <c r="J499" s="1346"/>
      <c r="K499" s="1346"/>
      <c r="L499" s="1090" t="s">
        <v>1376</v>
      </c>
      <c r="M499" s="1347">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46"/>
      <c r="G500" s="1346"/>
      <c r="H500" s="1346"/>
      <c r="I500" s="1346"/>
      <c r="J500" s="1346"/>
      <c r="K500" s="1346"/>
      <c r="L500" s="1090" t="s">
        <v>1378</v>
      </c>
      <c r="M500" s="1347">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46"/>
      <c r="G501" s="1346"/>
      <c r="H501" s="1346"/>
      <c r="I501" s="1346"/>
      <c r="J501" s="1346"/>
      <c r="K501" s="1346"/>
      <c r="L501" s="1090" t="s">
        <v>1379</v>
      </c>
      <c r="M501" s="1347">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46"/>
      <c r="G502" s="1346"/>
      <c r="H502" s="1346"/>
      <c r="I502" s="1346"/>
      <c r="J502" s="1346"/>
      <c r="K502" s="1346"/>
      <c r="L502" s="1090" t="s">
        <v>1380</v>
      </c>
      <c r="M502" s="1347">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46"/>
      <c r="G503" s="1346"/>
      <c r="H503" s="1346"/>
      <c r="I503" s="1346"/>
      <c r="J503" s="1346"/>
      <c r="K503" s="1346"/>
      <c r="L503" s="1090" t="s">
        <v>1381</v>
      </c>
      <c r="M503" s="1347">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46"/>
      <c r="G504" s="1346"/>
      <c r="H504" s="1346"/>
      <c r="I504" s="1346"/>
      <c r="J504" s="1346"/>
      <c r="K504" s="1346"/>
      <c r="L504" s="1090" t="s">
        <v>1382</v>
      </c>
      <c r="M504" s="1347">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46"/>
      <c r="G505" s="1346"/>
      <c r="H505" s="1346"/>
      <c r="I505" s="1346"/>
      <c r="J505" s="1346"/>
      <c r="K505" s="1346"/>
      <c r="L505" s="1090" t="s">
        <v>1320</v>
      </c>
      <c r="M505" s="1347">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46"/>
      <c r="G506" s="1346"/>
      <c r="H506" s="1346"/>
      <c r="I506" s="1346"/>
      <c r="J506" s="1346"/>
      <c r="K506" s="1346"/>
      <c r="L506" s="1090" t="s">
        <v>1383</v>
      </c>
      <c r="M506" s="1347">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46"/>
      <c r="G507" s="1346"/>
      <c r="H507" s="1346"/>
      <c r="I507" s="1346"/>
      <c r="J507" s="1346"/>
      <c r="K507" s="1346"/>
      <c r="L507" s="1090" t="s">
        <v>254</v>
      </c>
      <c r="M507" s="1347">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46"/>
      <c r="G508" s="1346"/>
      <c r="H508" s="1346"/>
      <c r="I508" s="1346"/>
      <c r="J508" s="1346"/>
      <c r="K508" s="1346"/>
      <c r="L508" s="1090" t="s">
        <v>1339</v>
      </c>
      <c r="M508" s="1347">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46"/>
      <c r="G509" s="1346"/>
      <c r="H509" s="1346"/>
      <c r="I509" s="1346"/>
      <c r="J509" s="1346"/>
      <c r="K509" s="1346"/>
      <c r="L509" s="1090" t="s">
        <v>225</v>
      </c>
      <c r="M509" s="1347">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47" t="s">
        <v>1456</v>
      </c>
      <c r="E510" s="1029" t="s">
        <v>208</v>
      </c>
      <c r="F510" s="1346"/>
      <c r="G510" s="1346"/>
      <c r="H510" s="1346"/>
      <c r="I510" s="1346"/>
      <c r="J510" s="1346"/>
      <c r="K510" s="1346"/>
      <c r="L510" s="1090" t="s">
        <v>466</v>
      </c>
      <c r="M510" s="1347">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46"/>
      <c r="G511" s="1346"/>
      <c r="H511" s="1346"/>
      <c r="I511" s="1346"/>
      <c r="J511" s="1346"/>
      <c r="K511" s="1346"/>
      <c r="L511" s="1090" t="s">
        <v>1376</v>
      </c>
      <c r="M511" s="1347">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46"/>
      <c r="G512" s="1346"/>
      <c r="H512" s="1346"/>
      <c r="I512" s="1346"/>
      <c r="J512" s="1346"/>
      <c r="K512" s="1346"/>
      <c r="L512" s="1090" t="s">
        <v>1378</v>
      </c>
      <c r="M512" s="1347">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46"/>
      <c r="G513" s="1346"/>
      <c r="H513" s="1346"/>
      <c r="I513" s="1346"/>
      <c r="J513" s="1346"/>
      <c r="K513" s="1346"/>
      <c r="L513" s="1090" t="s">
        <v>1379</v>
      </c>
      <c r="M513" s="1347">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46"/>
      <c r="G514" s="1346"/>
      <c r="H514" s="1346"/>
      <c r="I514" s="1346"/>
      <c r="J514" s="1346"/>
      <c r="K514" s="1346"/>
      <c r="L514" s="1090" t="s">
        <v>1380</v>
      </c>
      <c r="M514" s="1347">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46"/>
      <c r="G515" s="1346"/>
      <c r="H515" s="1346"/>
      <c r="I515" s="1346"/>
      <c r="J515" s="1346"/>
      <c r="K515" s="1346"/>
      <c r="L515" s="1090" t="s">
        <v>1381</v>
      </c>
      <c r="M515" s="1347">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46"/>
      <c r="G516" s="1346"/>
      <c r="H516" s="1346"/>
      <c r="I516" s="1346"/>
      <c r="J516" s="1346"/>
      <c r="K516" s="1346"/>
      <c r="L516" s="1090" t="s">
        <v>1382</v>
      </c>
      <c r="M516" s="1347">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46"/>
      <c r="G517" s="1346"/>
      <c r="H517" s="1346"/>
      <c r="I517" s="1346"/>
      <c r="J517" s="1346"/>
      <c r="K517" s="1346"/>
      <c r="L517" s="1090" t="s">
        <v>1320</v>
      </c>
      <c r="M517" s="1347">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46"/>
      <c r="G518" s="1346"/>
      <c r="H518" s="1346"/>
      <c r="I518" s="1346"/>
      <c r="J518" s="1346"/>
      <c r="K518" s="1346"/>
      <c r="L518" s="1090" t="s">
        <v>1383</v>
      </c>
      <c r="M518" s="1347">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46"/>
      <c r="G519" s="1346"/>
      <c r="H519" s="1346"/>
      <c r="I519" s="1346"/>
      <c r="J519" s="1346"/>
      <c r="K519" s="1346"/>
      <c r="L519" s="1090" t="s">
        <v>254</v>
      </c>
      <c r="M519" s="1347">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46"/>
      <c r="G520" s="1346"/>
      <c r="H520" s="1346"/>
      <c r="I520" s="1346"/>
      <c r="J520" s="1346"/>
      <c r="K520" s="1346"/>
      <c r="L520" s="1090" t="s">
        <v>1339</v>
      </c>
      <c r="M520" s="1347">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46"/>
      <c r="G521" s="1346"/>
      <c r="H521" s="1346"/>
      <c r="I521" s="1346"/>
      <c r="J521" s="1346"/>
      <c r="K521" s="1346"/>
      <c r="L521" s="1090" t="s">
        <v>225</v>
      </c>
      <c r="M521" s="1347">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47" t="s">
        <v>1456</v>
      </c>
      <c r="E522" s="1029" t="s">
        <v>208</v>
      </c>
      <c r="F522" s="1346"/>
      <c r="G522" s="1346"/>
      <c r="H522" s="1346"/>
      <c r="I522" s="1346"/>
      <c r="J522" s="1346"/>
      <c r="K522" s="1346"/>
      <c r="L522" s="1090" t="s">
        <v>466</v>
      </c>
      <c r="M522" s="1347">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46"/>
      <c r="G523" s="1346"/>
      <c r="H523" s="1346"/>
      <c r="I523" s="1346"/>
      <c r="J523" s="1346"/>
      <c r="K523" s="1346"/>
      <c r="L523" s="1090" t="s">
        <v>1376</v>
      </c>
      <c r="M523" s="1347">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46"/>
      <c r="G524" s="1346"/>
      <c r="H524" s="1346"/>
      <c r="I524" s="1346"/>
      <c r="J524" s="1346"/>
      <c r="K524" s="1346"/>
      <c r="L524" s="1090" t="s">
        <v>1378</v>
      </c>
      <c r="M524" s="1347">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46"/>
      <c r="G525" s="1346"/>
      <c r="H525" s="1346"/>
      <c r="I525" s="1346"/>
      <c r="J525" s="1346"/>
      <c r="K525" s="1346"/>
      <c r="L525" s="1090" t="s">
        <v>1379</v>
      </c>
      <c r="M525" s="1347">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46"/>
      <c r="G526" s="1346"/>
      <c r="H526" s="1346"/>
      <c r="I526" s="1346"/>
      <c r="J526" s="1346"/>
      <c r="K526" s="1346"/>
      <c r="L526" s="1090" t="s">
        <v>1380</v>
      </c>
      <c r="M526" s="1347">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46"/>
      <c r="G527" s="1346"/>
      <c r="H527" s="1346"/>
      <c r="I527" s="1346"/>
      <c r="J527" s="1346"/>
      <c r="K527" s="1346"/>
      <c r="L527" s="1090" t="s">
        <v>1381</v>
      </c>
      <c r="M527" s="1347">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46"/>
      <c r="G528" s="1346"/>
      <c r="H528" s="1346"/>
      <c r="I528" s="1346"/>
      <c r="J528" s="1346"/>
      <c r="K528" s="1346"/>
      <c r="L528" s="1090" t="s">
        <v>1382</v>
      </c>
      <c r="M528" s="1347">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46"/>
      <c r="G529" s="1346"/>
      <c r="H529" s="1346"/>
      <c r="I529" s="1346"/>
      <c r="J529" s="1346"/>
      <c r="K529" s="1346"/>
      <c r="L529" s="1090" t="s">
        <v>1320</v>
      </c>
      <c r="M529" s="1347">
        <v>498</v>
      </c>
      <c r="N529" s="1347"/>
      <c r="O529" s="1346"/>
    </row>
    <row r="530" spans="1:15" x14ac:dyDescent="0.25">
      <c r="A530" s="1089" t="s">
        <v>1369</v>
      </c>
      <c r="B530" s="1026" t="str">
        <f ca="1">_xlfn.CONCAT(IFERROR(SUBSTITUTE(ADDRESS(1,MATCH(A530,INDIRECT("'"&amp;E530&amp;"'"&amp;"!A4:Z4"),0),4),1,""),""),4)</f>
        <v>M4</v>
      </c>
      <c r="C530" s="1347" t="str">
        <f ca="1">_xlfn.CONCAT(IFERROR(SUBSTITUTE(ADDRESS(1,MATCH(A530,INDIRECT("'"&amp;E530&amp;"'"&amp;"!A4:Z4"),0),4),1,""),""),5)</f>
        <v>M5</v>
      </c>
      <c r="D530" s="1029" t="s">
        <v>1449</v>
      </c>
      <c r="E530" s="1029" t="s">
        <v>1373</v>
      </c>
      <c r="F530" s="1346"/>
      <c r="G530" s="1346"/>
      <c r="H530" s="1346"/>
      <c r="I530" s="1346"/>
      <c r="J530" s="1346"/>
      <c r="K530" s="1346"/>
      <c r="L530" s="1090" t="s">
        <v>1369</v>
      </c>
      <c r="M530" s="1347">
        <v>499</v>
      </c>
      <c r="N530" s="1347"/>
      <c r="O530" s="1346"/>
    </row>
    <row r="531" spans="1:15" x14ac:dyDescent="0.25">
      <c r="A531" s="1089" t="s">
        <v>1370</v>
      </c>
      <c r="B531" s="1026" t="str">
        <f t="shared" ref="B531:B538" ca="1" si="30">_xlfn.CONCAT(IFERROR(SUBSTITUTE(ADDRESS(1,MATCH(A531,INDIRECT("'"&amp;E531&amp;"'"&amp;"!A4:Z4"),0),4),1,""),""),4)</f>
        <v>N4</v>
      </c>
      <c r="C531" s="1347" t="str">
        <f t="shared" ref="C531:C538" ca="1" si="31">_xlfn.CONCAT(IFERROR(SUBSTITUTE(ADDRESS(1,MATCH(A531,INDIRECT("'"&amp;E531&amp;"'"&amp;"!A4:Z4"),0),4),1,""),""),5)</f>
        <v>N5</v>
      </c>
      <c r="D531" s="1029" t="s">
        <v>1449</v>
      </c>
      <c r="E531" s="1029" t="s">
        <v>1373</v>
      </c>
      <c r="F531" s="1346"/>
      <c r="G531" s="1346"/>
      <c r="H531" s="1346"/>
      <c r="I531" s="1346"/>
      <c r="J531" s="1346"/>
      <c r="K531" s="1346"/>
      <c r="L531" s="1090" t="s">
        <v>1370</v>
      </c>
      <c r="M531" s="1347">
        <v>500</v>
      </c>
      <c r="N531" s="1347"/>
      <c r="O531" s="1346"/>
    </row>
    <row r="532" spans="1:15" x14ac:dyDescent="0.25">
      <c r="A532" s="1089" t="s">
        <v>1364</v>
      </c>
      <c r="B532" s="1026" t="str">
        <f t="shared" ca="1" si="30"/>
        <v>H4</v>
      </c>
      <c r="C532" s="1347" t="str">
        <f t="shared" ca="1" si="31"/>
        <v>H5</v>
      </c>
      <c r="D532" s="1029" t="s">
        <v>1449</v>
      </c>
      <c r="E532" s="1029" t="s">
        <v>1373</v>
      </c>
      <c r="F532" s="1346"/>
      <c r="G532" s="1346"/>
      <c r="H532" s="1346"/>
      <c r="I532" s="1346"/>
      <c r="J532" s="1346"/>
      <c r="K532" s="1346"/>
      <c r="L532" s="1090" t="s">
        <v>1364</v>
      </c>
      <c r="M532" s="1347">
        <v>501</v>
      </c>
      <c r="N532" s="1347"/>
      <c r="O532" s="1346"/>
    </row>
    <row r="533" spans="1:15" x14ac:dyDescent="0.25">
      <c r="A533" s="1089" t="s">
        <v>1362</v>
      </c>
      <c r="B533" s="1026" t="str">
        <f t="shared" ca="1" si="30"/>
        <v>F4</v>
      </c>
      <c r="C533" s="1347" t="str">
        <f t="shared" ca="1" si="31"/>
        <v>F5</v>
      </c>
      <c r="D533" s="1029" t="s">
        <v>1449</v>
      </c>
      <c r="E533" s="1029" t="s">
        <v>1373</v>
      </c>
      <c r="F533" s="1346"/>
      <c r="G533" s="1346"/>
      <c r="H533" s="1346"/>
      <c r="I533" s="1346"/>
      <c r="J533" s="1346"/>
      <c r="K533" s="1346"/>
      <c r="L533" s="1089" t="s">
        <v>1362</v>
      </c>
      <c r="M533" s="1347">
        <v>514</v>
      </c>
      <c r="N533" s="1347"/>
      <c r="O533" s="1346"/>
    </row>
    <row r="534" spans="1:15" x14ac:dyDescent="0.25">
      <c r="A534" s="1089" t="s">
        <v>1363</v>
      </c>
      <c r="B534" s="1026" t="str">
        <f t="shared" ca="1" si="30"/>
        <v>G4</v>
      </c>
      <c r="C534" s="1347" t="str">
        <f t="shared" ca="1" si="31"/>
        <v>G5</v>
      </c>
      <c r="D534" s="1029" t="s">
        <v>1449</v>
      </c>
      <c r="E534" s="1029" t="s">
        <v>1373</v>
      </c>
      <c r="F534" s="1346"/>
      <c r="G534" s="1346"/>
      <c r="H534" s="1346"/>
      <c r="I534" s="1346"/>
      <c r="J534" s="1346"/>
      <c r="K534" s="1346"/>
      <c r="L534" s="1089" t="s">
        <v>1561</v>
      </c>
      <c r="M534" s="1347">
        <v>515</v>
      </c>
      <c r="N534" s="1347"/>
      <c r="O534" s="1346"/>
    </row>
    <row r="535" spans="1:15" x14ac:dyDescent="0.25">
      <c r="A535" s="1089" t="s">
        <v>1365</v>
      </c>
      <c r="B535" s="1026" t="str">
        <f t="shared" ca="1" si="30"/>
        <v>I4</v>
      </c>
      <c r="C535" s="1347" t="str">
        <f t="shared" ca="1" si="31"/>
        <v>I5</v>
      </c>
      <c r="D535" s="1029" t="s">
        <v>1449</v>
      </c>
      <c r="E535" s="1029" t="s">
        <v>1373</v>
      </c>
      <c r="F535" s="1346"/>
      <c r="G535" s="1346"/>
      <c r="H535" s="1346"/>
      <c r="I535" s="1346"/>
      <c r="J535" s="1346"/>
      <c r="K535" s="1346"/>
      <c r="L535" s="1089" t="s">
        <v>1365</v>
      </c>
      <c r="M535" s="1347">
        <v>517</v>
      </c>
      <c r="N535" s="1347"/>
      <c r="O535" s="1346"/>
    </row>
    <row r="536" spans="1:15" x14ac:dyDescent="0.25">
      <c r="A536" s="1089" t="s">
        <v>1366</v>
      </c>
      <c r="B536" s="1026" t="str">
        <f t="shared" ca="1" si="30"/>
        <v>J4</v>
      </c>
      <c r="C536" s="1347" t="str">
        <f t="shared" ca="1" si="31"/>
        <v>J5</v>
      </c>
      <c r="D536" s="1029" t="s">
        <v>1449</v>
      </c>
      <c r="E536" s="1029" t="s">
        <v>1373</v>
      </c>
      <c r="F536" s="1346"/>
      <c r="G536" s="1346"/>
      <c r="H536" s="1346"/>
      <c r="I536" s="1346"/>
      <c r="J536" s="1346"/>
      <c r="K536" s="1346"/>
      <c r="L536" s="1089" t="s">
        <v>1366</v>
      </c>
      <c r="M536" s="1347">
        <v>518</v>
      </c>
      <c r="N536" s="1347"/>
      <c r="O536" s="1346"/>
    </row>
    <row r="537" spans="1:15" x14ac:dyDescent="0.25">
      <c r="A537" s="1089" t="s">
        <v>1367</v>
      </c>
      <c r="B537" s="1026" t="str">
        <f t="shared" ca="1" si="30"/>
        <v>K4</v>
      </c>
      <c r="C537" s="1347" t="str">
        <f t="shared" ca="1" si="31"/>
        <v>K5</v>
      </c>
      <c r="D537" s="1029" t="s">
        <v>1449</v>
      </c>
      <c r="E537" s="1029" t="s">
        <v>1373</v>
      </c>
      <c r="F537" s="1346"/>
      <c r="G537" s="1346"/>
      <c r="H537" s="1346"/>
      <c r="I537" s="1346"/>
      <c r="J537" s="1346"/>
      <c r="K537" s="1346"/>
      <c r="L537" s="1089" t="s">
        <v>1563</v>
      </c>
      <c r="M537" s="1347">
        <v>519</v>
      </c>
      <c r="N537" s="1347"/>
      <c r="O537" s="1346"/>
    </row>
    <row r="538" spans="1:15" x14ac:dyDescent="0.25">
      <c r="A538" s="1089" t="s">
        <v>1368</v>
      </c>
      <c r="B538" s="1026" t="str">
        <f t="shared" ca="1" si="30"/>
        <v>L4</v>
      </c>
      <c r="C538" s="1347" t="str">
        <f t="shared" ca="1" si="31"/>
        <v>L5</v>
      </c>
      <c r="D538" s="1029" t="s">
        <v>1449</v>
      </c>
      <c r="E538" s="1029" t="s">
        <v>1373</v>
      </c>
      <c r="F538" s="1346"/>
      <c r="G538" s="1346"/>
      <c r="H538" s="1346"/>
      <c r="I538" s="1346"/>
      <c r="J538" s="1346"/>
      <c r="K538" s="1346"/>
      <c r="L538" s="1089" t="s">
        <v>1368</v>
      </c>
      <c r="M538" s="1347">
        <v>514</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46"/>
      <c r="G539" s="1346"/>
      <c r="H539" s="1346"/>
      <c r="I539" s="1346"/>
      <c r="J539" s="1346"/>
      <c r="K539" s="1346"/>
      <c r="L539" s="1089" t="s">
        <v>1594</v>
      </c>
      <c r="M539" s="1347">
        <v>516</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46"/>
      <c r="G540" s="1346"/>
      <c r="H540" s="1346"/>
      <c r="I540" s="1346"/>
      <c r="J540" s="1346"/>
      <c r="K540" s="1346"/>
      <c r="L540" s="1089" t="s">
        <v>1808</v>
      </c>
      <c r="M540" s="1347">
        <v>517</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46"/>
      <c r="G541" s="1346"/>
      <c r="H541" s="1346"/>
      <c r="I541" s="1346"/>
      <c r="J541" s="1346"/>
      <c r="K541" s="1346"/>
      <c r="L541" s="1089" t="s">
        <v>1483</v>
      </c>
      <c r="M541" s="1347">
        <v>518</v>
      </c>
      <c r="N541" s="1347"/>
      <c r="O541" s="1346">
        <f>'Configurable Tab'!I3</f>
        <v>16</v>
      </c>
    </row>
    <row r="542" spans="1:15" x14ac:dyDescent="0.25">
      <c r="A542" s="1118" t="s">
        <v>1485</v>
      </c>
      <c r="B542" s="1089" t="str">
        <f ca="1">IFERROR(_xlfn.CONCAT("C",MATCH(A542,INDIRECT("'"&amp;E542&amp;"'!C"&amp;$O$539&amp;":C"&amp;$O$541),0)+$O$539-1),"")</f>
        <v>C9</v>
      </c>
      <c r="C542" s="1089" t="str">
        <f ca="1">IFERROR(_xlfn.CONCAT("D",MATCH(A542,INDIRECT("'"&amp;E542&amp;"'!C"&amp;$O$539&amp;":C"&amp;$O$541),0)+$O$539-1),"")</f>
        <v>D9</v>
      </c>
      <c r="D542" s="1089" t="s">
        <v>1449</v>
      </c>
      <c r="E542" s="1089" t="s">
        <v>1619</v>
      </c>
      <c r="F542" s="1346"/>
      <c r="G542" s="1346"/>
      <c r="H542" s="1346"/>
      <c r="I542" s="1346"/>
      <c r="J542" s="1346"/>
      <c r="K542" s="1346"/>
      <c r="L542" s="1089" t="s">
        <v>1485</v>
      </c>
      <c r="M542" s="1347">
        <v>526</v>
      </c>
      <c r="N542" s="1347"/>
      <c r="O542" s="1346" t="s">
        <v>1735</v>
      </c>
    </row>
    <row r="543" spans="1:15" x14ac:dyDescent="0.25">
      <c r="A543" s="1118" t="s">
        <v>1486</v>
      </c>
      <c r="B543" s="1089" t="str">
        <f ca="1">IFERROR(_xlfn.CONCAT("C",MATCH(A543,INDIRECT("'"&amp;E543&amp;"'!C"&amp;$O$539&amp;":C"&amp;$O$541),0)+$O$539-1),"")</f>
        <v>C11</v>
      </c>
      <c r="C543" s="1089" t="str">
        <f ca="1">IFERROR(_xlfn.CONCAT("D",MATCH(A543,INDIRECT("'"&amp;E543&amp;"'!C"&amp;$O$539&amp;":C"&amp;$O$541),0)+$O$539-1),"")</f>
        <v>D11</v>
      </c>
      <c r="D543" s="1089" t="s">
        <v>1449</v>
      </c>
      <c r="E543" s="1089" t="s">
        <v>1619</v>
      </c>
      <c r="F543" s="1346"/>
      <c r="G543" s="1346"/>
      <c r="H543" s="1346"/>
      <c r="I543" s="1346"/>
      <c r="J543" s="1346"/>
      <c r="K543" s="1346"/>
      <c r="L543" s="1089" t="s">
        <v>1486</v>
      </c>
      <c r="M543" s="1347">
        <v>527</v>
      </c>
      <c r="N543" s="1347"/>
      <c r="O543" s="1346"/>
    </row>
    <row r="544" spans="1:15" x14ac:dyDescent="0.25">
      <c r="A544" s="1118" t="s">
        <v>1598</v>
      </c>
      <c r="B544" s="1089" t="str">
        <f ca="1">IFERROR(_xlfn.CONCAT("C",MATCH(A544,INDIRECT("'"&amp;E544&amp;"'!C"&amp;$O$539&amp;":C"&amp;$O$541),0)+$O$539-1),"")</f>
        <v>C13</v>
      </c>
      <c r="C544" s="1089" t="str">
        <f ca="1">IFERROR(_xlfn.CONCAT("D",MATCH(A544,INDIRECT("'"&amp;E544&amp;"'!C"&amp;$O$539&amp;":C"&amp;$O$541),0)+$O$539-1),"")</f>
        <v>D13</v>
      </c>
      <c r="D544" s="1089" t="s">
        <v>1449</v>
      </c>
      <c r="E544" s="1089" t="s">
        <v>1619</v>
      </c>
      <c r="F544" s="1346"/>
      <c r="G544" s="1346"/>
      <c r="H544" s="1346"/>
      <c r="I544" s="1346"/>
      <c r="J544" s="1346"/>
      <c r="K544" s="1346"/>
      <c r="L544" s="1089" t="s">
        <v>1598</v>
      </c>
      <c r="M544" s="1347">
        <v>528</v>
      </c>
      <c r="N544" s="1347"/>
      <c r="O544" s="1346"/>
    </row>
    <row r="545" spans="1:15" x14ac:dyDescent="0.25">
      <c r="A545" s="1118" t="s">
        <v>1480</v>
      </c>
      <c r="B545" s="1089" t="str">
        <f t="shared" ref="B545:B551" ca="1" si="32">_xlfn.CONCAT(IFERROR(SUBSTITUTE(ADDRESS(1,MATCH(A545,INDIRECT("'"&amp;E545&amp;"'"&amp;"!A" &amp; $O$539+2 &amp; ":Z"&amp;$O$539+2 ),0),4),1,""),""),$O$539+2)</f>
        <v>H5</v>
      </c>
      <c r="C545" s="1089" t="str">
        <f t="shared" ref="C545:C551" ca="1" si="33">_xlfn.CONCAT(IFERROR(SUBSTITUTE(ADDRESS(1,MATCH(A545,INDIRECT("'"&amp;E545&amp;"'"&amp;"!A" &amp; $O$539+2 &amp; ":Z"&amp;$O$539+2 ),0),4),1,""),""),$O$539+3)</f>
        <v>H6</v>
      </c>
      <c r="D545" s="1089" t="s">
        <v>1449</v>
      </c>
      <c r="E545" s="1089" t="s">
        <v>1619</v>
      </c>
      <c r="F545" s="1346"/>
      <c r="G545" s="1346"/>
      <c r="H545" s="1346"/>
      <c r="I545" s="1346"/>
      <c r="J545" s="1346"/>
      <c r="K545" s="1346"/>
      <c r="L545" s="1089" t="s">
        <v>1480</v>
      </c>
      <c r="M545" s="1347">
        <v>519</v>
      </c>
      <c r="N545" s="1347"/>
      <c r="O545" s="1346"/>
    </row>
    <row r="546" spans="1:15" x14ac:dyDescent="0.25">
      <c r="A546" s="1118" t="s">
        <v>1481</v>
      </c>
      <c r="B546" s="1089" t="str">
        <f t="shared" ca="1" si="32"/>
        <v>J5</v>
      </c>
      <c r="C546" s="1089" t="str">
        <f t="shared" ca="1" si="33"/>
        <v>J6</v>
      </c>
      <c r="D546" s="1089" t="s">
        <v>1449</v>
      </c>
      <c r="E546" s="1089" t="s">
        <v>1619</v>
      </c>
      <c r="F546" s="1346"/>
      <c r="G546" s="1346"/>
      <c r="H546" s="1346"/>
      <c r="I546" s="1346"/>
      <c r="J546" s="1346"/>
      <c r="K546" s="1346"/>
      <c r="L546" s="1089" t="s">
        <v>1481</v>
      </c>
      <c r="M546" s="1347">
        <v>520</v>
      </c>
      <c r="N546" s="1347"/>
      <c r="O546" s="1346"/>
    </row>
    <row r="547" spans="1:15" x14ac:dyDescent="0.25">
      <c r="A547" s="1118" t="s">
        <v>1497</v>
      </c>
      <c r="B547" s="1089" t="str">
        <f t="shared" ca="1" si="32"/>
        <v>L5</v>
      </c>
      <c r="C547" s="1089" t="str">
        <f t="shared" ca="1" si="33"/>
        <v>L6</v>
      </c>
      <c r="D547" s="1089" t="s">
        <v>1449</v>
      </c>
      <c r="E547" s="1089" t="s">
        <v>1619</v>
      </c>
      <c r="F547" s="1346"/>
      <c r="G547" s="1346"/>
      <c r="H547" s="1346"/>
      <c r="I547" s="1346"/>
      <c r="J547" s="1346"/>
      <c r="K547" s="1346"/>
      <c r="L547" s="1089" t="s">
        <v>1497</v>
      </c>
      <c r="M547" s="1347">
        <v>521</v>
      </c>
      <c r="N547" s="1347"/>
      <c r="O547" s="1346"/>
    </row>
    <row r="548" spans="1:15" x14ac:dyDescent="0.25">
      <c r="A548" s="1118" t="s">
        <v>1482</v>
      </c>
      <c r="B548" s="1089" t="str">
        <f t="shared" ca="1" si="32"/>
        <v>N5</v>
      </c>
      <c r="C548" s="1089" t="str">
        <f t="shared" ca="1" si="33"/>
        <v>N6</v>
      </c>
      <c r="D548" s="1089" t="s">
        <v>1449</v>
      </c>
      <c r="E548" s="1089" t="s">
        <v>1619</v>
      </c>
      <c r="F548" s="1346"/>
      <c r="G548" s="1346"/>
      <c r="H548" s="1346"/>
      <c r="I548" s="1346"/>
      <c r="J548" s="1346"/>
      <c r="K548" s="1346"/>
      <c r="L548" s="1089" t="s">
        <v>1482</v>
      </c>
      <c r="M548" s="1347">
        <v>522</v>
      </c>
      <c r="N548" s="1347"/>
      <c r="O548" s="1346"/>
    </row>
    <row r="549" spans="1:15" x14ac:dyDescent="0.25">
      <c r="A549" s="1118" t="s">
        <v>1589</v>
      </c>
      <c r="B549" s="1089" t="str">
        <f t="shared" ca="1" si="32"/>
        <v>P5</v>
      </c>
      <c r="C549" s="1089" t="str">
        <f t="shared" ca="1" si="33"/>
        <v>P6</v>
      </c>
      <c r="D549" s="1089" t="s">
        <v>1449</v>
      </c>
      <c r="E549" s="1089" t="s">
        <v>1619</v>
      </c>
      <c r="F549" s="1346"/>
      <c r="G549" s="1346"/>
      <c r="H549" s="1346"/>
      <c r="I549" s="1346"/>
      <c r="J549" s="1346"/>
      <c r="K549" s="1346"/>
      <c r="L549" s="1089" t="s">
        <v>1589</v>
      </c>
      <c r="M549" s="1347">
        <v>523</v>
      </c>
      <c r="N549" s="1347"/>
      <c r="O549" s="1346"/>
    </row>
    <row r="550" spans="1:15" x14ac:dyDescent="0.25">
      <c r="A550" s="1118" t="s">
        <v>1590</v>
      </c>
      <c r="B550" s="1089" t="str">
        <f t="shared" ca="1" si="32"/>
        <v>R5</v>
      </c>
      <c r="C550" s="1089" t="str">
        <f t="shared" ca="1" si="33"/>
        <v>R6</v>
      </c>
      <c r="D550" s="1089" t="s">
        <v>1449</v>
      </c>
      <c r="E550" s="1089" t="s">
        <v>1619</v>
      </c>
      <c r="F550" s="1346"/>
      <c r="G550" s="1346"/>
      <c r="H550" s="1346"/>
      <c r="I550" s="1346"/>
      <c r="J550" s="1346"/>
      <c r="K550" s="1346"/>
      <c r="L550" s="1089" t="s">
        <v>1590</v>
      </c>
      <c r="M550" s="1347">
        <v>524</v>
      </c>
      <c r="N550" s="1347"/>
      <c r="O550" s="1346"/>
    </row>
    <row r="551" spans="1:15" x14ac:dyDescent="0.25">
      <c r="A551" s="1118" t="s">
        <v>1591</v>
      </c>
      <c r="B551" s="1089" t="str">
        <f t="shared" ca="1" si="32"/>
        <v>T5</v>
      </c>
      <c r="C551" s="1089" t="str">
        <f t="shared" ca="1" si="33"/>
        <v>T6</v>
      </c>
      <c r="D551" s="1089" t="s">
        <v>1449</v>
      </c>
      <c r="E551" s="1089" t="s">
        <v>1619</v>
      </c>
      <c r="F551" s="1346"/>
      <c r="G551" s="1346"/>
      <c r="H551" s="1346"/>
      <c r="I551" s="1346"/>
      <c r="J551" s="1346"/>
      <c r="K551" s="1346"/>
      <c r="L551" s="1089" t="s">
        <v>1591</v>
      </c>
      <c r="M551" s="1347">
        <v>525</v>
      </c>
      <c r="N551" s="1347"/>
      <c r="O551" s="1346"/>
    </row>
    <row r="552" spans="1:15" x14ac:dyDescent="0.25">
      <c r="A552" s="1118" t="s">
        <v>1489</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1449</v>
      </c>
      <c r="E552" s="1089" t="s">
        <v>1619</v>
      </c>
      <c r="F552" s="1346"/>
      <c r="G552" s="1346"/>
      <c r="H552" s="1346"/>
      <c r="I552" s="1346"/>
      <c r="J552" s="1346"/>
      <c r="K552" s="1346"/>
      <c r="L552" s="1089" t="s">
        <v>1489</v>
      </c>
      <c r="M552" s="1347">
        <v>530</v>
      </c>
      <c r="N552" s="1347"/>
      <c r="O552" s="1346"/>
    </row>
    <row r="553" spans="1:15" x14ac:dyDescent="0.25">
      <c r="A553" s="1118" t="s">
        <v>1595</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1449</v>
      </c>
      <c r="E553" s="1089" t="s">
        <v>1619</v>
      </c>
      <c r="F553" s="1346"/>
      <c r="G553" s="1346"/>
      <c r="H553" s="1346"/>
      <c r="I553" s="1346"/>
      <c r="J553" s="1346"/>
      <c r="K553" s="1346"/>
      <c r="L553" s="1089" t="s">
        <v>1595</v>
      </c>
      <c r="M553" s="1347">
        <v>529</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46"/>
      <c r="G554" s="1346"/>
      <c r="H554" s="1346"/>
      <c r="I554" s="1346"/>
      <c r="J554" s="1346"/>
      <c r="K554" s="1346"/>
      <c r="L554" s="1089" t="s">
        <v>1594</v>
      </c>
      <c r="M554" s="1347">
        <v>531</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46"/>
      <c r="G555" s="1346"/>
      <c r="H555" s="1346"/>
      <c r="I555" s="1346"/>
      <c r="J555" s="1346"/>
      <c r="K555" s="1346"/>
      <c r="L555" s="1089" t="s">
        <v>1808</v>
      </c>
      <c r="M555" s="1347">
        <v>532</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46"/>
      <c r="G556" s="1346"/>
      <c r="H556" s="1346"/>
      <c r="I556" s="1346"/>
      <c r="J556" s="1346"/>
      <c r="K556" s="1346"/>
      <c r="L556" s="1089" t="s">
        <v>1483</v>
      </c>
      <c r="M556" s="1347">
        <v>533</v>
      </c>
      <c r="N556" s="1347"/>
      <c r="O556" s="1346" t="s">
        <v>743</v>
      </c>
    </row>
    <row r="557" spans="1:15" x14ac:dyDescent="0.25">
      <c r="A557" s="1121" t="s">
        <v>1485</v>
      </c>
      <c r="B557" s="1089" t="str">
        <f ca="1">IFERROR(_xlfn.CONCAT("C",MATCH(A557,INDIRECT("'"&amp;E557&amp;"'!C"&amp;$O$555&amp;":C"&amp;$O$557),0)+$O$555-1),"")</f>
        <v>C23</v>
      </c>
      <c r="C557" s="1089" t="str">
        <f ca="1">IFERROR(_xlfn.CONCAT("D",MATCH(A557,INDIRECT("'"&amp;E557&amp;"'!C"&amp;$O$555&amp;":C"&amp;$O$557),0)+$O$555-1),"")</f>
        <v>D23</v>
      </c>
      <c r="D557" s="1089" t="s">
        <v>1449</v>
      </c>
      <c r="E557" s="1089" t="s">
        <v>1619</v>
      </c>
      <c r="F557" s="1346"/>
      <c r="G557" s="1346"/>
      <c r="H557" s="1346"/>
      <c r="I557" s="1346"/>
      <c r="J557" s="1346"/>
      <c r="K557" s="1346"/>
      <c r="L557" s="1089" t="s">
        <v>1485</v>
      </c>
      <c r="M557" s="1347">
        <v>541</v>
      </c>
      <c r="N557" s="1347"/>
      <c r="O557" s="1346">
        <f>'Configurable Tab'!I4</f>
        <v>30</v>
      </c>
    </row>
    <row r="558" spans="1:15" x14ac:dyDescent="0.25">
      <c r="A558" s="1121" t="s">
        <v>1486</v>
      </c>
      <c r="B558" s="1089" t="str">
        <f ca="1">IFERROR(_xlfn.CONCAT("C",MATCH(A558,INDIRECT("'"&amp;E558&amp;"'!C"&amp;$O$555&amp;":C"&amp;$O$557),0)+$O$555-1),"")</f>
        <v>C25</v>
      </c>
      <c r="C558" s="1089" t="str">
        <f ca="1">IFERROR(_xlfn.CONCAT("D",MATCH(A558,INDIRECT("'"&amp;E558&amp;"'!C"&amp;$O$555&amp;":C"&amp;$O$557),0)+$O$555-1),"")</f>
        <v>D25</v>
      </c>
      <c r="D558" s="1089" t="s">
        <v>1449</v>
      </c>
      <c r="E558" s="1089" t="s">
        <v>1619</v>
      </c>
      <c r="F558" s="1346"/>
      <c r="G558" s="1346"/>
      <c r="H558" s="1346"/>
      <c r="I558" s="1346"/>
      <c r="J558" s="1346"/>
      <c r="K558" s="1346"/>
      <c r="L558" s="1089" t="s">
        <v>1486</v>
      </c>
      <c r="M558" s="1347">
        <v>542</v>
      </c>
      <c r="N558" s="1347"/>
      <c r="O558" s="1346" t="s">
        <v>1736</v>
      </c>
    </row>
    <row r="559" spans="1:15" x14ac:dyDescent="0.25">
      <c r="A559" s="1121" t="s">
        <v>1598</v>
      </c>
      <c r="B559" s="1089" t="str">
        <f ca="1">IFERROR(_xlfn.CONCAT("C",MATCH(A559,INDIRECT("'"&amp;E559&amp;"'!C"&amp;$O$555&amp;":C"&amp;$O$557),0)+$O$555-1),"")</f>
        <v>C27</v>
      </c>
      <c r="C559" s="1089" t="str">
        <f ca="1">IFERROR(_xlfn.CONCAT("D",MATCH(A559,INDIRECT("'"&amp;E559&amp;"'!C"&amp;$O$555&amp;":C"&amp;$O$557),0)+$O$555-1),"")</f>
        <v>D27</v>
      </c>
      <c r="D559" s="1089" t="s">
        <v>1449</v>
      </c>
      <c r="E559" s="1089" t="s">
        <v>1619</v>
      </c>
      <c r="F559" s="1346"/>
      <c r="G559" s="1346"/>
      <c r="H559" s="1346"/>
      <c r="I559" s="1346"/>
      <c r="J559" s="1346"/>
      <c r="K559" s="1346"/>
      <c r="L559" s="1089" t="s">
        <v>1598</v>
      </c>
      <c r="M559" s="1347">
        <v>543</v>
      </c>
      <c r="N559" s="1347"/>
      <c r="O559" s="1346"/>
    </row>
    <row r="560" spans="1:15" x14ac:dyDescent="0.25">
      <c r="A560" s="1121" t="s">
        <v>1480</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1449</v>
      </c>
      <c r="E560" s="1089" t="s">
        <v>1619</v>
      </c>
      <c r="F560" s="1346"/>
      <c r="G560" s="1346"/>
      <c r="H560" s="1346"/>
      <c r="I560" s="1346"/>
      <c r="J560" s="1346"/>
      <c r="K560" s="1346"/>
      <c r="L560" s="1089" t="s">
        <v>1480</v>
      </c>
      <c r="M560" s="1347">
        <v>534</v>
      </c>
      <c r="N560" s="1347"/>
      <c r="O560" s="1346"/>
    </row>
    <row r="561" spans="1:15" x14ac:dyDescent="0.25">
      <c r="A561" s="1121" t="s">
        <v>1481</v>
      </c>
      <c r="B561" s="1089" t="str">
        <f t="shared" ref="B561:B566" ca="1" si="34">_xlfn.CONCAT(IFERROR(SUBSTITUTE(ADDRESS(1,MATCH(A561,INDIRECT("'"&amp;E561&amp;"'"&amp;"!A" &amp; $O$555+2 &amp; ":Z" &amp; $O$555+2),0),4),1,""),""),$O$555+2)</f>
        <v>J19</v>
      </c>
      <c r="C561" s="1089" t="str">
        <f t="shared" ref="C561:C566" ca="1" si="35">_xlfn.CONCAT(IFERROR(SUBSTITUTE(ADDRESS(1,MATCH(A561,INDIRECT("'"&amp;E561&amp;"'"&amp;"!A" &amp; $O$555+2 &amp; ":Z" &amp; $O$555+2),0),4),1,""),""),$O$555+3)</f>
        <v>J20</v>
      </c>
      <c r="D561" s="1089" t="s">
        <v>1449</v>
      </c>
      <c r="E561" s="1089" t="s">
        <v>1619</v>
      </c>
      <c r="F561" s="1346"/>
      <c r="G561" s="1346"/>
      <c r="H561" s="1346"/>
      <c r="I561" s="1346"/>
      <c r="J561" s="1346"/>
      <c r="K561" s="1346"/>
      <c r="L561" s="1089" t="s">
        <v>1481</v>
      </c>
      <c r="M561" s="1347">
        <v>535</v>
      </c>
      <c r="N561" s="1347"/>
      <c r="O561" s="1346"/>
    </row>
    <row r="562" spans="1:15" x14ac:dyDescent="0.25">
      <c r="A562" s="1121" t="s">
        <v>1497</v>
      </c>
      <c r="B562" s="1089" t="str">
        <f t="shared" ca="1" si="34"/>
        <v>L19</v>
      </c>
      <c r="C562" s="1089" t="str">
        <f t="shared" ca="1" si="35"/>
        <v>L20</v>
      </c>
      <c r="D562" s="1089" t="s">
        <v>1449</v>
      </c>
      <c r="E562" s="1089" t="s">
        <v>1619</v>
      </c>
      <c r="F562" s="1346"/>
      <c r="G562" s="1346"/>
      <c r="H562" s="1346"/>
      <c r="I562" s="1346"/>
      <c r="J562" s="1346"/>
      <c r="K562" s="1346"/>
      <c r="L562" s="1089" t="s">
        <v>1497</v>
      </c>
      <c r="M562" s="1347">
        <v>536</v>
      </c>
      <c r="N562" s="1347"/>
      <c r="O562" s="1346"/>
    </row>
    <row r="563" spans="1:15" x14ac:dyDescent="0.25">
      <c r="A563" s="1121" t="s">
        <v>1482</v>
      </c>
      <c r="B563" s="1089" t="str">
        <f t="shared" ca="1" si="34"/>
        <v>N19</v>
      </c>
      <c r="C563" s="1089" t="str">
        <f t="shared" ca="1" si="35"/>
        <v>N20</v>
      </c>
      <c r="D563" s="1089" t="s">
        <v>1449</v>
      </c>
      <c r="E563" s="1089" t="s">
        <v>1619</v>
      </c>
      <c r="F563" s="1346"/>
      <c r="G563" s="1346"/>
      <c r="H563" s="1346"/>
      <c r="I563" s="1346"/>
      <c r="J563" s="1346"/>
      <c r="K563" s="1346"/>
      <c r="L563" s="1089" t="s">
        <v>1482</v>
      </c>
      <c r="M563" s="1347">
        <v>537</v>
      </c>
      <c r="N563" s="1347"/>
      <c r="O563" s="1346"/>
    </row>
    <row r="564" spans="1:15" x14ac:dyDescent="0.25">
      <c r="A564" s="1121" t="s">
        <v>1589</v>
      </c>
      <c r="B564" s="1089" t="str">
        <f t="shared" ca="1" si="34"/>
        <v>P19</v>
      </c>
      <c r="C564" s="1089" t="str">
        <f t="shared" ca="1" si="35"/>
        <v>P20</v>
      </c>
      <c r="D564" s="1089" t="s">
        <v>1449</v>
      </c>
      <c r="E564" s="1089" t="s">
        <v>1619</v>
      </c>
      <c r="F564" s="1346"/>
      <c r="G564" s="1346"/>
      <c r="H564" s="1346"/>
      <c r="I564" s="1346"/>
      <c r="J564" s="1346"/>
      <c r="K564" s="1346"/>
      <c r="L564" s="1089" t="s">
        <v>1589</v>
      </c>
      <c r="M564" s="1347">
        <v>538</v>
      </c>
      <c r="N564" s="1347"/>
      <c r="O564" s="1346"/>
    </row>
    <row r="565" spans="1:15" x14ac:dyDescent="0.25">
      <c r="A565" s="1121" t="s">
        <v>1590</v>
      </c>
      <c r="B565" s="1089" t="str">
        <f t="shared" ca="1" si="34"/>
        <v>R19</v>
      </c>
      <c r="C565" s="1089" t="str">
        <f t="shared" ca="1" si="35"/>
        <v>R20</v>
      </c>
      <c r="D565" s="1089" t="s">
        <v>1449</v>
      </c>
      <c r="E565" s="1089" t="s">
        <v>1619</v>
      </c>
      <c r="F565" s="1346"/>
      <c r="G565" s="1346"/>
      <c r="H565" s="1346"/>
      <c r="I565" s="1346"/>
      <c r="J565" s="1346"/>
      <c r="K565" s="1346"/>
      <c r="L565" s="1089" t="s">
        <v>1590</v>
      </c>
      <c r="M565" s="1347">
        <v>539</v>
      </c>
      <c r="N565" s="1347"/>
      <c r="O565" s="1346"/>
    </row>
    <row r="566" spans="1:15" x14ac:dyDescent="0.25">
      <c r="A566" s="1121" t="s">
        <v>1591</v>
      </c>
      <c r="B566" s="1089" t="str">
        <f t="shared" ca="1" si="34"/>
        <v>T19</v>
      </c>
      <c r="C566" s="1089" t="str">
        <f t="shared" ca="1" si="35"/>
        <v>T20</v>
      </c>
      <c r="D566" s="1089" t="s">
        <v>1449</v>
      </c>
      <c r="E566" s="1089" t="s">
        <v>1619</v>
      </c>
      <c r="F566" s="1346"/>
      <c r="G566" s="1346"/>
      <c r="H566" s="1346"/>
      <c r="I566" s="1346"/>
      <c r="J566" s="1346"/>
      <c r="K566" s="1346"/>
      <c r="L566" s="1089" t="s">
        <v>1591</v>
      </c>
      <c r="M566" s="1347">
        <v>540</v>
      </c>
      <c r="N566" s="1347"/>
      <c r="O566" s="1346"/>
    </row>
    <row r="567" spans="1:15" x14ac:dyDescent="0.25">
      <c r="A567" s="1121" t="s">
        <v>1489</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1449</v>
      </c>
      <c r="E567" s="1089" t="s">
        <v>1619</v>
      </c>
      <c r="F567" s="1346"/>
      <c r="G567" s="1346"/>
      <c r="H567" s="1346"/>
      <c r="I567" s="1346"/>
      <c r="J567" s="1346"/>
      <c r="K567" s="1346"/>
      <c r="L567" s="1089" t="s">
        <v>1489</v>
      </c>
      <c r="M567" s="1347">
        <v>545</v>
      </c>
      <c r="N567" s="1347"/>
      <c r="O567" s="1346"/>
    </row>
    <row r="568" spans="1:15" x14ac:dyDescent="0.25">
      <c r="A568" s="1121" t="s">
        <v>1595</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1449</v>
      </c>
      <c r="E568" s="1089" t="s">
        <v>1619</v>
      </c>
      <c r="F568" s="1346"/>
      <c r="G568" s="1346"/>
      <c r="H568" s="1346"/>
      <c r="I568" s="1346"/>
      <c r="J568" s="1346"/>
      <c r="K568" s="1346"/>
      <c r="L568" s="1089" t="s">
        <v>1595</v>
      </c>
      <c r="M568" s="1347">
        <v>544</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46"/>
      <c r="G569" s="1346"/>
      <c r="H569" s="1346"/>
      <c r="I569" s="1346"/>
      <c r="J569" s="1346"/>
      <c r="K569" s="1346"/>
      <c r="L569" s="1089" t="s">
        <v>1594</v>
      </c>
      <c r="M569" s="1347">
        <v>546</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46"/>
      <c r="G570" s="1346"/>
      <c r="H570" s="1346"/>
      <c r="I570" s="1346"/>
      <c r="J570" s="1346"/>
      <c r="K570" s="1346"/>
      <c r="L570" s="1089" t="s">
        <v>1808</v>
      </c>
      <c r="M570" s="1347">
        <v>547</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46"/>
      <c r="G571" s="1346"/>
      <c r="H571" s="1346"/>
      <c r="I571" s="1346"/>
      <c r="J571" s="1346"/>
      <c r="K571" s="1346"/>
      <c r="L571" s="1089" t="s">
        <v>1483</v>
      </c>
      <c r="M571" s="1347">
        <v>548</v>
      </c>
      <c r="N571" s="1347"/>
      <c r="O571" s="1346" t="s">
        <v>743</v>
      </c>
    </row>
    <row r="572" spans="1:15" x14ac:dyDescent="0.25">
      <c r="A572" s="1118" t="s">
        <v>1485</v>
      </c>
      <c r="B572" s="1089" t="str">
        <f ca="1">IFERROR(_xlfn.CONCAT("C",MATCH(A572,INDIRECT("'"&amp;E572&amp;"'!C"&amp;$O$570&amp;":C"&amp;$O$572),0)+$O$570-1),"")</f>
        <v>C37</v>
      </c>
      <c r="C572" s="1089" t="str">
        <f ca="1">IFERROR(_xlfn.CONCAT("D",MATCH(A572,INDIRECT("'"&amp;E572&amp;"'!C"&amp;$O$570&amp;":C"&amp;$O$572),0)+$O$570-1),"")</f>
        <v>D37</v>
      </c>
      <c r="D572" s="1089" t="s">
        <v>1449</v>
      </c>
      <c r="E572" s="1089" t="s">
        <v>1619</v>
      </c>
      <c r="F572" s="1346"/>
      <c r="G572" s="1346"/>
      <c r="H572" s="1346"/>
      <c r="I572" s="1346"/>
      <c r="J572" s="1346"/>
      <c r="K572" s="1346"/>
      <c r="L572" s="1089" t="s">
        <v>1485</v>
      </c>
      <c r="M572" s="1347">
        <v>556</v>
      </c>
      <c r="N572" s="1347"/>
      <c r="O572" s="1346">
        <f>'Configurable Tab'!I5</f>
        <v>44</v>
      </c>
    </row>
    <row r="573" spans="1:15" x14ac:dyDescent="0.25">
      <c r="A573" s="1118" t="s">
        <v>1486</v>
      </c>
      <c r="B573" s="1089" t="str">
        <f ca="1">IFERROR(_xlfn.CONCAT("C",MATCH(A573,INDIRECT("'"&amp;E573&amp;"'!C"&amp;$O$570&amp;":C"&amp;$O$572),0)+$O$570-1),"")</f>
        <v>C39</v>
      </c>
      <c r="C573" s="1089" t="str">
        <f ca="1">IFERROR(_xlfn.CONCAT("D",MATCH(A573,INDIRECT("'"&amp;E573&amp;"'!C"&amp;$O$570&amp;":C"&amp;$O$572),0)+$O$570-1),"")</f>
        <v>D39</v>
      </c>
      <c r="D573" s="1089" t="s">
        <v>1449</v>
      </c>
      <c r="E573" s="1089" t="s">
        <v>1619</v>
      </c>
      <c r="F573" s="1346"/>
      <c r="G573" s="1346"/>
      <c r="H573" s="1346"/>
      <c r="I573" s="1346"/>
      <c r="J573" s="1346"/>
      <c r="K573" s="1346"/>
      <c r="L573" s="1089" t="s">
        <v>1486</v>
      </c>
      <c r="M573" s="1347">
        <v>557</v>
      </c>
      <c r="N573" s="1347"/>
      <c r="O573" s="1226" t="s">
        <v>1737</v>
      </c>
    </row>
    <row r="574" spans="1:15" x14ac:dyDescent="0.25">
      <c r="A574" s="1118" t="s">
        <v>1598</v>
      </c>
      <c r="B574" s="1089" t="str">
        <f ca="1">IFERROR(_xlfn.CONCAT("C",MATCH(A574,INDIRECT("'"&amp;E574&amp;"'!C"&amp;$O$570&amp;":C"&amp;$O$572),0)+$O$570-1),"")</f>
        <v>C41</v>
      </c>
      <c r="C574" s="1089" t="str">
        <f ca="1">IFERROR(_xlfn.CONCAT("D",MATCH(A574,INDIRECT("'"&amp;E574&amp;"'!C"&amp;$O$570&amp;":C"&amp;$O$572),0)+$O$570-1),"")</f>
        <v>D41</v>
      </c>
      <c r="D574" s="1089" t="s">
        <v>1449</v>
      </c>
      <c r="E574" s="1089" t="s">
        <v>1619</v>
      </c>
      <c r="F574" s="1346"/>
      <c r="G574" s="1346"/>
      <c r="H574" s="1346"/>
      <c r="I574" s="1346"/>
      <c r="J574" s="1346"/>
      <c r="K574" s="1346"/>
      <c r="L574" s="1089" t="s">
        <v>1598</v>
      </c>
      <c r="M574" s="1347">
        <v>558</v>
      </c>
      <c r="N574" s="1347"/>
      <c r="O574" s="1346"/>
    </row>
    <row r="575" spans="1:15" x14ac:dyDescent="0.25">
      <c r="A575" s="1118" t="s">
        <v>1480</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1449</v>
      </c>
      <c r="E575" s="1089" t="s">
        <v>1619</v>
      </c>
      <c r="F575" s="1346"/>
      <c r="G575" s="1346"/>
      <c r="H575" s="1346"/>
      <c r="I575" s="1346"/>
      <c r="J575" s="1346"/>
      <c r="K575" s="1346"/>
      <c r="L575" s="1089" t="s">
        <v>1480</v>
      </c>
      <c r="M575" s="1347">
        <v>549</v>
      </c>
      <c r="N575" s="1347"/>
      <c r="O575" s="1346"/>
    </row>
    <row r="576" spans="1:15" x14ac:dyDescent="0.25">
      <c r="A576" s="1118" t="s">
        <v>1481</v>
      </c>
      <c r="B576" s="1089" t="str">
        <f t="shared" ref="B576:B581" ca="1" si="36">_xlfn.CONCAT(IFERROR(SUBSTITUTE(ADDRESS(1,MATCH(A576,INDIRECT("'"&amp;E576&amp;"'"&amp;"!A" &amp; $O$570+2 &amp; ":Z" &amp; $O$570+2),0),4),1,""),""),$O$570+2)</f>
        <v>J33</v>
      </c>
      <c r="C576" s="1089" t="str">
        <f t="shared" ref="C576:C581" ca="1" si="37">_xlfn.CONCAT(IFERROR(SUBSTITUTE(ADDRESS(1,MATCH(A576,INDIRECT("'"&amp;E576&amp;"'"&amp;"!A" &amp; $O$570+2 &amp; ":Z" &amp; $O$570+2),0),4),1,""),""),$O$570+3)</f>
        <v>J34</v>
      </c>
      <c r="D576" s="1089" t="s">
        <v>1449</v>
      </c>
      <c r="E576" s="1089" t="s">
        <v>1619</v>
      </c>
      <c r="F576" s="1346"/>
      <c r="G576" s="1346"/>
      <c r="H576" s="1346"/>
      <c r="I576" s="1346"/>
      <c r="J576" s="1346"/>
      <c r="K576" s="1346"/>
      <c r="L576" s="1089" t="s">
        <v>1481</v>
      </c>
      <c r="M576" s="1347">
        <v>550</v>
      </c>
      <c r="N576" s="1347"/>
      <c r="O576" s="1346"/>
    </row>
    <row r="577" spans="1:15" x14ac:dyDescent="0.25">
      <c r="A577" s="1118" t="s">
        <v>1497</v>
      </c>
      <c r="B577" s="1089" t="str">
        <f t="shared" ca="1" si="36"/>
        <v>L33</v>
      </c>
      <c r="C577" s="1089" t="str">
        <f t="shared" ca="1" si="37"/>
        <v>L34</v>
      </c>
      <c r="D577" s="1089" t="s">
        <v>1449</v>
      </c>
      <c r="E577" s="1089" t="s">
        <v>1619</v>
      </c>
      <c r="F577" s="1346"/>
      <c r="G577" s="1346"/>
      <c r="H577" s="1346"/>
      <c r="I577" s="1346"/>
      <c r="J577" s="1346"/>
      <c r="K577" s="1346"/>
      <c r="L577" s="1089" t="s">
        <v>1497</v>
      </c>
      <c r="M577" s="1347">
        <v>551</v>
      </c>
      <c r="N577" s="1347"/>
      <c r="O577" s="1346"/>
    </row>
    <row r="578" spans="1:15" x14ac:dyDescent="0.25">
      <c r="A578" s="1118" t="s">
        <v>1482</v>
      </c>
      <c r="B578" s="1089" t="str">
        <f t="shared" ca="1" si="36"/>
        <v>N33</v>
      </c>
      <c r="C578" s="1089" t="str">
        <f t="shared" ca="1" si="37"/>
        <v>N34</v>
      </c>
      <c r="D578" s="1089" t="s">
        <v>1449</v>
      </c>
      <c r="E578" s="1089" t="s">
        <v>1619</v>
      </c>
      <c r="F578" s="1346"/>
      <c r="G578" s="1346"/>
      <c r="H578" s="1346"/>
      <c r="I578" s="1346"/>
      <c r="J578" s="1346"/>
      <c r="K578" s="1346"/>
      <c r="L578" s="1089" t="s">
        <v>1482</v>
      </c>
      <c r="M578" s="1347">
        <v>552</v>
      </c>
      <c r="N578" s="1347"/>
      <c r="O578" s="1346"/>
    </row>
    <row r="579" spans="1:15" x14ac:dyDescent="0.25">
      <c r="A579" s="1118" t="s">
        <v>1589</v>
      </c>
      <c r="B579" s="1089" t="str">
        <f t="shared" ca="1" si="36"/>
        <v>P33</v>
      </c>
      <c r="C579" s="1089" t="str">
        <f t="shared" ca="1" si="37"/>
        <v>P34</v>
      </c>
      <c r="D579" s="1089" t="s">
        <v>1449</v>
      </c>
      <c r="E579" s="1089" t="s">
        <v>1619</v>
      </c>
      <c r="F579" s="1346"/>
      <c r="G579" s="1346"/>
      <c r="H579" s="1346"/>
      <c r="I579" s="1346"/>
      <c r="J579" s="1346"/>
      <c r="K579" s="1346"/>
      <c r="L579" s="1089" t="s">
        <v>1589</v>
      </c>
      <c r="M579" s="1347">
        <v>553</v>
      </c>
      <c r="N579" s="1347"/>
      <c r="O579" s="1346"/>
    </row>
    <row r="580" spans="1:15" x14ac:dyDescent="0.25">
      <c r="A580" s="1118" t="s">
        <v>1590</v>
      </c>
      <c r="B580" s="1089" t="str">
        <f t="shared" ca="1" si="36"/>
        <v>R33</v>
      </c>
      <c r="C580" s="1089" t="str">
        <f t="shared" ca="1" si="37"/>
        <v>R34</v>
      </c>
      <c r="D580" s="1089" t="s">
        <v>1449</v>
      </c>
      <c r="E580" s="1089" t="s">
        <v>1619</v>
      </c>
      <c r="F580" s="1346"/>
      <c r="G580" s="1346"/>
      <c r="H580" s="1346"/>
      <c r="I580" s="1346"/>
      <c r="J580" s="1346"/>
      <c r="K580" s="1346"/>
      <c r="L580" s="1089" t="s">
        <v>1590</v>
      </c>
      <c r="M580" s="1347">
        <v>554</v>
      </c>
      <c r="N580" s="1347"/>
      <c r="O580" s="1346"/>
    </row>
    <row r="581" spans="1:15" x14ac:dyDescent="0.25">
      <c r="A581" s="1118" t="s">
        <v>1591</v>
      </c>
      <c r="B581" s="1089" t="str">
        <f t="shared" ca="1" si="36"/>
        <v>T33</v>
      </c>
      <c r="C581" s="1089" t="str">
        <f t="shared" ca="1" si="37"/>
        <v>T34</v>
      </c>
      <c r="D581" s="1089" t="s">
        <v>1449</v>
      </c>
      <c r="E581" s="1089" t="s">
        <v>1619</v>
      </c>
      <c r="F581" s="1346"/>
      <c r="G581" s="1346"/>
      <c r="H581" s="1346"/>
      <c r="I581" s="1346"/>
      <c r="J581" s="1346"/>
      <c r="K581" s="1346"/>
      <c r="L581" s="1089" t="s">
        <v>1591</v>
      </c>
      <c r="M581" s="1347">
        <v>555</v>
      </c>
      <c r="N581" s="1347"/>
      <c r="O581" s="1346"/>
    </row>
    <row r="582" spans="1:15" x14ac:dyDescent="0.25">
      <c r="A582" s="1118" t="s">
        <v>1595</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1449</v>
      </c>
      <c r="E582" s="1089" t="s">
        <v>1619</v>
      </c>
      <c r="F582" s="1346"/>
      <c r="G582" s="1346"/>
      <c r="H582" s="1346"/>
      <c r="I582" s="1346"/>
      <c r="J582" s="1346"/>
      <c r="K582" s="1346"/>
      <c r="L582" s="1089" t="s">
        <v>1595</v>
      </c>
      <c r="M582" s="1347">
        <v>559</v>
      </c>
      <c r="N582" s="1347"/>
      <c r="O582" s="1346"/>
    </row>
    <row r="583" spans="1:15" x14ac:dyDescent="0.25">
      <c r="A583" s="1118" t="s">
        <v>1609</v>
      </c>
      <c r="B583" s="1089" t="str">
        <f t="shared" ref="B583:B584" ca="1" si="38">_xlfn.CONCAT(IFERROR(SUBSTITUTE(ADDRESS(1,MATCH(A583,INDIRECT("'"&amp;E583&amp;"'"&amp;"!A" &amp; $O$570+8 &amp; ":Z" &amp; $O$570+8),0),4),1,""),""),$O$570+8)</f>
        <v>J39</v>
      </c>
      <c r="C583" s="1089" t="str">
        <f t="shared" ref="C583:C584" ca="1" si="39">_xlfn.CONCAT(IFERROR(SUBSTITUTE(ADDRESS(1,MATCH(A583,INDIRECT("'"&amp;E583&amp;"'"&amp;"!A" &amp; $O$570+8 &amp; ":Z" &amp; $O$570+8),0),4),1,""),""),$O$570+9)</f>
        <v>J40</v>
      </c>
      <c r="D583" s="1089" t="s">
        <v>1449</v>
      </c>
      <c r="E583" s="1089" t="s">
        <v>1619</v>
      </c>
      <c r="F583" s="1346"/>
      <c r="G583" s="1346"/>
      <c r="H583" s="1346"/>
      <c r="I583" s="1346"/>
      <c r="J583" s="1346"/>
      <c r="K583" s="1346"/>
      <c r="L583" s="1089" t="s">
        <v>1609</v>
      </c>
      <c r="M583" s="1347">
        <v>560</v>
      </c>
      <c r="N583" s="1347"/>
      <c r="O583" s="1346"/>
    </row>
    <row r="584" spans="1:15" x14ac:dyDescent="0.25">
      <c r="A584" s="1118" t="s">
        <v>1611</v>
      </c>
      <c r="B584" s="1089" t="str">
        <f t="shared" ca="1" si="38"/>
        <v>P39</v>
      </c>
      <c r="C584" s="1089" t="str">
        <f t="shared" ca="1" si="39"/>
        <v>P40</v>
      </c>
      <c r="D584" s="1089" t="s">
        <v>1449</v>
      </c>
      <c r="E584" s="1089" t="s">
        <v>1619</v>
      </c>
      <c r="F584" s="1346"/>
      <c r="G584" s="1346"/>
      <c r="H584" s="1346"/>
      <c r="I584" s="1346"/>
      <c r="J584" s="1346"/>
      <c r="K584" s="1346"/>
      <c r="L584" s="1089" t="s">
        <v>1611</v>
      </c>
      <c r="M584" s="1347">
        <v>564</v>
      </c>
      <c r="N584" s="1347"/>
      <c r="O584" s="1346"/>
    </row>
    <row r="585" spans="1:15" x14ac:dyDescent="0.25">
      <c r="A585" s="1118" t="s">
        <v>1487</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1449</v>
      </c>
      <c r="E585" s="1089" t="s">
        <v>1619</v>
      </c>
      <c r="F585" s="1346"/>
      <c r="G585" s="1346"/>
      <c r="H585" s="1346"/>
      <c r="I585" s="1346"/>
      <c r="J585" s="1346"/>
      <c r="K585" s="1346"/>
      <c r="L585" s="1089" t="s">
        <v>1487</v>
      </c>
      <c r="M585" s="1347">
        <v>561</v>
      </c>
      <c r="N585" s="1347"/>
      <c r="O585" s="1346"/>
    </row>
    <row r="586" spans="1:15" x14ac:dyDescent="0.25">
      <c r="A586" s="1118" t="s">
        <v>1488</v>
      </c>
      <c r="B586" s="1089" t="str">
        <f t="shared" ref="B586:B587" ca="1" si="40">_xlfn.CONCAT(IFERROR(SUBSTITUTE(ADDRESS(1,MATCH(A586,INDIRECT("'"&amp;E586&amp;"'"&amp;"!A" &amp; $O$570+5 &amp; ":Z" &amp; $O$570+5),0),4),1,""),""),$O$570+5)</f>
        <v>J36</v>
      </c>
      <c r="C586" s="1089" t="str">
        <f t="shared" ref="C586:C587" ca="1" si="41">_xlfn.CONCAT(IFERROR(SUBSTITUTE(ADDRESS(1,MATCH(A586,INDIRECT("'"&amp;E586&amp;"'"&amp;"!A" &amp; $O$570+5 &amp; ":Z" &amp; $O$570+5),0),4),1,""),""),$O$570+6)</f>
        <v>J37</v>
      </c>
      <c r="D586" s="1089" t="s">
        <v>1449</v>
      </c>
      <c r="E586" s="1089" t="s">
        <v>1619</v>
      </c>
      <c r="F586" s="1346"/>
      <c r="G586" s="1346"/>
      <c r="H586" s="1346"/>
      <c r="I586" s="1346"/>
      <c r="J586" s="1346"/>
      <c r="K586" s="1346"/>
      <c r="L586" s="1089" t="s">
        <v>1488</v>
      </c>
      <c r="M586" s="1347">
        <v>562</v>
      </c>
      <c r="N586" s="1347"/>
      <c r="O586" s="1346"/>
    </row>
    <row r="587" spans="1:15" x14ac:dyDescent="0.25">
      <c r="A587" s="1119" t="s">
        <v>1489</v>
      </c>
      <c r="B587" s="1089" t="str">
        <f t="shared" ca="1" si="40"/>
        <v>L36</v>
      </c>
      <c r="C587" s="1089" t="str">
        <f t="shared" ca="1" si="41"/>
        <v>L37</v>
      </c>
      <c r="D587" s="1089" t="s">
        <v>1449</v>
      </c>
      <c r="E587" s="1089" t="s">
        <v>1619</v>
      </c>
      <c r="F587" s="1346"/>
      <c r="G587" s="1346"/>
      <c r="H587" s="1346"/>
      <c r="I587" s="1346"/>
      <c r="J587" s="1346"/>
      <c r="K587" s="1346"/>
      <c r="L587" s="1091" t="s">
        <v>1489</v>
      </c>
      <c r="M587" s="1347">
        <v>563</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46"/>
      <c r="G588" s="1346"/>
      <c r="H588" s="1346"/>
      <c r="I588" s="1346"/>
      <c r="J588" s="1346"/>
      <c r="K588" s="1346"/>
      <c r="L588" s="1089" t="s">
        <v>1594</v>
      </c>
      <c r="M588" s="1347">
        <v>565</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46"/>
      <c r="G589" s="1346"/>
      <c r="H589" s="1346"/>
      <c r="I589" s="1346"/>
      <c r="J589" s="1346"/>
      <c r="K589" s="1346"/>
      <c r="L589" s="1089" t="s">
        <v>1808</v>
      </c>
      <c r="M589" s="1347">
        <v>566</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46"/>
      <c r="G590" s="1346"/>
      <c r="H590" s="1346"/>
      <c r="I590" s="1346"/>
      <c r="J590" s="1346"/>
      <c r="K590" s="1346"/>
      <c r="L590" s="1089" t="s">
        <v>1483</v>
      </c>
      <c r="M590" s="1347">
        <v>567</v>
      </c>
      <c r="N590" s="1347"/>
      <c r="O590" s="1346" t="s">
        <v>743</v>
      </c>
    </row>
    <row r="591" spans="1:15" x14ac:dyDescent="0.25">
      <c r="A591" s="1121" t="s">
        <v>1485</v>
      </c>
      <c r="B591" s="1089" t="str">
        <f ca="1">IFERROR(_xlfn.CONCAT("C",MATCH(A591,INDIRECT("'"&amp;E591&amp;"'!C"&amp;$O$589&amp;":C"&amp;$O$591),0)+$O$589-1),"")</f>
        <v>C51</v>
      </c>
      <c r="C591" s="1089" t="str">
        <f ca="1">IFERROR(_xlfn.CONCAT("D",MATCH(A591,INDIRECT("'"&amp;E591&amp;"'!C"&amp;$O$589&amp;":C"&amp;$O$591),0)+$O$589-1),"")</f>
        <v>D51</v>
      </c>
      <c r="D591" s="1089" t="s">
        <v>1449</v>
      </c>
      <c r="E591" s="1089" t="s">
        <v>1619</v>
      </c>
      <c r="F591" s="1346"/>
      <c r="G591" s="1346"/>
      <c r="H591" s="1346"/>
      <c r="I591" s="1346"/>
      <c r="J591" s="1346"/>
      <c r="K591" s="1346"/>
      <c r="L591" s="1089" t="s">
        <v>1485</v>
      </c>
      <c r="M591" s="1347">
        <v>575</v>
      </c>
      <c r="N591" s="1347"/>
      <c r="O591" s="1346">
        <f>'Configurable Tab'!I6</f>
        <v>58</v>
      </c>
    </row>
    <row r="592" spans="1:15" x14ac:dyDescent="0.25">
      <c r="A592" s="1121" t="s">
        <v>1486</v>
      </c>
      <c r="B592" s="1089" t="str">
        <f ca="1">IFERROR(_xlfn.CONCAT("C",MATCH(A592,INDIRECT("'"&amp;E592&amp;"'!C"&amp;$O$589&amp;":C"&amp;$O$591),0)+$O$589-1),"")</f>
        <v>C53</v>
      </c>
      <c r="C592" s="1089" t="str">
        <f ca="1">IFERROR(_xlfn.CONCAT("D",MATCH(A592,INDIRECT("'"&amp;E592&amp;"'!C"&amp;$O$589&amp;":C"&amp;$O$591),0)+$O$589-1),"")</f>
        <v>D53</v>
      </c>
      <c r="D592" s="1089" t="s">
        <v>1449</v>
      </c>
      <c r="E592" s="1089" t="s">
        <v>1619</v>
      </c>
      <c r="F592" s="1346"/>
      <c r="G592" s="1346"/>
      <c r="H592" s="1346"/>
      <c r="I592" s="1346"/>
      <c r="J592" s="1346"/>
      <c r="K592" s="1346"/>
      <c r="L592" s="1089" t="s">
        <v>1486</v>
      </c>
      <c r="M592" s="1347">
        <v>576</v>
      </c>
      <c r="N592" s="1347"/>
      <c r="O592" s="1226" t="s">
        <v>1738</v>
      </c>
    </row>
    <row r="593" spans="1:15" x14ac:dyDescent="0.25">
      <c r="A593" s="1121" t="s">
        <v>1598</v>
      </c>
      <c r="B593" s="1089" t="str">
        <f ca="1">IFERROR(_xlfn.CONCAT("C",MATCH(A593,INDIRECT("'"&amp;E593&amp;"'!C"&amp;$O$589&amp;":C"&amp;$O$591),0)+$O$589-1),"")</f>
        <v>C55</v>
      </c>
      <c r="C593" s="1089" t="str">
        <f ca="1">IFERROR(_xlfn.CONCAT("D",MATCH(A593,INDIRECT("'"&amp;E593&amp;"'!C"&amp;$O$589&amp;":C"&amp;$O$591),0)+$O$589-1),"")</f>
        <v>D55</v>
      </c>
      <c r="D593" s="1089" t="s">
        <v>1449</v>
      </c>
      <c r="E593" s="1089" t="s">
        <v>1619</v>
      </c>
      <c r="F593" s="1346"/>
      <c r="G593" s="1346"/>
      <c r="H593" s="1346"/>
      <c r="I593" s="1346"/>
      <c r="J593" s="1346"/>
      <c r="K593" s="1346"/>
      <c r="L593" s="1089" t="s">
        <v>1598</v>
      </c>
      <c r="M593" s="1347">
        <v>577</v>
      </c>
      <c r="N593" s="1347"/>
      <c r="O593" s="1346"/>
    </row>
    <row r="594" spans="1:15" x14ac:dyDescent="0.25">
      <c r="A594" s="1121" t="s">
        <v>1480</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1449</v>
      </c>
      <c r="E594" s="1089" t="s">
        <v>1619</v>
      </c>
      <c r="F594" s="1346"/>
      <c r="G594" s="1346"/>
      <c r="H594" s="1346"/>
      <c r="I594" s="1346"/>
      <c r="J594" s="1346"/>
      <c r="K594" s="1346"/>
      <c r="L594" s="1089" t="s">
        <v>1480</v>
      </c>
      <c r="M594" s="1347">
        <v>568</v>
      </c>
      <c r="N594" s="1347"/>
      <c r="O594" s="1346"/>
    </row>
    <row r="595" spans="1:15" x14ac:dyDescent="0.25">
      <c r="A595" s="1121" t="s">
        <v>1481</v>
      </c>
      <c r="B595" s="1089" t="str">
        <f t="shared" ref="B595:B600" ca="1" si="42">_xlfn.CONCAT(IFERROR(SUBSTITUTE(ADDRESS(1,MATCH(A595,INDIRECT("'"&amp;E595&amp;"'"&amp;"!A" &amp; $O$589+2 &amp; ":Z" &amp; $O$589+2),0),4),1,""),""),$O$589+2)</f>
        <v>J47</v>
      </c>
      <c r="C595" s="1089" t="str">
        <f t="shared" ref="C595:C600" ca="1" si="43">_xlfn.CONCAT(IFERROR(SUBSTITUTE(ADDRESS(1,MATCH(A595,INDIRECT("'"&amp;E595&amp;"'"&amp;"!A" &amp; $O$589+2 &amp; ":Z" &amp; $O$589+2),0),4),1,""),""),$O$589+3)</f>
        <v>J48</v>
      </c>
      <c r="D595" s="1089" t="s">
        <v>1449</v>
      </c>
      <c r="E595" s="1089" t="s">
        <v>1619</v>
      </c>
      <c r="F595" s="1346"/>
      <c r="G595" s="1346"/>
      <c r="H595" s="1346"/>
      <c r="I595" s="1346"/>
      <c r="J595" s="1346"/>
      <c r="K595" s="1346"/>
      <c r="L595" s="1089" t="s">
        <v>1481</v>
      </c>
      <c r="M595" s="1347">
        <v>569</v>
      </c>
      <c r="N595" s="1347"/>
      <c r="O595" s="1346"/>
    </row>
    <row r="596" spans="1:15" x14ac:dyDescent="0.25">
      <c r="A596" s="1121" t="s">
        <v>1497</v>
      </c>
      <c r="B596" s="1089" t="str">
        <f t="shared" ca="1" si="42"/>
        <v>L47</v>
      </c>
      <c r="C596" s="1089" t="str">
        <f t="shared" ca="1" si="43"/>
        <v>L48</v>
      </c>
      <c r="D596" s="1089" t="s">
        <v>1449</v>
      </c>
      <c r="E596" s="1089" t="s">
        <v>1619</v>
      </c>
      <c r="F596" s="1346"/>
      <c r="G596" s="1346"/>
      <c r="H596" s="1346"/>
      <c r="I596" s="1346"/>
      <c r="J596" s="1346"/>
      <c r="K596" s="1346"/>
      <c r="L596" s="1089" t="s">
        <v>1497</v>
      </c>
      <c r="M596" s="1347">
        <v>570</v>
      </c>
      <c r="N596" s="1347"/>
      <c r="O596" s="1346"/>
    </row>
    <row r="597" spans="1:15" x14ac:dyDescent="0.25">
      <c r="A597" s="1121" t="s">
        <v>1482</v>
      </c>
      <c r="B597" s="1089" t="str">
        <f t="shared" ca="1" si="42"/>
        <v>N47</v>
      </c>
      <c r="C597" s="1089" t="str">
        <f t="shared" ca="1" si="43"/>
        <v>N48</v>
      </c>
      <c r="D597" s="1089" t="s">
        <v>1449</v>
      </c>
      <c r="E597" s="1089" t="s">
        <v>1619</v>
      </c>
      <c r="F597" s="1346"/>
      <c r="G597" s="1346"/>
      <c r="H597" s="1346"/>
      <c r="I597" s="1346"/>
      <c r="J597" s="1346"/>
      <c r="K597" s="1346"/>
      <c r="L597" s="1089" t="s">
        <v>1482</v>
      </c>
      <c r="M597" s="1347">
        <v>571</v>
      </c>
      <c r="N597" s="1347"/>
      <c r="O597" s="1346"/>
    </row>
    <row r="598" spans="1:15" x14ac:dyDescent="0.25">
      <c r="A598" s="1121" t="s">
        <v>1589</v>
      </c>
      <c r="B598" s="1089" t="str">
        <f t="shared" ca="1" si="42"/>
        <v>P47</v>
      </c>
      <c r="C598" s="1089" t="str">
        <f t="shared" ca="1" si="43"/>
        <v>P48</v>
      </c>
      <c r="D598" s="1089" t="s">
        <v>1449</v>
      </c>
      <c r="E598" s="1089" t="s">
        <v>1619</v>
      </c>
      <c r="F598" s="1346"/>
      <c r="G598" s="1346"/>
      <c r="H598" s="1346"/>
      <c r="I598" s="1346"/>
      <c r="J598" s="1346"/>
      <c r="K598" s="1346"/>
      <c r="L598" s="1089" t="s">
        <v>1589</v>
      </c>
      <c r="M598" s="1347">
        <v>572</v>
      </c>
      <c r="N598" s="1347"/>
      <c r="O598" s="1346"/>
    </row>
    <row r="599" spans="1:15" x14ac:dyDescent="0.25">
      <c r="A599" s="1121" t="s">
        <v>1590</v>
      </c>
      <c r="B599" s="1089" t="str">
        <f t="shared" ca="1" si="42"/>
        <v>R47</v>
      </c>
      <c r="C599" s="1089" t="str">
        <f t="shared" ca="1" si="43"/>
        <v>R48</v>
      </c>
      <c r="D599" s="1089" t="s">
        <v>1449</v>
      </c>
      <c r="E599" s="1089" t="s">
        <v>1619</v>
      </c>
      <c r="F599" s="1346"/>
      <c r="G599" s="1346"/>
      <c r="H599" s="1346"/>
      <c r="I599" s="1346"/>
      <c r="J599" s="1346"/>
      <c r="K599" s="1346"/>
      <c r="L599" s="1089" t="s">
        <v>1590</v>
      </c>
      <c r="M599" s="1347">
        <v>573</v>
      </c>
      <c r="N599" s="1347"/>
      <c r="O599" s="1346"/>
    </row>
    <row r="600" spans="1:15" x14ac:dyDescent="0.25">
      <c r="A600" s="1121" t="s">
        <v>1591</v>
      </c>
      <c r="B600" s="1089" t="str">
        <f t="shared" ca="1" si="42"/>
        <v>T47</v>
      </c>
      <c r="C600" s="1089" t="str">
        <f t="shared" ca="1" si="43"/>
        <v>T48</v>
      </c>
      <c r="D600" s="1089" t="s">
        <v>1449</v>
      </c>
      <c r="E600" s="1089" t="s">
        <v>1619</v>
      </c>
      <c r="F600" s="1346"/>
      <c r="G600" s="1346"/>
      <c r="H600" s="1346"/>
      <c r="I600" s="1346"/>
      <c r="J600" s="1346"/>
      <c r="K600" s="1346"/>
      <c r="L600" s="1089" t="s">
        <v>1591</v>
      </c>
      <c r="M600" s="1347">
        <v>574</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46"/>
      <c r="G601" s="1346"/>
      <c r="H601" s="1346"/>
      <c r="I601" s="1346"/>
      <c r="J601" s="1346"/>
      <c r="K601" s="1346"/>
      <c r="L601" s="1089" t="s">
        <v>1595</v>
      </c>
      <c r="M601" s="1347">
        <v>578</v>
      </c>
      <c r="N601" s="1347"/>
      <c r="O601" s="1346"/>
    </row>
    <row r="602" spans="1:15" x14ac:dyDescent="0.25">
      <c r="A602" s="1121" t="s">
        <v>1609</v>
      </c>
      <c r="B602" s="1089" t="str">
        <f t="shared" ref="B602:B603" ca="1" si="44">_xlfn.CONCAT(IFERROR(SUBSTITUTE(ADDRESS(1,MATCH(A602,INDIRECT("'"&amp;E602&amp;"'"&amp;"!A" &amp; $O$589+8 &amp; ":Z" &amp; $O$589+8),0),4),1,""),""),$O$589+8)</f>
        <v>J53</v>
      </c>
      <c r="C602" s="1089" t="str">
        <f t="shared" ref="C602:C603" ca="1" si="45">_xlfn.CONCAT(IFERROR(SUBSTITUTE(ADDRESS(1,MATCH(A602,INDIRECT("'"&amp;E602&amp;"'"&amp;"!A" &amp; $O$589+8 &amp; ":Z" &amp; $O$589+8),0),4),1,""),""),$O$589+9)</f>
        <v>J54</v>
      </c>
      <c r="D602" s="1089" t="s">
        <v>1449</v>
      </c>
      <c r="E602" s="1089" t="s">
        <v>1619</v>
      </c>
      <c r="F602" s="1346"/>
      <c r="G602" s="1346"/>
      <c r="H602" s="1346"/>
      <c r="I602" s="1346"/>
      <c r="J602" s="1346"/>
      <c r="K602" s="1346"/>
      <c r="L602" s="1089" t="s">
        <v>1609</v>
      </c>
      <c r="M602" s="1347">
        <v>579</v>
      </c>
      <c r="N602" s="1347"/>
      <c r="O602" s="1346"/>
    </row>
    <row r="603" spans="1:15" x14ac:dyDescent="0.25">
      <c r="A603" s="1121" t="s">
        <v>1611</v>
      </c>
      <c r="B603" s="1089" t="str">
        <f t="shared" ca="1" si="44"/>
        <v>P53</v>
      </c>
      <c r="C603" s="1089" t="str">
        <f t="shared" ca="1" si="45"/>
        <v>P54</v>
      </c>
      <c r="D603" s="1089" t="s">
        <v>1449</v>
      </c>
      <c r="E603" s="1089" t="s">
        <v>1619</v>
      </c>
      <c r="F603" s="1346"/>
      <c r="G603" s="1346"/>
      <c r="H603" s="1346"/>
      <c r="I603" s="1346"/>
      <c r="J603" s="1346"/>
      <c r="K603" s="1346"/>
      <c r="L603" s="1089" t="s">
        <v>1611</v>
      </c>
      <c r="M603" s="1347">
        <v>583</v>
      </c>
      <c r="N603" s="1347"/>
      <c r="O603" s="1346"/>
    </row>
    <row r="604" spans="1:15" x14ac:dyDescent="0.25">
      <c r="A604" s="1121" t="s">
        <v>1487</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1449</v>
      </c>
      <c r="E604" s="1089" t="s">
        <v>1619</v>
      </c>
      <c r="F604" s="1346"/>
      <c r="G604" s="1346"/>
      <c r="H604" s="1346"/>
      <c r="I604" s="1346"/>
      <c r="J604" s="1346"/>
      <c r="K604" s="1346"/>
      <c r="L604" s="1089" t="s">
        <v>1487</v>
      </c>
      <c r="M604" s="1347">
        <v>580</v>
      </c>
      <c r="N604" s="1347"/>
      <c r="O604" s="1346"/>
    </row>
    <row r="605" spans="1:15" x14ac:dyDescent="0.25">
      <c r="A605" s="1121" t="s">
        <v>1488</v>
      </c>
      <c r="B605" s="1089" t="str">
        <f t="shared" ref="B605:B606" ca="1" si="46">_xlfn.CONCAT(IFERROR(SUBSTITUTE(ADDRESS(1,MATCH(A605,INDIRECT("'"&amp;E605&amp;"'"&amp;"!A" &amp; $O$589+5 &amp; ":Z" &amp; $O$589+5),0),4),1,""),""),$O$589+5)</f>
        <v>J50</v>
      </c>
      <c r="C605" s="1089" t="str">
        <f t="shared" ref="C605:C606" ca="1" si="47">_xlfn.CONCAT(IFERROR(SUBSTITUTE(ADDRESS(1,MATCH(A605,INDIRECT("'"&amp;E605&amp;"'"&amp;"!A" &amp; $O$589+5 &amp; ":Z" &amp; $O$589+5),0),4),1,""),""),$O$589+6)</f>
        <v>J51</v>
      </c>
      <c r="D605" s="1089" t="s">
        <v>1449</v>
      </c>
      <c r="E605" s="1089" t="s">
        <v>1619</v>
      </c>
      <c r="F605" s="1346"/>
      <c r="G605" s="1346"/>
      <c r="H605" s="1346"/>
      <c r="I605" s="1346"/>
      <c r="J605" s="1346"/>
      <c r="K605" s="1346"/>
      <c r="L605" s="1089" t="s">
        <v>1488</v>
      </c>
      <c r="M605" s="1347">
        <v>581</v>
      </c>
      <c r="N605" s="1347"/>
      <c r="O605" s="1346"/>
    </row>
    <row r="606" spans="1:15" x14ac:dyDescent="0.25">
      <c r="A606" s="1122" t="s">
        <v>1489</v>
      </c>
      <c r="B606" s="1089" t="str">
        <f t="shared" ca="1" si="46"/>
        <v>L50</v>
      </c>
      <c r="C606" s="1089" t="str">
        <f t="shared" ca="1" si="47"/>
        <v>L51</v>
      </c>
      <c r="D606" s="1089" t="s">
        <v>1449</v>
      </c>
      <c r="E606" s="1089" t="s">
        <v>1619</v>
      </c>
      <c r="F606" s="1346"/>
      <c r="G606" s="1346"/>
      <c r="H606" s="1346"/>
      <c r="I606" s="1346"/>
      <c r="J606" s="1346"/>
      <c r="K606" s="1346"/>
      <c r="L606" s="1089" t="s">
        <v>1489</v>
      </c>
      <c r="M606" s="1347">
        <v>582</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46"/>
      <c r="G607" s="1346"/>
      <c r="H607" s="1346"/>
      <c r="I607" s="1346"/>
      <c r="J607" s="1346"/>
      <c r="K607" s="1346"/>
      <c r="L607" s="1089" t="s">
        <v>1594</v>
      </c>
      <c r="M607" s="1347">
        <v>584</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46"/>
      <c r="G608" s="1346"/>
      <c r="H608" s="1346"/>
      <c r="I608" s="1346"/>
      <c r="J608" s="1346"/>
      <c r="K608" s="1346"/>
      <c r="L608" s="1089" t="s">
        <v>1808</v>
      </c>
      <c r="M608" s="1347">
        <v>585</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46"/>
      <c r="G609" s="1346"/>
      <c r="H609" s="1346"/>
      <c r="I609" s="1346"/>
      <c r="J609" s="1346"/>
      <c r="K609" s="1346"/>
      <c r="L609" s="1089" t="s">
        <v>1483</v>
      </c>
      <c r="M609" s="1347">
        <v>586</v>
      </c>
      <c r="N609" s="1347"/>
      <c r="O609" s="1346" t="s">
        <v>743</v>
      </c>
    </row>
    <row r="610" spans="1:15" x14ac:dyDescent="0.25">
      <c r="A610" s="1119" t="s">
        <v>1480</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1449</v>
      </c>
      <c r="E610" s="1089" t="s">
        <v>1619</v>
      </c>
      <c r="F610" s="1346"/>
      <c r="G610" s="1346"/>
      <c r="H610" s="1346"/>
      <c r="I610" s="1346"/>
      <c r="J610" s="1346"/>
      <c r="K610" s="1346"/>
      <c r="L610" s="1089" t="s">
        <v>1480</v>
      </c>
      <c r="M610" s="1347">
        <v>587</v>
      </c>
      <c r="N610" s="1347"/>
      <c r="O610" s="1346">
        <f>'Configurable Tab'!I7</f>
        <v>74</v>
      </c>
    </row>
    <row r="611" spans="1:15" x14ac:dyDescent="0.25">
      <c r="A611" s="1119" t="s">
        <v>1481</v>
      </c>
      <c r="B611" s="1089" t="str">
        <f t="shared" ref="B611:B616" ca="1" si="48">_xlfn.CONCAT(IFERROR(SUBSTITUTE(ADDRESS(1,MATCH(A595,INDIRECT("'"&amp;E595&amp;"'"&amp;"!A" &amp; $O$608+2&amp;":Z" &amp; $O$608+2),0),4),1,""),""),$O$608+2)</f>
        <v>J61</v>
      </c>
      <c r="C611" s="1089" t="str">
        <f t="shared" ref="C611:C616" ca="1" si="49">_xlfn.CONCAT(IFERROR(SUBSTITUTE(ADDRESS(1,MATCH(A595,INDIRECT("'"&amp;E595&amp;"'"&amp;"!A" &amp; $O$608+2&amp;":Z" &amp; $O$608+2),0),4),1,""),""),$O$608+3)</f>
        <v>J62</v>
      </c>
      <c r="D611" s="1089" t="s">
        <v>1449</v>
      </c>
      <c r="E611" s="1089" t="s">
        <v>1619</v>
      </c>
      <c r="F611" s="1346"/>
      <c r="G611" s="1346"/>
      <c r="H611" s="1346"/>
      <c r="I611" s="1346"/>
      <c r="J611" s="1346"/>
      <c r="K611" s="1346"/>
      <c r="L611" s="1089" t="s">
        <v>1481</v>
      </c>
      <c r="M611" s="1347">
        <v>588</v>
      </c>
      <c r="N611" s="1347"/>
      <c r="O611" s="1346" t="s">
        <v>1739</v>
      </c>
    </row>
    <row r="612" spans="1:15" x14ac:dyDescent="0.25">
      <c r="A612" s="1119" t="s">
        <v>1497</v>
      </c>
      <c r="B612" s="1089" t="str">
        <f t="shared" ca="1" si="48"/>
        <v>L61</v>
      </c>
      <c r="C612" s="1089" t="str">
        <f t="shared" ca="1" si="49"/>
        <v>L62</v>
      </c>
      <c r="D612" s="1089" t="s">
        <v>1449</v>
      </c>
      <c r="E612" s="1089" t="s">
        <v>1619</v>
      </c>
      <c r="F612" s="1346"/>
      <c r="G612" s="1346"/>
      <c r="H612" s="1346"/>
      <c r="I612" s="1346"/>
      <c r="J612" s="1346"/>
      <c r="K612" s="1346"/>
      <c r="L612" s="1089" t="s">
        <v>1497</v>
      </c>
      <c r="M612" s="1347">
        <v>589</v>
      </c>
      <c r="N612" s="1347"/>
      <c r="O612" s="1346"/>
    </row>
    <row r="613" spans="1:15" x14ac:dyDescent="0.25">
      <c r="A613" s="1119" t="s">
        <v>1482</v>
      </c>
      <c r="B613" s="1089" t="str">
        <f t="shared" ca="1" si="48"/>
        <v>N61</v>
      </c>
      <c r="C613" s="1089" t="str">
        <f t="shared" ca="1" si="49"/>
        <v>N62</v>
      </c>
      <c r="D613" s="1089" t="s">
        <v>1449</v>
      </c>
      <c r="E613" s="1089" t="s">
        <v>1619</v>
      </c>
      <c r="F613" s="1346"/>
      <c r="G613" s="1346"/>
      <c r="H613" s="1346"/>
      <c r="I613" s="1346"/>
      <c r="J613" s="1346"/>
      <c r="K613" s="1346"/>
      <c r="L613" s="1089" t="s">
        <v>1482</v>
      </c>
      <c r="M613" s="1347">
        <v>590</v>
      </c>
      <c r="N613" s="1347"/>
      <c r="O613" s="1346"/>
    </row>
    <row r="614" spans="1:15" x14ac:dyDescent="0.25">
      <c r="A614" s="1119" t="s">
        <v>1589</v>
      </c>
      <c r="B614" s="1089" t="str">
        <f t="shared" ca="1" si="48"/>
        <v>P61</v>
      </c>
      <c r="C614" s="1089" t="str">
        <f t="shared" ca="1" si="49"/>
        <v>P62</v>
      </c>
      <c r="D614" s="1089" t="s">
        <v>1449</v>
      </c>
      <c r="E614" s="1089" t="s">
        <v>1619</v>
      </c>
      <c r="F614" s="1346"/>
      <c r="G614" s="1346"/>
      <c r="H614" s="1346"/>
      <c r="I614" s="1346"/>
      <c r="J614" s="1346"/>
      <c r="K614" s="1346"/>
      <c r="L614" s="1089" t="s">
        <v>1589</v>
      </c>
      <c r="M614" s="1347">
        <v>591</v>
      </c>
      <c r="N614" s="1347"/>
      <c r="O614" s="1346"/>
    </row>
    <row r="615" spans="1:15" x14ac:dyDescent="0.25">
      <c r="A615" s="1119" t="s">
        <v>1590</v>
      </c>
      <c r="B615" s="1089" t="str">
        <f t="shared" ca="1" si="48"/>
        <v>R61</v>
      </c>
      <c r="C615" s="1089" t="str">
        <f t="shared" ca="1" si="49"/>
        <v>R62</v>
      </c>
      <c r="D615" s="1089" t="s">
        <v>1449</v>
      </c>
      <c r="E615" s="1089" t="s">
        <v>1619</v>
      </c>
      <c r="F615" s="1346"/>
      <c r="G615" s="1346"/>
      <c r="H615" s="1346"/>
      <c r="I615" s="1346"/>
      <c r="J615" s="1346"/>
      <c r="K615" s="1346"/>
      <c r="L615" s="1089" t="s">
        <v>1590</v>
      </c>
      <c r="M615" s="1347">
        <v>592</v>
      </c>
      <c r="N615" s="1347"/>
      <c r="O615" s="1346"/>
    </row>
    <row r="616" spans="1:15" x14ac:dyDescent="0.25">
      <c r="A616" s="1119" t="s">
        <v>1591</v>
      </c>
      <c r="B616" s="1089" t="str">
        <f t="shared" ca="1" si="48"/>
        <v>T61</v>
      </c>
      <c r="C616" s="1089" t="str">
        <f t="shared" ca="1" si="49"/>
        <v>T62</v>
      </c>
      <c r="D616" s="1089" t="s">
        <v>1449</v>
      </c>
      <c r="E616" s="1089" t="s">
        <v>1619</v>
      </c>
      <c r="F616" s="1346"/>
      <c r="G616" s="1346"/>
      <c r="H616" s="1346"/>
      <c r="I616" s="1346"/>
      <c r="J616" s="1346"/>
      <c r="K616" s="1346"/>
      <c r="L616" s="1089" t="s">
        <v>1591</v>
      </c>
      <c r="M616" s="1347">
        <v>593</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46"/>
      <c r="G617" s="1346"/>
      <c r="H617" s="1346"/>
      <c r="I617" s="1346"/>
      <c r="J617" s="1346"/>
      <c r="K617" s="1346"/>
      <c r="L617" s="1089" t="s">
        <v>1485</v>
      </c>
      <c r="M617" s="1347">
        <v>594</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46"/>
      <c r="G618" s="1346"/>
      <c r="H618" s="1346"/>
      <c r="I618" s="1346"/>
      <c r="J618" s="1346"/>
      <c r="K618" s="1346"/>
      <c r="L618" s="1089" t="s">
        <v>1486</v>
      </c>
      <c r="M618" s="1347">
        <v>595</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46"/>
      <c r="G619" s="1346"/>
      <c r="H619" s="1346"/>
      <c r="I619" s="1346"/>
      <c r="J619" s="1346"/>
      <c r="K619" s="1346"/>
      <c r="L619" s="1089" t="s">
        <v>1598</v>
      </c>
      <c r="M619" s="1347">
        <v>596</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46"/>
      <c r="G620" s="1346"/>
      <c r="H620" s="1346"/>
      <c r="I620" s="1346"/>
      <c r="J620" s="1346"/>
      <c r="K620" s="1346"/>
      <c r="L620" s="1089" t="s">
        <v>1595</v>
      </c>
      <c r="M620" s="1347">
        <v>597</v>
      </c>
      <c r="N620" s="1347"/>
      <c r="O620" s="1346"/>
    </row>
    <row r="621" spans="1:15" x14ac:dyDescent="0.25">
      <c r="A621" s="1119" t="s">
        <v>1609</v>
      </c>
      <c r="B621" s="1089" t="str">
        <f t="shared" ca="1" si="50"/>
        <v>J71</v>
      </c>
      <c r="C621" s="1089" t="str">
        <f t="shared" ca="1" si="51"/>
        <v>J72</v>
      </c>
      <c r="D621" s="1089" t="s">
        <v>1449</v>
      </c>
      <c r="E621" s="1089" t="s">
        <v>1619</v>
      </c>
      <c r="F621" s="1346"/>
      <c r="G621" s="1346"/>
      <c r="H621" s="1346"/>
      <c r="I621" s="1346"/>
      <c r="J621" s="1346"/>
      <c r="K621" s="1346"/>
      <c r="L621" s="1089" t="s">
        <v>1609</v>
      </c>
      <c r="M621" s="1347">
        <v>598</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46"/>
      <c r="G622" s="1346"/>
      <c r="H622" s="1346"/>
      <c r="I622" s="1346"/>
      <c r="J622" s="1346"/>
      <c r="K622" s="1346"/>
      <c r="L622" s="1089" t="s">
        <v>1487</v>
      </c>
      <c r="M622" s="1347">
        <v>599</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46"/>
      <c r="G623" s="1346"/>
      <c r="H623" s="1346"/>
      <c r="I623" s="1346"/>
      <c r="J623" s="1346"/>
      <c r="K623" s="1346"/>
      <c r="L623" s="1089" t="s">
        <v>1488</v>
      </c>
      <c r="M623" s="1347">
        <v>600</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46"/>
      <c r="G624" s="1346"/>
      <c r="H624" s="1346"/>
      <c r="I624" s="1346"/>
      <c r="J624" s="1346"/>
      <c r="K624" s="1346"/>
      <c r="L624" s="1089" t="s">
        <v>1489</v>
      </c>
      <c r="M624" s="1347">
        <v>601</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46"/>
      <c r="G625" s="1346"/>
      <c r="H625" s="1346"/>
      <c r="I625" s="1346"/>
      <c r="J625" s="1346"/>
      <c r="K625" s="1346"/>
      <c r="L625" s="1089" t="s">
        <v>1487</v>
      </c>
      <c r="M625" s="1347">
        <v>602</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46"/>
      <c r="G626" s="1346"/>
      <c r="H626" s="1346"/>
      <c r="I626" s="1346"/>
      <c r="J626" s="1346"/>
      <c r="K626" s="1346"/>
      <c r="L626" s="1089" t="s">
        <v>1488</v>
      </c>
      <c r="M626" s="1347">
        <v>603</v>
      </c>
      <c r="N626" s="1347"/>
      <c r="O626" s="1346"/>
    </row>
    <row r="627" spans="1:15" x14ac:dyDescent="0.25">
      <c r="A627" s="1119" t="s">
        <v>1489</v>
      </c>
      <c r="B627" s="1089" t="str">
        <f t="shared" ca="1" si="53"/>
        <v>L66</v>
      </c>
      <c r="C627" s="1089" t="str">
        <f t="shared" ca="1" si="52"/>
        <v>L</v>
      </c>
      <c r="D627" s="1089" t="s">
        <v>1456</v>
      </c>
      <c r="E627" s="1089" t="s">
        <v>1619</v>
      </c>
      <c r="F627" s="1346"/>
      <c r="G627" s="1346"/>
      <c r="H627" s="1346"/>
      <c r="I627" s="1346"/>
      <c r="J627" s="1346"/>
      <c r="K627" s="1346"/>
      <c r="L627" s="1089" t="s">
        <v>1489</v>
      </c>
      <c r="M627" s="1347">
        <v>604</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46"/>
      <c r="G628" s="1346"/>
      <c r="H628" s="1346"/>
      <c r="I628" s="1346"/>
      <c r="J628" s="1346"/>
      <c r="K628" s="1346"/>
      <c r="L628" s="1089" t="s">
        <v>1487</v>
      </c>
      <c r="M628" s="1347">
        <v>605</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46"/>
      <c r="G629" s="1346"/>
      <c r="H629" s="1346"/>
      <c r="I629" s="1346"/>
      <c r="J629" s="1346"/>
      <c r="K629" s="1346"/>
      <c r="L629" s="1089" t="s">
        <v>1488</v>
      </c>
      <c r="M629" s="1347">
        <v>606</v>
      </c>
      <c r="N629" s="1347"/>
      <c r="O629" s="1346"/>
    </row>
    <row r="630" spans="1:15" x14ac:dyDescent="0.25">
      <c r="A630" s="1119" t="s">
        <v>1489</v>
      </c>
      <c r="B630" s="1089" t="str">
        <f t="shared" ca="1" si="54"/>
        <v>L67</v>
      </c>
      <c r="C630" s="1089" t="str">
        <f t="shared" ca="1" si="52"/>
        <v>L</v>
      </c>
      <c r="D630" s="1089" t="s">
        <v>1456</v>
      </c>
      <c r="E630" s="1089" t="s">
        <v>1619</v>
      </c>
      <c r="F630" s="1346"/>
      <c r="G630" s="1346"/>
      <c r="H630" s="1346"/>
      <c r="I630" s="1346"/>
      <c r="J630" s="1346"/>
      <c r="K630" s="1346"/>
      <c r="L630" s="1089" t="s">
        <v>1489</v>
      </c>
      <c r="M630" s="1347">
        <v>607</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46"/>
      <c r="G631" s="1346"/>
      <c r="H631" s="1346"/>
      <c r="I631" s="1346"/>
      <c r="J631" s="1346"/>
      <c r="K631" s="1346"/>
      <c r="L631" s="1089" t="s">
        <v>1487</v>
      </c>
      <c r="M631" s="1347">
        <v>608</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46"/>
      <c r="G632" s="1346"/>
      <c r="H632" s="1346"/>
      <c r="I632" s="1346"/>
      <c r="J632" s="1346"/>
      <c r="K632" s="1346"/>
      <c r="L632" s="1089" t="s">
        <v>1488</v>
      </c>
      <c r="M632" s="1347">
        <v>609</v>
      </c>
      <c r="N632" s="1347"/>
      <c r="O632" s="1346"/>
    </row>
    <row r="633" spans="1:15" x14ac:dyDescent="0.25">
      <c r="A633" s="1119" t="s">
        <v>1489</v>
      </c>
      <c r="B633" s="1089" t="str">
        <f t="shared" ca="1" si="55"/>
        <v>L68</v>
      </c>
      <c r="C633" s="1089" t="str">
        <f t="shared" ca="1" si="52"/>
        <v>L</v>
      </c>
      <c r="D633" s="1089" t="s">
        <v>1456</v>
      </c>
      <c r="E633" s="1089" t="s">
        <v>1619</v>
      </c>
      <c r="F633" s="1346"/>
      <c r="G633" s="1346"/>
      <c r="H633" s="1346"/>
      <c r="I633" s="1346"/>
      <c r="J633" s="1346"/>
      <c r="K633" s="1346"/>
      <c r="L633" s="1089" t="s">
        <v>1489</v>
      </c>
      <c r="M633" s="1347">
        <v>610</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46"/>
      <c r="G634" s="1346"/>
      <c r="H634" s="1346"/>
      <c r="I634" s="1346"/>
      <c r="J634" s="1346"/>
      <c r="K634" s="1346"/>
      <c r="L634" s="1089" t="s">
        <v>1487</v>
      </c>
      <c r="M634" s="1347">
        <v>611</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46"/>
      <c r="G635" s="1346"/>
      <c r="H635" s="1346"/>
      <c r="I635" s="1346"/>
      <c r="J635" s="1346"/>
      <c r="K635" s="1346"/>
      <c r="L635" s="1089" t="s">
        <v>1488</v>
      </c>
      <c r="M635" s="1347">
        <v>612</v>
      </c>
      <c r="N635" s="1347"/>
      <c r="O635" s="1346"/>
    </row>
    <row r="636" spans="1:15" x14ac:dyDescent="0.25">
      <c r="A636" s="1119" t="s">
        <v>1489</v>
      </c>
      <c r="B636" s="1089" t="str">
        <f t="shared" ca="1" si="56"/>
        <v>L69</v>
      </c>
      <c r="C636" s="1089" t="str">
        <f t="shared" ca="1" si="52"/>
        <v>L</v>
      </c>
      <c r="D636" s="1089" t="s">
        <v>1456</v>
      </c>
      <c r="E636" s="1089" t="s">
        <v>1619</v>
      </c>
      <c r="F636" s="1346"/>
      <c r="G636" s="1346"/>
      <c r="H636" s="1346"/>
      <c r="I636" s="1346"/>
      <c r="J636" s="1346"/>
      <c r="K636" s="1346"/>
      <c r="L636" s="1089" t="s">
        <v>1489</v>
      </c>
      <c r="M636" s="1347">
        <v>613</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46"/>
      <c r="G637" s="1346"/>
      <c r="H637" s="1346"/>
      <c r="I637" s="1346"/>
      <c r="J637" s="1346"/>
      <c r="K637" s="1346"/>
      <c r="L637" s="1089" t="s">
        <v>1611</v>
      </c>
      <c r="M637" s="1347">
        <v>614</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4" t="s">
        <v>1831</v>
      </c>
      <c r="B1" s="1765"/>
      <c r="C1" s="1765"/>
      <c r="D1" s="1766"/>
      <c r="F1" s="1767" t="s">
        <v>1832</v>
      </c>
      <c r="G1" s="1768"/>
      <c r="H1" s="1768"/>
      <c r="I1" s="1769"/>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2022-02-15T05:11:25Z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