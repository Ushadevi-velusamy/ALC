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C:\Users\prathima.rm\Desktop\ALC\"/>
    </mc:Choice>
  </mc:AlternateContent>
  <xr:revisionPtr revIDLastSave="0" documentId="13_ncr:1_{0B43ACFF-3F16-47F1-884C-FAEA72230F7E}" xr6:coauthVersionLast="46" xr6:coauthVersionMax="46" xr10:uidLastSave="{00000000-0000-0000-0000-000000000000}"/>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Variable Costs (Back)" sheetId="36" state="veryHidden" r:id="rId12"/>
    <sheet name="EB_CM (Back)" sheetId="43" state="veryHidden" r:id="rId13"/>
    <sheet name="Multi-Customer" sheetId="72" state="veryHidden" r:id="rId14"/>
    <sheet name="PIM Ranges" sheetId="76" state="veryHidden" r:id="rId15"/>
    <sheet name="Incentive Setup" sheetId="64" state="hidden" r:id="rId16"/>
    <sheet name="MDA Worksheet" sheetId="61" state="hidden" r:id="rId17"/>
    <sheet name="PRIME Upload" sheetId="59" state="hidden" r:id="rId18"/>
    <sheet name="Basket Composition" sheetId="33" state="veryHidden" r:id="rId19"/>
    <sheet name="PRIME Headers" sheetId="69" state="hidden" r:id="rId20"/>
    <sheet name="CC MARKET EXPENSE" sheetId="85" state="veryHidden" r:id="rId21"/>
    <sheet name="Margin Guidence Table" sheetId="88" state="veryHidden" r:id="rId22"/>
    <sheet name="Modellable Customers" sheetId="78" r:id="rId23"/>
    <sheet name="HOS_Modellable Customers" sheetId="84" r:id="rId24"/>
    <sheet name="Existing Customers" sheetId="40" r:id="rId25"/>
    <sheet name="Existing Customer Variable Exp" sheetId="42" r:id="rId26"/>
    <sheet name="Customer Info" sheetId="77" r:id="rId27"/>
    <sheet name="Variable Selling" sheetId="30" r:id="rId28"/>
    <sheet name="Variable Div Avgs" sheetId="14" r:id="rId29"/>
    <sheet name="3zip" sheetId="50" r:id="rId30"/>
    <sheet name="4zip" sheetId="47" r:id="rId31"/>
    <sheet name="5zip" sheetId="37" r:id="rId32"/>
    <sheet name="Margin Quartiles" sheetId="34" state="veryHidden" r:id="rId33"/>
    <sheet name="IMargin Quartiles" sheetId="48" state="veryHidden" r:id="rId34"/>
    <sheet name="Lookups" sheetId="6" state="veryHidden" r:id="rId35"/>
    <sheet name="Market Geography" sheetId="38" state="veryHidden" r:id="rId36"/>
  </sheets>
  <externalReferences>
    <externalReference r:id="rId37"/>
  </externalReferences>
  <definedNames>
    <definedName name="_xlnm._FilterDatabase" localSheetId="29" hidden="1">'3zip'!$A$1:$F$2754</definedName>
    <definedName name="_xlnm._FilterDatabase" localSheetId="30" hidden="1">'4zip'!$A$1:$F$95</definedName>
    <definedName name="_xlnm._FilterDatabase" localSheetId="31" hidden="1">'5zip'!$A$1:$F$1</definedName>
    <definedName name="_xlnm._FilterDatabase" localSheetId="18" hidden="1">'Basket Composition'!$A$2:$A$30</definedName>
    <definedName name="_xlnm._FilterDatabase" localSheetId="25" hidden="1">'Existing Customer Variable Exp'!$A$1:$F$1</definedName>
    <definedName name="_xlnm._FilterDatabase" localSheetId="24" hidden="1">'Existing Customers'!$A$1:$AA$1</definedName>
    <definedName name="_xlnm._FilterDatabase" localSheetId="23" hidden="1">'HOS_Modellable Customers'!$A$1:$B$1</definedName>
    <definedName name="_xlnm._FilterDatabase" localSheetId="33" hidden="1">'IMargin Quartiles'!$B$1:$C$106</definedName>
    <definedName name="_xlnm._FilterDatabase" localSheetId="34" hidden="1">Lookups!$E$1:$E$61</definedName>
    <definedName name="_xlnm._FilterDatabase" localSheetId="32" hidden="1">'Margin Quartiles'!$B$1:$C$111</definedName>
    <definedName name="_xlnm._FilterDatabase" localSheetId="22" hidden="1">'Modellable Customers'!$A$1:$B$916</definedName>
    <definedName name="_xlnm._FilterDatabase" localSheetId="17" hidden="1">'PRIME Upload'!$A$1:$A$82</definedName>
    <definedName name="_xlnm._FilterDatabase" localSheetId="28" hidden="1">'Variable Div Avgs'!$A$1:$M$60</definedName>
    <definedName name="_xlnm._FilterDatabase" localSheetId="27" hidden="1">'Variable Selling'!$B$1:$O$1758</definedName>
    <definedName name="actionrequested" localSheetId="2">#REF!</definedName>
    <definedName name="actionrequested" localSheetId="0">#REF!</definedName>
    <definedName name="actionrequested" localSheetId="23">#REF!</definedName>
    <definedName name="actionrequested" localSheetId="16">#REF!</definedName>
    <definedName name="actionrequested" localSheetId="13">#REF!</definedName>
    <definedName name="actionrequested" localSheetId="3">#REF!</definedName>
    <definedName name="actionrequested" localSheetId="14">#REF!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3">#REF!</definedName>
    <definedName name="divisionlisting" localSheetId="16">#REF!</definedName>
    <definedName name="divisionlisting" localSheetId="13">#REF!</definedName>
    <definedName name="divisionlisting" localSheetId="3">#REF!</definedName>
    <definedName name="divisionlisting" localSheetId="14">#REF!</definedName>
    <definedName name="divisionlisting" localSheetId="1">#REF!</definedName>
    <definedName name="divisionlisting">#REF!</definedName>
    <definedName name="DropCriteria">'[1]Drop Box'!$L$2:$L$8</definedName>
    <definedName name="droppgmparameters">'[1]Drop Box'!$M$2:$M$4</definedName>
    <definedName name="ExternalData_1" localSheetId="24">'Existing Customers'!$A$1:$AC$12740</definedName>
    <definedName name="ExternalData_1" localSheetId="23">'HOS_Modellable Customers'!$A$1:$B$1053</definedName>
    <definedName name="ExternalData_1" localSheetId="22">'Modellable Customers'!$A$1:$B$916</definedName>
    <definedName name="ExternalData_2" localSheetId="29">'3zip'!$A$1:$F$30</definedName>
    <definedName name="ExternalData_2" localSheetId="30">'4zip'!$A$1:$F$93</definedName>
    <definedName name="ExternalData_2" localSheetId="31">'5zip'!$A$1:$F$374</definedName>
    <definedName name="ExternalData_2" localSheetId="26">'Customer Info'!$A$1:$F$6606</definedName>
    <definedName name="ExternalData_2" localSheetId="25">'Existing Customer Variable Exp'!$A$1:$F$1053</definedName>
    <definedName name="ExternalData_2" localSheetId="28">'Variable Div Avgs'!$A$1:$M$2</definedName>
    <definedName name="ExternalData_2" localSheetId="27">'Variable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3">#REF!</definedName>
    <definedName name="payoutlocation" localSheetId="16">#REF!</definedName>
    <definedName name="payoutlocation" localSheetId="13">#REF!</definedName>
    <definedName name="payoutlocation" localSheetId="3">#REF!</definedName>
    <definedName name="payoutlocation" localSheetId="14">#REF!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3">#REF!</definedName>
    <definedName name="pgmparameters" localSheetId="16">#REF!</definedName>
    <definedName name="pgmparameters" localSheetId="13">#REF!</definedName>
    <definedName name="pgmparameters" localSheetId="3">#REF!</definedName>
    <definedName name="pgmparameters" localSheetId="14">#REF!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5">'Existing Customer Variable Exp'!$H$1</definedName>
    <definedName name="_xlnm.Print_Area" localSheetId="24">'Existing Customers'!$AD$1</definedName>
    <definedName name="_xlnm.Print_Area" localSheetId="23">'HOS_Modellable Customers'!$F$1</definedName>
    <definedName name="_xlnm.Print_Area" localSheetId="15">'Incentive Setup'!$I$1:$V$53</definedName>
    <definedName name="_xlnm.Print_Area" localSheetId="4">Incentives!$B$2:$O$97</definedName>
    <definedName name="_xlnm.Print_Area" localSheetId="16">'MDA Worksheet'!$B$1:$BF$132</definedName>
    <definedName name="_xlnm.Print_Area" localSheetId="22">'Modellable Customers'!$L$1</definedName>
    <definedName name="_xlnm.Print_Area" localSheetId="3">'PIM Model'!$B$1:$Q$40</definedName>
    <definedName name="_xlnm.Print_Area" localSheetId="19">'PRIME Headers'!$B$2:$C$24</definedName>
    <definedName name="_xlnm.Print_Area" localSheetId="17">'PRIME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Welcome!$B$2:$I$37</definedName>
    <definedName name="_xlnm.Print_Titles" localSheetId="16">'MDA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3">#REF!</definedName>
    <definedName name="uompayout" localSheetId="16">#REF!</definedName>
    <definedName name="uompayout" localSheetId="13">#REF!</definedName>
    <definedName name="uompayout" localSheetId="3">#REF!</definedName>
    <definedName name="uompayout" localSheetId="14">#REF!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Q7" i="75" l="1"/>
  <c r="AQ8" i="75"/>
  <c r="AQ9" i="75"/>
  <c r="AQ10" i="75"/>
  <c r="AQ11" i="75"/>
  <c r="AQ12" i="75"/>
  <c r="AQ13" i="75"/>
  <c r="AQ14" i="75"/>
  <c r="AQ15" i="75"/>
  <c r="AQ6" i="75"/>
  <c r="J7" i="75"/>
  <c r="J8" i="75"/>
  <c r="J9" i="75"/>
  <c r="J10" i="75"/>
  <c r="J11" i="75"/>
  <c r="J12" i="75"/>
  <c r="J13" i="75"/>
  <c r="J14" i="75"/>
  <c r="J15" i="75"/>
  <c r="J6" i="75"/>
  <c r="I7" i="75"/>
  <c r="I8" i="75"/>
  <c r="I9" i="75"/>
  <c r="I10" i="75"/>
  <c r="I11" i="75"/>
  <c r="I12" i="75"/>
  <c r="I13" i="75"/>
  <c r="I14" i="75"/>
  <c r="I15" i="75"/>
  <c r="I6" i="75"/>
  <c r="G18" i="89"/>
  <c r="U5" i="90"/>
  <c r="U3" i="90" s="1"/>
  <c r="U4" i="90"/>
  <c r="U2" i="90" s="1"/>
  <c r="P13" i="90" l="1"/>
  <c r="P12" i="90"/>
  <c r="P11" i="90"/>
  <c r="E36" i="12" l="1"/>
  <c r="H5" i="12" l="1"/>
  <c r="C18" i="69"/>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M71" i="54"/>
  <c r="B5" i="89" l="1"/>
  <c r="F10" i="89"/>
  <c r="E10" i="89"/>
  <c r="G15" i="57"/>
  <c r="K24" i="57" l="1"/>
  <c r="K25" i="57"/>
  <c r="K26" i="57"/>
  <c r="K27" i="57"/>
  <c r="K28" i="57"/>
  <c r="K29" i="57"/>
  <c r="K30" i="57"/>
  <c r="K31" i="57"/>
  <c r="K32" i="57"/>
  <c r="K23" i="57"/>
  <c r="F17" i="57"/>
  <c r="L25" i="57" l="1"/>
  <c r="M5" i="90"/>
  <c r="L30" i="57"/>
  <c r="L24" i="57"/>
  <c r="L29" i="57"/>
  <c r="L32" i="57"/>
  <c r="L28" i="57"/>
  <c r="L31" i="57"/>
  <c r="L27" i="57"/>
  <c r="L23" i="57"/>
  <c r="L26" i="57"/>
  <c r="G28" i="74"/>
  <c r="E35" i="11" s="1"/>
  <c r="C28" i="74" l="1"/>
  <c r="Z11" i="74" l="1"/>
  <c r="C20" i="69" l="1"/>
  <c r="X1" i="12" l="1"/>
  <c r="K88" i="54" l="1"/>
  <c r="K80" i="54"/>
  <c r="K63" i="54"/>
  <c r="K55" i="54"/>
  <c r="K47" i="54"/>
  <c r="K36" i="54"/>
  <c r="K25" i="54"/>
  <c r="K14" i="54"/>
  <c r="AE15" i="12"/>
  <c r="G92" i="54" l="1"/>
  <c r="F11" i="64" l="1"/>
  <c r="D71" i="64" l="1"/>
  <c r="O52" i="64" s="1"/>
  <c r="B71" i="64"/>
  <c r="D70" i="64"/>
  <c r="B70" i="64"/>
  <c r="D69" i="64"/>
  <c r="O51" i="64" s="1"/>
  <c r="B68" i="64"/>
  <c r="O45" i="64" s="1"/>
  <c r="I64" i="54"/>
  <c r="M72" i="54"/>
  <c r="B69" i="64" l="1"/>
  <c r="P47" i="64" s="1"/>
  <c r="B54" i="64" l="1"/>
  <c r="J37" i="64" s="1"/>
  <c r="B37" i="64"/>
  <c r="T16" i="64" s="1"/>
  <c r="B27" i="64"/>
  <c r="O16" i="64" s="1"/>
  <c r="F10" i="64" l="1"/>
  <c r="G10" i="64"/>
  <c r="G9" i="64"/>
  <c r="F9" i="64"/>
  <c r="G8" i="64"/>
  <c r="F8" i="64"/>
  <c r="G7" i="64"/>
  <c r="F7" i="64"/>
  <c r="M50" i="54"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Z17" i="74" l="1"/>
  <c r="Z16" i="74"/>
  <c r="Z15" i="74"/>
  <c r="Z14" i="74"/>
  <c r="Z13" i="74"/>
  <c r="Q14" i="57"/>
  <c r="F19"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K15" i="75"/>
  <c r="AK14" i="75"/>
  <c r="AK13" i="75"/>
  <c r="AK12" i="75"/>
  <c r="AK11" i="75"/>
  <c r="AK10" i="75"/>
  <c r="AK9" i="75"/>
  <c r="AK8" i="75"/>
  <c r="AK7" i="75"/>
  <c r="AK6" i="75"/>
  <c r="AL15" i="75"/>
  <c r="AL14" i="75"/>
  <c r="AL13" i="75"/>
  <c r="AL12" i="75"/>
  <c r="AL11" i="75"/>
  <c r="AL10" i="75"/>
  <c r="AL9" i="75"/>
  <c r="AL8" i="75"/>
  <c r="AL7" i="75"/>
  <c r="AL6" i="75"/>
  <c r="B62" i="64" l="1"/>
  <c r="N49" i="64"/>
  <c r="O49" i="64"/>
  <c r="O48" i="64"/>
  <c r="N48" i="64"/>
  <c r="I31" i="64"/>
  <c r="I30" i="64"/>
  <c r="J30" i="64"/>
  <c r="J31" i="64"/>
  <c r="AN15" i="75"/>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B82" i="64"/>
  <c r="O36" i="64" s="1"/>
  <c r="J26" i="64"/>
  <c r="I32" i="54" l="1"/>
  <c r="K30" i="54" s="1"/>
  <c r="I21" i="54"/>
  <c r="K19" i="54" s="1"/>
  <c r="Q64" i="54"/>
  <c r="J40" i="54" l="1"/>
  <c r="D42" i="64" l="1"/>
  <c r="V22" i="64" s="1"/>
  <c r="D41" i="64"/>
  <c r="V21" i="64" s="1"/>
  <c r="B42" i="64"/>
  <c r="C41" i="64" s="1"/>
  <c r="B41" i="64"/>
  <c r="U21" i="64" s="1"/>
  <c r="D40" i="64"/>
  <c r="C40" i="64" l="1"/>
  <c r="U22" i="6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F12" i="75"/>
  <c r="F13" i="75"/>
  <c r="F14" i="75"/>
  <c r="F15" i="75"/>
  <c r="F6" i="75"/>
  <c r="M6" i="75" l="1"/>
  <c r="W12" i="75"/>
  <c r="W15" i="75"/>
  <c r="W11" i="75"/>
  <c r="M13" i="75"/>
  <c r="W13" i="75"/>
  <c r="M9" i="75"/>
  <c r="W9" i="75"/>
  <c r="M14" i="75"/>
  <c r="W14" i="75"/>
  <c r="M10" i="75"/>
  <c r="W10" i="75"/>
  <c r="M8" i="75"/>
  <c r="M12" i="75"/>
  <c r="M7" i="75"/>
  <c r="M11" i="75"/>
  <c r="M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G4" i="54" l="1"/>
  <c r="M75" i="54" s="1"/>
  <c r="G3" i="54"/>
  <c r="L4" i="54"/>
  <c r="K26" i="64"/>
  <c r="L14" i="64"/>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s="1"/>
  <c r="AU40" i="72" l="1"/>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D1" i="72"/>
  <c r="BD7" i="72" s="1"/>
  <c r="DX3" i="72"/>
  <c r="DO3" i="72"/>
  <c r="DF3" i="72"/>
  <c r="CW3" i="72"/>
  <c r="CN3" i="72"/>
  <c r="CE3" i="72"/>
  <c r="BV3" i="72"/>
  <c r="BM3" i="72"/>
  <c r="BD3" i="72"/>
  <c r="AU3" i="72"/>
  <c r="DX6" i="72"/>
  <c r="DO6" i="72"/>
  <c r="DF6" i="72"/>
  <c r="CW6" i="72"/>
  <c r="CN6" i="72"/>
  <c r="CE6" i="72"/>
  <c r="BV6" i="72"/>
  <c r="BM6" i="72"/>
  <c r="BD6" i="72"/>
  <c r="AU6" i="72"/>
  <c r="AU46" i="72" s="1"/>
  <c r="DX1" i="72"/>
  <c r="DX7" i="72" s="1"/>
  <c r="DO1" i="72"/>
  <c r="DO7" i="72" s="1"/>
  <c r="DF1" i="72"/>
  <c r="DF7" i="72" s="1"/>
  <c r="CW1" i="72"/>
  <c r="CW7" i="72" s="1"/>
  <c r="CN1" i="72"/>
  <c r="CN7" i="72" s="1"/>
  <c r="CE1" i="72"/>
  <c r="CE7" i="72" s="1"/>
  <c r="BV1" i="72"/>
  <c r="BV7" i="72" s="1"/>
  <c r="BM1" i="72"/>
  <c r="BM7" i="72" s="1"/>
  <c r="H3" i="70"/>
  <c r="K17" i="75" l="1"/>
  <c r="AM7" i="75"/>
  <c r="AN7" i="75" s="1"/>
  <c r="AM6" i="75"/>
  <c r="AN6" i="75" s="1"/>
  <c r="AE8" i="75"/>
  <c r="AM8" i="75"/>
  <c r="V17" i="36"/>
  <c r="T17" i="36"/>
  <c r="U17" i="36"/>
  <c r="J15" i="36"/>
  <c r="AC15" i="36"/>
  <c r="J21" i="36"/>
  <c r="AC21" i="36"/>
  <c r="J24" i="36"/>
  <c r="AC24" i="36"/>
  <c r="J20" i="36"/>
  <c r="AC20" i="36"/>
  <c r="J16" i="36"/>
  <c r="AC16" i="36"/>
  <c r="AC23" i="36"/>
  <c r="J23" i="36"/>
  <c r="AC18" i="36"/>
  <c r="J18" i="36"/>
  <c r="AC22" i="36"/>
  <c r="J22" i="36"/>
  <c r="AC19" i="36"/>
  <c r="J19" i="36"/>
  <c r="P17" i="75"/>
  <c r="Y7" i="75"/>
  <c r="DF46" i="72"/>
  <c r="BV46" i="72"/>
  <c r="CW46" i="72"/>
  <c r="CE46" i="72"/>
  <c r="DO46" i="72"/>
  <c r="DX46" i="72"/>
  <c r="CN46" i="72"/>
  <c r="BM46" i="72"/>
  <c r="AE9" i="75"/>
  <c r="AE6" i="75"/>
  <c r="AE11" i="75"/>
  <c r="AE14" i="75"/>
  <c r="AE13" i="75"/>
  <c r="AE7" i="75"/>
  <c r="AE12" i="75"/>
  <c r="AE10" i="75"/>
  <c r="AE15" i="75"/>
  <c r="CN45" i="72"/>
  <c r="BD42" i="72"/>
  <c r="BD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W62" i="33"/>
  <c r="V62" i="33"/>
  <c r="U62" i="33"/>
  <c r="T62" i="33"/>
  <c r="S62" i="33"/>
  <c r="R62" i="33"/>
  <c r="Q62" i="33"/>
  <c r="P62" i="33"/>
  <c r="O62" i="33"/>
  <c r="N62" i="33"/>
  <c r="M62" i="33"/>
  <c r="L62" i="33"/>
  <c r="K62" i="33"/>
  <c r="J62" i="33"/>
  <c r="I62" i="33"/>
  <c r="H62" i="33"/>
  <c r="G62" i="33"/>
  <c r="F62" i="33"/>
  <c r="E62" i="33"/>
  <c r="D62" i="33"/>
  <c r="C62" i="33"/>
  <c r="AN4" i="75" l="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L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CE47" i="72"/>
  <c r="L10" i="75" s="1"/>
  <c r="DX47" i="72"/>
  <c r="L15" i="75" s="1"/>
  <c r="DO47" i="72"/>
  <c r="L14" i="75" s="1"/>
  <c r="CW47" i="72"/>
  <c r="L12" i="75" s="1"/>
  <c r="CN47" i="72"/>
  <c r="L11" i="75" s="1"/>
  <c r="DF47" i="72"/>
  <c r="L13" i="75" s="1"/>
  <c r="BV47" i="72"/>
  <c r="L9" i="75" s="1"/>
  <c r="BM47" i="72"/>
  <c r="BD47" i="72"/>
  <c r="L6" i="64"/>
  <c r="BH10" i="72"/>
  <c r="BD48" i="72"/>
  <c r="O7" i="75" s="1"/>
  <c r="BD10" i="72"/>
  <c r="BE10" i="72"/>
  <c r="BG10" i="72"/>
  <c r="BI10" i="72"/>
  <c r="BV2" i="72"/>
  <c r="BV48" i="72" s="1"/>
  <c r="O9" i="75" s="1"/>
  <c r="Z9" i="75"/>
  <c r="I18" i="36" s="1"/>
  <c r="Y9" i="75"/>
  <c r="DF2" i="72"/>
  <c r="DK10" i="72" s="1"/>
  <c r="Z13" i="75"/>
  <c r="I22" i="36" s="1"/>
  <c r="Y13" i="75"/>
  <c r="BM2" i="72"/>
  <c r="BM48" i="72" s="1"/>
  <c r="O8" i="75" s="1"/>
  <c r="Y8" i="75"/>
  <c r="Z8" i="75"/>
  <c r="I17" i="36" s="1"/>
  <c r="CN2" i="72"/>
  <c r="CN48" i="72" s="1"/>
  <c r="O11" i="75" s="1"/>
  <c r="Y11" i="75"/>
  <c r="Z11" i="75"/>
  <c r="I20" i="36" s="1"/>
  <c r="CW2" i="72"/>
  <c r="CW48" i="72" s="1"/>
  <c r="O12" i="75" s="1"/>
  <c r="Y12" i="75"/>
  <c r="Z12" i="75"/>
  <c r="I21" i="36" s="1"/>
  <c r="DX2" i="72"/>
  <c r="DX10" i="72" s="1"/>
  <c r="Y15" i="75"/>
  <c r="Z15" i="75"/>
  <c r="I24" i="36" s="1"/>
  <c r="AU2" i="72"/>
  <c r="AU4" i="72" s="1"/>
  <c r="Y6" i="75"/>
  <c r="Z6" i="75"/>
  <c r="I15" i="36" s="1"/>
  <c r="G15" i="36" s="1"/>
  <c r="CE2" i="72"/>
  <c r="CE48" i="72" s="1"/>
  <c r="O10" i="75" s="1"/>
  <c r="Z10" i="75"/>
  <c r="I19" i="36" s="1"/>
  <c r="Y10" i="75"/>
  <c r="DO2" i="72"/>
  <c r="DO48" i="72" s="1"/>
  <c r="Z14" i="75"/>
  <c r="I23" i="36" s="1"/>
  <c r="Y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O14" i="75"/>
  <c r="AA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L8" i="75"/>
  <c r="L7" i="75"/>
  <c r="X9" i="75"/>
  <c r="X14" i="75"/>
  <c r="K23" i="36" s="1"/>
  <c r="X13" i="75"/>
  <c r="K22" i="36" s="1"/>
  <c r="X15" i="75"/>
  <c r="K24" i="36" s="1"/>
  <c r="X10" i="75"/>
  <c r="K19" i="36" s="1"/>
  <c r="X11" i="75"/>
  <c r="K20" i="36" s="1"/>
  <c r="X12" i="75"/>
  <c r="K21" i="36" s="1"/>
  <c r="X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AD5" i="75"/>
  <c r="AU48" i="72"/>
  <c r="BV4" i="72"/>
  <c r="BZ32" i="72" s="1"/>
  <c r="DB10" i="72"/>
  <c r="CA10" i="72"/>
  <c r="CY10" i="72"/>
  <c r="DY10" i="72"/>
  <c r="DX48" i="72"/>
  <c r="DJ10" i="72"/>
  <c r="DF48" i="72"/>
  <c r="O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AA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X8" i="75" l="1"/>
  <c r="X7" i="75"/>
  <c r="K16" i="36" s="1"/>
  <c r="W16" i="36" s="1"/>
  <c r="Q89" i="54"/>
  <c r="M97" i="54" s="1"/>
  <c r="M95" i="54" s="1"/>
  <c r="CS16" i="72"/>
  <c r="K18" i="36"/>
  <c r="W18" i="36" s="1"/>
  <c r="D45" i="43"/>
  <c r="H45" i="43" s="1"/>
  <c r="AB14" i="75"/>
  <c r="D42" i="43"/>
  <c r="H42" i="43" s="1"/>
  <c r="AB11" i="75"/>
  <c r="BG21" i="72"/>
  <c r="O15" i="75"/>
  <c r="AA15" i="75" s="1"/>
  <c r="O6" i="75"/>
  <c r="AA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21" i="36"/>
  <c r="W22" i="36"/>
  <c r="W19" i="36"/>
  <c r="W20" i="36"/>
  <c r="W23" i="36"/>
  <c r="W15" i="36"/>
  <c r="N38" i="72"/>
  <c r="N42" i="72"/>
  <c r="N39" i="72"/>
  <c r="N43" i="72"/>
  <c r="N40" i="72"/>
  <c r="N44" i="72"/>
  <c r="N41" i="72"/>
  <c r="N45" i="72"/>
  <c r="N37" i="72"/>
  <c r="D25" i="57"/>
  <c r="D29" i="57"/>
  <c r="D23" i="57"/>
  <c r="D26" i="57"/>
  <c r="D30" i="57"/>
  <c r="D27" i="57"/>
  <c r="D31" i="57"/>
  <c r="D24" i="57"/>
  <c r="D28" i="57"/>
  <c r="D32"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M80" i="72" s="1"/>
  <c r="M83" i="72" s="1"/>
  <c r="H7" i="12" s="1"/>
  <c r="J14" i="64"/>
  <c r="K14" i="64" s="1"/>
  <c r="V26" i="64"/>
  <c r="L36" i="64"/>
  <c r="V14" i="64"/>
  <c r="Q14" i="64"/>
  <c r="X16" i="75" l="1"/>
  <c r="K17" i="36"/>
  <c r="K25" i="36" s="1"/>
  <c r="I22" i="12"/>
  <c r="E45" i="43"/>
  <c r="F45" i="43" s="1"/>
  <c r="G45" i="43" s="1"/>
  <c r="I45" i="43" s="1"/>
  <c r="J45" i="43"/>
  <c r="J42" i="43"/>
  <c r="D37" i="43"/>
  <c r="H37" i="43" s="1"/>
  <c r="AB6" i="75"/>
  <c r="E42" i="43"/>
  <c r="F42" i="43" s="1"/>
  <c r="G42" i="43" s="1"/>
  <c r="I42" i="43" s="1"/>
  <c r="D46" i="43"/>
  <c r="H46" i="43" s="1"/>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Z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W10" i="76"/>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AA7" i="75" s="1"/>
  <c r="L3" i="64"/>
  <c r="K26" i="36" l="1"/>
  <c r="G6" i="54" s="1"/>
  <c r="W17" i="36"/>
  <c r="J46" i="43"/>
  <c r="J37" i="43"/>
  <c r="O16" i="36"/>
  <c r="E37" i="43"/>
  <c r="F37" i="43" s="1"/>
  <c r="G37" i="43" s="1"/>
  <c r="I37" i="43" s="1"/>
  <c r="D38" i="43"/>
  <c r="H38" i="43" s="1"/>
  <c r="AB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H6" i="11"/>
  <c r="L7" i="64"/>
  <c r="K44" i="64"/>
  <c r="M47" i="72"/>
  <c r="H6" i="12" s="1"/>
  <c r="Z31" i="72"/>
  <c r="Z32" i="72"/>
  <c r="Q31" i="72"/>
  <c r="Z13" i="72"/>
  <c r="Y30" i="72"/>
  <c r="M28" i="70" s="1"/>
  <c r="Y19" i="72"/>
  <c r="M17" i="70" s="1"/>
  <c r="Z21" i="72"/>
  <c r="Q23" i="72"/>
  <c r="CO33" i="72"/>
  <c r="F20" i="36" s="1"/>
  <c r="O15" i="72"/>
  <c r="Z14" i="72"/>
  <c r="Y14" i="72"/>
  <c r="M12" i="70" s="1"/>
  <c r="Z19" i="72"/>
  <c r="S14" i="72"/>
  <c r="Y32" i="72"/>
  <c r="M30" i="70" s="1"/>
  <c r="Q28" i="72"/>
  <c r="CP33" i="72"/>
  <c r="Q22" i="72"/>
  <c r="Q27" i="72"/>
  <c r="O28" i="72"/>
  <c r="Q21" i="72"/>
  <c r="DY33" i="72"/>
  <c r="F24" i="36" s="1"/>
  <c r="Y26" i="72"/>
  <c r="M24" i="70" s="1"/>
  <c r="CQ33" i="72"/>
  <c r="CH33" i="72"/>
  <c r="O30" i="72"/>
  <c r="EA33" i="72"/>
  <c r="BX33" i="72"/>
  <c r="Q24" i="72"/>
  <c r="O27" i="72"/>
  <c r="Q19" i="72"/>
  <c r="S27" i="72"/>
  <c r="O18" i="72"/>
  <c r="Q17" i="72"/>
  <c r="DZ33" i="72"/>
  <c r="BW33" i="72"/>
  <c r="F18" i="36" s="1"/>
  <c r="Q13" i="72"/>
  <c r="Z26" i="72"/>
  <c r="Q14" i="72"/>
  <c r="O17" i="72"/>
  <c r="Z12" i="72"/>
  <c r="Q32" i="72"/>
  <c r="BO33" i="72"/>
  <c r="Q20" i="72"/>
  <c r="BY33" i="72"/>
  <c r="AV33" i="72"/>
  <c r="F15" i="36" s="1"/>
  <c r="CG33" i="72"/>
  <c r="AA10" i="75" s="1"/>
  <c r="Z16" i="72"/>
  <c r="Q16" i="72"/>
  <c r="CF33" i="72"/>
  <c r="F19" i="36" s="1"/>
  <c r="BP33" i="72"/>
  <c r="AX33" i="72"/>
  <c r="BN33" i="72"/>
  <c r="F17" i="36" s="1"/>
  <c r="O22" i="72"/>
  <c r="Z30" i="72"/>
  <c r="Z18" i="72"/>
  <c r="O24" i="72"/>
  <c r="S30" i="72"/>
  <c r="Q26" i="72"/>
  <c r="S17" i="72"/>
  <c r="DQ33" i="72"/>
  <c r="O31" i="72"/>
  <c r="O32" i="72"/>
  <c r="O25" i="72"/>
  <c r="O19" i="72"/>
  <c r="O13" i="72"/>
  <c r="O20" i="72"/>
  <c r="Y31" i="72"/>
  <c r="M29" i="70" s="1"/>
  <c r="DP33" i="72"/>
  <c r="F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AA12" i="75"/>
  <c r="S28" i="72"/>
  <c r="X33" i="72"/>
  <c r="Y25" i="72"/>
  <c r="M23" i="70" s="1"/>
  <c r="AA9" i="75"/>
  <c r="Z15" i="72"/>
  <c r="V33" i="72"/>
  <c r="W33" i="72"/>
  <c r="Z17" i="72"/>
  <c r="S15" i="72"/>
  <c r="DH12" i="72"/>
  <c r="DG33" i="72"/>
  <c r="F22" i="36" s="1"/>
  <c r="O12" i="72"/>
  <c r="Q12" i="72"/>
  <c r="E6" i="70" l="1"/>
  <c r="E7" i="12"/>
  <c r="O24" i="36"/>
  <c r="Z24" i="36"/>
  <c r="O23" i="36"/>
  <c r="Z23" i="36"/>
  <c r="O22" i="36"/>
  <c r="Z22" i="36"/>
  <c r="O21" i="36"/>
  <c r="Z21" i="36"/>
  <c r="O20" i="36"/>
  <c r="Z20" i="36"/>
  <c r="O19" i="36"/>
  <c r="Z19" i="36"/>
  <c r="O18" i="36"/>
  <c r="AE18" i="36" s="1"/>
  <c r="Z18" i="36"/>
  <c r="O17" i="36"/>
  <c r="Z17" i="36"/>
  <c r="O15" i="36"/>
  <c r="Z15" i="36"/>
  <c r="E38" i="43"/>
  <c r="F38" i="43" s="1"/>
  <c r="G38" i="43" s="1"/>
  <c r="I38" i="43" s="1"/>
  <c r="J38" i="43"/>
  <c r="D43" i="43"/>
  <c r="H43" i="43" s="1"/>
  <c r="AB12" i="75"/>
  <c r="D41" i="43"/>
  <c r="H41" i="43" s="1"/>
  <c r="AB10" i="75"/>
  <c r="D40" i="43"/>
  <c r="H40" i="43" s="1"/>
  <c r="AB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X21" i="36"/>
  <c r="X22" i="36"/>
  <c r="X19" i="36"/>
  <c r="X24" i="36"/>
  <c r="X18" i="36"/>
  <c r="X15" i="36"/>
  <c r="X23" i="36"/>
  <c r="X17" i="36"/>
  <c r="X20" i="36"/>
  <c r="P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6" i="70"/>
  <c r="L6" i="54"/>
  <c r="L5" i="54"/>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AA8" i="75"/>
  <c r="Z33" i="72"/>
  <c r="O33" i="72"/>
  <c r="Y33" i="72"/>
  <c r="DH33" i="72"/>
  <c r="AA13" i="75" s="1"/>
  <c r="P12" i="72"/>
  <c r="Q33" i="72"/>
  <c r="K16" i="64"/>
  <c r="E6" i="11" l="1"/>
  <c r="H5" i="89"/>
  <c r="T44" i="61"/>
  <c r="AA16" i="75"/>
  <c r="J43" i="43"/>
  <c r="E41" i="43"/>
  <c r="F41" i="43" s="1"/>
  <c r="G41" i="43" s="1"/>
  <c r="I41" i="43" s="1"/>
  <c r="J41" i="43"/>
  <c r="E40" i="43"/>
  <c r="F40" i="43" s="1"/>
  <c r="G40" i="43" s="1"/>
  <c r="I40" i="43" s="1"/>
  <c r="J40" i="43"/>
  <c r="AF24" i="36"/>
  <c r="AF18" i="36"/>
  <c r="E43" i="43"/>
  <c r="F43" i="43" s="1"/>
  <c r="G43" i="43" s="1"/>
  <c r="I43" i="43" s="1"/>
  <c r="D39" i="43"/>
  <c r="H39" i="43" s="1"/>
  <c r="AB8" i="75"/>
  <c r="D44" i="43"/>
  <c r="H44" i="43" s="1"/>
  <c r="AB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N33" i="12" l="1"/>
  <c r="I32" i="12" s="1"/>
  <c r="N34" i="12"/>
  <c r="J44" i="43"/>
  <c r="J39" i="43"/>
  <c r="E39" i="43"/>
  <c r="F39" i="43" s="1"/>
  <c r="G39" i="43" s="1"/>
  <c r="I39" i="43" s="1"/>
  <c r="E44" i="43"/>
  <c r="F44" i="43" s="1"/>
  <c r="G44" i="43" s="1"/>
  <c r="I44" i="43" s="1"/>
  <c r="AB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H33" i="12" l="1"/>
  <c r="J47" i="43"/>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AD15" i="36" s="1"/>
  <c r="AG15" i="36" s="1"/>
  <c r="M15" i="36"/>
  <c r="A15" i="36" s="1"/>
  <c r="W6" i="75" s="1"/>
  <c r="M19" i="36"/>
  <c r="M21" i="36"/>
  <c r="M22" i="36"/>
  <c r="M24" i="36"/>
  <c r="L17" i="36"/>
  <c r="N17" i="36" s="1"/>
  <c r="AD17" i="36" s="1"/>
  <c r="AG17" i="36" s="1"/>
  <c r="M17" i="36"/>
  <c r="A17" i="36" s="1"/>
  <c r="W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l="1"/>
  <c r="E13" i="11" s="1"/>
  <c r="E19" i="11" s="1"/>
  <c r="B29" i="65" s="1"/>
  <c r="N12" i="12"/>
  <c r="I17" i="12"/>
  <c r="G5" i="54"/>
  <c r="H9" i="54"/>
  <c r="E6" i="12"/>
  <c r="E5" i="11"/>
  <c r="E5" i="70"/>
  <c r="B14" i="43"/>
  <c r="C21" i="43"/>
  <c r="C22" i="43" s="1"/>
  <c r="C23" i="43" s="1"/>
  <c r="B23" i="65"/>
  <c r="T28" i="61" l="1"/>
  <c r="T36" i="61" s="1"/>
  <c r="C23" i="69" s="1"/>
  <c r="D64" i="64"/>
  <c r="D72" i="64"/>
  <c r="G28" i="54"/>
  <c r="G17" i="54"/>
  <c r="I23" i="11"/>
  <c r="I13" i="11"/>
  <c r="D25" i="43"/>
  <c r="D24" i="43"/>
  <c r="E31" i="54"/>
  <c r="E30" i="54"/>
  <c r="E29" i="54"/>
  <c r="E18" i="54"/>
  <c r="G20" i="64" s="1"/>
  <c r="E19" i="54"/>
  <c r="G21" i="64" s="1"/>
  <c r="E20" i="54"/>
  <c r="G22" i="64" s="1"/>
  <c r="I19" i="11"/>
  <c r="I17" i="11"/>
  <c r="G4" i="64"/>
  <c r="I29" i="11"/>
  <c r="C78" i="64"/>
  <c r="I11" i="11"/>
  <c r="I15" i="11"/>
  <c r="B15" i="43"/>
  <c r="B16" i="43"/>
  <c r="I17" i="75" l="1"/>
  <c r="K31" i="64"/>
  <c r="P48"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B25" i="65" l="1"/>
  <c r="B38" i="65"/>
  <c r="M96" i="54"/>
  <c r="F22" i="12" s="1"/>
  <c r="E22" i="12"/>
  <c r="N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U1" i="12" l="1"/>
  <c r="S6" i="64"/>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18" i="70" l="1"/>
  <c r="J29" i="70"/>
  <c r="J25" i="70"/>
  <c r="J12" i="70"/>
  <c r="J15" i="70"/>
  <c r="J16" i="70"/>
  <c r="J17" i="70"/>
  <c r="J19" i="70"/>
  <c r="J27" i="70"/>
  <c r="J22" i="70"/>
  <c r="J13" i="70"/>
  <c r="J24" i="70"/>
  <c r="J26" i="70"/>
  <c r="J10" i="70"/>
  <c r="J21" i="70"/>
  <c r="J20" i="70"/>
  <c r="J23" i="70"/>
  <c r="J11" i="70"/>
  <c r="J28" i="70"/>
  <c r="J14" i="70"/>
  <c r="J30" i="70"/>
  <c r="Q13" i="70"/>
  <c r="O13" i="70"/>
  <c r="I10" i="70"/>
  <c r="I31" i="70" s="1"/>
  <c r="AN33" i="76"/>
  <c r="T12" i="70"/>
  <c r="U12" i="70"/>
  <c r="S12" i="70"/>
  <c r="O12" i="70"/>
  <c r="Q12" i="70"/>
  <c r="Q15" i="70"/>
  <c r="O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B10" i="70" s="1"/>
  <c r="AM33" i="76"/>
  <c r="AX6" i="76"/>
  <c r="AX7" i="76" s="1"/>
  <c r="BJ6" i="76"/>
  <c r="BJ7" i="76" s="1"/>
  <c r="O17" i="70"/>
  <c r="Q17" i="70"/>
  <c r="S27" i="70"/>
  <c r="T27" i="70"/>
  <c r="O27" i="70"/>
  <c r="U27" i="70"/>
  <c r="Q27" i="70"/>
  <c r="Q19" i="70"/>
  <c r="O19" i="70"/>
  <c r="Q16" i="70"/>
  <c r="O16" i="70"/>
  <c r="Q25" i="70"/>
  <c r="T25" i="70"/>
  <c r="U25" i="70"/>
  <c r="O25" i="70"/>
  <c r="S25" i="70"/>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J31" i="70"/>
  <c r="I34" i="70" s="1"/>
  <c r="I35" i="70" s="1"/>
  <c r="I33" i="70"/>
  <c r="H31" i="70"/>
  <c r="K36" i="70"/>
  <c r="I5" i="89" l="1"/>
  <c r="G5" i="89"/>
  <c r="G36" i="12"/>
  <c r="G36" i="11"/>
  <c r="D26" i="65"/>
  <c r="G26" i="12"/>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N13" i="12" s="1"/>
  <c r="I40" i="70"/>
  <c r="T38" i="61"/>
  <c r="C22" i="69" s="1"/>
  <c r="G29" i="11"/>
  <c r="D25" i="65"/>
  <c r="D30" i="65"/>
  <c r="E30" i="11"/>
  <c r="B31" i="65" s="1"/>
  <c r="D31" i="65" s="1"/>
  <c r="G23" i="11"/>
  <c r="I39" i="70"/>
  <c r="T40" i="61"/>
  <c r="G12" i="12"/>
  <c r="G27" i="12"/>
  <c r="D29" i="65"/>
  <c r="G28" i="12"/>
  <c r="G30" i="12"/>
  <c r="G22" i="12"/>
  <c r="G15" i="11"/>
  <c r="G25" i="12"/>
  <c r="G17" i="11"/>
  <c r="G11" i="11"/>
  <c r="L33" i="70"/>
  <c r="K33" i="70"/>
  <c r="G37" i="70"/>
  <c r="I37" i="70"/>
  <c r="G13" i="12" l="1"/>
  <c r="E20" i="12"/>
  <c r="G20" i="12" s="1"/>
  <c r="B24" i="65"/>
  <c r="N17" i="12"/>
  <c r="Z131" i="61"/>
  <c r="E31" i="12"/>
  <c r="G31" i="12" s="1"/>
  <c r="G30" i="11"/>
  <c r="I30" i="11"/>
  <c r="D24" i="65" l="1"/>
  <c r="B27" i="65"/>
  <c r="B33" i="65" s="1"/>
  <c r="B34" i="65" s="1"/>
  <c r="I20" i="12"/>
  <c r="E23" i="12"/>
  <c r="E34" i="12" s="1"/>
  <c r="E38" i="12" l="1"/>
  <c r="K34" i="12"/>
  <c r="M34" i="12"/>
  <c r="G23" i="12"/>
  <c r="I34" i="12"/>
  <c r="C27" i="43" s="1"/>
  <c r="D27" i="65"/>
  <c r="B35" i="65"/>
  <c r="D33" i="65"/>
  <c r="H34" i="12" l="1"/>
  <c r="H38" i="12"/>
  <c r="N38" i="12" s="1"/>
  <c r="M38" i="12"/>
  <c r="G38" i="12"/>
  <c r="K38" i="12"/>
  <c r="I38" i="12"/>
  <c r="G34" i="12"/>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GaneshMahendran</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91" authorId="2" shapeId="0" xr:uid="{2EE11D74-28E6-4F7C-98A0-B31BDC0B0B7A}">
      <text>
        <r>
          <rPr>
            <sz val="9"/>
            <color indexed="81"/>
            <rFont val="Tahoma"/>
            <family val="2"/>
          </rPr>
          <t>The maximum rate for this incentive is 50% of the current market credit card expense rate rounded up in 0.25% increments.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sharedStrings.xml><?xml version="1.0" encoding="utf-8"?>
<sst xmlns="http://schemas.openxmlformats.org/spreadsheetml/2006/main" count="4843" uniqueCount="1457">
  <si>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</si>
  <si>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</si>
  <si>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</si>
  <si>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</si>
  <si>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</si>
  <si>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</si>
  <si>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</si>
  <si>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</si>
  <si>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</si>
  <si>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</si>
  <si>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</si>
  <si>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</si>
  <si>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</si>
  <si>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</si>
  <si>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</si>
  <si>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</si>
  <si>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</si>
  <si>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</si>
  <si>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</si>
  <si>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</si>
  <si>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</si>
  <si>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</si>
  <si>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</si>
  <si>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</si>
  <si>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</si>
  <si>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</si>
  <si>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</si>
  <si>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</si>
  <si>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</si>
  <si>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</si>
  <si>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</si>
  <si>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</si>
  <si>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</si>
  <si>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</si>
  <si>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</si>
  <si>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</si>
  <si>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</si>
  <si>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</si>
  <si>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</si>
  <si>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</si>
  <si>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</si>
  <si>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</si>
  <si>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</si>
  <si>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</si>
  <si>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</si>
  <si>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</si>
  <si>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</si>
  <si>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</si>
  <si>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</si>
  <si>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</si>
  <si>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</si>
  <si>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</si>
  <si>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</si>
  <si>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</si>
  <si>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</si>
  <si>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</si>
  <si>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</si>
  <si>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</si>
  <si>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</si>
  <si>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</si>
  <si>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</si>
  <si>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</si>
  <si>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</si>
  <si>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</si>
  <si>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</si>
  <si>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</si>
  <si>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</si>
  <si>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</si>
  <si>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</si>
  <si>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</si>
  <si>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</si>
  <si>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</si>
  <si>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</si>
  <si>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</si>
  <si>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</si>
  <si>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</si>
  <si>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</si>
  <si>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</si>
  <si>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</si>
  <si>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</si>
  <si>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</si>
  <si>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</si>
  <si>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</si>
  <si>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</si>
  <si>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</si>
  <si>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</si>
  <si>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</si>
  <si>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</si>
  <si>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</si>
  <si>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</si>
  <si>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</si>
  <si>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</si>
  <si>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</si>
  <si>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</si>
  <si>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</si>
  <si>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</si>
  <si>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</si>
  <si>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</si>
  <si>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</si>
  <si>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</si>
  <si>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</si>
  <si>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</si>
  <si>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</si>
  <si>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</si>
  <si>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</si>
  <si>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</si>
  <si>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</si>
  <si>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</si>
  <si>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</si>
  <si>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</si>
  <si>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</si>
  <si>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</si>
  <si>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</si>
  <si>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</si>
  <si>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</si>
  <si>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</si>
  <si>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</si>
  <si>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</si>
  <si>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</si>
  <si>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</si>
  <si>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</si>
  <si>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</si>
  <si>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</si>
  <si>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</si>
  <si>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</si>
  <si>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</si>
  <si>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</si>
  <si>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</si>
  <si>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</si>
  <si>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</si>
  <si>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</si>
  <si>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</si>
  <si>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</si>
  <si>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</si>
  <si>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</si>
  <si>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</si>
  <si>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</si>
  <si>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</si>
  <si>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</si>
  <si>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</si>
  <si>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</si>
  <si>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</si>
  <si>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</si>
  <si>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</si>
  <si>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</si>
  <si>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</si>
  <si>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</si>
  <si>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</si>
  <si>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</si>
  <si>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</si>
  <si>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</si>
  <si>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</si>
  <si>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</si>
  <si>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</si>
  <si>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</si>
  <si>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</si>
  <si>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</si>
  <si>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</si>
  <si>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</si>
  <si>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</si>
  <si>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</si>
  <si>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</si>
  <si>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</si>
  <si>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</si>
  <si>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</si>
  <si>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</si>
  <si>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</si>
  <si>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</si>
  <si>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</si>
  <si>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</si>
  <si>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</si>
  <si>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</si>
  <si>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</si>
  <si>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</si>
  <si>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</si>
  <si>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</si>
  <si>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</si>
  <si>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</si>
  <si>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</si>
  <si>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</si>
  <si>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</si>
  <si>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</si>
  <si>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</si>
  <si>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</si>
  <si>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</si>
  <si>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</si>
  <si>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</si>
  <si>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</si>
  <si>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</si>
  <si>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</si>
  <si>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</si>
  <si>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</si>
  <si>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</si>
  <si>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</si>
  <si>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</si>
  <si>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</si>
  <si>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</si>
  <si>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</si>
  <si>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</si>
  <si>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</si>
  <si>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</si>
  <si>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</si>
  <si>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</si>
  <si>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</si>
  <si>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</si>
  <si>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</si>
  <si>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</si>
  <si>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</si>
  <si>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</si>
  <si>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</si>
  <si>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</si>
  <si>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</si>
  <si>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</si>
  <si>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</si>
  <si>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</si>
  <si>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</si>
  <si>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</si>
  <si>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</si>
  <si>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</si>
  <si>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</si>
  <si>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</si>
  <si>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</si>
  <si>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</si>
  <si>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</si>
  <si>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</si>
  <si>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</si>
  <si>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</si>
  <si>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</si>
  <si>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</si>
  <si>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</si>
  <si>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</si>
  <si>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</si>
  <si>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</si>
  <si>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</si>
  <si>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</si>
  <si>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</si>
  <si>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</si>
  <si>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</si>
  <si>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</si>
  <si>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</si>
  <si>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</si>
  <si>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</si>
  <si>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</si>
  <si>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</si>
  <si>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</si>
  <si>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</si>
  <si>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</si>
  <si>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</si>
  <si>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</si>
  <si>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</si>
  <si>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</si>
  <si>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</si>
  <si>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</si>
  <si>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</si>
  <si>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</si>
  <si>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</si>
  <si>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</si>
  <si>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</si>
  <si>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</si>
  <si>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</si>
  <si>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</si>
  <si>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</si>
  <si>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</si>
  <si>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</si>
  <si>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</si>
  <si>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</si>
  <si>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</si>
  <si>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</si>
  <si>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</si>
  <si>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</si>
  <si>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</si>
  <si>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</si>
  <si>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</si>
  <si>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</si>
  <si>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</si>
  <si>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</si>
  <si>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</si>
  <si>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</si>
  <si>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</si>
  <si>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</si>
  <si>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</si>
  <si>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</si>
  <si>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</si>
  <si>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</si>
  <si>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</si>
  <si>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</si>
  <si>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</si>
  <si>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</si>
  <si>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</si>
  <si>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</si>
  <si>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</si>
  <si>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</si>
  <si>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</si>
  <si>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</si>
  <si>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</si>
  <si>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</si>
  <si>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</si>
  <si>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</si>
  <si>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</si>
  <si>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</si>
  <si>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</si>
  <si>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</si>
  <si>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</si>
  <si>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</si>
  <si>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</si>
  <si>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</si>
  <si>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</si>
  <si>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</si>
  <si>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</si>
  <si>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</si>
  <si>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</si>
  <si>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</si>
  <si>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</si>
  <si>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</si>
  <si>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</si>
  <si>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</si>
  <si>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</si>
  <si>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</si>
  <si>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</si>
  <si>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</si>
  <si>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</si>
  <si>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</si>
  <si>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</si>
  <si>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</si>
  <si>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</si>
  <si>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</si>
  <si>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</si>
  <si>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</si>
  <si>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</si>
  <si>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</si>
  <si>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</si>
  <si>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</si>
  <si>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</si>
  <si>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</si>
  <si>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</si>
  <si>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</si>
  <si>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</si>
  <si>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</si>
  <si>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</si>
  <si>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</si>
  <si>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</si>
  <si>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</si>
  <si>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</si>
  <si>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</si>
  <si>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</si>
  <si>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</si>
  <si>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</si>
  <si>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</si>
  <si>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</si>
  <si>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</si>
  <si>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</si>
  <si>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</si>
  <si>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</si>
  <si>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</si>
  <si>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</si>
  <si>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</si>
  <si>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</si>
  <si>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</si>
  <si>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</si>
  <si>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</si>
  <si>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</si>
  <si>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</si>
  <si>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</si>
  <si>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</si>
  <si>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</si>
  <si>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</si>
  <si>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</si>
  <si>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</si>
  <si>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</si>
  <si>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</si>
  <si>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</si>
  <si>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</si>
  <si>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</si>
  <si>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</si>
  <si>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</si>
  <si>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</si>
  <si>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</si>
  <si>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</si>
  <si>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</si>
  <si>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</si>
  <si>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</si>
  <si>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</si>
  <si>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</si>
  <si>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</si>
  <si>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</si>
  <si>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</si>
  <si>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</si>
  <si>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</si>
  <si>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</si>
  <si>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</si>
  <si>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</si>
  <si>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</si>
  <si>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</si>
  <si>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</si>
  <si>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</si>
  <si>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</si>
  <si>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</si>
  <si>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</si>
  <si>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</si>
  <si>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</si>
  <si>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</si>
  <si>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</si>
  <si>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</si>
  <si>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</si>
  <si>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</si>
  <si>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</si>
  <si>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</si>
  <si>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</si>
  <si>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</si>
  <si>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</si>
  <si>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</si>
  <si>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</si>
  <si>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</si>
  <si>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</si>
  <si>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</si>
  <si>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</si>
  <si>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</si>
  <si>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</si>
  <si>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</si>
  <si>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</si>
  <si>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</si>
  <si>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</si>
  <si>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</si>
  <si>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</si>
  <si>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</si>
  <si>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</si>
  <si>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</si>
  <si>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</si>
  <si>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</si>
  <si>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</si>
  <si>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</si>
  <si>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</si>
  <si>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</si>
  <si>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</si>
  <si>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</si>
  <si>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</si>
  <si>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</si>
  <si>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</si>
  <si>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</si>
  <si>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</si>
  <si>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</si>
  <si>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</si>
  <si>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</si>
  <si>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</si>
  <si>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</si>
  <si>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</si>
  <si>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</si>
  <si>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</si>
  <si>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</si>
  <si>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</si>
  <si>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</si>
  <si>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</si>
  <si>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</si>
  <si>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</si>
  <si>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</si>
  <si>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</si>
  <si>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</si>
  <si>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</si>
  <si>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</si>
  <si>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</si>
  <si>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</si>
  <si>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</si>
  <si>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</si>
  <si>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</si>
  <si>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</si>
  <si>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</si>
  <si>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</si>
  <si>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</si>
  <si>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</si>
  <si>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</si>
  <si>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</si>
  <si>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</si>
  <si>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</si>
  <si>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</si>
  <si>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</si>
  <si>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</si>
  <si>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</si>
  <si>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</si>
  <si>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</si>
  <si>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</si>
  <si>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</si>
  <si>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</si>
  <si>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</si>
  <si>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</si>
  <si>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</si>
  <si>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</si>
  <si>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</si>
  <si>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</si>
  <si>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</si>
  <si>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</si>
  <si>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</si>
  <si>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</si>
  <si>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</si>
  <si>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</si>
  <si>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</si>
  <si>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</si>
  <si>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</si>
  <si>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</si>
  <si>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</si>
  <si>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</si>
  <si>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</si>
  <si>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</si>
  <si>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</si>
  <si>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</si>
  <si>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</si>
  <si>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</si>
  <si>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</si>
  <si>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</si>
  <si>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</si>
  <si>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</si>
  <si>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</si>
  <si>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</si>
  <si>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</si>
  <si>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</si>
  <si>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</si>
  <si>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</si>
  <si>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</si>
  <si>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</si>
  <si>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</si>
  <si>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</si>
  <si>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</si>
  <si>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</si>
  <si>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</si>
  <si>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</si>
  <si>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</si>
  <si>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</si>
  <si>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</si>
  <si>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</si>
  <si>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</si>
  <si>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</si>
  <si>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</si>
  <si>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</si>
  <si>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</si>
  <si>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</si>
  <si>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</si>
  <si>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</si>
  <si>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</si>
  <si>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</si>
  <si>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</si>
  <si>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</si>
  <si>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</si>
  <si>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</si>
  <si>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</si>
  <si>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</si>
  <si>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</si>
  <si>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</si>
  <si>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</si>
  <si>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</si>
  <si>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</si>
  <si>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</si>
  <si>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</si>
  <si>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</si>
  <si>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</si>
  <si>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</si>
  <si>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</si>
  <si>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</si>
  <si>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</si>
  <si>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</si>
  <si>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</si>
  <si>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</si>
  <si>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</si>
  <si>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</si>
  <si>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</si>
  <si>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</si>
  <si>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</si>
  <si>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</si>
  <si>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</si>
  <si>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</si>
  <si>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</si>
  <si>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</si>
  <si>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</si>
  <si>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</si>
  <si>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</si>
  <si>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</si>
  <si>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</si>
  <si>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</si>
  <si>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</si>
  <si>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</si>
  <si>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</si>
  <si>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</si>
  <si>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</si>
  <si>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</si>
  <si>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</si>
  <si>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</si>
  <si>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</si>
  <si>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</si>
  <si>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</si>
  <si>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</si>
  <si>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</si>
  <si>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</si>
  <si>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</si>
  <si>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</si>
  <si>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</si>
  <si>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</si>
  <si>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</si>
  <si>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</si>
  <si>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</si>
  <si>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</si>
  <si>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</si>
  <si>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</si>
  <si>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</si>
  <si>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</si>
  <si>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</si>
  <si>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</si>
  <si>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</si>
  <si>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</si>
  <si>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</si>
  <si>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</si>
  <si>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</si>
  <si>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</si>
  <si>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</si>
  <si>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</si>
  <si>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</si>
  <si>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</si>
  <si>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</si>
  <si>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</si>
  <si>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</si>
  <si>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</si>
  <si>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</si>
  <si>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</si>
  <si>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</si>
  <si>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</si>
  <si>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</si>
  <si>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</si>
  <si>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</si>
  <si>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</si>
  <si>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</si>
  <si>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</si>
  <si>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</si>
  <si>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</si>
  <si>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</si>
  <si>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</si>
  <si>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</si>
  <si>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</si>
  <si>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</si>
  <si>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</si>
  <si>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</si>
  <si>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</si>
  <si>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</si>
  <si>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</si>
  <si>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</si>
  <si>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</si>
  <si>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</si>
  <si>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</si>
  <si>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</si>
  <si>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</si>
  <si>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</si>
  <si>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</si>
  <si>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</si>
  <si>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</si>
  <si>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</si>
  <si>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</si>
  <si>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</si>
  <si>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</si>
  <si>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</si>
  <si>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</si>
  <si>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</si>
  <si>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</si>
  <si>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</si>
  <si>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</si>
  <si>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</si>
  <si>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</si>
  <si>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</si>
  <si>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</si>
  <si>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</si>
  <si>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</si>
  <si>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</si>
  <si>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</si>
  <si>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</si>
  <si>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</si>
  <si>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</si>
  <si>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</si>
  <si>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</si>
  <si>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</si>
  <si>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</si>
  <si>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</si>
  <si>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</si>
  <si>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</si>
  <si>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</si>
  <si>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</si>
  <si>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</si>
  <si>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</si>
  <si>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</si>
  <si>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</si>
  <si>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</si>
  <si>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</si>
  <si>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</si>
  <si>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</si>
  <si>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</si>
  <si>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</si>
  <si>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</si>
  <si>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</si>
  <si>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</si>
  <si>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</si>
  <si>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</si>
  <si>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</si>
  <si>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</si>
  <si>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</si>
  <si>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</si>
  <si>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</si>
  <si>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</si>
  <si>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</si>
  <si>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</si>
  <si>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</si>
  <si>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</si>
  <si>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</si>
  <si>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</si>
  <si>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</si>
  <si>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</si>
  <si>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</si>
  <si>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</si>
  <si>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</si>
  <si>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</si>
  <si>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</si>
  <si>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</si>
  <si>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</si>
  <si>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</si>
  <si>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</si>
  <si>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</si>
  <si>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</si>
  <si>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</si>
  <si>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</si>
  <si>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</si>
  <si>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</si>
  <si>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</si>
  <si>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</si>
  <si>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</si>
  <si>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</si>
  <si>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</si>
  <si>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</si>
  <si>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</si>
  <si>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</si>
  <si>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</si>
  <si>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</si>
  <si>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</si>
  <si>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</si>
  <si>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</si>
  <si>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</si>
  <si>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</si>
  <si>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</si>
  <si>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</si>
  <si>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</si>
  <si>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</si>
  <si>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</si>
  <si>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</si>
  <si>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</si>
  <si>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</si>
  <si>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</si>
  <si>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</si>
  <si>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</si>
  <si>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</si>
  <si>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</si>
  <si>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</si>
  <si>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</si>
  <si>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</si>
  <si>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</si>
  <si>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</si>
  <si>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</si>
  <si>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</si>
  <si>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</si>
  <si>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</si>
  <si>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</si>
  <si>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</si>
  <si>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</si>
  <si>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</si>
  <si>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</si>
  <si>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</si>
  <si>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</si>
  <si>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</si>
  <si>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</si>
  <si>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</si>
  <si>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</si>
  <si>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</si>
  <si>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</si>
  <si>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</si>
  <si>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</si>
  <si>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</si>
  <si>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</si>
  <si>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</si>
  <si>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</si>
  <si>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</si>
  <si>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</si>
  <si>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</si>
  <si>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</si>
  <si>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</si>
  <si>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</si>
  <si>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</si>
  <si>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</si>
  <si>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</si>
  <si>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</si>
  <si>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</si>
  <si>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</si>
  <si>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</si>
  <si>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</si>
  <si>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</si>
  <si>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</si>
  <si>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</si>
  <si>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</si>
  <si>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</si>
  <si>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</si>
  <si>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</si>
  <si>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</si>
  <si>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</si>
  <si>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</si>
  <si>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</si>
  <si>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</si>
  <si>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</si>
  <si>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</si>
  <si>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</si>
  <si>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</si>
  <si>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</si>
  <si>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</si>
  <si>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</si>
  <si>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</si>
  <si>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</si>
  <si>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</si>
  <si>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</si>
  <si>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</si>
  <si>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</si>
  <si>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</si>
  <si>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</si>
  <si>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</si>
  <si>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</si>
  <si>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</si>
  <si>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</si>
  <si>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</si>
  <si>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</si>
  <si>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</si>
  <si>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</si>
  <si>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</si>
  <si>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</si>
  <si>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</si>
  <si>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</si>
  <si>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</si>
  <si>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</si>
  <si>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</si>
  <si>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</si>
  <si>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</si>
  <si>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</si>
  <si>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</si>
  <si>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</si>
  <si>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</si>
  <si>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</si>
  <si>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</si>
  <si>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</si>
  <si>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</si>
  <si>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</si>
  <si>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</si>
  <si>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</si>
  <si>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</si>
  <si>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</si>
  <si>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</si>
  <si>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</si>
  <si>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</si>
  <si>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</si>
  <si>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</si>
  <si>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</si>
  <si>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</si>
  <si>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</si>
  <si>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</si>
  <si>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</si>
  <si>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</si>
  <si>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</si>
  <si>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</si>
  <si>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</si>
  <si>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</si>
  <si>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</si>
  <si>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</si>
  <si>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</si>
  <si>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</si>
  <si>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</si>
  <si>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</si>
  <si>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</si>
  <si>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</si>
  <si>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</si>
  <si>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</si>
  <si>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</si>
  <si>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</si>
  <si>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</si>
  <si>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</si>
  <si>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</si>
  <si>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</si>
  <si>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</si>
  <si>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</si>
  <si>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</si>
  <si>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</si>
  <si>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</si>
  <si>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</si>
  <si>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</si>
  <si>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</si>
  <si>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</si>
  <si>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</si>
  <si>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</si>
  <si>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</si>
  <si>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</si>
  <si>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</si>
  <si>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</si>
  <si>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</si>
  <si>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</si>
  <si>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</si>
  <si>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</si>
  <si>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</si>
  <si>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</si>
  <si>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</si>
  <si>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</si>
  <si>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</si>
  <si>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</si>
  <si>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</si>
  <si>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</si>
  <si>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</si>
  <si>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</si>
  <si>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</si>
  <si>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</si>
  <si>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</si>
  <si>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</si>
  <si>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</si>
  <si>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</si>
  <si>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</si>
  <si>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</si>
  <si>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</si>
  <si>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</si>
  <si>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</si>
  <si>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</si>
  <si>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</si>
  <si>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</si>
  <si>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</si>
  <si>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</si>
  <si>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</si>
  <si>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</si>
  <si>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</si>
  <si>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</si>
  <si>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</si>
  <si>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</si>
  <si>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</si>
  <si>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</si>
  <si>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</si>
  <si>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</si>
  <si>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</si>
  <si>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</si>
  <si>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</si>
  <si>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</si>
  <si>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</si>
  <si>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</si>
  <si>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</si>
  <si>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</si>
  <si>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</si>
  <si>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</si>
  <si>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</si>
  <si>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</si>
  <si>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</si>
  <si>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</si>
  <si>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</si>
  <si>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</si>
  <si>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</si>
  <si>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</si>
  <si>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</si>
  <si>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</si>
  <si>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</si>
  <si>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</si>
  <si>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</si>
  <si>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</si>
  <si>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</si>
  <si>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</si>
  <si>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</si>
  <si>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</si>
  <si>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</si>
  <si>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</si>
  <si>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</si>
  <si>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</si>
  <si>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</si>
  <si>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</si>
  <si>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</si>
  <si>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</si>
  <si>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</si>
  <si>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</si>
  <si>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</si>
  <si>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</si>
  <si>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</si>
  <si>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</si>
  <si>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</si>
  <si>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</si>
  <si>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</si>
  <si>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</si>
  <si>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</si>
  <si>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</si>
  <si>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</si>
  <si>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</si>
  <si>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</si>
  <si>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</si>
  <si>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</si>
  <si>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</si>
  <si>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</si>
  <si>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</si>
  <si>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</si>
  <si>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</si>
  <si>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</si>
  <si>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</si>
  <si>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</si>
  <si>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</si>
  <si>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</si>
  <si>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</si>
  <si>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</si>
  <si>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</si>
  <si>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</si>
  <si>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</si>
  <si>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</si>
  <si>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</si>
  <si>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</si>
  <si>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</si>
  <si>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</si>
  <si>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</si>
  <si>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</si>
  <si>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</si>
  <si>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</si>
  <si>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</si>
  <si>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</si>
  <si>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</si>
  <si>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</si>
  <si>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</si>
  <si>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</si>
  <si>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</si>
  <si>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</si>
  <si>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</si>
  <si>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</si>
  <si>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</si>
  <si>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</si>
  <si>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</si>
  <si>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</si>
  <si>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</si>
  <si>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</si>
  <si>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</si>
  <si>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</si>
  <si>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</si>
  <si>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</si>
  <si>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</si>
  <si>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</si>
  <si>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</si>
  <si>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</si>
  <si>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</si>
  <si>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</si>
  <si>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</si>
  <si>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</si>
  <si>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</si>
  <si>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</si>
  <si>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</si>
  <si>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</si>
  <si>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</si>
  <si>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</si>
  <si>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</si>
  <si>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</si>
  <si>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</si>
  <si>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</si>
  <si>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</si>
  <si>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</si>
  <si>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</si>
  <si>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</si>
  <si>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</si>
  <si>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</si>
  <si>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</si>
  <si>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</si>
  <si>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</si>
  <si>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</si>
  <si>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</si>
  <si>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</si>
  <si>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</si>
  <si>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</si>
  <si>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</si>
  <si>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</si>
  <si>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</si>
  <si>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</si>
  <si>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</si>
  <si>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</si>
  <si>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</si>
  <si>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</si>
  <si>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</si>
  <si>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</si>
  <si>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</si>
  <si>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</si>
  <si>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</si>
  <si>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</si>
  <si>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</si>
  <si>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</si>
  <si>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</si>
  <si>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</si>
  <si>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</si>
  <si>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</si>
  <si>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</si>
  <si>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</si>
  <si>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</si>
  <si>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</si>
  <si>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</si>
  <si>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</si>
  <si>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</si>
  <si>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</si>
  <si>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</si>
  <si>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</si>
  <si>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</si>
  <si>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</si>
  <si>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</si>
  <si>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</si>
  <si>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</si>
  <si>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</si>
  <si>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</si>
  <si>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</si>
  <si>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</si>
  <si>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</si>
  <si>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</si>
  <si>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</si>
  <si>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</si>
  <si>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</si>
  <si>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</si>
  <si>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</si>
  <si>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</si>
  <si>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</si>
  <si>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</si>
  <si>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</si>
  <si>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</si>
  <si>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</si>
  <si>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</si>
  <si>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</si>
  <si>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</si>
  <si>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</si>
  <si>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</si>
  <si>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</si>
  <si>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</si>
  <si>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</si>
  <si>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</si>
  <si>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</si>
  <si>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</si>
  <si>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</si>
  <si>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</si>
  <si>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</si>
  <si>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</si>
  <si>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</si>
  <si>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</si>
  <si>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</si>
  <si>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</si>
  <si>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</si>
  <si>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</si>
  <si>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</si>
  <si>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</si>
  <si>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</si>
  <si>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</si>
  <si>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</si>
  <si>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</si>
  <si>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</si>
  <si>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</si>
  <si>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</si>
  <si>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</si>
  <si>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</si>
  <si>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</si>
  <si>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</si>
  <si>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</si>
  <si>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</si>
  <si>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</si>
  <si>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</si>
  <si>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</si>
  <si>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</si>
  <si>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</si>
  <si>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</si>
  <si>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</si>
  <si>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</si>
  <si>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</si>
  <si>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</si>
  <si>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</si>
  <si>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</si>
  <si>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</si>
  <si>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</si>
  <si>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</si>
  <si>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</si>
  <si>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</si>
  <si>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</si>
  <si>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</si>
  <si>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</si>
  <si>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</si>
  <si>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</si>
  <si>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</si>
  <si>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</si>
  <si>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</si>
  <si>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</si>
  <si>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</si>
  <si>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</si>
  <si>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</si>
  <si>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</si>
  <si>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</si>
  <si>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</si>
  <si>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</si>
  <si>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</si>
  <si>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</si>
  <si>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</si>
  <si>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</si>
  <si>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</si>
  <si>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</si>
  <si>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</si>
  <si>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</si>
  <si>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</si>
  <si>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</si>
  <si>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</si>
  <si>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</si>
  <si>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</si>
  <si>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</si>
  <si>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</si>
  <si>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</si>
  <si>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</si>
  <si>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</si>
  <si>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</si>
  <si>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</si>
  <si>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</si>
  <si>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</si>
  <si>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</si>
  <si>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</si>
  <si>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</si>
  <si>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</si>
  <si>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</si>
  <si>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</si>
  <si>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</si>
  <si>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</si>
  <si>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</si>
  <si>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</si>
  <si>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</si>
  <si>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</si>
  <si>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</si>
  <si>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</si>
  <si>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</si>
  <si>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</si>
  <si>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</si>
  <si>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</si>
  <si>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</si>
  <si>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</si>
  <si>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</si>
  <si>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</si>
  <si>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</si>
  <si>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</si>
  <si>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</si>
  <si>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</si>
  <si>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</si>
  <si>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</si>
  <si>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</si>
  <si>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</si>
  <si>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</si>
  <si>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</si>
  <si>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</si>
  <si>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</si>
  <si>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</si>
  <si>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</si>
  <si>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</si>
  <si>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</si>
  <si>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</si>
  <si>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</si>
  <si>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</si>
  <si>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</si>
  <si>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</si>
  <si>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</si>
  <si>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</si>
  <si>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</si>
  <si>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</si>
  <si>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</si>
  <si>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</si>
  <si>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</si>
  <si>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</si>
  <si>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</si>
  <si>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</si>
  <si>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</si>
  <si>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</si>
  <si>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</si>
  <si>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</si>
  <si>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</si>
  <si>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</si>
  <si>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</si>
  <si>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</si>
  <si>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</si>
  <si>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</si>
  <si>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</si>
  <si>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</si>
  <si>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</si>
  <si>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</si>
  <si>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</si>
  <si>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</si>
  <si>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</si>
  <si>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</si>
  <si>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</si>
  <si>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</si>
  <si>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</si>
  <si>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</si>
  <si>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</si>
  <si>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</si>
  <si>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</si>
  <si>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</si>
  <si>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</si>
  <si>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</si>
  <si>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</si>
  <si>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</si>
  <si>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</si>
  <si>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</si>
  <si>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</si>
  <si>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</si>
  <si>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</si>
  <si>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</si>
  <si>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</si>
  <si>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</si>
  <si>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</si>
  <si>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</si>
  <si>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</si>
  <si>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</si>
  <si>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</si>
  <si>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</si>
  <si>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</si>
  <si>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</si>
  <si>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</si>
  <si>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 xml:space="preserve">Proprietary Slots Included Flag: </t>
  </si>
  <si>
    <t xml:space="preserve">Proprietary Slots Additional Markup: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</si>
  <si>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</si>
  <si>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</si>
  <si>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</si>
  <si>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</si>
  <si>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</si>
  <si>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</si>
  <si>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</si>
  <si>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</si>
  <si>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</si>
  <si>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</si>
  <si>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</si>
  <si>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</si>
  <si>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</si>
  <si>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</si>
  <si>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</si>
  <si>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</si>
  <si>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</si>
  <si>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</si>
  <si>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</si>
  <si>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</si>
  <si>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</si>
  <si>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</si>
  <si>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</si>
  <si>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</si>
  <si>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</si>
  <si>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</si>
  <si>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</si>
  <si>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</si>
  <si>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</si>
  <si>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</si>
  <si>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</si>
  <si>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</si>
  <si>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</si>
  <si>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</si>
  <si>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</si>
  <si>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</si>
  <si>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</si>
  <si>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</si>
  <si>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</si>
  <si>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</si>
  <si>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</si>
  <si>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</si>
  <si>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</si>
  <si>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</si>
  <si>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</si>
  <si>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</si>
  <si>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</si>
  <si>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</si>
  <si>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</si>
  <si>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</si>
  <si>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</si>
  <si>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</si>
  <si>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</si>
  <si>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</si>
  <si>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</si>
  <si>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</si>
  <si>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</si>
  <si>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</si>
  <si>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</si>
  <si>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</si>
  <si>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</si>
  <si>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</si>
  <si>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</si>
  <si>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</si>
  <si>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</si>
  <si>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</si>
  <si>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</si>
  <si>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</si>
  <si>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</si>
  <si>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</si>
  <si>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</si>
  <si>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</si>
  <si>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</si>
  <si>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</si>
  <si>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</si>
  <si>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</si>
  <si>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</si>
  <si>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</si>
  <si>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</si>
  <si>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</si>
  <si>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</si>
  <si>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</si>
  <si>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</si>
  <si>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</si>
  <si>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</si>
  <si>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</si>
  <si>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</si>
  <si>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</si>
  <si>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</si>
  <si>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</si>
  <si>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</si>
  <si>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</si>
  <si>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</si>
  <si>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</si>
  <si>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</si>
  <si>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</si>
  <si>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</si>
  <si>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</si>
  <si>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</si>
  <si>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</si>
  <si>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</si>
  <si>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</si>
  <si>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</si>
  <si>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</si>
  <si>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</si>
  <si>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</si>
  <si>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</si>
  <si>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</si>
  <si>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</si>
  <si>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</si>
  <si>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</si>
  <si>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</si>
  <si>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</si>
  <si>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Basis
Code</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</si>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</sst>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s>
  <fonts count="91"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s>
  <fills count="3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s>
  <borders count="88">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49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73" fontId="4" fillId="0" borderId="9" xfId="1" applyNumberFormat="1" applyFont="1" applyBorder="1" applyAlignment="1">
      <alignment horizontal="center"/>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73" fontId="4" fillId="0" borderId="54" xfId="1" applyNumberFormat="1" applyFont="1" applyBorder="1" applyAlignment="1">
      <alignment horizontal="center"/>
    </xf>
    <xf numFmtId="0" fontId="69" fillId="3" borderId="79" xfId="0" applyFont="1" applyFill="1" applyBorder="1" applyAlignment="1">
      <alignment horizontal="left"/>
    </xf>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0"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84" fillId="0" borderId="0" xfId="0" applyFont="1"/>
    <xf numFmtId="0" fontId="0" fillId="0" borderId="14" xfId="0" applyFill="1" applyBorder="1" applyAlignment="1">
      <alignment horizontal="center"/>
    </xf>
    <xf numFmtId="0" fontId="3" fillId="0" borderId="0" xfId="0" applyFont="1" applyFill="1" applyBorder="1" applyAlignment="1">
      <alignment wrapText="1"/>
    </xf>
    <xf numFmtId="4" fontId="0" fillId="0" borderId="0" xfId="1" applyNumberFormat="1" applyFont="1" applyFill="1" applyBorder="1"/>
    <xf numFmtId="0" fontId="3" fillId="0" borderId="14" xfId="0" applyFont="1" applyFill="1" applyBorder="1" applyAlignment="1">
      <alignment horizontal="center" wrapText="1"/>
    </xf>
    <xf numFmtId="43" fontId="0" fillId="0" borderId="0" xfId="1" applyFont="1" applyFill="1" applyBorder="1"/>
    <xf numFmtId="0" fontId="0" fillId="0" borderId="29" xfId="0" applyFill="1" applyBorder="1" applyAlignment="1">
      <alignment wrapText="1"/>
    </xf>
    <xf numFmtId="0" fontId="0" fillId="0" borderId="0" xfId="0" applyFill="1" applyBorder="1" applyAlignment="1">
      <alignment vertical="top"/>
    </xf>
    <xf numFmtId="0" fontId="0" fillId="0" borderId="29" xfId="0" applyFill="1" applyBorder="1" applyAlignment="1">
      <alignment vertical="top"/>
    </xf>
    <xf numFmtId="0" fontId="0" fillId="0" borderId="2" xfId="0" applyFill="1" applyBorder="1" applyAlignment="1">
      <alignment vertical="top"/>
    </xf>
    <xf numFmtId="0" fontId="0" fillId="0" borderId="30" xfId="0" applyFill="1" applyBorder="1" applyAlignment="1">
      <alignment vertical="top"/>
    </xf>
    <xf numFmtId="165" fontId="0" fillId="0" borderId="0" xfId="1" applyNumberFormat="1" applyFont="1" applyAlignment="1"/>
    <xf numFmtId="0" fontId="85"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1" fontId="21" fillId="7" borderId="8" xfId="1" quotePrefix="1" applyNumberFormat="1" applyFont="1" applyFill="1" applyBorder="1" applyAlignment="1" applyProtection="1">
      <alignment horizontal="center"/>
      <protection locked="0"/>
    </xf>
    <xf numFmtId="0" fontId="30" fillId="20" borderId="45" xfId="0" applyFont="1" applyFill="1" applyBorder="1" applyAlignment="1">
      <alignment horizontal="center" wrapText="1"/>
    </xf>
    <xf numFmtId="0" fontId="0" fillId="3" borderId="0" xfId="0" applyFont="1" applyFill="1"/>
    <xf numFmtId="0" fontId="70"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0" borderId="14" xfId="0" applyFont="1" applyBorder="1" applyProtection="1"/>
    <xf numFmtId="0" fontId="1" fillId="0" borderId="0" xfId="0" applyFont="1" applyProtection="1"/>
    <xf numFmtId="0" fontId="1" fillId="0" borderId="29" xfId="0" applyFont="1" applyBorder="1" applyProtection="1"/>
    <xf numFmtId="0" fontId="1" fillId="27" borderId="81" xfId="0" applyFont="1" applyFill="1" applyBorder="1" applyProtection="1"/>
    <xf numFmtId="0" fontId="86" fillId="0" borderId="3" xfId="0" applyFont="1" applyBorder="1" applyAlignment="1" applyProtection="1">
      <alignment horizontal="center" vertical="center"/>
    </xf>
    <xf numFmtId="0" fontId="86" fillId="0" borderId="9"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0" fontId="1" fillId="0" borderId="14" xfId="0" applyFont="1" applyBorder="1" applyAlignment="1" applyProtection="1">
      <alignment horizontal="center"/>
    </xf>
    <xf numFmtId="0" fontId="1" fillId="0" borderId="0" xfId="0" applyFont="1" applyAlignment="1" applyProtection="1">
      <alignment horizontal="center"/>
    </xf>
    <xf numFmtId="0" fontId="1" fillId="0" borderId="29" xfId="0" applyFont="1" applyBorder="1" applyAlignment="1" applyProtection="1">
      <alignment horizontal="center"/>
    </xf>
    <xf numFmtId="0" fontId="86" fillId="0" borderId="3" xfId="0" applyFont="1" applyBorder="1" applyAlignment="1" applyProtection="1">
      <alignment horizontal="center" vertical="center" wrapText="1"/>
    </xf>
    <xf numFmtId="0" fontId="86" fillId="0" borderId="26" xfId="0" applyFont="1" applyBorder="1" applyAlignment="1" applyProtection="1">
      <alignment horizontal="center" vertical="center" wrapText="1"/>
    </xf>
    <xf numFmtId="169" fontId="1" fillId="6" borderId="9" xfId="0" applyNumberFormat="1" applyFont="1" applyFill="1" applyBorder="1" applyAlignment="1" applyProtection="1">
      <alignment horizontal="center" vertical="center"/>
    </xf>
    <xf numFmtId="0" fontId="1" fillId="0" borderId="14" xfId="0" applyFont="1" applyBorder="1" applyAlignment="1" applyProtection="1">
      <alignment wrapText="1"/>
    </xf>
    <xf numFmtId="0" fontId="1" fillId="0" borderId="0" xfId="0" applyFont="1" applyAlignment="1" applyProtection="1">
      <alignment wrapText="1"/>
    </xf>
    <xf numFmtId="0" fontId="1" fillId="6" borderId="10" xfId="0" applyFont="1" applyFill="1" applyBorder="1" applyAlignment="1" applyProtection="1">
      <alignment horizontal="center" vertical="center"/>
    </xf>
    <xf numFmtId="0" fontId="5" fillId="0" borderId="82" xfId="0" applyFont="1" applyBorder="1" applyAlignment="1" applyProtection="1">
      <alignment horizontal="center" vertical="center" wrapText="1"/>
    </xf>
    <xf numFmtId="0" fontId="5" fillId="0" borderId="81" xfId="0" applyFont="1" applyBorder="1" applyAlignment="1" applyProtection="1">
      <alignment horizontal="center" vertical="center" wrapText="1"/>
    </xf>
    <xf numFmtId="0" fontId="5" fillId="0" borderId="83" xfId="0" applyFont="1" applyBorder="1" applyAlignment="1" applyProtection="1">
      <alignment horizontal="center" vertical="center" wrapText="1"/>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7" fillId="36" borderId="9" xfId="0" applyFont="1" applyFill="1" applyBorder="1" applyAlignment="1">
      <alignment horizontal="center" vertical="center"/>
    </xf>
    <xf numFmtId="0" fontId="87" fillId="36" borderId="8" xfId="0" applyFont="1" applyFill="1" applyBorder="1" applyAlignment="1">
      <alignment horizontal="center" vertical="center"/>
    </xf>
    <xf numFmtId="0" fontId="87"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2" fontId="3" fillId="0" borderId="9" xfId="2" applyNumberFormat="1" applyFont="1" applyBorder="1" applyAlignment="1">
      <alignment horizontal="center" vertic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8" xfId="0" applyNumberFormat="1" applyFont="1" applyFill="1" applyBorder="1" applyAlignment="1" applyProtection="1">
      <alignment horizontal="center"/>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86" fillId="0" borderId="5" xfId="0" applyFont="1" applyBorder="1" applyAlignment="1" applyProtection="1">
      <alignment horizontal="center" vertical="center"/>
      <protection locked="0"/>
    </xf>
    <xf numFmtId="0" fontId="86"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 borderId="9" xfId="0" applyFont="1" applyFill="1" applyBorder="1" applyAlignment="1" applyProtection="1">
      <alignment horizontal="center" vertical="center"/>
    </xf>
    <xf numFmtId="0" fontId="1" fillId="3"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8"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3" fillId="2" borderId="0" xfId="0" applyFont="1" applyFill="1" applyBorder="1" applyAlignment="1">
      <alignment horizontal="center" wrapText="1"/>
    </xf>
    <xf numFmtId="0" fontId="0" fillId="0" borderId="0" xfId="0" applyBorder="1" applyAlignment="1" applyProtection="1">
      <alignment horizontal="center"/>
      <protection locked="0"/>
    </xf>
    <xf numFmtId="0" fontId="89" fillId="0" borderId="0" xfId="0" applyFont="1"/>
    <xf numFmtId="0" fontId="90"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66"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7" xfId="0" applyNumberFormat="1" applyFont="1" applyFill="1" applyBorder="1" applyAlignment="1">
      <alignment horizontal="center" vertical="center"/>
    </xf>
    <xf numFmtId="166" fontId="3" fillId="3" borderId="2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lignment horizontal="center"/>
    </xf>
    <xf numFmtId="0" fontId="86"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1" fillId="27" borderId="81" xfId="0" applyFont="1" applyFill="1" applyBorder="1" applyAlignment="1" applyProtection="1">
      <alignment horizontal="center"/>
    </xf>
    <xf numFmtId="0" fontId="86" fillId="0" borderId="56" xfId="0" applyFont="1" applyBorder="1" applyAlignment="1" applyProtection="1">
      <alignment horizontal="center"/>
    </xf>
    <xf numFmtId="0" fontId="0" fillId="0" borderId="60" xfId="0" applyBorder="1" applyAlignment="1" applyProtection="1">
      <alignment horizontal="center"/>
    </xf>
    <xf numFmtId="0" fontId="0" fillId="0" borderId="57" xfId="0"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223">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dxf>
    <dxf>
      <font>
        <color rgb="FF9C0006"/>
      </font>
      <fill>
        <patternFill>
          <bgColor rgb="FFFFC7CE"/>
        </patternFill>
      </fill>
    </dxf>
    <dxf>
      <numFmt numFmtId="14" formatCode="0.00%"/>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strike/>
      </font>
    </dxf>
    <dxf>
      <fill>
        <patternFill>
          <bgColor theme="0" tint="-0.24994659260841701"/>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1.xml"/><Relationship Id="rId40" Type="http://schemas.openxmlformats.org/officeDocument/2006/relationships/styles" Target="styles.xml"/><Relationship Id="rId45"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sharedStrings" Target="sharedString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22</xdr:row>
      <xdr:rowOff>129887</xdr:rowOff>
    </xdr:from>
    <xdr:to>
      <xdr:col>4</xdr:col>
      <xdr:colOff>8660</xdr:colOff>
      <xdr:row>24</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7.bin"/><Relationship Id="rId4" Type="http://schemas.openxmlformats.org/officeDocument/2006/relationships/comments" Target="../comments6.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154" t="s">
        <v>780</v>
      </c>
      <c r="B1" s="1154"/>
      <c r="C1" s="1154"/>
      <c r="D1" s="1154"/>
      <c r="E1" s="1154"/>
    </row>
    <row r="2" spans="1:5" x14ac:dyDescent="0.25">
      <c r="A2" s="1154" t="s">
        <v>781</v>
      </c>
      <c r="B2" s="1154"/>
      <c r="C2" s="1154"/>
      <c r="D2" s="1154"/>
      <c r="E2" s="1154"/>
    </row>
    <row r="3" spans="1:5" x14ac:dyDescent="0.25">
      <c r="A3" s="77"/>
    </row>
    <row r="4" spans="1:5" ht="78" customHeight="1" x14ac:dyDescent="0.25">
      <c r="A4" s="1175" t="s">
        <v>782</v>
      </c>
      <c r="B4" s="1175"/>
      <c r="C4" s="1175"/>
      <c r="D4" s="1175"/>
      <c r="E4" s="1175"/>
    </row>
    <row r="5" spans="1:5" x14ac:dyDescent="0.25">
      <c r="A5" s="77"/>
    </row>
    <row r="6" spans="1:5" ht="31.5" customHeight="1" x14ac:dyDescent="0.25">
      <c r="A6" s="1174" t="s">
        <v>783</v>
      </c>
      <c r="B6" s="1174"/>
      <c r="C6" s="1174"/>
      <c r="D6" s="1174"/>
      <c r="E6" s="1174"/>
    </row>
    <row r="7" spans="1:5" ht="15.75" thickBot="1" x14ac:dyDescent="0.3">
      <c r="A7" s="78"/>
    </row>
    <row r="8" spans="1:5" ht="15" customHeight="1" x14ac:dyDescent="0.25">
      <c r="A8" s="1168" t="s">
        <v>784</v>
      </c>
      <c r="B8" s="1169"/>
      <c r="C8" s="1169"/>
      <c r="D8" s="1169"/>
      <c r="E8" s="1170"/>
    </row>
    <row r="9" spans="1:5" ht="15" customHeight="1" thickBot="1" x14ac:dyDescent="0.3">
      <c r="A9" s="1171" t="s">
        <v>785</v>
      </c>
      <c r="B9" s="1172"/>
      <c r="C9" s="1172"/>
      <c r="D9" s="1172"/>
      <c r="E9" s="1173"/>
    </row>
    <row r="10" spans="1:5" x14ac:dyDescent="0.25">
      <c r="A10" s="79"/>
      <c r="B10" s="1165"/>
      <c r="C10" s="1165"/>
      <c r="D10" s="83"/>
    </row>
    <row r="11" spans="1:5" ht="31.5" customHeight="1" thickBot="1" x14ac:dyDescent="0.3">
      <c r="A11" s="81" t="s">
        <v>786</v>
      </c>
      <c r="B11" s="1166" t="s">
        <v>787</v>
      </c>
      <c r="C11" s="1166"/>
      <c r="D11" s="83">
        <f>Welcome!$D$4</f>
        <v>0</v>
      </c>
    </row>
    <row r="12" spans="1:5" ht="15.75" thickBot="1" x14ac:dyDescent="0.3">
      <c r="A12" s="81" t="s">
        <v>788</v>
      </c>
      <c r="B12" s="1167">
        <f>'MDA Worksheet'!$R$18</f>
        <v>0</v>
      </c>
      <c r="C12" s="1167"/>
      <c r="D12" s="79"/>
    </row>
    <row r="13" spans="1:5" x14ac:dyDescent="0.25">
      <c r="A13" s="81"/>
      <c r="B13" s="79"/>
      <c r="C13" s="80"/>
      <c r="D13" s="79"/>
    </row>
    <row r="14" spans="1:5" ht="30.75" thickBot="1" x14ac:dyDescent="0.3">
      <c r="A14" s="81" t="s">
        <v>789</v>
      </c>
      <c r="B14" s="138">
        <f>'MDA Worksheet'!$R$24</f>
        <v>0</v>
      </c>
      <c r="C14" s="79" t="s">
        <v>790</v>
      </c>
      <c r="D14" s="139" t="str">
        <f>Welcome!$D$14&amp;" Years"</f>
        <v>Select Term Years</v>
      </c>
    </row>
    <row r="15" spans="1:5" ht="15.75" thickBot="1" x14ac:dyDescent="0.3">
      <c r="A15" s="81" t="s">
        <v>791</v>
      </c>
      <c r="B15" s="126">
        <f>'MDA Worksheet'!$R$24</f>
        <v>0</v>
      </c>
      <c r="C15" s="79" t="s">
        <v>792</v>
      </c>
      <c r="D15" s="126" t="e">
        <f>'MDA Worksheet'!$AV$24</f>
        <v>#VALUE!</v>
      </c>
    </row>
    <row r="16" spans="1:5" x14ac:dyDescent="0.25">
      <c r="A16" s="79"/>
      <c r="B16" s="122"/>
      <c r="C16" s="79"/>
      <c r="D16" s="122"/>
    </row>
    <row r="17" spans="1:5" ht="15.75" thickBot="1" x14ac:dyDescent="0.3">
      <c r="A17" s="81" t="s">
        <v>793</v>
      </c>
      <c r="B17" s="1164"/>
      <c r="C17" s="1164"/>
      <c r="D17" s="1164"/>
      <c r="E17" s="1164"/>
    </row>
    <row r="18" spans="1:5" x14ac:dyDescent="0.25">
      <c r="A18" s="79"/>
      <c r="B18" s="122"/>
      <c r="C18" s="79"/>
      <c r="D18" s="122"/>
    </row>
    <row r="19" spans="1:5" ht="15.75" thickBot="1" x14ac:dyDescent="0.3">
      <c r="A19" s="81" t="s">
        <v>865</v>
      </c>
      <c r="B19" s="1164">
        <f>Welcome!$D$10</f>
        <v>0</v>
      </c>
      <c r="C19" s="1164"/>
      <c r="D19" s="1164"/>
      <c r="E19" s="1164"/>
    </row>
    <row r="20" spans="1:5" x14ac:dyDescent="0.25">
      <c r="A20" s="81"/>
      <c r="B20" s="122"/>
      <c r="C20" s="79"/>
      <c r="D20" s="122"/>
    </row>
    <row r="21" spans="1:5" x14ac:dyDescent="0.25">
      <c r="A21" s="125"/>
      <c r="B21" s="125"/>
      <c r="C21" s="125"/>
      <c r="D21" s="125"/>
      <c r="E21" s="44"/>
    </row>
    <row r="22" spans="1:5" x14ac:dyDescent="0.25">
      <c r="A22" s="7"/>
      <c r="B22" s="6" t="s">
        <v>234</v>
      </c>
      <c r="C22" s="38"/>
      <c r="D22" s="130" t="s">
        <v>372</v>
      </c>
      <c r="E22" s="44"/>
    </row>
    <row r="23" spans="1:5" x14ac:dyDescent="0.25">
      <c r="A23" s="8" t="s">
        <v>706</v>
      </c>
      <c r="B23" s="12">
        <f>'Tracking &amp; Profitability'!$E$12</f>
        <v>0</v>
      </c>
      <c r="C23" s="129"/>
      <c r="D23" s="68"/>
      <c r="E23" s="44"/>
    </row>
    <row r="24" spans="1:5" x14ac:dyDescent="0.25">
      <c r="A24" s="8" t="s">
        <v>498</v>
      </c>
      <c r="B24" s="12">
        <f>IFERROR('Tracking &amp; Profitability'!$E$13,0)</f>
        <v>0</v>
      </c>
      <c r="C24" s="39"/>
      <c r="D24" s="134">
        <f>IFERROR($B$24/'PIM Model'!$H$31,0)</f>
        <v>0</v>
      </c>
      <c r="E24" s="44"/>
    </row>
    <row r="25" spans="1:5" x14ac:dyDescent="0.25">
      <c r="A25" s="16" t="s">
        <v>225</v>
      </c>
      <c r="B25" s="12">
        <f>IFERROR(Incentives!$M$94*-1,0)</f>
        <v>0</v>
      </c>
      <c r="C25" s="131"/>
      <c r="D25" s="134">
        <f>IFERROR($B$25/'PIM Model'!$H$31,0)</f>
        <v>0</v>
      </c>
      <c r="E25" s="44"/>
    </row>
    <row r="26" spans="1:5" s="863" customFormat="1" x14ac:dyDescent="0.25">
      <c r="A26" s="16" t="s">
        <v>227</v>
      </c>
      <c r="B26" s="12">
        <f>IFERROR('Tracking &amp; Profitability'!$E$17,0)</f>
        <v>0</v>
      </c>
      <c r="C26" s="131"/>
      <c r="D26" s="134">
        <f>IFERROR(#REF!/'PIM Model'!$H$31,0)</f>
        <v>0</v>
      </c>
      <c r="E26" s="44"/>
    </row>
    <row r="27" spans="1:5" x14ac:dyDescent="0.25">
      <c r="A27" s="8" t="s">
        <v>226</v>
      </c>
      <c r="B27" s="12">
        <f>B24+B25+B26</f>
        <v>0</v>
      </c>
      <c r="C27" s="39"/>
      <c r="D27" s="134">
        <f>IFERROR($B$27/'PIM Model'!$H$31,0)</f>
        <v>0</v>
      </c>
      <c r="E27" s="44"/>
    </row>
    <row r="28" spans="1:5" x14ac:dyDescent="0.25">
      <c r="A28" s="44"/>
      <c r="B28" s="44"/>
      <c r="C28" s="44"/>
      <c r="D28" s="135"/>
      <c r="E28" s="44"/>
    </row>
    <row r="29" spans="1:5" x14ac:dyDescent="0.25">
      <c r="A29" s="16" t="s">
        <v>864</v>
      </c>
      <c r="B29" s="13">
        <f>IFERROR('Variable Costs &amp; Income'!$E$19*-1,0)</f>
        <v>0</v>
      </c>
      <c r="C29" s="40"/>
      <c r="D29" s="134">
        <f>IFERROR($B$29/'PIM Model'!$H$31,0)</f>
        <v>0</v>
      </c>
      <c r="E29" s="44"/>
    </row>
    <row r="30" spans="1:5" x14ac:dyDescent="0.25">
      <c r="A30" s="17" t="s">
        <v>224</v>
      </c>
      <c r="B30" s="12">
        <f>IFERROR('Variable Costs &amp; Income'!$E$29,0)</f>
        <v>0</v>
      </c>
      <c r="C30" s="39"/>
      <c r="D30" s="134">
        <f>IFERROR($B$30/'PIM Model'!$H$31,0)</f>
        <v>0</v>
      </c>
      <c r="E30" s="44"/>
    </row>
    <row r="31" spans="1:5" x14ac:dyDescent="0.25">
      <c r="A31" s="17" t="s">
        <v>223</v>
      </c>
      <c r="B31" s="12">
        <f>'Variable Costs &amp; Income'!$E$30</f>
        <v>0</v>
      </c>
      <c r="C31" s="39"/>
      <c r="D31" s="134">
        <f>IFERROR($B$31/'PIM Model'!$H$31,0)</f>
        <v>0</v>
      </c>
      <c r="E31" s="44"/>
    </row>
    <row r="32" spans="1:5" x14ac:dyDescent="0.25">
      <c r="A32" s="123"/>
      <c r="B32" s="123"/>
      <c r="C32" s="37"/>
      <c r="D32" s="136"/>
      <c r="E32" s="44"/>
    </row>
    <row r="33" spans="1:5" x14ac:dyDescent="0.25">
      <c r="A33" s="8" t="s">
        <v>210</v>
      </c>
      <c r="B33" s="12">
        <f>IFERROR(B27+B29+B30+B31,"")</f>
        <v>0</v>
      </c>
      <c r="C33" s="39"/>
      <c r="D33" s="134">
        <f>IFERROR($B$33/'PIM Model'!$H$31,0)</f>
        <v>0</v>
      </c>
      <c r="E33" s="44"/>
    </row>
    <row r="34" spans="1:5" x14ac:dyDescent="0.25">
      <c r="A34" s="8" t="s">
        <v>866</v>
      </c>
      <c r="B34" s="12">
        <f>IFERROR($B$33/('Tracking &amp; Profitability'!E7*52),0)</f>
        <v>0</v>
      </c>
      <c r="C34" s="44"/>
      <c r="D34" s="44"/>
      <c r="E34" s="44"/>
    </row>
    <row r="35" spans="1:5" x14ac:dyDescent="0.25">
      <c r="A35" s="8" t="s">
        <v>902</v>
      </c>
      <c r="B35" s="137">
        <f>IFERROR(B33/B23,0)</f>
        <v>0</v>
      </c>
      <c r="C35" s="44"/>
      <c r="D35" s="44"/>
      <c r="E35" s="44"/>
    </row>
    <row r="36" spans="1:5" x14ac:dyDescent="0.25">
      <c r="A36" s="124"/>
      <c r="B36" s="44"/>
      <c r="C36" s="44"/>
      <c r="D36" s="128"/>
      <c r="E36" s="44"/>
    </row>
    <row r="37" spans="1:5" x14ac:dyDescent="0.25">
      <c r="A37" s="8" t="s">
        <v>794</v>
      </c>
      <c r="B37" s="12">
        <f>Incentives!$K$66</f>
        <v>0</v>
      </c>
      <c r="C37" s="44"/>
      <c r="D37" s="44"/>
      <c r="E37" s="44"/>
    </row>
    <row r="38" spans="1:5" x14ac:dyDescent="0.25">
      <c r="A38" s="8" t="s">
        <v>795</v>
      </c>
      <c r="B38" s="12">
        <f>SUM(Incentives!M94-Incentives!M75-Incentives!M66)</f>
        <v>0</v>
      </c>
      <c r="C38" s="44"/>
      <c r="D38" s="44"/>
      <c r="E38" s="44"/>
    </row>
    <row r="39" spans="1:5" x14ac:dyDescent="0.25">
      <c r="A39" s="8" t="s">
        <v>471</v>
      </c>
      <c r="B39" s="127">
        <f>'Tracking &amp; Profitability'!$E$8</f>
        <v>0</v>
      </c>
      <c r="C39" s="44"/>
      <c r="D39" s="44"/>
      <c r="E39" s="44"/>
    </row>
    <row r="40" spans="1:5" x14ac:dyDescent="0.25">
      <c r="A40" s="124"/>
      <c r="B40" s="44"/>
      <c r="C40" s="44"/>
      <c r="D40" s="44"/>
      <c r="E40" s="44"/>
    </row>
    <row r="41" spans="1:5" s="914" customFormat="1" ht="15.75" thickBot="1" x14ac:dyDescent="0.3">
      <c r="A41" s="972"/>
    </row>
    <row r="42" spans="1:5" s="914" customFormat="1" ht="15.75" thickBot="1" x14ac:dyDescent="0.3">
      <c r="A42" s="1176" t="s">
        <v>1291</v>
      </c>
      <c r="B42" s="1177"/>
      <c r="C42" s="1177"/>
      <c r="D42" s="1177"/>
      <c r="E42" s="1178"/>
    </row>
    <row r="43" spans="1:5" s="914" customFormat="1" x14ac:dyDescent="0.25">
      <c r="A43" s="1185"/>
      <c r="B43" s="1186"/>
      <c r="C43" s="1186"/>
      <c r="D43" s="1186"/>
      <c r="E43" s="1187"/>
    </row>
    <row r="44" spans="1:5" s="914" customFormat="1" ht="15.75" thickBot="1" x14ac:dyDescent="0.3">
      <c r="A44" s="1188"/>
      <c r="B44" s="1189"/>
      <c r="C44" s="1189"/>
      <c r="D44" s="1189"/>
      <c r="E44" s="1190"/>
    </row>
    <row r="45" spans="1:5" s="914" customFormat="1" ht="15.75" thickBot="1" x14ac:dyDescent="0.3">
      <c r="A45" s="972"/>
    </row>
    <row r="46" spans="1:5" s="914" customFormat="1" ht="15.75" thickBot="1" x14ac:dyDescent="0.3">
      <c r="A46" s="1176" t="s">
        <v>1280</v>
      </c>
      <c r="B46" s="1177"/>
      <c r="C46" s="1177"/>
      <c r="D46" s="1177"/>
      <c r="E46" s="1178"/>
    </row>
    <row r="47" spans="1:5" s="914" customFormat="1" ht="15.75" x14ac:dyDescent="0.25">
      <c r="A47" s="973" t="s">
        <v>1281</v>
      </c>
      <c r="B47" s="974"/>
      <c r="C47" s="985" t="s">
        <v>1282</v>
      </c>
      <c r="D47" s="975"/>
      <c r="E47" s="976"/>
    </row>
    <row r="48" spans="1:5" s="914" customFormat="1" ht="15" customHeight="1" x14ac:dyDescent="0.25">
      <c r="A48" s="973" t="s">
        <v>1283</v>
      </c>
      <c r="B48" s="974"/>
      <c r="C48" s="986"/>
      <c r="D48" s="979" t="s">
        <v>1284</v>
      </c>
      <c r="E48" s="987"/>
    </row>
    <row r="49" spans="1:5" s="914" customFormat="1" ht="15.75" x14ac:dyDescent="0.25">
      <c r="A49" s="973" t="s">
        <v>1285</v>
      </c>
      <c r="B49" s="974"/>
      <c r="C49" s="986"/>
      <c r="D49" s="975" t="s">
        <v>1286</v>
      </c>
      <c r="E49" s="987"/>
    </row>
    <row r="50" spans="1:5" s="914" customFormat="1" ht="15.75" x14ac:dyDescent="0.25">
      <c r="A50" s="973" t="s">
        <v>1287</v>
      </c>
      <c r="B50" s="974"/>
      <c r="C50" s="986"/>
      <c r="D50" s="975"/>
      <c r="E50" s="976"/>
    </row>
    <row r="51" spans="1:5" s="914" customFormat="1" ht="15.75" x14ac:dyDescent="0.25">
      <c r="A51" s="973" t="s">
        <v>1288</v>
      </c>
      <c r="B51" s="974"/>
      <c r="C51" s="986"/>
      <c r="D51" s="975" t="s">
        <v>1289</v>
      </c>
      <c r="E51" s="987"/>
    </row>
    <row r="52" spans="1:5" s="914" customFormat="1" ht="15.75" x14ac:dyDescent="0.25">
      <c r="A52" s="973" t="s">
        <v>1290</v>
      </c>
      <c r="B52" s="974"/>
      <c r="C52" s="977"/>
      <c r="D52" s="974"/>
      <c r="E52" s="978"/>
    </row>
    <row r="53" spans="1:5" s="914" customFormat="1" x14ac:dyDescent="0.25">
      <c r="A53" s="1179"/>
      <c r="B53" s="1180"/>
      <c r="C53" s="1180"/>
      <c r="D53" s="1180"/>
      <c r="E53" s="1181"/>
    </row>
    <row r="54" spans="1:5" s="914" customFormat="1" ht="15.75" thickBot="1" x14ac:dyDescent="0.3">
      <c r="A54" s="1182"/>
      <c r="B54" s="1183"/>
      <c r="C54" s="1183"/>
      <c r="D54" s="1183"/>
      <c r="E54" s="1184"/>
    </row>
    <row r="55" spans="1:5" ht="15.75" thickBot="1" x14ac:dyDescent="0.3">
      <c r="A55" s="972"/>
      <c r="B55" s="914"/>
      <c r="C55" s="914"/>
      <c r="D55" s="914"/>
      <c r="E55" s="914"/>
    </row>
    <row r="56" spans="1:5" ht="30.75" customHeight="1" thickBot="1" x14ac:dyDescent="0.3">
      <c r="A56" s="1155" t="s">
        <v>796</v>
      </c>
      <c r="B56" s="1156"/>
      <c r="C56" s="1156"/>
      <c r="D56" s="1156"/>
      <c r="E56" s="1157"/>
    </row>
    <row r="57" spans="1:5" ht="15" customHeight="1" x14ac:dyDescent="0.25">
      <c r="A57" s="82"/>
      <c r="B57" s="83"/>
      <c r="C57" s="83"/>
      <c r="D57" s="83"/>
    </row>
    <row r="58" spans="1:5" ht="30.95" customHeight="1" thickBot="1" x14ac:dyDescent="0.3">
      <c r="A58" s="84" t="s">
        <v>797</v>
      </c>
      <c r="B58" s="308"/>
      <c r="C58" s="85" t="s">
        <v>798</v>
      </c>
      <c r="D58" s="308"/>
    </row>
    <row r="59" spans="1:5" ht="30.95" customHeight="1" thickBot="1" x14ac:dyDescent="0.3">
      <c r="A59" s="86" t="s">
        <v>799</v>
      </c>
      <c r="B59" s="308"/>
      <c r="C59" s="85" t="s">
        <v>800</v>
      </c>
      <c r="D59" s="309" t="s">
        <v>801</v>
      </c>
    </row>
    <row r="60" spans="1:5" ht="30.95" customHeight="1" thickBot="1" x14ac:dyDescent="0.3">
      <c r="A60" s="84" t="s">
        <v>802</v>
      </c>
      <c r="B60" s="308"/>
      <c r="C60" s="85" t="s">
        <v>798</v>
      </c>
      <c r="D60" s="309"/>
    </row>
    <row r="61" spans="1:5" ht="30.6" customHeight="1" thickBot="1" x14ac:dyDescent="0.3">
      <c r="A61" s="86" t="s">
        <v>799</v>
      </c>
      <c r="B61" s="308"/>
      <c r="C61" s="85" t="s">
        <v>800</v>
      </c>
      <c r="D61" s="309" t="s">
        <v>803</v>
      </c>
    </row>
    <row r="62" spans="1:5" ht="30.75" customHeight="1" thickBot="1" x14ac:dyDescent="0.3">
      <c r="A62" s="84" t="s">
        <v>804</v>
      </c>
      <c r="B62" s="308"/>
      <c r="C62" s="85" t="s">
        <v>798</v>
      </c>
      <c r="D62" s="308"/>
    </row>
    <row r="63" spans="1:5" ht="30.75" customHeight="1" thickBot="1" x14ac:dyDescent="0.3">
      <c r="A63" s="86" t="s">
        <v>799</v>
      </c>
      <c r="B63" s="309"/>
      <c r="C63" s="85" t="s">
        <v>800</v>
      </c>
      <c r="D63" s="309" t="s">
        <v>805</v>
      </c>
    </row>
    <row r="64" spans="1:5" ht="30.75" customHeight="1" thickBot="1" x14ac:dyDescent="0.3">
      <c r="A64" s="84" t="s">
        <v>806</v>
      </c>
      <c r="B64" s="309"/>
      <c r="C64" s="85" t="s">
        <v>798</v>
      </c>
      <c r="D64" s="309"/>
    </row>
    <row r="65" spans="1:5" ht="30.95" customHeight="1" thickBot="1" x14ac:dyDescent="0.3">
      <c r="A65" s="86" t="s">
        <v>799</v>
      </c>
      <c r="B65" s="309"/>
      <c r="C65" s="85" t="s">
        <v>800</v>
      </c>
      <c r="D65" s="309" t="s">
        <v>807</v>
      </c>
    </row>
    <row r="66" spans="1:5" ht="15.75" thickBot="1" x14ac:dyDescent="0.3">
      <c r="A66" s="5"/>
    </row>
    <row r="67" spans="1:5" ht="15.75" thickBot="1" x14ac:dyDescent="0.3">
      <c r="A67" s="1158" t="s">
        <v>808</v>
      </c>
      <c r="B67" s="1159"/>
      <c r="C67" s="1159"/>
      <c r="D67" s="1159"/>
      <c r="E67" s="1160"/>
    </row>
    <row r="68" spans="1:5" x14ac:dyDescent="0.25">
      <c r="A68" s="82"/>
      <c r="B68" s="83"/>
      <c r="C68" s="83"/>
      <c r="D68" s="83"/>
    </row>
    <row r="69" spans="1:5" ht="30.95" customHeight="1" thickBot="1" x14ac:dyDescent="0.3">
      <c r="A69" s="84" t="s">
        <v>797</v>
      </c>
      <c r="B69" s="308"/>
      <c r="C69" s="85" t="s">
        <v>798</v>
      </c>
      <c r="D69" s="308"/>
    </row>
    <row r="70" spans="1:5" ht="30.95" customHeight="1" thickBot="1" x14ac:dyDescent="0.3">
      <c r="A70" s="86" t="s">
        <v>799</v>
      </c>
      <c r="B70" s="308"/>
      <c r="C70" s="85" t="s">
        <v>800</v>
      </c>
      <c r="D70" s="309" t="s">
        <v>809</v>
      </c>
    </row>
    <row r="71" spans="1:5" ht="30.95" customHeight="1" thickBot="1" x14ac:dyDescent="0.3">
      <c r="A71" s="84" t="s">
        <v>802</v>
      </c>
      <c r="B71" s="308"/>
      <c r="C71" s="85" t="s">
        <v>798</v>
      </c>
      <c r="D71" s="308"/>
    </row>
    <row r="72" spans="1:5" ht="30.95" customHeight="1" thickBot="1" x14ac:dyDescent="0.3">
      <c r="A72" s="86" t="s">
        <v>799</v>
      </c>
      <c r="B72" s="309"/>
      <c r="C72" s="85" t="s">
        <v>800</v>
      </c>
      <c r="D72" s="309" t="s">
        <v>810</v>
      </c>
    </row>
    <row r="73" spans="1:5" ht="15.75" thickBot="1" x14ac:dyDescent="0.3"/>
    <row r="74" spans="1:5" ht="15.75" thickBot="1" x14ac:dyDescent="0.3">
      <c r="A74" s="1191" t="s">
        <v>1292</v>
      </c>
      <c r="B74" s="1192"/>
      <c r="C74" s="1192"/>
      <c r="D74" s="1192"/>
      <c r="E74" s="1193"/>
    </row>
    <row r="75" spans="1:5" ht="30.95" customHeight="1" thickBot="1" x14ac:dyDescent="0.3">
      <c r="A75" s="983" t="s">
        <v>812</v>
      </c>
      <c r="B75" s="308"/>
      <c r="C75" s="980" t="s">
        <v>798</v>
      </c>
      <c r="D75" s="308"/>
    </row>
    <row r="76" spans="1:5" ht="30.95" customHeight="1" thickBot="1" x14ac:dyDescent="0.3">
      <c r="A76" s="983" t="s">
        <v>1293</v>
      </c>
      <c r="B76" s="308"/>
      <c r="C76" s="980" t="s">
        <v>800</v>
      </c>
      <c r="D76" s="984" t="s">
        <v>1294</v>
      </c>
    </row>
    <row r="77" spans="1:5" ht="15" customHeight="1" thickBot="1" x14ac:dyDescent="0.3">
      <c r="A77" s="981"/>
      <c r="B77" s="981"/>
      <c r="C77" s="982"/>
      <c r="D77" s="982"/>
      <c r="E77" s="982"/>
    </row>
    <row r="78" spans="1:5" ht="15.75" thickBot="1" x14ac:dyDescent="0.3">
      <c r="A78" s="1161" t="s">
        <v>811</v>
      </c>
      <c r="B78" s="1162"/>
      <c r="C78" s="1162"/>
      <c r="D78" s="1162"/>
      <c r="E78" s="1163"/>
    </row>
    <row r="79" spans="1:5" x14ac:dyDescent="0.25">
      <c r="A79" s="82"/>
      <c r="B79" s="83"/>
      <c r="C79" s="83"/>
      <c r="D79" s="83"/>
    </row>
    <row r="80" spans="1:5" ht="30.95" customHeight="1" thickBot="1" x14ac:dyDescent="0.3">
      <c r="A80" s="84" t="s">
        <v>812</v>
      </c>
      <c r="B80" s="308"/>
      <c r="C80" s="85" t="s">
        <v>798</v>
      </c>
      <c r="D80" s="308"/>
    </row>
    <row r="81" spans="1:5" ht="30.95" customHeight="1" thickBot="1" x14ac:dyDescent="0.3">
      <c r="A81" s="87" t="s">
        <v>799</v>
      </c>
      <c r="B81" s="308"/>
      <c r="C81" s="85" t="s">
        <v>800</v>
      </c>
      <c r="D81" s="308"/>
    </row>
    <row r="82" spans="1:5" ht="15.75" thickBot="1" x14ac:dyDescent="0.3">
      <c r="A82" s="5"/>
    </row>
    <row r="83" spans="1:5" ht="15.75" thickBot="1" x14ac:dyDescent="0.3">
      <c r="A83" s="1161" t="s">
        <v>813</v>
      </c>
      <c r="B83" s="1162"/>
      <c r="C83" s="1162"/>
      <c r="D83" s="1162"/>
      <c r="E83" s="1163"/>
    </row>
    <row r="84" spans="1:5" x14ac:dyDescent="0.25">
      <c r="A84" s="82"/>
      <c r="B84" s="83"/>
      <c r="C84" s="83"/>
      <c r="D84" s="83"/>
    </row>
    <row r="85" spans="1:5" ht="30.95" customHeight="1" thickBot="1" x14ac:dyDescent="0.3">
      <c r="A85" s="84" t="s">
        <v>812</v>
      </c>
      <c r="B85" s="308"/>
      <c r="C85" s="85" t="s">
        <v>798</v>
      </c>
      <c r="D85" s="308"/>
    </row>
    <row r="86" spans="1:5" ht="30.95" customHeight="1" thickBot="1" x14ac:dyDescent="0.3">
      <c r="A86" s="87" t="s">
        <v>799</v>
      </c>
      <c r="B86" s="308"/>
      <c r="C86" s="85" t="s">
        <v>800</v>
      </c>
      <c r="D86" s="308"/>
    </row>
  </sheetData>
  <sheetProtection algorithmName="SHA-512" hashValue="5Tt2riOF0i3d77D155qDg2kmBpzYjYKdKOfCwdgk7Ka44Hn6cSIfCjEFBDxAzTEppldOXgosaqdYZuiJcXTvfw==" saltValue="6UfQqmLw10AauGNP5uJf1w=="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222" priority="7">
      <formula>NOT(ISBLANK(C48))</formula>
    </cfRule>
  </conditionalFormatting>
  <conditionalFormatting sqref="E48">
    <cfRule type="expression" dxfId="221" priority="6">
      <formula>NOT(ISBLANK(E48))</formula>
    </cfRule>
  </conditionalFormatting>
  <conditionalFormatting sqref="E49">
    <cfRule type="expression" dxfId="220" priority="5">
      <formula>NOT(ISBLANK(E49))</formula>
    </cfRule>
  </conditionalFormatting>
  <conditionalFormatting sqref="E51">
    <cfRule type="expression" dxfId="219" priority="4">
      <formula>NOT(ISBLANK(E51))</formula>
    </cfRule>
  </conditionalFormatting>
  <conditionalFormatting sqref="C49">
    <cfRule type="expression" dxfId="218" priority="3">
      <formula>NOT(ISBLANK(C49))</formula>
    </cfRule>
  </conditionalFormatting>
  <conditionalFormatting sqref="C50">
    <cfRule type="expression" dxfId="217" priority="2">
      <formula>NOT(ISBLANK(C50))</formula>
    </cfRule>
  </conditionalFormatting>
  <conditionalFormatting sqref="C51">
    <cfRule type="expression" dxfId="21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7"/>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1013" customWidth="1"/>
    <col min="6" max="6" width="14.7109375" style="1013" customWidth="1"/>
    <col min="7" max="7" width="13.140625" style="1013" customWidth="1"/>
    <col min="8" max="8" width="15.140625" style="101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c r="W1" s="140"/>
      <c r="X1" s="140"/>
      <c r="Y1" s="140"/>
      <c r="Z1" s="140" t="s">
        <v>1022</v>
      </c>
      <c r="AA1" s="140"/>
      <c r="AB1" s="140"/>
      <c r="AC1" s="140"/>
    </row>
    <row r="2" spans="1:29" ht="21" customHeight="1" x14ac:dyDescent="0.3">
      <c r="A2" s="147"/>
      <c r="B2" s="361"/>
      <c r="C2" s="384" t="s">
        <v>910</v>
      </c>
      <c r="D2" s="385"/>
      <c r="E2" s="385"/>
      <c r="F2" s="385"/>
      <c r="G2" s="385"/>
      <c r="H2" s="385"/>
      <c r="I2" s="386"/>
      <c r="J2" s="147"/>
      <c r="K2" s="140"/>
      <c r="L2" s="140"/>
      <c r="M2" s="140"/>
      <c r="N2" s="140"/>
      <c r="O2" s="140"/>
      <c r="P2" s="140"/>
      <c r="Q2" s="140"/>
      <c r="R2" s="140"/>
      <c r="S2" s="140"/>
      <c r="T2" s="140"/>
      <c r="U2" s="140"/>
      <c r="V2" s="140"/>
      <c r="W2" s="140"/>
      <c r="X2" s="140"/>
      <c r="Y2" s="140"/>
      <c r="Z2" s="140"/>
      <c r="AA2" s="140"/>
      <c r="AB2" s="140"/>
      <c r="AC2" s="140"/>
    </row>
    <row r="3" spans="1:29" ht="21.6" customHeight="1" x14ac:dyDescent="0.3">
      <c r="A3" s="147"/>
      <c r="B3" s="400"/>
      <c r="C3" s="1194" t="s">
        <v>1259</v>
      </c>
      <c r="D3" s="1195"/>
      <c r="E3" s="140"/>
      <c r="F3" s="140"/>
      <c r="G3" s="140"/>
      <c r="H3" s="140"/>
      <c r="I3" s="383"/>
      <c r="J3" s="147"/>
      <c r="K3" s="140"/>
      <c r="L3" s="140"/>
      <c r="M3" s="140"/>
      <c r="N3" s="140"/>
      <c r="O3" s="140"/>
      <c r="P3" s="140"/>
      <c r="Q3" s="140"/>
      <c r="R3" s="140"/>
      <c r="S3" s="140"/>
      <c r="T3" s="140"/>
      <c r="U3" s="140"/>
      <c r="V3" s="140"/>
      <c r="W3" s="140"/>
      <c r="X3" s="140"/>
      <c r="Y3" s="140"/>
      <c r="Z3" s="140"/>
      <c r="AA3" s="140"/>
      <c r="AB3" s="140"/>
      <c r="AC3" s="140"/>
    </row>
    <row r="4" spans="1:29" x14ac:dyDescent="0.25">
      <c r="A4" s="147"/>
      <c r="B4" s="401"/>
      <c r="C4" s="387" t="s">
        <v>903</v>
      </c>
      <c r="D4" s="544">
        <f>'Existing Customers'!$L$2</f>
        <v>0</v>
      </c>
      <c r="E4" s="147"/>
      <c r="F4" s="147"/>
      <c r="G4" s="147"/>
      <c r="H4" s="147"/>
      <c r="I4" s="383"/>
      <c r="J4" s="147"/>
      <c r="K4" s="140"/>
      <c r="L4" s="140"/>
      <c r="M4" s="140"/>
      <c r="N4" s="140"/>
      <c r="O4" s="140"/>
      <c r="P4" s="140"/>
      <c r="Q4" s="140"/>
      <c r="R4" s="140"/>
      <c r="S4" s="140"/>
      <c r="T4" s="140"/>
      <c r="U4" s="140"/>
      <c r="V4" s="140"/>
      <c r="W4" s="140"/>
      <c r="X4" s="140"/>
      <c r="Y4" s="140"/>
      <c r="Z4" s="140"/>
      <c r="AA4" s="140"/>
      <c r="AB4" s="140"/>
      <c r="AC4" s="140"/>
    </row>
    <row r="5" spans="1:29" ht="16.899999999999999" customHeight="1" x14ac:dyDescent="0.25">
      <c r="A5" s="147"/>
      <c r="B5" s="401"/>
      <c r="C5" s="147"/>
      <c r="D5" s="147"/>
      <c r="E5" s="147"/>
      <c r="F5" s="147"/>
      <c r="G5" s="147"/>
      <c r="H5" s="147"/>
      <c r="I5" s="383"/>
      <c r="J5" s="147"/>
      <c r="K5" s="140"/>
      <c r="L5" s="140"/>
      <c r="M5" s="140"/>
      <c r="N5" s="140"/>
      <c r="O5" s="140"/>
      <c r="P5" s="140"/>
      <c r="Q5" s="140"/>
      <c r="R5" s="140"/>
      <c r="S5" s="140"/>
      <c r="T5" s="140"/>
      <c r="U5" s="140"/>
      <c r="V5" s="140"/>
      <c r="W5" s="140"/>
      <c r="X5" s="140"/>
      <c r="Y5" s="140"/>
      <c r="Z5" s="140"/>
      <c r="AA5" s="140"/>
      <c r="AB5" s="140"/>
      <c r="AC5" s="140"/>
    </row>
    <row r="6" spans="1:29" s="1009" customFormat="1" ht="16.899999999999999" customHeight="1" x14ac:dyDescent="0.25">
      <c r="A6" s="147"/>
      <c r="B6" s="401"/>
      <c r="C6" s="387" t="s">
        <v>1305</v>
      </c>
      <c r="D6" s="1010" t="s">
        <v>1306</v>
      </c>
      <c r="E6" s="147"/>
      <c r="F6" s="147"/>
      <c r="G6" s="147"/>
      <c r="H6" s="147"/>
      <c r="I6" s="383"/>
      <c r="J6" s="147"/>
      <c r="K6" s="140"/>
      <c r="L6" s="140"/>
      <c r="M6" s="140"/>
      <c r="N6" s="140"/>
      <c r="O6" s="140"/>
      <c r="P6" s="140"/>
      <c r="Q6" s="140"/>
      <c r="R6" s="140"/>
      <c r="S6" s="140"/>
      <c r="T6" s="140"/>
      <c r="U6" s="140"/>
      <c r="V6" s="140"/>
      <c r="W6" s="140"/>
      <c r="X6" s="140"/>
      <c r="Y6" s="140"/>
      <c r="Z6" s="140"/>
      <c r="AA6" s="140"/>
      <c r="AB6" s="140"/>
      <c r="AC6" s="140"/>
    </row>
    <row r="7" spans="1:29" s="1009" customFormat="1" ht="16.899999999999999" customHeight="1" x14ac:dyDescent="0.25">
      <c r="A7" s="147"/>
      <c r="B7" s="401"/>
      <c r="C7" s="147"/>
      <c r="D7" s="147"/>
      <c r="E7" s="147"/>
      <c r="F7" s="147"/>
      <c r="G7" s="147"/>
      <c r="H7" s="147"/>
      <c r="I7" s="383"/>
      <c r="J7" s="147"/>
      <c r="K7" s="140"/>
      <c r="L7" s="140"/>
      <c r="M7" s="140"/>
      <c r="N7" s="140"/>
      <c r="O7" s="140"/>
      <c r="P7" s="140"/>
      <c r="Q7" s="140"/>
      <c r="R7" s="140"/>
      <c r="S7" s="140"/>
      <c r="T7" s="140"/>
      <c r="U7" s="140"/>
      <c r="V7" s="140"/>
      <c r="W7" s="140"/>
      <c r="X7" s="140"/>
      <c r="Y7" s="140"/>
      <c r="Z7" s="140"/>
      <c r="AA7" s="140"/>
      <c r="AB7" s="140"/>
      <c r="AC7" s="140"/>
    </row>
    <row r="8" spans="1:29" s="793" customFormat="1" x14ac:dyDescent="0.25">
      <c r="A8" s="147"/>
      <c r="B8" s="401"/>
      <c r="C8" s="387" t="s">
        <v>1004</v>
      </c>
      <c r="D8" s="388"/>
      <c r="E8" s="147"/>
      <c r="F8" s="147"/>
      <c r="G8" s="147"/>
      <c r="H8" s="147"/>
      <c r="I8" s="383"/>
      <c r="J8" s="147"/>
      <c r="K8" s="140"/>
      <c r="L8" s="140"/>
      <c r="M8" s="140"/>
      <c r="N8" s="140"/>
      <c r="O8" s="140"/>
      <c r="P8" s="140"/>
      <c r="Q8" s="140"/>
      <c r="R8" s="140"/>
      <c r="S8" s="140"/>
      <c r="T8" s="140"/>
      <c r="U8" s="140"/>
      <c r="V8" s="140"/>
      <c r="W8" s="140"/>
      <c r="X8" s="140"/>
      <c r="Y8" s="140"/>
      <c r="Z8" s="140"/>
      <c r="AA8" s="140"/>
      <c r="AB8" s="140"/>
      <c r="AC8" s="140"/>
    </row>
    <row r="9" spans="1:29" s="796" customFormat="1" ht="16.899999999999999" customHeight="1" x14ac:dyDescent="0.25">
      <c r="A9" s="147"/>
      <c r="B9" s="401"/>
      <c r="C9" s="147"/>
      <c r="D9" s="147"/>
      <c r="E9" s="147"/>
      <c r="F9" s="147"/>
      <c r="G9" s="147"/>
      <c r="H9" s="147"/>
      <c r="I9" s="383"/>
      <c r="J9" s="147"/>
      <c r="K9" s="140"/>
      <c r="L9" s="140"/>
      <c r="M9" s="140"/>
      <c r="N9" s="140"/>
      <c r="O9" s="140"/>
      <c r="P9" s="140"/>
      <c r="Q9" s="140"/>
      <c r="R9" s="140"/>
      <c r="S9" s="140"/>
      <c r="T9" s="140"/>
      <c r="U9" s="140"/>
      <c r="V9" s="140"/>
      <c r="W9" s="140"/>
      <c r="X9" s="140"/>
      <c r="Y9" s="140"/>
      <c r="Z9" s="140"/>
      <c r="AA9" s="140"/>
      <c r="AB9" s="140"/>
      <c r="AC9" s="140"/>
    </row>
    <row r="10" spans="1:29" x14ac:dyDescent="0.25">
      <c r="A10" s="147"/>
      <c r="B10" s="401"/>
      <c r="C10" s="387" t="s">
        <v>1307</v>
      </c>
      <c r="D10" s="388"/>
      <c r="E10" s="147"/>
      <c r="F10" s="147"/>
      <c r="G10" s="147"/>
      <c r="H10" s="147"/>
      <c r="I10" s="383"/>
      <c r="J10" s="147"/>
      <c r="K10" s="140"/>
      <c r="L10" s="140"/>
      <c r="M10" s="140"/>
      <c r="N10" s="140"/>
      <c r="O10" s="140"/>
      <c r="P10" s="140"/>
      <c r="Q10" s="140"/>
      <c r="R10" s="140"/>
      <c r="S10" s="140"/>
      <c r="T10" s="140"/>
      <c r="U10" s="140"/>
      <c r="V10" s="140"/>
      <c r="W10" s="140"/>
      <c r="X10" s="140"/>
      <c r="Y10" s="140"/>
      <c r="Z10" s="140"/>
      <c r="AA10" s="140"/>
      <c r="AB10" s="140"/>
      <c r="AC10" s="140"/>
    </row>
    <row r="11" spans="1:29" ht="16.899999999999999" customHeight="1" x14ac:dyDescent="0.25">
      <c r="A11" s="147"/>
      <c r="B11" s="401"/>
      <c r="C11" s="805"/>
      <c r="D11" s="805"/>
      <c r="E11" s="147"/>
      <c r="F11" s="147"/>
      <c r="G11" s="147"/>
      <c r="H11" s="147"/>
      <c r="I11" s="383"/>
      <c r="J11" s="147"/>
      <c r="K11" s="140"/>
      <c r="L11" s="140"/>
      <c r="M11" s="140"/>
      <c r="N11" s="140"/>
      <c r="O11" s="140"/>
      <c r="P11" s="140"/>
      <c r="Q11" s="140"/>
      <c r="R11" s="140"/>
      <c r="S11" s="140"/>
      <c r="T11" s="140"/>
      <c r="U11" s="140"/>
      <c r="V11" s="140"/>
      <c r="W11" s="140"/>
      <c r="X11" s="140"/>
      <c r="Y11" s="140" t="s">
        <v>1217</v>
      </c>
      <c r="Z11" s="140">
        <f>D10</f>
        <v>0</v>
      </c>
      <c r="AA11" s="140"/>
      <c r="AB11" s="140"/>
      <c r="AC11" s="140"/>
    </row>
    <row r="12" spans="1:29" hidden="1" x14ac:dyDescent="0.25">
      <c r="A12" s="147"/>
      <c r="B12" s="401"/>
      <c r="C12" s="387" t="s">
        <v>1218</v>
      </c>
      <c r="D12" s="388" t="s">
        <v>672</v>
      </c>
      <c r="E12" s="147"/>
      <c r="F12" s="147"/>
      <c r="G12" s="147"/>
      <c r="H12" s="147"/>
      <c r="I12" s="383"/>
      <c r="J12" s="147"/>
      <c r="K12" s="140"/>
      <c r="L12" s="140"/>
      <c r="M12" s="140"/>
      <c r="N12" s="140"/>
      <c r="O12" s="140"/>
      <c r="P12" s="140"/>
      <c r="Q12" s="140"/>
      <c r="R12" s="140"/>
      <c r="S12" s="140"/>
      <c r="T12" s="140"/>
      <c r="U12" s="140"/>
      <c r="V12" s="140"/>
      <c r="W12" s="140"/>
      <c r="X12" s="140"/>
      <c r="Y12" s="140" t="s">
        <v>1216</v>
      </c>
      <c r="Z12" s="861" t="s">
        <v>213</v>
      </c>
      <c r="AA12" s="140"/>
      <c r="AB12" s="140"/>
      <c r="AC12" s="140"/>
    </row>
    <row r="13" spans="1:29" ht="16.899999999999999" hidden="1" customHeight="1" x14ac:dyDescent="0.25">
      <c r="A13" s="147"/>
      <c r="B13" s="401"/>
      <c r="C13" s="147"/>
      <c r="D13" s="147"/>
      <c r="E13" s="147"/>
      <c r="F13" s="147"/>
      <c r="G13" s="147"/>
      <c r="H13" s="147"/>
      <c r="I13" s="383"/>
      <c r="J13" s="147"/>
      <c r="K13" s="140"/>
      <c r="L13" s="140"/>
      <c r="M13" s="140"/>
      <c r="N13" s="140"/>
      <c r="O13" s="140"/>
      <c r="P13" s="140"/>
      <c r="Q13" s="140"/>
      <c r="R13" s="140"/>
      <c r="S13" s="140"/>
      <c r="T13" s="140"/>
      <c r="U13" s="140"/>
      <c r="V13" s="140"/>
      <c r="W13" s="140"/>
      <c r="X13" s="140"/>
      <c r="Y13" s="140">
        <v>1</v>
      </c>
      <c r="Z13" s="56" t="str">
        <f>IF(AND($Z$11="MDA",$D$12="No"),"",IF(AND($Z$11="MDA",$D$12="Yes"),Y13,IF(OR($Z$11="PON ONLY",$Z$11="MDA",$Z$11="CIA",$Z$11="PON with Existing CIA",$Z$11="PON with New CIA"),Y13,"")))</f>
        <v/>
      </c>
      <c r="AA13" s="140"/>
      <c r="AB13" s="140"/>
      <c r="AC13" s="140"/>
    </row>
    <row r="14" spans="1:29" x14ac:dyDescent="0.25">
      <c r="A14" s="147"/>
      <c r="B14" s="401"/>
      <c r="C14" s="387" t="s">
        <v>1308</v>
      </c>
      <c r="D14" s="1011" t="s">
        <v>213</v>
      </c>
      <c r="E14" s="147"/>
      <c r="F14" s="147"/>
      <c r="G14" s="147"/>
      <c r="H14" s="147"/>
      <c r="I14" s="383"/>
      <c r="J14" s="147"/>
      <c r="K14" s="140"/>
      <c r="L14" s="140"/>
      <c r="M14" s="140"/>
      <c r="N14" s="140"/>
      <c r="O14" s="140"/>
      <c r="P14" s="140"/>
      <c r="Q14" s="140"/>
      <c r="R14" s="140"/>
      <c r="S14" s="140"/>
      <c r="T14" s="140"/>
      <c r="U14" s="140"/>
      <c r="V14" s="140"/>
      <c r="W14" s="140"/>
      <c r="X14" s="140"/>
      <c r="Y14" s="140">
        <v>2</v>
      </c>
      <c r="Z14" s="56" t="str">
        <f>IF(OR($Z$11="PON ONLY",$Z$11="PON with Existing CIA"),"",IF($Z$11="MDA",Y14,IF($Z$11="CIA",Y14,IF($Z$11="PON with New CIA",Y14,""))))</f>
        <v/>
      </c>
      <c r="AA14" s="140"/>
      <c r="AB14" s="140"/>
      <c r="AC14" s="140"/>
    </row>
    <row r="15" spans="1:29" s="793" customFormat="1" x14ac:dyDescent="0.25">
      <c r="A15" s="147"/>
      <c r="B15" s="401"/>
      <c r="C15" s="389"/>
      <c r="D15" s="148"/>
      <c r="E15" s="147"/>
      <c r="F15" s="147"/>
      <c r="G15" s="147"/>
      <c r="H15" s="147"/>
      <c r="I15" s="383"/>
      <c r="J15" s="147"/>
      <c r="K15" s="140"/>
      <c r="L15" s="140"/>
      <c r="M15" s="140"/>
      <c r="N15" s="140"/>
      <c r="O15" s="140"/>
      <c r="P15" s="140"/>
      <c r="Q15" s="140"/>
      <c r="R15" s="140"/>
      <c r="S15" s="140"/>
      <c r="T15" s="140"/>
      <c r="U15" s="140"/>
      <c r="V15" s="140"/>
      <c r="W15" s="140"/>
      <c r="X15" s="140"/>
      <c r="Y15" s="140">
        <v>3</v>
      </c>
      <c r="Z15" s="56" t="str">
        <f>IF(OR($Z$11="PON ONLY",$Z$11="PON with Existing CIA"),"",IF($Z$11="MDA",Y15,IF($Z$11="CIA",Y15,IF($Z$11="PON with New CIA",Y15,""))))</f>
        <v/>
      </c>
      <c r="AA15" s="140"/>
      <c r="AB15" s="140"/>
      <c r="AC15" s="140"/>
    </row>
    <row r="16" spans="1:29" x14ac:dyDescent="0.25">
      <c r="A16" s="147"/>
      <c r="B16" s="401"/>
      <c r="C16" s="387" t="s">
        <v>379</v>
      </c>
      <c r="D16" s="388" t="s">
        <v>464</v>
      </c>
      <c r="E16" s="147"/>
      <c r="F16" s="147"/>
      <c r="G16" s="147"/>
      <c r="H16" s="147"/>
      <c r="I16" s="383"/>
      <c r="J16" s="147"/>
      <c r="K16" s="140"/>
      <c r="L16" s="140"/>
      <c r="M16" s="140"/>
      <c r="N16" s="140"/>
      <c r="O16" s="140"/>
      <c r="P16" s="140"/>
      <c r="Q16" s="140"/>
      <c r="R16" s="140"/>
      <c r="S16" s="140"/>
      <c r="T16" s="140"/>
      <c r="U16" s="140"/>
      <c r="V16" s="140"/>
      <c r="W16" s="140"/>
      <c r="X16" s="140"/>
      <c r="Y16" s="140">
        <v>4</v>
      </c>
      <c r="Z16" s="56" t="str">
        <f>IF(OR($Z$11="PON ONLY",$Z$11="PON with Existing CIA"),"",IF($Z$11="MDA",Y16,IF($Z$11="CIA",Y16,IF($Z$11="PON with New CIA",Y16,""))))</f>
        <v/>
      </c>
      <c r="AA16" s="140"/>
      <c r="AB16" s="140"/>
      <c r="AC16" s="140"/>
    </row>
    <row r="17" spans="1:29" ht="19.899999999999999" customHeight="1" x14ac:dyDescent="0.25">
      <c r="A17" s="147"/>
      <c r="B17" s="401"/>
      <c r="E17" s="147"/>
      <c r="F17" s="147"/>
      <c r="G17" s="147"/>
      <c r="H17" s="147"/>
      <c r="I17" s="383"/>
      <c r="J17" s="147"/>
      <c r="K17" s="140"/>
      <c r="L17" s="140"/>
      <c r="M17" s="140"/>
      <c r="N17" s="140"/>
      <c r="O17" s="140"/>
      <c r="P17" s="140"/>
      <c r="Q17" s="140"/>
      <c r="R17" s="140"/>
      <c r="S17" s="140"/>
      <c r="T17" s="140"/>
      <c r="U17" s="140"/>
      <c r="V17" s="140"/>
      <c r="W17" s="140"/>
      <c r="X17" s="140"/>
      <c r="Y17" s="140">
        <v>5</v>
      </c>
      <c r="Z17" s="56" t="str">
        <f>IF(OR($Z$11="PON ONLY",$Z$11="PON with Existing CIA"),"",IF($Z$11="MDA",Y17,IF($Z$11="CIA",Y17,IF($Z$11="PON with New CIA",Y17,""))))</f>
        <v/>
      </c>
      <c r="AA17" s="140"/>
      <c r="AB17" s="140"/>
      <c r="AC17" s="140"/>
    </row>
    <row r="18" spans="1:29" x14ac:dyDescent="0.25">
      <c r="A18" s="147"/>
      <c r="B18" s="401"/>
      <c r="C18" s="387" t="s">
        <v>1203</v>
      </c>
      <c r="D18" s="388"/>
      <c r="E18" s="147"/>
      <c r="F18" s="147"/>
      <c r="G18" s="147"/>
      <c r="H18" s="147"/>
      <c r="I18" s="383"/>
      <c r="J18" s="147"/>
      <c r="K18" s="140"/>
      <c r="L18" s="140"/>
      <c r="M18" s="140"/>
      <c r="N18" s="140"/>
      <c r="O18" s="140"/>
      <c r="P18" s="140"/>
      <c r="Q18" s="140"/>
      <c r="R18" s="140"/>
      <c r="S18" s="140"/>
      <c r="T18" s="140"/>
      <c r="U18" s="140"/>
      <c r="V18" s="140"/>
      <c r="W18" s="140"/>
      <c r="X18" s="140"/>
      <c r="Y18" s="140"/>
      <c r="Z18" s="140"/>
      <c r="AA18" s="140"/>
      <c r="AB18" s="140"/>
      <c r="AC18" s="140"/>
    </row>
    <row r="19" spans="1:29" s="1012" customFormat="1" x14ac:dyDescent="0.25">
      <c r="A19" s="147"/>
      <c r="B19" s="401"/>
      <c r="C19" s="140"/>
      <c r="D19" s="140"/>
      <c r="E19" s="147"/>
      <c r="F19" s="147"/>
      <c r="G19" s="147"/>
      <c r="H19" s="147"/>
      <c r="I19" s="383"/>
      <c r="J19" s="147"/>
      <c r="K19" s="140"/>
      <c r="L19" s="140"/>
      <c r="M19" s="140"/>
      <c r="N19" s="140"/>
      <c r="O19" s="140"/>
      <c r="P19" s="140"/>
      <c r="Q19" s="140"/>
      <c r="R19" s="140"/>
      <c r="S19" s="140"/>
      <c r="T19" s="140"/>
      <c r="U19" s="140"/>
      <c r="V19" s="140"/>
      <c r="W19" s="140"/>
      <c r="X19" s="140"/>
      <c r="Y19" s="140"/>
      <c r="Z19" s="140"/>
      <c r="AA19" s="140"/>
      <c r="AB19" s="140"/>
      <c r="AC19" s="140"/>
    </row>
    <row r="20" spans="1:29" s="1012" customFormat="1" hidden="1" x14ac:dyDescent="0.25">
      <c r="A20" s="147"/>
      <c r="B20" s="401"/>
      <c r="C20" s="387" t="s">
        <v>1309</v>
      </c>
      <c r="D20" s="388" t="s">
        <v>672</v>
      </c>
      <c r="E20" s="147"/>
      <c r="F20" s="147"/>
      <c r="G20" s="147"/>
      <c r="H20" s="147"/>
      <c r="I20" s="383"/>
      <c r="J20" s="147"/>
      <c r="K20" s="140"/>
      <c r="L20" s="140"/>
      <c r="M20" s="140"/>
      <c r="N20" s="140"/>
      <c r="O20" s="140"/>
      <c r="P20" s="140"/>
      <c r="Q20" s="140"/>
      <c r="R20" s="140"/>
      <c r="S20" s="140"/>
      <c r="T20" s="140"/>
      <c r="U20" s="140"/>
      <c r="V20" s="140"/>
      <c r="W20" s="140"/>
      <c r="X20" s="140"/>
      <c r="Y20" s="140"/>
      <c r="Z20" s="140"/>
      <c r="AA20" s="140"/>
      <c r="AB20" s="140"/>
      <c r="AC20" s="140"/>
    </row>
    <row r="21" spans="1:29" s="1012" customFormat="1" hidden="1" x14ac:dyDescent="0.25">
      <c r="A21" s="147"/>
      <c r="B21" s="401"/>
      <c r="C21" s="140"/>
      <c r="D21" s="140"/>
      <c r="E21" s="147"/>
      <c r="F21" s="147"/>
      <c r="G21" s="147"/>
      <c r="H21" s="147"/>
      <c r="I21" s="383"/>
      <c r="J21" s="147"/>
      <c r="K21" s="140"/>
      <c r="L21" s="140"/>
      <c r="M21" s="140"/>
      <c r="N21" s="140"/>
      <c r="O21" s="140"/>
      <c r="P21" s="140"/>
      <c r="Q21" s="140"/>
      <c r="R21" s="140"/>
      <c r="S21" s="140"/>
      <c r="T21" s="140"/>
      <c r="U21" s="140"/>
      <c r="V21" s="140"/>
      <c r="W21" s="140"/>
      <c r="X21" s="140"/>
      <c r="Y21" s="140"/>
      <c r="Z21" s="140"/>
      <c r="AA21" s="140"/>
      <c r="AB21" s="140"/>
      <c r="AC21" s="140"/>
    </row>
    <row r="22" spans="1:29" s="1012" customFormat="1" hidden="1" x14ac:dyDescent="0.25">
      <c r="A22" s="147"/>
      <c r="B22" s="401"/>
      <c r="C22" s="387" t="s">
        <v>1310</v>
      </c>
      <c r="D22" s="1014"/>
      <c r="E22" s="147"/>
      <c r="F22" s="147"/>
      <c r="G22" s="147"/>
      <c r="H22" s="147"/>
      <c r="I22" s="383"/>
      <c r="J22" s="147"/>
      <c r="K22" s="140"/>
      <c r="L22" s="140"/>
      <c r="M22" s="140"/>
      <c r="N22" s="140"/>
      <c r="O22" s="140"/>
      <c r="P22" s="140"/>
      <c r="Q22" s="140"/>
      <c r="R22" s="140"/>
      <c r="S22" s="140"/>
      <c r="T22" s="140"/>
      <c r="U22" s="140"/>
      <c r="V22" s="140"/>
      <c r="W22" s="140"/>
      <c r="X22" s="140"/>
      <c r="Y22" s="140"/>
      <c r="Z22" s="140"/>
      <c r="AA22" s="140"/>
      <c r="AB22" s="140"/>
      <c r="AC22" s="140"/>
    </row>
    <row r="23" spans="1:29" s="1013" customFormat="1" hidden="1" x14ac:dyDescent="0.25">
      <c r="A23" s="147"/>
      <c r="B23" s="401"/>
      <c r="C23" s="140"/>
      <c r="D23" s="140"/>
      <c r="E23" s="140"/>
      <c r="F23" s="140"/>
      <c r="G23" s="140"/>
      <c r="H23" s="140"/>
      <c r="I23" s="383"/>
      <c r="J23" s="147"/>
      <c r="K23" s="140"/>
      <c r="L23" s="140"/>
      <c r="M23" s="140"/>
      <c r="N23" s="140"/>
      <c r="O23" s="140"/>
      <c r="P23" s="140"/>
      <c r="Q23" s="140"/>
      <c r="R23" s="140"/>
      <c r="S23" s="140"/>
      <c r="T23" s="140"/>
      <c r="U23" s="140"/>
      <c r="V23" s="140"/>
      <c r="W23" s="140"/>
      <c r="X23" s="140"/>
      <c r="Y23" s="140"/>
      <c r="Z23" s="140"/>
      <c r="AA23" s="140"/>
      <c r="AB23" s="140"/>
      <c r="AC23" s="140"/>
    </row>
    <row r="24" spans="1:29" s="1013" customFormat="1" x14ac:dyDescent="0.25">
      <c r="A24" s="147"/>
      <c r="B24" s="401"/>
      <c r="C24" s="140"/>
      <c r="D24" s="140"/>
      <c r="E24" s="140"/>
      <c r="F24" s="140"/>
      <c r="G24" s="140"/>
      <c r="H24" s="140"/>
      <c r="I24" s="383"/>
      <c r="J24" s="147"/>
      <c r="K24" s="140"/>
      <c r="L24" s="140"/>
      <c r="M24" s="140"/>
      <c r="N24" s="140"/>
      <c r="O24" s="140"/>
      <c r="P24" s="140"/>
      <c r="Q24" s="140"/>
      <c r="R24" s="140"/>
      <c r="S24" s="140"/>
      <c r="T24" s="140"/>
      <c r="U24" s="140"/>
      <c r="V24" s="140"/>
      <c r="W24" s="140"/>
      <c r="X24" s="140"/>
      <c r="Y24" s="140"/>
      <c r="Z24" s="140"/>
      <c r="AA24" s="140"/>
      <c r="AB24" s="140"/>
      <c r="AC24" s="140"/>
    </row>
    <row r="25" spans="1:29" s="1013" customFormat="1" x14ac:dyDescent="0.25">
      <c r="A25" s="147"/>
      <c r="B25" s="401"/>
      <c r="C25" s="140"/>
      <c r="D25" s="140"/>
      <c r="E25" s="140"/>
      <c r="F25" s="140"/>
      <c r="G25" s="140"/>
      <c r="H25" s="140"/>
      <c r="I25" s="383"/>
      <c r="J25" s="147"/>
      <c r="K25" s="140"/>
      <c r="L25" s="140"/>
      <c r="M25" s="140"/>
      <c r="N25" s="140"/>
      <c r="O25" s="140"/>
      <c r="P25" s="140"/>
      <c r="Q25" s="140"/>
      <c r="R25" s="140"/>
      <c r="S25" s="140"/>
      <c r="T25" s="140"/>
      <c r="U25" s="140"/>
      <c r="V25" s="140"/>
      <c r="W25" s="140"/>
      <c r="X25" s="140"/>
      <c r="Y25" s="140"/>
      <c r="Z25" s="140"/>
      <c r="AA25" s="140"/>
      <c r="AB25" s="140"/>
      <c r="AC25" s="140"/>
    </row>
    <row r="26" spans="1:29" s="1013" customFormat="1" x14ac:dyDescent="0.25">
      <c r="A26" s="147"/>
      <c r="B26" s="401"/>
      <c r="C26" s="140"/>
      <c r="D26" s="140"/>
      <c r="E26" s="140"/>
      <c r="F26" s="140"/>
      <c r="G26" s="140"/>
      <c r="H26" s="140"/>
      <c r="I26" s="383"/>
      <c r="J26" s="147"/>
      <c r="K26" s="140"/>
      <c r="L26" s="140"/>
      <c r="M26" s="140"/>
      <c r="N26" s="140"/>
      <c r="O26" s="140"/>
      <c r="P26" s="140"/>
      <c r="Q26" s="140"/>
      <c r="R26" s="140"/>
      <c r="S26" s="140"/>
      <c r="T26" s="140"/>
      <c r="U26" s="140"/>
      <c r="V26" s="140"/>
      <c r="W26" s="140"/>
      <c r="X26" s="140"/>
      <c r="Y26" s="140"/>
      <c r="Z26" s="140"/>
      <c r="AA26" s="140"/>
      <c r="AB26" s="140"/>
      <c r="AC26" s="140"/>
    </row>
    <row r="27" spans="1:29" s="1013" customFormat="1" ht="29.25" hidden="1" customHeight="1" x14ac:dyDescent="0.25">
      <c r="A27" s="147"/>
      <c r="B27" s="401"/>
      <c r="C27" s="1015" t="s">
        <v>248</v>
      </c>
      <c r="D27" s="1018" t="s">
        <v>676</v>
      </c>
      <c r="E27" s="1018" t="s">
        <v>1311</v>
      </c>
      <c r="F27" s="1018" t="s">
        <v>1312</v>
      </c>
      <c r="G27" s="1017" t="s">
        <v>269</v>
      </c>
      <c r="H27" s="1016" t="s">
        <v>1313</v>
      </c>
      <c r="I27" s="383"/>
      <c r="J27" s="147"/>
      <c r="K27" s="140"/>
      <c r="L27" s="140"/>
      <c r="M27" s="140"/>
      <c r="N27" s="140"/>
      <c r="O27" s="140"/>
      <c r="P27" s="140"/>
      <c r="Q27" s="140"/>
      <c r="R27" s="140"/>
      <c r="S27" s="140"/>
      <c r="T27" s="140"/>
      <c r="U27" s="140"/>
      <c r="V27" s="140"/>
      <c r="W27" s="140"/>
      <c r="X27" s="140"/>
      <c r="Y27" s="140"/>
      <c r="Z27" s="140"/>
      <c r="AA27" s="140"/>
      <c r="AB27" s="140"/>
      <c r="AC27" s="140"/>
    </row>
    <row r="28" spans="1:29" s="1013" customFormat="1" ht="26.25" hidden="1" customHeight="1" thickBot="1" x14ac:dyDescent="0.3">
      <c r="A28" s="147"/>
      <c r="B28" s="401"/>
      <c r="C28" s="1019">
        <f>D4</f>
        <v>0</v>
      </c>
      <c r="D28" s="1020"/>
      <c r="E28" s="1020"/>
      <c r="F28" s="1021"/>
      <c r="G28" s="1023">
        <f>D28+E28+F28</f>
        <v>0</v>
      </c>
      <c r="H28" s="1022">
        <v>5</v>
      </c>
      <c r="I28" s="383"/>
      <c r="J28" s="147"/>
      <c r="K28" s="140"/>
      <c r="L28" s="140"/>
      <c r="M28" s="140"/>
      <c r="N28" s="140"/>
      <c r="O28" s="140"/>
      <c r="P28" s="140"/>
      <c r="Q28" s="140"/>
      <c r="R28" s="140"/>
      <c r="S28" s="140"/>
      <c r="T28" s="140"/>
      <c r="U28" s="140"/>
      <c r="V28" s="140"/>
      <c r="W28" s="140"/>
      <c r="X28" s="140"/>
      <c r="Y28" s="140"/>
      <c r="Z28" s="140"/>
      <c r="AA28" s="140"/>
      <c r="AB28" s="140"/>
      <c r="AC28" s="140"/>
    </row>
    <row r="29" spans="1:29" ht="19.899999999999999" customHeight="1" thickBot="1" x14ac:dyDescent="0.3">
      <c r="A29" s="147"/>
      <c r="B29" s="390"/>
      <c r="C29" s="402"/>
      <c r="D29" s="420"/>
      <c r="E29" s="420"/>
      <c r="F29" s="420"/>
      <c r="G29" s="420"/>
      <c r="H29" s="420"/>
      <c r="I29" s="391"/>
      <c r="J29" s="147"/>
      <c r="K29" s="140"/>
      <c r="L29" s="140"/>
      <c r="M29" s="140"/>
      <c r="N29" s="140"/>
      <c r="O29" s="140"/>
      <c r="P29" s="140"/>
      <c r="Q29" s="140"/>
      <c r="R29" s="140"/>
      <c r="S29" s="140"/>
      <c r="T29" s="140"/>
      <c r="U29" s="140"/>
      <c r="V29" s="140"/>
      <c r="W29" s="140"/>
      <c r="X29" s="140"/>
      <c r="Y29" s="140"/>
      <c r="Z29" s="140"/>
      <c r="AA29" s="140"/>
      <c r="AB29" s="140"/>
      <c r="AC29" s="140"/>
    </row>
    <row r="30" spans="1:29" ht="33" customHeight="1" thickBot="1" x14ac:dyDescent="0.3">
      <c r="A30" s="147"/>
      <c r="B30" s="147"/>
      <c r="C30" s="389"/>
      <c r="D30" s="148"/>
      <c r="E30" s="148"/>
      <c r="F30" s="148"/>
      <c r="G30" s="148"/>
      <c r="H30" s="148"/>
      <c r="I30" s="147"/>
      <c r="J30" s="147"/>
      <c r="K30" s="140"/>
      <c r="L30" s="140"/>
      <c r="M30" s="140"/>
      <c r="N30" s="140"/>
      <c r="O30" s="140"/>
      <c r="P30" s="140"/>
      <c r="Q30" s="140"/>
      <c r="R30" s="140"/>
      <c r="S30" s="140"/>
      <c r="T30" s="140"/>
      <c r="U30" s="140"/>
      <c r="V30" s="140"/>
      <c r="W30" s="140"/>
      <c r="X30" s="140"/>
      <c r="Y30" s="140"/>
      <c r="Z30" s="140"/>
      <c r="AA30" s="140"/>
      <c r="AB30" s="140"/>
      <c r="AC30" s="140"/>
    </row>
    <row r="31" spans="1:29" ht="19.899999999999999" customHeight="1" thickBot="1" x14ac:dyDescent="0.3">
      <c r="A31" s="147"/>
      <c r="B31" s="1205" t="s">
        <v>1314</v>
      </c>
      <c r="C31" s="1206"/>
      <c r="D31" s="1206"/>
      <c r="E31" s="1206"/>
      <c r="F31" s="1206"/>
      <c r="G31" s="1206"/>
      <c r="H31" s="1206"/>
      <c r="I31" s="1207"/>
      <c r="J31" s="147"/>
      <c r="K31" s="140"/>
      <c r="L31" s="140"/>
      <c r="M31" s="140"/>
      <c r="N31" s="140"/>
      <c r="O31" s="140"/>
      <c r="P31" s="140"/>
      <c r="Q31" s="140"/>
      <c r="R31" s="140"/>
      <c r="S31" s="140"/>
      <c r="T31" s="140"/>
      <c r="U31" s="140"/>
      <c r="V31" s="140"/>
      <c r="W31" s="140"/>
      <c r="X31" s="140"/>
      <c r="Y31" s="140"/>
      <c r="Z31" s="140"/>
      <c r="AA31" s="140"/>
      <c r="AB31" s="140"/>
      <c r="AC31" s="140"/>
    </row>
    <row r="32" spans="1:29" ht="19.899999999999999" customHeight="1" x14ac:dyDescent="0.25">
      <c r="A32" s="147"/>
      <c r="B32" s="1196"/>
      <c r="C32" s="1197"/>
      <c r="D32" s="1197"/>
      <c r="E32" s="1197"/>
      <c r="F32" s="1197"/>
      <c r="G32" s="1197"/>
      <c r="H32" s="1197"/>
      <c r="I32" s="1198"/>
      <c r="J32" s="147"/>
      <c r="K32" s="140"/>
      <c r="L32" s="140"/>
      <c r="M32" s="140"/>
      <c r="N32" s="140"/>
      <c r="O32" s="140"/>
      <c r="P32" s="140"/>
      <c r="Q32" s="140"/>
      <c r="R32" s="140"/>
      <c r="S32" s="140"/>
      <c r="T32" s="140"/>
      <c r="U32" s="140"/>
      <c r="V32" s="140"/>
      <c r="W32" s="140"/>
      <c r="X32" s="140"/>
      <c r="Y32" s="140"/>
      <c r="Z32" s="140"/>
      <c r="AA32" s="140"/>
      <c r="AB32" s="140"/>
      <c r="AC32" s="140"/>
    </row>
    <row r="33" spans="1:29" ht="19.899999999999999" customHeight="1" x14ac:dyDescent="0.25">
      <c r="A33" s="147"/>
      <c r="B33" s="1199"/>
      <c r="C33" s="1200"/>
      <c r="D33" s="1200"/>
      <c r="E33" s="1200"/>
      <c r="F33" s="1200"/>
      <c r="G33" s="1200"/>
      <c r="H33" s="1200"/>
      <c r="I33" s="1201"/>
      <c r="J33" s="147"/>
      <c r="K33" s="140"/>
      <c r="L33" s="140"/>
      <c r="M33" s="140"/>
      <c r="N33" s="140"/>
      <c r="O33" s="140"/>
      <c r="P33" s="140"/>
      <c r="Q33" s="140"/>
      <c r="R33" s="140"/>
      <c r="S33" s="140"/>
      <c r="T33" s="140"/>
      <c r="U33" s="140"/>
      <c r="V33" s="140"/>
      <c r="W33" s="140"/>
      <c r="X33" s="140"/>
      <c r="Y33" s="140"/>
      <c r="Z33" s="140"/>
      <c r="AA33" s="140"/>
      <c r="AB33" s="140"/>
      <c r="AC33" s="140"/>
    </row>
    <row r="34" spans="1:29" ht="19.899999999999999" customHeight="1" x14ac:dyDescent="0.25">
      <c r="A34" s="147"/>
      <c r="B34" s="1199"/>
      <c r="C34" s="1200"/>
      <c r="D34" s="1200"/>
      <c r="E34" s="1200"/>
      <c r="F34" s="1200"/>
      <c r="G34" s="1200"/>
      <c r="H34" s="1200"/>
      <c r="I34" s="1201"/>
      <c r="J34" s="147"/>
      <c r="K34" s="140"/>
      <c r="L34" s="140"/>
      <c r="M34" s="140"/>
      <c r="N34" s="140"/>
      <c r="O34" s="140"/>
      <c r="P34" s="140"/>
      <c r="Q34" s="140"/>
      <c r="R34" s="140"/>
      <c r="S34" s="140"/>
      <c r="T34" s="140"/>
      <c r="U34" s="140"/>
      <c r="V34" s="140"/>
      <c r="W34" s="140"/>
      <c r="X34" s="140"/>
      <c r="Y34" s="140"/>
      <c r="Z34" s="140"/>
      <c r="AA34" s="140"/>
      <c r="AB34" s="140"/>
      <c r="AC34" s="140"/>
    </row>
    <row r="35" spans="1:29" ht="27" customHeight="1" x14ac:dyDescent="0.25">
      <c r="A35" s="147"/>
      <c r="B35" s="1199"/>
      <c r="C35" s="1200"/>
      <c r="D35" s="1200"/>
      <c r="E35" s="1200"/>
      <c r="F35" s="1200"/>
      <c r="G35" s="1200"/>
      <c r="H35" s="1200"/>
      <c r="I35" s="1201"/>
      <c r="J35" s="147"/>
      <c r="K35" s="140"/>
      <c r="L35" s="140"/>
      <c r="M35" s="140"/>
      <c r="N35" s="140"/>
      <c r="O35" s="140"/>
      <c r="P35" s="140"/>
      <c r="Q35" s="140"/>
      <c r="R35" s="140"/>
      <c r="S35" s="140"/>
      <c r="T35" s="140"/>
      <c r="U35" s="140"/>
      <c r="V35" s="140"/>
      <c r="W35" s="140"/>
      <c r="X35" s="140"/>
      <c r="Y35" s="140"/>
      <c r="Z35" s="140"/>
      <c r="AA35" s="140"/>
      <c r="AB35" s="140"/>
      <c r="AC35" s="140"/>
    </row>
    <row r="36" spans="1:29" ht="15.6" customHeight="1" x14ac:dyDescent="0.25">
      <c r="A36" s="147"/>
      <c r="B36" s="1199"/>
      <c r="C36" s="1200"/>
      <c r="D36" s="1200"/>
      <c r="E36" s="1200"/>
      <c r="F36" s="1200"/>
      <c r="G36" s="1200"/>
      <c r="H36" s="1200"/>
      <c r="I36" s="1201"/>
      <c r="J36" s="147"/>
      <c r="K36" s="140"/>
      <c r="L36" s="140"/>
      <c r="M36" s="140"/>
      <c r="N36" s="140"/>
      <c r="O36" s="140"/>
      <c r="P36" s="140"/>
      <c r="Q36" s="140"/>
      <c r="R36" s="140"/>
      <c r="S36" s="140"/>
      <c r="T36" s="140"/>
      <c r="U36" s="140"/>
      <c r="V36" s="140"/>
      <c r="W36" s="140"/>
      <c r="X36" s="140"/>
      <c r="Y36" s="140"/>
      <c r="Z36" s="140"/>
      <c r="AA36" s="140"/>
      <c r="AB36" s="140"/>
      <c r="AC36" s="140"/>
    </row>
    <row r="37" spans="1:29" ht="27.75" customHeight="1" thickBot="1" x14ac:dyDescent="0.3">
      <c r="A37" s="140"/>
      <c r="B37" s="1202"/>
      <c r="C37" s="1203"/>
      <c r="D37" s="1203"/>
      <c r="E37" s="1203"/>
      <c r="F37" s="1203"/>
      <c r="G37" s="1203"/>
      <c r="H37" s="1203"/>
      <c r="I37" s="1204"/>
      <c r="J37" s="140"/>
      <c r="K37" s="140"/>
      <c r="L37" s="140"/>
      <c r="M37" s="140"/>
      <c r="N37" s="140"/>
      <c r="O37" s="140"/>
      <c r="P37" s="140"/>
      <c r="Q37" s="140"/>
      <c r="R37" s="140"/>
      <c r="S37" s="140"/>
      <c r="T37" s="140"/>
      <c r="U37" s="140"/>
      <c r="V37" s="140"/>
      <c r="W37" s="140"/>
      <c r="X37" s="140"/>
      <c r="Y37" s="140"/>
      <c r="Z37" s="140"/>
      <c r="AA37" s="140"/>
      <c r="AB37" s="140"/>
      <c r="AC37" s="140"/>
    </row>
    <row r="38" spans="1:29" ht="15.75" thickBot="1" x14ac:dyDescent="0.3">
      <c r="A38" s="140"/>
      <c r="B38" s="147"/>
      <c r="C38" s="389"/>
      <c r="D38" s="148"/>
      <c r="E38" s="148"/>
      <c r="F38" s="148"/>
      <c r="G38" s="148"/>
      <c r="H38" s="148"/>
      <c r="I38" s="147"/>
      <c r="J38" s="140"/>
      <c r="K38" s="140"/>
      <c r="L38" s="140"/>
      <c r="M38" s="140"/>
      <c r="N38" s="140"/>
      <c r="O38" s="140"/>
      <c r="P38" s="140"/>
      <c r="Q38" s="140"/>
      <c r="R38" s="140"/>
      <c r="S38" s="140"/>
      <c r="T38" s="140"/>
      <c r="U38" s="140"/>
      <c r="V38" s="140"/>
      <c r="W38" s="140"/>
      <c r="X38" s="140"/>
      <c r="Y38" s="140"/>
      <c r="Z38" s="140"/>
      <c r="AA38" s="140"/>
      <c r="AB38" s="140"/>
      <c r="AC38" s="140"/>
    </row>
    <row r="39" spans="1:29" ht="15.75" thickBot="1" x14ac:dyDescent="0.3">
      <c r="A39" s="140"/>
      <c r="B39" s="1208" t="s">
        <v>1204</v>
      </c>
      <c r="C39" s="1209"/>
      <c r="D39" s="1209"/>
      <c r="E39" s="1209"/>
      <c r="F39" s="1209"/>
      <c r="G39" s="1209"/>
      <c r="H39" s="1209"/>
      <c r="I39" s="1210"/>
      <c r="J39" s="140"/>
      <c r="K39" s="140"/>
      <c r="L39" s="140"/>
      <c r="M39" s="140"/>
      <c r="N39" s="140"/>
      <c r="O39" s="140"/>
      <c r="P39" s="140"/>
      <c r="Q39" s="140"/>
      <c r="R39" s="140"/>
      <c r="S39" s="140"/>
      <c r="T39" s="140"/>
      <c r="U39" s="140"/>
      <c r="V39" s="140"/>
      <c r="W39" s="140"/>
      <c r="X39" s="140"/>
      <c r="Y39" s="140"/>
      <c r="Z39" s="140"/>
      <c r="AA39" s="140"/>
      <c r="AB39" s="140"/>
      <c r="AC39" s="140"/>
    </row>
    <row r="40" spans="1:29" x14ac:dyDescent="0.25">
      <c r="A40" s="140"/>
      <c r="B40" s="1196"/>
      <c r="C40" s="1197"/>
      <c r="D40" s="1197"/>
      <c r="E40" s="1197"/>
      <c r="F40" s="1197"/>
      <c r="G40" s="1197"/>
      <c r="H40" s="1197"/>
      <c r="I40" s="1198"/>
      <c r="J40" s="140"/>
      <c r="K40" s="140"/>
      <c r="L40" s="140"/>
      <c r="M40" s="140"/>
      <c r="N40" s="140"/>
      <c r="O40" s="140"/>
      <c r="P40" s="140"/>
      <c r="Q40" s="140"/>
      <c r="R40" s="140"/>
      <c r="S40" s="140"/>
      <c r="T40" s="140"/>
      <c r="U40" s="140"/>
      <c r="V40" s="140"/>
      <c r="W40" s="140"/>
      <c r="X40" s="140"/>
      <c r="Y40" s="140"/>
      <c r="Z40" s="140"/>
      <c r="AA40" s="140"/>
      <c r="AB40" s="140"/>
      <c r="AC40" s="140"/>
    </row>
    <row r="41" spans="1:29" x14ac:dyDescent="0.25">
      <c r="A41" s="140"/>
      <c r="B41" s="1199"/>
      <c r="C41" s="1200"/>
      <c r="D41" s="1200"/>
      <c r="E41" s="1200"/>
      <c r="F41" s="1200"/>
      <c r="G41" s="1200"/>
      <c r="H41" s="1200"/>
      <c r="I41" s="1201"/>
      <c r="J41" s="140"/>
      <c r="K41" s="140"/>
      <c r="L41" s="140"/>
      <c r="M41" s="140"/>
      <c r="N41" s="140"/>
      <c r="O41" s="140"/>
      <c r="P41" s="140"/>
      <c r="Q41" s="140"/>
      <c r="R41" s="140"/>
      <c r="S41" s="140"/>
      <c r="T41" s="140"/>
      <c r="U41" s="140"/>
      <c r="V41" s="140"/>
      <c r="W41" s="140"/>
      <c r="X41" s="140"/>
      <c r="Y41" s="140"/>
      <c r="Z41" s="140"/>
      <c r="AA41" s="140"/>
      <c r="AB41" s="140"/>
      <c r="AC41" s="140"/>
    </row>
    <row r="42" spans="1:29" x14ac:dyDescent="0.25">
      <c r="A42" s="140"/>
      <c r="B42" s="1199"/>
      <c r="C42" s="1200"/>
      <c r="D42" s="1200"/>
      <c r="E42" s="1200"/>
      <c r="F42" s="1200"/>
      <c r="G42" s="1200"/>
      <c r="H42" s="1200"/>
      <c r="I42" s="1201"/>
      <c r="J42" s="140"/>
      <c r="K42" s="140"/>
      <c r="L42" s="140"/>
      <c r="M42" s="140"/>
      <c r="N42" s="140"/>
      <c r="O42" s="140"/>
      <c r="P42" s="140"/>
      <c r="Q42" s="140"/>
      <c r="R42" s="140"/>
      <c r="S42" s="140"/>
      <c r="T42" s="140"/>
      <c r="U42" s="140"/>
      <c r="V42" s="140"/>
      <c r="W42" s="140"/>
      <c r="X42" s="140"/>
      <c r="Y42" s="140"/>
      <c r="Z42" s="140"/>
      <c r="AA42" s="140"/>
      <c r="AB42" s="140"/>
      <c r="AC42" s="140"/>
    </row>
    <row r="43" spans="1:29" x14ac:dyDescent="0.25">
      <c r="A43" s="140"/>
      <c r="B43" s="1199"/>
      <c r="C43" s="1200"/>
      <c r="D43" s="1200"/>
      <c r="E43" s="1200"/>
      <c r="F43" s="1200"/>
      <c r="G43" s="1200"/>
      <c r="H43" s="1200"/>
      <c r="I43" s="1201"/>
      <c r="J43" s="140"/>
      <c r="K43" s="140"/>
      <c r="L43" s="140"/>
      <c r="M43" s="140"/>
      <c r="N43" s="140"/>
      <c r="O43" s="140"/>
      <c r="P43" s="140"/>
      <c r="Q43" s="140"/>
      <c r="R43" s="140"/>
      <c r="S43" s="140"/>
      <c r="T43" s="140"/>
      <c r="U43" s="140"/>
      <c r="V43" s="140"/>
      <c r="W43" s="140"/>
      <c r="X43" s="140"/>
      <c r="Y43" s="140"/>
      <c r="Z43" s="140"/>
      <c r="AA43" s="140"/>
      <c r="AB43" s="140"/>
      <c r="AC43" s="140"/>
    </row>
    <row r="44" spans="1:29" x14ac:dyDescent="0.25">
      <c r="A44" s="140"/>
      <c r="B44" s="1199"/>
      <c r="C44" s="1200"/>
      <c r="D44" s="1200"/>
      <c r="E44" s="1200"/>
      <c r="F44" s="1200"/>
      <c r="G44" s="1200"/>
      <c r="H44" s="1200"/>
      <c r="I44" s="1201"/>
      <c r="J44" s="140"/>
      <c r="K44" s="140"/>
      <c r="L44" s="140"/>
      <c r="M44" s="140"/>
      <c r="N44" s="140"/>
      <c r="O44" s="140"/>
      <c r="P44" s="140"/>
      <c r="Q44" s="140"/>
      <c r="R44" s="140"/>
      <c r="S44" s="140"/>
      <c r="T44" s="140"/>
      <c r="U44" s="140"/>
      <c r="V44" s="140"/>
      <c r="W44" s="140"/>
      <c r="X44" s="140"/>
      <c r="Y44" s="140"/>
      <c r="Z44" s="140"/>
      <c r="AA44" s="140"/>
      <c r="AB44" s="140"/>
      <c r="AC44" s="140"/>
    </row>
    <row r="45" spans="1:29" ht="15.75" thickBot="1" x14ac:dyDescent="0.3">
      <c r="A45" s="140"/>
      <c r="B45" s="1202"/>
      <c r="C45" s="1203"/>
      <c r="D45" s="1203"/>
      <c r="E45" s="1203"/>
      <c r="F45" s="1203"/>
      <c r="G45" s="1203"/>
      <c r="H45" s="1203"/>
      <c r="I45" s="1204"/>
      <c r="J45" s="140"/>
      <c r="K45" s="140"/>
      <c r="L45" s="140"/>
      <c r="M45" s="140"/>
      <c r="N45" s="140"/>
      <c r="O45" s="140"/>
      <c r="P45" s="140"/>
      <c r="Q45" s="140"/>
      <c r="R45" s="140"/>
      <c r="S45" s="140"/>
      <c r="T45" s="140"/>
      <c r="U45" s="140"/>
      <c r="V45" s="140"/>
      <c r="W45" s="140"/>
      <c r="X45" s="140"/>
      <c r="Y45" s="140"/>
      <c r="Z45" s="140"/>
      <c r="AA45" s="140"/>
      <c r="AB45" s="140"/>
      <c r="AC45" s="140"/>
    </row>
    <row r="46" spans="1:29" x14ac:dyDescent="0.25">
      <c r="A46" s="140"/>
      <c r="B46" s="140"/>
      <c r="C46" s="140"/>
      <c r="D46" s="140"/>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row>
    <row r="47" spans="1:29" x14ac:dyDescent="0.25">
      <c r="A47" s="140"/>
      <c r="B47" s="140"/>
      <c r="C47" s="140"/>
      <c r="D47" s="140"/>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row>
    <row r="48" spans="1:29" x14ac:dyDescent="0.25">
      <c r="A48" s="140"/>
      <c r="B48" s="140"/>
      <c r="C48" s="140"/>
      <c r="D48" s="140"/>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row>
    <row r="49" spans="1:29" x14ac:dyDescent="0.25">
      <c r="A49" s="140"/>
      <c r="B49" s="140"/>
      <c r="C49" s="140"/>
      <c r="D49" s="140"/>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row>
    <row r="50" spans="1:29" x14ac:dyDescent="0.25">
      <c r="A50" s="147"/>
      <c r="B50" s="140"/>
      <c r="C50" s="140"/>
      <c r="D50" s="140"/>
      <c r="E50" s="140"/>
      <c r="F50" s="140"/>
      <c r="G50" s="140"/>
      <c r="H50" s="140"/>
      <c r="I50" s="140"/>
      <c r="J50" s="147"/>
      <c r="K50" s="140"/>
      <c r="L50" s="140"/>
      <c r="M50" s="140"/>
      <c r="N50" s="140"/>
      <c r="O50" s="140"/>
      <c r="P50" s="140"/>
      <c r="Q50" s="140"/>
      <c r="R50" s="140"/>
      <c r="S50" s="140"/>
      <c r="T50" s="140"/>
      <c r="U50" s="140"/>
      <c r="V50" s="140"/>
      <c r="W50" s="140"/>
      <c r="X50" s="140"/>
      <c r="Y50" s="140"/>
      <c r="Z50" s="140"/>
      <c r="AA50" s="140"/>
      <c r="AB50" s="140"/>
      <c r="AC50" s="140"/>
    </row>
    <row r="51" spans="1:29" x14ac:dyDescent="0.25">
      <c r="A51" s="147"/>
      <c r="B51" s="140"/>
      <c r="C51" s="140"/>
      <c r="D51" s="140"/>
      <c r="E51" s="140"/>
      <c r="F51" s="140"/>
      <c r="G51" s="140"/>
      <c r="H51" s="140"/>
      <c r="I51" s="140"/>
      <c r="J51" s="147"/>
      <c r="K51" s="140"/>
      <c r="L51" s="140"/>
      <c r="M51" s="140"/>
      <c r="N51" s="140"/>
      <c r="O51" s="140"/>
      <c r="P51" s="140"/>
      <c r="Q51" s="140"/>
      <c r="R51" s="140"/>
      <c r="S51" s="140"/>
      <c r="T51" s="140"/>
      <c r="U51" s="140"/>
      <c r="V51" s="140"/>
      <c r="W51" s="140"/>
      <c r="X51" s="140"/>
      <c r="Y51" s="140"/>
      <c r="Z51" s="140"/>
      <c r="AA51" s="140"/>
      <c r="AB51" s="140"/>
      <c r="AC51" s="140"/>
    </row>
    <row r="52" spans="1:29" x14ac:dyDescent="0.25">
      <c r="A52" s="147"/>
      <c r="B52" s="140"/>
      <c r="C52" s="140"/>
      <c r="D52" s="140"/>
      <c r="E52" s="140"/>
      <c r="F52" s="140"/>
      <c r="G52" s="140"/>
      <c r="H52" s="140"/>
      <c r="I52" s="140"/>
      <c r="J52" s="147"/>
      <c r="K52" s="140"/>
      <c r="L52" s="140"/>
      <c r="M52" s="140"/>
      <c r="N52" s="140"/>
      <c r="O52" s="140"/>
      <c r="P52" s="140"/>
      <c r="Q52" s="140"/>
      <c r="R52" s="140"/>
      <c r="S52" s="140"/>
      <c r="T52" s="140"/>
      <c r="U52" s="140"/>
      <c r="V52" s="140"/>
      <c r="W52" s="140"/>
      <c r="X52" s="140"/>
      <c r="Y52" s="140"/>
      <c r="Z52" s="140"/>
      <c r="AA52" s="140"/>
      <c r="AB52" s="140"/>
      <c r="AC52" s="140"/>
    </row>
    <row r="53" spans="1:29" x14ac:dyDescent="0.25">
      <c r="A53" s="147"/>
      <c r="B53" s="147"/>
      <c r="C53" s="147"/>
      <c r="D53" s="147"/>
      <c r="E53" s="147"/>
      <c r="F53" s="147"/>
      <c r="G53" s="147"/>
      <c r="H53" s="147"/>
      <c r="I53" s="147"/>
      <c r="J53" s="147"/>
      <c r="K53" s="140"/>
      <c r="L53" s="140"/>
      <c r="M53" s="140"/>
      <c r="N53" s="140"/>
      <c r="O53" s="140"/>
      <c r="P53" s="140"/>
      <c r="Q53" s="140"/>
      <c r="R53" s="140"/>
      <c r="S53" s="140"/>
      <c r="T53" s="140"/>
      <c r="U53" s="140"/>
      <c r="V53" s="140"/>
      <c r="W53" s="140"/>
      <c r="X53" s="140"/>
      <c r="Y53" s="140"/>
      <c r="Z53" s="140"/>
      <c r="AA53" s="140"/>
      <c r="AB53" s="140"/>
      <c r="AC53" s="140"/>
    </row>
    <row r="54" spans="1:29" x14ac:dyDescent="0.25">
      <c r="A54" s="147"/>
      <c r="B54" s="147"/>
      <c r="C54" s="147"/>
      <c r="D54" s="147"/>
      <c r="E54" s="147"/>
      <c r="F54" s="147"/>
      <c r="G54" s="147"/>
      <c r="H54" s="147"/>
      <c r="I54" s="147"/>
      <c r="J54" s="147"/>
      <c r="K54" s="140"/>
      <c r="L54" s="140"/>
      <c r="M54" s="140"/>
      <c r="N54" s="140"/>
      <c r="O54" s="140"/>
      <c r="P54" s="140"/>
      <c r="Q54" s="140"/>
      <c r="R54" s="140"/>
      <c r="S54" s="140"/>
      <c r="T54" s="140"/>
      <c r="U54" s="140"/>
      <c r="V54" s="140"/>
      <c r="W54" s="140"/>
      <c r="X54" s="140"/>
      <c r="Y54" s="140"/>
      <c r="Z54" s="140"/>
      <c r="AA54" s="140"/>
      <c r="AB54" s="140"/>
      <c r="AC54" s="140"/>
    </row>
    <row r="55" spans="1:29" x14ac:dyDescent="0.25">
      <c r="A55" s="147"/>
      <c r="B55" s="147"/>
      <c r="C55" s="147"/>
      <c r="D55" s="147"/>
      <c r="E55" s="147"/>
      <c r="F55" s="147"/>
      <c r="G55" s="147"/>
      <c r="H55" s="147"/>
      <c r="I55" s="147"/>
      <c r="J55" s="147"/>
      <c r="K55" s="140"/>
      <c r="L55" s="140"/>
      <c r="M55" s="140"/>
      <c r="N55" s="140"/>
      <c r="O55" s="140"/>
      <c r="P55" s="140"/>
      <c r="Q55" s="140"/>
      <c r="R55" s="140"/>
      <c r="S55" s="140"/>
      <c r="T55" s="140"/>
      <c r="U55" s="140"/>
      <c r="V55" s="140"/>
      <c r="W55" s="140"/>
      <c r="X55" s="140"/>
      <c r="Y55" s="140"/>
      <c r="Z55" s="140"/>
      <c r="AA55" s="140"/>
      <c r="AB55" s="140"/>
      <c r="AC55" s="140"/>
    </row>
    <row r="56" spans="1:29" x14ac:dyDescent="0.25">
      <c r="A56" s="147"/>
      <c r="B56" s="147"/>
      <c r="C56" s="147"/>
      <c r="D56" s="147"/>
      <c r="E56" s="147"/>
      <c r="F56" s="147"/>
      <c r="G56" s="147"/>
      <c r="H56" s="147"/>
      <c r="I56" s="147"/>
      <c r="J56" s="147"/>
      <c r="K56" s="140"/>
      <c r="L56" s="140"/>
      <c r="M56" s="140"/>
      <c r="N56" s="140"/>
      <c r="O56" s="140"/>
      <c r="P56" s="140"/>
      <c r="Q56" s="140"/>
      <c r="R56" s="140"/>
      <c r="S56" s="140"/>
      <c r="T56" s="140"/>
      <c r="U56" s="140"/>
      <c r="V56" s="140"/>
      <c r="W56" s="140"/>
      <c r="X56" s="140"/>
      <c r="Y56" s="140"/>
      <c r="Z56" s="140"/>
      <c r="AA56" s="140"/>
      <c r="AB56" s="140"/>
      <c r="AC56" s="140"/>
    </row>
    <row r="57" spans="1:29" x14ac:dyDescent="0.25">
      <c r="A57" s="147"/>
      <c r="B57" s="147"/>
      <c r="C57" s="147"/>
      <c r="D57" s="147"/>
      <c r="E57" s="147"/>
      <c r="F57" s="147"/>
      <c r="G57" s="147"/>
      <c r="H57" s="147"/>
      <c r="I57" s="147"/>
      <c r="J57" s="147"/>
      <c r="K57" s="140"/>
      <c r="L57" s="140"/>
      <c r="M57" s="140"/>
      <c r="N57" s="140"/>
      <c r="O57" s="140"/>
      <c r="P57" s="140"/>
      <c r="Q57" s="140"/>
      <c r="R57" s="140"/>
      <c r="S57" s="140"/>
      <c r="T57" s="140"/>
      <c r="U57" s="140"/>
      <c r="V57" s="140"/>
      <c r="W57" s="140"/>
      <c r="X57" s="140"/>
      <c r="Y57" s="140"/>
      <c r="Z57" s="140"/>
      <c r="AA57" s="140"/>
      <c r="AB57" s="140"/>
      <c r="AC57" s="140"/>
    </row>
    <row r="58" spans="1:29" x14ac:dyDescent="0.25">
      <c r="A58" s="147"/>
      <c r="B58" s="147"/>
      <c r="C58" s="147"/>
      <c r="D58" s="147"/>
      <c r="E58" s="147"/>
      <c r="F58" s="147"/>
      <c r="G58" s="147"/>
      <c r="H58" s="147"/>
      <c r="I58" s="147"/>
      <c r="J58" s="147"/>
      <c r="K58" s="140"/>
      <c r="L58" s="140"/>
      <c r="M58" s="140"/>
      <c r="N58" s="140"/>
      <c r="O58" s="140"/>
      <c r="P58" s="140"/>
      <c r="Q58" s="140"/>
      <c r="R58" s="140"/>
      <c r="S58" s="140"/>
      <c r="T58" s="140"/>
      <c r="U58" s="140"/>
      <c r="V58" s="140"/>
      <c r="W58" s="140"/>
      <c r="X58" s="140"/>
      <c r="Y58" s="140"/>
      <c r="Z58" s="140"/>
      <c r="AA58" s="140"/>
      <c r="AB58" s="140"/>
      <c r="AC58" s="140"/>
    </row>
    <row r="59" spans="1:29" x14ac:dyDescent="0.25">
      <c r="A59" s="147"/>
      <c r="B59" s="147"/>
      <c r="C59" s="147"/>
      <c r="D59" s="147"/>
      <c r="E59" s="147"/>
      <c r="F59" s="147"/>
      <c r="G59" s="147"/>
      <c r="H59" s="147"/>
      <c r="I59" s="147"/>
      <c r="J59" s="147"/>
      <c r="K59" s="140"/>
      <c r="L59" s="140"/>
      <c r="M59" s="140"/>
      <c r="N59" s="140"/>
      <c r="O59" s="140"/>
      <c r="P59" s="140"/>
      <c r="Q59" s="140"/>
      <c r="R59" s="140"/>
      <c r="S59" s="140"/>
      <c r="T59" s="140"/>
      <c r="U59" s="140"/>
      <c r="V59" s="140"/>
      <c r="W59" s="140"/>
      <c r="X59" s="140"/>
      <c r="Y59" s="140"/>
      <c r="Z59" s="140"/>
      <c r="AA59" s="140"/>
      <c r="AB59" s="140"/>
      <c r="AC59" s="140"/>
    </row>
    <row r="60" spans="1:29" x14ac:dyDescent="0.25">
      <c r="A60" s="147"/>
      <c r="B60" s="147"/>
      <c r="C60" s="147"/>
      <c r="D60" s="147"/>
      <c r="E60" s="147"/>
      <c r="F60" s="147"/>
      <c r="G60" s="147"/>
      <c r="H60" s="147"/>
      <c r="I60" s="147"/>
      <c r="J60" s="147"/>
      <c r="K60" s="140"/>
      <c r="L60" s="140"/>
      <c r="M60" s="140"/>
      <c r="N60" s="140"/>
      <c r="O60" s="140"/>
      <c r="P60" s="140"/>
      <c r="Q60" s="140"/>
      <c r="R60" s="140"/>
      <c r="S60" s="140"/>
      <c r="T60" s="140"/>
      <c r="U60" s="140"/>
      <c r="V60" s="140"/>
      <c r="W60" s="140"/>
      <c r="X60" s="140"/>
      <c r="Y60" s="140"/>
      <c r="Z60" s="140"/>
      <c r="AA60" s="140"/>
      <c r="AB60" s="140"/>
      <c r="AC60" s="140"/>
    </row>
    <row r="61" spans="1:29" x14ac:dyDescent="0.25">
      <c r="A61" s="140"/>
      <c r="B61" s="147"/>
      <c r="C61" s="147"/>
      <c r="D61" s="147"/>
      <c r="E61" s="147"/>
      <c r="F61" s="147"/>
      <c r="G61" s="147"/>
      <c r="H61" s="147"/>
      <c r="I61" s="147"/>
      <c r="J61" s="140"/>
      <c r="K61" s="140"/>
      <c r="L61" s="140"/>
      <c r="M61" s="140"/>
      <c r="N61" s="140"/>
      <c r="O61" s="140"/>
      <c r="P61" s="140"/>
      <c r="Q61" s="140"/>
      <c r="R61" s="140"/>
      <c r="S61" s="140"/>
      <c r="T61" s="140"/>
      <c r="U61" s="140"/>
      <c r="V61" s="140"/>
      <c r="W61" s="140"/>
      <c r="X61" s="140"/>
      <c r="Y61" s="140"/>
      <c r="Z61" s="140"/>
      <c r="AA61" s="140"/>
      <c r="AB61" s="140"/>
      <c r="AC61" s="140"/>
    </row>
    <row r="62" spans="1:29" x14ac:dyDescent="0.25">
      <c r="A62" s="140"/>
      <c r="B62" s="147"/>
      <c r="C62" s="147"/>
      <c r="D62" s="147"/>
      <c r="E62" s="147"/>
      <c r="F62" s="147"/>
      <c r="G62" s="147"/>
      <c r="H62" s="147"/>
      <c r="I62" s="147"/>
      <c r="J62" s="140"/>
      <c r="K62" s="140"/>
      <c r="L62" s="140"/>
      <c r="M62" s="140"/>
      <c r="N62" s="140"/>
      <c r="O62" s="140"/>
      <c r="P62" s="140"/>
      <c r="Q62" s="140"/>
      <c r="R62" s="140"/>
      <c r="S62" s="140"/>
      <c r="T62" s="140"/>
      <c r="U62" s="140"/>
      <c r="V62" s="140"/>
      <c r="W62" s="140"/>
      <c r="X62" s="140"/>
      <c r="Y62" s="140"/>
      <c r="Z62" s="140"/>
      <c r="AA62" s="140"/>
      <c r="AB62" s="140"/>
      <c r="AC62" s="140"/>
    </row>
    <row r="63" spans="1:29" x14ac:dyDescent="0.25">
      <c r="A63" s="140"/>
      <c r="B63" s="147"/>
      <c r="C63" s="147"/>
      <c r="D63" s="147"/>
      <c r="E63" s="147"/>
      <c r="F63" s="147"/>
      <c r="G63" s="147"/>
      <c r="H63" s="147"/>
      <c r="I63" s="147"/>
      <c r="J63" s="140"/>
      <c r="K63" s="140"/>
      <c r="L63" s="140"/>
      <c r="M63" s="140"/>
      <c r="N63" s="140"/>
      <c r="O63" s="140"/>
      <c r="P63" s="140"/>
      <c r="Q63" s="140"/>
      <c r="R63" s="140"/>
      <c r="S63" s="140"/>
      <c r="T63" s="140"/>
      <c r="U63" s="140"/>
      <c r="V63" s="140"/>
      <c r="W63" s="140"/>
      <c r="X63" s="140"/>
      <c r="Y63" s="140"/>
      <c r="Z63" s="140"/>
      <c r="AA63" s="140"/>
      <c r="AB63" s="140"/>
      <c r="AC63" s="140"/>
    </row>
    <row r="64" spans="1:29"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c r="Z64" s="140"/>
      <c r="AA64" s="140"/>
      <c r="AB64" s="140"/>
      <c r="AC64" s="140"/>
    </row>
    <row r="65" spans="1:29"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c r="Z65" s="140"/>
      <c r="AA65" s="140"/>
      <c r="AB65" s="140"/>
      <c r="AC65" s="140"/>
    </row>
    <row r="66" spans="1:29"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c r="Z66" s="140"/>
      <c r="AA66" s="140"/>
      <c r="AB66" s="140"/>
      <c r="AC66" s="140"/>
    </row>
    <row r="67" spans="1:29"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c r="Z67" s="140"/>
      <c r="AA67" s="140"/>
      <c r="AB67" s="140"/>
      <c r="AC67" s="140"/>
    </row>
    <row r="68" spans="1:29"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c r="Z68" s="140"/>
      <c r="AA68" s="140"/>
      <c r="AB68" s="140"/>
      <c r="AC68" s="140"/>
    </row>
    <row r="69" spans="1:29"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140"/>
      <c r="AB69" s="140"/>
      <c r="AC69" s="140"/>
    </row>
    <row r="70" spans="1:29"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140"/>
      <c r="AB70" s="140"/>
      <c r="AC70" s="140"/>
    </row>
    <row r="71" spans="1:29"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c r="Z71" s="140"/>
      <c r="AA71" s="140"/>
      <c r="AB71" s="140"/>
      <c r="AC71" s="140"/>
    </row>
    <row r="72" spans="1:29"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c r="Z72" s="140"/>
      <c r="AA72" s="140"/>
      <c r="AB72" s="140"/>
      <c r="AC72" s="140"/>
    </row>
    <row r="73" spans="1:29"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c r="Z73" s="140"/>
      <c r="AA73" s="140"/>
      <c r="AB73" s="140"/>
      <c r="AC73" s="140"/>
    </row>
    <row r="74" spans="1:29"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c r="Z74" s="140"/>
      <c r="AA74" s="140"/>
      <c r="AB74" s="140"/>
      <c r="AC74" s="140"/>
    </row>
    <row r="75" spans="1:29"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c r="Z75" s="140"/>
      <c r="AA75" s="140"/>
      <c r="AB75" s="140"/>
      <c r="AC75" s="140"/>
    </row>
    <row r="76" spans="1:29"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c r="Z76" s="140"/>
      <c r="AA76" s="140"/>
      <c r="AB76" s="140"/>
      <c r="AC76" s="140"/>
    </row>
    <row r="77" spans="1:29"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c r="Z77" s="140"/>
      <c r="AA77" s="140"/>
      <c r="AB77" s="140"/>
      <c r="AC77" s="140"/>
    </row>
    <row r="78" spans="1:29"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c r="Z78" s="140"/>
      <c r="AA78" s="140"/>
      <c r="AB78" s="140"/>
      <c r="AC78" s="140"/>
    </row>
    <row r="79" spans="1:29"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c r="Z79" s="140"/>
      <c r="AA79" s="140"/>
      <c r="AB79" s="140"/>
      <c r="AC79" s="140"/>
    </row>
    <row r="80" spans="1:29"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c r="Z80" s="140"/>
      <c r="AA80" s="140"/>
      <c r="AB80" s="140"/>
      <c r="AC80" s="140"/>
    </row>
    <row r="81" spans="1:29"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c r="Z81" s="140"/>
      <c r="AA81" s="140"/>
      <c r="AB81" s="140"/>
      <c r="AC81" s="140"/>
    </row>
    <row r="82" spans="1:29"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c r="Z82" s="140"/>
      <c r="AA82" s="140"/>
      <c r="AB82" s="140"/>
      <c r="AC82" s="140"/>
    </row>
    <row r="83" spans="1:29"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c r="Z83" s="140"/>
      <c r="AA83" s="140"/>
      <c r="AB83" s="140"/>
      <c r="AC83" s="140"/>
    </row>
    <row r="84" spans="1:29"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c r="Z84" s="140"/>
      <c r="AA84" s="140"/>
      <c r="AB84" s="140"/>
      <c r="AC84" s="140"/>
    </row>
    <row r="85" spans="1:29"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c r="Z85" s="140"/>
      <c r="AA85" s="140"/>
      <c r="AB85" s="140"/>
      <c r="AC85" s="140"/>
    </row>
    <row r="86" spans="1:29"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c r="Z86" s="140"/>
      <c r="AA86" s="140"/>
      <c r="AB86" s="140"/>
      <c r="AC86" s="140"/>
    </row>
    <row r="87" spans="1:29"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c r="Z87" s="140"/>
      <c r="AA87" s="140"/>
      <c r="AB87" s="140"/>
      <c r="AC87" s="140"/>
    </row>
    <row r="88" spans="1:29"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c r="Z88" s="140"/>
      <c r="AA88" s="140"/>
      <c r="AB88" s="140"/>
      <c r="AC88" s="140"/>
    </row>
    <row r="89" spans="1:29"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c r="Z89" s="140"/>
      <c r="AA89" s="140"/>
      <c r="AB89" s="140"/>
      <c r="AC89" s="140"/>
    </row>
    <row r="90" spans="1:29"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c r="Z90" s="140"/>
      <c r="AA90" s="140"/>
      <c r="AB90" s="140"/>
      <c r="AC90" s="140"/>
    </row>
    <row r="91" spans="1:29"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c r="Z91" s="140"/>
      <c r="AA91" s="140"/>
      <c r="AB91" s="140"/>
      <c r="AC91" s="140"/>
    </row>
    <row r="92" spans="1:29"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c r="Z92" s="140"/>
      <c r="AA92" s="140"/>
      <c r="AB92" s="140"/>
      <c r="AC92" s="140"/>
    </row>
    <row r="93" spans="1:29" x14ac:dyDescent="0.25">
      <c r="A93" s="140"/>
      <c r="B93" s="140"/>
      <c r="C93" s="140"/>
      <c r="D93" s="140"/>
      <c r="E93" s="140"/>
      <c r="F93" s="140"/>
      <c r="G93" s="140"/>
      <c r="H93" s="140"/>
      <c r="I93" s="140"/>
      <c r="J93" s="140"/>
      <c r="K93" s="140"/>
      <c r="L93" s="140"/>
      <c r="M93" s="140"/>
      <c r="N93" s="140"/>
      <c r="O93" s="140"/>
      <c r="P93" s="140"/>
      <c r="Q93" s="140"/>
      <c r="R93" s="140"/>
      <c r="S93" s="140"/>
      <c r="T93" s="140"/>
      <c r="U93" s="140"/>
      <c r="V93" s="140"/>
      <c r="W93" s="140"/>
      <c r="X93" s="140"/>
      <c r="Y93" s="140"/>
      <c r="Z93" s="140"/>
      <c r="AA93" s="140"/>
      <c r="AB93" s="140"/>
      <c r="AC93" s="140"/>
    </row>
    <row r="94" spans="1:29" x14ac:dyDescent="0.25">
      <c r="A94" s="140"/>
      <c r="B94" s="140"/>
      <c r="C94" s="140"/>
      <c r="D94" s="140"/>
      <c r="E94" s="140"/>
      <c r="F94" s="140"/>
      <c r="G94" s="140"/>
      <c r="H94" s="140"/>
      <c r="I94" s="140"/>
      <c r="J94" s="140"/>
      <c r="K94" s="140"/>
      <c r="L94" s="140"/>
      <c r="M94" s="140"/>
      <c r="N94" s="140"/>
      <c r="O94" s="140"/>
      <c r="P94" s="140"/>
      <c r="Q94" s="140"/>
      <c r="R94" s="140"/>
      <c r="S94" s="140"/>
      <c r="T94" s="140"/>
      <c r="U94" s="140"/>
      <c r="V94" s="140"/>
      <c r="W94" s="140"/>
      <c r="X94" s="140"/>
      <c r="Y94" s="140"/>
      <c r="Z94" s="140"/>
      <c r="AA94" s="140"/>
      <c r="AB94" s="140"/>
      <c r="AC94" s="140"/>
    </row>
    <row r="95" spans="1:29" x14ac:dyDescent="0.25">
      <c r="A95" s="140"/>
      <c r="B95" s="140"/>
      <c r="C95" s="140"/>
      <c r="D95" s="140"/>
      <c r="E95" s="140"/>
      <c r="F95" s="140"/>
      <c r="G95" s="140"/>
      <c r="H95" s="140"/>
      <c r="I95" s="140"/>
      <c r="J95" s="140"/>
      <c r="K95" s="140"/>
      <c r="L95" s="140"/>
      <c r="M95" s="140"/>
      <c r="N95" s="140"/>
      <c r="O95" s="140"/>
      <c r="P95" s="140"/>
      <c r="Q95" s="140"/>
      <c r="R95" s="140"/>
      <c r="S95" s="140"/>
      <c r="T95" s="140"/>
      <c r="U95" s="140"/>
      <c r="V95" s="140"/>
      <c r="W95" s="140"/>
      <c r="X95" s="140"/>
      <c r="Y95" s="140"/>
      <c r="Z95" s="140"/>
      <c r="AA95" s="140"/>
      <c r="AB95" s="140"/>
      <c r="AC95" s="140"/>
    </row>
    <row r="96" spans="1:29" x14ac:dyDescent="0.25">
      <c r="A96" s="140"/>
      <c r="B96" s="140"/>
      <c r="C96" s="140"/>
      <c r="D96" s="140"/>
      <c r="E96" s="140"/>
      <c r="F96" s="140"/>
      <c r="G96" s="140"/>
      <c r="H96" s="140"/>
      <c r="I96" s="140"/>
      <c r="J96" s="140"/>
      <c r="K96" s="140"/>
      <c r="L96" s="140"/>
      <c r="M96" s="140"/>
      <c r="N96" s="140"/>
      <c r="O96" s="140"/>
      <c r="P96" s="140"/>
      <c r="Q96" s="140"/>
      <c r="R96" s="140"/>
      <c r="S96" s="140"/>
      <c r="T96" s="140"/>
      <c r="U96" s="140"/>
      <c r="V96" s="140"/>
      <c r="W96" s="140"/>
      <c r="X96" s="140"/>
      <c r="Y96" s="140"/>
      <c r="Z96" s="140"/>
      <c r="AA96" s="140"/>
      <c r="AB96" s="140"/>
      <c r="AC96" s="140"/>
    </row>
    <row r="97" spans="1:29" x14ac:dyDescent="0.25">
      <c r="A97" s="140"/>
      <c r="B97" s="140"/>
      <c r="C97" s="140"/>
      <c r="D97" s="140"/>
      <c r="E97" s="140"/>
      <c r="F97" s="140"/>
      <c r="G97" s="140"/>
      <c r="H97" s="140"/>
      <c r="I97" s="140"/>
      <c r="J97" s="140"/>
      <c r="K97" s="140"/>
      <c r="L97" s="140"/>
      <c r="M97" s="140"/>
      <c r="N97" s="140"/>
      <c r="O97" s="140"/>
      <c r="P97" s="140"/>
      <c r="Q97" s="140"/>
      <c r="R97" s="140"/>
      <c r="S97" s="140"/>
      <c r="T97" s="140"/>
      <c r="U97" s="140"/>
      <c r="V97" s="140"/>
      <c r="W97" s="140"/>
      <c r="X97" s="140"/>
      <c r="Y97" s="140"/>
      <c r="Z97" s="140"/>
      <c r="AA97" s="140"/>
      <c r="AB97" s="140"/>
      <c r="AC97" s="140"/>
    </row>
    <row r="98" spans="1:29" x14ac:dyDescent="0.25">
      <c r="A98" s="140"/>
      <c r="B98" s="140"/>
      <c r="C98" s="140"/>
      <c r="D98" s="140"/>
      <c r="E98" s="140"/>
      <c r="F98" s="140"/>
      <c r="G98" s="140"/>
      <c r="H98" s="140"/>
      <c r="I98" s="140"/>
      <c r="J98" s="140"/>
      <c r="K98" s="140"/>
      <c r="L98" s="140"/>
      <c r="M98" s="140"/>
      <c r="N98" s="140"/>
      <c r="O98" s="140"/>
      <c r="P98" s="140"/>
      <c r="Q98" s="140"/>
      <c r="R98" s="140"/>
      <c r="S98" s="140"/>
      <c r="T98" s="140"/>
      <c r="U98" s="140"/>
      <c r="V98" s="140"/>
      <c r="W98" s="140"/>
      <c r="X98" s="140"/>
      <c r="Y98" s="140"/>
      <c r="Z98" s="140"/>
      <c r="AA98" s="140"/>
      <c r="AB98" s="140"/>
      <c r="AC98" s="140"/>
    </row>
    <row r="99" spans="1:29" x14ac:dyDescent="0.25">
      <c r="A99" s="140"/>
      <c r="B99" s="140"/>
      <c r="C99" s="140"/>
      <c r="D99" s="140"/>
      <c r="E99" s="140"/>
      <c r="F99" s="140"/>
      <c r="G99" s="140"/>
      <c r="H99" s="140"/>
      <c r="I99" s="140"/>
      <c r="J99" s="140"/>
      <c r="K99" s="140"/>
      <c r="L99" s="140"/>
      <c r="M99" s="140"/>
      <c r="N99" s="140"/>
      <c r="O99" s="140"/>
      <c r="P99" s="140"/>
      <c r="Q99" s="140"/>
      <c r="R99" s="140"/>
      <c r="S99" s="140"/>
      <c r="T99" s="140"/>
      <c r="U99" s="140"/>
      <c r="V99" s="140"/>
      <c r="W99" s="140"/>
      <c r="X99" s="140"/>
      <c r="Y99" s="140"/>
      <c r="Z99" s="140"/>
      <c r="AA99" s="140"/>
      <c r="AB99" s="140"/>
      <c r="AC99" s="140"/>
    </row>
    <row r="100" spans="1:29" x14ac:dyDescent="0.25">
      <c r="A100" s="140"/>
      <c r="B100" s="140"/>
      <c r="C100" s="140"/>
      <c r="D100" s="140"/>
      <c r="E100" s="140"/>
      <c r="F100" s="140"/>
      <c r="G100" s="140"/>
      <c r="H100" s="140"/>
      <c r="I100" s="140"/>
      <c r="J100" s="140"/>
      <c r="K100" s="140"/>
      <c r="L100" s="140"/>
      <c r="M100" s="140"/>
      <c r="N100" s="140"/>
      <c r="O100" s="140"/>
      <c r="P100" s="140"/>
      <c r="Q100" s="140"/>
      <c r="R100" s="140"/>
      <c r="S100" s="140"/>
      <c r="T100" s="140"/>
      <c r="U100" s="140"/>
      <c r="V100" s="140"/>
      <c r="W100" s="140"/>
      <c r="X100" s="140"/>
      <c r="Y100" s="140"/>
      <c r="Z100" s="140"/>
      <c r="AA100" s="140"/>
      <c r="AB100" s="140"/>
      <c r="AC100" s="140"/>
    </row>
    <row r="101" spans="1:29" x14ac:dyDescent="0.25">
      <c r="A101" s="140"/>
      <c r="B101" s="140"/>
      <c r="C101" s="140"/>
      <c r="D101" s="140"/>
      <c r="E101" s="140"/>
      <c r="F101" s="140"/>
      <c r="G101" s="140"/>
      <c r="H101" s="140"/>
      <c r="I101" s="140"/>
      <c r="J101" s="140"/>
      <c r="K101" s="140"/>
      <c r="L101" s="140"/>
      <c r="M101" s="140"/>
      <c r="N101" s="140"/>
      <c r="O101" s="140"/>
      <c r="P101" s="140"/>
      <c r="Q101" s="140"/>
      <c r="R101" s="140"/>
      <c r="S101" s="140"/>
      <c r="T101" s="140"/>
      <c r="U101" s="140"/>
      <c r="V101" s="140"/>
      <c r="W101" s="140"/>
      <c r="X101" s="140"/>
      <c r="Y101" s="140"/>
      <c r="Z101" s="140"/>
      <c r="AA101" s="140"/>
      <c r="AB101" s="140"/>
      <c r="AC101" s="140"/>
    </row>
    <row r="102" spans="1:29" x14ac:dyDescent="0.25">
      <c r="A102" s="140"/>
      <c r="B102" s="140"/>
      <c r="C102" s="140"/>
      <c r="D102" s="140"/>
      <c r="E102" s="140"/>
      <c r="F102" s="140"/>
      <c r="G102" s="140"/>
      <c r="H102" s="140"/>
      <c r="I102" s="140"/>
      <c r="J102" s="140"/>
      <c r="K102" s="140"/>
      <c r="L102" s="140"/>
      <c r="M102" s="140"/>
      <c r="N102" s="140"/>
      <c r="O102" s="140"/>
      <c r="P102" s="140"/>
      <c r="Q102" s="140"/>
      <c r="R102" s="140"/>
      <c r="S102" s="140"/>
      <c r="T102" s="140"/>
      <c r="U102" s="140"/>
      <c r="V102" s="140"/>
      <c r="W102" s="140"/>
      <c r="X102" s="140"/>
      <c r="Y102" s="140"/>
      <c r="Z102" s="140"/>
      <c r="AA102" s="140"/>
      <c r="AB102" s="140"/>
      <c r="AC102" s="140"/>
    </row>
    <row r="103" spans="1:29" x14ac:dyDescent="0.25">
      <c r="A103" s="140"/>
      <c r="B103" s="140"/>
      <c r="C103" s="140"/>
      <c r="D103" s="140"/>
      <c r="E103" s="140"/>
      <c r="F103" s="140"/>
      <c r="G103" s="140"/>
      <c r="H103" s="140"/>
      <c r="I103" s="140"/>
      <c r="J103" s="140"/>
      <c r="K103" s="140"/>
      <c r="L103" s="140"/>
      <c r="M103" s="140"/>
      <c r="N103" s="140"/>
      <c r="O103" s="140"/>
      <c r="P103" s="140"/>
      <c r="Q103" s="140"/>
      <c r="R103" s="140"/>
      <c r="S103" s="140"/>
      <c r="T103" s="140"/>
      <c r="U103" s="140"/>
      <c r="V103" s="140"/>
      <c r="W103" s="140"/>
      <c r="X103" s="140"/>
      <c r="Y103" s="140"/>
      <c r="Z103" s="140"/>
      <c r="AA103" s="140"/>
      <c r="AB103" s="140"/>
      <c r="AC103" s="140"/>
    </row>
    <row r="104" spans="1:29" x14ac:dyDescent="0.25">
      <c r="A104" s="140"/>
      <c r="B104" s="140"/>
      <c r="C104" s="140"/>
      <c r="D104" s="140"/>
      <c r="E104" s="140"/>
      <c r="F104" s="140"/>
      <c r="G104" s="140"/>
      <c r="H104" s="140"/>
      <c r="I104" s="140"/>
      <c r="J104" s="140"/>
      <c r="K104" s="140"/>
      <c r="L104" s="140"/>
      <c r="M104" s="140"/>
      <c r="N104" s="140"/>
      <c r="O104" s="140"/>
      <c r="P104" s="140"/>
      <c r="Q104" s="140"/>
      <c r="R104" s="140"/>
      <c r="S104" s="140"/>
      <c r="T104" s="140"/>
      <c r="U104" s="140"/>
      <c r="V104" s="140"/>
      <c r="W104" s="140"/>
      <c r="X104" s="140"/>
      <c r="Y104" s="140"/>
      <c r="Z104" s="140"/>
      <c r="AA104" s="140"/>
      <c r="AB104" s="140"/>
      <c r="AC104" s="140"/>
    </row>
    <row r="105" spans="1:29" x14ac:dyDescent="0.25">
      <c r="B105" s="140"/>
      <c r="C105" s="140"/>
      <c r="D105" s="140"/>
      <c r="E105" s="140"/>
      <c r="F105" s="140"/>
      <c r="G105" s="140"/>
      <c r="H105" s="140"/>
      <c r="I105" s="140"/>
    </row>
    <row r="106" spans="1:29" x14ac:dyDescent="0.25">
      <c r="B106" s="140"/>
      <c r="C106" s="140"/>
      <c r="D106" s="140"/>
      <c r="E106" s="140"/>
      <c r="F106" s="140"/>
      <c r="G106" s="140"/>
      <c r="H106" s="140"/>
      <c r="I106" s="140"/>
    </row>
    <row r="107" spans="1:29" x14ac:dyDescent="0.25">
      <c r="B107" s="140"/>
      <c r="C107" s="140"/>
      <c r="D107" s="140"/>
      <c r="E107" s="140"/>
      <c r="F107" s="140"/>
      <c r="G107" s="140"/>
      <c r="H107" s="140"/>
      <c r="I107" s="140"/>
    </row>
  </sheetData>
  <sheetProtection algorithmName="SHA-512" hashValue="1M1DrWgdrP/Dxngjh84X3Aohkaa9vQFLeb7AvkULA90JK2QzmTA+p+/HBzJFVgnlbt34X4fOdzS4oxus2iHMqA==" saltValue="sIIaYJ6EIT0lLLJKllg7iA==" spinCount="100000" sheet="1" selectLockedCells="1"/>
  <mergeCells count="5">
    <mergeCell ref="C3:D3"/>
    <mergeCell ref="B32:I37"/>
    <mergeCell ref="B31:I31"/>
    <mergeCell ref="B39:I39"/>
    <mergeCell ref="B40:I45"/>
  </mergeCells>
  <conditionalFormatting sqref="B39:I45">
    <cfRule type="expression" dxfId="215" priority="2">
      <formula>$D$18="No"</formula>
    </cfRule>
  </conditionalFormatting>
  <dataValidations count="5">
    <dataValidation type="list" allowBlank="1" showInputMessage="1" showErrorMessage="1" error="Please select from the dropdown menu" sqref="D8" xr:uid="{06F53E83-4E01-47A5-B2A8-CE2BA1630612}">
      <formula1>"INDEPENDENT RESTAURATEURS,HOSPITALITY,RETAIL,MULTI-SEGMENT"</formula1>
    </dataValidation>
    <dataValidation type="list" allowBlank="1" showInputMessage="1" showErrorMessage="1" sqref="D12" xr:uid="{6C9A9740-786D-439D-8842-F9CFA15CE546}">
      <formula1>"Yes,No"</formula1>
    </dataValidation>
    <dataValidation type="list" allowBlank="1" showInputMessage="1" showErrorMessage="1" error="Please select from the dropdown menu" sqref="D14" xr:uid="{00000000-0002-0000-0100-000001000000}">
      <formula1>$Z$12:$Z$17</formula1>
    </dataValidation>
    <dataValidation type="list" allowBlank="1" showInputMessage="1" showErrorMessage="1" error="Please select from the dropdown menu" sqref="D18 D20"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D16</xm:sqref>
        </x14:dataValidation>
        <x14:dataValidation type="list" allowBlank="1" showInputMessage="1" showErrorMessage="1" error="Please select from the dropdown menu" xr:uid="{00000000-0002-0000-0100-000000000000}">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B50"/>
  <sheetViews>
    <sheetView topLeftCell="E1" zoomScale="82" zoomScaleNormal="82" zoomScaleSheetLayoutView="80" workbookViewId="0">
      <selection activeCell="G6" sqref="G6"/>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33.140625" style="1031" customWidth="1"/>
    <col min="9" max="9" width="17" style="1093" customWidth="1"/>
    <col min="10" max="10" width="23.140625" style="1093"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1031" customWidth="1"/>
    <col min="22" max="22" width="13.28515625" style="1031"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4" width="8.85546875" hidden="1" customWidth="1"/>
    <col min="35" max="36" width="0" hidden="1" customWidth="1"/>
    <col min="37" max="37" width="12.7109375" hidden="1" customWidth="1"/>
    <col min="38" max="38" width="8.85546875" hidden="1" customWidth="1"/>
    <col min="39" max="39" width="10.5703125" hidden="1" customWidth="1"/>
    <col min="40" max="40" width="8.85546875" hidden="1" customWidth="1"/>
    <col min="43" max="43" width="8.85546875" hidden="1" customWidth="1"/>
  </cols>
  <sheetData>
    <row r="1" spans="1:54" ht="10.9" customHeight="1" thickBot="1" x14ac:dyDescent="0.3">
      <c r="E1" s="140"/>
      <c r="F1" s="140"/>
      <c r="G1" s="421"/>
      <c r="H1" s="421"/>
      <c r="I1" s="421"/>
      <c r="J1" s="421"/>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c r="AX1" s="140"/>
      <c r="AY1" s="140"/>
      <c r="AZ1" s="140"/>
      <c r="BA1" s="140"/>
      <c r="BB1" s="140"/>
    </row>
    <row r="2" spans="1:54" ht="21" x14ac:dyDescent="0.35">
      <c r="E2" s="748"/>
      <c r="F2" s="1211" t="s">
        <v>944</v>
      </c>
      <c r="G2" s="1211"/>
      <c r="H2" s="1030"/>
      <c r="I2" s="1092"/>
      <c r="J2" s="1092"/>
      <c r="K2" s="672"/>
      <c r="L2" s="672"/>
      <c r="M2" s="672"/>
      <c r="N2" s="672"/>
      <c r="O2" s="672"/>
      <c r="P2" s="141"/>
      <c r="Q2" s="141"/>
      <c r="R2" s="141"/>
      <c r="S2" s="672"/>
      <c r="T2" s="672"/>
      <c r="U2" s="672"/>
      <c r="V2" s="672"/>
      <c r="W2" s="673"/>
      <c r="X2" s="140"/>
      <c r="Y2" s="140"/>
      <c r="Z2" s="140"/>
      <c r="AA2" s="140"/>
      <c r="AB2" s="140"/>
      <c r="AC2" s="140"/>
      <c r="AD2" s="140"/>
      <c r="AE2" s="140"/>
      <c r="AF2" s="140"/>
      <c r="AG2" s="140"/>
      <c r="AH2" s="140"/>
      <c r="AI2" s="140"/>
      <c r="AJ2" s="140"/>
      <c r="AL2" s="140"/>
      <c r="AM2" s="140"/>
      <c r="AN2" s="140"/>
      <c r="AO2" s="140"/>
      <c r="AP2" s="140"/>
      <c r="AQ2" s="140"/>
      <c r="AR2" s="140"/>
      <c r="AS2" s="140"/>
      <c r="AT2" s="140"/>
      <c r="AU2" s="140"/>
      <c r="AV2" s="140"/>
      <c r="AW2" s="140"/>
      <c r="AX2" s="140"/>
      <c r="AY2" s="140"/>
      <c r="AZ2" s="140"/>
      <c r="BA2" s="140"/>
      <c r="BB2" s="140"/>
    </row>
    <row r="3" spans="1:54" ht="27" customHeight="1" x14ac:dyDescent="0.25">
      <c r="E3" s="674"/>
      <c r="F3" s="804"/>
      <c r="G3" s="804"/>
      <c r="H3" s="804"/>
      <c r="I3" s="804"/>
      <c r="J3" s="804"/>
      <c r="K3" s="804"/>
      <c r="L3" s="1216"/>
      <c r="M3" s="1216"/>
      <c r="N3" s="1216"/>
      <c r="O3" s="805"/>
      <c r="P3" s="1212" t="str">
        <f>IF(COUNTIFS($P$6:$P$15,"&gt;0")&lt;$C$4,"Must Enter Expected Sales for All Locations","")</f>
        <v/>
      </c>
      <c r="Q3" s="1212"/>
      <c r="R3" s="1212"/>
      <c r="S3" s="804"/>
      <c r="T3" s="804"/>
      <c r="U3" s="804"/>
      <c r="V3" s="804"/>
      <c r="W3" s="675"/>
      <c r="X3" s="140"/>
      <c r="Y3" s="140"/>
      <c r="Z3" s="140"/>
      <c r="AA3" s="140"/>
      <c r="AB3" s="140"/>
      <c r="AC3" s="140"/>
      <c r="AD3" s="140"/>
      <c r="AE3" s="140"/>
      <c r="AF3" s="140"/>
      <c r="AG3" s="140"/>
      <c r="AH3" s="140"/>
      <c r="AI3" s="140"/>
      <c r="AJ3" s="140"/>
      <c r="AL3" s="140"/>
      <c r="AM3" s="140"/>
      <c r="AN3" s="140"/>
      <c r="AO3" s="140"/>
      <c r="AP3" s="140"/>
      <c r="AQ3" s="140"/>
      <c r="AR3" s="140"/>
      <c r="AS3" s="140"/>
      <c r="AT3" s="140"/>
      <c r="AU3" s="140"/>
      <c r="AV3" s="140"/>
      <c r="AW3" s="140"/>
      <c r="AX3" s="140"/>
      <c r="AY3" s="140"/>
      <c r="AZ3" s="140"/>
      <c r="BA3" s="140"/>
      <c r="BB3" s="140"/>
    </row>
    <row r="4" spans="1:54" ht="21" customHeight="1" thickBot="1" x14ac:dyDescent="0.3">
      <c r="C4" s="147">
        <f>IF(Welcome!$D$16="Select # of Locations",0,Welcome!$D$16)</f>
        <v>0</v>
      </c>
      <c r="D4" s="147"/>
      <c r="E4" s="401"/>
      <c r="F4" s="806"/>
      <c r="G4" s="806"/>
      <c r="H4" s="806"/>
      <c r="I4" s="806"/>
      <c r="J4" s="806"/>
      <c r="K4" s="806"/>
      <c r="L4" s="806"/>
      <c r="M4" s="806"/>
      <c r="N4" s="806"/>
      <c r="O4" s="1213" t="str">
        <f>IF(COUNTIFS($P$6:$P$15,"&gt;0")&lt;$C$4,"VVVVV","")</f>
        <v/>
      </c>
      <c r="P4" s="1213"/>
      <c r="Q4" s="1213"/>
      <c r="R4" s="804"/>
      <c r="S4" s="804"/>
      <c r="T4" s="807"/>
      <c r="U4" s="807"/>
      <c r="V4" s="807"/>
      <c r="W4" s="675"/>
      <c r="X4" s="140"/>
      <c r="Y4" s="140"/>
      <c r="Z4" s="140"/>
      <c r="AA4" s="140"/>
      <c r="AB4" s="140"/>
      <c r="AE4" s="2"/>
      <c r="AF4" s="140"/>
      <c r="AH4" s="140"/>
      <c r="AI4" s="140"/>
      <c r="AJ4" s="140"/>
      <c r="AK4" s="482">
        <f>Welcome!D8</f>
        <v>0</v>
      </c>
      <c r="AL4" s="482"/>
      <c r="AM4" s="482"/>
      <c r="AN4" s="800">
        <f>COUNTIF($AN$6:$AN$15,"FLAG")</f>
        <v>0</v>
      </c>
      <c r="AO4" s="140"/>
      <c r="AP4" s="140"/>
      <c r="AQ4" s="140"/>
      <c r="AR4" s="140"/>
      <c r="AS4" s="140"/>
      <c r="AT4" s="140"/>
      <c r="AU4" s="140"/>
      <c r="AV4" s="140"/>
      <c r="AW4" s="140"/>
      <c r="AX4" s="140"/>
      <c r="AY4" s="140"/>
      <c r="AZ4" s="140"/>
      <c r="BA4" s="140"/>
      <c r="BB4" s="140"/>
    </row>
    <row r="5" spans="1:54" ht="49.5" customHeight="1" thickBot="1" x14ac:dyDescent="0.3">
      <c r="E5" s="674"/>
      <c r="F5" s="746" t="s">
        <v>1072</v>
      </c>
      <c r="G5" s="1100" t="s">
        <v>755</v>
      </c>
      <c r="H5" s="1099" t="s">
        <v>1337</v>
      </c>
      <c r="I5" s="1100" t="s">
        <v>1419</v>
      </c>
      <c r="J5" s="699" t="s">
        <v>1420</v>
      </c>
      <c r="K5" s="1032" t="s">
        <v>942</v>
      </c>
      <c r="L5" s="700" t="s">
        <v>1338</v>
      </c>
      <c r="M5" s="700" t="s">
        <v>1345</v>
      </c>
      <c r="N5" s="700" t="s">
        <v>940</v>
      </c>
      <c r="O5" s="701" t="s">
        <v>1339</v>
      </c>
      <c r="P5" s="814" t="s">
        <v>1340</v>
      </c>
      <c r="Q5" s="815" t="s">
        <v>1341</v>
      </c>
      <c r="R5" s="815" t="s">
        <v>1342</v>
      </c>
      <c r="S5" s="815" t="s">
        <v>205</v>
      </c>
      <c r="T5" s="1036" t="s">
        <v>1343</v>
      </c>
      <c r="U5" s="1038" t="s">
        <v>1344</v>
      </c>
      <c r="V5" s="1042" t="s">
        <v>1258</v>
      </c>
      <c r="W5" s="675"/>
      <c r="X5" s="670" t="s">
        <v>468</v>
      </c>
      <c r="Y5" s="56" t="s">
        <v>943</v>
      </c>
      <c r="Z5" s="56" t="s">
        <v>205</v>
      </c>
      <c r="AA5" s="56" t="s">
        <v>519</v>
      </c>
      <c r="AB5" s="140"/>
      <c r="AC5" t="s">
        <v>959</v>
      </c>
      <c r="AD5">
        <f>MAX(AD6:AD15)</f>
        <v>0</v>
      </c>
      <c r="AE5" s="2"/>
      <c r="AF5" s="140"/>
      <c r="AH5" s="140"/>
      <c r="AI5" s="140"/>
      <c r="AJ5" s="140"/>
      <c r="AK5" s="140" t="s">
        <v>1168</v>
      </c>
      <c r="AL5" s="140" t="s">
        <v>1169</v>
      </c>
      <c r="AM5" s="140" t="s">
        <v>1170</v>
      </c>
      <c r="AN5" s="140" t="s">
        <v>1171</v>
      </c>
      <c r="AO5" s="140"/>
      <c r="AP5" s="140"/>
      <c r="AQ5" s="140"/>
      <c r="AR5" s="140"/>
      <c r="AS5" s="140"/>
      <c r="AT5" s="140"/>
      <c r="AU5" s="140"/>
      <c r="AV5" s="140"/>
      <c r="AW5" s="140"/>
      <c r="AX5" s="140"/>
      <c r="AY5" s="140"/>
      <c r="AZ5" s="140"/>
      <c r="BA5" s="140"/>
      <c r="BB5" s="140"/>
    </row>
    <row r="6" spans="1:54" x14ac:dyDescent="0.25">
      <c r="A6" t="str">
        <f t="shared" ref="A6:A15" si="0">IFERROR(RANK($AE6,$AE$6:$AE$15,1),"")</f>
        <v/>
      </c>
      <c r="B6">
        <f t="shared" ref="B6:B15" si="1">IF($G6="New Store",$G6&amp;" "&amp;$AC6,$G6)</f>
        <v>0</v>
      </c>
      <c r="C6" s="147">
        <v>1</v>
      </c>
      <c r="D6" s="147"/>
      <c r="E6" s="745"/>
      <c r="F6" s="659" t="str">
        <f>IF(Welcome!$D$16="Select # of Locations","",IF($C6&lt;=Welcome!$D$16,$C6,""))</f>
        <v/>
      </c>
      <c r="G6" s="1104"/>
      <c r="H6" s="1101"/>
      <c r="I6" s="1105" t="str">
        <f>IF(G6="","",IF('Tracking &amp; Profitability'!$E$6=0,"",'Tracking &amp; Profitability'!$E$6))</f>
        <v/>
      </c>
      <c r="J6" s="1151" t="str">
        <f>IF(G6="","",IF('Tracking &amp; Profitability'!$E$7=0,"",'Tracking &amp; Profitability'!$E$7))</f>
        <v/>
      </c>
      <c r="K6" s="1033" t="str">
        <f>IF($C$4&gt;=$C6,IF(SUMIF('Existing Customers'!$A:$A,'Customer Inputs'!$G6,'Existing Customers'!$Q:$Q)=0,"Enter Spend&gt;&gt;&gt;",ROUND(SUMIF('Existing Customers'!$A:$A,'Customer Inputs'!$G6,'Existing Customers'!$Q:$Q),0)),"")</f>
        <v/>
      </c>
      <c r="L6" s="801" t="str">
        <f>IF($F6="","",'Multi-Customer'!$AU47)</f>
        <v/>
      </c>
      <c r="M6" s="802" t="str">
        <f>IF($F6="","",IFERROR(VLOOKUP($G6,'Existing Customers'!$A:$F,6,FALSE),"Enter Menu Type&gt;&gt;"))</f>
        <v/>
      </c>
      <c r="N6" s="803" t="str">
        <f>IFERROR(IF($C$4&gt;=$C6,VLOOKUP($G6,'Existing Customers'!$A:$J,10,FALSE),""),"Enter Zip Code &gt;")</f>
        <v/>
      </c>
      <c r="O6" s="812" t="str">
        <f>IF($F6="","",'Multi-Customer'!$AU48)</f>
        <v/>
      </c>
      <c r="P6" s="818"/>
      <c r="Q6" s="679"/>
      <c r="R6" s="819"/>
      <c r="S6" s="820"/>
      <c r="T6" s="820"/>
      <c r="U6" s="1037"/>
      <c r="V6" s="1041"/>
      <c r="W6" s="1040" t="str">
        <f>IF($F6="","",'Variable Costs (Back)'!$A15)</f>
        <v/>
      </c>
      <c r="X6" s="671" t="str">
        <f>IF(Q6="",L6,Q6)</f>
        <v/>
      </c>
      <c r="Y6" s="56" t="str">
        <f t="shared" ref="Y6:Y15" si="2">IF(K6="Enter Spend&gt;&gt;&gt;",R6,M6)</f>
        <v/>
      </c>
      <c r="Z6" s="56" t="str">
        <f t="shared" ref="Z6:Z15" si="3">IF(K6="Enter Spend&gt;&gt;&gt;",S6,N6)</f>
        <v/>
      </c>
      <c r="AA6" s="56" t="str">
        <f>IF(T6="",O6,T6)</f>
        <v/>
      </c>
      <c r="AB6" s="140">
        <f>IFERROR(AA6*(P6/$P$17),0)</f>
        <v>0</v>
      </c>
      <c r="AC6">
        <f>IF($G6="New Store",COUNTIF($G$6:$G$15,"New Store")-COUNTIF($G7:$G$15,"New Store"),0)</f>
        <v>0</v>
      </c>
      <c r="AD6" t="str">
        <f t="shared" ref="AD6:AD15" si="4">IFERROR(RANK($AE6,$AE$6:$AE$15,1),"")</f>
        <v/>
      </c>
      <c r="AE6" s="2" t="str">
        <f t="shared" ref="AE6:AE15" si="5">IF($G6="New Store",$F6,IF($K6="Enter Spend&gt;&gt;&gt;",$F6,""))</f>
        <v/>
      </c>
      <c r="AF6" s="140"/>
      <c r="AH6" s="140"/>
      <c r="AI6" s="140"/>
      <c r="AJ6" s="140"/>
      <c r="AK6" s="140" t="b">
        <f>NOT(ISERROR(IFERROR(VLOOKUP($G6&amp;"",'HOS_Modellable Customers'!$A:$A,1,0),VLOOKUP($G6,'HOS_Modellable Customers'!$A:$A,1,0))))</f>
        <v>0</v>
      </c>
      <c r="AL6" s="140" t="b">
        <f>NOT(ISERROR(IFERROR(VLOOKUP($G6&amp;"",'Modellable Customers'!$A:$A,1,0),VLOOKUP($G6,'Modellable Customers'!$A:$A,1,0))))</f>
        <v>0</v>
      </c>
      <c r="AM6" s="140" t="b">
        <f>IF(K6="Enter Spend&gt;&gt;&gt;",TRUE,FALSE)</f>
        <v>0</v>
      </c>
      <c r="AN6" s="140" t="str">
        <f>IF(G6="","CLEAR",IF(AM6=TRUE,"CLEAR",IF(AND($AK$4="HOSPITALITY",AK6=TRUE),"CLEAR",IF(AND($AK$4="INDEPENDENT RESTAURATEURS",AL6=TRUE),"CLEAR","FLAG"))))</f>
        <v>CLEAR</v>
      </c>
      <c r="AO6" s="140"/>
      <c r="AP6" s="140"/>
      <c r="AQ6" s="1039" t="str">
        <f>IF($F6="","",IF(OR(U6="",U6="Existing"),IFERROR(VLOOKUP($G6,'Existing Customers'!$A:$F,4,FALSE),""),""))</f>
        <v/>
      </c>
      <c r="AR6" s="140"/>
      <c r="AS6" s="140"/>
      <c r="AT6" s="140"/>
      <c r="AU6" s="140"/>
      <c r="AV6" s="140"/>
      <c r="AW6" s="140"/>
      <c r="AX6" s="140"/>
      <c r="AY6" s="140"/>
      <c r="AZ6" s="140"/>
      <c r="BA6" s="140"/>
      <c r="BB6" s="140"/>
    </row>
    <row r="7" spans="1:54" x14ac:dyDescent="0.25">
      <c r="A7" t="str">
        <f t="shared" si="0"/>
        <v/>
      </c>
      <c r="B7">
        <f t="shared" si="1"/>
        <v>0</v>
      </c>
      <c r="C7" s="147">
        <v>2</v>
      </c>
      <c r="D7" s="147"/>
      <c r="E7" s="745"/>
      <c r="F7" s="660" t="str">
        <f>IF(Welcome!$D$16="Select # of Locations","",IF($C7&lt;=Welcome!$D$16,$C7,""))</f>
        <v/>
      </c>
      <c r="G7" s="1102"/>
      <c r="H7" s="1097"/>
      <c r="I7" s="1105" t="str">
        <f>IF(G7="","",IF('Tracking &amp; Profitability'!$E$6=0,"",'Tracking &amp; Profitability'!$E$6))</f>
        <v/>
      </c>
      <c r="J7" s="1153" t="str">
        <f>IF(G7="","",IF('Tracking &amp; Profitability'!$E$7=0,"",'Tracking &amp; Profitability'!$E$7))</f>
        <v/>
      </c>
      <c r="K7" s="1034" t="str">
        <f>IF($C$4&gt;=$C7,IF(SUMIF('Existing Customers'!$A:$A,'Customer Inputs'!$G7,'Existing Customers'!$Q:$Q)=0,"Enter Spend&gt;&gt;&gt;",ROUND(SUMIF('Existing Customers'!$A:$A,'Customer Inputs'!$G7,'Existing Customers'!$Q:$Q),0)),"")</f>
        <v/>
      </c>
      <c r="L7" s="662" t="str">
        <f>IF($F7="","",'Multi-Customer'!$BD47)</f>
        <v/>
      </c>
      <c r="M7" s="702" t="str">
        <f>IF($F7="","",IFERROR(VLOOKUP($G7,'Existing Customers'!$A:$F,6,FALSE),"Enter Menu Type&gt;&gt;"))</f>
        <v/>
      </c>
      <c r="N7" s="798" t="str">
        <f>IFERROR(IF($C$4&gt;=$C7,VLOOKUP($G7,'Existing Customers'!$A:$J,10,FALSE),""),"Enter Zip Code &gt;")</f>
        <v/>
      </c>
      <c r="O7" s="813" t="str">
        <f>IF($F7="","",'Multi-Customer'!$BD48)</f>
        <v/>
      </c>
      <c r="P7" s="821"/>
      <c r="Q7" s="680"/>
      <c r="R7" s="816"/>
      <c r="S7" s="817"/>
      <c r="T7" s="817"/>
      <c r="U7" s="817"/>
      <c r="V7" s="664"/>
      <c r="W7" s="1040" t="str">
        <f>IF($F7="","",'Variable Costs (Back)'!$A16)</f>
        <v/>
      </c>
      <c r="X7" s="671" t="str">
        <f t="shared" ref="X7:X15" si="6">IF(Q7="",L7,Q7)</f>
        <v/>
      </c>
      <c r="Y7" s="56" t="str">
        <f t="shared" si="2"/>
        <v/>
      </c>
      <c r="Z7" s="56" t="str">
        <f t="shared" si="3"/>
        <v/>
      </c>
      <c r="AA7" s="56" t="str">
        <f t="shared" ref="AA7:AA15" si="7">IF(T7="",O7,T7)</f>
        <v/>
      </c>
      <c r="AB7" s="140">
        <f t="shared" ref="AB7:AB15" si="8">IFERROR(AA7*(P7/$P$17),0)</f>
        <v>0</v>
      </c>
      <c r="AC7">
        <f>IF($G7="New Store",COUNTIF($G$6:$G$15,"New Store")-COUNTIF($G8:$G$15,"New Store"),0)</f>
        <v>0</v>
      </c>
      <c r="AD7" t="str">
        <f t="shared" si="4"/>
        <v/>
      </c>
      <c r="AE7" s="2" t="str">
        <f t="shared" si="5"/>
        <v/>
      </c>
      <c r="AF7" s="140"/>
      <c r="AH7" s="140"/>
      <c r="AI7" s="140"/>
      <c r="AJ7" s="140"/>
      <c r="AK7" s="140" t="b">
        <f>NOT(ISERROR(IFERROR(VLOOKUP($G7&amp;"",'HOS_Modellable Customers'!$A:$A,1,0),VLOOKUP($G7,'HOS_Modellable Customers'!$A:$A,1,0))))</f>
        <v>0</v>
      </c>
      <c r="AL7" s="140" t="b">
        <f>NOT(ISERROR(IFERROR(VLOOKUP($G7&amp;"",'Modellable Customers'!$A:$A,1,0),VLOOKUP($G7,'Modellable Customers'!$A:$A,1,0))))</f>
        <v>0</v>
      </c>
      <c r="AM7" s="140" t="b">
        <f t="shared" ref="AM7:AM12" si="9">IF(K7="Enter Spend&gt;&gt;&gt;",TRUE,FALSE)</f>
        <v>0</v>
      </c>
      <c r="AN7" s="140" t="str">
        <f t="shared" ref="AN7:AN15" si="10">IF(G7="","CLEAR",IF(AM7=TRUE,"CLEAR",IF(AND($AK$4="HOSPITALITY",AK7=TRUE),"CLEAR",IF(AND($AK$4="INDEPENDENT RESTAURATEURS",AL7=TRUE),"CLEAR","FLAG"))))</f>
        <v>CLEAR</v>
      </c>
      <c r="AO7" s="140"/>
      <c r="AP7" s="140"/>
      <c r="AQ7" s="1039" t="str">
        <f>IF($F7="","",IF(OR(U7="",U7="Existing"),IFERROR(VLOOKUP($G7,'Existing Customers'!$A:$F,4,FALSE),""),""))</f>
        <v/>
      </c>
      <c r="AR7" s="140"/>
      <c r="AS7" s="140"/>
      <c r="AT7" s="140"/>
      <c r="AU7" s="140"/>
      <c r="AV7" s="140"/>
      <c r="AW7" s="140"/>
      <c r="AX7" s="140"/>
      <c r="AY7" s="140"/>
      <c r="AZ7" s="140"/>
      <c r="BA7" s="140"/>
      <c r="BB7" s="140"/>
    </row>
    <row r="8" spans="1:54" x14ac:dyDescent="0.25">
      <c r="A8" t="str">
        <f t="shared" si="0"/>
        <v/>
      </c>
      <c r="B8">
        <f t="shared" si="1"/>
        <v>0</v>
      </c>
      <c r="C8" s="147">
        <v>3</v>
      </c>
      <c r="D8" s="147"/>
      <c r="E8" s="745"/>
      <c r="F8" s="660" t="str">
        <f>IF(Welcome!$D$16="Select # of Locations","",IF($C8&lt;=Welcome!$D$16,$C8,""))</f>
        <v/>
      </c>
      <c r="G8" s="1102"/>
      <c r="H8" s="1097"/>
      <c r="I8" s="1105" t="str">
        <f>IF(G8="","",IF('Tracking &amp; Profitability'!$E$6=0,"",'Tracking &amp; Profitability'!$E$6))</f>
        <v/>
      </c>
      <c r="J8" s="1153" t="str">
        <f>IF(G8="","",IF('Tracking &amp; Profitability'!$E$7=0,"",'Tracking &amp; Profitability'!$E$7))</f>
        <v/>
      </c>
      <c r="K8" s="1034" t="str">
        <f>IF($C$4&gt;=$C8,IF(SUMIF('Existing Customers'!$A:$A,'Customer Inputs'!$G8,'Existing Customers'!$Q:$Q)=0,"Enter Spend&gt;&gt;&gt;",ROUND(SUMIF('Existing Customers'!$A:$A,'Customer Inputs'!$G8,'Existing Customers'!$Q:$Q),0)),"")</f>
        <v/>
      </c>
      <c r="L8" s="662" t="str">
        <f>IF($F8="","",'Multi-Customer'!$BM47)</f>
        <v/>
      </c>
      <c r="M8" s="702" t="str">
        <f>IF($F8="","",IFERROR(VLOOKUP($G8,'Existing Customers'!$A:$F,6,FALSE),"Enter Menu Type&gt;&gt;"))</f>
        <v/>
      </c>
      <c r="N8" s="798" t="str">
        <f>IFERROR(IF($C$4&gt;=$C8,VLOOKUP($G8,'Existing Customers'!$A:$J,10,FALSE),""),"Enter Zip Code &gt;")</f>
        <v/>
      </c>
      <c r="O8" s="813" t="str">
        <f>IF($F8="","",'Multi-Customer'!$BM48)</f>
        <v/>
      </c>
      <c r="P8" s="821"/>
      <c r="Q8" s="680"/>
      <c r="R8" s="816"/>
      <c r="S8" s="817"/>
      <c r="T8" s="817"/>
      <c r="U8" s="817"/>
      <c r="V8" s="664"/>
      <c r="W8" s="1040" t="str">
        <f>IF($F8="","",'Variable Costs (Back)'!$A17)</f>
        <v/>
      </c>
      <c r="X8" s="671" t="str">
        <f t="shared" si="6"/>
        <v/>
      </c>
      <c r="Y8" s="56" t="str">
        <f t="shared" si="2"/>
        <v/>
      </c>
      <c r="Z8" s="56" t="str">
        <f t="shared" si="3"/>
        <v/>
      </c>
      <c r="AA8" s="56" t="str">
        <f t="shared" si="7"/>
        <v/>
      </c>
      <c r="AB8" s="140">
        <f t="shared" si="8"/>
        <v>0</v>
      </c>
      <c r="AC8">
        <f>IF($G8="New Store",COUNTIF($G$6:$G$15,"New Store")-COUNTIF($G9:$G$15,"New Store"),0)</f>
        <v>0</v>
      </c>
      <c r="AD8" t="str">
        <f t="shared" si="4"/>
        <v/>
      </c>
      <c r="AE8" s="2" t="str">
        <f t="shared" si="5"/>
        <v/>
      </c>
      <c r="AF8" s="140"/>
      <c r="AH8" s="140"/>
      <c r="AI8" s="140"/>
      <c r="AJ8" s="140"/>
      <c r="AK8" s="140" t="b">
        <f>NOT(ISERROR(IFERROR(VLOOKUP($G8&amp;"",'HOS_Modellable Customers'!$A:$A,1,0),VLOOKUP($G8,'HOS_Modellable Customers'!$A:$A,1,0))))</f>
        <v>0</v>
      </c>
      <c r="AL8" s="140" t="b">
        <f>NOT(ISERROR(IFERROR(VLOOKUP($G8&amp;"",'Modellable Customers'!$A:$A,1,0),VLOOKUP($G8,'Modellable Customers'!$A:$A,1,0))))</f>
        <v>0</v>
      </c>
      <c r="AM8" s="140" t="b">
        <f t="shared" si="9"/>
        <v>0</v>
      </c>
      <c r="AN8" s="140" t="str">
        <f t="shared" si="10"/>
        <v>CLEAR</v>
      </c>
      <c r="AO8" s="140"/>
      <c r="AP8" s="140"/>
      <c r="AQ8" s="1039" t="str">
        <f>IF($F8="","",IF(OR(U8="",U8="Existing"),IFERROR(VLOOKUP($G8,'Existing Customers'!$A:$F,4,FALSE),""),""))</f>
        <v/>
      </c>
      <c r="AR8" s="140"/>
      <c r="AS8" s="140"/>
      <c r="AT8" s="140"/>
      <c r="AU8" s="140"/>
      <c r="AV8" s="140"/>
      <c r="AW8" s="140"/>
      <c r="AX8" s="140"/>
      <c r="AY8" s="140"/>
      <c r="AZ8" s="140"/>
      <c r="BA8" s="140"/>
      <c r="BB8" s="140"/>
    </row>
    <row r="9" spans="1:54" x14ac:dyDescent="0.25">
      <c r="A9" t="str">
        <f t="shared" si="0"/>
        <v/>
      </c>
      <c r="B9">
        <f t="shared" si="1"/>
        <v>0</v>
      </c>
      <c r="C9" s="147">
        <v>4</v>
      </c>
      <c r="D9" s="147"/>
      <c r="E9" s="745"/>
      <c r="F9" s="660" t="str">
        <f>IF(Welcome!$D$16="Select # of Locations","",IF($C9&lt;=Welcome!$D$16,$C9,""))</f>
        <v/>
      </c>
      <c r="G9" s="1102"/>
      <c r="H9" s="1097"/>
      <c r="I9" s="1105" t="str">
        <f>IF(G9="","",IF('Tracking &amp; Profitability'!$E$6=0,"",'Tracking &amp; Profitability'!$E$6))</f>
        <v/>
      </c>
      <c r="J9" s="1153" t="str">
        <f>IF(G9="","",IF('Tracking &amp; Profitability'!$E$7=0,"",'Tracking &amp; Profitability'!$E$7))</f>
        <v/>
      </c>
      <c r="K9" s="1034" t="str">
        <f>IF($C$4&gt;=$C9,IF(SUMIF('Existing Customers'!$A:$A,'Customer Inputs'!$G9,'Existing Customers'!$Q:$Q)=0,"Enter Spend&gt;&gt;&gt;",ROUND(SUMIF('Existing Customers'!$A:$A,'Customer Inputs'!$G9,'Existing Customers'!$Q:$Q),0)),"")</f>
        <v/>
      </c>
      <c r="L9" s="662" t="str">
        <f>IF($F9="","",'Multi-Customer'!$BV47)</f>
        <v/>
      </c>
      <c r="M9" s="702" t="str">
        <f>IF($F9="","",IFERROR(VLOOKUP($G9,'Existing Customers'!$A:$F,6,FALSE),"Enter Menu Type&gt;&gt;"))</f>
        <v/>
      </c>
      <c r="N9" s="798" t="str">
        <f>IFERROR(IF($C$4&gt;=$C9,VLOOKUP($G9,'Existing Customers'!$A:$J,10,FALSE),""),"Enter Zip Code &gt;")</f>
        <v/>
      </c>
      <c r="O9" s="813" t="str">
        <f>IF($F9="","",'Multi-Customer'!$BV48)</f>
        <v/>
      </c>
      <c r="P9" s="821"/>
      <c r="Q9" s="680"/>
      <c r="R9" s="816"/>
      <c r="S9" s="817"/>
      <c r="T9" s="817"/>
      <c r="U9" s="817"/>
      <c r="V9" s="664"/>
      <c r="W9" s="1040" t="str">
        <f>IF($F9="","",'Variable Costs (Back)'!$A18)</f>
        <v/>
      </c>
      <c r="X9" s="671" t="str">
        <f>IF(Q9="",L9,Q9)</f>
        <v/>
      </c>
      <c r="Y9" s="56" t="str">
        <f t="shared" si="2"/>
        <v/>
      </c>
      <c r="Z9" s="56" t="str">
        <f t="shared" si="3"/>
        <v/>
      </c>
      <c r="AA9" s="56" t="str">
        <f t="shared" si="7"/>
        <v/>
      </c>
      <c r="AB9" s="140">
        <f t="shared" si="8"/>
        <v>0</v>
      </c>
      <c r="AC9">
        <f>IF($G9="New Store",COUNTIF($G$6:$G$15,"New Store")-COUNTIF($G10:$G$15,"New Store"),0)</f>
        <v>0</v>
      </c>
      <c r="AD9" t="str">
        <f t="shared" si="4"/>
        <v/>
      </c>
      <c r="AE9" s="2" t="str">
        <f t="shared" si="5"/>
        <v/>
      </c>
      <c r="AF9" s="140"/>
      <c r="AH9" s="140"/>
      <c r="AI9" s="140"/>
      <c r="AJ9" s="140"/>
      <c r="AK9" s="140" t="b">
        <f>NOT(ISERROR(IFERROR(VLOOKUP($G9&amp;"",'HOS_Modellable Customers'!$A:$A,1,0),VLOOKUP($G9,'HOS_Modellable Customers'!$A:$A,1,0))))</f>
        <v>0</v>
      </c>
      <c r="AL9" s="140" t="b">
        <f>NOT(ISERROR(IFERROR(VLOOKUP($G9&amp;"",'Modellable Customers'!$A:$A,1,0),VLOOKUP($G9,'Modellable Customers'!$A:$A,1,0))))</f>
        <v>0</v>
      </c>
      <c r="AM9" s="140" t="b">
        <f t="shared" si="9"/>
        <v>0</v>
      </c>
      <c r="AN9" s="140" t="str">
        <f t="shared" si="10"/>
        <v>CLEAR</v>
      </c>
      <c r="AO9" s="140"/>
      <c r="AP9" s="140"/>
      <c r="AQ9" s="1039" t="str">
        <f>IF($F9="","",IF(OR(U9="",U9="Existing"),IFERROR(VLOOKUP($G9,'Existing Customers'!$A:$F,4,FALSE),""),""))</f>
        <v/>
      </c>
      <c r="AR9" s="140"/>
      <c r="AS9" s="140"/>
      <c r="AT9" s="140"/>
      <c r="AU9" s="140"/>
      <c r="AV9" s="140"/>
      <c r="AW9" s="140"/>
      <c r="AX9" s="140"/>
      <c r="AY9" s="140"/>
      <c r="AZ9" s="140"/>
      <c r="BA9" s="140"/>
      <c r="BB9" s="140"/>
    </row>
    <row r="10" spans="1:54" x14ac:dyDescent="0.25">
      <c r="A10" t="str">
        <f t="shared" si="0"/>
        <v/>
      </c>
      <c r="B10">
        <f t="shared" si="1"/>
        <v>0</v>
      </c>
      <c r="C10" s="147">
        <v>5</v>
      </c>
      <c r="D10" s="147"/>
      <c r="E10" s="745"/>
      <c r="F10" s="660" t="str">
        <f>IF(Welcome!$D$16="Select # of Locations","",IF($C10&lt;=Welcome!$D$16,$C10,""))</f>
        <v/>
      </c>
      <c r="G10" s="1102"/>
      <c r="H10" s="1097"/>
      <c r="I10" s="1105" t="str">
        <f>IF(G10="","",IF('Tracking &amp; Profitability'!$E$6=0,"",'Tracking &amp; Profitability'!$E$6))</f>
        <v/>
      </c>
      <c r="J10" s="1153" t="str">
        <f>IF(G10="","",IF('Tracking &amp; Profitability'!$E$7=0,"",'Tracking &amp; Profitability'!$E$7))</f>
        <v/>
      </c>
      <c r="K10" s="1034" t="str">
        <f>IF($C$4&gt;=$C10,IF(SUMIF('Existing Customers'!$A:$A,'Customer Inputs'!$G10,'Existing Customers'!$Q:$Q)=0,"Enter Spend&gt;&gt;&gt;",ROUND(SUMIF('Existing Customers'!$A:$A,'Customer Inputs'!$G10,'Existing Customers'!$Q:$Q),0)),"")</f>
        <v/>
      </c>
      <c r="L10" s="662" t="str">
        <f>IF($F10="","",'Multi-Customer'!$CE47)</f>
        <v/>
      </c>
      <c r="M10" s="702" t="str">
        <f>IF($F10="","",IFERROR(VLOOKUP($G10,'Existing Customers'!$A:$F,6,FALSE),"Enter Menu Type&gt;&gt;"))</f>
        <v/>
      </c>
      <c r="N10" s="798" t="str">
        <f>IFERROR(IF($C$4&gt;=$C10,VLOOKUP($G10,'Existing Customers'!$A:$J,10,FALSE),""),"Enter Zip Code &gt;")</f>
        <v/>
      </c>
      <c r="O10" s="813" t="str">
        <f>IF($F10="","",'Multi-Customer'!$CE48)</f>
        <v/>
      </c>
      <c r="P10" s="821"/>
      <c r="Q10" s="680"/>
      <c r="R10" s="816"/>
      <c r="S10" s="817"/>
      <c r="T10" s="817"/>
      <c r="U10" s="817"/>
      <c r="V10" s="664"/>
      <c r="W10" s="1040" t="str">
        <f>IF($F10="","",'Variable Costs (Back)'!$A19)</f>
        <v/>
      </c>
      <c r="X10" s="671" t="str">
        <f t="shared" si="6"/>
        <v/>
      </c>
      <c r="Y10" s="56" t="str">
        <f t="shared" si="2"/>
        <v/>
      </c>
      <c r="Z10" s="56" t="str">
        <f t="shared" si="3"/>
        <v/>
      </c>
      <c r="AA10" s="56" t="str">
        <f t="shared" si="7"/>
        <v/>
      </c>
      <c r="AB10" s="140">
        <f t="shared" si="8"/>
        <v>0</v>
      </c>
      <c r="AC10">
        <f>IF($G10="New Store",COUNTIF($G$6:$G$15,"New Store")-COUNTIF($G11:$G$15,"New Store"),0)</f>
        <v>0</v>
      </c>
      <c r="AD10" t="str">
        <f t="shared" si="4"/>
        <v/>
      </c>
      <c r="AE10" s="2" t="str">
        <f t="shared" si="5"/>
        <v/>
      </c>
      <c r="AF10" s="140"/>
      <c r="AH10" s="140"/>
      <c r="AI10" s="140"/>
      <c r="AJ10" s="140"/>
      <c r="AK10" s="140" t="b">
        <f>NOT(ISERROR(IFERROR(VLOOKUP($G10&amp;"",'HOS_Modellable Customers'!$A:$A,1,0),VLOOKUP($G10,'HOS_Modellable Customers'!$A:$A,1,0))))</f>
        <v>0</v>
      </c>
      <c r="AL10" s="140" t="b">
        <f>NOT(ISERROR(IFERROR(VLOOKUP($G10&amp;"",'Modellable Customers'!$A:$A,1,0),VLOOKUP($G10,'Modellable Customers'!$A:$A,1,0))))</f>
        <v>0</v>
      </c>
      <c r="AM10" s="140" t="b">
        <f t="shared" si="9"/>
        <v>0</v>
      </c>
      <c r="AN10" s="140" t="str">
        <f t="shared" si="10"/>
        <v>CLEAR</v>
      </c>
      <c r="AO10" s="140"/>
      <c r="AP10" s="140"/>
      <c r="AQ10" s="1039" t="str">
        <f>IF($F10="","",IF(OR(U10="",U10="Existing"),IFERROR(VLOOKUP($G10,'Existing Customers'!$A:$F,4,FALSE),""),""))</f>
        <v/>
      </c>
      <c r="AR10" s="140"/>
      <c r="AS10" s="140"/>
      <c r="AT10" s="140"/>
      <c r="AU10" s="140"/>
      <c r="AV10" s="140"/>
      <c r="AW10" s="140"/>
      <c r="AX10" s="140"/>
      <c r="AY10" s="140"/>
      <c r="AZ10" s="140"/>
      <c r="BA10" s="140"/>
      <c r="BB10" s="140"/>
    </row>
    <row r="11" spans="1:54" x14ac:dyDescent="0.25">
      <c r="A11" t="str">
        <f t="shared" si="0"/>
        <v/>
      </c>
      <c r="B11">
        <f t="shared" si="1"/>
        <v>0</v>
      </c>
      <c r="C11" s="147">
        <v>6</v>
      </c>
      <c r="D11" s="147"/>
      <c r="E11" s="745"/>
      <c r="F11" s="660" t="str">
        <f>IF(Welcome!$D$16="Select # of Locations","",IF($C11&lt;=Welcome!$D$16,$C11,""))</f>
        <v/>
      </c>
      <c r="G11" s="1102"/>
      <c r="H11" s="1097"/>
      <c r="I11" s="1105" t="str">
        <f>IF(G11="","",IF('Tracking &amp; Profitability'!$E$6=0,"",'Tracking &amp; Profitability'!$E$6))</f>
        <v/>
      </c>
      <c r="J11" s="1153" t="str">
        <f>IF(G11="","",IF('Tracking &amp; Profitability'!$E$7=0,"",'Tracking &amp; Profitability'!$E$7))</f>
        <v/>
      </c>
      <c r="K11" s="1034" t="str">
        <f>IF($C$4&gt;=$C11,IF(SUMIF('Existing Customers'!$A:$A,'Customer Inputs'!$G11,'Existing Customers'!$Q:$Q)=0,"Enter Spend&gt;&gt;&gt;",ROUND(SUMIF('Existing Customers'!$A:$A,'Customer Inputs'!$G11,'Existing Customers'!$Q:$Q),0)),"")</f>
        <v/>
      </c>
      <c r="L11" s="662" t="str">
        <f>IF($F11="","",'Multi-Customer'!$CN47)</f>
        <v/>
      </c>
      <c r="M11" s="702" t="str">
        <f>IF($F11="","",IFERROR(VLOOKUP($G11,'Existing Customers'!$A:$F,6,FALSE),"Enter Menu Type&gt;&gt;"))</f>
        <v/>
      </c>
      <c r="N11" s="798" t="str">
        <f>IFERROR(IF($C$4&gt;=$C11,VLOOKUP($G11,'Existing Customers'!$A:$J,10,FALSE),""),"Enter Zip Code &gt;")</f>
        <v/>
      </c>
      <c r="O11" s="813" t="str">
        <f>IF($F11="","",'Multi-Customer'!$CN48)</f>
        <v/>
      </c>
      <c r="P11" s="821"/>
      <c r="Q11" s="680"/>
      <c r="R11" s="816"/>
      <c r="S11" s="817"/>
      <c r="T11" s="817"/>
      <c r="U11" s="817"/>
      <c r="V11" s="664"/>
      <c r="W11" s="1040" t="str">
        <f>IF($F11="","",'Variable Costs (Back)'!$A20)</f>
        <v/>
      </c>
      <c r="X11" s="671" t="str">
        <f t="shared" si="6"/>
        <v/>
      </c>
      <c r="Y11" s="56" t="str">
        <f t="shared" si="2"/>
        <v/>
      </c>
      <c r="Z11" s="56" t="str">
        <f t="shared" si="3"/>
        <v/>
      </c>
      <c r="AA11" s="56" t="str">
        <f t="shared" si="7"/>
        <v/>
      </c>
      <c r="AB11" s="140">
        <f t="shared" si="8"/>
        <v>0</v>
      </c>
      <c r="AC11">
        <f>IF($G11="New Store",COUNTIF($G$6:$G$15,"New Store")-COUNTIF($G12:$G$15,"New Store"),0)</f>
        <v>0</v>
      </c>
      <c r="AD11" t="str">
        <f t="shared" si="4"/>
        <v/>
      </c>
      <c r="AE11" s="2" t="str">
        <f t="shared" si="5"/>
        <v/>
      </c>
      <c r="AF11" s="140"/>
      <c r="AH11" s="140"/>
      <c r="AI11" s="140"/>
      <c r="AJ11" s="140"/>
      <c r="AK11" s="140" t="b">
        <f>NOT(ISERROR(IFERROR(VLOOKUP($G11&amp;"",'HOS_Modellable Customers'!$A:$A,1,0),VLOOKUP($G11,'HOS_Modellable Customers'!$A:$A,1,0))))</f>
        <v>0</v>
      </c>
      <c r="AL11" s="140" t="b">
        <f>NOT(ISERROR(IFERROR(VLOOKUP($G11&amp;"",'Modellable Customers'!$A:$A,1,0),VLOOKUP($G11,'Modellable Customers'!$A:$A,1,0))))</f>
        <v>0</v>
      </c>
      <c r="AM11" s="140" t="b">
        <f t="shared" si="9"/>
        <v>0</v>
      </c>
      <c r="AN11" s="140" t="str">
        <f t="shared" si="10"/>
        <v>CLEAR</v>
      </c>
      <c r="AO11" s="140"/>
      <c r="AP11" s="140"/>
      <c r="AQ11" s="1039" t="str">
        <f>IF($F11="","",IF(OR(U11="",U11="Existing"),IFERROR(VLOOKUP($G11,'Existing Customers'!$A:$F,4,FALSE),""),""))</f>
        <v/>
      </c>
      <c r="AR11" s="140"/>
      <c r="AS11" s="140"/>
      <c r="AT11" s="140"/>
      <c r="AU11" s="140"/>
      <c r="AV11" s="140"/>
      <c r="AW11" s="140"/>
      <c r="AX11" s="140"/>
      <c r="AY11" s="140"/>
      <c r="AZ11" s="140"/>
      <c r="BA11" s="140"/>
      <c r="BB11" s="140"/>
    </row>
    <row r="12" spans="1:54" x14ac:dyDescent="0.25">
      <c r="A12" t="str">
        <f t="shared" si="0"/>
        <v/>
      </c>
      <c r="B12">
        <f t="shared" si="1"/>
        <v>0</v>
      </c>
      <c r="C12" s="147">
        <v>7</v>
      </c>
      <c r="D12" s="147"/>
      <c r="E12" s="745"/>
      <c r="F12" s="660" t="str">
        <f>IF(Welcome!$D$16="Select # of Locations","",IF($C12&lt;=Welcome!$D$16,$C12,""))</f>
        <v/>
      </c>
      <c r="G12" s="1102"/>
      <c r="H12" s="1097"/>
      <c r="I12" s="1105" t="str">
        <f>IF(G12="","",IF('Tracking &amp; Profitability'!$E$6=0,"",'Tracking &amp; Profitability'!$E$6))</f>
        <v/>
      </c>
      <c r="J12" s="1153" t="str">
        <f>IF(G12="","",IF('Tracking &amp; Profitability'!$E$7=0,"",'Tracking &amp; Profitability'!$E$7))</f>
        <v/>
      </c>
      <c r="K12" s="1034" t="str">
        <f>IF($C$4&gt;=$C12,IF(SUMIF('Existing Customers'!$A:$A,'Customer Inputs'!$G12,'Existing Customers'!$Q:$Q)=0,"Enter Spend&gt;&gt;&gt;",ROUND(SUMIF('Existing Customers'!$A:$A,'Customer Inputs'!$G12,'Existing Customers'!$Q:$Q),0)),"")</f>
        <v/>
      </c>
      <c r="L12" s="662" t="str">
        <f>IF($F12="","",'Multi-Customer'!$CW47)</f>
        <v/>
      </c>
      <c r="M12" s="702" t="str">
        <f>IF($F12="","",IFERROR(VLOOKUP($G12,'Existing Customers'!$A:$F,6,FALSE),"Enter Menu Type&gt;&gt;"))</f>
        <v/>
      </c>
      <c r="N12" s="798" t="str">
        <f>IFERROR(IF($C$4&gt;=$C12,VLOOKUP($G12,'Existing Customers'!$A:$J,10,FALSE),""),"Enter Zip Code &gt;")</f>
        <v/>
      </c>
      <c r="O12" s="813" t="str">
        <f>IF($F12="","",'Multi-Customer'!$CW48)</f>
        <v/>
      </c>
      <c r="P12" s="821"/>
      <c r="Q12" s="680"/>
      <c r="R12" s="816"/>
      <c r="S12" s="817"/>
      <c r="T12" s="817"/>
      <c r="U12" s="817"/>
      <c r="V12" s="664"/>
      <c r="W12" s="1040" t="str">
        <f>IF($F12="","",'Variable Costs (Back)'!$A21)</f>
        <v/>
      </c>
      <c r="X12" s="671" t="str">
        <f t="shared" si="6"/>
        <v/>
      </c>
      <c r="Y12" s="56" t="str">
        <f t="shared" si="2"/>
        <v/>
      </c>
      <c r="Z12" s="56" t="str">
        <f t="shared" si="3"/>
        <v/>
      </c>
      <c r="AA12" s="56" t="str">
        <f t="shared" si="7"/>
        <v/>
      </c>
      <c r="AB12" s="140">
        <f t="shared" si="8"/>
        <v>0</v>
      </c>
      <c r="AC12">
        <f>IF($G12="New Store",COUNTIF($G$6:$G$15,"New Store")-COUNTIF($G13:$G$15,"New Store"),0)</f>
        <v>0</v>
      </c>
      <c r="AD12" t="str">
        <f t="shared" si="4"/>
        <v/>
      </c>
      <c r="AE12" s="2" t="str">
        <f t="shared" si="5"/>
        <v/>
      </c>
      <c r="AF12" s="140"/>
      <c r="AH12" s="140"/>
      <c r="AI12" s="140"/>
      <c r="AJ12" s="140"/>
      <c r="AK12" s="140" t="b">
        <f>NOT(ISERROR(IFERROR(VLOOKUP($G12&amp;"",'HOS_Modellable Customers'!$A:$A,1,0),VLOOKUP($G12,'HOS_Modellable Customers'!$A:$A,1,0))))</f>
        <v>0</v>
      </c>
      <c r="AL12" s="140" t="b">
        <f>NOT(ISERROR(IFERROR(VLOOKUP($G12&amp;"",'Modellable Customers'!$A:$A,1,0),VLOOKUP($G12,'Modellable Customers'!$A:$A,1,0))))</f>
        <v>0</v>
      </c>
      <c r="AM12" s="140" t="b">
        <f t="shared" si="9"/>
        <v>0</v>
      </c>
      <c r="AN12" s="140" t="str">
        <f t="shared" si="10"/>
        <v>CLEAR</v>
      </c>
      <c r="AO12" s="140"/>
      <c r="AP12" s="140"/>
      <c r="AQ12" s="1039" t="str">
        <f>IF($F12="","",IF(OR(U12="",U12="Existing"),IFERROR(VLOOKUP($G12,'Existing Customers'!$A:$F,4,FALSE),""),""))</f>
        <v/>
      </c>
      <c r="AR12" s="140"/>
      <c r="AS12" s="140"/>
      <c r="AT12" s="140"/>
      <c r="AU12" s="140"/>
      <c r="AV12" s="140"/>
      <c r="AW12" s="140"/>
      <c r="AX12" s="140"/>
      <c r="AY12" s="140"/>
      <c r="AZ12" s="140"/>
      <c r="BA12" s="140"/>
      <c r="BB12" s="140"/>
    </row>
    <row r="13" spans="1:54" x14ac:dyDescent="0.25">
      <c r="A13" t="str">
        <f t="shared" si="0"/>
        <v/>
      </c>
      <c r="B13">
        <f t="shared" si="1"/>
        <v>0</v>
      </c>
      <c r="C13" s="147">
        <v>8</v>
      </c>
      <c r="D13" s="147"/>
      <c r="E13" s="745"/>
      <c r="F13" s="660" t="str">
        <f>IF(Welcome!$D$16="Select # of Locations","",IF($C13&lt;=Welcome!$D$16,$C13,""))</f>
        <v/>
      </c>
      <c r="G13" s="1102"/>
      <c r="H13" s="1097"/>
      <c r="I13" s="1105" t="str">
        <f>IF(G13="","",IF('Tracking &amp; Profitability'!$E$6=0,"",'Tracking &amp; Profitability'!$E$6))</f>
        <v/>
      </c>
      <c r="J13" s="1153" t="str">
        <f>IF(G13="","",IF('Tracking &amp; Profitability'!$E$7=0,"",'Tracking &amp; Profitability'!$E$7))</f>
        <v/>
      </c>
      <c r="K13" s="1034" t="str">
        <f>IF($C$4&gt;=$C13,IF(SUMIF('Existing Customers'!$A:$A,'Customer Inputs'!$G13,'Existing Customers'!$Q:$Q)=0,"Enter Spend&gt;&gt;&gt;",ROUND(SUMIF('Existing Customers'!$A:$A,'Customer Inputs'!$G13,'Existing Customers'!$Q:$Q),0)),"")</f>
        <v/>
      </c>
      <c r="L13" s="662" t="str">
        <f>IF($F13="","",'Multi-Customer'!$DF47)</f>
        <v/>
      </c>
      <c r="M13" s="702" t="str">
        <f>IF($F13="","",IFERROR(VLOOKUP($G13,'Existing Customers'!$A:$F,6,FALSE),"Enter Menu Type&gt;&gt;"))</f>
        <v/>
      </c>
      <c r="N13" s="798" t="str">
        <f>IFERROR(IF($C$4&gt;=$C13,VLOOKUP($G13,'Existing Customers'!$A:$J,10,FALSE),""),"Enter Zip Code &gt;")</f>
        <v/>
      </c>
      <c r="O13" s="813" t="str">
        <f>IF($F13="","",'Multi-Customer'!$DF48)</f>
        <v/>
      </c>
      <c r="P13" s="821"/>
      <c r="Q13" s="680"/>
      <c r="R13" s="816"/>
      <c r="S13" s="817"/>
      <c r="T13" s="817"/>
      <c r="U13" s="817"/>
      <c r="V13" s="664"/>
      <c r="W13" s="1040" t="str">
        <f>IF($F13="","",'Variable Costs (Back)'!$A22)</f>
        <v/>
      </c>
      <c r="X13" s="671" t="str">
        <f t="shared" si="6"/>
        <v/>
      </c>
      <c r="Y13" s="56" t="str">
        <f t="shared" si="2"/>
        <v/>
      </c>
      <c r="Z13" s="56" t="str">
        <f t="shared" si="3"/>
        <v/>
      </c>
      <c r="AA13" s="56" t="str">
        <f t="shared" si="7"/>
        <v/>
      </c>
      <c r="AB13" s="140">
        <f t="shared" si="8"/>
        <v>0</v>
      </c>
      <c r="AC13">
        <f>IF($G13="New Store",COUNTIF($G$6:$G$15,"New Store")-COUNTIF($G14:$G$15,"New Store"),0)</f>
        <v>0</v>
      </c>
      <c r="AD13" t="str">
        <f t="shared" si="4"/>
        <v/>
      </c>
      <c r="AE13" s="2" t="str">
        <f t="shared" si="5"/>
        <v/>
      </c>
      <c r="AF13" s="140"/>
      <c r="AH13" s="140"/>
      <c r="AI13" s="140"/>
      <c r="AJ13" s="140"/>
      <c r="AK13" s="140" t="b">
        <f>NOT(ISERROR(IFERROR(VLOOKUP($G13&amp;"",'HOS_Modellable Customers'!$A:$A,1,0),VLOOKUP($G13,'HOS_Modellable Customers'!$A:$A,1,0))))</f>
        <v>0</v>
      </c>
      <c r="AL13" s="140" t="b">
        <f>NOT(ISERROR(IFERROR(VLOOKUP($G13&amp;"",'Modellable Customers'!$A:$A,1,0),VLOOKUP($G13,'Modellable Customers'!$A:$A,1,0))))</f>
        <v>0</v>
      </c>
      <c r="AM13" s="140" t="b">
        <f t="shared" ref="AM13:AM15" si="11">IF(K13="Enter Spend&gt;&gt;&gt;",TRUE,FALSE)</f>
        <v>0</v>
      </c>
      <c r="AN13" s="140" t="str">
        <f t="shared" si="10"/>
        <v>CLEAR</v>
      </c>
      <c r="AO13" s="140"/>
      <c r="AP13" s="140"/>
      <c r="AQ13" s="1039" t="str">
        <f>IF($F13="","",IF(OR(U13="",U13="Existing"),IFERROR(VLOOKUP($G13,'Existing Customers'!$A:$F,4,FALSE),""),""))</f>
        <v/>
      </c>
      <c r="AR13" s="140"/>
      <c r="AS13" s="140"/>
      <c r="AT13" s="140"/>
      <c r="AU13" s="140"/>
      <c r="AV13" s="140"/>
      <c r="AW13" s="140"/>
      <c r="AX13" s="140"/>
      <c r="AY13" s="140"/>
      <c r="AZ13" s="140"/>
      <c r="BA13" s="140"/>
      <c r="BB13" s="140"/>
    </row>
    <row r="14" spans="1:54" x14ac:dyDescent="0.25">
      <c r="A14" t="str">
        <f t="shared" si="0"/>
        <v/>
      </c>
      <c r="B14">
        <f t="shared" si="1"/>
        <v>0</v>
      </c>
      <c r="C14" s="147">
        <v>9</v>
      </c>
      <c r="D14" s="147"/>
      <c r="E14" s="745"/>
      <c r="F14" s="660" t="str">
        <f>IF(Welcome!$D$16="Select # of Locations","",IF($C14&lt;=Welcome!$D$16,$C14,""))</f>
        <v/>
      </c>
      <c r="G14" s="1102"/>
      <c r="H14" s="1097"/>
      <c r="I14" s="1105" t="str">
        <f>IF(G14="","",IF('Tracking &amp; Profitability'!$E$6=0,"",'Tracking &amp; Profitability'!$E$6))</f>
        <v/>
      </c>
      <c r="J14" s="1153" t="str">
        <f>IF(G14="","",IF('Tracking &amp; Profitability'!$E$7=0,"",'Tracking &amp; Profitability'!$E$7))</f>
        <v/>
      </c>
      <c r="K14" s="1034" t="str">
        <f>IF($C$4&gt;=$C14,IF(SUMIF('Existing Customers'!$A:$A,'Customer Inputs'!$G14,'Existing Customers'!$Q:$Q)=0,"Enter Spend&gt;&gt;&gt;",ROUND(SUMIF('Existing Customers'!$A:$A,'Customer Inputs'!$G14,'Existing Customers'!$Q:$Q),0)),"")</f>
        <v/>
      </c>
      <c r="L14" s="662" t="str">
        <f>IF($F14="","",'Multi-Customer'!$DO47)</f>
        <v/>
      </c>
      <c r="M14" s="702" t="str">
        <f>IF($F14="","",IFERROR(VLOOKUP($G14,'Existing Customers'!$A:$F,6,FALSE),"Enter Menu Type&gt;&gt;"))</f>
        <v/>
      </c>
      <c r="N14" s="798" t="str">
        <f>IFERROR(IF($C$4&gt;=$C14,VLOOKUP($G14,'Existing Customers'!$A:$J,10,FALSE),""),"Enter Zip Code &gt;")</f>
        <v/>
      </c>
      <c r="O14" s="813" t="str">
        <f>IF($F14="","",'Multi-Customer'!$DO48)</f>
        <v/>
      </c>
      <c r="P14" s="821"/>
      <c r="Q14" s="680"/>
      <c r="R14" s="816"/>
      <c r="S14" s="817"/>
      <c r="T14" s="817"/>
      <c r="U14" s="817"/>
      <c r="V14" s="664"/>
      <c r="W14" s="1040" t="str">
        <f>IF($F14="","",'Variable Costs (Back)'!$A23)</f>
        <v/>
      </c>
      <c r="X14" s="671" t="str">
        <f t="shared" si="6"/>
        <v/>
      </c>
      <c r="Y14" s="56" t="str">
        <f t="shared" si="2"/>
        <v/>
      </c>
      <c r="Z14" s="56" t="str">
        <f t="shared" si="3"/>
        <v/>
      </c>
      <c r="AA14" s="56" t="str">
        <f t="shared" si="7"/>
        <v/>
      </c>
      <c r="AB14" s="140">
        <f t="shared" si="8"/>
        <v>0</v>
      </c>
      <c r="AC14">
        <f>IF($G14="New Store",COUNTIF($G$6:$G$15,"New Store")-COUNTIF($G15:$G$15,"New Store"),0)</f>
        <v>0</v>
      </c>
      <c r="AD14" t="str">
        <f t="shared" si="4"/>
        <v/>
      </c>
      <c r="AE14" s="2" t="str">
        <f t="shared" si="5"/>
        <v/>
      </c>
      <c r="AF14" s="140"/>
      <c r="AH14" s="140"/>
      <c r="AI14" s="140"/>
      <c r="AJ14" s="140"/>
      <c r="AK14" s="140" t="b">
        <f>NOT(ISERROR(IFERROR(VLOOKUP($G14&amp;"",'HOS_Modellable Customers'!$A:$A,1,0),VLOOKUP($G14,'HOS_Modellable Customers'!$A:$A,1,0))))</f>
        <v>0</v>
      </c>
      <c r="AL14" s="140" t="b">
        <f>NOT(ISERROR(IFERROR(VLOOKUP($G14&amp;"",'Modellable Customers'!$A:$A,1,0),VLOOKUP($G14,'Modellable Customers'!$A:$A,1,0))))</f>
        <v>0</v>
      </c>
      <c r="AM14" s="140" t="b">
        <f t="shared" si="11"/>
        <v>0</v>
      </c>
      <c r="AN14" s="140" t="str">
        <f t="shared" si="10"/>
        <v>CLEAR</v>
      </c>
      <c r="AO14" s="140"/>
      <c r="AP14" s="140"/>
      <c r="AQ14" s="1039" t="str">
        <f>IF($F14="","",IF(OR(U14="",U14="Existing"),IFERROR(VLOOKUP($G14,'Existing Customers'!$A:$F,4,FALSE),""),""))</f>
        <v/>
      </c>
      <c r="AR14" s="140"/>
      <c r="AS14" s="140"/>
      <c r="AT14" s="140"/>
      <c r="AU14" s="140"/>
      <c r="AV14" s="140"/>
      <c r="AW14" s="140"/>
      <c r="AX14" s="140"/>
      <c r="AY14" s="140"/>
      <c r="AZ14" s="140"/>
      <c r="BA14" s="140"/>
      <c r="BB14" s="140"/>
    </row>
    <row r="15" spans="1:54" ht="15.75" thickBot="1" x14ac:dyDescent="0.3">
      <c r="A15" t="str">
        <f t="shared" si="0"/>
        <v/>
      </c>
      <c r="B15">
        <f t="shared" si="1"/>
        <v>0</v>
      </c>
      <c r="C15" s="147">
        <v>10</v>
      </c>
      <c r="D15" s="147"/>
      <c r="E15" s="745"/>
      <c r="F15" s="661" t="str">
        <f>IF(Welcome!$D$16="Select # of Locations","",IF($C15&lt;=Welcome!$D$16,$C15,""))</f>
        <v/>
      </c>
      <c r="G15" s="1103"/>
      <c r="H15" s="1098"/>
      <c r="I15" s="1106" t="str">
        <f>IF(G15="","",IF('Tracking &amp; Profitability'!$E$6=0,"",'Tracking &amp; Profitability'!$E$6))</f>
        <v/>
      </c>
      <c r="J15" s="1152" t="str">
        <f>IF(G15="","",IF('Tracking &amp; Profitability'!$E$7=0,"",'Tracking &amp; Profitability'!$E$7))</f>
        <v/>
      </c>
      <c r="K15" s="1035" t="str">
        <f>IF($C$4&gt;=$C15,IF(SUMIF('Existing Customers'!$A:$A,'Customer Inputs'!$G15,'Existing Customers'!$Q:$Q)=0,"Enter Spend&gt;&gt;&gt;",ROUND(SUMIF('Existing Customers'!$A:$A,'Customer Inputs'!$G15,'Existing Customers'!$Q:$Q),0)),"")</f>
        <v/>
      </c>
      <c r="L15" s="663" t="str">
        <f>IF($F15="","",'Multi-Customer'!$DX47)</f>
        <v/>
      </c>
      <c r="M15" s="703" t="str">
        <f>IF($F15="","",IFERROR(VLOOKUP($G15,'Existing Customers'!$A:$F,6,FALSE),"Enter Menu Type&gt;&gt;"))</f>
        <v/>
      </c>
      <c r="N15" s="799" t="str">
        <f>IFERROR(IF($C$4&gt;=$C15,VLOOKUP($G15,'Existing Customers'!$A:$J,10,FALSE),""),"Enter Zip Code &gt;")</f>
        <v/>
      </c>
      <c r="O15" s="809" t="str">
        <f>IF($F15="","",'Multi-Customer'!$DX48)</f>
        <v/>
      </c>
      <c r="P15" s="822"/>
      <c r="Q15" s="681"/>
      <c r="R15" s="823"/>
      <c r="S15" s="824"/>
      <c r="T15" s="824"/>
      <c r="U15" s="824"/>
      <c r="V15" s="665"/>
      <c r="W15" s="1040" t="str">
        <f>IF($F15="","",'Variable Costs (Back)'!$A24)</f>
        <v/>
      </c>
      <c r="X15" s="671" t="str">
        <f t="shared" si="6"/>
        <v/>
      </c>
      <c r="Y15" s="56" t="str">
        <f t="shared" si="2"/>
        <v/>
      </c>
      <c r="Z15" s="56" t="str">
        <f t="shared" si="3"/>
        <v/>
      </c>
      <c r="AA15" s="56" t="str">
        <f t="shared" si="7"/>
        <v/>
      </c>
      <c r="AB15" s="140">
        <f t="shared" si="8"/>
        <v>0</v>
      </c>
      <c r="AC15">
        <f>IF(IF($G15="New Store",COUNTIF($G$6:$G$15,"New Store")-COUNTIF($G$15:$G16,"New Store"),0)=9,10,9)</f>
        <v>9</v>
      </c>
      <c r="AD15" t="str">
        <f t="shared" si="4"/>
        <v/>
      </c>
      <c r="AE15" s="2" t="str">
        <f t="shared" si="5"/>
        <v/>
      </c>
      <c r="AF15" s="140"/>
      <c r="AG15" s="140"/>
      <c r="AH15" s="140"/>
      <c r="AI15" s="140"/>
      <c r="AJ15" s="140"/>
      <c r="AK15" s="140" t="b">
        <f>NOT(ISERROR(IFERROR(VLOOKUP($G15&amp;"",'HOS_Modellable Customers'!$A:$A,1,0),VLOOKUP($G15,'HOS_Modellable Customers'!$A:$A,1,0))))</f>
        <v>0</v>
      </c>
      <c r="AL15" s="140" t="b">
        <f>NOT(ISERROR(IFERROR(VLOOKUP($G15&amp;"",'Modellable Customers'!$A:$A,1,0),VLOOKUP($G15,'Modellable Customers'!$A:$A,1,0))))</f>
        <v>0</v>
      </c>
      <c r="AM15" s="140" t="b">
        <f t="shared" si="11"/>
        <v>0</v>
      </c>
      <c r="AN15" s="140" t="str">
        <f t="shared" si="10"/>
        <v>CLEAR</v>
      </c>
      <c r="AO15" s="140"/>
      <c r="AP15" s="140"/>
      <c r="AQ15" s="1039" t="str">
        <f>IF($F15="","",IF(OR(U15="",U15="Existing"),IFERROR(VLOOKUP($G15,'Existing Customers'!$A:$F,4,FALSE),""),""))</f>
        <v/>
      </c>
      <c r="AR15" s="140"/>
      <c r="AS15" s="140"/>
      <c r="AT15" s="140"/>
      <c r="AU15" s="140"/>
      <c r="AV15" s="140"/>
      <c r="AW15" s="140"/>
      <c r="AX15" s="140"/>
      <c r="AY15" s="140"/>
      <c r="AZ15" s="140"/>
      <c r="BA15" s="140"/>
      <c r="BB15" s="140"/>
    </row>
    <row r="16" spans="1:54" ht="15.75" thickBot="1" x14ac:dyDescent="0.3">
      <c r="E16" s="674"/>
      <c r="F16" s="804"/>
      <c r="G16" s="804"/>
      <c r="H16" s="804"/>
      <c r="I16" s="804"/>
      <c r="J16" s="804"/>
      <c r="K16" s="808"/>
      <c r="L16" s="804"/>
      <c r="M16" s="804"/>
      <c r="N16" s="804"/>
      <c r="O16" s="804"/>
      <c r="P16" s="804"/>
      <c r="Q16" s="804"/>
      <c r="R16" s="804"/>
      <c r="S16" s="804"/>
      <c r="T16" s="804"/>
      <c r="U16" s="804"/>
      <c r="V16" s="804"/>
      <c r="W16" s="675"/>
      <c r="X16" s="140">
        <f>COUNTIF($X$6:$X$15,"Enter Drops &gt;")</f>
        <v>0</v>
      </c>
      <c r="Y16" s="140"/>
      <c r="Z16" s="140"/>
      <c r="AA16" s="734">
        <f>COUNTIF($AA$6:$AA$15,"Enter EB % &gt;")</f>
        <v>0</v>
      </c>
      <c r="AB16" s="140">
        <f>SUM(AB6:AB15)</f>
        <v>0</v>
      </c>
      <c r="AC16" s="140"/>
      <c r="AD16" s="140"/>
      <c r="AE16" s="140"/>
      <c r="AF16" s="140"/>
      <c r="AG16" s="140"/>
      <c r="AH16" s="140"/>
      <c r="AI16" s="140"/>
      <c r="AJ16" s="140"/>
      <c r="AK16" s="140"/>
      <c r="AL16" s="140"/>
      <c r="AM16" s="140"/>
      <c r="AN16" s="140"/>
      <c r="AO16" s="140"/>
      <c r="AP16" s="140"/>
      <c r="AQ16" s="140"/>
      <c r="AR16" s="140"/>
      <c r="AS16" s="140"/>
      <c r="AT16" s="140"/>
      <c r="AU16" s="140"/>
      <c r="AV16" s="140"/>
      <c r="AW16" s="140"/>
      <c r="AX16" s="140"/>
      <c r="AY16" s="140"/>
      <c r="AZ16" s="140"/>
      <c r="BA16" s="140"/>
      <c r="BB16" s="140"/>
    </row>
    <row r="17" spans="5:54" ht="14.45" customHeight="1" x14ac:dyDescent="0.25">
      <c r="E17" s="674"/>
      <c r="F17" s="804"/>
      <c r="G17" s="1143" t="s">
        <v>1192</v>
      </c>
      <c r="H17" s="1143" t="s">
        <v>1192</v>
      </c>
      <c r="I17" s="1214">
        <f>SUM($I$6:$I$15)</f>
        <v>0</v>
      </c>
      <c r="J17" s="1217" t="s">
        <v>1451</v>
      </c>
      <c r="K17" s="1219">
        <f>SUM($K$6:$K$15)</f>
        <v>0</v>
      </c>
      <c r="L17" s="1217" t="s">
        <v>1452</v>
      </c>
      <c r="M17" s="804"/>
      <c r="N17" s="804"/>
      <c r="O17" s="804"/>
      <c r="P17" s="1214">
        <f>SUMIF($F$6:$F$15,"&gt;0",$P$6:$P$15)</f>
        <v>0</v>
      </c>
      <c r="Q17" s="1221" t="s">
        <v>1453</v>
      </c>
      <c r="R17" s="1144"/>
      <c r="S17" s="804"/>
      <c r="T17" s="804"/>
      <c r="U17" s="804"/>
      <c r="V17" s="804"/>
      <c r="W17" s="675"/>
      <c r="X17" s="140"/>
      <c r="Y17" s="140"/>
      <c r="Z17" s="140"/>
      <c r="AA17" s="140"/>
      <c r="AB17" s="140" t="s">
        <v>1087</v>
      </c>
      <c r="AC17" s="140"/>
      <c r="AD17" s="140"/>
      <c r="AE17" s="140"/>
      <c r="AF17" s="140"/>
      <c r="AG17" s="140"/>
      <c r="AH17" s="140"/>
      <c r="AI17" s="140"/>
      <c r="AJ17" s="140"/>
      <c r="AK17" s="140"/>
      <c r="AL17" s="140"/>
      <c r="AM17" s="140"/>
      <c r="AN17" s="140"/>
      <c r="AO17" s="140"/>
      <c r="AP17" s="140"/>
      <c r="AQ17" s="140"/>
      <c r="AR17" s="140"/>
      <c r="AS17" s="140"/>
      <c r="AT17" s="140"/>
      <c r="AU17" s="140"/>
      <c r="AV17" s="140"/>
      <c r="AW17" s="140"/>
      <c r="AX17" s="140"/>
      <c r="AY17" s="140"/>
      <c r="AZ17" s="140"/>
      <c r="BA17" s="140"/>
      <c r="BB17" s="140"/>
    </row>
    <row r="18" spans="5:54" ht="20.25" customHeight="1" thickBot="1" x14ac:dyDescent="0.3">
      <c r="E18" s="674"/>
      <c r="F18" s="804"/>
      <c r="G18" s="1143"/>
      <c r="H18" s="1143"/>
      <c r="I18" s="1215"/>
      <c r="J18" s="1218"/>
      <c r="K18" s="1220"/>
      <c r="L18" s="1218"/>
      <c r="M18" s="804"/>
      <c r="N18" s="804"/>
      <c r="O18" s="804"/>
      <c r="P18" s="1215"/>
      <c r="Q18" s="1222"/>
      <c r="R18" s="1144"/>
      <c r="S18" s="804"/>
      <c r="T18" s="804"/>
      <c r="U18" s="804"/>
      <c r="V18" s="804"/>
      <c r="W18" s="675"/>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c r="AX18" s="140"/>
      <c r="AY18" s="140"/>
      <c r="AZ18" s="140"/>
      <c r="BA18" s="140"/>
      <c r="BB18" s="140"/>
    </row>
    <row r="19" spans="5:54" ht="19.149999999999999" customHeight="1" thickBot="1" x14ac:dyDescent="0.3">
      <c r="E19" s="676"/>
      <c r="F19" s="677"/>
      <c r="G19" s="677"/>
      <c r="H19" s="677"/>
      <c r="I19" s="677"/>
      <c r="J19" s="677"/>
      <c r="K19" s="677"/>
      <c r="L19" s="677"/>
      <c r="M19" s="677"/>
      <c r="N19" s="716"/>
      <c r="O19" s="291"/>
      <c r="P19" s="716"/>
      <c r="Q19" s="716"/>
      <c r="R19" s="677"/>
      <c r="S19" s="677"/>
      <c r="T19" s="677"/>
      <c r="U19" s="677"/>
      <c r="V19" s="677"/>
      <c r="W19" s="678"/>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c r="AX19" s="140"/>
      <c r="AY19" s="140"/>
      <c r="AZ19" s="140"/>
      <c r="BA19" s="140"/>
      <c r="BB19" s="140"/>
    </row>
    <row r="20" spans="5:54"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c r="AX20" s="140"/>
      <c r="AY20" s="140"/>
      <c r="AZ20" s="140"/>
      <c r="BA20" s="140"/>
      <c r="BB20" s="140"/>
    </row>
    <row r="21" spans="5:54"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c r="AX21" s="140"/>
      <c r="AY21" s="140"/>
      <c r="AZ21" s="140"/>
      <c r="BA21" s="140"/>
      <c r="BB21" s="140"/>
    </row>
    <row r="22" spans="5:54"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c r="AX22" s="140"/>
      <c r="AY22" s="140"/>
      <c r="AZ22" s="140"/>
      <c r="BA22" s="140"/>
      <c r="BB22" s="140"/>
    </row>
    <row r="23" spans="5:54"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c r="AX23" s="140"/>
      <c r="AY23" s="140"/>
      <c r="AZ23" s="140"/>
      <c r="BA23" s="140"/>
      <c r="BB23" s="140"/>
    </row>
    <row r="24" spans="5:54"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c r="AX24" s="140"/>
      <c r="AY24" s="140"/>
      <c r="AZ24" s="140"/>
      <c r="BA24" s="140"/>
      <c r="BB24" s="140"/>
    </row>
    <row r="25" spans="5:54"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c r="AX25" s="140"/>
      <c r="AY25" s="140"/>
      <c r="AZ25" s="140"/>
      <c r="BA25" s="140"/>
      <c r="BB25" s="140"/>
    </row>
    <row r="26" spans="5:54"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c r="AX26" s="140"/>
      <c r="AY26" s="140"/>
      <c r="AZ26" s="140"/>
      <c r="BA26" s="140"/>
      <c r="BB26" s="140"/>
    </row>
    <row r="27" spans="5:54"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c r="AX27" s="140"/>
      <c r="AY27" s="140"/>
      <c r="AZ27" s="140"/>
      <c r="BA27" s="140"/>
      <c r="BB27" s="140"/>
    </row>
    <row r="28" spans="5:54"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c r="AX28" s="140"/>
      <c r="AY28" s="140"/>
      <c r="AZ28" s="140"/>
      <c r="BA28" s="140"/>
      <c r="BB28" s="140"/>
    </row>
    <row r="29" spans="5:54"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c r="AX29" s="140"/>
      <c r="AY29" s="140"/>
      <c r="AZ29" s="140"/>
      <c r="BA29" s="140"/>
      <c r="BB29" s="140"/>
    </row>
    <row r="30" spans="5:54"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c r="AX30" s="140"/>
      <c r="AY30" s="140"/>
      <c r="AZ30" s="140"/>
      <c r="BA30" s="140"/>
      <c r="BB30" s="140"/>
    </row>
    <row r="31" spans="5:54"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c r="AX31" s="140"/>
      <c r="AY31" s="140"/>
      <c r="AZ31" s="140"/>
      <c r="BA31" s="140"/>
      <c r="BB31" s="140"/>
    </row>
    <row r="32" spans="5:54"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c r="AX32" s="140"/>
      <c r="AY32" s="140"/>
      <c r="AZ32" s="140"/>
      <c r="BA32" s="140"/>
      <c r="BB32" s="140"/>
    </row>
    <row r="33" spans="5:54"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c r="AX33" s="140"/>
      <c r="AY33" s="140"/>
      <c r="AZ33" s="140"/>
      <c r="BA33" s="140"/>
      <c r="BB33" s="140"/>
    </row>
    <row r="34" spans="5:54"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c r="AX34" s="140"/>
      <c r="AY34" s="140"/>
      <c r="AZ34" s="140"/>
      <c r="BA34" s="140"/>
      <c r="BB34" s="140"/>
    </row>
    <row r="35" spans="5:54"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c r="AX35" s="140"/>
      <c r="AY35" s="140"/>
      <c r="AZ35" s="140"/>
      <c r="BA35" s="140"/>
      <c r="BB35" s="140"/>
    </row>
    <row r="36" spans="5:54"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c r="AX36" s="140"/>
      <c r="AY36" s="140"/>
      <c r="AZ36" s="140"/>
      <c r="BA36" s="140"/>
      <c r="BB36" s="140"/>
    </row>
    <row r="37" spans="5:54"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c r="AX37" s="140"/>
      <c r="AY37" s="140"/>
      <c r="AZ37" s="140"/>
      <c r="BA37" s="140"/>
      <c r="BB37" s="140"/>
    </row>
    <row r="38" spans="5:54"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c r="AX38" s="140"/>
      <c r="AY38" s="140"/>
      <c r="AZ38" s="140"/>
      <c r="BA38" s="140"/>
      <c r="BB38" s="140"/>
    </row>
    <row r="39" spans="5:54"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c r="AX39" s="140"/>
      <c r="AY39" s="140"/>
      <c r="AZ39" s="140"/>
      <c r="BA39" s="140"/>
      <c r="BB39" s="140"/>
    </row>
    <row r="40" spans="5:54"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c r="AX40" s="140"/>
      <c r="AY40" s="140"/>
      <c r="AZ40" s="140"/>
      <c r="BA40" s="140"/>
      <c r="BB40" s="140"/>
    </row>
    <row r="41" spans="5:54"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c r="AX41" s="140"/>
      <c r="AY41" s="140"/>
      <c r="AZ41" s="140"/>
      <c r="BA41" s="140"/>
      <c r="BB41" s="140"/>
    </row>
    <row r="42" spans="5:54"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c r="AX42" s="140"/>
      <c r="AY42" s="140"/>
      <c r="AZ42" s="140"/>
      <c r="BA42" s="140"/>
      <c r="BB42" s="140"/>
    </row>
    <row r="43" spans="5:54"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c r="AX43" s="140"/>
      <c r="AY43" s="140"/>
      <c r="AZ43" s="140"/>
      <c r="BA43" s="140"/>
      <c r="BB43" s="140"/>
    </row>
    <row r="44" spans="5:54"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c r="AX44" s="140"/>
      <c r="AY44" s="140"/>
      <c r="AZ44" s="140"/>
      <c r="BA44" s="140"/>
      <c r="BB44" s="140"/>
    </row>
    <row r="45" spans="5:54"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c r="AX45" s="140"/>
      <c r="AY45" s="140"/>
      <c r="AZ45" s="140"/>
      <c r="BA45" s="140"/>
      <c r="BB45" s="140"/>
    </row>
    <row r="46" spans="5:54"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c r="AX46" s="140"/>
      <c r="AY46" s="140"/>
      <c r="AZ46" s="140"/>
      <c r="BA46" s="140"/>
      <c r="BB46" s="140"/>
    </row>
    <row r="47" spans="5:54"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c r="AX47" s="140"/>
      <c r="AY47" s="140"/>
      <c r="AZ47" s="140"/>
      <c r="BA47" s="140"/>
      <c r="BB47" s="140"/>
    </row>
    <row r="48" spans="5:54"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c r="AX48" s="140"/>
      <c r="AY48" s="140"/>
      <c r="AZ48" s="140"/>
      <c r="BA48" s="140"/>
      <c r="BB48" s="140"/>
    </row>
    <row r="49" spans="5:54"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c r="AX49" s="140"/>
      <c r="AY49" s="140"/>
      <c r="AZ49" s="140"/>
      <c r="BA49" s="140"/>
      <c r="BB49" s="140"/>
    </row>
    <row r="50" spans="5:54"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c r="AX50" s="140"/>
      <c r="AY50" s="140"/>
      <c r="AZ50" s="140"/>
      <c r="BA50" s="140"/>
      <c r="BB50" s="140"/>
    </row>
  </sheetData>
  <sheetProtection algorithmName="SHA-512" hashValue="X80wkCd8nKYCXptejwUbRZy0Zg/b1u13QR/cLEtvZOcZQRvLqWQecu0ubSqYdlFxLcF6S4L0VrZ525DaZ+UF7w==" saltValue="5xlmIn/PA7fCDAvcnxxrmg==" spinCount="100000" sheet="1" objects="1" scenarios="1"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214" priority="25">
      <formula>$K6&lt;&gt;"Enter Spend&gt;&gt;&gt;"</formula>
    </cfRule>
    <cfRule type="expression" dxfId="213" priority="1">
      <formula>$U6="Existing"</formula>
    </cfRule>
  </conditionalFormatting>
  <conditionalFormatting sqref="O6:O15 L6:L15">
    <cfRule type="expression" dxfId="212" priority="21">
      <formula>Q6&lt;&gt;""</formula>
    </cfRule>
  </conditionalFormatting>
  <conditionalFormatting sqref="S6:S15">
    <cfRule type="expression" dxfId="211" priority="19">
      <formula>$W6="Zip Code Not Serviced"</formula>
    </cfRule>
  </conditionalFormatting>
  <conditionalFormatting sqref="L3:N3">
    <cfRule type="expression" dxfId="210" priority="15">
      <formula>$AN$4&gt;0</formula>
    </cfRule>
  </conditionalFormatting>
  <conditionalFormatting sqref="T6:V15">
    <cfRule type="expression" dxfId="209" priority="10">
      <formula>$K6&lt;&gt;"Enter Spend&gt;&gt;&gt;"</formula>
    </cfRule>
  </conditionalFormatting>
  <conditionalFormatting sqref="T6:V15">
    <cfRule type="expression" dxfId="208" priority="11">
      <formula>$F6=""</formula>
    </cfRule>
    <cfRule type="notContainsBlanks" dxfId="207" priority="12">
      <formula>LEN(TRIM(T6))&gt;0</formula>
    </cfRule>
  </conditionalFormatting>
  <conditionalFormatting sqref="T6:V15">
    <cfRule type="expression" dxfId="206" priority="9">
      <formula>$AN6="FLAG"</formula>
    </cfRule>
  </conditionalFormatting>
  <conditionalFormatting sqref="T6:T15">
    <cfRule type="expression" dxfId="205" priority="8">
      <formula>$W6="Zip Code Not Serviced"</formula>
    </cfRule>
  </conditionalFormatting>
  <conditionalFormatting sqref="T6:T15">
    <cfRule type="expression" dxfId="204" priority="7">
      <formula>$W6="Zip Code Not Serviced"</formula>
    </cfRule>
  </conditionalFormatting>
  <conditionalFormatting sqref="U6:U15">
    <cfRule type="expression" dxfId="203" priority="6">
      <formula>$W6="Zip Code Not Serviced"</formula>
    </cfRule>
  </conditionalFormatting>
  <conditionalFormatting sqref="G6:G15">
    <cfRule type="expression" dxfId="202" priority="23">
      <formula>$F6&lt;&gt;""</formula>
    </cfRule>
    <cfRule type="notContainsBlanks" dxfId="201" priority="33">
      <formula>LEN(TRIM(G6))&gt;0</formula>
    </cfRule>
  </conditionalFormatting>
  <conditionalFormatting sqref="P6:S15">
    <cfRule type="expression" dxfId="200" priority="26">
      <formula>$F6=""</formula>
    </cfRule>
    <cfRule type="notContainsBlanks" dxfId="199" priority="27">
      <formula>LEN(TRIM(P6))&gt;0</formula>
    </cfRule>
  </conditionalFormatting>
  <conditionalFormatting sqref="H6:H15">
    <cfRule type="notContainsBlanks" dxfId="198" priority="2">
      <formula>LEN(TRIM(H6))&gt;0</formula>
    </cfRule>
    <cfRule type="expression" dxfId="197" priority="3">
      <formula>$F6&lt;&gt;""</formula>
    </cfRule>
  </conditionalFormatting>
  <conditionalFormatting sqref="K6:S15">
    <cfRule type="expression" dxfId="196" priority="13">
      <formula>$AN6="FLAG"</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F13" sqref="F13"/>
    </sheetView>
  </sheetViews>
  <sheetFormatPr defaultColWidth="8.85546875" defaultRowHeight="15" x14ac:dyDescent="0.25"/>
  <cols>
    <col min="1" max="1" width="2.140625" style="146" customWidth="1"/>
    <col min="2" max="2" width="15.5703125" style="146" customWidth="1"/>
    <col min="3" max="3" width="12.5703125" style="146" customWidth="1"/>
    <col min="4" max="4" width="38" style="146" customWidth="1"/>
    <col min="5" max="5" width="17.7109375" style="146" customWidth="1"/>
    <col min="6" max="6" width="36.140625" style="146" customWidth="1"/>
    <col min="7" max="7" width="27.7109375" style="146" customWidth="1"/>
    <col min="8" max="8" width="11.140625" bestFit="1" customWidth="1"/>
    <col min="9" max="9" width="13.7109375" customWidth="1"/>
    <col min="10" max="10" width="12"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8" t="s">
        <v>209</v>
      </c>
      <c r="E1" s="145"/>
      <c r="F1" s="145"/>
      <c r="G1" s="147"/>
      <c r="H1" s="147"/>
      <c r="I1" s="147"/>
      <c r="J1" s="147"/>
      <c r="K1" s="549"/>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8"/>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2" t="s">
        <v>1307</v>
      </c>
      <c r="E3" s="424">
        <f>Welcome!$D$10</f>
        <v>0</v>
      </c>
      <c r="F3" s="145"/>
      <c r="G3" s="522" t="s">
        <v>110</v>
      </c>
      <c r="H3" s="1234" t="e">
        <f>VLOOKUP($H$4,'Market Geography'!$D:$G,4,FALSE)</f>
        <v>#N/A</v>
      </c>
      <c r="I3" s="1235"/>
      <c r="J3" s="1235"/>
      <c r="K3" s="1236"/>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3" t="s">
        <v>1308</v>
      </c>
      <c r="E4" s="392" t="str">
        <f>Welcome!$D$14</f>
        <v>Select Term</v>
      </c>
      <c r="F4" s="145"/>
      <c r="G4" s="523" t="s">
        <v>903</v>
      </c>
      <c r="H4" s="1231">
        <f>Welcome!$D$4</f>
        <v>0</v>
      </c>
      <c r="I4" s="1232"/>
      <c r="J4" s="1232"/>
      <c r="K4" s="1233"/>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3" t="s">
        <v>1315</v>
      </c>
      <c r="E5" s="149">
        <f>$G$31</f>
        <v>0</v>
      </c>
      <c r="F5" s="145"/>
      <c r="G5" s="523" t="s">
        <v>107</v>
      </c>
      <c r="H5" s="1231" t="str">
        <f>'Multi-Customer'!$M$47</f>
        <v>Enter Customer(s)</v>
      </c>
      <c r="I5" s="1232"/>
      <c r="J5" s="1232"/>
      <c r="K5" s="1233"/>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3" t="s">
        <v>1316</v>
      </c>
      <c r="E6" s="150">
        <f>IFERROR('Variable Costs (Back)'!$K$26,0)</f>
        <v>0</v>
      </c>
      <c r="F6" s="145"/>
      <c r="G6" s="523" t="s">
        <v>1325</v>
      </c>
      <c r="H6" s="1231" t="str">
        <f>'Multi-Customer'!$M$83</f>
        <v>MULTIPLE TYPES</v>
      </c>
      <c r="I6" s="1232"/>
      <c r="J6" s="1232"/>
      <c r="K6" s="1233"/>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4" t="s">
        <v>1317</v>
      </c>
      <c r="E7" s="425">
        <f>IFERROR('PIM Ranges'!$AU$3,0)</f>
        <v>0</v>
      </c>
      <c r="F7" s="145"/>
      <c r="G7" s="524" t="s">
        <v>1318</v>
      </c>
      <c r="H7" s="1237" t="s">
        <v>207</v>
      </c>
      <c r="I7" s="1238"/>
      <c r="J7" s="1238"/>
      <c r="K7" s="1239"/>
      <c r="L7" s="145"/>
      <c r="M7" s="145"/>
      <c r="N7" s="145"/>
      <c r="O7" s="145"/>
      <c r="P7" s="145"/>
      <c r="Q7" s="549"/>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58"/>
      <c r="H8" s="140"/>
      <c r="I8" s="140"/>
      <c r="J8" s="140"/>
      <c r="K8" s="145"/>
      <c r="L8" s="145"/>
      <c r="M8" s="145"/>
      <c r="N8" s="145"/>
      <c r="O8" s="517"/>
      <c r="P8" s="616" t="str">
        <f>IF($E$3="MDA","Contract Margin %","Margin % Used For Modeling")</f>
        <v>Margin % Used For Modeling</v>
      </c>
      <c r="Q8" s="517"/>
      <c r="R8" s="140"/>
      <c r="S8" s="152"/>
      <c r="T8" s="153" t="s">
        <v>513</v>
      </c>
      <c r="U8" s="152"/>
      <c r="V8" s="145"/>
      <c r="W8" s="416" t="s">
        <v>504</v>
      </c>
      <c r="X8" s="145"/>
      <c r="Y8" s="526" t="s">
        <v>990</v>
      </c>
      <c r="Z8" s="145"/>
      <c r="AA8" s="145"/>
      <c r="AB8" s="145"/>
      <c r="AC8" s="145"/>
      <c r="AD8" s="145"/>
      <c r="AE8" s="145"/>
      <c r="AF8" s="145"/>
      <c r="AG8" s="145"/>
      <c r="AH8" s="145"/>
      <c r="AI8" s="145"/>
      <c r="AJ8" s="145"/>
      <c r="AK8" s="145"/>
      <c r="AL8" s="145"/>
      <c r="AM8" s="145"/>
    </row>
    <row r="9" spans="1:39" ht="30" customHeight="1" thickBot="1" x14ac:dyDescent="0.3">
      <c r="A9" s="145"/>
      <c r="B9" s="546" t="s">
        <v>956</v>
      </c>
      <c r="C9" s="547" t="s">
        <v>1036</v>
      </c>
      <c r="D9" s="547" t="s">
        <v>1402</v>
      </c>
      <c r="E9" s="418" t="s">
        <v>473</v>
      </c>
      <c r="F9" s="154" t="s">
        <v>1450</v>
      </c>
      <c r="G9" s="155" t="s">
        <v>403</v>
      </c>
      <c r="H9" s="156" t="s">
        <v>83</v>
      </c>
      <c r="I9" s="157" t="s">
        <v>1403</v>
      </c>
      <c r="J9" s="154" t="s">
        <v>1404</v>
      </c>
      <c r="K9" s="158" t="s">
        <v>228</v>
      </c>
      <c r="L9" s="159"/>
      <c r="M9" s="160" t="s">
        <v>986</v>
      </c>
      <c r="N9" s="161"/>
      <c r="O9" s="519" t="s">
        <v>126</v>
      </c>
      <c r="P9" s="518" t="str">
        <f>IF($E$3="CIA","Incentive Only","Recommended")</f>
        <v>Recommended</v>
      </c>
      <c r="Q9" s="520" t="s">
        <v>128</v>
      </c>
      <c r="R9" s="140"/>
      <c r="S9" s="162" t="s">
        <v>126</v>
      </c>
      <c r="T9" s="163" t="s">
        <v>127</v>
      </c>
      <c r="U9" s="164" t="s">
        <v>128</v>
      </c>
      <c r="V9" s="145"/>
      <c r="W9" s="417" t="s">
        <v>127</v>
      </c>
      <c r="X9" s="145"/>
      <c r="Y9" s="417" t="s">
        <v>127</v>
      </c>
      <c r="Z9" s="145"/>
      <c r="AA9" s="145"/>
      <c r="AB9" s="147"/>
      <c r="AD9" s="165" t="s">
        <v>702</v>
      </c>
      <c r="AE9" s="145"/>
      <c r="AF9" s="686" t="s">
        <v>1042</v>
      </c>
      <c r="AG9" s="145" t="s">
        <v>1043</v>
      </c>
      <c r="AH9" s="145" t="s">
        <v>495</v>
      </c>
      <c r="AI9" s="145"/>
      <c r="AJ9" s="145"/>
      <c r="AK9" s="145"/>
      <c r="AL9" s="145"/>
      <c r="AM9" s="145"/>
    </row>
    <row r="10" spans="1:39" ht="17.25" x14ac:dyDescent="0.25">
      <c r="A10" s="145"/>
      <c r="B10" s="647">
        <v>0</v>
      </c>
      <c r="C10" s="653"/>
      <c r="D10" s="1024" t="s">
        <v>490</v>
      </c>
      <c r="E10" s="648" t="s">
        <v>995</v>
      </c>
      <c r="F10" s="166" t="s">
        <v>99</v>
      </c>
      <c r="G10" s="690">
        <f>IFERROR('PIM Ranges'!AL12,0)</f>
        <v>0</v>
      </c>
      <c r="H10" s="691">
        <f>IFERROR('PIM Ranges'!AM12,0)</f>
        <v>0</v>
      </c>
      <c r="I10" s="692">
        <f>IFERROR('PIM Ranges'!AN12,0)</f>
        <v>0</v>
      </c>
      <c r="J10" s="422">
        <f t="shared" ref="J10:J26" si="0">IF($E$3="CIA",IF($D10="%",$P10*$G10,$P10*$I10),IF($D10="%",$K10*$G10,$K10*I10))</f>
        <v>0</v>
      </c>
      <c r="K10" s="881"/>
      <c r="L10" s="744" t="str">
        <f t="shared" ref="L10:L26" si="1">IF($E$3="CIA","",IF(K10="","",IF(K10&lt;O10,"X",IF(K10&gt;Q10,"X",""))))</f>
        <v/>
      </c>
      <c r="M10" s="879">
        <f>'Multi-Customer'!Y12</f>
        <v>0</v>
      </c>
      <c r="N10" s="167"/>
      <c r="O10" s="883">
        <f>IFERROR(IF($D10="%",VLOOKUP($F10&amp;'PIM Ranges'!$AQ12,'Margin Quartiles'!$A:$H,5,FALSE),S10),0)</f>
        <v>0</v>
      </c>
      <c r="P10" s="883">
        <f>IFERROR(IF($E$3="CIA",$W10,IF($D10="%",VLOOKUP($F10&amp;'PIM Ranges'!$AQ12,'Margin Quartiles'!$A:$H,6,FALSE),T10)),0)</f>
        <v>0</v>
      </c>
      <c r="Q10" s="883">
        <f>IFERROR(IF($D10="%",VLOOKUP($F10&amp;'PIM Ranges'!$AQ12,'Margin Quartiles'!$A:$H,7,FALSE),U10),0)</f>
        <v>0</v>
      </c>
      <c r="R10" s="545"/>
      <c r="S10" s="168"/>
      <c r="T10" s="168"/>
      <c r="U10" s="168"/>
      <c r="V10" s="145"/>
      <c r="W10" s="168" t="e">
        <f>'Multi-Customer'!AO12</f>
        <v>#DIV/0!</v>
      </c>
      <c r="X10" s="145"/>
      <c r="Y10" s="168"/>
      <c r="Z10" s="145"/>
      <c r="AA10" s="145"/>
      <c r="AB10" s="394" t="str">
        <f t="shared" ref="AB10:AB30" si="2">IF($E$3="CIA","",IF($H10&gt;0,IF(E10="Include",IF($K10&lt;&gt;"","","ERROR"),""),""))</f>
        <v/>
      </c>
      <c r="AC10" s="169">
        <f t="shared" ref="AC10:AC30" si="3">IF($E$3="CIA","N/A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49">
        <v>0</v>
      </c>
      <c r="C11" s="654"/>
      <c r="D11" s="786" t="s">
        <v>490</v>
      </c>
      <c r="E11" s="650" t="s">
        <v>995</v>
      </c>
      <c r="F11" s="1131" t="s">
        <v>103</v>
      </c>
      <c r="G11" s="693">
        <f>IFERROR('PIM Ranges'!AL13,0)</f>
        <v>0</v>
      </c>
      <c r="H11" s="694">
        <f>IFERROR('PIM Ranges'!AM13,0)</f>
        <v>0</v>
      </c>
      <c r="I11" s="695">
        <f>IFERROR('PIM Ranges'!AN13,0)</f>
        <v>0</v>
      </c>
      <c r="J11" s="422">
        <f t="shared" si="0"/>
        <v>0</v>
      </c>
      <c r="K11" s="881"/>
      <c r="L11" s="744" t="str">
        <f t="shared" si="1"/>
        <v/>
      </c>
      <c r="M11" s="879">
        <f>'Multi-Customer'!Y13</f>
        <v>0</v>
      </c>
      <c r="N11" s="167"/>
      <c r="O11" s="883">
        <f>IFERROR(IF($D11="%",VLOOKUP($F11&amp;'PIM Ranges'!$AQ13,'Margin Quartiles'!$A:$H,5,FALSE),S11),0)</f>
        <v>0</v>
      </c>
      <c r="P11" s="883">
        <f>IFERROR(IF($E$3="CIA",$W11,IF($D11="%",VLOOKUP($F11&amp;'PIM Ranges'!$AQ13,'Margin Quartiles'!$A:$H,6,FALSE),T11)),0)</f>
        <v>0</v>
      </c>
      <c r="Q11" s="883">
        <f>IFERROR(IF($D11="%",VLOOKUP($F11&amp;'PIM Ranges'!$AQ13,'Margin Quartiles'!$A:$H,7,FALSE),U11),0)</f>
        <v>0</v>
      </c>
      <c r="R11" s="545"/>
      <c r="S11" s="415" t="e">
        <f>VLOOKUP($F11&amp;'PIM Ranges'!$AQ13,'Margin Quartiles'!$A:$H,5,FALSE)*'PIM Ranges'!$AP13</f>
        <v>#DIV/0!</v>
      </c>
      <c r="T11" s="415" t="e">
        <f>VLOOKUP($F11&amp;'PIM Ranges'!$AQ13,'Margin Quartiles'!$A:$H,6,FALSE)*'PIM Ranges'!$AP13</f>
        <v>#DIV/0!</v>
      </c>
      <c r="U11" s="415" t="e">
        <f>VLOOKUP($F11&amp;'PIM Ranges'!$AQ13,'Margin Quartiles'!$A:$H,8,FALSE)*'PIM Ranges'!$AP13</f>
        <v>#DIV/0!</v>
      </c>
      <c r="V11" s="145"/>
      <c r="W11" s="168" t="e">
        <f>'Multi-Customer'!AO13</f>
        <v>#DIV/0!</v>
      </c>
      <c r="X11" s="145"/>
      <c r="Y11" s="415" t="e">
        <f>VLOOKUP($F11&amp;'Multi-Customer'!$AG13,'IMargin Quartiles'!$A:$H,6,FALSE)*'PIM Ranges'!AP13</f>
        <v>#N/A</v>
      </c>
      <c r="Z11" s="145"/>
      <c r="AA11" s="145"/>
      <c r="AB11" s="394" t="str">
        <f t="shared" si="2"/>
        <v/>
      </c>
      <c r="AC11" s="169">
        <f t="shared" si="3"/>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49">
        <v>0</v>
      </c>
      <c r="C12" s="654"/>
      <c r="D12" s="786" t="s">
        <v>490</v>
      </c>
      <c r="E12" s="650" t="s">
        <v>995</v>
      </c>
      <c r="F12" s="1131" t="s">
        <v>1454</v>
      </c>
      <c r="G12" s="693">
        <f>IFERROR('PIM Ranges'!AL14,0)</f>
        <v>0</v>
      </c>
      <c r="H12" s="694">
        <f>IFERROR('PIM Ranges'!AM14,0)</f>
        <v>0</v>
      </c>
      <c r="I12" s="695">
        <f>IFERROR('PIM Ranges'!AN14,0)</f>
        <v>0</v>
      </c>
      <c r="J12" s="422">
        <f t="shared" si="0"/>
        <v>0</v>
      </c>
      <c r="K12" s="881"/>
      <c r="L12" s="744" t="str">
        <f t="shared" si="1"/>
        <v/>
      </c>
      <c r="M12" s="879">
        <f>'Multi-Customer'!Y14</f>
        <v>0</v>
      </c>
      <c r="N12" s="167"/>
      <c r="O12" s="883">
        <f>IFERROR(IF($D12="%",VLOOKUP($F12&amp;'PIM Ranges'!$AQ14,'Margin Quartiles'!$A:$H,5,FALSE),S12),0)</f>
        <v>0</v>
      </c>
      <c r="P12" s="883">
        <f>IFERROR(IF($E$3="CIA",$W12,IF($D12="%",VLOOKUP($F12&amp;'PIM Ranges'!$AQ14,'Margin Quartiles'!$A:$H,6,FALSE),T12)),0)</f>
        <v>0</v>
      </c>
      <c r="Q12" s="883">
        <f>IFERROR(IF($D12="%",VLOOKUP($F12&amp;'PIM Ranges'!$AQ14,'Margin Quartiles'!$A:$H,7,FALSE),U12),0)</f>
        <v>0</v>
      </c>
      <c r="R12" s="545"/>
      <c r="S12" s="415" t="e">
        <f>VLOOKUP($F12&amp;'PIM Ranges'!$AQ14,'Margin Quartiles'!$A:$H,5,FALSE)*'PIM Ranges'!$AP14</f>
        <v>#DIV/0!</v>
      </c>
      <c r="T12" s="415" t="e">
        <f>VLOOKUP($F12&amp;'PIM Ranges'!$AQ14,'Margin Quartiles'!$A:$H,6,FALSE)*'PIM Ranges'!$AP14</f>
        <v>#DIV/0!</v>
      </c>
      <c r="U12" s="415" t="e">
        <f>VLOOKUP($F12&amp;'PIM Ranges'!$AQ14,'Margin Quartiles'!$A:$H,8,FALSE)*'PIM Ranges'!$AP14</f>
        <v>#DIV/0!</v>
      </c>
      <c r="V12" s="145"/>
      <c r="W12" s="168" t="e">
        <f>'Multi-Customer'!AO14</f>
        <v>#DIV/0!</v>
      </c>
      <c r="X12" s="145"/>
      <c r="Y12" s="415" t="e">
        <f>VLOOKUP($F12&amp;'Multi-Customer'!$AG14,'IMargin Quartiles'!$A:$H,6,FALSE)*'PIM Ranges'!AP14</f>
        <v>#N/A</v>
      </c>
      <c r="Z12" s="145"/>
      <c r="AA12" s="145"/>
      <c r="AB12" s="394"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49">
        <v>0</v>
      </c>
      <c r="C13" s="654"/>
      <c r="D13" s="1025" t="s">
        <v>490</v>
      </c>
      <c r="E13" s="650" t="s">
        <v>995</v>
      </c>
      <c r="F13" s="170" t="s">
        <v>102</v>
      </c>
      <c r="G13" s="693">
        <f>IFERROR('PIM Ranges'!AL15,0)</f>
        <v>0</v>
      </c>
      <c r="H13" s="694">
        <f>IFERROR('PIM Ranges'!AM15,0)</f>
        <v>0</v>
      </c>
      <c r="I13" s="695">
        <f>IFERROR('PIM Ranges'!AN15,0)</f>
        <v>0</v>
      </c>
      <c r="J13" s="422">
        <f t="shared" si="0"/>
        <v>0</v>
      </c>
      <c r="K13" s="881"/>
      <c r="L13" s="744" t="str">
        <f t="shared" si="1"/>
        <v/>
      </c>
      <c r="M13" s="879">
        <f>'Multi-Customer'!Y15</f>
        <v>0</v>
      </c>
      <c r="N13" s="167"/>
      <c r="O13" s="883">
        <f>IFERROR(IF($D13="%",VLOOKUP($F13&amp;'PIM Ranges'!$AQ15,'Margin Quartiles'!$A:$H,5,FALSE),S13),0)</f>
        <v>0</v>
      </c>
      <c r="P13" s="883">
        <f>IFERROR(IF($E$3="CIA",$W13,IF($D13="%",VLOOKUP($F13&amp;'PIM Ranges'!$AQ15,'Margin Quartiles'!$A:$H,6,FALSE),T13)),0)</f>
        <v>0</v>
      </c>
      <c r="Q13" s="883">
        <f>IFERROR(IF($D13="%",VLOOKUP($F13&amp;'PIM Ranges'!$AQ15,'Margin Quartiles'!$A:$H,7,FALSE),U13),0)</f>
        <v>0</v>
      </c>
      <c r="R13" s="545"/>
      <c r="S13" s="168"/>
      <c r="T13" s="168"/>
      <c r="U13" s="168"/>
      <c r="V13" s="145"/>
      <c r="W13" s="168" t="e">
        <f>'Multi-Customer'!AO15</f>
        <v>#DIV/0!</v>
      </c>
      <c r="X13" s="145"/>
      <c r="Y13" s="168"/>
      <c r="Z13" s="145"/>
      <c r="AA13" s="145"/>
      <c r="AB13" s="394"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49">
        <v>0</v>
      </c>
      <c r="C14" s="654"/>
      <c r="D14" s="1025" t="s">
        <v>490</v>
      </c>
      <c r="E14" s="650" t="s">
        <v>995</v>
      </c>
      <c r="F14" s="170" t="s">
        <v>100</v>
      </c>
      <c r="G14" s="693">
        <f>IFERROR('PIM Ranges'!AL16,0)</f>
        <v>0</v>
      </c>
      <c r="H14" s="694">
        <f>IFERROR('PIM Ranges'!AM16,0)</f>
        <v>0</v>
      </c>
      <c r="I14" s="695">
        <f>IFERROR('PIM Ranges'!AN16,0)</f>
        <v>0</v>
      </c>
      <c r="J14" s="422">
        <f t="shared" si="0"/>
        <v>0</v>
      </c>
      <c r="K14" s="881"/>
      <c r="L14" s="744" t="str">
        <f t="shared" si="1"/>
        <v/>
      </c>
      <c r="M14" s="879">
        <f>'Multi-Customer'!Y16</f>
        <v>0</v>
      </c>
      <c r="N14" s="167"/>
      <c r="O14" s="883">
        <f>IFERROR(IF($D14="%",VLOOKUP($F14&amp;'PIM Ranges'!$AQ16,'Margin Quartiles'!$A:$H,5,FALSE),S14),0)</f>
        <v>0</v>
      </c>
      <c r="P14" s="883">
        <f>IFERROR(IF($E$3="CIA",$W14,IF($D14="%",VLOOKUP($F14&amp;'PIM Ranges'!$AQ16,'Margin Quartiles'!$A:$H,6,FALSE),T14)),0)</f>
        <v>0</v>
      </c>
      <c r="Q14" s="883">
        <f>IFERROR(IF($D14="%",VLOOKUP($F14&amp;'PIM Ranges'!$AQ16,'Margin Quartiles'!$A:$H,7,FALSE),U14),0)</f>
        <v>0</v>
      </c>
      <c r="R14" s="545"/>
      <c r="S14" s="168"/>
      <c r="T14" s="168"/>
      <c r="U14" s="168"/>
      <c r="V14" s="145"/>
      <c r="W14" s="168" t="e">
        <f>'Multi-Customer'!AO16</f>
        <v>#DIV/0!</v>
      </c>
      <c r="X14" s="145"/>
      <c r="Y14" s="168"/>
      <c r="Z14" s="145"/>
      <c r="AA14" s="145"/>
      <c r="AB14" s="394"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49">
        <v>0</v>
      </c>
      <c r="C15" s="654"/>
      <c r="D15" s="1025" t="s">
        <v>490</v>
      </c>
      <c r="E15" s="650" t="s">
        <v>995</v>
      </c>
      <c r="F15" s="170" t="s">
        <v>104</v>
      </c>
      <c r="G15" s="693">
        <f>IFERROR('PIM Ranges'!AL17,0)</f>
        <v>0</v>
      </c>
      <c r="H15" s="694">
        <f>IFERROR('PIM Ranges'!AM17,0)</f>
        <v>0</v>
      </c>
      <c r="I15" s="695">
        <f>IFERROR('PIM Ranges'!AN17,0)</f>
        <v>0</v>
      </c>
      <c r="J15" s="422">
        <f t="shared" si="0"/>
        <v>0</v>
      </c>
      <c r="K15" s="881"/>
      <c r="L15" s="744" t="str">
        <f t="shared" si="1"/>
        <v/>
      </c>
      <c r="M15" s="879">
        <f>'Multi-Customer'!Y17</f>
        <v>0</v>
      </c>
      <c r="N15" s="167"/>
      <c r="O15" s="883">
        <f>IFERROR(IF($D15="%",VLOOKUP($F15&amp;'PIM Ranges'!$AQ17,'Margin Quartiles'!$A:$H,5,FALSE),S15),0)</f>
        <v>0</v>
      </c>
      <c r="P15" s="883">
        <f>IFERROR(IF($E$3="CIA",$W15,IF($D15="%",VLOOKUP($F15&amp;'PIM Ranges'!$AQ17,'Margin Quartiles'!$A:$H,6,FALSE),T15)),0)</f>
        <v>0</v>
      </c>
      <c r="Q15" s="883">
        <f>IFERROR(IF($D15="%",VLOOKUP($F15&amp;'PIM Ranges'!$AQ17,'Margin Quartiles'!$A:$H,7,FALSE),U15),0)</f>
        <v>0</v>
      </c>
      <c r="R15" s="545"/>
      <c r="S15" s="168"/>
      <c r="T15" s="168"/>
      <c r="U15" s="168"/>
      <c r="V15" s="145"/>
      <c r="W15" s="168" t="e">
        <f>'Multi-Customer'!AO17</f>
        <v>#DIV/0!</v>
      </c>
      <c r="X15" s="145"/>
      <c r="Y15" s="168"/>
      <c r="Z15" s="145"/>
      <c r="AA15" s="145"/>
      <c r="AB15" s="394" t="str">
        <f t="shared" si="2"/>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49">
        <v>0</v>
      </c>
      <c r="C16" s="654"/>
      <c r="D16" s="1025" t="s">
        <v>490</v>
      </c>
      <c r="E16" s="650" t="s">
        <v>995</v>
      </c>
      <c r="F16" s="170" t="s">
        <v>98</v>
      </c>
      <c r="G16" s="693">
        <f>IFERROR('PIM Ranges'!AL18,0)</f>
        <v>0</v>
      </c>
      <c r="H16" s="694">
        <f>IFERROR('PIM Ranges'!AM18,0)</f>
        <v>0</v>
      </c>
      <c r="I16" s="695">
        <f>IFERROR('PIM Ranges'!AN18,0)</f>
        <v>0</v>
      </c>
      <c r="J16" s="422">
        <f t="shared" si="0"/>
        <v>0</v>
      </c>
      <c r="K16" s="881"/>
      <c r="L16" s="744" t="str">
        <f t="shared" si="1"/>
        <v/>
      </c>
      <c r="M16" s="879">
        <f>'Multi-Customer'!Y18</f>
        <v>0</v>
      </c>
      <c r="N16" s="167"/>
      <c r="O16" s="883">
        <f>IFERROR(IF($D16="%",VLOOKUP($F16&amp;'PIM Ranges'!$AQ18,'Margin Quartiles'!$A:$H,5,FALSE),S16),0)</f>
        <v>0</v>
      </c>
      <c r="P16" s="883">
        <f>IFERROR(IF($E$3="CIA",$W16,IF($D16="%",VLOOKUP($F16&amp;'PIM Ranges'!$AQ18,'Margin Quartiles'!$A:$H,6,FALSE),T16)),0)</f>
        <v>0</v>
      </c>
      <c r="Q16" s="883">
        <f>IFERROR(IF($D16="%",VLOOKUP($F16&amp;'PIM Ranges'!$AQ18,'Margin Quartiles'!$A:$H,7,FALSE),U16),0)</f>
        <v>0</v>
      </c>
      <c r="R16" s="545"/>
      <c r="S16" s="168"/>
      <c r="T16" s="168"/>
      <c r="U16" s="168"/>
      <c r="V16" s="145"/>
      <c r="W16" s="168" t="e">
        <f>'Multi-Customer'!AO18</f>
        <v>#DIV/0!</v>
      </c>
      <c r="X16" s="145"/>
      <c r="Y16" s="168"/>
      <c r="Z16" s="145"/>
      <c r="AA16" s="145"/>
      <c r="AB16" s="394"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49">
        <v>0</v>
      </c>
      <c r="C17" s="654"/>
      <c r="D17" s="1025" t="s">
        <v>490</v>
      </c>
      <c r="E17" s="650" t="s">
        <v>995</v>
      </c>
      <c r="F17" s="170" t="s">
        <v>95</v>
      </c>
      <c r="G17" s="693">
        <f>IFERROR('PIM Ranges'!AL19,0)</f>
        <v>0</v>
      </c>
      <c r="H17" s="694">
        <f>IFERROR('PIM Ranges'!AM19,0)</f>
        <v>0</v>
      </c>
      <c r="I17" s="695">
        <f>IFERROR('PIM Ranges'!AN19,0)</f>
        <v>0</v>
      </c>
      <c r="J17" s="422">
        <f t="shared" si="0"/>
        <v>0</v>
      </c>
      <c r="K17" s="881"/>
      <c r="L17" s="744" t="str">
        <f t="shared" si="1"/>
        <v/>
      </c>
      <c r="M17" s="879">
        <f>'Multi-Customer'!Y19</f>
        <v>0</v>
      </c>
      <c r="N17" s="167"/>
      <c r="O17" s="883">
        <f>IFERROR(IF($D17="%",VLOOKUP($F17&amp;'PIM Ranges'!$AQ19,'Margin Quartiles'!$A:$H,5,FALSE),S17),0)</f>
        <v>0</v>
      </c>
      <c r="P17" s="883">
        <f>IFERROR(IF($E$3="CIA",$W17,IF($D17="%",VLOOKUP($F17&amp;'PIM Ranges'!$AQ19,'Margin Quartiles'!$A:$H,6,FALSE),T17)),0)</f>
        <v>0</v>
      </c>
      <c r="Q17" s="883">
        <f>IFERROR(IF($D17="%",VLOOKUP($F17&amp;'PIM Ranges'!$AQ19,'Margin Quartiles'!$A:$H,7,FALSE),U17),0)</f>
        <v>0</v>
      </c>
      <c r="R17" s="545"/>
      <c r="S17" s="168"/>
      <c r="T17" s="168"/>
      <c r="U17" s="168"/>
      <c r="V17" s="145"/>
      <c r="W17" s="168" t="e">
        <f>'Multi-Customer'!AO19</f>
        <v>#DIV/0!</v>
      </c>
      <c r="X17" s="145"/>
      <c r="Y17" s="168"/>
      <c r="Z17" s="145"/>
      <c r="AA17" s="145"/>
      <c r="AB17" s="394"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49">
        <v>0</v>
      </c>
      <c r="C18" s="654"/>
      <c r="D18" s="1025" t="s">
        <v>490</v>
      </c>
      <c r="E18" s="650" t="s">
        <v>995</v>
      </c>
      <c r="F18" s="170" t="s">
        <v>96</v>
      </c>
      <c r="G18" s="693">
        <f>IFERROR('PIM Ranges'!AL20,0)</f>
        <v>0</v>
      </c>
      <c r="H18" s="694">
        <f>IFERROR('PIM Ranges'!AM20,0)</f>
        <v>0</v>
      </c>
      <c r="I18" s="695">
        <f>IFERROR('PIM Ranges'!AN20,0)</f>
        <v>0</v>
      </c>
      <c r="J18" s="422">
        <f t="shared" si="0"/>
        <v>0</v>
      </c>
      <c r="K18" s="881"/>
      <c r="L18" s="744" t="str">
        <f t="shared" si="1"/>
        <v/>
      </c>
      <c r="M18" s="879">
        <f>'Multi-Customer'!Y20</f>
        <v>0</v>
      </c>
      <c r="N18" s="167"/>
      <c r="O18" s="883">
        <f>IFERROR(IF($D18="%",VLOOKUP($F18&amp;'PIM Ranges'!$AQ20,'Margin Quartiles'!$A:$H,5,FALSE),S18),0)</f>
        <v>0</v>
      </c>
      <c r="P18" s="883">
        <f>IFERROR(IF($E$3="CIA",$W18,IF($D18="%",VLOOKUP($F18&amp;'PIM Ranges'!$AQ20,'Margin Quartiles'!$A:$H,6,FALSE),T18)),0)</f>
        <v>0</v>
      </c>
      <c r="Q18" s="883">
        <f>IFERROR(IF($D18="%",VLOOKUP($F18&amp;'PIM Ranges'!$AQ20,'Margin Quartiles'!$A:$H,7,FALSE),U18),0)</f>
        <v>0</v>
      </c>
      <c r="R18" s="545"/>
      <c r="S18" s="168"/>
      <c r="T18" s="168"/>
      <c r="U18" s="168"/>
      <c r="V18" s="145"/>
      <c r="W18" s="168" t="e">
        <f>'Multi-Customer'!AO20</f>
        <v>#DIV/0!</v>
      </c>
      <c r="X18" s="145"/>
      <c r="Y18" s="168"/>
      <c r="Z18" s="145"/>
      <c r="AA18" s="145"/>
      <c r="AB18" s="394"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49">
        <v>0</v>
      </c>
      <c r="C19" s="654"/>
      <c r="D19" s="1025" t="s">
        <v>490</v>
      </c>
      <c r="E19" s="650" t="s">
        <v>995</v>
      </c>
      <c r="F19" s="170" t="s">
        <v>101</v>
      </c>
      <c r="G19" s="693">
        <f>IFERROR('PIM Ranges'!AL21,0)</f>
        <v>0</v>
      </c>
      <c r="H19" s="694">
        <f>IFERROR('PIM Ranges'!AM21,0)</f>
        <v>0</v>
      </c>
      <c r="I19" s="695">
        <f>IFERROR('PIM Ranges'!AN21,0)</f>
        <v>0</v>
      </c>
      <c r="J19" s="422">
        <f t="shared" si="0"/>
        <v>0</v>
      </c>
      <c r="K19" s="881"/>
      <c r="L19" s="744" t="str">
        <f t="shared" si="1"/>
        <v/>
      </c>
      <c r="M19" s="879">
        <f>'Multi-Customer'!Y21</f>
        <v>0</v>
      </c>
      <c r="N19" s="167"/>
      <c r="O19" s="883">
        <f>IFERROR(IF($D19="%",VLOOKUP($F19&amp;'PIM Ranges'!$AQ21,'Margin Quartiles'!$A:$H,5,FALSE),S19),0)</f>
        <v>0</v>
      </c>
      <c r="P19" s="883">
        <f>IFERROR(IF($E$3="CIA",$W19,IF($D19="%",VLOOKUP($F19&amp;'PIM Ranges'!$AQ21,'Margin Quartiles'!$A:$H,6,FALSE),T19)),0)</f>
        <v>0</v>
      </c>
      <c r="Q19" s="883">
        <f>IFERROR(IF($D19="%",VLOOKUP($F19&amp;'PIM Ranges'!$AQ21,'Margin Quartiles'!$A:$H,7,FALSE),U19),0)</f>
        <v>0</v>
      </c>
      <c r="R19" s="545"/>
      <c r="S19" s="168"/>
      <c r="T19" s="168"/>
      <c r="U19" s="168"/>
      <c r="V19" s="145"/>
      <c r="W19" s="168" t="e">
        <f>'Multi-Customer'!AO21</f>
        <v>#DIV/0!</v>
      </c>
      <c r="X19" s="145"/>
      <c r="Y19" s="168"/>
      <c r="Z19" s="145"/>
      <c r="AA19" s="145"/>
      <c r="AB19" s="394"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49">
        <v>0</v>
      </c>
      <c r="C20" s="654"/>
      <c r="D20" s="1025" t="s">
        <v>490</v>
      </c>
      <c r="E20" s="650" t="s">
        <v>995</v>
      </c>
      <c r="F20" s="170" t="s">
        <v>97</v>
      </c>
      <c r="G20" s="693">
        <f>IFERROR('PIM Ranges'!AL22,0)</f>
        <v>0</v>
      </c>
      <c r="H20" s="694">
        <f>IFERROR('PIM Ranges'!AM22,0)</f>
        <v>0</v>
      </c>
      <c r="I20" s="695">
        <f>IFERROR('PIM Ranges'!AN22,0)</f>
        <v>0</v>
      </c>
      <c r="J20" s="422">
        <f t="shared" si="0"/>
        <v>0</v>
      </c>
      <c r="K20" s="881"/>
      <c r="L20" s="744" t="str">
        <f t="shared" si="1"/>
        <v/>
      </c>
      <c r="M20" s="879">
        <f>'Multi-Customer'!Y22</f>
        <v>0</v>
      </c>
      <c r="N20" s="167"/>
      <c r="O20" s="883">
        <f>IFERROR(IF($D20="%",VLOOKUP($F20&amp;'PIM Ranges'!$AQ22,'Margin Quartiles'!$A:$H,5,FALSE),S20),0)</f>
        <v>0</v>
      </c>
      <c r="P20" s="883">
        <f>IFERROR(IF($E$3="CIA",$W20,IF($D20="%",VLOOKUP($F20&amp;'PIM Ranges'!$AQ22,'Margin Quartiles'!$A:$H,6,FALSE),T20)),0)</f>
        <v>0</v>
      </c>
      <c r="Q20" s="883">
        <f>IFERROR(IF($D20="%",VLOOKUP($F20&amp;'PIM Ranges'!$AQ22,'Margin Quartiles'!$A:$H,7,FALSE),U20),0)</f>
        <v>0</v>
      </c>
      <c r="R20" s="545"/>
      <c r="S20" s="168"/>
      <c r="T20" s="168"/>
      <c r="U20" s="168"/>
      <c r="V20" s="145"/>
      <c r="W20" s="168" t="e">
        <f>'Multi-Customer'!AO22</f>
        <v>#DIV/0!</v>
      </c>
      <c r="X20" s="145"/>
      <c r="Y20" s="168"/>
      <c r="Z20" s="145"/>
      <c r="AA20" s="145"/>
      <c r="AB20" s="394"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49">
        <v>0</v>
      </c>
      <c r="C21" s="654"/>
      <c r="D21" s="1025" t="s">
        <v>490</v>
      </c>
      <c r="E21" s="650" t="s">
        <v>995</v>
      </c>
      <c r="F21" s="170" t="s">
        <v>93</v>
      </c>
      <c r="G21" s="693">
        <f>IFERROR('PIM Ranges'!AL23,0)</f>
        <v>0</v>
      </c>
      <c r="H21" s="694">
        <f>IFERROR('PIM Ranges'!AM23,0)</f>
        <v>0</v>
      </c>
      <c r="I21" s="695">
        <f>IFERROR('PIM Ranges'!AN23,0)</f>
        <v>0</v>
      </c>
      <c r="J21" s="422">
        <f t="shared" si="0"/>
        <v>0</v>
      </c>
      <c r="K21" s="881"/>
      <c r="L21" s="744" t="str">
        <f t="shared" si="1"/>
        <v/>
      </c>
      <c r="M21" s="879">
        <f>'Multi-Customer'!Y23</f>
        <v>0</v>
      </c>
      <c r="N21" s="167"/>
      <c r="O21" s="883">
        <f>IFERROR(IF($D21="%",VLOOKUP($F21&amp;'PIM Ranges'!$AQ23,'Margin Quartiles'!$A:$H,5,FALSE),S21),0)</f>
        <v>0</v>
      </c>
      <c r="P21" s="883">
        <f>IFERROR(IF($E$3="CIA",$W21,IF($D21="%",VLOOKUP($F21&amp;'PIM Ranges'!$AQ23,'Margin Quartiles'!$A:$H,6,FALSE),T21)),0)</f>
        <v>0</v>
      </c>
      <c r="Q21" s="883">
        <f>IFERROR(IF($D21="%",VLOOKUP($F21&amp;'PIM Ranges'!$AQ23,'Margin Quartiles'!$A:$H,7,FALSE),U21),0)</f>
        <v>0</v>
      </c>
      <c r="R21" s="545"/>
      <c r="S21" s="168"/>
      <c r="T21" s="168"/>
      <c r="U21" s="168"/>
      <c r="V21" s="145"/>
      <c r="W21" s="168" t="e">
        <f>'Multi-Customer'!AO23</f>
        <v>#DIV/0!</v>
      </c>
      <c r="X21" s="145"/>
      <c r="Y21" s="168"/>
      <c r="Z21" s="145"/>
      <c r="AA21" s="145"/>
      <c r="AB21" s="394"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49">
        <v>0</v>
      </c>
      <c r="C22" s="654"/>
      <c r="D22" s="786" t="s">
        <v>490</v>
      </c>
      <c r="E22" s="650" t="s">
        <v>995</v>
      </c>
      <c r="F22" s="170" t="s">
        <v>105</v>
      </c>
      <c r="G22" s="693">
        <f>IFERROR('PIM Ranges'!AL24,0)</f>
        <v>0</v>
      </c>
      <c r="H22" s="694">
        <f>IFERROR('PIM Ranges'!AM24,0)</f>
        <v>0</v>
      </c>
      <c r="I22" s="695">
        <f>IFERROR('PIM Ranges'!AN24,0)</f>
        <v>0</v>
      </c>
      <c r="J22" s="422">
        <f t="shared" si="0"/>
        <v>0</v>
      </c>
      <c r="K22" s="881"/>
      <c r="L22" s="744" t="str">
        <f t="shared" si="1"/>
        <v/>
      </c>
      <c r="M22" s="879">
        <f>'Multi-Customer'!Y24</f>
        <v>0</v>
      </c>
      <c r="N22" s="167"/>
      <c r="O22" s="883">
        <f>IFERROR(IF($D22="%",VLOOKUP($F22&amp;'PIM Ranges'!$AQ24,'Margin Quartiles'!$A:$H,5,FALSE),S22),0)</f>
        <v>0</v>
      </c>
      <c r="P22" s="883">
        <f>IFERROR(IF($E$3="CIA",$W22,IF($D22="%",VLOOKUP($F22&amp;'PIM Ranges'!$AQ24,'Margin Quartiles'!$A:$H,6,FALSE),T22)),0)</f>
        <v>0</v>
      </c>
      <c r="Q22" s="883">
        <f>IFERROR(IF($D22="%",VLOOKUP($F22&amp;'PIM Ranges'!$AQ24,'Margin Quartiles'!$A:$H,7,FALSE),U22),0)</f>
        <v>0</v>
      </c>
      <c r="R22" s="545"/>
      <c r="S22" s="415" t="e">
        <f>VLOOKUP($F22&amp;'PIM Ranges'!$AQ24,'Margin Quartiles'!$A:$H,5,FALSE)*'PIM Ranges'!$AP24</f>
        <v>#DIV/0!</v>
      </c>
      <c r="T22" s="415" t="e">
        <f>VLOOKUP($F22&amp;'PIM Ranges'!$AQ24,'Margin Quartiles'!$A:$H,6,FALSE)*'PIM Ranges'!$AP24</f>
        <v>#DIV/0!</v>
      </c>
      <c r="U22" s="415" t="e">
        <f>VLOOKUP($F22&amp;'PIM Ranges'!$AQ24,'Margin Quartiles'!$A:$H,8,FALSE)*'PIM Ranges'!$AP24</f>
        <v>#DIV/0!</v>
      </c>
      <c r="V22" s="145"/>
      <c r="W22" s="168" t="e">
        <f>'Multi-Customer'!AO24</f>
        <v>#DIV/0!</v>
      </c>
      <c r="X22" s="145"/>
      <c r="Y22" s="415" t="e">
        <f>VLOOKUP($F22&amp;'Multi-Customer'!$AG24,'IMargin Quartiles'!$A:$H,6,FALSE)*'PIM Ranges'!AP24</f>
        <v>#N/A</v>
      </c>
      <c r="Z22" s="145"/>
      <c r="AA22" s="145"/>
      <c r="AB22" s="394"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49">
        <v>0</v>
      </c>
      <c r="C23" s="654"/>
      <c r="D23" s="1025" t="s">
        <v>490</v>
      </c>
      <c r="E23" s="650" t="s">
        <v>995</v>
      </c>
      <c r="F23" s="170" t="s">
        <v>92</v>
      </c>
      <c r="G23" s="693">
        <f>IFERROR('PIM Ranges'!AL25,0)</f>
        <v>0</v>
      </c>
      <c r="H23" s="694">
        <f>IFERROR('PIM Ranges'!AM25,0)</f>
        <v>0</v>
      </c>
      <c r="I23" s="695">
        <f>IFERROR('PIM Ranges'!AN25,0)</f>
        <v>0</v>
      </c>
      <c r="J23" s="422">
        <f t="shared" si="0"/>
        <v>0</v>
      </c>
      <c r="K23" s="881"/>
      <c r="L23" s="744" t="str">
        <f t="shared" si="1"/>
        <v/>
      </c>
      <c r="M23" s="879">
        <f>'Multi-Customer'!Y25</f>
        <v>0</v>
      </c>
      <c r="N23" s="167"/>
      <c r="O23" s="883">
        <f>IFERROR(IF($D23="%",VLOOKUP($F23&amp;'PIM Ranges'!$AQ25,'Margin Quartiles'!$A:$H,5,FALSE),S23),0)</f>
        <v>0</v>
      </c>
      <c r="P23" s="883">
        <f>IFERROR(IF($E$3="CIA",$W23,IF($D23="%",VLOOKUP($F23&amp;'PIM Ranges'!$AQ25,'Margin Quartiles'!$A:$H,6,FALSE),T23)),0)</f>
        <v>0</v>
      </c>
      <c r="Q23" s="883">
        <f>IFERROR(IF($D23="%",VLOOKUP($F23&amp;'PIM Ranges'!$AQ25,'Margin Quartiles'!$A:$H,7,FALSE),U23),0)</f>
        <v>0</v>
      </c>
      <c r="R23" s="545"/>
      <c r="S23" s="168"/>
      <c r="T23" s="168"/>
      <c r="U23" s="168"/>
      <c r="V23" s="145"/>
      <c r="W23" s="168" t="e">
        <f>'Multi-Customer'!AO25</f>
        <v>#DIV/0!</v>
      </c>
      <c r="X23" s="145"/>
      <c r="Y23" s="168"/>
      <c r="Z23" s="145"/>
      <c r="AA23" s="145"/>
      <c r="AB23" s="394"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49">
        <v>0</v>
      </c>
      <c r="C24" s="654"/>
      <c r="D24" s="786" t="s">
        <v>490</v>
      </c>
      <c r="E24" s="650" t="s">
        <v>995</v>
      </c>
      <c r="F24" s="170" t="s">
        <v>91</v>
      </c>
      <c r="G24" s="693">
        <f>IFERROR('PIM Ranges'!AL26,0)</f>
        <v>0</v>
      </c>
      <c r="H24" s="694">
        <f>IFERROR('PIM Ranges'!AM26,0)</f>
        <v>0</v>
      </c>
      <c r="I24" s="695">
        <f>IFERROR('PIM Ranges'!AN26,0)</f>
        <v>0</v>
      </c>
      <c r="J24" s="422">
        <f t="shared" si="0"/>
        <v>0</v>
      </c>
      <c r="K24" s="881"/>
      <c r="L24" s="744" t="str">
        <f t="shared" si="1"/>
        <v/>
      </c>
      <c r="M24" s="879">
        <f>'Multi-Customer'!Y26</f>
        <v>0</v>
      </c>
      <c r="N24" s="167"/>
      <c r="O24" s="883">
        <f>IFERROR(IF($D24="%",VLOOKUP($F24&amp;'PIM Ranges'!$AQ26,'Margin Quartiles'!$A:$H,5,FALSE),S24),0)</f>
        <v>0</v>
      </c>
      <c r="P24" s="883">
        <f>IFERROR(IF($E$3="CIA",$W24,IF($D24="%",VLOOKUP($F24&amp;'PIM Ranges'!$AQ26,'Margin Quartiles'!$A:$H,6,FALSE),T24)),0)</f>
        <v>0</v>
      </c>
      <c r="Q24" s="883">
        <f>IFERROR(IF($D24="%",VLOOKUP($F24&amp;'PIM Ranges'!$AQ26,'Margin Quartiles'!$A:$H,7,FALSE),U24),0)</f>
        <v>0</v>
      </c>
      <c r="R24" s="545"/>
      <c r="S24" s="415" t="e">
        <f>VLOOKUP($F24&amp;'PIM Ranges'!$AQ26,'Margin Quartiles'!$A:$H,5,FALSE)*'PIM Ranges'!$AP26</f>
        <v>#DIV/0!</v>
      </c>
      <c r="T24" s="415" t="e">
        <f>VLOOKUP($F24&amp;'PIM Ranges'!$AQ26,'Margin Quartiles'!$A:$H,6,FALSE)*'PIM Ranges'!$AP26</f>
        <v>#DIV/0!</v>
      </c>
      <c r="U24" s="415" t="e">
        <f>VLOOKUP($F24&amp;'PIM Ranges'!$AQ26,'Margin Quartiles'!$A:$H,8,FALSE)*'PIM Ranges'!$AP26</f>
        <v>#DIV/0!</v>
      </c>
      <c r="V24" s="145"/>
      <c r="W24" s="168" t="e">
        <f>'Multi-Customer'!AO26</f>
        <v>#DIV/0!</v>
      </c>
      <c r="X24" s="145"/>
      <c r="Y24" s="415" t="e">
        <f>VLOOKUP($F24&amp;'Multi-Customer'!$AG26,'IMargin Quartiles'!$A:$H,6,FALSE)*'PIM Ranges'!AP26</f>
        <v>#N/A</v>
      </c>
      <c r="Z24" s="145"/>
      <c r="AA24" s="145"/>
      <c r="AB24" s="394"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49">
        <v>0</v>
      </c>
      <c r="C25" s="654"/>
      <c r="D25" s="786" t="s">
        <v>490</v>
      </c>
      <c r="E25" s="650" t="s">
        <v>995</v>
      </c>
      <c r="F25" s="170" t="s">
        <v>90</v>
      </c>
      <c r="G25" s="693">
        <f>IFERROR('PIM Ranges'!AL27,0)</f>
        <v>0</v>
      </c>
      <c r="H25" s="694">
        <f>IFERROR('PIM Ranges'!AM27,0)</f>
        <v>0</v>
      </c>
      <c r="I25" s="695">
        <f>IFERROR('PIM Ranges'!AN27,0)</f>
        <v>0</v>
      </c>
      <c r="J25" s="422">
        <f t="shared" si="0"/>
        <v>0</v>
      </c>
      <c r="K25" s="881"/>
      <c r="L25" s="744" t="str">
        <f t="shared" si="1"/>
        <v/>
      </c>
      <c r="M25" s="879">
        <f>'Multi-Customer'!Y27</f>
        <v>0</v>
      </c>
      <c r="N25" s="167"/>
      <c r="O25" s="883">
        <f>IFERROR(IF($D25="%",VLOOKUP($F25&amp;'PIM Ranges'!$AQ27,'Margin Quartiles'!$A:$H,5,FALSE),S25),0)</f>
        <v>0</v>
      </c>
      <c r="P25" s="883">
        <f>IFERROR(IF($E$3="CIA",$W25,IF($D25="%",VLOOKUP($F25&amp;'PIM Ranges'!$AQ27,'Margin Quartiles'!$A:$H,6,FALSE),T25)),0)</f>
        <v>0</v>
      </c>
      <c r="Q25" s="883">
        <f>IFERROR(IF($D25="%",VLOOKUP($F25&amp;'PIM Ranges'!$AQ27,'Margin Quartiles'!$A:$H,7,FALSE),U25),0)</f>
        <v>0</v>
      </c>
      <c r="R25" s="545"/>
      <c r="S25" s="415" t="e">
        <f>VLOOKUP($F25&amp;'PIM Ranges'!$AQ27,'Margin Quartiles'!$A:$H,5,FALSE)*'PIM Ranges'!$AP27</f>
        <v>#DIV/0!</v>
      </c>
      <c r="T25" s="415" t="e">
        <f>VLOOKUP($F25&amp;'PIM Ranges'!$AQ27,'Margin Quartiles'!$A:$H,6,FALSE)*'PIM Ranges'!$AP27</f>
        <v>#DIV/0!</v>
      </c>
      <c r="U25" s="415" t="e">
        <f>VLOOKUP($F25&amp;'PIM Ranges'!$AQ27,'Margin Quartiles'!$A:$H,8,FALSE)*'PIM Ranges'!$AP27</f>
        <v>#DIV/0!</v>
      </c>
      <c r="V25" s="145"/>
      <c r="W25" s="168" t="e">
        <f>'Multi-Customer'!AO27</f>
        <v>#DIV/0!</v>
      </c>
      <c r="X25" s="145"/>
      <c r="Y25" s="415" t="e">
        <f>VLOOKUP($F25&amp;'Multi-Customer'!$AG27,'IMargin Quartiles'!$A:$H,6,FALSE)*'PIM Ranges'!AP27</f>
        <v>#N/A</v>
      </c>
      <c r="Z25" s="145"/>
      <c r="AA25" s="145"/>
      <c r="AB25" s="394"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49">
        <v>0</v>
      </c>
      <c r="C26" s="654"/>
      <c r="D26" s="786" t="s">
        <v>490</v>
      </c>
      <c r="E26" s="650" t="s">
        <v>995</v>
      </c>
      <c r="F26" s="170" t="s">
        <v>89</v>
      </c>
      <c r="G26" s="693">
        <f>IFERROR('PIM Ranges'!AL28,0)</f>
        <v>0</v>
      </c>
      <c r="H26" s="694">
        <f>IFERROR('PIM Ranges'!AM28,0)</f>
        <v>0</v>
      </c>
      <c r="I26" s="695">
        <f>IFERROR('PIM Ranges'!AN28,0)</f>
        <v>0</v>
      </c>
      <c r="J26" s="422">
        <f t="shared" si="0"/>
        <v>0</v>
      </c>
      <c r="K26" s="881"/>
      <c r="L26" s="744" t="str">
        <f t="shared" si="1"/>
        <v/>
      </c>
      <c r="M26" s="879">
        <f>'Multi-Customer'!Y28</f>
        <v>0</v>
      </c>
      <c r="N26" s="167"/>
      <c r="O26" s="883">
        <f>IFERROR(IF($D26="%",VLOOKUP($F26&amp;'PIM Ranges'!$AQ28,'Margin Quartiles'!$A:$H,5,FALSE),S26),0)</f>
        <v>0</v>
      </c>
      <c r="P26" s="883">
        <f>IFERROR(IF($E$3="CIA",$W26,IF($D26="%",VLOOKUP($F26&amp;'PIM Ranges'!$AQ28,'Margin Quartiles'!$A:$H,6,FALSE),T26)),0)</f>
        <v>0</v>
      </c>
      <c r="Q26" s="883">
        <f>IFERROR(IF($D26="%",VLOOKUP($F26&amp;'PIM Ranges'!$AQ28,'Margin Quartiles'!$A:$H,7,FALSE),U26),0)</f>
        <v>0</v>
      </c>
      <c r="R26" s="545"/>
      <c r="S26" s="415" t="e">
        <f>VLOOKUP($F26&amp;'PIM Ranges'!$AQ28,'Margin Quartiles'!$A:$H,5,FALSE)*'PIM Ranges'!$AP28</f>
        <v>#DIV/0!</v>
      </c>
      <c r="T26" s="415" t="e">
        <f>VLOOKUP($F26&amp;'PIM Ranges'!$AQ28,'Margin Quartiles'!$A:$H,6,FALSE)*'PIM Ranges'!$AP28</f>
        <v>#DIV/0!</v>
      </c>
      <c r="U26" s="415" t="e">
        <f>VLOOKUP($F26&amp;'PIM Ranges'!$AQ28,'Margin Quartiles'!$A:$H,8,FALSE)*'PIM Ranges'!$AP28</f>
        <v>#DIV/0!</v>
      </c>
      <c r="V26" s="145"/>
      <c r="W26" s="168" t="e">
        <f>'Multi-Customer'!AO28</f>
        <v>#DIV/0!</v>
      </c>
      <c r="X26" s="145"/>
      <c r="Y26" s="415" t="e">
        <f>VLOOKUP($F26&amp;'Multi-Customer'!$AG28,'IMargin Quartiles'!$A:$H,6,FALSE)*'PIM Ranges'!AP28</f>
        <v>#N/A</v>
      </c>
      <c r="Z26" s="145"/>
      <c r="AA26" s="145"/>
      <c r="AB26" s="394"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49">
        <v>0</v>
      </c>
      <c r="C27" s="654"/>
      <c r="D27" s="786" t="s">
        <v>490</v>
      </c>
      <c r="E27" s="650" t="s">
        <v>995</v>
      </c>
      <c r="F27" s="170" t="s">
        <v>94</v>
      </c>
      <c r="G27" s="693">
        <f>IFERROR('PIM Ranges'!AL29,0)</f>
        <v>0</v>
      </c>
      <c r="H27" s="694">
        <f>IFERROR('PIM Ranges'!AM29,0)</f>
        <v>0</v>
      </c>
      <c r="I27" s="695">
        <f>IFERROR('PIM Ranges'!AN29,0)</f>
        <v>0</v>
      </c>
      <c r="J27" s="422">
        <f>IF($E$3="CIA",IF($D27="%",$P27*$G27,$P27*$H27),IF($D27="%",$K27*$G27,$K27*H27))</f>
        <v>0</v>
      </c>
      <c r="K27" s="881"/>
      <c r="L27" s="744" t="str">
        <f>IF(K27&lt;0,"X",IF($E$3="CIA","",IF(K27="","",IF(K27&lt;O27,"L",IF(K27&gt;Q27,"X","")))))</f>
        <v/>
      </c>
      <c r="M27" s="879">
        <f>'Multi-Customer'!Y29</f>
        <v>0</v>
      </c>
      <c r="N27" s="167"/>
      <c r="O27" s="883">
        <f>IFERROR(IF($D27="%",VLOOKUP($F27&amp;'PIM Ranges'!$AQ29,'Margin Quartiles'!$A:$H,5,FALSE),S27),0)</f>
        <v>0</v>
      </c>
      <c r="P27" s="883">
        <f>IFERROR(IF($E$3="CIA",$W27,IF($D27="%",VLOOKUP($F27&amp;'PIM Ranges'!$AQ29,'Margin Quartiles'!$A:$H,6,FALSE),T27)),0)</f>
        <v>0</v>
      </c>
      <c r="Q27" s="883">
        <f>IFERROR(IF($D27="%",VLOOKUP($F27&amp;'PIM Ranges'!$AQ29,'Margin Quartiles'!$A:$H,7,FALSE),U27),0)</f>
        <v>0</v>
      </c>
      <c r="R27" s="545"/>
      <c r="S27" s="415" t="e">
        <f>VLOOKUP($F27&amp;'PIM Ranges'!$AQ29,'Margin Quartiles'!$A:$H,5,FALSE)*'PIM Ranges'!$AO29</f>
        <v>#DIV/0!</v>
      </c>
      <c r="T27" s="415" t="e">
        <f>VLOOKUP($F27&amp;'PIM Ranges'!$AQ29,'Margin Quartiles'!$A:$H,6,FALSE)*'PIM Ranges'!$AO29</f>
        <v>#DIV/0!</v>
      </c>
      <c r="U27" s="415" t="e">
        <f>VLOOKUP($F27&amp;'PIM Ranges'!$AQ29,'Margin Quartiles'!$A:$H,8,FALSE)*'PIM Ranges'!$AO29</f>
        <v>#DIV/0!</v>
      </c>
      <c r="V27" s="145"/>
      <c r="W27" s="168" t="e">
        <f>'Multi-Customer'!AO29</f>
        <v>#DIV/0!</v>
      </c>
      <c r="X27" s="145"/>
      <c r="Y27" s="415" t="e">
        <f>VLOOKUP($F27&amp;'Multi-Customer'!$AG29,'IMargin Quartiles'!$A:$H,6,FALSE)*'PIM Ranges'!AO29</f>
        <v>#N/A</v>
      </c>
      <c r="Z27" s="145"/>
      <c r="AA27" s="145"/>
      <c r="AB27" s="394"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49">
        <v>0</v>
      </c>
      <c r="C28" s="654"/>
      <c r="D28" s="1025" t="s">
        <v>490</v>
      </c>
      <c r="E28" s="650" t="s">
        <v>995</v>
      </c>
      <c r="F28" s="170" t="s">
        <v>86</v>
      </c>
      <c r="G28" s="693">
        <f>IFERROR('PIM Ranges'!AL30,0)</f>
        <v>0</v>
      </c>
      <c r="H28" s="694">
        <f>IFERROR('PIM Ranges'!AM30,0)</f>
        <v>0</v>
      </c>
      <c r="I28" s="695">
        <f>IFERROR('PIM Ranges'!AN30,0)</f>
        <v>0</v>
      </c>
      <c r="J28" s="422">
        <f>IF($E$3="CIA",IF($D28="%",$P28*$G28,$P28*$I28),IF($D28="%",$K28*$G28,$K28*I28))</f>
        <v>0</v>
      </c>
      <c r="K28" s="881"/>
      <c r="L28" s="744" t="str">
        <f>IF($E$3="CIA","",IF(K28="","",IF(K28&lt;O28,"X",IF(K28&gt;Q28,"X",""))))</f>
        <v/>
      </c>
      <c r="M28" s="879">
        <f>'Multi-Customer'!Y30</f>
        <v>0</v>
      </c>
      <c r="N28" s="167"/>
      <c r="O28" s="883">
        <f>IFERROR(IF($D28="%",VLOOKUP($F28&amp;'PIM Ranges'!$AQ30,'Margin Quartiles'!$A:$H,5,FALSE),S28),0)</f>
        <v>0</v>
      </c>
      <c r="P28" s="883">
        <f>IFERROR(IF($E$3="CIA",$W28,IF($D28="%",VLOOKUP($F28&amp;'PIM Ranges'!$AQ30,'Margin Quartiles'!$A:$H,6,FALSE),T28)),0)</f>
        <v>0</v>
      </c>
      <c r="Q28" s="883">
        <f>IFERROR(IF($D28="%",VLOOKUP($F28&amp;'PIM Ranges'!$AQ30,'Margin Quartiles'!$A:$H,7,FALSE),U28),0)</f>
        <v>0</v>
      </c>
      <c r="R28" s="545"/>
      <c r="S28" s="168"/>
      <c r="T28" s="168"/>
      <c r="U28" s="168"/>
      <c r="V28" s="145"/>
      <c r="W28" s="168" t="e">
        <f>'Multi-Customer'!AO30</f>
        <v>#DIV/0!</v>
      </c>
      <c r="X28" s="145"/>
      <c r="Y28" s="168"/>
      <c r="Z28" s="145"/>
      <c r="AA28" s="145"/>
      <c r="AB28" s="394"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49">
        <v>0</v>
      </c>
      <c r="C29" s="654"/>
      <c r="D29" s="787" t="s">
        <v>490</v>
      </c>
      <c r="E29" s="650" t="s">
        <v>995</v>
      </c>
      <c r="F29" s="170" t="s">
        <v>88</v>
      </c>
      <c r="G29" s="693">
        <f>IFERROR('PIM Ranges'!AL31,0)</f>
        <v>0</v>
      </c>
      <c r="H29" s="694">
        <f>IFERROR('PIM Ranges'!AM31,0)</f>
        <v>0</v>
      </c>
      <c r="I29" s="695">
        <f>IFERROR('PIM Ranges'!AN31,0)</f>
        <v>0</v>
      </c>
      <c r="J29" s="422">
        <f>IF($E$3="CIA",IF($D29="%",$P29*$G29,$P29*$I29),IF($D29="%",$K29*$G29,$K29*I29))</f>
        <v>0</v>
      </c>
      <c r="K29" s="881"/>
      <c r="L29" s="744" t="str">
        <f>IF($E$3="CIA","",IF(K29="","",IF(K29&lt;O29,"X",IF(K29&gt;Q29,"X",""))))</f>
        <v/>
      </c>
      <c r="M29" s="879">
        <f>'Multi-Customer'!Y31</f>
        <v>0</v>
      </c>
      <c r="N29" s="167"/>
      <c r="O29" s="883">
        <f>IFERROR(IF($D29="%",VLOOKUP($F29&amp;'PIM Ranges'!$AQ31,'Margin Quartiles'!$A:$H,5,FALSE),S29),0)</f>
        <v>0</v>
      </c>
      <c r="P29" s="883">
        <f>IFERROR(IF($E$3="CIA",$W29,IF($D29="%",VLOOKUP($F29&amp;'PIM Ranges'!$AQ31,'Margin Quartiles'!$A:$H,6,FALSE),T29)),0)</f>
        <v>0</v>
      </c>
      <c r="Q29" s="883">
        <f>IFERROR(IF($D29="%",VLOOKUP($F29&amp;'PIM Ranges'!$AQ31,'Margin Quartiles'!$A:$H,7,FALSE),U29),0)</f>
        <v>0</v>
      </c>
      <c r="R29" s="545"/>
      <c r="S29" s="415" t="e">
        <f>VLOOKUP($F29&amp;'PIM Ranges'!$AQ31,'Margin Quartiles'!$A:$H,5,FALSE)*'PIM Ranges'!$AP31</f>
        <v>#DIV/0!</v>
      </c>
      <c r="T29" s="415" t="e">
        <f>VLOOKUP($F29&amp;'PIM Ranges'!$AQ31,'Margin Quartiles'!$A:$H,6,FALSE)*'PIM Ranges'!$AP31</f>
        <v>#DIV/0!</v>
      </c>
      <c r="U29" s="415" t="e">
        <f>VLOOKUP($F29&amp;'PIM Ranges'!$AQ31,'Margin Quartiles'!$A:$H,8,FALSE)*'PIM Ranges'!$AP31</f>
        <v>#DIV/0!</v>
      </c>
      <c r="V29" s="145"/>
      <c r="W29" s="168" t="e">
        <f>'Multi-Customer'!AO31</f>
        <v>#DIV/0!</v>
      </c>
      <c r="X29" s="145"/>
      <c r="Y29" s="415" t="e">
        <f>VLOOKUP($F29&amp;'Multi-Customer'!$AG31,'IMargin Quartiles'!$A:$H,6,FALSE)*'PIM Ranges'!AP31</f>
        <v>#N/A</v>
      </c>
      <c r="Z29" s="145"/>
      <c r="AA29" s="145"/>
      <c r="AB29" s="394"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1">
        <v>0</v>
      </c>
      <c r="C30" s="655"/>
      <c r="D30" s="788" t="s">
        <v>490</v>
      </c>
      <c r="E30" s="652" t="s">
        <v>995</v>
      </c>
      <c r="F30" s="171" t="s">
        <v>87</v>
      </c>
      <c r="G30" s="693">
        <f>IFERROR('PIM Ranges'!AL32,0)</f>
        <v>0</v>
      </c>
      <c r="H30" s="694">
        <f>IFERROR('PIM Ranges'!AM32,0)</f>
        <v>0</v>
      </c>
      <c r="I30" s="696">
        <f>IFERROR('PIM Ranges'!AN32,0)</f>
        <v>0</v>
      </c>
      <c r="J30" s="422">
        <f>IF($E$3="CIA",IF($D30="%",$P30*$G30,$P30*$I30),IF($D30="%",$K30*$G30,$K30*I30))</f>
        <v>0</v>
      </c>
      <c r="K30" s="882"/>
      <c r="L30" s="744" t="str">
        <f>IF($E$3="CIA","",IF(K30="","",IF(K30&lt;O30,"X",IF(K30&gt;Q30,"X",""))))</f>
        <v/>
      </c>
      <c r="M30" s="880">
        <f>'Multi-Customer'!Y32</f>
        <v>0</v>
      </c>
      <c r="N30" s="167"/>
      <c r="O30" s="883">
        <f>IFERROR(IF($D30="%",VLOOKUP($F30&amp;'PIM Ranges'!$AQ32,'Margin Quartiles'!$A:$H,5,FALSE),S30),0)</f>
        <v>0</v>
      </c>
      <c r="P30" s="883">
        <f>IFERROR(IF($E$3="CIA",$W30,IF($D30="%",VLOOKUP($F30&amp;'PIM Ranges'!$AQ32,'Margin Quartiles'!$A:$H,6,FALSE),T30)),0)</f>
        <v>0</v>
      </c>
      <c r="Q30" s="883">
        <f>IFERROR(IF($D30="%",VLOOKUP($F30&amp;'PIM Ranges'!$AQ32,'Margin Quartiles'!$A:$H,7,FALSE),U30),0)</f>
        <v>0</v>
      </c>
      <c r="R30" s="545"/>
      <c r="S30" s="415" t="e">
        <f>VLOOKUP($F30&amp;'PIM Ranges'!$AQ32,'Margin Quartiles'!$A:$H,5,FALSE)*'PIM Ranges'!$AP32</f>
        <v>#DIV/0!</v>
      </c>
      <c r="T30" s="415" t="e">
        <f>VLOOKUP($F30&amp;'PIM Ranges'!$AQ32,'Margin Quartiles'!$A:$H,6,FALSE)*'PIM Ranges'!$AP32</f>
        <v>#DIV/0!</v>
      </c>
      <c r="U30" s="415" t="e">
        <f>VLOOKUP($F30&amp;'PIM Ranges'!$AQ32,'Margin Quartiles'!$A:$H,8,FALSE)*'PIM Ranges'!$AP32</f>
        <v>#DIV/0!</v>
      </c>
      <c r="V30" s="145"/>
      <c r="W30" s="168" t="e">
        <f>'Multi-Customer'!AO32</f>
        <v>#DIV/0!</v>
      </c>
      <c r="X30" s="145"/>
      <c r="Y30" s="415" t="e">
        <f>VLOOKUP($F30&amp;'Multi-Customer'!$AG32,'IMargin Quartiles'!$A:$H,6,FALSE)*'PIM Ranges'!AP32</f>
        <v>#N/A</v>
      </c>
      <c r="Z30" s="145"/>
      <c r="AA30" s="145"/>
      <c r="AB30" s="394"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2" t="s">
        <v>109</v>
      </c>
      <c r="G31" s="173">
        <f>'Customer Inputs'!$P$17</f>
        <v>0</v>
      </c>
      <c r="H31" s="174">
        <f>SUM(H10:H30)</f>
        <v>0</v>
      </c>
      <c r="I31" s="175">
        <f>SUM(I10:I30)</f>
        <v>0</v>
      </c>
      <c r="J31" s="423">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2"/>
      <c r="G32" s="176">
        <f>IF($H$32=21,$G$31,ROUND(SUMIFS($G$10:$G$30,$D$10:$D$30,"%"),0))</f>
        <v>0</v>
      </c>
      <c r="H32" s="176">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228" t="s">
        <v>119</v>
      </c>
      <c r="H33" s="1229"/>
      <c r="I33" s="516" t="e">
        <f>IF($E$3="MDA",'PIM Ranges'!$AX$7,'PIM Ranges'!$BJ$7)</f>
        <v>#DIV/0!</v>
      </c>
      <c r="J33" s="140"/>
      <c r="K33" s="1230" t="str">
        <f>IF(COUNTIF($AB$10:$AB$30,"ERROR")&lt;1,"",IF(COUNTIF($AB$10:$AB$30,"ERROR")&lt;2,(COUNTIF($AB$10:$AB$30,"ERROR")&amp;" Margin Missing Above"),(COUNTIF($AB$10:$AB$30,"ERROR")&amp;" Margins Missing Above")))</f>
        <v/>
      </c>
      <c r="L33" s="1230"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223" t="s">
        <v>499</v>
      </c>
      <c r="H34" s="1224"/>
      <c r="I34" s="512">
        <f>J31</f>
        <v>0</v>
      </c>
      <c r="J34" s="140"/>
      <c r="K34" s="1230" t="str">
        <f>IF(COUNTIFS($L$10:$L$30,"X",$AF$10:$AF$30,"BELOW")&lt;1,"",IF(COUNTIFS($L$10:$L$30,"X",$AF$10:$AF$30,"BELOW")&lt;2,(COUNTIFS($L$10:$L$30,"X",$AF$10:$AF$30,"BELOW")&amp;" Margin Below Minimum"),(COUNTIFS($L$10:$L$30,"X",$AF$10:$AF$30,"BELOW")&amp;" Margins Below Minimum")))</f>
        <v/>
      </c>
      <c r="L34" s="1230"/>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223" t="s">
        <v>1405</v>
      </c>
      <c r="H35" s="1224"/>
      <c r="I35" s="513" t="str">
        <f>IFERROR(I34/G31,"")</f>
        <v/>
      </c>
      <c r="K35" s="1230" t="str">
        <f>IF(COUNTIFS($L$10:$L$30,"X",$AF$10:$AF$30,"ABOVE")&lt;1,"",IF(COUNTIFS($L$10:$L$30,"X",$AF$10:$AF$30,"ABOVE")&lt;2,(COUNTIFS($L$10:$L$30,"X",$AF$10:$AF$30,"ABOVE")&amp;" Margin Above Maximum"),(COUNTIFS($L$10:$L$30,"X",$AF$10:$AF$30,"ABOVE")&amp;" Margins Above Maximum")))</f>
        <v/>
      </c>
      <c r="L35" s="1230"/>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223"/>
      <c r="H36" s="1224"/>
      <c r="I36" s="513"/>
      <c r="J36" s="140"/>
      <c r="K36" s="525">
        <f>COUNTIF('PIM Model'!$AB$10:$AB$30,"ERROR")+COUNTIFS($L$10:$L$30,"X",$AF$10:$AF$30,"BELOW")</f>
        <v>0</v>
      </c>
      <c r="L36" s="177"/>
      <c r="M36" s="177"/>
      <c r="N36" s="177"/>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223" t="str">
        <f>IFERROR(IF(I35&gt;I33,"","Below Recommended TAGP: "),"")</f>
        <v/>
      </c>
      <c r="H37" s="1224"/>
      <c r="I37" s="513" t="str">
        <f>IFERROR(IF(I35&lt;I33,I33-I35,""),"")</f>
        <v/>
      </c>
      <c r="J37" s="140"/>
      <c r="K37" s="145"/>
      <c r="L37" s="177"/>
      <c r="M37" s="177"/>
      <c r="N37" s="177"/>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223"/>
      <c r="H38" s="1224"/>
      <c r="I38" s="513"/>
      <c r="J38" s="140"/>
      <c r="K38" s="177"/>
      <c r="L38" s="177"/>
      <c r="M38" s="177"/>
      <c r="N38" s="177"/>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223" t="s">
        <v>1406</v>
      </c>
      <c r="H39" s="1224"/>
      <c r="I39" s="514">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225" t="s">
        <v>500</v>
      </c>
      <c r="H40" s="1226"/>
      <c r="I40" s="515">
        <f>IFERROR($I$34/(52*$E$6*$K$40),0)</f>
        <v>0</v>
      </c>
      <c r="J40" s="140"/>
      <c r="K40" s="617" t="str">
        <f>Welcome!$D$16</f>
        <v>Select # of Locations</v>
      </c>
      <c r="L40" s="145"/>
      <c r="M40" s="145"/>
      <c r="N40" s="145"/>
      <c r="O40" s="145"/>
      <c r="P40" s="145"/>
      <c r="Q40" s="549"/>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5"/>
      <c r="J41" s="140"/>
      <c r="K41" s="1006"/>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006"/>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227"/>
      <c r="G52" s="1227"/>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227"/>
      <c r="G53" s="1227"/>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227"/>
      <c r="G54" s="1227"/>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HshAf+uJWsvIxDBqPkudgMGbtV5Gj6vcOaV7wLtBsYQDT4kwZgaXksqfjrqenT4OLyj4QARLKMtkefghUdA/mA==" saltValue="hg1eabIMJjaZbqyzC0MpK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195" priority="20">
      <formula>$D10&lt;&gt;"%"</formula>
    </cfRule>
  </conditionalFormatting>
  <conditionalFormatting sqref="B10:J30">
    <cfRule type="expression" dxfId="194" priority="14">
      <formula>$E10="EXCLUDE"</formula>
    </cfRule>
  </conditionalFormatting>
  <conditionalFormatting sqref="O8:O30">
    <cfRule type="expression" dxfId="193" priority="16">
      <formula>$E$3="CIA"</formula>
    </cfRule>
  </conditionalFormatting>
  <conditionalFormatting sqref="Q8:Q30">
    <cfRule type="expression" dxfId="192" priority="15">
      <formula>$E$3="CIA"</formula>
    </cfRule>
  </conditionalFormatting>
  <conditionalFormatting sqref="K9:K30">
    <cfRule type="expression" dxfId="191" priority="5">
      <formula>$E$3="CIA"</formula>
    </cfRule>
  </conditionalFormatting>
  <conditionalFormatting sqref="L10:L30">
    <cfRule type="expression" dxfId="190" priority="6">
      <formula>$AF10="ABOVE"</formula>
    </cfRule>
  </conditionalFormatting>
  <conditionalFormatting sqref="I35">
    <cfRule type="expression" dxfId="189" priority="76">
      <formula>$K$36&gt;0</formula>
    </cfRule>
    <cfRule type="expression" dxfId="188" priority="77">
      <formula>$I$35&lt;$I$33</formula>
    </cfRule>
    <cfRule type="expression" dxfId="187" priority="78">
      <formula>$I$35&gt;$I$33</formula>
    </cfRule>
  </conditionalFormatting>
  <conditionalFormatting sqref="D10:D30">
    <cfRule type="expression" dxfId="186" priority="17">
      <formula>$E$3="CIA"</formula>
    </cfRule>
  </conditionalFormatting>
  <conditionalFormatting sqref="K10:K30">
    <cfRule type="expression" dxfId="185" priority="4">
      <formula>$D10&lt;&gt;"%"</formula>
    </cfRule>
  </conditionalFormatting>
  <conditionalFormatting sqref="K27">
    <cfRule type="expression" dxfId="184" priority="2">
      <formula>$K$27&lt;0</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topLeftCell="A54" zoomScale="80" zoomScaleNormal="80" workbookViewId="0">
      <selection activeCell="K75" sqref="K75"/>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47"/>
      <c r="C2" s="178"/>
      <c r="D2" s="550" t="s">
        <v>985</v>
      </c>
      <c r="E2" s="178"/>
      <c r="F2" s="179"/>
      <c r="G2" s="180"/>
      <c r="H2" s="178"/>
      <c r="I2" s="553"/>
      <c r="J2" s="178"/>
      <c r="K2" s="178"/>
      <c r="L2" s="178"/>
      <c r="M2" s="178"/>
      <c r="N2" s="178"/>
      <c r="O2" s="554"/>
      <c r="Q2" s="182"/>
      <c r="R2" s="183"/>
      <c r="S2" s="183"/>
      <c r="T2" s="183"/>
      <c r="U2" s="183"/>
      <c r="V2" s="183"/>
      <c r="W2" s="183"/>
      <c r="X2" s="183"/>
      <c r="Y2" s="183"/>
      <c r="Z2" s="183"/>
      <c r="AA2" s="183"/>
      <c r="AB2" s="183"/>
      <c r="AC2" s="183"/>
    </row>
    <row r="3" spans="2:29" s="5" customFormat="1" x14ac:dyDescent="0.25">
      <c r="B3" s="184"/>
      <c r="F3" s="522" t="s">
        <v>377</v>
      </c>
      <c r="G3" s="710">
        <f>Welcome!$D$10</f>
        <v>0</v>
      </c>
      <c r="H3" s="145"/>
      <c r="I3" s="88"/>
      <c r="J3"/>
      <c r="K3" s="522" t="s">
        <v>110</v>
      </c>
      <c r="L3" s="1234" t="e">
        <f>VLOOKUP($L$4,'Market Geography'!$D:$G,4,FALSE)</f>
        <v>#N/A</v>
      </c>
      <c r="M3" s="1235" t="e">
        <f>IF(#REF!="New Business",#REF!,#REF!)</f>
        <v>#REF!</v>
      </c>
      <c r="N3" s="1236" t="e">
        <f>VLOOKUP($J$4,'Market Geography'!$D:$G,4,FALSE)</f>
        <v>#N/A</v>
      </c>
      <c r="O3" s="185"/>
      <c r="P3" s="183"/>
      <c r="Q3" s="186"/>
      <c r="R3" s="183"/>
      <c r="S3" s="183"/>
      <c r="T3" s="183"/>
      <c r="U3" s="183"/>
      <c r="V3" s="183"/>
      <c r="W3" s="183"/>
      <c r="X3" s="183"/>
      <c r="Y3" s="183"/>
      <c r="Z3" s="183"/>
      <c r="AA3" s="183"/>
      <c r="AB3" s="183"/>
      <c r="AC3" s="183"/>
    </row>
    <row r="4" spans="2:29" s="5" customFormat="1" x14ac:dyDescent="0.25">
      <c r="B4" s="184"/>
      <c r="F4" s="523" t="s">
        <v>212</v>
      </c>
      <c r="G4" s="392" t="str">
        <f>Welcome!$D$14</f>
        <v>Select Term</v>
      </c>
      <c r="H4" s="145"/>
      <c r="I4" s="187" t="s">
        <v>514</v>
      </c>
      <c r="J4" s="188"/>
      <c r="K4" s="523" t="s">
        <v>120</v>
      </c>
      <c r="L4" s="1231">
        <f>Welcome!$D$4</f>
        <v>0</v>
      </c>
      <c r="M4" s="1232"/>
      <c r="N4" s="1233"/>
      <c r="O4" s="185"/>
      <c r="P4" s="183"/>
      <c r="Q4" s="186"/>
      <c r="R4" s="183"/>
      <c r="S4" s="183"/>
      <c r="T4" s="183"/>
      <c r="U4" s="183"/>
      <c r="V4" s="183"/>
      <c r="W4" s="183"/>
      <c r="X4" s="183"/>
      <c r="Y4" s="183"/>
      <c r="Z4" s="183"/>
      <c r="AA4" s="183"/>
      <c r="AB4" s="183"/>
      <c r="AC4" s="183"/>
    </row>
    <row r="5" spans="2:29" s="5" customFormat="1" x14ac:dyDescent="0.25">
      <c r="B5" s="184"/>
      <c r="F5" s="523" t="s">
        <v>201</v>
      </c>
      <c r="G5" s="393">
        <f>'PIM Model'!$G$31</f>
        <v>0</v>
      </c>
      <c r="H5" s="427"/>
      <c r="I5"/>
      <c r="J5"/>
      <c r="K5" s="523" t="s">
        <v>107</v>
      </c>
      <c r="L5" s="1231" t="str">
        <f>'Multi-Customer'!$M$47</f>
        <v>Enter Customer(s)</v>
      </c>
      <c r="M5" s="1232"/>
      <c r="N5" s="1233"/>
      <c r="O5" s="185"/>
      <c r="P5" s="183"/>
      <c r="Q5" s="186"/>
      <c r="R5" s="183"/>
      <c r="S5" s="183"/>
      <c r="T5" s="183"/>
      <c r="U5" s="183"/>
      <c r="V5" s="183"/>
      <c r="W5" s="183"/>
      <c r="X5" s="183"/>
      <c r="Y5" s="183"/>
      <c r="Z5" s="183"/>
      <c r="AA5" s="183"/>
      <c r="AB5" s="183"/>
      <c r="AC5" s="183"/>
    </row>
    <row r="6" spans="2:29" s="5" customFormat="1" x14ac:dyDescent="0.25">
      <c r="B6" s="184"/>
      <c r="F6" s="523" t="s">
        <v>487</v>
      </c>
      <c r="G6" s="429">
        <f>'Variable Costs (Back)'!$K$26</f>
        <v>0</v>
      </c>
      <c r="H6" s="428"/>
      <c r="I6"/>
      <c r="J6"/>
      <c r="K6" s="523" t="s">
        <v>404</v>
      </c>
      <c r="L6" s="1231" t="str">
        <f>'Multi-Customer'!$M$83</f>
        <v>MULTIPLE TYPES</v>
      </c>
      <c r="M6" s="1232"/>
      <c r="N6" s="1233"/>
      <c r="O6" s="185"/>
      <c r="P6" s="183"/>
      <c r="Q6" s="186"/>
      <c r="R6" s="183"/>
      <c r="S6" s="183"/>
      <c r="T6" s="183"/>
      <c r="U6" s="183"/>
      <c r="V6" s="183"/>
      <c r="W6" s="183"/>
      <c r="X6" s="183"/>
      <c r="Y6" s="183"/>
      <c r="Z6" s="183"/>
      <c r="AA6" s="183"/>
      <c r="AB6" s="183"/>
      <c r="AC6" s="183"/>
    </row>
    <row r="7" spans="2:29" s="5" customFormat="1" ht="15.75" thickBot="1" x14ac:dyDescent="0.3">
      <c r="B7" s="184"/>
      <c r="F7" s="524" t="s">
        <v>538</v>
      </c>
      <c r="G7" s="430">
        <f>IFERROR('PIM Ranges'!$AU$3,0)</f>
        <v>0</v>
      </c>
      <c r="I7"/>
      <c r="J7"/>
      <c r="K7" s="524" t="s">
        <v>221</v>
      </c>
      <c r="L7" s="1253" t="s">
        <v>207</v>
      </c>
      <c r="M7" s="1254"/>
      <c r="N7" s="1255"/>
      <c r="O7" s="185"/>
      <c r="P7" s="183"/>
      <c r="Q7" s="186"/>
      <c r="R7" s="183"/>
      <c r="S7" s="183"/>
      <c r="T7" s="183"/>
      <c r="U7" s="183"/>
      <c r="V7" s="183"/>
      <c r="W7" s="183"/>
      <c r="X7" s="183"/>
      <c r="Y7" s="183"/>
      <c r="Z7" s="183"/>
      <c r="AA7" s="183"/>
      <c r="AB7" s="183"/>
      <c r="AC7" s="183"/>
    </row>
    <row r="8" spans="2:29" s="5" customFormat="1" ht="12" customHeight="1" thickBot="1" x14ac:dyDescent="0.3">
      <c r="B8" s="184"/>
      <c r="F8" s="142"/>
      <c r="I8" s="183"/>
      <c r="J8" s="183"/>
      <c r="K8" s="183"/>
      <c r="L8" s="183"/>
      <c r="M8" s="183"/>
      <c r="N8" s="183"/>
      <c r="O8" s="189"/>
      <c r="P8" s="183"/>
      <c r="Q8" s="186"/>
      <c r="R8" s="183"/>
      <c r="S8" s="183"/>
      <c r="T8" s="183"/>
      <c r="U8" s="183"/>
      <c r="V8" s="183"/>
      <c r="W8" s="183"/>
      <c r="X8" s="183"/>
      <c r="Y8" s="183"/>
      <c r="Z8" s="183"/>
      <c r="AA8" s="183"/>
      <c r="AB8" s="183"/>
      <c r="AC8" s="183"/>
    </row>
    <row r="9" spans="2:29" s="5" customFormat="1" ht="19.149999999999999" customHeight="1" x14ac:dyDescent="0.25">
      <c r="B9" s="184"/>
      <c r="F9" s="142"/>
      <c r="G9" s="190" t="s">
        <v>922</v>
      </c>
      <c r="H9" s="1256">
        <f>IFERROR('PIM Model'!$G$31,0)</f>
        <v>0</v>
      </c>
      <c r="I9" s="1257"/>
      <c r="L9" s="183"/>
      <c r="M9" s="183"/>
      <c r="N9" s="183"/>
      <c r="O9" s="189"/>
      <c r="P9" s="183"/>
      <c r="Q9" s="186"/>
      <c r="R9" s="183"/>
      <c r="S9" s="183"/>
      <c r="T9" s="183"/>
      <c r="U9" s="183"/>
      <c r="V9" s="183"/>
      <c r="W9" s="183"/>
      <c r="X9" s="183"/>
      <c r="Y9" s="183"/>
      <c r="Z9" s="183"/>
      <c r="AA9" s="183"/>
      <c r="AB9" s="183"/>
      <c r="AC9" s="183"/>
    </row>
    <row r="10" spans="2:29" s="5" customFormat="1" ht="19.149999999999999" customHeight="1" thickBot="1" x14ac:dyDescent="0.3">
      <c r="B10" s="184"/>
      <c r="F10" s="142"/>
      <c r="G10" s="191" t="s">
        <v>923</v>
      </c>
      <c r="H10" s="1264">
        <f>IFERROR('PIM Model'!$G$32,0)</f>
        <v>0</v>
      </c>
      <c r="I10" s="1265"/>
      <c r="L10" s="183"/>
      <c r="M10" s="183"/>
      <c r="N10" s="183"/>
      <c r="O10" s="189"/>
      <c r="P10" s="183"/>
      <c r="Q10" s="186"/>
      <c r="R10" s="183"/>
      <c r="S10" s="183"/>
      <c r="T10" s="183"/>
      <c r="U10" s="183"/>
      <c r="V10" s="183"/>
      <c r="W10" s="183"/>
      <c r="X10" s="183"/>
      <c r="Y10" s="183"/>
      <c r="Z10" s="183"/>
      <c r="AA10" s="183"/>
      <c r="AB10" s="183"/>
      <c r="AC10" s="183"/>
    </row>
    <row r="11" spans="2:29" s="5" customFormat="1" ht="10.15" customHeight="1" x14ac:dyDescent="0.25">
      <c r="B11" s="184"/>
      <c r="F11" s="142"/>
      <c r="I11" s="183"/>
      <c r="J11" s="183"/>
      <c r="K11" s="183"/>
      <c r="L11" s="183"/>
      <c r="M11" s="183"/>
      <c r="N11" s="183"/>
      <c r="O11" s="189"/>
      <c r="P11" s="183"/>
      <c r="Q11" s="186"/>
      <c r="R11" s="183"/>
      <c r="S11" s="183"/>
      <c r="T11" s="183"/>
      <c r="U11" s="183"/>
      <c r="V11" s="183"/>
      <c r="W11" s="183"/>
      <c r="X11" s="183"/>
      <c r="Y11" s="183"/>
      <c r="Z11" s="183"/>
      <c r="AA11" s="183"/>
      <c r="AB11" s="183"/>
      <c r="AC11" s="183"/>
    </row>
    <row r="12" spans="2:29" s="5" customFormat="1" ht="9" customHeight="1" x14ac:dyDescent="0.25">
      <c r="B12" s="184"/>
      <c r="C12" s="192"/>
      <c r="D12" s="193"/>
      <c r="E12" s="194"/>
      <c r="F12" s="195"/>
      <c r="G12" s="1258"/>
      <c r="H12" s="1259"/>
      <c r="I12" s="196"/>
      <c r="J12" s="1263"/>
      <c r="K12" s="1263"/>
      <c r="L12" s="194"/>
      <c r="M12" s="194"/>
      <c r="N12" s="197"/>
      <c r="O12" s="185"/>
      <c r="P12" s="183"/>
      <c r="Q12" s="183"/>
      <c r="R12" s="183"/>
      <c r="S12" s="183"/>
      <c r="T12" s="183"/>
      <c r="U12" s="183"/>
      <c r="V12" s="183"/>
      <c r="W12" s="183"/>
      <c r="X12" s="183"/>
      <c r="Y12" s="183"/>
      <c r="Z12" s="183"/>
      <c r="AA12" s="183"/>
    </row>
    <row r="13" spans="2:29" s="5" customFormat="1" ht="12" customHeight="1" x14ac:dyDescent="0.25">
      <c r="B13" s="184"/>
      <c r="C13" s="198"/>
      <c r="D13" s="200"/>
      <c r="E13" s="151"/>
      <c r="F13" s="379"/>
      <c r="G13" s="258" t="s">
        <v>1219</v>
      </c>
      <c r="H13" s="705"/>
      <c r="I13" s="258" t="s">
        <v>912</v>
      </c>
      <c r="J13" s="44"/>
      <c r="K13" s="258" t="s">
        <v>893</v>
      </c>
      <c r="L13" s="151"/>
      <c r="M13" s="151"/>
      <c r="N13" s="202"/>
      <c r="O13" s="185"/>
      <c r="P13" s="183"/>
      <c r="Q13" s="183"/>
      <c r="R13" s="183"/>
      <c r="S13" s="183"/>
      <c r="T13" s="183"/>
      <c r="U13" s="183"/>
      <c r="V13" s="183"/>
      <c r="W13" s="183"/>
      <c r="X13" s="183"/>
      <c r="Y13" s="183"/>
      <c r="Z13" s="183"/>
      <c r="AA13" s="183"/>
    </row>
    <row r="14" spans="2:29" s="5" customFormat="1" ht="18.75" x14ac:dyDescent="0.25">
      <c r="B14" s="184"/>
      <c r="C14" s="198"/>
      <c r="D14" s="199" t="s">
        <v>924</v>
      </c>
      <c r="E14" s="200"/>
      <c r="F14" s="201"/>
      <c r="G14" s="433" t="s">
        <v>1229</v>
      </c>
      <c r="H14" s="797"/>
      <c r="I14" s="433" t="s">
        <v>1076</v>
      </c>
      <c r="J14" s="151"/>
      <c r="K14" s="434" t="str">
        <f>IF(I14="Credit Memo","Individual Customers",IF(I14="Check","Corp Check | AP number needed",""))</f>
        <v/>
      </c>
      <c r="L14" s="151"/>
      <c r="M14" s="151"/>
      <c r="N14" s="202"/>
      <c r="O14" s="185"/>
      <c r="P14" s="183"/>
      <c r="Q14" s="752"/>
      <c r="R14" s="183"/>
      <c r="S14" s="183"/>
      <c r="T14" s="183"/>
      <c r="U14" s="183"/>
      <c r="V14" s="183"/>
      <c r="W14" s="183"/>
      <c r="X14" s="183"/>
      <c r="Y14" s="183"/>
      <c r="Z14" s="183"/>
      <c r="AA14" s="183"/>
    </row>
    <row r="15" spans="2:29" s="5" customFormat="1" x14ac:dyDescent="0.25">
      <c r="B15" s="184"/>
      <c r="C15" s="198"/>
      <c r="D15" s="203" t="s">
        <v>544</v>
      </c>
      <c r="E15" s="73" t="s">
        <v>547</v>
      </c>
      <c r="F15" s="204"/>
      <c r="G15" s="706"/>
      <c r="H15" s="705"/>
      <c r="I15" s="151"/>
      <c r="J15" s="151"/>
      <c r="K15" s="151"/>
      <c r="L15" s="151"/>
      <c r="M15" s="151"/>
      <c r="N15" s="202"/>
      <c r="O15" s="185"/>
      <c r="P15" s="183"/>
      <c r="Q15" s="752" t="str">
        <f>IF($E15="NO","",IF($I14="Select Payment Method","X",""))</f>
        <v/>
      </c>
      <c r="R15" s="183"/>
      <c r="S15" s="183"/>
      <c r="T15" s="183"/>
      <c r="U15" s="183"/>
      <c r="V15" s="183"/>
      <c r="W15" s="183"/>
      <c r="X15" s="183"/>
      <c r="Y15" s="183"/>
      <c r="Z15" s="183"/>
      <c r="AA15" s="183"/>
    </row>
    <row r="16" spans="2:29" s="5" customFormat="1" ht="15.75" x14ac:dyDescent="0.25">
      <c r="B16" s="184"/>
      <c r="C16" s="198"/>
      <c r="D16" s="200"/>
      <c r="E16" s="151"/>
      <c r="F16" s="205"/>
      <c r="G16" s="206" t="s">
        <v>533</v>
      </c>
      <c r="H16" s="705"/>
      <c r="I16" s="207" t="s">
        <v>534</v>
      </c>
      <c r="J16" s="151"/>
      <c r="K16" s="208"/>
      <c r="L16" s="151"/>
      <c r="M16" s="200"/>
      <c r="N16" s="202"/>
      <c r="O16" s="185"/>
      <c r="P16" s="183"/>
      <c r="Q16" s="752"/>
      <c r="R16" s="183"/>
      <c r="S16" s="183"/>
      <c r="T16" s="183"/>
      <c r="U16" s="183"/>
      <c r="V16" s="183"/>
      <c r="W16" s="183"/>
      <c r="X16" s="183"/>
      <c r="Y16" s="183"/>
      <c r="Z16" s="183"/>
      <c r="AA16" s="183"/>
    </row>
    <row r="17" spans="2:27" s="5" customFormat="1" ht="17.45" customHeight="1" x14ac:dyDescent="0.25">
      <c r="B17" s="184"/>
      <c r="C17" s="198"/>
      <c r="D17" s="209" t="s">
        <v>925</v>
      </c>
      <c r="E17" s="200"/>
      <c r="F17" s="210" t="s">
        <v>518</v>
      </c>
      <c r="G17" s="243">
        <f>$H$9/52</f>
        <v>0</v>
      </c>
      <c r="H17" s="705"/>
      <c r="I17" s="854"/>
      <c r="J17" s="151"/>
      <c r="K17" s="211"/>
      <c r="L17" s="151"/>
      <c r="M17" s="6" t="s">
        <v>501</v>
      </c>
      <c r="N17" s="202"/>
      <c r="O17" s="185"/>
      <c r="P17" s="183"/>
      <c r="Q17" s="752"/>
      <c r="R17" s="183"/>
      <c r="S17" s="183"/>
      <c r="T17" s="183"/>
      <c r="U17" s="183"/>
      <c r="V17" s="183"/>
      <c r="W17" s="183"/>
      <c r="X17" s="183"/>
      <c r="Y17" s="183"/>
      <c r="Z17" s="183"/>
      <c r="AA17" s="183"/>
    </row>
    <row r="18" spans="2:27" s="5" customFormat="1" ht="15.75" x14ac:dyDescent="0.25">
      <c r="B18" s="184"/>
      <c r="C18" s="198"/>
      <c r="D18" s="213" t="s">
        <v>541</v>
      </c>
      <c r="E18" s="551">
        <f>IF(G18="",0,(G18-$G$17)/$G$17)</f>
        <v>0</v>
      </c>
      <c r="F18" s="210" t="s">
        <v>919</v>
      </c>
      <c r="G18" s="555"/>
      <c r="H18" s="705"/>
      <c r="I18" s="855">
        <v>0.01</v>
      </c>
      <c r="J18" s="1260" t="str">
        <f>IF($E$15="YES","**Tier 1 used for modeling purposes**","")</f>
        <v/>
      </c>
      <c r="K18" s="1261"/>
      <c r="L18" s="1262"/>
      <c r="M18" s="212" t="str">
        <f>IF($E$15="YES",$H$10*I18,"")</f>
        <v/>
      </c>
      <c r="N18" s="202"/>
      <c r="O18" s="185"/>
      <c r="P18" s="183"/>
      <c r="Q18" s="752"/>
      <c r="R18" s="183"/>
      <c r="S18" s="183"/>
      <c r="T18" s="183"/>
      <c r="U18" s="183"/>
      <c r="V18" s="183"/>
      <c r="W18" s="183"/>
      <c r="X18" s="183"/>
      <c r="Y18" s="183"/>
      <c r="Z18" s="183"/>
      <c r="AA18" s="183"/>
    </row>
    <row r="19" spans="2:27" s="5" customFormat="1" ht="15.6" customHeight="1" x14ac:dyDescent="0.25">
      <c r="B19" s="184"/>
      <c r="C19" s="198"/>
      <c r="D19" s="213" t="s">
        <v>542</v>
      </c>
      <c r="E19" s="551">
        <f t="shared" ref="E19:E20" si="0">IF(G19="",0,(G19-$G$17)/$G$17)</f>
        <v>0</v>
      </c>
      <c r="F19" s="210" t="s">
        <v>920</v>
      </c>
      <c r="G19" s="555"/>
      <c r="H19" s="705"/>
      <c r="I19" s="855">
        <v>1.4999999999999999E-2</v>
      </c>
      <c r="J19" s="151"/>
      <c r="K19" s="1241" t="str">
        <f>IF($I$21&gt;0,"**Warning: You have entered an incentive payout above the recommended 3%**","")</f>
        <v/>
      </c>
      <c r="L19" s="151"/>
      <c r="M19" s="991"/>
      <c r="N19" s="202"/>
      <c r="O19" s="185"/>
      <c r="P19" s="183"/>
      <c r="Q19" s="752"/>
      <c r="R19" s="183"/>
      <c r="S19" s="183"/>
      <c r="T19" s="183"/>
      <c r="U19" s="183"/>
      <c r="V19" s="183"/>
      <c r="W19" s="183"/>
      <c r="X19" s="183"/>
      <c r="Y19" s="183"/>
      <c r="Z19" s="183"/>
      <c r="AA19" s="183"/>
    </row>
    <row r="20" spans="2:27" s="5" customFormat="1" ht="15.75" x14ac:dyDescent="0.25">
      <c r="B20" s="184"/>
      <c r="C20" s="198"/>
      <c r="D20" s="213" t="s">
        <v>543</v>
      </c>
      <c r="E20" s="551">
        <f t="shared" si="0"/>
        <v>0</v>
      </c>
      <c r="F20" s="210" t="s">
        <v>921</v>
      </c>
      <c r="G20" s="555"/>
      <c r="H20" s="705"/>
      <c r="I20" s="855">
        <v>0.02</v>
      </c>
      <c r="J20" s="151"/>
      <c r="K20" s="1241"/>
      <c r="L20" s="151"/>
      <c r="M20" s="991"/>
      <c r="N20" s="202"/>
      <c r="O20" s="185"/>
      <c r="P20" s="183"/>
      <c r="Q20" s="752"/>
      <c r="R20" s="183"/>
      <c r="S20" s="183"/>
      <c r="T20" s="183"/>
      <c r="U20" s="183"/>
      <c r="V20" s="183"/>
      <c r="W20" s="183"/>
      <c r="X20" s="183"/>
      <c r="Y20" s="183"/>
      <c r="Z20" s="183"/>
      <c r="AA20" s="183"/>
    </row>
    <row r="21" spans="2:27" s="5" customFormat="1" ht="9" customHeight="1" x14ac:dyDescent="0.25">
      <c r="B21" s="184"/>
      <c r="C21" s="214"/>
      <c r="D21" s="215"/>
      <c r="E21" s="216"/>
      <c r="F21" s="217"/>
      <c r="G21" s="218"/>
      <c r="H21" s="219"/>
      <c r="I21" s="784">
        <f>COUNTIF($I$18:$I$20,"&gt;.03")</f>
        <v>0</v>
      </c>
      <c r="J21" s="220"/>
      <c r="K21" s="221"/>
      <c r="L21" s="220"/>
      <c r="M21" s="222"/>
      <c r="N21" s="223"/>
      <c r="O21" s="185"/>
      <c r="P21" s="183"/>
      <c r="Q21" s="752"/>
      <c r="R21" s="183"/>
      <c r="S21" s="183"/>
      <c r="T21" s="183"/>
      <c r="U21" s="183"/>
      <c r="V21" s="183"/>
      <c r="W21" s="183"/>
      <c r="X21" s="183"/>
      <c r="Y21" s="183"/>
      <c r="Z21" s="183"/>
      <c r="AA21" s="183"/>
    </row>
    <row r="22" spans="2:27" s="5" customFormat="1" ht="10.15" customHeight="1" x14ac:dyDescent="0.25">
      <c r="B22" s="184"/>
      <c r="C22" s="186"/>
      <c r="D22" s="224"/>
      <c r="E22" s="225"/>
      <c r="F22" s="226"/>
      <c r="G22" s="227"/>
      <c r="H22" s="228"/>
      <c r="I22" s="229"/>
      <c r="J22" s="186"/>
      <c r="K22" s="230"/>
      <c r="L22" s="186"/>
      <c r="M22" s="231"/>
      <c r="N22" s="183"/>
      <c r="O22" s="185"/>
      <c r="P22" s="183"/>
      <c r="Q22" s="752"/>
      <c r="R22" s="183"/>
      <c r="S22" s="183"/>
      <c r="T22" s="183"/>
      <c r="U22" s="183"/>
      <c r="V22" s="183"/>
      <c r="W22" s="183"/>
      <c r="X22" s="183"/>
      <c r="Y22" s="183"/>
      <c r="Z22" s="183"/>
      <c r="AA22" s="183"/>
    </row>
    <row r="23" spans="2:27" s="5" customFormat="1" ht="9" customHeight="1" x14ac:dyDescent="0.25">
      <c r="B23" s="184"/>
      <c r="C23" s="192"/>
      <c r="D23" s="232"/>
      <c r="E23" s="233"/>
      <c r="F23" s="234"/>
      <c r="G23" s="235"/>
      <c r="H23" s="707"/>
      <c r="I23" s="236"/>
      <c r="J23" s="194"/>
      <c r="K23" s="237"/>
      <c r="L23" s="194"/>
      <c r="M23" s="238"/>
      <c r="N23" s="197"/>
      <c r="O23" s="185"/>
      <c r="P23" s="183"/>
      <c r="Q23" s="752"/>
      <c r="R23" s="183"/>
      <c r="S23" s="183"/>
      <c r="T23" s="183"/>
      <c r="U23" s="183"/>
      <c r="V23" s="183"/>
      <c r="W23" s="183"/>
      <c r="X23" s="183"/>
      <c r="Y23" s="183"/>
      <c r="Z23" s="183"/>
      <c r="AA23" s="183"/>
    </row>
    <row r="24" spans="2:27" s="5" customFormat="1" ht="12" customHeight="1" x14ac:dyDescent="0.25">
      <c r="B24" s="184"/>
      <c r="C24" s="198"/>
      <c r="D24" s="378"/>
      <c r="E24" s="239"/>
      <c r="F24" s="210"/>
      <c r="G24" s="258" t="s">
        <v>1219</v>
      </c>
      <c r="H24" s="705"/>
      <c r="I24" s="258" t="s">
        <v>912</v>
      </c>
      <c r="J24" s="44"/>
      <c r="K24" s="258" t="s">
        <v>893</v>
      </c>
      <c r="L24" s="151"/>
      <c r="M24" s="240"/>
      <c r="N24" s="202"/>
      <c r="O24" s="185"/>
      <c r="P24" s="183"/>
      <c r="Q24" s="752"/>
      <c r="R24" s="183"/>
      <c r="S24" s="183"/>
      <c r="T24" s="183"/>
      <c r="U24" s="183"/>
      <c r="V24" s="183"/>
      <c r="W24" s="183"/>
      <c r="X24" s="183"/>
      <c r="Y24" s="183"/>
      <c r="Z24" s="183"/>
      <c r="AA24" s="183"/>
    </row>
    <row r="25" spans="2:27" s="5" customFormat="1" ht="18.75" x14ac:dyDescent="0.25">
      <c r="B25" s="184"/>
      <c r="C25" s="198"/>
      <c r="D25" s="199" t="s">
        <v>540</v>
      </c>
      <c r="E25" s="239"/>
      <c r="F25" s="201"/>
      <c r="G25" s="433" t="s">
        <v>1229</v>
      </c>
      <c r="H25" s="705"/>
      <c r="I25" s="433" t="s">
        <v>1076</v>
      </c>
      <c r="J25" s="151"/>
      <c r="K25" s="434" t="str">
        <f>IF(I25="Credit Memo","Individual Customers",IF(I25="Check","Corp Check | AP number needed",""))</f>
        <v/>
      </c>
      <c r="L25" s="151"/>
      <c r="M25" s="240"/>
      <c r="N25" s="202"/>
      <c r="O25" s="185"/>
      <c r="P25" s="183"/>
      <c r="Q25" s="752"/>
      <c r="R25" s="183"/>
      <c r="S25" s="183"/>
      <c r="T25" s="183"/>
      <c r="U25" s="183"/>
      <c r="V25" s="183"/>
      <c r="W25" s="183"/>
      <c r="X25" s="183"/>
      <c r="Y25" s="183"/>
      <c r="Z25" s="183"/>
      <c r="AA25" s="183"/>
    </row>
    <row r="26" spans="2:27" s="5" customFormat="1" x14ac:dyDescent="0.25">
      <c r="B26" s="184"/>
      <c r="C26" s="198"/>
      <c r="D26" s="203" t="s">
        <v>544</v>
      </c>
      <c r="E26" s="73" t="s">
        <v>547</v>
      </c>
      <c r="F26" s="241"/>
      <c r="G26" s="705"/>
      <c r="H26" s="705"/>
      <c r="I26" s="242"/>
      <c r="J26" s="151"/>
      <c r="K26" s="151"/>
      <c r="L26" s="151"/>
      <c r="M26" s="151"/>
      <c r="N26" s="202"/>
      <c r="O26" s="185"/>
      <c r="P26" s="183"/>
      <c r="Q26" s="752" t="str">
        <f>IF($E26="NO","",IF($I25="Select Payment Method","X",""))</f>
        <v/>
      </c>
      <c r="R26" s="183"/>
      <c r="S26" s="183"/>
      <c r="T26" s="183"/>
      <c r="U26" s="183"/>
      <c r="V26" s="183"/>
      <c r="W26" s="183"/>
      <c r="X26" s="183"/>
      <c r="Y26" s="183"/>
      <c r="Z26" s="183"/>
      <c r="AA26" s="183"/>
    </row>
    <row r="27" spans="2:27" s="5" customFormat="1" ht="15.75" x14ac:dyDescent="0.25">
      <c r="B27" s="184"/>
      <c r="C27" s="198"/>
      <c r="D27" s="200"/>
      <c r="E27" s="151"/>
      <c r="F27" s="205"/>
      <c r="G27" s="206" t="s">
        <v>743</v>
      </c>
      <c r="H27" s="705"/>
      <c r="I27" s="207" t="s">
        <v>549</v>
      </c>
      <c r="J27" s="151"/>
      <c r="K27" s="208"/>
      <c r="L27" s="151"/>
      <c r="M27" s="200"/>
      <c r="N27" s="202"/>
      <c r="O27" s="185"/>
      <c r="P27" s="183"/>
      <c r="Q27" s="752"/>
      <c r="R27" s="183"/>
      <c r="S27" s="183"/>
      <c r="T27" s="183"/>
      <c r="U27" s="183"/>
      <c r="V27" s="183"/>
      <c r="W27" s="183"/>
      <c r="X27" s="183"/>
      <c r="Y27" s="183"/>
      <c r="Z27" s="183"/>
      <c r="AA27" s="183"/>
    </row>
    <row r="28" spans="2:27" s="5" customFormat="1" ht="15.75" x14ac:dyDescent="0.25">
      <c r="B28" s="184"/>
      <c r="C28" s="198"/>
      <c r="D28" s="209" t="s">
        <v>537</v>
      </c>
      <c r="E28" s="200"/>
      <c r="F28" s="210" t="s">
        <v>742</v>
      </c>
      <c r="G28" s="243">
        <f>IFERROR($G$5/($G$6*52*Welcome!$D$16),0)</f>
        <v>0</v>
      </c>
      <c r="H28" s="705"/>
      <c r="I28" s="854">
        <v>0</v>
      </c>
      <c r="J28" s="151"/>
      <c r="K28" s="211"/>
      <c r="L28" s="151"/>
      <c r="M28" s="6" t="s">
        <v>501</v>
      </c>
      <c r="N28" s="202"/>
      <c r="O28" s="185"/>
      <c r="P28" s="183"/>
      <c r="Q28" s="752"/>
      <c r="R28" s="183"/>
      <c r="S28" s="183"/>
      <c r="T28" s="183"/>
      <c r="U28" s="183"/>
      <c r="V28" s="183"/>
      <c r="W28" s="183"/>
      <c r="X28" s="183"/>
      <c r="Y28" s="183"/>
      <c r="Z28" s="183"/>
      <c r="AA28" s="183"/>
    </row>
    <row r="29" spans="2:27" s="5" customFormat="1" ht="15.75" x14ac:dyDescent="0.25">
      <c r="B29" s="184"/>
      <c r="C29" s="198"/>
      <c r="D29" s="213" t="s">
        <v>541</v>
      </c>
      <c r="E29" s="551">
        <f>IF(G29="",0,(G29-$G$28)/$G$28)</f>
        <v>0</v>
      </c>
      <c r="F29" s="210" t="s">
        <v>515</v>
      </c>
      <c r="G29" s="555"/>
      <c r="H29" s="705"/>
      <c r="I29" s="855">
        <v>0.01</v>
      </c>
      <c r="J29" s="1260" t="str">
        <f>IF($E$26="YES","**Tier 1 used for modeling purposes**","")</f>
        <v/>
      </c>
      <c r="K29" s="1261"/>
      <c r="L29" s="1262"/>
      <c r="M29" s="212" t="str">
        <f>IF($E$26="YES",$H$10*I29,"")</f>
        <v/>
      </c>
      <c r="N29" s="202"/>
      <c r="O29" s="185"/>
      <c r="P29" s="183"/>
      <c r="Q29" s="752"/>
      <c r="R29" s="183"/>
      <c r="S29" s="183"/>
      <c r="T29" s="183"/>
      <c r="U29" s="183"/>
      <c r="V29" s="183"/>
      <c r="W29" s="183"/>
      <c r="X29" s="183"/>
      <c r="Y29" s="183"/>
      <c r="Z29" s="183"/>
      <c r="AA29" s="183"/>
    </row>
    <row r="30" spans="2:27" s="5" customFormat="1" ht="15.6" customHeight="1" x14ac:dyDescent="0.25">
      <c r="B30" s="184"/>
      <c r="C30" s="198"/>
      <c r="D30" s="213" t="s">
        <v>542</v>
      </c>
      <c r="E30" s="551">
        <f>IF(G30="",0,(G30-$G$28)/$G$28)</f>
        <v>0</v>
      </c>
      <c r="F30" s="210" t="s">
        <v>516</v>
      </c>
      <c r="G30" s="555"/>
      <c r="H30" s="705"/>
      <c r="I30" s="855">
        <v>1.4999999999999999E-2</v>
      </c>
      <c r="J30" s="151"/>
      <c r="K30" s="1241" t="str">
        <f>IF($I$32&gt;0,"**Warning: You have entered an incentive payout above the recommended 3%**","")</f>
        <v/>
      </c>
      <c r="L30" s="151"/>
      <c r="M30" s="991"/>
      <c r="N30" s="202"/>
      <c r="O30" s="185"/>
      <c r="P30" s="183"/>
      <c r="Q30" s="752"/>
      <c r="R30" s="183"/>
      <c r="S30" s="183"/>
      <c r="T30" s="183"/>
      <c r="U30" s="183"/>
      <c r="V30" s="183"/>
      <c r="W30" s="183"/>
      <c r="X30" s="183"/>
      <c r="Y30" s="183"/>
      <c r="Z30" s="183"/>
      <c r="AA30" s="183"/>
    </row>
    <row r="31" spans="2:27" ht="15.75" x14ac:dyDescent="0.25">
      <c r="B31" s="143"/>
      <c r="C31" s="244"/>
      <c r="D31" s="213" t="s">
        <v>543</v>
      </c>
      <c r="E31" s="551">
        <f>IF(G31="",0,(G31-$G$28)/$G$28)</f>
        <v>0</v>
      </c>
      <c r="F31" s="210" t="s">
        <v>517</v>
      </c>
      <c r="G31" s="555"/>
      <c r="H31" s="705"/>
      <c r="I31" s="855">
        <v>0.02</v>
      </c>
      <c r="J31" s="44"/>
      <c r="K31" s="1241"/>
      <c r="L31" s="44"/>
      <c r="M31" s="991"/>
      <c r="N31" s="245"/>
      <c r="O31" s="144"/>
      <c r="P31" s="140"/>
      <c r="Q31" s="753"/>
      <c r="R31" s="140"/>
      <c r="S31" s="140"/>
      <c r="T31" s="140"/>
      <c r="U31" s="140"/>
      <c r="V31" s="140"/>
      <c r="W31" s="140"/>
      <c r="X31" s="140"/>
      <c r="Y31" s="140"/>
      <c r="Z31" s="140"/>
      <c r="AA31" s="140"/>
    </row>
    <row r="32" spans="2:27" ht="9" customHeight="1" x14ac:dyDescent="0.25">
      <c r="B32" s="143"/>
      <c r="C32" s="246"/>
      <c r="D32" s="215"/>
      <c r="E32" s="216"/>
      <c r="F32" s="217"/>
      <c r="G32" s="247"/>
      <c r="H32" s="219"/>
      <c r="I32" s="784">
        <f>COUNTIF($I$29:$I$31,"&gt;.03")</f>
        <v>0</v>
      </c>
      <c r="J32" s="248"/>
      <c r="K32" s="221"/>
      <c r="L32" s="248"/>
      <c r="M32" s="222"/>
      <c r="N32" s="249"/>
      <c r="O32" s="144"/>
      <c r="P32" s="140"/>
      <c r="Q32" s="753"/>
      <c r="R32" s="140"/>
      <c r="S32" s="140"/>
      <c r="T32" s="140"/>
      <c r="U32" s="140"/>
      <c r="V32" s="140"/>
      <c r="W32" s="140"/>
      <c r="X32" s="140"/>
      <c r="Y32" s="140"/>
      <c r="Z32" s="140"/>
      <c r="AA32" s="140"/>
    </row>
    <row r="33" spans="2:27" ht="10.15" customHeight="1" x14ac:dyDescent="0.25">
      <c r="B33" s="143"/>
      <c r="C33" s="140"/>
      <c r="D33" s="224"/>
      <c r="E33" s="225"/>
      <c r="F33" s="226"/>
      <c r="G33" s="250"/>
      <c r="H33" s="228"/>
      <c r="I33" s="229"/>
      <c r="J33" s="140"/>
      <c r="K33" s="230"/>
      <c r="L33" s="140"/>
      <c r="M33" s="231"/>
      <c r="N33" s="147"/>
      <c r="O33" s="144"/>
      <c r="P33" s="140"/>
      <c r="Q33" s="753"/>
      <c r="R33" s="140"/>
      <c r="S33" s="140"/>
      <c r="T33" s="140"/>
      <c r="U33" s="140"/>
      <c r="V33" s="140"/>
      <c r="W33" s="140"/>
      <c r="X33" s="140"/>
      <c r="Y33" s="140"/>
      <c r="Z33" s="140"/>
      <c r="AA33" s="140"/>
    </row>
    <row r="34" spans="2:27" ht="9" customHeight="1" x14ac:dyDescent="0.25">
      <c r="B34" s="143"/>
      <c r="C34" s="251"/>
      <c r="D34" s="252"/>
      <c r="E34" s="233"/>
      <c r="F34" s="234"/>
      <c r="G34" s="253"/>
      <c r="H34" s="707"/>
      <c r="I34" s="236"/>
      <c r="J34" s="254"/>
      <c r="K34" s="237"/>
      <c r="L34" s="254"/>
      <c r="M34" s="238"/>
      <c r="N34" s="255"/>
      <c r="O34" s="144"/>
      <c r="P34" s="140"/>
      <c r="Q34" s="753"/>
      <c r="R34" s="140"/>
      <c r="S34" s="140"/>
      <c r="T34" s="140"/>
      <c r="U34" s="140"/>
      <c r="V34" s="140"/>
      <c r="W34" s="140"/>
      <c r="X34" s="140"/>
      <c r="Y34" s="140"/>
      <c r="Z34" s="140"/>
      <c r="AA34" s="140"/>
    </row>
    <row r="35" spans="2:27" ht="12" customHeight="1" x14ac:dyDescent="0.25">
      <c r="B35" s="143"/>
      <c r="C35" s="244"/>
      <c r="D35" s="377"/>
      <c r="E35" s="239"/>
      <c r="F35" s="210"/>
      <c r="G35" s="258" t="s">
        <v>1219</v>
      </c>
      <c r="H35" s="705"/>
      <c r="I35" s="258" t="s">
        <v>912</v>
      </c>
      <c r="J35" s="44"/>
      <c r="K35" s="258" t="s">
        <v>893</v>
      </c>
      <c r="L35" s="44"/>
      <c r="M35" s="240"/>
      <c r="N35" s="245"/>
      <c r="O35" s="144"/>
      <c r="P35" s="140"/>
      <c r="Q35" s="753"/>
      <c r="R35" s="140"/>
      <c r="S35" s="140"/>
      <c r="T35" s="140"/>
      <c r="U35" s="140"/>
      <c r="V35" s="140"/>
      <c r="W35" s="140"/>
      <c r="X35" s="140"/>
      <c r="Y35" s="140"/>
      <c r="Z35" s="140"/>
      <c r="AA35" s="140"/>
    </row>
    <row r="36" spans="2:27" ht="18.75" x14ac:dyDescent="0.25">
      <c r="B36" s="143"/>
      <c r="C36" s="244"/>
      <c r="D36" s="256" t="s">
        <v>546</v>
      </c>
      <c r="E36" s="239"/>
      <c r="F36" s="44"/>
      <c r="G36" s="433" t="s">
        <v>1229</v>
      </c>
      <c r="H36" s="705"/>
      <c r="I36" s="433" t="s">
        <v>1076</v>
      </c>
      <c r="J36" s="151"/>
      <c r="K36" s="434" t="str">
        <f>IF(I36="Credit Memo","Individual Customers",IF(I36="Check","Corp Check | AP number needed",""))</f>
        <v/>
      </c>
      <c r="L36" s="44"/>
      <c r="M36" s="240"/>
      <c r="N36" s="245"/>
      <c r="O36" s="144"/>
      <c r="P36" s="140"/>
      <c r="Q36" s="753"/>
      <c r="R36" s="140"/>
      <c r="S36" s="140"/>
      <c r="T36" s="140"/>
      <c r="U36" s="140"/>
      <c r="V36" s="140"/>
      <c r="W36" s="140"/>
      <c r="X36" s="140"/>
      <c r="Y36" s="140"/>
      <c r="Z36" s="140"/>
      <c r="AA36" s="140"/>
    </row>
    <row r="37" spans="2:27" ht="15" customHeight="1" x14ac:dyDescent="0.25">
      <c r="B37" s="143"/>
      <c r="C37" s="244"/>
      <c r="D37" s="203" t="s">
        <v>544</v>
      </c>
      <c r="E37" s="73" t="s">
        <v>547</v>
      </c>
      <c r="F37" s="44"/>
      <c r="G37" s="44"/>
      <c r="H37" s="44"/>
      <c r="I37" s="257"/>
      <c r="J37" s="44"/>
      <c r="K37" s="44"/>
      <c r="L37" s="44"/>
      <c r="M37" s="44"/>
      <c r="N37" s="245"/>
      <c r="O37" s="144"/>
      <c r="P37" s="140"/>
      <c r="Q37" s="752" t="str">
        <f>IF($E37="NO","",IF($I36="Select Payment Method","X",""))</f>
        <v/>
      </c>
      <c r="R37" s="140"/>
      <c r="S37" s="140"/>
      <c r="T37" s="140"/>
      <c r="U37" s="140"/>
      <c r="V37" s="140"/>
      <c r="W37" s="140"/>
      <c r="X37" s="140"/>
      <c r="Y37" s="140"/>
      <c r="Z37" s="140"/>
      <c r="AA37" s="140"/>
    </row>
    <row r="38" spans="2:27" ht="15" customHeight="1" x14ac:dyDescent="0.25">
      <c r="B38" s="143"/>
      <c r="C38" s="244"/>
      <c r="D38" s="756"/>
      <c r="E38" s="757"/>
      <c r="F38" s="44"/>
      <c r="G38" s="206" t="s">
        <v>1077</v>
      </c>
      <c r="H38" s="44"/>
      <c r="I38" s="207" t="s">
        <v>550</v>
      </c>
      <c r="J38" s="44"/>
      <c r="K38" s="44"/>
      <c r="L38" s="44"/>
      <c r="M38" s="44"/>
      <c r="N38" s="245"/>
      <c r="O38" s="144"/>
      <c r="P38" s="140"/>
      <c r="Q38" s="752"/>
      <c r="R38" s="140"/>
      <c r="S38" s="140"/>
      <c r="T38" s="140"/>
      <c r="U38" s="140"/>
      <c r="V38" s="140"/>
      <c r="W38" s="140"/>
      <c r="X38" s="140"/>
      <c r="Y38" s="140"/>
      <c r="Z38" s="140"/>
      <c r="AA38" s="140"/>
    </row>
    <row r="39" spans="2:27" ht="15.75" x14ac:dyDescent="0.25">
      <c r="B39" s="143"/>
      <c r="C39" s="244"/>
      <c r="D39" s="44"/>
      <c r="E39" s="44"/>
      <c r="F39" s="210" t="s">
        <v>745</v>
      </c>
      <c r="G39" s="74">
        <f>IFERROR('EB_CM (Back)'!$B$7,"")</f>
        <v>0</v>
      </c>
      <c r="H39" s="200"/>
      <c r="I39" s="854">
        <v>0</v>
      </c>
      <c r="J39" s="208"/>
      <c r="K39" s="44"/>
      <c r="L39" s="200"/>
      <c r="M39" s="6" t="s">
        <v>501</v>
      </c>
      <c r="N39" s="245"/>
      <c r="O39" s="144"/>
      <c r="P39" s="140"/>
      <c r="Q39" s="753"/>
      <c r="R39" s="140"/>
      <c r="S39" s="140"/>
      <c r="T39" s="140"/>
      <c r="U39" s="140"/>
      <c r="V39" s="140"/>
      <c r="W39" s="140"/>
      <c r="X39" s="140"/>
      <c r="Y39" s="140"/>
      <c r="Z39" s="140"/>
      <c r="AA39" s="140"/>
    </row>
    <row r="40" spans="2:27" ht="16.899999999999999" customHeight="1" x14ac:dyDescent="0.25">
      <c r="B40" s="143"/>
      <c r="C40" s="244"/>
      <c r="D40" s="380"/>
      <c r="E40" s="552"/>
      <c r="F40" s="210" t="s">
        <v>515</v>
      </c>
      <c r="G40" s="45"/>
      <c r="H40" s="200"/>
      <c r="I40" s="855">
        <v>0.01</v>
      </c>
      <c r="J40" s="1260" t="str">
        <f>IF($E$37="YES","**Tier 1 payout used for modeling purposes**","")</f>
        <v/>
      </c>
      <c r="K40" s="1261"/>
      <c r="L40" s="1262"/>
      <c r="M40" s="212">
        <f>IFERROR(IF($E$37="YES",IF($G$39&gt;$G$40,$H$10*$I$40*$G$39,$H$10*$I$40*$G$40),0),0)</f>
        <v>0</v>
      </c>
      <c r="N40" s="245"/>
      <c r="O40" s="144"/>
      <c r="P40" s="140"/>
      <c r="Q40" s="753"/>
      <c r="R40" s="140"/>
      <c r="S40" s="140"/>
      <c r="T40" s="140"/>
      <c r="U40" s="140"/>
      <c r="V40" s="140"/>
      <c r="W40" s="140"/>
      <c r="X40" s="140"/>
      <c r="Y40" s="140"/>
      <c r="Z40" s="140"/>
      <c r="AA40" s="140"/>
    </row>
    <row r="41" spans="2:27" ht="16.899999999999999" customHeight="1" x14ac:dyDescent="0.25">
      <c r="B41" s="143"/>
      <c r="C41" s="244"/>
      <c r="D41" s="380"/>
      <c r="E41" s="552"/>
      <c r="F41" s="210" t="s">
        <v>516</v>
      </c>
      <c r="G41" s="45"/>
      <c r="H41" s="200"/>
      <c r="I41" s="855">
        <v>1.4999999999999999E-2</v>
      </c>
      <c r="J41" s="259"/>
      <c r="K41" s="44"/>
      <c r="L41" s="200"/>
      <c r="M41" s="991"/>
      <c r="N41" s="245"/>
      <c r="O41" s="144"/>
      <c r="P41" s="140"/>
      <c r="Q41" s="753"/>
      <c r="R41" s="140"/>
      <c r="S41" s="140"/>
      <c r="T41" s="140"/>
      <c r="U41" s="140"/>
      <c r="V41" s="140"/>
      <c r="W41" s="140"/>
      <c r="X41" s="140"/>
      <c r="Y41" s="140"/>
      <c r="Z41" s="140"/>
      <c r="AA41" s="140"/>
    </row>
    <row r="42" spans="2:27" ht="16.899999999999999" customHeight="1" x14ac:dyDescent="0.25">
      <c r="B42" s="143"/>
      <c r="C42" s="244"/>
      <c r="D42" s="380"/>
      <c r="E42" s="552"/>
      <c r="F42" s="210" t="s">
        <v>517</v>
      </c>
      <c r="G42" s="45"/>
      <c r="H42" s="200"/>
      <c r="I42" s="855">
        <v>0.02</v>
      </c>
      <c r="J42" s="259"/>
      <c r="K42" s="44"/>
      <c r="L42" s="200"/>
      <c r="M42" s="991"/>
      <c r="N42" s="245"/>
      <c r="O42" s="144"/>
      <c r="P42" s="140"/>
      <c r="Q42" s="753"/>
      <c r="R42" s="140"/>
      <c r="S42" s="140"/>
      <c r="T42" s="140"/>
      <c r="U42" s="140"/>
      <c r="V42" s="140"/>
      <c r="W42" s="140"/>
      <c r="X42" s="140"/>
      <c r="Y42" s="140"/>
      <c r="Z42" s="140"/>
      <c r="AA42" s="140"/>
    </row>
    <row r="43" spans="2:27" ht="9" customHeight="1" x14ac:dyDescent="0.25">
      <c r="B43" s="143"/>
      <c r="C43" s="246"/>
      <c r="D43" s="248"/>
      <c r="E43" s="248"/>
      <c r="F43" s="220"/>
      <c r="G43" s="260"/>
      <c r="H43" s="261"/>
      <c r="I43" s="262"/>
      <c r="J43" s="221"/>
      <c r="K43" s="222"/>
      <c r="L43" s="261"/>
      <c r="M43" s="222"/>
      <c r="N43" s="249"/>
      <c r="O43" s="144"/>
      <c r="P43" s="140"/>
      <c r="Q43" s="753"/>
      <c r="R43" s="140"/>
      <c r="S43" s="140"/>
      <c r="T43" s="140"/>
      <c r="U43" s="140"/>
      <c r="V43" s="140"/>
      <c r="W43" s="140"/>
      <c r="X43" s="140"/>
      <c r="Y43" s="140"/>
      <c r="Z43" s="140"/>
      <c r="AA43" s="140"/>
    </row>
    <row r="44" spans="2:27" ht="10.15" customHeight="1" x14ac:dyDescent="0.25">
      <c r="B44" s="143"/>
      <c r="C44" s="140"/>
      <c r="D44" s="140"/>
      <c r="E44" s="140"/>
      <c r="F44" s="186"/>
      <c r="G44" s="263"/>
      <c r="H44" s="183"/>
      <c r="I44" s="264"/>
      <c r="J44" s="230"/>
      <c r="K44" s="231"/>
      <c r="L44" s="183"/>
      <c r="M44" s="231"/>
      <c r="N44" s="147"/>
      <c r="O44" s="144"/>
      <c r="P44" s="140"/>
      <c r="Q44" s="753"/>
      <c r="R44" s="140"/>
      <c r="S44" s="140"/>
      <c r="T44" s="140"/>
      <c r="U44" s="140"/>
      <c r="V44" s="140"/>
      <c r="W44" s="140"/>
      <c r="X44" s="140"/>
      <c r="Y44" s="140"/>
      <c r="Z44" s="140"/>
      <c r="AA44" s="140"/>
    </row>
    <row r="45" spans="2:27" s="862" customFormat="1" ht="9" customHeight="1" x14ac:dyDescent="0.25">
      <c r="B45" s="143"/>
      <c r="C45" s="251"/>
      <c r="D45" s="254"/>
      <c r="E45" s="254"/>
      <c r="F45" s="194"/>
      <c r="G45" s="265"/>
      <c r="H45" s="193"/>
      <c r="I45" s="266"/>
      <c r="J45" s="237"/>
      <c r="K45" s="238"/>
      <c r="L45" s="193"/>
      <c r="M45" s="238"/>
      <c r="N45" s="255"/>
      <c r="O45" s="144"/>
      <c r="P45" s="140"/>
      <c r="Q45" s="753"/>
      <c r="R45" s="140"/>
      <c r="S45" s="140"/>
      <c r="T45" s="140"/>
      <c r="U45" s="140"/>
      <c r="V45" s="140"/>
      <c r="W45" s="140"/>
      <c r="X45" s="140"/>
      <c r="Y45" s="140"/>
      <c r="Z45" s="140"/>
      <c r="AA45" s="140"/>
    </row>
    <row r="46" spans="2:27" s="862" customFormat="1" ht="11.45" customHeight="1" x14ac:dyDescent="0.25">
      <c r="B46" s="143"/>
      <c r="C46" s="244"/>
      <c r="D46" s="44"/>
      <c r="E46" s="44"/>
      <c r="F46" s="151"/>
      <c r="G46" s="258" t="s">
        <v>1219</v>
      </c>
      <c r="H46" s="200"/>
      <c r="I46" s="258" t="s">
        <v>912</v>
      </c>
      <c r="J46" s="44"/>
      <c r="K46" s="258" t="s">
        <v>893</v>
      </c>
      <c r="L46" s="200"/>
      <c r="M46" s="240"/>
      <c r="N46" s="245"/>
      <c r="O46" s="144"/>
      <c r="P46" s="140"/>
      <c r="Q46" s="753"/>
      <c r="R46" s="140"/>
      <c r="S46" s="140"/>
      <c r="T46" s="140"/>
      <c r="U46" s="140"/>
      <c r="V46" s="140"/>
      <c r="W46" s="140"/>
      <c r="X46" s="140"/>
      <c r="Y46" s="140"/>
      <c r="Z46" s="140"/>
      <c r="AA46" s="140"/>
    </row>
    <row r="47" spans="2:27" s="862" customFormat="1" ht="18.75" x14ac:dyDescent="0.25">
      <c r="B47" s="143"/>
      <c r="C47" s="244"/>
      <c r="D47" s="256" t="s">
        <v>1220</v>
      </c>
      <c r="E47" s="44"/>
      <c r="F47" s="151"/>
      <c r="G47" s="433" t="s">
        <v>1229</v>
      </c>
      <c r="H47" s="200"/>
      <c r="I47" s="433" t="s">
        <v>1076</v>
      </c>
      <c r="J47" s="151"/>
      <c r="K47" s="434" t="str">
        <f>IF(I47="Credit Memo","Individual Customers",IF(I47="Check","Corp Check | AP number needed",""))</f>
        <v/>
      </c>
      <c r="L47" s="200"/>
      <c r="M47" s="240"/>
      <c r="N47" s="245"/>
      <c r="O47" s="144"/>
      <c r="P47" s="140"/>
      <c r="Q47" s="753"/>
      <c r="R47" s="426"/>
      <c r="S47" s="140"/>
      <c r="T47" s="140"/>
      <c r="U47" s="140"/>
      <c r="V47" s="140"/>
      <c r="W47" s="140"/>
      <c r="X47" s="140"/>
      <c r="Y47" s="140"/>
      <c r="Z47" s="140"/>
      <c r="AA47" s="140"/>
    </row>
    <row r="48" spans="2:27" s="862" customFormat="1" x14ac:dyDescent="0.25">
      <c r="B48" s="143"/>
      <c r="C48" s="244"/>
      <c r="D48" s="203" t="s">
        <v>544</v>
      </c>
      <c r="E48" s="73" t="s">
        <v>547</v>
      </c>
      <c r="F48" s="151"/>
      <c r="G48" s="267"/>
      <c r="H48" s="200"/>
      <c r="I48" s="268"/>
      <c r="J48" s="211"/>
      <c r="K48" s="240"/>
      <c r="L48" s="200"/>
      <c r="M48" s="240"/>
      <c r="N48" s="245"/>
      <c r="O48" s="144"/>
      <c r="P48" s="140"/>
      <c r="Q48" s="752" t="str">
        <f>IF($E48="NO","",IF($I47="Select Payment Method","X",""))</f>
        <v/>
      </c>
      <c r="R48" s="140"/>
      <c r="S48" s="140"/>
      <c r="T48" s="140"/>
      <c r="U48" s="140"/>
      <c r="V48" s="140"/>
      <c r="W48" s="140"/>
      <c r="X48" s="140"/>
      <c r="Y48" s="140"/>
      <c r="Z48" s="140"/>
      <c r="AA48" s="140"/>
    </row>
    <row r="49" spans="2:27" s="862" customFormat="1" ht="15.75" x14ac:dyDescent="0.25">
      <c r="B49" s="143"/>
      <c r="C49" s="244"/>
      <c r="D49" s="44"/>
      <c r="E49" s="44"/>
      <c r="F49" s="269"/>
      <c r="G49" s="258" t="s">
        <v>1221</v>
      </c>
      <c r="H49" s="200"/>
      <c r="I49" s="258" t="s">
        <v>1222</v>
      </c>
      <c r="J49" s="208"/>
      <c r="K49" s="240"/>
      <c r="L49" s="200"/>
      <c r="M49" s="6" t="s">
        <v>501</v>
      </c>
      <c r="N49" s="245"/>
      <c r="O49" s="144"/>
      <c r="P49" s="140"/>
      <c r="Q49" s="753"/>
      <c r="R49" s="140"/>
      <c r="S49" s="140"/>
      <c r="T49" s="140"/>
      <c r="U49" s="140"/>
      <c r="V49" s="140"/>
      <c r="W49" s="140"/>
      <c r="X49" s="140"/>
      <c r="Y49" s="140"/>
      <c r="Z49" s="140"/>
      <c r="AA49" s="140"/>
    </row>
    <row r="50" spans="2:27" s="862" customFormat="1" ht="16.899999999999999" customHeight="1" x14ac:dyDescent="0.25">
      <c r="B50" s="143"/>
      <c r="C50" s="244"/>
      <c r="D50" s="380"/>
      <c r="E50" s="552"/>
      <c r="F50" s="210"/>
      <c r="G50" s="865">
        <v>0</v>
      </c>
      <c r="H50" s="200"/>
      <c r="I50" s="857">
        <v>0</v>
      </c>
      <c r="J50" s="259"/>
      <c r="K50" s="240"/>
      <c r="L50" s="200"/>
      <c r="M50" s="212">
        <f>IF(E48="NO",0,IF(((H10-(G50*52))*I50)&lt;0,0,((H10-(G50*52))*I50)))</f>
        <v>0</v>
      </c>
      <c r="N50" s="245"/>
      <c r="O50" s="144"/>
      <c r="Q50" s="754"/>
    </row>
    <row r="51" spans="2:27" s="862" customFormat="1" ht="24.75" customHeight="1" x14ac:dyDescent="0.25">
      <c r="B51" s="143"/>
      <c r="C51" s="246"/>
      <c r="D51" s="248"/>
      <c r="E51" s="248"/>
      <c r="F51" s="248"/>
      <c r="G51" s="864"/>
      <c r="H51" s="248"/>
      <c r="I51" s="270"/>
      <c r="J51" s="248"/>
      <c r="K51" s="248"/>
      <c r="L51" s="248"/>
      <c r="M51" s="248"/>
      <c r="N51" s="249"/>
      <c r="O51" s="144"/>
      <c r="Q51" s="754"/>
    </row>
    <row r="52" spans="2:27" s="862" customFormat="1" ht="10.15" customHeight="1" x14ac:dyDescent="0.25">
      <c r="B52" s="143"/>
      <c r="C52" s="140"/>
      <c r="D52" s="140"/>
      <c r="E52" s="140"/>
      <c r="F52" s="186"/>
      <c r="G52" s="263"/>
      <c r="H52" s="183"/>
      <c r="I52" s="264"/>
      <c r="J52" s="230"/>
      <c r="K52" s="231"/>
      <c r="L52" s="183"/>
      <c r="M52" s="231"/>
      <c r="N52" s="147"/>
      <c r="O52" s="144"/>
      <c r="P52" s="140"/>
      <c r="Q52" s="753"/>
      <c r="R52" s="140"/>
      <c r="S52" s="140"/>
      <c r="T52" s="140"/>
      <c r="U52" s="140"/>
      <c r="V52" s="140"/>
      <c r="W52" s="140"/>
      <c r="X52" s="140"/>
      <c r="Y52" s="140"/>
      <c r="Z52" s="140"/>
      <c r="AA52" s="140"/>
    </row>
    <row r="53" spans="2:27" ht="9" customHeight="1" x14ac:dyDescent="0.25">
      <c r="B53" s="143"/>
      <c r="C53" s="251"/>
      <c r="D53" s="254"/>
      <c r="E53" s="254"/>
      <c r="F53" s="194"/>
      <c r="G53" s="265"/>
      <c r="H53" s="193"/>
      <c r="I53" s="266"/>
      <c r="J53" s="237"/>
      <c r="K53" s="238"/>
      <c r="L53" s="193"/>
      <c r="M53" s="238"/>
      <c r="N53" s="255"/>
      <c r="O53" s="144"/>
      <c r="P53" s="140"/>
      <c r="Q53" s="753"/>
      <c r="R53" s="140"/>
      <c r="S53" s="140"/>
      <c r="T53" s="140"/>
      <c r="U53" s="140"/>
      <c r="V53" s="140"/>
      <c r="W53" s="140"/>
      <c r="X53" s="140"/>
      <c r="Y53" s="140"/>
      <c r="Z53" s="140"/>
      <c r="AA53" s="140"/>
    </row>
    <row r="54" spans="2:27" ht="11.45" customHeight="1" x14ac:dyDescent="0.25">
      <c r="B54" s="143"/>
      <c r="C54" s="244"/>
      <c r="D54" s="44"/>
      <c r="E54" s="44"/>
      <c r="F54" s="151"/>
      <c r="G54" s="258" t="s">
        <v>1219</v>
      </c>
      <c r="H54" s="200"/>
      <c r="I54" s="258" t="s">
        <v>912</v>
      </c>
      <c r="J54" s="44"/>
      <c r="K54" s="258" t="s">
        <v>893</v>
      </c>
      <c r="L54" s="200"/>
      <c r="M54" s="240"/>
      <c r="N54" s="245"/>
      <c r="O54" s="144"/>
      <c r="P54" s="140"/>
      <c r="Q54" s="753"/>
      <c r="R54" s="140"/>
      <c r="S54" s="140"/>
      <c r="T54" s="140"/>
      <c r="U54" s="140"/>
      <c r="V54" s="140"/>
      <c r="W54" s="140"/>
      <c r="X54" s="140"/>
      <c r="Y54" s="140"/>
      <c r="Z54" s="140"/>
      <c r="AA54" s="140"/>
    </row>
    <row r="55" spans="2:27" ht="18.75" x14ac:dyDescent="0.25">
      <c r="B55" s="143"/>
      <c r="C55" s="244"/>
      <c r="D55" s="256" t="s">
        <v>744</v>
      </c>
      <c r="E55" s="44"/>
      <c r="F55" s="151"/>
      <c r="G55" s="433" t="s">
        <v>1229</v>
      </c>
      <c r="H55" s="200"/>
      <c r="I55" s="433" t="s">
        <v>1076</v>
      </c>
      <c r="J55" s="151"/>
      <c r="K55" s="434" t="str">
        <f>IF(I55="Credit Memo","Individual Customers",IF(I55="Check","Corp Check | AP number needed",""))</f>
        <v/>
      </c>
      <c r="L55" s="200"/>
      <c r="M55" s="240"/>
      <c r="N55" s="245"/>
      <c r="O55" s="144"/>
      <c r="P55" s="140"/>
      <c r="Q55" s="753"/>
      <c r="R55" s="426"/>
      <c r="S55" s="140"/>
      <c r="T55" s="140"/>
      <c r="U55" s="140"/>
      <c r="V55" s="140"/>
      <c r="W55" s="140"/>
      <c r="X55" s="140"/>
      <c r="Y55" s="140"/>
      <c r="Z55" s="140"/>
      <c r="AA55" s="140"/>
    </row>
    <row r="56" spans="2:27" x14ac:dyDescent="0.25">
      <c r="B56" s="143"/>
      <c r="C56" s="244"/>
      <c r="D56" s="203" t="s">
        <v>544</v>
      </c>
      <c r="E56" s="73" t="s">
        <v>547</v>
      </c>
      <c r="F56" s="151"/>
      <c r="G56" s="267"/>
      <c r="H56" s="200"/>
      <c r="I56" s="268"/>
      <c r="J56" s="211"/>
      <c r="K56" s="240"/>
      <c r="L56" s="200"/>
      <c r="M56" s="240"/>
      <c r="N56" s="245"/>
      <c r="O56" s="144"/>
      <c r="P56" s="140"/>
      <c r="Q56" s="752" t="str">
        <f>IF($E56="NO","",IF($I55="Select Payment Method","X",""))</f>
        <v/>
      </c>
      <c r="R56" s="140"/>
      <c r="S56" s="140"/>
      <c r="T56" s="140"/>
      <c r="U56" s="140"/>
      <c r="V56" s="140"/>
      <c r="W56" s="140"/>
      <c r="X56" s="140"/>
      <c r="Y56" s="140"/>
      <c r="Z56" s="140"/>
      <c r="AA56" s="140"/>
    </row>
    <row r="57" spans="2:27" ht="15.75" x14ac:dyDescent="0.25">
      <c r="B57" s="143"/>
      <c r="C57" s="244"/>
      <c r="D57" s="44"/>
      <c r="E57" s="44"/>
      <c r="F57" s="269"/>
      <c r="G57" s="6" t="s">
        <v>1295</v>
      </c>
      <c r="H57" s="200"/>
      <c r="I57" s="529"/>
      <c r="J57" s="208"/>
      <c r="K57" s="258" t="s">
        <v>550</v>
      </c>
      <c r="L57" s="200"/>
      <c r="M57" s="6" t="s">
        <v>501</v>
      </c>
      <c r="N57" s="245"/>
      <c r="O57" s="144"/>
      <c r="P57" s="140"/>
      <c r="Q57" s="753"/>
      <c r="R57" s="140"/>
      <c r="S57" s="140"/>
      <c r="T57" s="140"/>
      <c r="U57" s="140"/>
      <c r="V57" s="140"/>
      <c r="W57" s="140"/>
      <c r="X57" s="140"/>
      <c r="Y57" s="140"/>
      <c r="Z57" s="140"/>
      <c r="AA57" s="140"/>
    </row>
    <row r="58" spans="2:27" ht="16.899999999999999" customHeight="1" x14ac:dyDescent="0.25">
      <c r="B58" s="143"/>
      <c r="C58" s="244"/>
      <c r="D58" s="380"/>
      <c r="E58" s="552"/>
      <c r="F58" s="210" t="s">
        <v>539</v>
      </c>
      <c r="G58" s="934"/>
      <c r="H58" s="200"/>
      <c r="I58" s="687"/>
      <c r="J58" s="259"/>
      <c r="K58" s="934"/>
      <c r="L58" s="200"/>
      <c r="M58" s="212">
        <f>IF($E$56="YES",K58*$H$10,0)</f>
        <v>0</v>
      </c>
      <c r="N58" s="245"/>
      <c r="O58" s="144"/>
      <c r="P58"/>
      <c r="Q58" s="754"/>
    </row>
    <row r="59" spans="2:27" ht="9" customHeight="1" x14ac:dyDescent="0.25">
      <c r="B59" s="143"/>
      <c r="C59" s="246"/>
      <c r="D59" s="248"/>
      <c r="E59" s="248"/>
      <c r="F59" s="248"/>
      <c r="G59" s="248"/>
      <c r="H59" s="248"/>
      <c r="I59" s="270"/>
      <c r="J59" s="248"/>
      <c r="K59" s="248"/>
      <c r="L59" s="248"/>
      <c r="M59" s="248"/>
      <c r="N59" s="249"/>
      <c r="O59" s="144"/>
      <c r="P59"/>
      <c r="Q59" s="754"/>
    </row>
    <row r="60" spans="2:27" ht="10.15" customHeight="1" x14ac:dyDescent="0.25">
      <c r="B60" s="143"/>
      <c r="I60" s="271"/>
      <c r="N60" s="272"/>
      <c r="O60" s="144"/>
      <c r="P60"/>
      <c r="Q60" s="754"/>
    </row>
    <row r="61" spans="2:27" s="892" customFormat="1" ht="9" customHeight="1" x14ac:dyDescent="0.25">
      <c r="B61" s="184"/>
      <c r="C61" s="278"/>
      <c r="D61" s="193"/>
      <c r="E61" s="193"/>
      <c r="F61" s="234"/>
      <c r="G61" s="265"/>
      <c r="H61" s="193"/>
      <c r="I61" s="266"/>
      <c r="J61" s="237"/>
      <c r="K61" s="238"/>
      <c r="L61" s="193"/>
      <c r="M61" s="238"/>
      <c r="N61" s="279"/>
      <c r="O61" s="185"/>
      <c r="Q61" s="755"/>
    </row>
    <row r="62" spans="2:27" s="892" customFormat="1" ht="17.45" customHeight="1" x14ac:dyDescent="0.25">
      <c r="B62" s="184"/>
      <c r="C62" s="273"/>
      <c r="D62" s="200"/>
      <c r="E62" s="200"/>
      <c r="F62" s="210"/>
      <c r="G62" s="6" t="s">
        <v>1265</v>
      </c>
      <c r="H62" s="200"/>
      <c r="I62" s="258" t="s">
        <v>912</v>
      </c>
      <c r="J62" s="44"/>
      <c r="K62" s="258" t="s">
        <v>893</v>
      </c>
      <c r="L62" s="200"/>
      <c r="M62" s="200"/>
      <c r="N62" s="274"/>
      <c r="O62" s="185"/>
      <c r="Q62" s="755"/>
    </row>
    <row r="63" spans="2:27" s="892" customFormat="1" ht="18.75" x14ac:dyDescent="0.25">
      <c r="B63" s="184"/>
      <c r="C63" s="273"/>
      <c r="D63" s="256" t="s">
        <v>1260</v>
      </c>
      <c r="E63" s="200"/>
      <c r="F63" s="210"/>
      <c r="G63" s="931" t="s">
        <v>547</v>
      </c>
      <c r="H63" s="200"/>
      <c r="I63" s="904" t="s">
        <v>1076</v>
      </c>
      <c r="J63" s="151"/>
      <c r="K63" s="434" t="str">
        <f>IF(I63="Credit Memo","Corp Credit Memo",IF(I63="Check","Corp Check | AP number needed",""))</f>
        <v/>
      </c>
      <c r="L63" s="200"/>
      <c r="M63" s="946"/>
      <c r="N63" s="274"/>
      <c r="O63" s="185"/>
      <c r="Q63" s="755"/>
    </row>
    <row r="64" spans="2:27" s="892" customFormat="1" x14ac:dyDescent="0.25">
      <c r="B64" s="184"/>
      <c r="C64" s="273"/>
      <c r="D64" s="203" t="s">
        <v>544</v>
      </c>
      <c r="E64" s="73" t="s">
        <v>547</v>
      </c>
      <c r="F64" s="151"/>
      <c r="G64" s="200"/>
      <c r="H64" s="200"/>
      <c r="I64" s="1244" t="str">
        <f>IF($K$66+$K$71&gt;=10000,"The amount entered is $10,000 or above. This model can be submitted but will require additional approved before the agreement can be generated. Business Context will need to be provided","")</f>
        <v/>
      </c>
      <c r="J64" s="200"/>
      <c r="K64" s="200"/>
      <c r="L64" s="200"/>
      <c r="M64" s="200"/>
      <c r="N64" s="274"/>
      <c r="O64" s="185"/>
      <c r="Q64" s="752" t="str">
        <f>IF($E64="NO","",IF($I63="Select Payment Method","X",""))</f>
        <v/>
      </c>
    </row>
    <row r="65" spans="2:17" s="892" customFormat="1" ht="15.75" customHeight="1" x14ac:dyDescent="0.25">
      <c r="B65" s="184"/>
      <c r="C65" s="273"/>
      <c r="D65" s="200"/>
      <c r="E65" s="151"/>
      <c r="F65" s="905"/>
      <c r="G65" s="908" t="s">
        <v>131</v>
      </c>
      <c r="H65" s="200"/>
      <c r="I65" s="1245"/>
      <c r="J65" s="208"/>
      <c r="K65" s="258" t="s">
        <v>548</v>
      </c>
      <c r="L65" s="200"/>
      <c r="M65" s="6" t="s">
        <v>501</v>
      </c>
      <c r="N65" s="274"/>
      <c r="O65" s="185"/>
      <c r="Q65" s="755"/>
    </row>
    <row r="66" spans="2:17" s="892" customFormat="1" ht="15.75" x14ac:dyDescent="0.25">
      <c r="B66" s="184"/>
      <c r="C66" s="273"/>
      <c r="D66" s="200"/>
      <c r="E66" s="200"/>
      <c r="F66" s="906" t="s">
        <v>951</v>
      </c>
      <c r="G66" s="909" t="str">
        <f>IF($E$64="YES","CASH","")</f>
        <v/>
      </c>
      <c r="H66" s="200"/>
      <c r="I66" s="1245"/>
      <c r="J66" s="211"/>
      <c r="K66" s="933"/>
      <c r="L66" s="200"/>
      <c r="M66" s="212">
        <f>IFERROR(IF($E$64="YES",K66/$G$4,0),0)</f>
        <v>0</v>
      </c>
      <c r="N66" s="274"/>
      <c r="O66" s="185"/>
      <c r="Q66" s="897"/>
    </row>
    <row r="67" spans="2:17" s="182" customFormat="1" ht="11.45" customHeight="1" x14ac:dyDescent="0.25">
      <c r="B67" s="280"/>
      <c r="C67" s="214"/>
      <c r="D67" s="220"/>
      <c r="E67" s="220"/>
      <c r="F67" s="907"/>
      <c r="G67" s="907"/>
      <c r="H67" s="220"/>
      <c r="I67" s="1246"/>
      <c r="J67" s="220"/>
      <c r="K67" s="220"/>
      <c r="L67" s="220"/>
      <c r="M67" s="220"/>
      <c r="N67" s="281"/>
      <c r="O67" s="282"/>
    </row>
    <row r="68" spans="2:17" s="929" customFormat="1" ht="10.15" customHeight="1" x14ac:dyDescent="0.25">
      <c r="B68" s="184"/>
      <c r="C68" s="183"/>
      <c r="D68" s="183"/>
      <c r="E68" s="183"/>
      <c r="F68" s="226"/>
      <c r="G68" s="263"/>
      <c r="H68" s="183"/>
      <c r="I68" s="264"/>
      <c r="J68" s="230"/>
      <c r="K68" s="231"/>
      <c r="L68" s="183"/>
      <c r="M68" s="231"/>
      <c r="N68" s="277"/>
      <c r="O68" s="185"/>
      <c r="Q68" s="755"/>
    </row>
    <row r="69" spans="2:17" s="929" customFormat="1" ht="9" customHeight="1" x14ac:dyDescent="0.25">
      <c r="B69" s="184"/>
      <c r="C69" s="278"/>
      <c r="D69" s="193"/>
      <c r="E69" s="193"/>
      <c r="F69" s="234"/>
      <c r="G69" s="265"/>
      <c r="H69" s="193"/>
      <c r="I69" s="266"/>
      <c r="J69" s="237"/>
      <c r="K69" s="238"/>
      <c r="L69" s="193"/>
      <c r="M69" s="238"/>
      <c r="N69" s="279"/>
      <c r="O69" s="185"/>
      <c r="Q69" s="755"/>
    </row>
    <row r="70" spans="2:17" s="936" customFormat="1" ht="17.45" customHeight="1" x14ac:dyDescent="0.25">
      <c r="B70" s="184"/>
      <c r="C70" s="273"/>
      <c r="D70" s="1247" t="s">
        <v>1267</v>
      </c>
      <c r="E70" s="941"/>
      <c r="F70" s="940"/>
      <c r="G70" s="258" t="s">
        <v>1268</v>
      </c>
      <c r="H70" s="941"/>
      <c r="I70" s="258" t="s">
        <v>912</v>
      </c>
      <c r="J70" s="942"/>
      <c r="K70" s="258" t="s">
        <v>1266</v>
      </c>
      <c r="L70" s="941"/>
      <c r="M70" s="258" t="s">
        <v>1278</v>
      </c>
      <c r="N70" s="274"/>
      <c r="O70" s="185"/>
      <c r="Q70" s="755"/>
    </row>
    <row r="71" spans="2:17" s="936" customFormat="1" ht="17.45" customHeight="1" x14ac:dyDescent="0.25">
      <c r="B71" s="184"/>
      <c r="C71" s="273"/>
      <c r="D71" s="1248"/>
      <c r="E71" s="200"/>
      <c r="F71" s="940"/>
      <c r="G71" s="949"/>
      <c r="H71" s="941"/>
      <c r="I71" s="433" t="s">
        <v>1076</v>
      </c>
      <c r="J71" s="942"/>
      <c r="K71" s="949"/>
      <c r="L71" s="941"/>
      <c r="M71" s="212">
        <f>G71+K71</f>
        <v>0</v>
      </c>
      <c r="N71" s="274"/>
      <c r="O71" s="185"/>
      <c r="Q71" s="755"/>
    </row>
    <row r="72" spans="2:17" s="936" customFormat="1" ht="14.45" customHeight="1" x14ac:dyDescent="0.25">
      <c r="B72" s="184"/>
      <c r="C72" s="273"/>
      <c r="D72" s="203" t="s">
        <v>544</v>
      </c>
      <c r="E72" s="73" t="s">
        <v>547</v>
      </c>
      <c r="F72" s="940"/>
      <c r="G72" s="943"/>
      <c r="H72" s="941"/>
      <c r="I72" s="266"/>
      <c r="J72" s="942"/>
      <c r="K72" s="238"/>
      <c r="L72" s="941"/>
      <c r="M72" s="1251" t="str">
        <f>IF($M$71&gt;=10000,"The amount entered is $10,000 or above. This model can be submitted but will require additional approved before the agreement can be generated. Business Context will need to be provided","")</f>
        <v/>
      </c>
      <c r="N72" s="1252"/>
      <c r="O72" s="185"/>
      <c r="Q72" s="755"/>
    </row>
    <row r="73" spans="2:17" s="929" customFormat="1" ht="34.5" customHeight="1" x14ac:dyDescent="0.25">
      <c r="B73" s="184"/>
      <c r="C73" s="273"/>
      <c r="D73" s="1250" t="s">
        <v>1296</v>
      </c>
      <c r="E73" s="1250"/>
      <c r="F73" s="940"/>
      <c r="G73" s="1249" t="s">
        <v>1297</v>
      </c>
      <c r="H73" s="1249"/>
      <c r="I73" s="1249"/>
      <c r="J73" s="1249"/>
      <c r="K73" s="1249"/>
      <c r="L73" s="200"/>
      <c r="M73" s="1251"/>
      <c r="N73" s="1252"/>
      <c r="O73" s="185"/>
      <c r="Q73" s="755"/>
    </row>
    <row r="74" spans="2:17" s="929" customFormat="1" ht="16.5" customHeight="1" x14ac:dyDescent="0.25">
      <c r="B74" s="184"/>
      <c r="C74" s="273"/>
      <c r="D74" s="200"/>
      <c r="E74" s="151"/>
      <c r="F74" s="905"/>
      <c r="G74" s="939" t="s">
        <v>1263</v>
      </c>
      <c r="H74" s="208"/>
      <c r="I74" s="6" t="s">
        <v>1264</v>
      </c>
      <c r="J74" s="200"/>
      <c r="K74" s="258" t="s">
        <v>1262</v>
      </c>
      <c r="L74" s="200"/>
      <c r="M74" s="6" t="s">
        <v>501</v>
      </c>
      <c r="N74" s="274"/>
      <c r="O74" s="185"/>
      <c r="Q74" s="755"/>
    </row>
    <row r="75" spans="2:17" s="929" customFormat="1" ht="18" customHeight="1" x14ac:dyDescent="0.25">
      <c r="B75" s="184"/>
      <c r="C75" s="273"/>
      <c r="D75" s="200"/>
      <c r="E75" s="200"/>
      <c r="F75" s="906" t="s">
        <v>1195</v>
      </c>
      <c r="G75" s="931"/>
      <c r="H75" s="211"/>
      <c r="I75" s="932"/>
      <c r="J75" s="200"/>
      <c r="K75" s="947"/>
      <c r="L75" s="200"/>
      <c r="M75" s="212">
        <f>IFERROR(IF($E72="YES",M71/$G$4,0),0)</f>
        <v>0</v>
      </c>
      <c r="N75" s="274"/>
      <c r="O75" s="185"/>
    </row>
    <row r="76" spans="2:17" s="182" customFormat="1" ht="11.45" customHeight="1" x14ac:dyDescent="0.25">
      <c r="B76" s="280"/>
      <c r="C76" s="214"/>
      <c r="D76" s="220"/>
      <c r="E76" s="220"/>
      <c r="F76" s="907"/>
      <c r="G76" s="907"/>
      <c r="H76" s="220"/>
      <c r="I76" s="220"/>
      <c r="J76" s="220"/>
      <c r="K76" s="220"/>
      <c r="L76" s="220"/>
      <c r="M76" s="220"/>
      <c r="N76" s="281"/>
      <c r="O76" s="282"/>
    </row>
    <row r="77" spans="2:17" s="5" customFormat="1" ht="10.15" customHeight="1" x14ac:dyDescent="0.25">
      <c r="B77" s="184"/>
      <c r="C77" s="183"/>
      <c r="D77" s="183"/>
      <c r="E77" s="183"/>
      <c r="F77" s="226"/>
      <c r="G77" s="263"/>
      <c r="H77" s="183"/>
      <c r="I77" s="264"/>
      <c r="J77" s="230"/>
      <c r="K77" s="231"/>
      <c r="L77" s="183"/>
      <c r="M77" s="231"/>
      <c r="N77" s="277"/>
      <c r="O77" s="185"/>
      <c r="Q77" s="755"/>
    </row>
    <row r="78" spans="2:17" s="5" customFormat="1" ht="9" customHeight="1" x14ac:dyDescent="0.25">
      <c r="B78" s="184"/>
      <c r="C78" s="278"/>
      <c r="D78" s="193"/>
      <c r="E78" s="193"/>
      <c r="F78" s="234"/>
      <c r="G78" s="265"/>
      <c r="H78" s="193"/>
      <c r="I78" s="266"/>
      <c r="J78" s="237"/>
      <c r="K78" s="238"/>
      <c r="L78" s="193"/>
      <c r="M78" s="238"/>
      <c r="N78" s="279"/>
      <c r="O78" s="185"/>
      <c r="Q78" s="755"/>
    </row>
    <row r="79" spans="2:17" s="5" customFormat="1" ht="17.45" customHeight="1" x14ac:dyDescent="0.25">
      <c r="B79" s="184"/>
      <c r="C79" s="273"/>
      <c r="D79" s="200"/>
      <c r="E79" s="200"/>
      <c r="F79" s="210"/>
      <c r="G79" s="6" t="s">
        <v>1196</v>
      </c>
      <c r="H79" s="200"/>
      <c r="I79" s="258" t="s">
        <v>912</v>
      </c>
      <c r="J79" s="44"/>
      <c r="K79" s="258" t="s">
        <v>893</v>
      </c>
      <c r="L79" s="200"/>
      <c r="M79" s="240"/>
      <c r="N79" s="274"/>
      <c r="O79" s="185"/>
      <c r="Q79" s="755"/>
    </row>
    <row r="80" spans="2:17" s="5" customFormat="1" ht="18.75" x14ac:dyDescent="0.25">
      <c r="B80" s="184"/>
      <c r="C80" s="273"/>
      <c r="D80" s="256" t="s">
        <v>1195</v>
      </c>
      <c r="E80" s="200"/>
      <c r="F80" s="210"/>
      <c r="G80" s="931" t="s">
        <v>1230</v>
      </c>
      <c r="H80" s="200"/>
      <c r="I80" s="433" t="s">
        <v>1076</v>
      </c>
      <c r="J80" s="151"/>
      <c r="K80" s="434" t="str">
        <f>IF(I80="Credit Memo","Individual Customers",IF(I80="Check","Corp Check | AP number needed",""))</f>
        <v/>
      </c>
      <c r="L80" s="200"/>
      <c r="M80" s="240"/>
      <c r="N80" s="274"/>
      <c r="O80" s="185"/>
      <c r="Q80" s="755"/>
    </row>
    <row r="81" spans="2:20" s="5" customFormat="1" x14ac:dyDescent="0.25">
      <c r="B81" s="184"/>
      <c r="C81" s="273"/>
      <c r="D81" s="203" t="s">
        <v>544</v>
      </c>
      <c r="E81" s="73" t="s">
        <v>547</v>
      </c>
      <c r="F81" s="151"/>
      <c r="G81" s="200"/>
      <c r="H81" s="200"/>
      <c r="I81" s="200"/>
      <c r="J81" s="200"/>
      <c r="K81" s="200"/>
      <c r="L81" s="200"/>
      <c r="M81" s="200"/>
      <c r="N81" s="274"/>
      <c r="O81" s="185"/>
      <c r="Q81" s="752" t="str">
        <f>IF($E81="NO","",IF($I80="Select Payment Method","X",""))</f>
        <v/>
      </c>
    </row>
    <row r="82" spans="2:20" s="5" customFormat="1" ht="15.75" x14ac:dyDescent="0.25">
      <c r="B82" s="184"/>
      <c r="C82" s="273"/>
      <c r="D82" s="200"/>
      <c r="E82" s="151"/>
      <c r="F82" s="905"/>
      <c r="G82" s="908" t="s">
        <v>131</v>
      </c>
      <c r="H82" s="200"/>
      <c r="I82" s="529"/>
      <c r="J82" s="208"/>
      <c r="K82" s="258" t="s">
        <v>548</v>
      </c>
      <c r="L82" s="200"/>
      <c r="M82" s="6" t="s">
        <v>501</v>
      </c>
      <c r="N82" s="274"/>
      <c r="O82" s="185"/>
      <c r="Q82" s="755"/>
    </row>
    <row r="83" spans="2:20" s="5" customFormat="1" ht="18" customHeight="1" x14ac:dyDescent="0.25">
      <c r="B83" s="184"/>
      <c r="C83" s="273"/>
      <c r="D83" s="200"/>
      <c r="E83" s="200"/>
      <c r="F83" s="906" t="s">
        <v>1195</v>
      </c>
      <c r="G83" s="909" t="str">
        <f>IF($E$81="YES","CHECK Business Tools","")</f>
        <v/>
      </c>
      <c r="H83" s="200"/>
      <c r="I83" s="268"/>
      <c r="J83" s="211"/>
      <c r="K83" s="933">
        <v>3</v>
      </c>
      <c r="L83" s="200"/>
      <c r="M83" s="212">
        <f>IFERROR(IF($E81="YES",K83/$G$4,0),0)</f>
        <v>0</v>
      </c>
      <c r="N83" s="274"/>
      <c r="O83" s="185"/>
    </row>
    <row r="84" spans="2:20" s="182" customFormat="1" ht="11.45" customHeight="1" x14ac:dyDescent="0.25">
      <c r="B84" s="280"/>
      <c r="C84" s="214"/>
      <c r="D84" s="220"/>
      <c r="E84" s="220"/>
      <c r="F84" s="907"/>
      <c r="G84" s="907"/>
      <c r="H84" s="220"/>
      <c r="I84" s="220"/>
      <c r="J84" s="220"/>
      <c r="K84" s="220"/>
      <c r="L84" s="220"/>
      <c r="M84" s="220"/>
      <c r="N84" s="281"/>
      <c r="O84" s="282"/>
    </row>
    <row r="85" spans="2:20" s="182" customFormat="1" ht="9" customHeight="1" x14ac:dyDescent="0.25">
      <c r="B85" s="280"/>
      <c r="C85" s="186"/>
      <c r="D85" s="186"/>
      <c r="E85" s="186"/>
      <c r="F85" s="186"/>
      <c r="G85" s="186"/>
      <c r="H85" s="186"/>
      <c r="I85" s="186"/>
      <c r="J85" s="186"/>
      <c r="K85" s="186"/>
      <c r="L85" s="186"/>
      <c r="M85" s="186"/>
      <c r="N85" s="780"/>
      <c r="O85" s="282"/>
    </row>
    <row r="86" spans="2:20" s="182" customFormat="1" ht="13.15" customHeight="1" x14ac:dyDescent="0.25">
      <c r="B86" s="280"/>
      <c r="C86" s="192"/>
      <c r="D86" s="194"/>
      <c r="E86" s="194"/>
      <c r="F86" s="194"/>
      <c r="G86" s="194"/>
      <c r="H86" s="194"/>
      <c r="I86" s="194"/>
      <c r="J86" s="194"/>
      <c r="K86" s="194"/>
      <c r="L86" s="194"/>
      <c r="M86" s="194"/>
      <c r="N86" s="781"/>
      <c r="O86" s="282"/>
    </row>
    <row r="87" spans="2:20" s="182" customFormat="1" ht="13.15" customHeight="1" x14ac:dyDescent="0.25">
      <c r="B87" s="280"/>
      <c r="C87" s="198"/>
      <c r="D87" s="151"/>
      <c r="E87" s="151"/>
      <c r="F87" s="1240" t="s">
        <v>1206</v>
      </c>
      <c r="G87" s="1240"/>
      <c r="H87" s="151"/>
      <c r="I87" s="258" t="s">
        <v>912</v>
      </c>
      <c r="J87" s="151"/>
      <c r="K87" s="258" t="s">
        <v>893</v>
      </c>
      <c r="L87" s="151"/>
      <c r="M87" s="151"/>
      <c r="N87" s="782"/>
      <c r="O87" s="282"/>
    </row>
    <row r="88" spans="2:20" s="182" customFormat="1" ht="18" customHeight="1" x14ac:dyDescent="0.25">
      <c r="B88" s="280"/>
      <c r="C88" s="198"/>
      <c r="D88" s="256" t="s">
        <v>1088</v>
      </c>
      <c r="E88" s="151"/>
      <c r="F88" s="1240"/>
      <c r="G88" s="1240"/>
      <c r="H88" s="151"/>
      <c r="I88" s="433" t="s">
        <v>1076</v>
      </c>
      <c r="J88" s="151"/>
      <c r="K88" s="434" t="str">
        <f>IF(I88="Credit Memo","Individual Customers",IF(I88="Check","Corp Check | AP number needed",""))</f>
        <v/>
      </c>
      <c r="L88" s="151"/>
      <c r="M88" s="151"/>
      <c r="N88" s="782"/>
      <c r="O88" s="282"/>
    </row>
    <row r="89" spans="2:20" s="182" customFormat="1" x14ac:dyDescent="0.25">
      <c r="B89" s="280"/>
      <c r="C89" s="198"/>
      <c r="D89" s="203" t="s">
        <v>544</v>
      </c>
      <c r="E89" s="73" t="s">
        <v>547</v>
      </c>
      <c r="F89" s="1240"/>
      <c r="G89" s="1240"/>
      <c r="H89" s="151"/>
      <c r="I89" s="151"/>
      <c r="J89" s="151"/>
      <c r="K89" s="151"/>
      <c r="L89" s="151"/>
      <c r="M89" s="151"/>
      <c r="N89" s="782"/>
      <c r="O89" s="282"/>
      <c r="Q89" s="752" t="str">
        <f>IF($D$94=0,"",IF($E89="NO","",IF($I88="Select Payment Method","X","")))</f>
        <v/>
      </c>
    </row>
    <row r="90" spans="2:20" s="182" customFormat="1" ht="15.75" x14ac:dyDescent="0.25">
      <c r="B90" s="280"/>
      <c r="C90" s="198"/>
      <c r="D90" s="756"/>
      <c r="E90" s="757"/>
      <c r="F90" s="269"/>
      <c r="G90" s="6" t="s">
        <v>1090</v>
      </c>
      <c r="H90" s="151"/>
      <c r="I90" s="151"/>
      <c r="J90" s="151"/>
      <c r="K90" s="529"/>
      <c r="L90" s="200"/>
      <c r="M90" s="6" t="s">
        <v>501</v>
      </c>
      <c r="N90" s="782"/>
      <c r="O90" s="282"/>
    </row>
    <row r="91" spans="2:20" s="182" customFormat="1" ht="18" customHeight="1" x14ac:dyDescent="0.25">
      <c r="B91" s="280"/>
      <c r="C91" s="198"/>
      <c r="D91" s="151"/>
      <c r="E91" s="757"/>
      <c r="F91" s="210" t="s">
        <v>1089</v>
      </c>
      <c r="G91" s="934"/>
      <c r="H91" s="151"/>
      <c r="I91" s="151"/>
      <c r="J91" s="151"/>
      <c r="K91" s="240"/>
      <c r="L91" s="200"/>
      <c r="M91" s="212">
        <f>IFERROR(IF($E89="YES",$G$91*$H$10,0),0)</f>
        <v>0</v>
      </c>
      <c r="N91" s="782"/>
      <c r="O91" s="282"/>
    </row>
    <row r="92" spans="2:20" s="182" customFormat="1" ht="11.45" customHeight="1" x14ac:dyDescent="0.25">
      <c r="B92" s="280"/>
      <c r="C92" s="214"/>
      <c r="D92" s="220"/>
      <c r="E92" s="220"/>
      <c r="F92" s="220"/>
      <c r="G92" s="971" t="str">
        <f>IFERROR(_xlfn.CONCAT("Max ",ROUNDUP((((VLOOKUP('Variable Selling'!$A$2,'CC MARKET EXPENSE'!$A:$D,4,0))*100)*((VLOOKUP(D88,'Incentive Helper'!$A:$B,2,0))/100))/0.25,0)*0.25),"")</f>
        <v/>
      </c>
      <c r="H92" s="220"/>
      <c r="I92" s="220"/>
      <c r="J92" s="220"/>
      <c r="K92" s="220"/>
      <c r="L92" s="220"/>
      <c r="M92" s="220"/>
      <c r="N92" s="281"/>
      <c r="O92" s="282"/>
    </row>
    <row r="93" spans="2:20" s="182" customFormat="1" ht="24" customHeight="1" x14ac:dyDescent="0.25">
      <c r="B93" s="280"/>
      <c r="C93" s="186"/>
      <c r="E93" s="186"/>
      <c r="F93" s="186"/>
      <c r="G93" s="186"/>
      <c r="H93" s="186"/>
      <c r="I93" s="186"/>
      <c r="J93" s="186"/>
      <c r="K93" s="186"/>
      <c r="L93" s="186"/>
      <c r="M93" s="283"/>
      <c r="N93" s="186"/>
      <c r="O93" s="282"/>
      <c r="P93" s="186"/>
      <c r="Q93" s="186"/>
      <c r="R93" s="186"/>
    </row>
    <row r="94" spans="2:20" s="285" customFormat="1" ht="24" customHeight="1" x14ac:dyDescent="0.3">
      <c r="B94" s="284"/>
      <c r="D94" s="783">
        <f>'Customer Inputs'!$K$17</f>
        <v>0</v>
      </c>
      <c r="L94" s="286" t="s">
        <v>229</v>
      </c>
      <c r="M94" s="287">
        <f>SUM($M$17:$M$20)+SUM($M$28:$M$31)+SUM($M$39:$M$42)+$M$58+$M$66+$M$83+$M$91+$M$50+$M$75</f>
        <v>0</v>
      </c>
      <c r="O94" s="288"/>
      <c r="R94" s="435"/>
      <c r="S94" s="435"/>
      <c r="T94" s="436"/>
    </row>
    <row r="95" spans="2:20" s="285" customFormat="1" ht="27.6" customHeight="1" x14ac:dyDescent="0.3">
      <c r="B95" s="284"/>
      <c r="L95" s="286"/>
      <c r="M95" s="750" t="str">
        <f>IF(M97&gt;0,"**Select Payment Method Above**","")</f>
        <v/>
      </c>
      <c r="N95" s="527" t="s">
        <v>203</v>
      </c>
      <c r="O95" s="288"/>
    </row>
    <row r="96" spans="2:20" ht="24" customHeight="1" x14ac:dyDescent="0.25">
      <c r="B96" s="143"/>
      <c r="L96" s="286" t="s">
        <v>230</v>
      </c>
      <c r="M96" s="289">
        <f>IFERROR($M$94/'PIM Model'!$G$31,0)</f>
        <v>0</v>
      </c>
      <c r="N96" s="528">
        <v>0.05</v>
      </c>
      <c r="O96" s="144"/>
      <c r="P96"/>
    </row>
    <row r="97" spans="2:16" ht="24" customHeight="1" thickBot="1" x14ac:dyDescent="0.3">
      <c r="B97" s="290"/>
      <c r="C97" s="291"/>
      <c r="D97" s="291"/>
      <c r="E97" s="291"/>
      <c r="F97" s="291"/>
      <c r="G97" s="291"/>
      <c r="H97" s="291"/>
      <c r="I97" s="291"/>
      <c r="J97" s="291"/>
      <c r="K97" s="291"/>
      <c r="L97" s="718"/>
      <c r="M97" s="751">
        <f>COUNTIF($Q$14:$Q$92,"X")</f>
        <v>0</v>
      </c>
      <c r="N97" s="719"/>
      <c r="O97" s="292"/>
      <c r="P97"/>
    </row>
    <row r="98" spans="2:16" ht="48.6" customHeight="1" x14ac:dyDescent="0.25">
      <c r="C98" s="1242"/>
      <c r="D98" s="1242"/>
      <c r="I98" s="717"/>
      <c r="L98" s="5"/>
      <c r="M98" s="1243"/>
      <c r="N98" s="1243"/>
      <c r="P98"/>
    </row>
  </sheetData>
  <sheetProtection algorithmName="SHA-512" hashValue="HesyA47yp00OYPU2/dLKZgGaCWPhxm3FyiA7adKe/2Y2/8dKYscFDQz00ZjXeRr31mL6n+GJ4+y31Fp0n3JJZw==" saltValue="O/bkQXI0P0ujFXW14TBsHw==" spinCount="100000" sheet="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182" priority="43">
      <formula>$M$97&gt;0</formula>
    </cfRule>
    <cfRule type="cellIs" dxfId="181" priority="65" operator="lessThan">
      <formula>$N$96</formula>
    </cfRule>
    <cfRule type="cellIs" dxfId="180" priority="66" operator="greaterThan">
      <formula>$N$96</formula>
    </cfRule>
  </conditionalFormatting>
  <conditionalFormatting sqref="G18:G20 I18:I20 I14">
    <cfRule type="expression" dxfId="179" priority="56">
      <formula>$E$15="YES"</formula>
    </cfRule>
  </conditionalFormatting>
  <conditionalFormatting sqref="I29:I31 I25 G29:G31">
    <cfRule type="expression" dxfId="178" priority="55">
      <formula>$E$26="YES"</formula>
    </cfRule>
  </conditionalFormatting>
  <conditionalFormatting sqref="K83 I80">
    <cfRule type="expression" dxfId="177" priority="53">
      <formula>$E$81="YES"</formula>
    </cfRule>
  </conditionalFormatting>
  <conditionalFormatting sqref="K58 I55">
    <cfRule type="expression" dxfId="176" priority="51">
      <formula>$E$56="YES"</formula>
    </cfRule>
  </conditionalFormatting>
  <conditionalFormatting sqref="I36 G40:G42 I39:I42">
    <cfRule type="expression" dxfId="175" priority="47">
      <formula>$E$37="YES"</formula>
    </cfRule>
  </conditionalFormatting>
  <conditionalFormatting sqref="G58">
    <cfRule type="expression" dxfId="174" priority="49">
      <formula>$E$56="YES"</formula>
    </cfRule>
  </conditionalFormatting>
  <conditionalFormatting sqref="I88">
    <cfRule type="expression" dxfId="173" priority="40">
      <formula>$E$89="YES"</formula>
    </cfRule>
  </conditionalFormatting>
  <conditionalFormatting sqref="G80">
    <cfRule type="expression" dxfId="172" priority="31">
      <formula>$E$81="YES"</formula>
    </cfRule>
  </conditionalFormatting>
  <conditionalFormatting sqref="G14">
    <cfRule type="expression" dxfId="171" priority="27">
      <formula>$E$15="YES"</formula>
    </cfRule>
  </conditionalFormatting>
  <conditionalFormatting sqref="G47 I47 G50 I50">
    <cfRule type="expression" dxfId="170" priority="24">
      <formula>$E$48="YES"</formula>
    </cfRule>
  </conditionalFormatting>
  <conditionalFormatting sqref="K66 I63">
    <cfRule type="expression" dxfId="169" priority="22">
      <formula>$E$64="YES"</formula>
    </cfRule>
  </conditionalFormatting>
  <conditionalFormatting sqref="G63">
    <cfRule type="expression" dxfId="168" priority="21">
      <formula>$E$64="YES"</formula>
    </cfRule>
  </conditionalFormatting>
  <conditionalFormatting sqref="G25">
    <cfRule type="expression" dxfId="167" priority="18">
      <formula>$E$26="YES"</formula>
    </cfRule>
  </conditionalFormatting>
  <conditionalFormatting sqref="G36">
    <cfRule type="expression" dxfId="166" priority="17">
      <formula>$E$37="YES"</formula>
    </cfRule>
  </conditionalFormatting>
  <conditionalFormatting sqref="G55">
    <cfRule type="expression" dxfId="165" priority="16">
      <formula>$E$56="YES"</formula>
    </cfRule>
  </conditionalFormatting>
  <conditionalFormatting sqref="G91">
    <cfRule type="expression" dxfId="164" priority="11">
      <formula>$E$89="YES"</formula>
    </cfRule>
  </conditionalFormatting>
  <conditionalFormatting sqref="K71 I71 G75 K75 I75">
    <cfRule type="expression" dxfId="163" priority="119">
      <formula>$E$72="YES"</formula>
    </cfRule>
  </conditionalFormatting>
  <conditionalFormatting sqref="G71">
    <cfRule type="expression" dxfId="162" priority="6">
      <formula>$E$72="YES"</formula>
    </cfRule>
  </conditionalFormatting>
  <conditionalFormatting sqref="I64">
    <cfRule type="expression" dxfId="161" priority="120">
      <formula>$K$66+$K$71&gt;=10000</formula>
    </cfRule>
  </conditionalFormatting>
  <conditionalFormatting sqref="M72">
    <cfRule type="expression" dxfId="160" priority="2">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operator="lessThan" allowBlank="1" showInputMessage="1" showErrorMessage="1" error="Cannot exceed 1.5%" sqref="G91" xr:uid="{28FE455C-41BD-4740-80B3-E31A1D2CE6E6}"/>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5A9FE5C8-083C-4750-9735-5741674A7BB6}">
            <xm:f>$G$91&gt;ROUNDUP((((VLOOKUP('Variable Selling'!$A$2,'CC MARKET EXPENSE'!$A:$D,4,0))*100)*VLOOKUP(D88,'Incentive Helper'!$A:$B,2,0)/100)/0.25,0)*0.25/100</xm:f>
            <x14:dxf>
              <numFmt numFmtId="14" formatCode="0.00%"/>
              <fill>
                <patternFill>
                  <bgColor rgb="FFFF0000"/>
                </patternFill>
              </fill>
              <border>
                <left style="thin">
                  <color auto="1"/>
                </left>
                <right style="thin">
                  <color auto="1"/>
                </right>
                <top style="thin">
                  <color auto="1"/>
                </top>
                <bottom style="thin">
                  <color auto="1"/>
                </bottom>
                <vertical/>
                <horizontal/>
              </border>
            </x14:dxf>
          </x14:cfRule>
          <xm:sqref>G91</xm:sqref>
        </x14:conditionalFormatting>
        <x14:conditionalFormatting xmlns:xm="http://schemas.microsoft.com/office/excel/2006/main">
          <x14:cfRule type="expression" priority="28" id="{946E6A02-0640-4275-B487-A8FD8A7912F8}">
            <xm:f>AND($E$89="YES",Welcome!$D$18="No")</xm:f>
            <x14:dxf>
              <font>
                <color rgb="FF9C0006"/>
              </font>
              <fill>
                <patternFill>
                  <bgColor rgb="FFFFC7CE"/>
                </patternFill>
              </fill>
            </x14:dxf>
          </x14:cfRule>
          <xm:sqref>M96</xm:sqref>
        </x14:conditionalFormatting>
        <x14:conditionalFormatting xmlns:xm="http://schemas.microsoft.com/office/excel/2006/main">
          <x14:cfRule type="expression" priority="29" id="{373543F3-260C-495F-9975-97E17B300BBE}">
            <xm:f>AND($E$89="YES",Welcome!D18="NO")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xm:sqref>
        </x14:dataValidation>
        <x14:dataValidation type="list" allowBlank="1" showInputMessage="1" showErrorMessage="1" xr:uid="{54F02139-29F4-43C4-8BF1-8D993F7C3489}">
          <x14:formula1>
            <xm:f>Lookups!$AI$1:$AI$4</xm:f>
          </x14:formula1>
          <xm:sqref>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B3" sqref="B3"/>
    </sheetView>
  </sheetViews>
  <sheetFormatPr defaultRowHeight="15" x14ac:dyDescent="0.25"/>
  <sheetData>
    <row r="1" spans="1:3" x14ac:dyDescent="0.25">
      <c r="A1" s="993" t="s">
        <v>1300</v>
      </c>
      <c r="B1" t="s">
        <v>1298</v>
      </c>
      <c r="C1" t="s">
        <v>131</v>
      </c>
    </row>
    <row r="2" spans="1:3" x14ac:dyDescent="0.25">
      <c r="A2" t="s">
        <v>1088</v>
      </c>
      <c r="B2">
        <v>50</v>
      </c>
      <c r="C2" t="s">
        <v>1299</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47"/>
      <c r="C2" s="1279" t="s">
        <v>211</v>
      </c>
      <c r="D2" s="1279"/>
      <c r="E2" s="1279"/>
      <c r="F2" s="556"/>
      <c r="G2" s="178"/>
      <c r="H2" s="178"/>
      <c r="I2" s="178"/>
      <c r="J2" s="178"/>
      <c r="K2" s="178"/>
      <c r="L2" s="181"/>
    </row>
    <row r="3" spans="2:23" x14ac:dyDescent="0.25">
      <c r="B3" s="184"/>
      <c r="C3" s="1284" t="s">
        <v>1307</v>
      </c>
      <c r="D3" s="1285"/>
      <c r="E3" s="424">
        <f>Welcome!$D$10</f>
        <v>0</v>
      </c>
      <c r="F3" s="428"/>
      <c r="G3" s="522" t="s">
        <v>110</v>
      </c>
      <c r="H3" s="1282" t="str">
        <f>IFERROR(VLOOKUP($H$4,'Market Geography'!$D:$G,4,FALSE),"Select Market")</f>
        <v>Select Market</v>
      </c>
      <c r="I3" s="1282"/>
      <c r="J3" s="1282"/>
      <c r="K3" s="1283"/>
      <c r="L3" s="185"/>
    </row>
    <row r="4" spans="2:23" x14ac:dyDescent="0.25">
      <c r="B4" s="184"/>
      <c r="C4" s="1271" t="s">
        <v>1308</v>
      </c>
      <c r="D4" s="1272"/>
      <c r="E4" s="392" t="str">
        <f>Welcome!$D$14</f>
        <v>Select Term</v>
      </c>
      <c r="F4" s="557"/>
      <c r="G4" s="523" t="s">
        <v>903</v>
      </c>
      <c r="H4" s="1267">
        <f>Welcome!$D$4</f>
        <v>0</v>
      </c>
      <c r="I4" s="1267"/>
      <c r="J4" s="1267"/>
      <c r="K4" s="1268"/>
      <c r="L4" s="185"/>
    </row>
    <row r="5" spans="2:23" x14ac:dyDescent="0.25">
      <c r="B5" s="184"/>
      <c r="C5" s="1271" t="s">
        <v>1315</v>
      </c>
      <c r="D5" s="1272"/>
      <c r="E5" s="149">
        <f>'PIM Model'!$G$31</f>
        <v>0</v>
      </c>
      <c r="F5" s="558"/>
      <c r="G5" s="523" t="s">
        <v>107</v>
      </c>
      <c r="H5" s="1267" t="str">
        <f>'Multi-Customer'!$M$47</f>
        <v>Enter Customer(s)</v>
      </c>
      <c r="I5" s="1267"/>
      <c r="J5" s="1267"/>
      <c r="K5" s="1268"/>
      <c r="L5" s="185"/>
    </row>
    <row r="6" spans="2:23" x14ac:dyDescent="0.25">
      <c r="B6" s="184"/>
      <c r="C6" s="1271" t="s">
        <v>1316</v>
      </c>
      <c r="D6" s="1272"/>
      <c r="E6" s="150">
        <f>'PIM Model'!$E$6</f>
        <v>0</v>
      </c>
      <c r="F6" s="428"/>
      <c r="G6" s="523" t="s">
        <v>1325</v>
      </c>
      <c r="H6" s="1267" t="str">
        <f>IF('Multi-Customer'!$M$83 = "MULTIPLE MENU TYPES","MULTIPLE TYPES",'Multi-Customer'!$M$83)</f>
        <v>MULTIPLE TYPES</v>
      </c>
      <c r="I6" s="1267"/>
      <c r="J6" s="1267"/>
      <c r="K6" s="1268"/>
      <c r="L6" s="185"/>
      <c r="R6" s="559"/>
    </row>
    <row r="7" spans="2:23" ht="15.75" thickBot="1" x14ac:dyDescent="0.3">
      <c r="B7" s="184"/>
      <c r="C7" s="1273" t="s">
        <v>1317</v>
      </c>
      <c r="D7" s="1274"/>
      <c r="E7" s="425">
        <f>IFERROR('PIM Ranges'!$AU$3,0)</f>
        <v>0</v>
      </c>
      <c r="F7" s="183"/>
      <c r="G7" s="524" t="s">
        <v>1318</v>
      </c>
      <c r="H7" s="1269" t="s">
        <v>207</v>
      </c>
      <c r="I7" s="1269"/>
      <c r="J7" s="1269"/>
      <c r="K7" s="1270"/>
      <c r="L7" s="185"/>
      <c r="P7" s="183"/>
      <c r="Q7" s="159"/>
      <c r="R7" s="560"/>
      <c r="S7" s="140"/>
      <c r="T7" s="159"/>
      <c r="U7" s="183"/>
      <c r="V7" s="159"/>
      <c r="W7" s="183"/>
    </row>
    <row r="8" spans="2:23" ht="13.9" customHeight="1" x14ac:dyDescent="0.25">
      <c r="B8" s="184"/>
      <c r="D8" s="142"/>
      <c r="E8" s="1227"/>
      <c r="F8" s="1227"/>
      <c r="G8"/>
      <c r="H8"/>
      <c r="I8" s="439"/>
      <c r="J8" s="27"/>
      <c r="K8" s="27"/>
      <c r="L8" s="185"/>
      <c r="P8" s="183"/>
      <c r="Q8" s="142"/>
      <c r="R8" s="561"/>
      <c r="S8" s="140"/>
      <c r="T8" s="230"/>
      <c r="U8" s="183"/>
      <c r="V8" s="231"/>
      <c r="W8" s="183"/>
    </row>
    <row r="9" spans="2:23" ht="13.9" customHeight="1" x14ac:dyDescent="0.25">
      <c r="B9" s="184"/>
      <c r="C9" s="278"/>
      <c r="D9" s="562"/>
      <c r="E9" s="194"/>
      <c r="F9" s="193"/>
      <c r="G9" s="193"/>
      <c r="H9" s="193"/>
      <c r="I9" s="563"/>
      <c r="J9" s="563"/>
      <c r="K9" s="564"/>
      <c r="L9" s="185"/>
      <c r="P9" s="183"/>
      <c r="Q9" s="142"/>
      <c r="R9" s="561"/>
      <c r="S9" s="140"/>
      <c r="T9" s="230"/>
      <c r="U9" s="183"/>
      <c r="V9" s="231"/>
      <c r="W9" s="183"/>
    </row>
    <row r="10" spans="2:23" ht="26.45" customHeight="1" x14ac:dyDescent="0.25">
      <c r="B10" s="184"/>
      <c r="C10" s="273"/>
      <c r="D10" s="6" t="s">
        <v>125</v>
      </c>
      <c r="E10" s="708" t="s">
        <v>1319</v>
      </c>
      <c r="F10" s="200"/>
      <c r="G10" s="708" t="s">
        <v>1320</v>
      </c>
      <c r="H10" s="200"/>
      <c r="I10" s="1275" t="s">
        <v>908</v>
      </c>
      <c r="J10" s="1275"/>
      <c r="K10" s="274"/>
      <c r="L10" s="185"/>
      <c r="P10" s="183"/>
      <c r="Q10" s="183"/>
      <c r="R10" s="565"/>
      <c r="S10" s="183"/>
      <c r="T10" s="183"/>
      <c r="U10" s="183"/>
      <c r="V10" s="183"/>
      <c r="W10" s="183"/>
    </row>
    <row r="11" spans="2:23" ht="23.45" customHeight="1" x14ac:dyDescent="0.25">
      <c r="B11" s="184"/>
      <c r="C11" s="273"/>
      <c r="D11" s="566" t="s">
        <v>1321</v>
      </c>
      <c r="E11" s="567">
        <f>'Variable Costs (Back)'!$AE$25</f>
        <v>0</v>
      </c>
      <c r="F11" s="200"/>
      <c r="G11" s="568">
        <f>IFERROR(E11/'PIM Model'!$H$31,0)</f>
        <v>0</v>
      </c>
      <c r="H11" s="200"/>
      <c r="I11" s="1276" t="str">
        <f>IFERROR($E11/$E$5,"")</f>
        <v/>
      </c>
      <c r="J11" s="1276"/>
      <c r="K11" s="274"/>
      <c r="L11" s="185"/>
      <c r="R11" s="559"/>
    </row>
    <row r="12" spans="2:23" ht="36" customHeight="1" x14ac:dyDescent="0.25">
      <c r="B12" s="184"/>
      <c r="C12" s="273"/>
      <c r="D12" s="1277" t="s">
        <v>703</v>
      </c>
      <c r="E12" s="1277"/>
      <c r="F12" s="569"/>
      <c r="G12" s="570"/>
      <c r="H12" s="200"/>
      <c r="I12" s="571"/>
      <c r="J12" s="572"/>
      <c r="K12" s="274"/>
      <c r="L12" s="185"/>
    </row>
    <row r="13" spans="2:23" s="849" customFormat="1" ht="23.45" customHeight="1" x14ac:dyDescent="0.25">
      <c r="B13" s="184"/>
      <c r="C13" s="273"/>
      <c r="D13" s="566" t="s">
        <v>1323</v>
      </c>
      <c r="E13" s="567">
        <f>'Tracking &amp; Profitability'!E26*-1</f>
        <v>0</v>
      </c>
      <c r="F13" s="200"/>
      <c r="G13" s="568">
        <f>'Tracking &amp; Profitability'!G26*-1</f>
        <v>0</v>
      </c>
      <c r="H13" s="200"/>
      <c r="I13" s="1276" t="str">
        <f>IFERROR(E13/E5,"")</f>
        <v/>
      </c>
      <c r="J13" s="1276"/>
      <c r="K13" s="274"/>
      <c r="L13" s="185"/>
    </row>
    <row r="14" spans="2:23" s="849" customFormat="1" ht="36.6" customHeight="1" x14ac:dyDescent="0.25">
      <c r="B14" s="184"/>
      <c r="C14" s="273"/>
      <c r="D14" s="1277" t="s">
        <v>1207</v>
      </c>
      <c r="E14" s="1277"/>
      <c r="F14" s="569"/>
      <c r="G14" s="570"/>
      <c r="H14" s="200"/>
      <c r="I14" s="571"/>
      <c r="J14" s="572"/>
      <c r="K14" s="274"/>
      <c r="L14" s="185"/>
    </row>
    <row r="15" spans="2:23" ht="23.45" customHeight="1" x14ac:dyDescent="0.25">
      <c r="B15" s="184"/>
      <c r="C15" s="273"/>
      <c r="D15" s="566" t="s">
        <v>1322</v>
      </c>
      <c r="E15" s="567">
        <f>'Variable Costs (Back)'!$AF$25</f>
        <v>0</v>
      </c>
      <c r="F15" s="200"/>
      <c r="G15" s="568">
        <f>IFERROR(E15/'PIM Model'!$H$31,0)</f>
        <v>0</v>
      </c>
      <c r="H15" s="200"/>
      <c r="I15" s="1276" t="str">
        <f>IFERROR($E15/$E$5,"")</f>
        <v/>
      </c>
      <c r="J15" s="1276"/>
      <c r="K15" s="274"/>
      <c r="L15" s="185"/>
    </row>
    <row r="16" spans="2:23" ht="26.45" customHeight="1" x14ac:dyDescent="0.25">
      <c r="B16" s="184"/>
      <c r="C16" s="273"/>
      <c r="D16" s="1266" t="s">
        <v>705</v>
      </c>
      <c r="E16" s="1266"/>
      <c r="F16" s="569"/>
      <c r="G16" s="570"/>
      <c r="H16" s="200"/>
      <c r="I16" s="571"/>
      <c r="J16" s="572"/>
      <c r="K16" s="274"/>
      <c r="L16" s="185"/>
    </row>
    <row r="17" spans="2:12" ht="23.45" customHeight="1" x14ac:dyDescent="0.25">
      <c r="B17" s="184"/>
      <c r="C17" s="273"/>
      <c r="D17" s="566" t="s">
        <v>1324</v>
      </c>
      <c r="E17" s="567">
        <f>'Variable Costs (Back)'!$AD$25</f>
        <v>0</v>
      </c>
      <c r="F17" s="200"/>
      <c r="G17" s="568">
        <f>IFERROR(E17/'PIM Model'!$H$31,0)</f>
        <v>0</v>
      </c>
      <c r="H17" s="200"/>
      <c r="I17" s="1276" t="str">
        <f>IFERROR($E17/$E$5,"")</f>
        <v/>
      </c>
      <c r="J17" s="1276"/>
      <c r="K17" s="274"/>
      <c r="L17" s="185"/>
    </row>
    <row r="18" spans="2:12" ht="25.9" customHeight="1" x14ac:dyDescent="0.25">
      <c r="B18" s="184"/>
      <c r="C18" s="273"/>
      <c r="D18" s="1266" t="s">
        <v>704</v>
      </c>
      <c r="E18" s="1278"/>
      <c r="F18" s="569"/>
      <c r="G18" s="570"/>
      <c r="H18" s="200"/>
      <c r="I18" s="572"/>
      <c r="J18" s="572"/>
      <c r="K18" s="274"/>
      <c r="L18" s="185"/>
    </row>
    <row r="19" spans="2:12" ht="25.15" customHeight="1" x14ac:dyDescent="0.25">
      <c r="B19" s="184"/>
      <c r="C19" s="273"/>
      <c r="D19" s="573" t="s">
        <v>231</v>
      </c>
      <c r="E19" s="574">
        <f>E11+E15+E17+E13</f>
        <v>0</v>
      </c>
      <c r="F19" s="200"/>
      <c r="G19" s="575">
        <f>IFERROR(E19/'PIM Model'!$H$31,0)</f>
        <v>0</v>
      </c>
      <c r="H19" s="576"/>
      <c r="I19" s="1280" t="str">
        <f>IFERROR($E19/$E$5,"")</f>
        <v/>
      </c>
      <c r="J19" s="1280"/>
      <c r="K19" s="274"/>
      <c r="L19" s="185"/>
    </row>
    <row r="20" spans="2:12" ht="13.9" customHeight="1" x14ac:dyDescent="0.25">
      <c r="B20" s="184"/>
      <c r="C20" s="275"/>
      <c r="D20" s="261"/>
      <c r="E20" s="261"/>
      <c r="F20" s="261"/>
      <c r="G20" s="261"/>
      <c r="H20" s="261"/>
      <c r="I20" s="577"/>
      <c r="J20" s="577"/>
      <c r="K20" s="276"/>
      <c r="L20" s="185"/>
    </row>
    <row r="21" spans="2:12" s="183" customFormat="1" ht="13.9" customHeight="1" x14ac:dyDescent="0.25">
      <c r="B21" s="578"/>
      <c r="L21" s="189"/>
    </row>
    <row r="22" spans="2:12" ht="13.9" customHeight="1" x14ac:dyDescent="0.25">
      <c r="B22" s="184"/>
      <c r="C22" s="278"/>
      <c r="D22" s="193"/>
      <c r="E22" s="193"/>
      <c r="F22" s="193"/>
      <c r="G22" s="193"/>
      <c r="H22" s="193"/>
      <c r="I22" s="579"/>
      <c r="J22" s="579"/>
      <c r="K22" s="279"/>
      <c r="L22" s="185"/>
    </row>
    <row r="23" spans="2:12" ht="16.149999999999999" customHeight="1" x14ac:dyDescent="0.25">
      <c r="B23" s="184"/>
      <c r="C23" s="273"/>
      <c r="D23" s="580" t="s">
        <v>974</v>
      </c>
      <c r="E23" s="581">
        <f>IFERROR('EB_CM (Back)'!$J$47,0)</f>
        <v>0</v>
      </c>
      <c r="F23" s="200"/>
      <c r="G23" s="582">
        <f>IFERROR(E23/'PIM Model'!$H$31,0)</f>
        <v>0</v>
      </c>
      <c r="H23" s="200"/>
      <c r="I23" s="1276" t="str">
        <f>IFERROR($E23/$E$5,"")</f>
        <v/>
      </c>
      <c r="J23" s="1276"/>
      <c r="K23" s="274"/>
      <c r="L23" s="185"/>
    </row>
    <row r="24" spans="2:12" ht="16.149999999999999" customHeight="1" x14ac:dyDescent="0.25">
      <c r="B24" s="184"/>
      <c r="C24" s="273"/>
      <c r="D24" s="1281" t="s">
        <v>955</v>
      </c>
      <c r="E24" s="1281"/>
      <c r="F24" s="569"/>
      <c r="G24" s="570"/>
      <c r="H24" s="200"/>
      <c r="I24" s="572"/>
      <c r="J24" s="572"/>
      <c r="K24" s="274"/>
      <c r="L24" s="185"/>
    </row>
    <row r="25" spans="2:12" ht="13.9" customHeight="1" x14ac:dyDescent="0.25">
      <c r="B25" s="184"/>
      <c r="C25" s="275"/>
      <c r="D25" s="583"/>
      <c r="E25" s="584"/>
      <c r="F25" s="261"/>
      <c r="G25" s="585"/>
      <c r="H25" s="261"/>
      <c r="I25" s="577"/>
      <c r="J25" s="577"/>
      <c r="K25" s="276"/>
      <c r="L25" s="185"/>
    </row>
    <row r="26" spans="2:12" ht="13.9" customHeight="1" x14ac:dyDescent="0.25">
      <c r="B26" s="184"/>
      <c r="C26" s="183"/>
      <c r="D26" s="183"/>
      <c r="E26" s="183"/>
      <c r="H26" s="183"/>
      <c r="I26" s="183"/>
      <c r="J26" s="183"/>
      <c r="K26" s="183"/>
      <c r="L26" s="185"/>
    </row>
    <row r="27" spans="2:12" ht="13.9" customHeight="1" x14ac:dyDescent="0.25">
      <c r="B27" s="184"/>
      <c r="C27" s="278"/>
      <c r="D27" s="193"/>
      <c r="E27" s="193"/>
      <c r="F27" s="193"/>
      <c r="G27" s="193"/>
      <c r="H27" s="193"/>
      <c r="I27" s="579"/>
      <c r="J27" s="579"/>
      <c r="K27" s="279"/>
      <c r="L27" s="185"/>
    </row>
    <row r="28" spans="2:12" ht="26.45" customHeight="1" x14ac:dyDescent="0.25">
      <c r="B28" s="184"/>
      <c r="C28" s="273"/>
      <c r="D28" s="6" t="s">
        <v>220</v>
      </c>
      <c r="E28" s="708" t="s">
        <v>1319</v>
      </c>
      <c r="F28" s="200"/>
      <c r="G28" s="708" t="s">
        <v>1320</v>
      </c>
      <c r="H28" s="200"/>
      <c r="I28" s="1275" t="s">
        <v>908</v>
      </c>
      <c r="J28" s="1275"/>
      <c r="K28" s="274"/>
      <c r="L28" s="185"/>
    </row>
    <row r="29" spans="2:12" ht="25.15" customHeight="1" x14ac:dyDescent="0.25">
      <c r="B29" s="184"/>
      <c r="C29" s="273"/>
      <c r="D29" s="580" t="s">
        <v>224</v>
      </c>
      <c r="E29" s="581">
        <f>IFERROR('EB_CM (Back)'!$I$47,0)</f>
        <v>0</v>
      </c>
      <c r="F29" s="200"/>
      <c r="G29" s="568">
        <f>IFERROR(E29/'PIM Model'!$H$31,0)</f>
        <v>0</v>
      </c>
      <c r="H29" s="200"/>
      <c r="I29" s="1276" t="str">
        <f>IFERROR($E29/$E$5,"")</f>
        <v/>
      </c>
      <c r="J29" s="1276"/>
      <c r="K29" s="274"/>
      <c r="L29" s="185"/>
    </row>
    <row r="30" spans="2:12" ht="17.45" customHeight="1" x14ac:dyDescent="0.25">
      <c r="B30" s="184"/>
      <c r="C30" s="273"/>
      <c r="D30" s="580" t="s">
        <v>223</v>
      </c>
      <c r="E30" s="581">
        <f>IFERROR(VLOOKUP($H$4,'Variable Div Avgs'!$D:$L,9,FALSE)*'PIM Model'!$H$31,0)</f>
        <v>0</v>
      </c>
      <c r="F30" s="200"/>
      <c r="G30" s="568">
        <f>IFERROR(E30/'PIM Model'!$H$31,0)</f>
        <v>0</v>
      </c>
      <c r="H30" s="200"/>
      <c r="I30" s="1276" t="str">
        <f>IFERROR($E30/$E$5,"")</f>
        <v/>
      </c>
      <c r="J30" s="1276"/>
      <c r="K30" s="274"/>
      <c r="L30" s="185"/>
    </row>
    <row r="31" spans="2:12" ht="27.6" customHeight="1" x14ac:dyDescent="0.25">
      <c r="B31" s="184"/>
      <c r="C31" s="586"/>
      <c r="D31" s="1266" t="s">
        <v>233</v>
      </c>
      <c r="E31" s="1266"/>
      <c r="F31" s="587"/>
      <c r="G31" s="587"/>
      <c r="H31" s="587"/>
      <c r="I31" s="577"/>
      <c r="J31" s="577"/>
      <c r="K31" s="276"/>
      <c r="L31" s="185"/>
    </row>
    <row r="32" spans="2:12" s="1094" customFormat="1" ht="27.6" customHeight="1" x14ac:dyDescent="0.25">
      <c r="B32" s="184"/>
      <c r="C32" s="183"/>
      <c r="D32" s="183"/>
      <c r="E32" s="183"/>
      <c r="H32" s="183"/>
      <c r="I32" s="183"/>
      <c r="J32" s="183"/>
      <c r="K32" s="183"/>
      <c r="L32" s="185"/>
    </row>
    <row r="33" spans="2:12" s="1094" customFormat="1" ht="27.6" customHeight="1" x14ac:dyDescent="0.25">
      <c r="B33" s="184"/>
      <c r="C33" s="278"/>
      <c r="D33" s="193"/>
      <c r="E33" s="193"/>
      <c r="F33" s="193"/>
      <c r="G33" s="193"/>
      <c r="H33" s="193"/>
      <c r="I33" s="579"/>
      <c r="J33" s="579"/>
      <c r="K33" s="279"/>
      <c r="L33" s="185"/>
    </row>
    <row r="34" spans="2:12" s="1094" customFormat="1" ht="23.25" customHeight="1" x14ac:dyDescent="0.25">
      <c r="B34" s="184"/>
      <c r="C34" s="273"/>
      <c r="D34" s="6" t="s">
        <v>1416</v>
      </c>
      <c r="E34" s="1095" t="s">
        <v>269</v>
      </c>
      <c r="F34" s="200"/>
      <c r="G34" s="1095" t="s">
        <v>1320</v>
      </c>
      <c r="H34" s="200"/>
      <c r="I34" s="1096"/>
      <c r="J34" s="1096"/>
      <c r="K34" s="274"/>
      <c r="L34" s="185"/>
    </row>
    <row r="35" spans="2:12" s="1094" customFormat="1" ht="23.25" customHeight="1" x14ac:dyDescent="0.25">
      <c r="B35" s="184"/>
      <c r="C35" s="273"/>
      <c r="D35" s="580" t="s">
        <v>1417</v>
      </c>
      <c r="E35" s="1107">
        <f>IF(Welcome!G28=0,0,Welcome!G28)</f>
        <v>0</v>
      </c>
      <c r="F35" s="200"/>
      <c r="G35" s="1096"/>
      <c r="H35" s="200"/>
      <c r="I35" s="1096"/>
      <c r="J35" s="1096"/>
      <c r="K35" s="274"/>
      <c r="L35" s="185"/>
    </row>
    <row r="36" spans="2:12" s="1094" customFormat="1" ht="22.5" customHeight="1" x14ac:dyDescent="0.25">
      <c r="B36" s="184"/>
      <c r="C36" s="273"/>
      <c r="D36" s="580" t="s">
        <v>1418</v>
      </c>
      <c r="E36" s="581"/>
      <c r="F36" s="200"/>
      <c r="G36" s="568">
        <f>IFERROR(E36/'PIM Model'!$H$31,0)</f>
        <v>0</v>
      </c>
      <c r="H36" s="200"/>
      <c r="I36" s="1096"/>
      <c r="J36" s="1096"/>
      <c r="K36" s="274"/>
      <c r="L36" s="185"/>
    </row>
    <row r="37" spans="2:12" s="1094" customFormat="1" ht="27.6" customHeight="1" x14ac:dyDescent="0.25">
      <c r="B37" s="184"/>
      <c r="C37" s="586"/>
      <c r="D37" s="1266"/>
      <c r="E37" s="1266"/>
      <c r="F37" s="587"/>
      <c r="G37" s="587"/>
      <c r="H37" s="587"/>
      <c r="I37" s="577"/>
      <c r="J37" s="577"/>
      <c r="K37" s="276"/>
      <c r="L37" s="185"/>
    </row>
    <row r="38" spans="2:12" ht="21.6" customHeight="1" thickBot="1" x14ac:dyDescent="0.3">
      <c r="B38" s="711"/>
      <c r="C38" s="704"/>
      <c r="D38" s="704"/>
      <c r="E38" s="704"/>
      <c r="F38" s="704"/>
      <c r="G38" s="704"/>
      <c r="H38" s="704"/>
      <c r="I38" s="704"/>
      <c r="J38" s="704"/>
      <c r="K38" s="704"/>
      <c r="L38" s="712"/>
    </row>
    <row r="39" spans="2:12" ht="39" customHeight="1" x14ac:dyDescent="0.25"/>
  </sheetData>
  <sheetProtection algorithmName="SHA-512" hashValue="4iXSwtQrveItVg7iiaIcgR98Exvbenk4K7HlFwL6L38k7yWWQgUz7GDLZrLFxQFwpu5ULhL7nXtcawD+XRmmwg==" saltValue="5/t9AONz3OhmIygL/LO86A=="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zoomScale="80" zoomScaleNormal="80" zoomScaleSheetLayoutView="100" workbookViewId="0">
      <selection activeCell="S42" sqref="S4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88" customWidth="1"/>
    <col min="5" max="5" width="24.7109375" style="5" customWidth="1"/>
    <col min="6" max="6" width="2.140625" style="5" customWidth="1"/>
    <col min="7" max="7" width="27.140625" style="182" customWidth="1"/>
    <col min="8" max="8" width="2.85546875" style="182" customWidth="1"/>
    <col min="9" max="9" width="17.7109375" style="182" bestFit="1" customWidth="1"/>
    <col min="10" max="10" width="15.140625" style="182" customWidth="1"/>
    <col min="11" max="11" width="17.7109375" style="182" customWidth="1"/>
    <col min="12" max="12" width="2.5703125" style="182" customWidth="1"/>
    <col min="13" max="13" width="17" style="182" customWidth="1"/>
    <col min="14" max="14" width="18.28515625" style="5" customWidth="1"/>
    <col min="15" max="15" width="3.5703125" style="5" customWidth="1"/>
    <col min="16" max="16" width="2" style="894" customWidth="1"/>
    <col min="17" max="17" width="10.85546875" style="182" customWidth="1"/>
    <col min="18" max="18" width="11.5703125" style="894" bestFit="1" customWidth="1"/>
    <col min="19" max="19" width="2.42578125" style="182" customWidth="1"/>
    <col min="20" max="20" width="13.140625" style="182"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16384" width="8.85546875" style="5"/>
  </cols>
  <sheetData>
    <row r="1" spans="1:31" ht="15" customHeight="1" thickBot="1" x14ac:dyDescent="0.3">
      <c r="A1" s="5" t="s">
        <v>535</v>
      </c>
      <c r="U1" s="755" t="str">
        <f>N22</f>
        <v/>
      </c>
      <c r="X1" s="755" t="str">
        <f>IF(AND(NOT(ISBLANK(Welcome!D10)),Welcome!$D$10 &lt;&gt; "CIA"),IF(COUNTBLANK('PIM Model'!K10:K30)&gt;0,"TRUE","FALSE"),"FALSE")</f>
        <v>FALSE</v>
      </c>
    </row>
    <row r="2" spans="1:31" ht="21" x14ac:dyDescent="0.25">
      <c r="B2" s="747"/>
      <c r="C2" s="589" t="s">
        <v>129</v>
      </c>
      <c r="D2" s="178"/>
      <c r="E2" s="589"/>
      <c r="F2" s="590"/>
      <c r="G2" s="180"/>
      <c r="H2" s="180"/>
      <c r="I2" s="180"/>
      <c r="J2" s="180"/>
      <c r="K2" s="180"/>
      <c r="L2" s="180"/>
      <c r="M2" s="180"/>
      <c r="N2" s="178"/>
      <c r="O2" s="178"/>
      <c r="P2" s="895"/>
      <c r="Q2" s="180"/>
      <c r="R2" s="895"/>
      <c r="S2" s="591"/>
    </row>
    <row r="3" spans="1:31" ht="8.4499999999999993" customHeight="1" thickBot="1" x14ac:dyDescent="0.3">
      <c r="B3" s="184"/>
      <c r="D3" s="5"/>
      <c r="F3" s="183"/>
      <c r="G3" s="5"/>
      <c r="H3" s="5"/>
      <c r="I3" s="5"/>
      <c r="J3" s="1085"/>
      <c r="K3" s="1085"/>
      <c r="L3" s="1085"/>
      <c r="M3" s="1085"/>
      <c r="S3" s="282"/>
    </row>
    <row r="4" spans="1:31" ht="14.45" customHeight="1" x14ac:dyDescent="0.25">
      <c r="B4" s="184"/>
      <c r="C4" s="1284" t="s">
        <v>1307</v>
      </c>
      <c r="D4" s="1285"/>
      <c r="E4" s="710">
        <f>Welcome!$D$10</f>
        <v>0</v>
      </c>
      <c r="F4" s="145"/>
      <c r="G4" s="522" t="s">
        <v>110</v>
      </c>
      <c r="H4" s="1234" t="str">
        <f>IFERROR(VLOOKUP($H$5,'Market Geography'!$D:$G,4,FALSE),"Select Market")</f>
        <v>Select Market</v>
      </c>
      <c r="I4" s="1235"/>
      <c r="J4" s="1236"/>
      <c r="K4" s="1085"/>
      <c r="L4" s="1085"/>
      <c r="M4" s="1085"/>
      <c r="N4" s="1085"/>
      <c r="O4" s="1085"/>
      <c r="P4" s="898"/>
      <c r="Q4" s="900"/>
      <c r="R4" s="805"/>
      <c r="S4" s="592"/>
    </row>
    <row r="5" spans="1:31" x14ac:dyDescent="0.25">
      <c r="B5" s="184"/>
      <c r="C5" s="1271" t="s">
        <v>1308</v>
      </c>
      <c r="D5" s="1272"/>
      <c r="E5" s="392" t="str">
        <f>Welcome!$D$14</f>
        <v>Select Term</v>
      </c>
      <c r="F5" s="145"/>
      <c r="G5" s="523" t="s">
        <v>903</v>
      </c>
      <c r="H5" s="1231">
        <f>Welcome!$D$4</f>
        <v>0</v>
      </c>
      <c r="I5" s="1232"/>
      <c r="J5" s="1233"/>
      <c r="K5" s="1085"/>
      <c r="L5" s="1085"/>
      <c r="M5" s="1085"/>
      <c r="N5" s="1085"/>
      <c r="O5" s="1085"/>
      <c r="P5" s="898"/>
      <c r="Q5" s="900"/>
      <c r="R5" s="805"/>
      <c r="S5" s="592"/>
    </row>
    <row r="6" spans="1:31" x14ac:dyDescent="0.25">
      <c r="B6" s="184"/>
      <c r="C6" s="1271" t="s">
        <v>1315</v>
      </c>
      <c r="D6" s="1272"/>
      <c r="E6" s="393">
        <f>IFERROR('PIM Model'!$G$31,0)</f>
        <v>0</v>
      </c>
      <c r="F6" s="427"/>
      <c r="G6" s="523" t="s">
        <v>107</v>
      </c>
      <c r="H6" s="1231" t="str">
        <f>'Multi-Customer'!$M$47</f>
        <v>Enter Customer(s)</v>
      </c>
      <c r="I6" s="1232"/>
      <c r="J6" s="1233"/>
      <c r="K6" s="1085"/>
      <c r="L6" s="1085"/>
      <c r="M6" s="1085"/>
      <c r="N6" s="1085"/>
      <c r="O6" s="1085"/>
      <c r="P6" s="898"/>
      <c r="Q6" s="900"/>
      <c r="R6" s="805"/>
      <c r="S6" s="592"/>
    </row>
    <row r="7" spans="1:31" x14ac:dyDescent="0.25">
      <c r="B7" s="184"/>
      <c r="C7" s="1271" t="s">
        <v>1316</v>
      </c>
      <c r="D7" s="1272"/>
      <c r="E7" s="593">
        <f>IFERROR('Variable Costs (Back)'!$K$26,0)</f>
        <v>0</v>
      </c>
      <c r="F7" s="183"/>
      <c r="G7" s="523" t="s">
        <v>1325</v>
      </c>
      <c r="H7" s="1231" t="str">
        <f>'Multi-Customer'!$M$83</f>
        <v>MULTIPLE TYPES</v>
      </c>
      <c r="I7" s="1232"/>
      <c r="J7" s="1233"/>
      <c r="K7" s="1085"/>
      <c r="L7" s="1085"/>
      <c r="M7" s="1085"/>
      <c r="N7" s="1085"/>
      <c r="O7" s="1085"/>
      <c r="P7" s="898"/>
      <c r="Q7" s="900"/>
      <c r="R7" s="805"/>
      <c r="S7" s="592"/>
    </row>
    <row r="8" spans="1:31" ht="15.75" thickBot="1" x14ac:dyDescent="0.3">
      <c r="B8" s="184"/>
      <c r="C8" s="1273" t="s">
        <v>1317</v>
      </c>
      <c r="D8" s="1274"/>
      <c r="E8" s="425">
        <f>IFERROR('PIM Ranges'!$AU$3,0)</f>
        <v>0</v>
      </c>
      <c r="F8" s="428"/>
      <c r="G8" s="524" t="s">
        <v>1318</v>
      </c>
      <c r="H8" s="1253" t="s">
        <v>207</v>
      </c>
      <c r="I8" s="1254"/>
      <c r="J8" s="1255"/>
      <c r="K8" s="1085"/>
      <c r="L8" s="1085"/>
      <c r="M8" s="1085"/>
      <c r="N8" s="1085"/>
      <c r="O8" s="1085"/>
      <c r="P8" s="899"/>
      <c r="Q8" s="900"/>
      <c r="R8" s="805"/>
      <c r="S8" s="594"/>
    </row>
    <row r="9" spans="1:31" ht="8.4499999999999993" customHeight="1" x14ac:dyDescent="0.25">
      <c r="B9" s="184"/>
      <c r="D9" s="142"/>
      <c r="E9" s="709"/>
      <c r="F9" s="709"/>
      <c r="G9" s="709"/>
      <c r="H9" s="709"/>
      <c r="I9" s="709"/>
      <c r="J9" s="1083"/>
      <c r="K9" s="1083"/>
      <c r="L9" s="1083"/>
      <c r="M9" s="1083"/>
      <c r="S9" s="282"/>
    </row>
    <row r="10" spans="1:31" ht="7.9" customHeight="1" x14ac:dyDescent="0.25">
      <c r="B10" s="184"/>
      <c r="C10" s="278"/>
      <c r="D10" s="595"/>
      <c r="E10" s="193"/>
      <c r="F10" s="193"/>
      <c r="G10" s="193"/>
      <c r="H10" s="193"/>
      <c r="I10" s="193"/>
      <c r="J10" s="193"/>
      <c r="K10" s="193"/>
      <c r="L10" s="193"/>
      <c r="M10" s="193"/>
      <c r="N10" s="193"/>
      <c r="O10" s="197"/>
      <c r="P10"/>
      <c r="Q10" s="896"/>
      <c r="R10" s="893"/>
      <c r="S10" s="185"/>
      <c r="T10" s="5"/>
    </row>
    <row r="11" spans="1:31" ht="18.600000000000001" customHeight="1" x14ac:dyDescent="0.25">
      <c r="B11" s="184"/>
      <c r="C11" s="273"/>
      <c r="D11" s="7"/>
      <c r="E11" s="6" t="s">
        <v>1319</v>
      </c>
      <c r="F11" s="38"/>
      <c r="G11" s="206" t="s">
        <v>1320</v>
      </c>
      <c r="H11" s="208"/>
      <c r="I11" s="200"/>
      <c r="J11" s="200"/>
      <c r="K11" s="200"/>
      <c r="L11" s="200"/>
      <c r="M11" s="200"/>
      <c r="N11" s="200"/>
      <c r="O11" s="202"/>
      <c r="P11"/>
      <c r="Q11" s="1291" t="s">
        <v>1258</v>
      </c>
      <c r="R11" s="1291"/>
      <c r="S11" s="185"/>
      <c r="T11" s="5"/>
    </row>
    <row r="12" spans="1:31" ht="21" customHeight="1" x14ac:dyDescent="0.25">
      <c r="B12" s="184"/>
      <c r="C12" s="273"/>
      <c r="D12" s="770" t="s">
        <v>706</v>
      </c>
      <c r="E12" s="771">
        <f>IFERROR('PIM Model'!$G$31,0)</f>
        <v>0</v>
      </c>
      <c r="F12" s="39"/>
      <c r="G12" s="772">
        <f>IFERROR(E12/'PIM Model'!$H$31,0)</f>
        <v>0</v>
      </c>
      <c r="H12" s="597"/>
      <c r="I12" s="598"/>
      <c r="J12" s="598"/>
      <c r="K12" s="598"/>
      <c r="L12" s="598"/>
      <c r="M12" s="598"/>
      <c r="N12" s="599" t="str">
        <f>IF(AND(Welcome!D10="CIA",E12&lt;150000),"Spend",IF(AND(OR(Welcome!D10="MDA",Welcome!D10="PON Only",Welcome!D10="PON with Existing CIA",Welcome!D10="PON with New CIA"),E12&lt;250000),"Spend",IF(E12&gt;2500000,"Spend Maximum Exceeded. Go to Custom","Approve")))</f>
        <v>Approve</v>
      </c>
      <c r="O12" s="600"/>
      <c r="P12"/>
      <c r="Q12" s="988"/>
      <c r="R12" s="989"/>
      <c r="S12" s="185"/>
      <c r="T12" s="5"/>
    </row>
    <row r="13" spans="1:31" ht="21" customHeight="1" x14ac:dyDescent="0.25">
      <c r="B13" s="184"/>
      <c r="C13" s="273"/>
      <c r="D13" s="8" t="s">
        <v>498</v>
      </c>
      <c r="E13" s="12">
        <f>IFERROR('PIM Model'!$I$34,0)</f>
        <v>0</v>
      </c>
      <c r="F13" s="39"/>
      <c r="G13" s="596">
        <f>IFERROR(E13/'PIM Model'!$H$31,0)</f>
        <v>0</v>
      </c>
      <c r="H13" s="597"/>
      <c r="I13" s="598"/>
      <c r="J13" s="604"/>
      <c r="K13" s="598"/>
      <c r="L13" s="598"/>
      <c r="M13" s="598"/>
      <c r="N13" s="601" t="str">
        <f>IF(E13&gt;0,IF(N17=0,IF(X1="FALSE","Approve","Reject"),"Reject"),"")</f>
        <v/>
      </c>
      <c r="O13" s="600"/>
      <c r="P13"/>
      <c r="Q13" s="988"/>
      <c r="R13" s="989"/>
      <c r="S13" s="185"/>
      <c r="T13" s="5"/>
    </row>
    <row r="14" spans="1:31" ht="7.15" customHeight="1" x14ac:dyDescent="0.25">
      <c r="B14" s="184"/>
      <c r="C14" s="273"/>
      <c r="D14" s="773"/>
      <c r="E14" s="774"/>
      <c r="F14" s="774"/>
      <c r="G14" s="767"/>
      <c r="H14" s="767"/>
      <c r="I14" s="768"/>
      <c r="J14" s="604"/>
      <c r="K14" s="598"/>
      <c r="L14" s="598"/>
      <c r="M14" s="598"/>
      <c r="N14" s="769"/>
      <c r="O14" s="600"/>
      <c r="P14"/>
      <c r="Q14" s="896"/>
      <c r="R14" s="893"/>
      <c r="S14" s="185"/>
      <c r="T14" s="5"/>
    </row>
    <row r="15" spans="1:31" ht="21" customHeight="1" x14ac:dyDescent="0.25">
      <c r="B15" s="184"/>
      <c r="C15" s="273"/>
      <c r="D15" s="773"/>
      <c r="E15" s="6" t="s">
        <v>1319</v>
      </c>
      <c r="F15" s="38"/>
      <c r="G15" s="130" t="s">
        <v>1320</v>
      </c>
      <c r="H15" s="602"/>
      <c r="I15" s="206" t="s">
        <v>908</v>
      </c>
      <c r="J15" s="604"/>
      <c r="K15" s="598"/>
      <c r="L15" s="598"/>
      <c r="M15" s="598"/>
      <c r="N15" s="769"/>
      <c r="O15" s="600"/>
      <c r="P15"/>
      <c r="Q15" s="896"/>
      <c r="R15" s="893"/>
      <c r="S15" s="185"/>
      <c r="T15" s="5"/>
      <c r="AE15" s="5" t="e">
        <f>Incentives!G91&gt;ROUNDUP((((VLOOKUP('Variable Selling'!$A$2,'CC MARKET EXPENSE'!$A:$D,4,0))*100)*50/100)/0.25,0)*0.25/100</f>
        <v>#N/A</v>
      </c>
    </row>
    <row r="16" spans="1:31" ht="24" customHeight="1" x14ac:dyDescent="0.25">
      <c r="B16" s="184"/>
      <c r="C16" s="273"/>
      <c r="D16" s="16" t="s">
        <v>1078</v>
      </c>
      <c r="E16" s="775">
        <v>0</v>
      </c>
      <c r="F16" s="129"/>
      <c r="G16" s="768"/>
      <c r="H16" s="767"/>
      <c r="I16" s="768"/>
      <c r="J16" s="604"/>
      <c r="K16" s="598"/>
      <c r="L16" s="598"/>
      <c r="M16" s="598"/>
      <c r="N16" s="769"/>
      <c r="O16" s="600"/>
      <c r="P16"/>
      <c r="Q16" s="896"/>
      <c r="R16" s="893"/>
      <c r="S16" s="185"/>
      <c r="T16" s="5"/>
    </row>
    <row r="17" spans="2:20" ht="24" customHeight="1" x14ac:dyDescent="0.25">
      <c r="B17" s="184"/>
      <c r="C17" s="273"/>
      <c r="D17" s="16" t="s">
        <v>1407</v>
      </c>
      <c r="E17" s="12">
        <f>IFERROR('EB_CM (Back)'!$J$47*-1,0)-E16</f>
        <v>0</v>
      </c>
      <c r="F17" s="39"/>
      <c r="G17" s="596">
        <f>IFERROR(E17/'PIM Model'!$H$31,0)</f>
        <v>0</v>
      </c>
      <c r="H17" s="602"/>
      <c r="I17" s="605">
        <f>IFERROR(E17/E12,0)</f>
        <v>0</v>
      </c>
      <c r="J17" s="604"/>
      <c r="K17" s="598"/>
      <c r="L17" s="598"/>
      <c r="M17" s="598"/>
      <c r="N17" s="990">
        <f>COUNTIF('PIM Model'!$AB$10:$AB$30,"ERROR")+COUNTIFS('PIM Model'!$AF$10:$AJ$30,"BELOW")</f>
        <v>0</v>
      </c>
      <c r="O17" s="603"/>
      <c r="P17"/>
      <c r="Q17" s="896"/>
      <c r="R17" s="893"/>
      <c r="S17" s="185"/>
      <c r="T17" s="5"/>
    </row>
    <row r="18" spans="2:20" ht="13.15" customHeight="1" x14ac:dyDescent="0.25">
      <c r="B18" s="184"/>
      <c r="C18" s="273"/>
      <c r="D18" s="200"/>
      <c r="E18" s="200"/>
      <c r="F18" s="200"/>
      <c r="G18" s="200"/>
      <c r="H18" s="602"/>
      <c r="I18" s="604"/>
      <c r="J18" s="604"/>
      <c r="K18" s="598"/>
      <c r="L18" s="598"/>
      <c r="M18" s="598"/>
      <c r="N18" s="604"/>
      <c r="O18" s="603"/>
      <c r="P18"/>
      <c r="Q18" s="896"/>
      <c r="R18" s="893"/>
      <c r="S18" s="185"/>
      <c r="T18" s="5"/>
    </row>
    <row r="19" spans="2:20" ht="21.6" customHeight="1" x14ac:dyDescent="0.25">
      <c r="B19" s="184"/>
      <c r="C19" s="273"/>
      <c r="D19" s="200"/>
      <c r="E19" s="6" t="s">
        <v>1319</v>
      </c>
      <c r="F19" s="38"/>
      <c r="G19" s="206" t="s">
        <v>1320</v>
      </c>
      <c r="H19" s="602"/>
      <c r="I19" s="206" t="s">
        <v>908</v>
      </c>
      <c r="J19" s="604"/>
      <c r="K19" s="598"/>
      <c r="L19" s="598"/>
      <c r="M19" s="598"/>
      <c r="N19" s="604"/>
      <c r="O19" s="603"/>
      <c r="P19"/>
      <c r="Q19" s="896"/>
      <c r="R19" s="893"/>
      <c r="S19" s="185"/>
      <c r="T19" s="5"/>
    </row>
    <row r="20" spans="2:20" ht="21.6" customHeight="1" x14ac:dyDescent="0.25">
      <c r="B20" s="184"/>
      <c r="C20" s="273"/>
      <c r="D20" s="8" t="s">
        <v>977</v>
      </c>
      <c r="E20" s="12">
        <f>E13+E17</f>
        <v>0</v>
      </c>
      <c r="F20" s="39"/>
      <c r="G20" s="596">
        <f>IFERROR(E20/'PIM Model'!$H$31,0)</f>
        <v>0</v>
      </c>
      <c r="H20" s="602"/>
      <c r="I20" s="605">
        <f>IFERROR(E20/E12,0)</f>
        <v>0</v>
      </c>
      <c r="J20" s="604"/>
      <c r="K20" s="598"/>
      <c r="L20" s="598"/>
      <c r="M20" s="598"/>
      <c r="N20" s="604"/>
      <c r="O20" s="603"/>
      <c r="P20"/>
      <c r="Q20" s="896"/>
      <c r="R20" s="893"/>
      <c r="S20" s="185"/>
      <c r="T20" s="5"/>
    </row>
    <row r="21" spans="2:20" x14ac:dyDescent="0.25">
      <c r="B21" s="184"/>
      <c r="C21" s="273"/>
      <c r="D21" s="7"/>
      <c r="E21" s="602"/>
      <c r="F21" s="602"/>
      <c r="G21" s="602"/>
      <c r="H21" s="602"/>
      <c r="I21" s="604"/>
      <c r="J21" s="604"/>
      <c r="K21" s="598"/>
      <c r="L21" s="598"/>
      <c r="M21" s="598"/>
      <c r="N21" s="604"/>
      <c r="O21" s="603"/>
      <c r="P21"/>
      <c r="Q21" s="1286" t="s">
        <v>1258</v>
      </c>
      <c r="R21" s="1287"/>
      <c r="S21" s="185"/>
      <c r="T21" s="5"/>
    </row>
    <row r="22" spans="2:20" ht="24" customHeight="1" x14ac:dyDescent="0.25">
      <c r="B22" s="184"/>
      <c r="C22" s="273"/>
      <c r="D22" s="16" t="s">
        <v>1408</v>
      </c>
      <c r="E22" s="12">
        <f>IFERROR(Incentives!$M$94*-1,0)</f>
        <v>0</v>
      </c>
      <c r="F22" s="606">
        <f>Incentives!$M$96</f>
        <v>0</v>
      </c>
      <c r="G22" s="596">
        <f>IFERROR(E22/'PIM Model'!$H$31,0)</f>
        <v>0</v>
      </c>
      <c r="H22" s="597"/>
      <c r="I22" s="758" t="str">
        <f>IF(Incentives!$M$97&gt;0,"**Missing Incentive Payment Method**","")</f>
        <v/>
      </c>
      <c r="J22" s="758"/>
      <c r="K22" s="758"/>
      <c r="L22" s="758"/>
      <c r="M22" s="758"/>
      <c r="N22" s="571" t="str">
        <f>IF(M22="Yes","Approve",IF(E22=0,"",IF(AND(Incentives!$E$89="YES",Welcome!D16="NO"),"Reject",IF(F22&gt;0.05,"Reject",IF(Incentives!$G$91&gt;ROUNDUP((((VLOOKUP('Variable Selling'!$A$2,'CC MARKET EXPENSE'!$A:$D,4,0))*100)*50/100)/0.25,0)*0.25/100,"Reject",IF(Incentives!M71&gt;=10000,"Caution",IF(Incentives!K66+O78&gt;=10000,"Caution","Approve")))))))</f>
        <v/>
      </c>
      <c r="O22" s="607"/>
      <c r="P22"/>
      <c r="Q22" s="901"/>
      <c r="R22" s="902"/>
      <c r="S22" s="185"/>
      <c r="T22" s="5"/>
    </row>
    <row r="23" spans="2:20" ht="21.6" customHeight="1" x14ac:dyDescent="0.25">
      <c r="B23" s="184"/>
      <c r="C23" s="273"/>
      <c r="D23" s="8" t="s">
        <v>1409</v>
      </c>
      <c r="E23" s="12">
        <f>E20+E22</f>
        <v>0</v>
      </c>
      <c r="F23" s="39"/>
      <c r="G23" s="596">
        <f>IFERROR(E23/'PIM Model'!$H$31,0)</f>
        <v>0</v>
      </c>
      <c r="H23" s="597"/>
      <c r="I23" s="200"/>
      <c r="J23" s="200"/>
      <c r="K23" s="200"/>
      <c r="L23" s="200"/>
      <c r="M23" s="200"/>
      <c r="N23" s="200"/>
      <c r="O23" s="202"/>
      <c r="P23"/>
      <c r="Q23" s="896"/>
      <c r="R23" s="893"/>
      <c r="S23" s="185"/>
      <c r="T23" s="5"/>
    </row>
    <row r="24" spans="2:20" ht="11.45" customHeight="1" x14ac:dyDescent="0.25">
      <c r="B24" s="184"/>
      <c r="C24" s="273"/>
      <c r="D24" s="7"/>
      <c r="E24" s="602"/>
      <c r="F24" s="602"/>
      <c r="G24" s="608"/>
      <c r="H24" s="608"/>
      <c r="I24" s="200"/>
      <c r="J24" s="200"/>
      <c r="K24" s="200"/>
      <c r="L24" s="200"/>
      <c r="M24" s="200"/>
      <c r="N24" s="200"/>
      <c r="O24" s="202"/>
      <c r="P24"/>
      <c r="Q24" s="896"/>
      <c r="R24" s="893"/>
      <c r="S24" s="185"/>
      <c r="T24" s="5"/>
    </row>
    <row r="25" spans="2:20" ht="21.6" customHeight="1" x14ac:dyDescent="0.25">
      <c r="B25" s="184"/>
      <c r="C25" s="273"/>
      <c r="D25" s="16" t="s">
        <v>1410</v>
      </c>
      <c r="E25" s="13">
        <f>IFERROR('Variable Costs &amp; Income'!$E$11*-1,0)</f>
        <v>0</v>
      </c>
      <c r="F25" s="40"/>
      <c r="G25" s="609">
        <f>IFERROR(E25/'PIM Model'!$H$31,0)</f>
        <v>0</v>
      </c>
      <c r="H25" s="68"/>
      <c r="I25" s="610"/>
      <c r="J25" s="610"/>
      <c r="K25" s="610"/>
      <c r="L25" s="610"/>
      <c r="M25" s="610"/>
      <c r="N25" s="610"/>
      <c r="O25" s="202"/>
      <c r="P25"/>
      <c r="Q25" s="896"/>
      <c r="R25" s="893"/>
      <c r="S25" s="185"/>
      <c r="T25" s="5"/>
    </row>
    <row r="26" spans="2:20" ht="21.6" customHeight="1" x14ac:dyDescent="0.25">
      <c r="B26" s="184"/>
      <c r="C26" s="273"/>
      <c r="D26" s="16" t="s">
        <v>1205</v>
      </c>
      <c r="E26" s="13">
        <f>IF(AND(Welcome!D18="YES",Incentives!E89="YES"),0,IF(AND(Welcome!D18="YES",Incentives!E89="No"),E12*(VLOOKUP('Variable Selling'!$A$2,'CC MARKET EXPENSE'!$A:$D,4,0)),0))*-1</f>
        <v>0</v>
      </c>
      <c r="F26" s="40"/>
      <c r="G26" s="609">
        <f>IFERROR(E26/'PIM Model'!$H$31,0)</f>
        <v>0</v>
      </c>
      <c r="H26" s="68"/>
      <c r="I26" s="610"/>
      <c r="J26" s="610"/>
      <c r="K26" s="610"/>
      <c r="L26" s="610"/>
      <c r="M26" s="610"/>
      <c r="N26" s="610"/>
      <c r="O26" s="202"/>
      <c r="P26"/>
      <c r="Q26" s="896"/>
      <c r="R26" s="893"/>
      <c r="S26" s="185"/>
      <c r="T26" s="5"/>
    </row>
    <row r="27" spans="2:20" ht="21.6" customHeight="1" x14ac:dyDescent="0.25">
      <c r="B27" s="184"/>
      <c r="C27" s="273"/>
      <c r="D27" s="16" t="s">
        <v>1322</v>
      </c>
      <c r="E27" s="13">
        <f>IFERROR('Variable Costs &amp; Income'!$E$15*-1,0)</f>
        <v>0</v>
      </c>
      <c r="F27" s="40"/>
      <c r="G27" s="609">
        <f>IFERROR(E27/'PIM Model'!$H$31,0)</f>
        <v>0</v>
      </c>
      <c r="H27" s="68"/>
      <c r="I27" s="610"/>
      <c r="J27" s="610"/>
      <c r="K27" s="610"/>
      <c r="L27" s="610"/>
      <c r="M27" s="610"/>
      <c r="N27" s="610"/>
      <c r="O27" s="202"/>
      <c r="P27"/>
      <c r="Q27" s="896"/>
      <c r="R27" s="893"/>
      <c r="S27" s="185"/>
      <c r="T27" s="5"/>
    </row>
    <row r="28" spans="2:20" ht="21" customHeight="1" x14ac:dyDescent="0.25">
      <c r="B28" s="184"/>
      <c r="C28" s="273"/>
      <c r="D28" s="16" t="s">
        <v>1324</v>
      </c>
      <c r="E28" s="13">
        <f>IFERROR('Variable Costs &amp; Income'!$E$17*-1,0)</f>
        <v>0</v>
      </c>
      <c r="F28" s="40"/>
      <c r="G28" s="609">
        <f>IFERROR(E28/'PIM Model'!$H$31,0)</f>
        <v>0</v>
      </c>
      <c r="H28" s="68"/>
      <c r="I28" s="610"/>
      <c r="J28" s="610"/>
      <c r="K28" s="610"/>
      <c r="L28" s="610"/>
      <c r="M28" s="610"/>
      <c r="N28" s="610"/>
      <c r="O28" s="202"/>
      <c r="P28"/>
      <c r="Q28" s="896"/>
      <c r="R28" s="893"/>
      <c r="S28" s="185"/>
      <c r="T28" s="5"/>
    </row>
    <row r="29" spans="2:20" ht="23.45" customHeight="1" x14ac:dyDescent="0.25">
      <c r="B29" s="184"/>
      <c r="C29" s="273"/>
      <c r="D29" s="7"/>
      <c r="E29" s="602"/>
      <c r="F29" s="602"/>
      <c r="G29" s="608"/>
      <c r="H29" s="608"/>
      <c r="I29" s="200"/>
      <c r="J29" s="200"/>
      <c r="K29" s="200"/>
      <c r="L29" s="200"/>
      <c r="M29" s="200"/>
      <c r="N29" s="200"/>
      <c r="O29" s="202"/>
      <c r="P29"/>
      <c r="Q29" s="896"/>
      <c r="R29" s="893"/>
      <c r="S29" s="185"/>
      <c r="T29" s="5"/>
    </row>
    <row r="30" spans="2:20" ht="23.45" customHeight="1" x14ac:dyDescent="0.25">
      <c r="B30" s="184"/>
      <c r="C30" s="273"/>
      <c r="D30" s="17" t="s">
        <v>224</v>
      </c>
      <c r="E30" s="12">
        <f>IFERROR('Variable Costs &amp; Income'!$E$29,0)</f>
        <v>0</v>
      </c>
      <c r="F30" s="39"/>
      <c r="G30" s="596">
        <f>IFERROR(E30/'PIM Model'!$H$31,0)</f>
        <v>0</v>
      </c>
      <c r="H30" s="597"/>
      <c r="I30" s="200"/>
      <c r="J30" s="200"/>
      <c r="K30" s="200"/>
      <c r="L30" s="200"/>
      <c r="M30" s="200"/>
      <c r="N30" s="200"/>
      <c r="O30" s="202"/>
      <c r="P30"/>
      <c r="Q30" s="896"/>
      <c r="R30" s="893"/>
      <c r="S30" s="185"/>
      <c r="T30" s="5"/>
    </row>
    <row r="31" spans="2:20" ht="21" customHeight="1" x14ac:dyDescent="0.25">
      <c r="B31" s="184"/>
      <c r="C31" s="273"/>
      <c r="D31" s="17" t="s">
        <v>223</v>
      </c>
      <c r="E31" s="12">
        <f>'Variable Costs &amp; Income'!$E$30</f>
        <v>0</v>
      </c>
      <c r="F31" s="39"/>
      <c r="G31" s="596">
        <f>IFERROR(E31/'PIM Model'!$H$31,0)</f>
        <v>0</v>
      </c>
      <c r="H31" s="597"/>
      <c r="I31" s="200"/>
      <c r="J31" s="200"/>
      <c r="K31" s="200"/>
      <c r="L31" s="200"/>
      <c r="M31" s="200"/>
      <c r="N31" s="200"/>
      <c r="O31" s="202"/>
      <c r="P31"/>
      <c r="Q31" s="896"/>
      <c r="R31" s="893"/>
      <c r="S31" s="185"/>
      <c r="T31" s="5"/>
    </row>
    <row r="32" spans="2:20" ht="30.75" customHeight="1" x14ac:dyDescent="0.25">
      <c r="B32" s="184"/>
      <c r="C32" s="273"/>
      <c r="D32" s="1290" t="s">
        <v>233</v>
      </c>
      <c r="E32" s="1290"/>
      <c r="F32" s="1290"/>
      <c r="G32" s="1290"/>
      <c r="H32" s="611"/>
      <c r="I32" s="1289" t="str">
        <f>IF($I$33=0,IF($N$33=0,"","Customer EB % Missing"),IF($N$33=0,"Customer Drops/Wk Missing","Customer EB % &amp; Drops/Wk Missing"))</f>
        <v>Customer Drops/Wk Missing</v>
      </c>
      <c r="J32" s="1289"/>
      <c r="K32" s="1289"/>
      <c r="L32" s="1289"/>
      <c r="M32" s="1289"/>
      <c r="N32" s="1289"/>
      <c r="O32" s="202"/>
      <c r="P32"/>
      <c r="Q32" s="896"/>
      <c r="R32" s="893"/>
      <c r="S32" s="185"/>
      <c r="T32" s="5"/>
    </row>
    <row r="33" spans="2:20" ht="36.75" customHeight="1" x14ac:dyDescent="0.25">
      <c r="B33" s="184"/>
      <c r="C33" s="273"/>
      <c r="D33" s="7"/>
      <c r="E33" s="1086" t="s">
        <v>1319</v>
      </c>
      <c r="F33" s="602"/>
      <c r="G33" s="1087" t="s">
        <v>1320</v>
      </c>
      <c r="H33" s="779" t="e">
        <f>I33+N33</f>
        <v>#VALUE!</v>
      </c>
      <c r="I33" s="1087" t="s">
        <v>908</v>
      </c>
      <c r="J33" s="200"/>
      <c r="K33" s="1087" t="s">
        <v>1412</v>
      </c>
      <c r="L33" s="200"/>
      <c r="M33" s="1088" t="s">
        <v>1413</v>
      </c>
      <c r="N33" s="572">
        <f>'Customer Inputs'!$AA$16</f>
        <v>0</v>
      </c>
      <c r="O33" s="202"/>
      <c r="P33"/>
      <c r="Q33" s="1109"/>
      <c r="R33" s="1108"/>
      <c r="S33" s="185"/>
      <c r="T33" s="5"/>
    </row>
    <row r="34" spans="2:20" ht="24" customHeight="1" x14ac:dyDescent="0.25">
      <c r="B34" s="184"/>
      <c r="C34" s="273"/>
      <c r="D34" s="8" t="s">
        <v>1411</v>
      </c>
      <c r="E34" s="12">
        <f>IFERROR(E23+E25+E27+E28+E30+E31+E26,"")</f>
        <v>0</v>
      </c>
      <c r="F34" s="39"/>
      <c r="G34" s="596">
        <f>IFERROR(E34/'PIM Model'!$H$31,0)</f>
        <v>0</v>
      </c>
      <c r="H34" s="612">
        <f>'EB_CM (Back)'!$C$26-'EB_CM (Back)'!$C$27</f>
        <v>0.08</v>
      </c>
      <c r="I34" s="605">
        <f>IFERROR($E$34/'PIM Model'!$G$31,0)</f>
        <v>0</v>
      </c>
      <c r="J34" s="200"/>
      <c r="K34" s="1091">
        <f>IFERROR(E34/($E$7*Welcome!$D$16*52),0)</f>
        <v>0</v>
      </c>
      <c r="L34" s="200"/>
      <c r="M34" s="1091">
        <f>IFERROR(E34/(Welcome!$D$16*52),0)</f>
        <v>0</v>
      </c>
      <c r="N34" s="572">
        <f>'Customer Inputs'!$AA$16</f>
        <v>0</v>
      </c>
      <c r="O34" s="202"/>
      <c r="P34"/>
      <c r="Q34" s="1109"/>
      <c r="R34" s="1108"/>
      <c r="S34" s="185"/>
      <c r="T34" s="5"/>
    </row>
    <row r="35" spans="2:20" s="1085" customFormat="1" ht="24" customHeight="1" x14ac:dyDescent="0.25">
      <c r="B35" s="184"/>
      <c r="C35" s="273"/>
      <c r="D35" s="7"/>
      <c r="E35" s="602"/>
      <c r="F35" s="602"/>
      <c r="G35" s="608"/>
      <c r="H35" s="608"/>
      <c r="I35" s="200"/>
      <c r="J35" s="200"/>
      <c r="K35" s="200"/>
      <c r="L35" s="200"/>
      <c r="M35" s="200"/>
      <c r="N35" s="200"/>
      <c r="O35" s="202"/>
      <c r="P35" s="1084"/>
      <c r="Q35" s="1090"/>
      <c r="R35" s="1090"/>
      <c r="S35" s="185"/>
    </row>
    <row r="36" spans="2:20" s="1085" customFormat="1" ht="24" customHeight="1" x14ac:dyDescent="0.25">
      <c r="B36" s="184"/>
      <c r="C36" s="273"/>
      <c r="D36" s="8" t="s">
        <v>1414</v>
      </c>
      <c r="E36" s="12">
        <f>IFERROR('Variable Costs &amp; Income'!$E$36*500,0)</f>
        <v>0</v>
      </c>
      <c r="F36" s="1089"/>
      <c r="G36" s="596">
        <f>IFERROR(E36/'PIM Model'!$H$31,0)</f>
        <v>0</v>
      </c>
      <c r="H36" s="612"/>
      <c r="I36" s="200"/>
      <c r="J36" s="200"/>
      <c r="K36" s="200"/>
      <c r="L36" s="200"/>
      <c r="M36" s="200"/>
      <c r="N36" s="200"/>
      <c r="O36" s="202"/>
      <c r="P36" s="1084"/>
      <c r="Q36" s="1090"/>
      <c r="R36" s="1090"/>
      <c r="S36" s="185"/>
    </row>
    <row r="37" spans="2:20" s="1085" customFormat="1" ht="24" customHeight="1" x14ac:dyDescent="0.25">
      <c r="B37" s="184"/>
      <c r="C37" s="273"/>
      <c r="D37" s="7"/>
      <c r="E37" s="602"/>
      <c r="F37" s="602"/>
      <c r="G37" s="608"/>
      <c r="H37" s="608"/>
      <c r="I37" s="200"/>
      <c r="J37" s="200"/>
      <c r="K37" s="200"/>
      <c r="L37" s="200"/>
      <c r="M37" s="200"/>
      <c r="N37" s="200"/>
      <c r="O37" s="202"/>
      <c r="P37" s="1084"/>
      <c r="Q37" s="1286" t="s">
        <v>1258</v>
      </c>
      <c r="R37" s="1287"/>
      <c r="S37" s="185"/>
    </row>
    <row r="38" spans="2:20" s="1085" customFormat="1" ht="24" customHeight="1" x14ac:dyDescent="0.25">
      <c r="B38" s="184"/>
      <c r="C38" s="273"/>
      <c r="D38" s="8" t="s">
        <v>1415</v>
      </c>
      <c r="E38" s="12">
        <f>IFERROR(E34-E36,0)</f>
        <v>0</v>
      </c>
      <c r="F38" s="1089"/>
      <c r="G38" s="596">
        <f>IFERROR(E38/'PIM Model'!$H$31,0)</f>
        <v>0</v>
      </c>
      <c r="H38" s="612">
        <f>'EB_CM (Back)'!$C$26-'EB_CM (Back)'!$C$27</f>
        <v>0.08</v>
      </c>
      <c r="I38" s="605">
        <f>IFERROR($E$38/'PIM Model'!$G$31,0)</f>
        <v>0</v>
      </c>
      <c r="J38" s="200"/>
      <c r="K38" s="1091">
        <f>IFERROR(E38/($E$7*Welcome!$D$16*52),0)</f>
        <v>0</v>
      </c>
      <c r="L38" s="200"/>
      <c r="M38" s="1091">
        <f>IFERROR(E38/(Welcome!$D$16*52),0)</f>
        <v>0</v>
      </c>
      <c r="N38" s="613" t="str">
        <f>IFERROR(IF($Q$38="Yes","Approve",IF(H38&gt;0,"Reject","Approve")),"Reject")</f>
        <v>Reject</v>
      </c>
      <c r="O38" s="202"/>
      <c r="P38" s="1084"/>
      <c r="Q38" s="901"/>
      <c r="R38" s="902"/>
      <c r="S38" s="185"/>
    </row>
    <row r="39" spans="2:20" ht="24.6" customHeight="1" x14ac:dyDescent="0.25">
      <c r="B39" s="184"/>
      <c r="C39" s="275"/>
      <c r="D39" s="614"/>
      <c r="E39" s="615"/>
      <c r="F39" s="615"/>
      <c r="G39" s="220"/>
      <c r="H39" s="615"/>
      <c r="I39" s="261"/>
      <c r="J39" s="261"/>
      <c r="K39" s="261"/>
      <c r="L39" s="261"/>
      <c r="M39" s="261"/>
      <c r="N39" s="261"/>
      <c r="O39" s="223"/>
      <c r="P39"/>
      <c r="Q39" s="896"/>
      <c r="R39" s="893"/>
      <c r="S39" s="185"/>
      <c r="T39" s="5"/>
    </row>
    <row r="40" spans="2:20" ht="41.25" customHeight="1" thickBot="1" x14ac:dyDescent="0.3">
      <c r="B40" s="711"/>
      <c r="C40" s="720"/>
      <c r="D40" s="721"/>
      <c r="E40" s="722"/>
      <c r="F40" s="722"/>
      <c r="G40" s="723"/>
      <c r="H40" s="722"/>
      <c r="I40" s="720"/>
      <c r="J40" s="720"/>
      <c r="K40" s="720"/>
      <c r="L40" s="720"/>
      <c r="M40" s="720"/>
      <c r="N40" s="720"/>
      <c r="O40" s="720"/>
      <c r="P40" s="720"/>
      <c r="Q40" s="723"/>
      <c r="R40" s="720"/>
      <c r="S40" s="712"/>
    </row>
    <row r="41" spans="2:20" ht="40.5" customHeight="1" x14ac:dyDescent="0.25">
      <c r="B41" s="1288"/>
      <c r="C41" s="1288"/>
      <c r="D41" s="1288"/>
      <c r="N41" s="1243"/>
      <c r="O41" s="1243"/>
      <c r="P41" s="1243"/>
      <c r="Q41" s="1243"/>
      <c r="R41" s="1243"/>
      <c r="S41" s="1243"/>
    </row>
    <row r="42" spans="2:20" x14ac:dyDescent="0.25">
      <c r="S42" s="618"/>
    </row>
  </sheetData>
  <sheetProtection algorithmName="SHA-512" hashValue="Q6K3suwGticfy2jVKU1pmfkk9m/VD+IY4vurTIMpUiqF4SbgcYWL631BoD4pg/U9xrcS2X2m4qtAlYfdy6sSxg==" saltValue="rTwbnBjF5ADAodkJo/b4fg==" spinCount="100000" sheet="1" selectLockedCells="1"/>
  <mergeCells count="17">
    <mergeCell ref="H4:J4"/>
    <mergeCell ref="H5:J5"/>
    <mergeCell ref="H6:J6"/>
    <mergeCell ref="H7:J7"/>
    <mergeCell ref="C4:D4"/>
    <mergeCell ref="C5:D5"/>
    <mergeCell ref="C6:D6"/>
    <mergeCell ref="H8:J8"/>
    <mergeCell ref="Q37:R37"/>
    <mergeCell ref="C7:D7"/>
    <mergeCell ref="C8:D8"/>
    <mergeCell ref="B41:D41"/>
    <mergeCell ref="N41:S41"/>
    <mergeCell ref="I32:N32"/>
    <mergeCell ref="D32:G32"/>
    <mergeCell ref="Q21:R21"/>
    <mergeCell ref="Q11:R11"/>
  </mergeCells>
  <conditionalFormatting sqref="I25:M28">
    <cfRule type="containsText" dxfId="156" priority="74" operator="containsText" text="Below Average">
      <formula>NOT(ISERROR(SEARCH("Below Average",I25)))</formula>
    </cfRule>
  </conditionalFormatting>
  <conditionalFormatting sqref="N12">
    <cfRule type="expression" dxfId="155" priority="49">
      <formula>$Q$12="yes"</formula>
    </cfRule>
    <cfRule type="containsText" dxfId="154" priority="65" operator="containsText" text="Spend">
      <formula>NOT(ISERROR(SEARCH("Spend",N12)))</formula>
    </cfRule>
    <cfRule type="containsText" dxfId="153" priority="69" operator="containsText" text="Approve">
      <formula>NOT(ISERROR(SEARCH("Approve",N12)))</formula>
    </cfRule>
  </conditionalFormatting>
  <conditionalFormatting sqref="N13:N16">
    <cfRule type="containsText" dxfId="152" priority="64" operator="containsText" text="Reject">
      <formula>NOT(ISERROR(SEARCH("Reject",N13)))</formula>
    </cfRule>
    <cfRule type="containsText" dxfId="151" priority="68" operator="containsText" text="Approve">
      <formula>NOT(ISERROR(SEARCH("Approve",N13)))</formula>
    </cfRule>
  </conditionalFormatting>
  <conditionalFormatting sqref="H34 H36 H38">
    <cfRule type="expression" dxfId="150" priority="130">
      <formula>#REF!="Approve"</formula>
    </cfRule>
  </conditionalFormatting>
  <conditionalFormatting sqref="E16">
    <cfRule type="cellIs" dxfId="149" priority="61" operator="notEqual">
      <formula>0</formula>
    </cfRule>
  </conditionalFormatting>
  <conditionalFormatting sqref="Q37:R38">
    <cfRule type="expression" dxfId="148" priority="55">
      <formula>H40&lt;0</formula>
    </cfRule>
  </conditionalFormatting>
  <conditionalFormatting sqref="N13">
    <cfRule type="expression" dxfId="147" priority="46">
      <formula>$Q$13="Yes"</formula>
    </cfRule>
  </conditionalFormatting>
  <conditionalFormatting sqref="Q11:R11">
    <cfRule type="expression" dxfId="146" priority="40">
      <formula>OR($N$13="Reject",$N$13="")</formula>
    </cfRule>
    <cfRule type="expression" dxfId="145" priority="43">
      <formula>$N$12="Spend"</formula>
    </cfRule>
  </conditionalFormatting>
  <conditionalFormatting sqref="Q12:R12">
    <cfRule type="expression" dxfId="144" priority="42">
      <formula>$N$12="spend"</formula>
    </cfRule>
  </conditionalFormatting>
  <conditionalFormatting sqref="Q13:R13">
    <cfRule type="expression" dxfId="143" priority="41">
      <formula>OR($N$13="Reject",$N$13="")</formula>
    </cfRule>
  </conditionalFormatting>
  <conditionalFormatting sqref="R22">
    <cfRule type="containsText" dxfId="142" priority="35" operator="containsText" text="Caution">
      <formula>NOT(ISERROR(SEARCH("Caution",R22)))</formula>
    </cfRule>
  </conditionalFormatting>
  <conditionalFormatting sqref="N22">
    <cfRule type="expression" dxfId="141" priority="24" stopIfTrue="1">
      <formula>$Q$22="Yes"</formula>
    </cfRule>
    <cfRule type="expression" dxfId="140" priority="26">
      <formula>$I$22="**Missing Incentive Payment Method**"</formula>
    </cfRule>
    <cfRule type="containsText" dxfId="139" priority="27" operator="containsText" text="Reject">
      <formula>NOT(ISERROR(SEARCH("Reject",N22)))</formula>
    </cfRule>
    <cfRule type="containsText" dxfId="138" priority="28" operator="containsText" text="Caution">
      <formula>NOT(ISERROR(SEARCH("Caution",N22)))</formula>
    </cfRule>
    <cfRule type="expression" dxfId="137" priority="29">
      <formula>$N$22="Approve"</formula>
    </cfRule>
  </conditionalFormatting>
  <conditionalFormatting sqref="Q21:R21">
    <cfRule type="expression" dxfId="136" priority="10">
      <formula>$U$1=""</formula>
    </cfRule>
    <cfRule type="expression" dxfId="135" priority="11">
      <formula>$U$1="Caution"</formula>
    </cfRule>
    <cfRule type="expression" dxfId="134" priority="12">
      <formula>$U$1="Reject"</formula>
    </cfRule>
    <cfRule type="expression" dxfId="133" priority="13">
      <formula>AND($Q$22&lt;&gt;"Yes",$U$1="Approve")</formula>
    </cfRule>
    <cfRule type="expression" dxfId="132" priority="14">
      <formula>AND($Q$22="Yes",$U$1="Approve")</formula>
    </cfRule>
  </conditionalFormatting>
  <conditionalFormatting sqref="Q22:R22">
    <cfRule type="expression" dxfId="131" priority="5">
      <formula>$U$1=""</formula>
    </cfRule>
    <cfRule type="expression" dxfId="130" priority="6">
      <formula>$U$1="Caution"</formula>
    </cfRule>
    <cfRule type="expression" dxfId="129" priority="7">
      <formula>$U$1="Reject"</formula>
    </cfRule>
    <cfRule type="expression" dxfId="128" priority="8">
      <formula>AND($Q$22&lt;&gt;"Yes",$U$1="Approve")</formula>
    </cfRule>
    <cfRule type="expression" dxfId="127" priority="9">
      <formula>AND($Q$22="Yes",$U$1="Approve")</formula>
    </cfRule>
  </conditionalFormatting>
  <conditionalFormatting sqref="N38">
    <cfRule type="expression" dxfId="126" priority="1">
      <formula>$H$38&gt;0</formula>
    </cfRule>
    <cfRule type="containsText" dxfId="125" priority="2" operator="containsText" text="Reject">
      <formula>NOT(ISERROR(SEARCH("Reject",N38)))</formula>
    </cfRule>
    <cfRule type="expression" dxfId="124" priority="3">
      <formula>$Q$38="Yes"</formula>
    </cfRule>
    <cfRule type="expression" dxfId="123"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0" id="{0991CCE1-8916-4103-ABCA-1CD8AE3CEB8D}">
            <xm:f>Incentives!$K$66+Incentives!$M$71&lt;10000</xm:f>
            <x14:dxf/>
          </x14:cfRule>
          <x14:cfRule type="expression" priority="21" id="{6E15A17F-5820-4C0F-879D-AC506CB802D2}">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"Caution",Incentives!$G$91&gt;ROUNDUP((((VLOOKUP('Variable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35"/>
  <sheetViews>
    <sheetView showGridLines="0" topLeftCell="C1" zoomScale="80" zoomScaleNormal="80" zoomScaleSheetLayoutView="70" workbookViewId="0">
      <selection activeCell="F23" sqref="F23"/>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1026" customWidth="1"/>
    <col min="13" max="13" width="26.42578125" style="1026" customWidth="1"/>
    <col min="14" max="14" width="20.42578125" style="1026" hidden="1" customWidth="1"/>
    <col min="15" max="15" width="20.42578125" style="1108"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93" t="s">
        <v>665</v>
      </c>
      <c r="S1" s="293" t="s">
        <v>666</v>
      </c>
      <c r="T1" s="293" t="s">
        <v>667</v>
      </c>
      <c r="U1" s="140"/>
      <c r="W1" s="437" t="s">
        <v>957</v>
      </c>
    </row>
    <row r="2" spans="3:23" s="5" customFormat="1" ht="22.5" customHeight="1" x14ac:dyDescent="0.25">
      <c r="C2" s="1294" t="s">
        <v>668</v>
      </c>
      <c r="D2" s="1295"/>
      <c r="E2" s="1295"/>
      <c r="F2" s="1295"/>
      <c r="G2" s="1295"/>
      <c r="H2" s="1295"/>
      <c r="I2" s="1295"/>
      <c r="J2" s="1295"/>
      <c r="K2" s="1295"/>
      <c r="L2" s="1295"/>
      <c r="M2" s="1295"/>
      <c r="N2" s="1295"/>
      <c r="O2" s="1295"/>
      <c r="P2" s="1296"/>
      <c r="R2" s="294" t="s">
        <v>669</v>
      </c>
      <c r="S2" s="294" t="s">
        <v>670</v>
      </c>
      <c r="T2" s="294" t="s">
        <v>493</v>
      </c>
      <c r="V2" s="5" t="s">
        <v>958</v>
      </c>
      <c r="W2" s="5">
        <f>IF(Welcome!D16=W3,0,Welcome!D16)</f>
        <v>0</v>
      </c>
    </row>
    <row r="3" spans="3:23" x14ac:dyDescent="0.25">
      <c r="C3" s="667"/>
      <c r="D3" s="295"/>
      <c r="E3" s="295"/>
      <c r="F3" s="295"/>
      <c r="G3" s="295"/>
      <c r="H3" s="295"/>
      <c r="I3" s="295"/>
      <c r="J3" s="295"/>
      <c r="K3" s="295"/>
      <c r="L3" s="295"/>
      <c r="M3" s="295"/>
      <c r="N3" s="295"/>
      <c r="O3" s="295"/>
      <c r="P3" s="668"/>
      <c r="R3" s="1" t="s">
        <v>671</v>
      </c>
      <c r="S3" s="1" t="s">
        <v>672</v>
      </c>
      <c r="T3" s="1" t="s">
        <v>492</v>
      </c>
      <c r="W3" t="s">
        <v>464</v>
      </c>
    </row>
    <row r="4" spans="3:23" x14ac:dyDescent="0.25">
      <c r="C4" s="143"/>
      <c r="E4" s="439" t="s">
        <v>909</v>
      </c>
      <c r="F4" s="1297"/>
      <c r="G4" s="1297"/>
      <c r="P4" s="669"/>
      <c r="T4" s="1" t="s">
        <v>491</v>
      </c>
    </row>
    <row r="5" spans="3:23" x14ac:dyDescent="0.25">
      <c r="C5" s="143"/>
      <c r="E5" s="439"/>
      <c r="P5" s="144"/>
    </row>
    <row r="6" spans="3:23" x14ac:dyDescent="0.25">
      <c r="C6" s="143"/>
      <c r="E6" s="142" t="s">
        <v>1326</v>
      </c>
      <c r="F6" s="1297"/>
      <c r="G6" s="1297"/>
      <c r="P6" s="144"/>
    </row>
    <row r="7" spans="3:23" x14ac:dyDescent="0.25">
      <c r="C7" s="143"/>
      <c r="E7" s="142"/>
      <c r="P7" s="144"/>
    </row>
    <row r="8" spans="3:23" x14ac:dyDescent="0.25">
      <c r="C8" s="143"/>
      <c r="E8" s="142" t="s">
        <v>1327</v>
      </c>
      <c r="F8" s="1297"/>
      <c r="G8" s="1297"/>
      <c r="P8" s="144"/>
    </row>
    <row r="9" spans="3:23" x14ac:dyDescent="0.25">
      <c r="C9" s="143"/>
      <c r="E9" s="142" t="s">
        <v>1328</v>
      </c>
      <c r="F9" s="1297"/>
      <c r="G9" s="1297"/>
      <c r="P9" s="144"/>
    </row>
    <row r="10" spans="3:23" x14ac:dyDescent="0.25">
      <c r="C10" s="143"/>
      <c r="E10" s="142" t="s">
        <v>899</v>
      </c>
      <c r="F10" s="1297"/>
      <c r="G10" s="1297"/>
      <c r="P10" s="144"/>
    </row>
    <row r="11" spans="3:23" x14ac:dyDescent="0.25">
      <c r="C11" s="143"/>
      <c r="E11" s="142" t="s">
        <v>851</v>
      </c>
      <c r="F11" s="1297"/>
      <c r="G11" s="1297"/>
      <c r="P11" s="144"/>
    </row>
    <row r="12" spans="3:23" x14ac:dyDescent="0.25">
      <c r="C12" s="143"/>
      <c r="E12" s="142" t="s">
        <v>1329</v>
      </c>
      <c r="F12" s="1297"/>
      <c r="G12" s="1297"/>
      <c r="P12" s="144"/>
    </row>
    <row r="13" spans="3:23" x14ac:dyDescent="0.25">
      <c r="C13" s="143"/>
      <c r="E13" s="142"/>
      <c r="F13" s="1299"/>
      <c r="G13" s="1299"/>
      <c r="P13" s="144"/>
    </row>
    <row r="14" spans="3:23" x14ac:dyDescent="0.25">
      <c r="C14" s="143"/>
      <c r="E14" s="142" t="s">
        <v>1330</v>
      </c>
      <c r="F14" s="1298"/>
      <c r="G14" s="1298"/>
      <c r="H14" s="682"/>
      <c r="P14" s="144"/>
      <c r="Q14" s="859">
        <f>WEEKDAY(F14,2)</f>
        <v>6</v>
      </c>
    </row>
    <row r="15" spans="3:23" s="1026" customFormat="1" ht="13.5" customHeight="1" x14ac:dyDescent="0.25">
      <c r="C15" s="143"/>
      <c r="F15" s="58" t="s">
        <v>1037</v>
      </c>
      <c r="G15" s="58" t="str">
        <f>IF(F14="","",TEXT(F14,"dddd"))</f>
        <v/>
      </c>
      <c r="O15" s="1108"/>
      <c r="P15" s="144"/>
    </row>
    <row r="16" spans="3:23" s="1026" customFormat="1" ht="13.5" customHeight="1" x14ac:dyDescent="0.25">
      <c r="C16" s="143"/>
      <c r="O16" s="1108"/>
      <c r="P16" s="144"/>
    </row>
    <row r="17" spans="1:17" s="1026" customFormat="1" ht="13.5" customHeight="1" x14ac:dyDescent="0.25">
      <c r="C17" s="143"/>
      <c r="E17" s="142" t="s">
        <v>1331</v>
      </c>
      <c r="F17" s="1300" t="str">
        <f>IF(F14="","",F14+(363*IF(OR(Welcome!D14="Select Term",Welcome!D14=""),0,Welcome!D14))+6)</f>
        <v/>
      </c>
      <c r="G17" s="1300"/>
      <c r="O17" s="1108"/>
      <c r="P17" s="144"/>
    </row>
    <row r="18" spans="1:17" ht="13.5" customHeight="1" x14ac:dyDescent="0.25">
      <c r="C18" s="143"/>
      <c r="P18" s="144"/>
    </row>
    <row r="19" spans="1:17" s="853" customFormat="1" ht="14.25" customHeight="1" x14ac:dyDescent="0.25">
      <c r="C19" s="143"/>
      <c r="E19" s="142" t="s">
        <v>1332</v>
      </c>
      <c r="F19" s="1292">
        <f>Welcome!D10</f>
        <v>0</v>
      </c>
      <c r="G19" s="1293"/>
      <c r="K19" s="1026"/>
      <c r="L19" s="1026"/>
      <c r="M19" s="1026"/>
      <c r="N19" s="1026"/>
      <c r="O19" s="1108"/>
      <c r="P19" s="144"/>
    </row>
    <row r="20" spans="1:17" s="853" customFormat="1" ht="26.45" customHeight="1" x14ac:dyDescent="0.25">
      <c r="C20" s="143"/>
      <c r="K20" s="1026"/>
      <c r="L20" s="1026"/>
      <c r="M20" s="1026"/>
      <c r="N20" s="1026"/>
      <c r="O20" s="1108"/>
      <c r="P20" s="144"/>
    </row>
    <row r="21" spans="1:17" ht="24.6" customHeight="1" x14ac:dyDescent="0.25">
      <c r="C21" s="143"/>
      <c r="E21" s="438" t="s">
        <v>1160</v>
      </c>
      <c r="P21" s="144"/>
    </row>
    <row r="22" spans="1:17" ht="44.25" customHeight="1" thickBot="1" x14ac:dyDescent="0.3">
      <c r="C22" s="143"/>
      <c r="E22" s="1027" t="s">
        <v>1333</v>
      </c>
      <c r="F22" s="440" t="s">
        <v>815</v>
      </c>
      <c r="G22" s="440" t="s">
        <v>816</v>
      </c>
      <c r="H22" s="440" t="s">
        <v>821</v>
      </c>
      <c r="I22" s="440" t="s">
        <v>822</v>
      </c>
      <c r="J22" s="440" t="s">
        <v>205</v>
      </c>
      <c r="K22" s="440" t="s">
        <v>814</v>
      </c>
      <c r="L22" s="440" t="s">
        <v>1334</v>
      </c>
      <c r="M22" s="1027" t="s">
        <v>1335</v>
      </c>
      <c r="N22" s="1027" t="s">
        <v>1336</v>
      </c>
      <c r="O22" s="1145" t="s">
        <v>1455</v>
      </c>
      <c r="P22" s="144"/>
      <c r="Q22" s="724"/>
    </row>
    <row r="23" spans="1:17" x14ac:dyDescent="0.25">
      <c r="A23">
        <v>1</v>
      </c>
      <c r="C23" s="143"/>
      <c r="D23" s="697" t="str">
        <f t="shared" ref="D23:D32" si="0">IF($A23&lt;=$W$2,A23,"")</f>
        <v/>
      </c>
      <c r="E23" s="698">
        <f>'Customer Inputs'!G6</f>
        <v>0</v>
      </c>
      <c r="F23" s="789" t="str">
        <f>IFERROR(IFERROR(VLOOKUP(E23,'Customer Info'!A:B,2,0),VLOOKUP(""&amp;E23,'Customer Info'!A:B,2,0)),"")</f>
        <v/>
      </c>
      <c r="G23" s="790" t="str">
        <f>IFERROR(IFERROR(VLOOKUP(E23,'Customer Info'!A:C,3,0),VLOOKUP(""&amp;E23,'Customer Info'!A:C,3,0)),"")</f>
        <v/>
      </c>
      <c r="H23" s="790" t="str">
        <f>IFERROR(IFERROR(VLOOKUP(E23,'Customer Info'!A:D,4,0),VLOOKUP(""&amp;E23,'Customer Info'!A:D,4,0)),"")</f>
        <v/>
      </c>
      <c r="I23" s="791" t="str">
        <f>IFERROR(IFERROR(VLOOKUP(E23,'Customer Info'!A:E,5,0),VLOOKUP(""&amp;E23,'Customer Info'!A:E,5,0)),"")</f>
        <v/>
      </c>
      <c r="J23" s="791" t="str">
        <f>IFERROR(IFERROR(VLOOKUP(E23,'Customer Info'!A:F,6,0),VLOOKUP(""&amp;E23,'Customer Info'!A:F,6,0)),"")</f>
        <v/>
      </c>
      <c r="K23" s="1028" t="str">
        <f>IF($F$14 = "","",$F$14)</f>
        <v/>
      </c>
      <c r="L23" s="1028" t="str">
        <f t="shared" ref="L23:L31" si="1">IF($F$17 = "","",$F$17)</f>
        <v/>
      </c>
      <c r="M23" s="791"/>
      <c r="N23" s="791" t="s">
        <v>670</v>
      </c>
      <c r="O23" s="1146" t="s">
        <v>670</v>
      </c>
      <c r="P23" s="144"/>
    </row>
    <row r="24" spans="1:17" x14ac:dyDescent="0.25">
      <c r="A24">
        <v>2</v>
      </c>
      <c r="C24" s="143"/>
      <c r="D24" s="697" t="str">
        <f t="shared" si="0"/>
        <v/>
      </c>
      <c r="E24" s="698">
        <f>'Customer Inputs'!G7</f>
        <v>0</v>
      </c>
      <c r="F24" s="789" t="str">
        <f>IFERROR(IFERROR(VLOOKUP(E24,'Customer Info'!A:B,2,0),VLOOKUP(""&amp;E24,'Customer Info'!A:B,2,0)),"")</f>
        <v/>
      </c>
      <c r="G24" s="790" t="str">
        <f>IFERROR(IFERROR(VLOOKUP(E24,'Customer Info'!A:C,3,0),VLOOKUP(""&amp;E24,'Customer Info'!A:C,3,0)),"")</f>
        <v/>
      </c>
      <c r="H24" s="790" t="str">
        <f>IFERROR(IFERROR(VLOOKUP(E24,'Customer Info'!A:D,4,0),VLOOKUP(""&amp;E24,'Customer Info'!A:D,4,0)),"")</f>
        <v/>
      </c>
      <c r="I24" s="791" t="str">
        <f>IFERROR(IFERROR(VLOOKUP(E24,'Customer Info'!A:E,5,0),VLOOKUP(""&amp;E24,'Customer Info'!A:E,5,0)),"")</f>
        <v/>
      </c>
      <c r="J24" s="791" t="str">
        <f>IFERROR(IFERROR(VLOOKUP(E24,'Customer Info'!A:F,6,0),VLOOKUP(""&amp;E24,'Customer Info'!A:F,6,0)),"")</f>
        <v/>
      </c>
      <c r="K24" s="1029" t="str">
        <f t="shared" ref="K24:K32" si="2">IF($F$14 = "","",$F$14)</f>
        <v/>
      </c>
      <c r="L24" s="1029" t="str">
        <f t="shared" si="1"/>
        <v/>
      </c>
      <c r="M24" s="791"/>
      <c r="N24" s="791" t="s">
        <v>670</v>
      </c>
      <c r="O24" s="1146" t="s">
        <v>670</v>
      </c>
      <c r="P24" s="144"/>
    </row>
    <row r="25" spans="1:17" x14ac:dyDescent="0.25">
      <c r="A25">
        <v>3</v>
      </c>
      <c r="C25" s="143"/>
      <c r="D25" s="697" t="str">
        <f t="shared" si="0"/>
        <v/>
      </c>
      <c r="E25" s="698">
        <f>'Customer Inputs'!G8</f>
        <v>0</v>
      </c>
      <c r="F25" s="789" t="str">
        <f>IFERROR(IFERROR(VLOOKUP(E25,'Customer Info'!A:B,2,0),VLOOKUP(""&amp;E25,'Customer Info'!A:B,2,0)),"")</f>
        <v/>
      </c>
      <c r="G25" s="790" t="str">
        <f>IFERROR(IFERROR(VLOOKUP(E25,'Customer Info'!A:C,3,0),VLOOKUP(""&amp;E25,'Customer Info'!A:C,3,0)),"")</f>
        <v/>
      </c>
      <c r="H25" s="790" t="str">
        <f>IFERROR(IFERROR(VLOOKUP(E25,'Customer Info'!A:D,4,0),VLOOKUP(""&amp;E25,'Customer Info'!A:D,4,0)),"")</f>
        <v/>
      </c>
      <c r="I25" s="791" t="str">
        <f>IFERROR(IFERROR(VLOOKUP(E25,'Customer Info'!A:E,5,0),VLOOKUP(""&amp;E25,'Customer Info'!A:E,5,0)),"")</f>
        <v/>
      </c>
      <c r="J25" s="791" t="str">
        <f>IFERROR(IFERROR(VLOOKUP(E25,'Customer Info'!A:F,6,0),VLOOKUP(""&amp;E25,'Customer Info'!A:F,6,0)),"")</f>
        <v/>
      </c>
      <c r="K25" s="1029" t="str">
        <f t="shared" si="2"/>
        <v/>
      </c>
      <c r="L25" s="1029" t="str">
        <f t="shared" si="1"/>
        <v/>
      </c>
      <c r="M25" s="791"/>
      <c r="N25" s="791" t="s">
        <v>670</v>
      </c>
      <c r="O25" s="1146" t="s">
        <v>670</v>
      </c>
      <c r="P25" s="144"/>
    </row>
    <row r="26" spans="1:17" x14ac:dyDescent="0.25">
      <c r="A26">
        <v>4</v>
      </c>
      <c r="C26" s="143"/>
      <c r="D26" s="697" t="str">
        <f t="shared" si="0"/>
        <v/>
      </c>
      <c r="E26" s="698">
        <f>'Customer Inputs'!G9</f>
        <v>0</v>
      </c>
      <c r="F26" s="789" t="str">
        <f>IFERROR(IFERROR(VLOOKUP(E26,'Customer Info'!A:B,2,0),VLOOKUP(""&amp;E26,'Customer Info'!A:B,2,0)),"")</f>
        <v/>
      </c>
      <c r="G26" s="790" t="str">
        <f>IFERROR(IFERROR(VLOOKUP(E26,'Customer Info'!A:C,3,0),VLOOKUP(""&amp;E26,'Customer Info'!A:C,3,0)),"")</f>
        <v/>
      </c>
      <c r="H26" s="790" t="str">
        <f>IFERROR(IFERROR(VLOOKUP(E26,'Customer Info'!A:D,4,0),VLOOKUP(""&amp;E26,'Customer Info'!A:D,4,0)),"")</f>
        <v/>
      </c>
      <c r="I26" s="791" t="str">
        <f>IFERROR(IFERROR(VLOOKUP(E26,'Customer Info'!A:E,5,0),VLOOKUP(""&amp;E26,'Customer Info'!A:E,5,0)),"")</f>
        <v/>
      </c>
      <c r="J26" s="791" t="str">
        <f>IFERROR(IFERROR(VLOOKUP(E26,'Customer Info'!A:F,6,0),VLOOKUP(""&amp;E26,'Customer Info'!A:F,6,0)),"")</f>
        <v/>
      </c>
      <c r="K26" s="1029" t="str">
        <f t="shared" si="2"/>
        <v/>
      </c>
      <c r="L26" s="1029" t="str">
        <f t="shared" si="1"/>
        <v/>
      </c>
      <c r="M26" s="791"/>
      <c r="N26" s="791" t="s">
        <v>670</v>
      </c>
      <c r="O26" s="1146" t="s">
        <v>670</v>
      </c>
      <c r="P26" s="144"/>
    </row>
    <row r="27" spans="1:17" x14ac:dyDescent="0.25">
      <c r="A27">
        <v>5</v>
      </c>
      <c r="C27" s="143"/>
      <c r="D27" s="697" t="str">
        <f t="shared" si="0"/>
        <v/>
      </c>
      <c r="E27" s="698">
        <f>'Customer Inputs'!G10</f>
        <v>0</v>
      </c>
      <c r="F27" s="789" t="str">
        <f>IFERROR(IFERROR(VLOOKUP(E27,'Customer Info'!A:B,2,0),VLOOKUP(""&amp;E27,'Customer Info'!A:B,2,0)),"")</f>
        <v/>
      </c>
      <c r="G27" s="790" t="str">
        <f>IFERROR(IFERROR(VLOOKUP(E27,'Customer Info'!A:C,3,0),VLOOKUP(""&amp;E27,'Customer Info'!A:C,3,0)),"")</f>
        <v/>
      </c>
      <c r="H27" s="790" t="str">
        <f>IFERROR(IFERROR(VLOOKUP(E27,'Customer Info'!A:D,4,0),VLOOKUP(""&amp;E27,'Customer Info'!A:D,4,0)),"")</f>
        <v/>
      </c>
      <c r="I27" s="791" t="str">
        <f>IFERROR(IFERROR(VLOOKUP(E27,'Customer Info'!A:E,5,0),VLOOKUP(""&amp;E27,'Customer Info'!A:E,5,0)),"")</f>
        <v/>
      </c>
      <c r="J27" s="791" t="str">
        <f>IFERROR(IFERROR(VLOOKUP(E27,'Customer Info'!A:F,6,0),VLOOKUP(""&amp;E27,'Customer Info'!A:F,6,0)),"")</f>
        <v/>
      </c>
      <c r="K27" s="1029" t="str">
        <f t="shared" si="2"/>
        <v/>
      </c>
      <c r="L27" s="1029" t="str">
        <f t="shared" si="1"/>
        <v/>
      </c>
      <c r="M27" s="791"/>
      <c r="N27" s="791" t="s">
        <v>670</v>
      </c>
      <c r="O27" s="1146" t="s">
        <v>670</v>
      </c>
      <c r="P27" s="144"/>
    </row>
    <row r="28" spans="1:17" x14ac:dyDescent="0.25">
      <c r="A28">
        <v>6</v>
      </c>
      <c r="C28" s="143"/>
      <c r="D28" s="697" t="str">
        <f t="shared" si="0"/>
        <v/>
      </c>
      <c r="E28" s="698">
        <f>'Customer Inputs'!G11</f>
        <v>0</v>
      </c>
      <c r="F28" s="789" t="str">
        <f>IFERROR(IFERROR(VLOOKUP(E28,'Customer Info'!A:B,2,0),VLOOKUP(""&amp;E28,'Customer Info'!A:B,2,0)),"")</f>
        <v/>
      </c>
      <c r="G28" s="790" t="str">
        <f>IFERROR(IFERROR(VLOOKUP(E28,'Customer Info'!A:C,3,0),VLOOKUP(""&amp;E28,'Customer Info'!A:C,3,0)),"")</f>
        <v/>
      </c>
      <c r="H28" s="790" t="str">
        <f>IFERROR(IFERROR(VLOOKUP(E28,'Customer Info'!A:D,4,0),VLOOKUP(""&amp;E28,'Customer Info'!A:D,4,0)),"")</f>
        <v/>
      </c>
      <c r="I28" s="791" t="str">
        <f>IFERROR(IFERROR(VLOOKUP(E28,'Customer Info'!A:E,5,0),VLOOKUP(""&amp;E28,'Customer Info'!A:E,5,0)),"")</f>
        <v/>
      </c>
      <c r="J28" s="791" t="str">
        <f>IFERROR(IFERROR(VLOOKUP(E28,'Customer Info'!A:F,6,0),VLOOKUP(""&amp;E28,'Customer Info'!A:F,6,0)),"")</f>
        <v/>
      </c>
      <c r="K28" s="1029" t="str">
        <f t="shared" si="2"/>
        <v/>
      </c>
      <c r="L28" s="1029" t="str">
        <f t="shared" si="1"/>
        <v/>
      </c>
      <c r="M28" s="791"/>
      <c r="N28" s="791" t="s">
        <v>670</v>
      </c>
      <c r="O28" s="1146" t="s">
        <v>670</v>
      </c>
      <c r="P28" s="144"/>
    </row>
    <row r="29" spans="1:17" x14ac:dyDescent="0.25">
      <c r="A29">
        <v>7</v>
      </c>
      <c r="C29" s="143"/>
      <c r="D29" s="697" t="str">
        <f t="shared" si="0"/>
        <v/>
      </c>
      <c r="E29" s="698">
        <f>'Customer Inputs'!G12</f>
        <v>0</v>
      </c>
      <c r="F29" s="789" t="str">
        <f>IFERROR(IFERROR(VLOOKUP(E29,'Customer Info'!A:B,2,0),VLOOKUP(""&amp;E29,'Customer Info'!A:B,2,0)),"")</f>
        <v/>
      </c>
      <c r="G29" s="790" t="str">
        <f>IFERROR(IFERROR(VLOOKUP(E29,'Customer Info'!A:C,3,0),VLOOKUP(""&amp;E29,'Customer Info'!A:C,3,0)),"")</f>
        <v/>
      </c>
      <c r="H29" s="790" t="str">
        <f>IFERROR(IFERROR(VLOOKUP(E29,'Customer Info'!A:D,4,0),VLOOKUP(""&amp;E29,'Customer Info'!A:D,4,0)),"")</f>
        <v/>
      </c>
      <c r="I29" s="791" t="str">
        <f>IFERROR(IFERROR(VLOOKUP(E29,'Customer Info'!A:E,5,0),VLOOKUP(""&amp;E29,'Customer Info'!A:E,5,0)),"")</f>
        <v/>
      </c>
      <c r="J29" s="791" t="str">
        <f>IFERROR(IFERROR(VLOOKUP(E29,'Customer Info'!A:F,6,0),VLOOKUP(""&amp;E29,'Customer Info'!A:F,6,0)),"")</f>
        <v/>
      </c>
      <c r="K29" s="1029" t="str">
        <f t="shared" si="2"/>
        <v/>
      </c>
      <c r="L29" s="1029" t="str">
        <f t="shared" si="1"/>
        <v/>
      </c>
      <c r="M29" s="791"/>
      <c r="N29" s="791" t="s">
        <v>670</v>
      </c>
      <c r="O29" s="1146" t="s">
        <v>670</v>
      </c>
      <c r="P29" s="144"/>
    </row>
    <row r="30" spans="1:17" x14ac:dyDescent="0.25">
      <c r="A30">
        <v>8</v>
      </c>
      <c r="C30" s="143"/>
      <c r="D30" s="697" t="str">
        <f t="shared" si="0"/>
        <v/>
      </c>
      <c r="E30" s="698">
        <f>'Customer Inputs'!G13</f>
        <v>0</v>
      </c>
      <c r="F30" s="789" t="str">
        <f>IFERROR(IFERROR(VLOOKUP(E30,'Customer Info'!A:B,2,0),VLOOKUP(""&amp;E30,'Customer Info'!A:B,2,0)),"")</f>
        <v/>
      </c>
      <c r="G30" s="790" t="str">
        <f>IFERROR(IFERROR(VLOOKUP(E30,'Customer Info'!A:C,3,0),VLOOKUP(""&amp;E30,'Customer Info'!A:C,3,0)),"")</f>
        <v/>
      </c>
      <c r="H30" s="790" t="str">
        <f>IFERROR(IFERROR(VLOOKUP(E30,'Customer Info'!A:D,4,0),VLOOKUP(""&amp;E30,'Customer Info'!A:D,4,0)),"")</f>
        <v/>
      </c>
      <c r="I30" s="791" t="str">
        <f>IFERROR(IFERROR(VLOOKUP(E30,'Customer Info'!A:E,5,0),VLOOKUP(""&amp;E30,'Customer Info'!A:E,5,0)),"")</f>
        <v/>
      </c>
      <c r="J30" s="791" t="str">
        <f>IFERROR(IFERROR(VLOOKUP(E30,'Customer Info'!A:F,6,0),VLOOKUP(""&amp;E30,'Customer Info'!A:F,6,0)),"")</f>
        <v/>
      </c>
      <c r="K30" s="1029" t="str">
        <f t="shared" si="2"/>
        <v/>
      </c>
      <c r="L30" s="1029" t="str">
        <f t="shared" si="1"/>
        <v/>
      </c>
      <c r="M30" s="791"/>
      <c r="N30" s="791" t="s">
        <v>670</v>
      </c>
      <c r="O30" s="1146" t="s">
        <v>670</v>
      </c>
      <c r="P30" s="144"/>
    </row>
    <row r="31" spans="1:17" x14ac:dyDescent="0.25">
      <c r="A31">
        <v>9</v>
      </c>
      <c r="C31" s="143"/>
      <c r="D31" s="697" t="str">
        <f t="shared" si="0"/>
        <v/>
      </c>
      <c r="E31" s="698">
        <f>'Customer Inputs'!G14</f>
        <v>0</v>
      </c>
      <c r="F31" s="789" t="str">
        <f>IFERROR(IFERROR(VLOOKUP(E31,'Customer Info'!A:B,2,0),VLOOKUP(""&amp;E31,'Customer Info'!A:B,2,0)),"")</f>
        <v/>
      </c>
      <c r="G31" s="790" t="str">
        <f>IFERROR(IFERROR(VLOOKUP(E31,'Customer Info'!A:C,3,0),VLOOKUP(""&amp;E31,'Customer Info'!A:C,3,0)),"")</f>
        <v/>
      </c>
      <c r="H31" s="790" t="str">
        <f>IFERROR(IFERROR(VLOOKUP(E31,'Customer Info'!A:D,4,0),VLOOKUP(""&amp;E31,'Customer Info'!A:D,4,0)),"")</f>
        <v/>
      </c>
      <c r="I31" s="791" t="str">
        <f>IFERROR(IFERROR(VLOOKUP(E31,'Customer Info'!A:E,5,0),VLOOKUP(""&amp;E31,'Customer Info'!A:E,5,0)),"")</f>
        <v/>
      </c>
      <c r="J31" s="791" t="str">
        <f>IFERROR(IFERROR(VLOOKUP(E31,'Customer Info'!A:F,6,0),VLOOKUP(""&amp;E31,'Customer Info'!A:F,6,0)),"")</f>
        <v/>
      </c>
      <c r="K31" s="1029" t="str">
        <f t="shared" si="2"/>
        <v/>
      </c>
      <c r="L31" s="1029" t="str">
        <f t="shared" si="1"/>
        <v/>
      </c>
      <c r="M31" s="791"/>
      <c r="N31" s="791" t="s">
        <v>670</v>
      </c>
      <c r="O31" s="1146" t="s">
        <v>670</v>
      </c>
      <c r="P31" s="144"/>
    </row>
    <row r="32" spans="1:17" x14ac:dyDescent="0.25">
      <c r="A32">
        <v>10</v>
      </c>
      <c r="C32" s="143"/>
      <c r="D32" s="697" t="str">
        <f t="shared" si="0"/>
        <v/>
      </c>
      <c r="E32" s="698">
        <f>'Customer Inputs'!G15</f>
        <v>0</v>
      </c>
      <c r="F32" s="789" t="str">
        <f>IFERROR(IFERROR(VLOOKUP(E32,'Customer Info'!A:B,2,0),VLOOKUP(""&amp;E32,'Customer Info'!A:B,2,0)),"")</f>
        <v/>
      </c>
      <c r="G32" s="790" t="str">
        <f>IFERROR(IFERROR(VLOOKUP(E32,'Customer Info'!A:C,3,0),VLOOKUP(""&amp;E32,'Customer Info'!A:C,3,0)),"")</f>
        <v/>
      </c>
      <c r="H32" s="790" t="str">
        <f>IFERROR(IFERROR(VLOOKUP(E32,'Customer Info'!A:D,4,0),VLOOKUP(""&amp;E32,'Customer Info'!A:D,4,0)),"")</f>
        <v/>
      </c>
      <c r="I32" s="791" t="str">
        <f>IFERROR(IFERROR(VLOOKUP(E32,'Customer Info'!A:E,5,0),VLOOKUP(""&amp;E32,'Customer Info'!A:E,5,0)),"")</f>
        <v/>
      </c>
      <c r="J32" s="791" t="str">
        <f>IFERROR(IFERROR(VLOOKUP(E32,'Customer Info'!A:F,6,0),VLOOKUP(""&amp;E32,'Customer Info'!A:F,6,0)),"")</f>
        <v/>
      </c>
      <c r="K32" s="1029" t="str">
        <f t="shared" si="2"/>
        <v/>
      </c>
      <c r="L32" s="1029" t="str">
        <f>IF($F$17 = "","",$F$17)</f>
        <v/>
      </c>
      <c r="M32" s="791"/>
      <c r="N32" s="791" t="s">
        <v>670</v>
      </c>
      <c r="O32" s="1146" t="s">
        <v>670</v>
      </c>
      <c r="P32" s="144"/>
    </row>
    <row r="33" spans="3:16" ht="15.75" thickBot="1" x14ac:dyDescent="0.3">
      <c r="C33" s="290"/>
      <c r="D33" s="725"/>
      <c r="E33" s="726"/>
      <c r="F33" s="727"/>
      <c r="G33" s="728"/>
      <c r="H33" s="728"/>
      <c r="I33" s="728"/>
      <c r="J33" s="728"/>
      <c r="K33" s="728"/>
      <c r="L33" s="728"/>
      <c r="M33" s="728"/>
      <c r="N33" s="728"/>
      <c r="O33" s="728"/>
      <c r="P33" s="678"/>
    </row>
    <row r="35" spans="3:16" ht="19.899999999999999" customHeight="1" x14ac:dyDescent="0.25"/>
  </sheetData>
  <sheetProtection algorithmName="SHA-512" hashValue="oj+9uhFAd8FRTlegNW8AspnlY6UTaviACU4mB76wsHBznsEN5EDrhPkXYT4/tijUYgS301p/aFbk0brYCs80wQ==" saltValue="W5Rew6HQWAHEwNfswF6NXQ==" spinCount="100000" sheet="1" objects="1" scenarios="1" selectLockedCells="1"/>
  <mergeCells count="12">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16" priority="13">
      <formula>$A23&gt;$W$2</formula>
    </cfRule>
  </conditionalFormatting>
  <conditionalFormatting sqref="E23:O32">
    <cfRule type="expression" dxfId="115" priority="9">
      <formula>$D23=$W$2</formula>
    </cfRule>
  </conditionalFormatting>
  <conditionalFormatting sqref="E21:O21 F22:L22">
    <cfRule type="expression" dxfId="114" priority="10">
      <formula>$W$2=0</formula>
    </cfRule>
  </conditionalFormatting>
  <conditionalFormatting sqref="F14:G14">
    <cfRule type="expression" dxfId="113" priority="6">
      <formula>$F$14&lt;NOW()</formula>
    </cfRule>
    <cfRule type="expression" dxfId="112" priority="7">
      <formula>$Q$14&lt;&gt;7</formula>
    </cfRule>
  </conditionalFormatting>
  <conditionalFormatting sqref="E22">
    <cfRule type="expression" dxfId="111" priority="5">
      <formula>$W$2=0</formula>
    </cfRule>
  </conditionalFormatting>
  <conditionalFormatting sqref="M22">
    <cfRule type="expression" dxfId="110" priority="4">
      <formula>$W$2=0</formula>
    </cfRule>
  </conditionalFormatting>
  <conditionalFormatting sqref="N22:O22">
    <cfRule type="expression" dxfId="109" priority="3">
      <formula>$W$2=0</formula>
    </cfRule>
  </conditionalFormatting>
  <conditionalFormatting sqref="M23:M32">
    <cfRule type="expression" dxfId="108" priority="2">
      <formula>$A23&gt;$W$2</formula>
    </cfRule>
  </conditionalFormatting>
  <conditionalFormatting sqref="M23:M32">
    <cfRule type="expression" dxfId="107" priority="1">
      <formula>$D23=$W$2</formula>
    </cfRule>
  </conditionalFormatting>
  <conditionalFormatting sqref="F23:J32 M23:O32">
    <cfRule type="containsBlanks" dxfId="106" priority="14" stopIfTrue="1">
      <formula>LEN(TRIM(F23))=0</formula>
    </cfRule>
    <cfRule type="notContainsBlanks" dxfId="105"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B10" sqref="B10"/>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5" width="9.140625" hidden="1" customWidth="1"/>
    <col min="16" max="16" width="0" hidden="1" customWidth="1"/>
    <col min="17" max="17" width="9.140625" hidden="1" customWidth="1"/>
    <col min="18" max="18" width="0" hidden="1" customWidth="1"/>
  </cols>
  <sheetData>
    <row r="1" spans="1:19" ht="15.75" thickBot="1" x14ac:dyDescent="0.3">
      <c r="A1" s="717"/>
      <c r="B1" s="1051"/>
      <c r="C1" s="1051"/>
      <c r="D1" s="1051"/>
      <c r="E1" s="1051"/>
      <c r="F1" s="1051"/>
      <c r="G1" s="1051"/>
      <c r="H1" s="1051"/>
      <c r="I1" s="1051"/>
      <c r="J1" s="1051"/>
      <c r="K1" s="1051"/>
      <c r="L1" s="1051"/>
      <c r="M1" s="1051"/>
      <c r="N1" s="1051"/>
      <c r="O1" s="1051"/>
      <c r="P1" s="1051"/>
      <c r="Q1" s="1051"/>
      <c r="R1" s="1051"/>
      <c r="S1" s="1043"/>
    </row>
    <row r="2" spans="1:19" ht="15.75" thickBot="1" x14ac:dyDescent="0.3">
      <c r="A2" s="1051"/>
      <c r="B2" s="1301" t="s">
        <v>1352</v>
      </c>
      <c r="C2" s="1302"/>
      <c r="D2" s="1302"/>
      <c r="E2" s="1302"/>
      <c r="F2" s="1302"/>
      <c r="G2" s="1302"/>
      <c r="H2" s="1302"/>
      <c r="I2" s="1303"/>
      <c r="J2" s="1051"/>
      <c r="K2" s="1051"/>
      <c r="L2" s="1051"/>
      <c r="M2" s="1304" t="s">
        <v>1353</v>
      </c>
      <c r="N2" s="1304"/>
      <c r="O2" s="1304"/>
      <c r="P2" s="1051"/>
      <c r="Q2" s="1051"/>
      <c r="R2" s="1051"/>
      <c r="S2" s="1043"/>
    </row>
    <row r="3" spans="1:19" x14ac:dyDescent="0.25">
      <c r="A3" s="1051"/>
      <c r="B3" s="1052"/>
      <c r="C3" s="1053"/>
      <c r="D3" s="1053"/>
      <c r="E3" s="1053"/>
      <c r="F3" s="1053"/>
      <c r="G3" s="1053"/>
      <c r="H3" s="1053"/>
      <c r="I3" s="1054"/>
      <c r="J3" s="1051"/>
      <c r="K3" s="1051"/>
      <c r="L3" s="1051"/>
      <c r="M3" s="1055" t="s">
        <v>1354</v>
      </c>
      <c r="N3" s="1055">
        <v>500</v>
      </c>
      <c r="O3" s="1055">
        <v>25</v>
      </c>
      <c r="P3" s="1051"/>
      <c r="Q3" s="1051" t="s">
        <v>1354</v>
      </c>
      <c r="R3" s="1051"/>
      <c r="S3" s="1043"/>
    </row>
    <row r="4" spans="1:19" ht="25.5" x14ac:dyDescent="0.25">
      <c r="A4" s="1051"/>
      <c r="B4" s="1056" t="s">
        <v>381</v>
      </c>
      <c r="C4" s="1057" t="s">
        <v>1355</v>
      </c>
      <c r="D4" s="1057" t="s">
        <v>1356</v>
      </c>
      <c r="E4" s="1057" t="s">
        <v>1357</v>
      </c>
      <c r="F4" s="1057" t="s">
        <v>1358</v>
      </c>
      <c r="G4" s="1058" t="s">
        <v>1359</v>
      </c>
      <c r="H4" s="1058" t="s">
        <v>1360</v>
      </c>
      <c r="I4" s="1059" t="s">
        <v>1361</v>
      </c>
      <c r="J4" s="1051"/>
      <c r="K4" s="1051"/>
      <c r="L4" s="1051"/>
      <c r="M4" s="1055" t="s">
        <v>1362</v>
      </c>
      <c r="N4" s="1055">
        <v>500</v>
      </c>
      <c r="O4" s="1055">
        <v>35</v>
      </c>
      <c r="P4" s="1051"/>
      <c r="Q4" s="1051" t="s">
        <v>1362</v>
      </c>
      <c r="R4" s="1051"/>
      <c r="S4" s="1043"/>
    </row>
    <row r="5" spans="1:19" ht="15.75" thickBot="1" x14ac:dyDescent="0.3">
      <c r="A5" s="1051"/>
      <c r="B5" s="1060">
        <f>'Existing Customers'!$AB$2</f>
        <v>0</v>
      </c>
      <c r="C5" s="1045" t="s">
        <v>670</v>
      </c>
      <c r="D5" s="1045" t="s">
        <v>1363</v>
      </c>
      <c r="E5" s="1045" t="s">
        <v>672</v>
      </c>
      <c r="F5" s="1045" t="s">
        <v>670</v>
      </c>
      <c r="G5" s="1061" t="str">
        <f>IFERROR('PIM Model'!H31/('PIM Model'!E6*52*Welcome!D16),"")</f>
        <v/>
      </c>
      <c r="H5" s="1061" t="str">
        <f>IFERROR('PIM Model'!G31/('PIM Model'!E6*52*Welcome!D16),"")</f>
        <v/>
      </c>
      <c r="I5" s="1062" t="str">
        <f>IFERROR('PIM Model'!G31/'PIM Model'!H31,"")</f>
        <v/>
      </c>
      <c r="J5" s="1051"/>
      <c r="K5" s="1051"/>
      <c r="L5" s="1051"/>
      <c r="M5" s="1055" t="s">
        <v>1364</v>
      </c>
      <c r="N5" s="1055">
        <v>500</v>
      </c>
      <c r="O5" s="1055">
        <v>50</v>
      </c>
      <c r="P5" s="1051"/>
      <c r="Q5" s="1051" t="s">
        <v>1364</v>
      </c>
      <c r="R5" s="1051"/>
      <c r="S5" s="1043"/>
    </row>
    <row r="6" spans="1:19" ht="15.75" thickBot="1" x14ac:dyDescent="0.3">
      <c r="A6" s="1051"/>
      <c r="B6" s="1051"/>
      <c r="C6" s="1051"/>
      <c r="D6" s="1051"/>
      <c r="E6" s="1051"/>
      <c r="F6" s="1051"/>
      <c r="G6" s="1051"/>
      <c r="H6" s="1051"/>
      <c r="I6" s="1051"/>
      <c r="J6" s="1051"/>
      <c r="K6" s="1051"/>
      <c r="L6" s="1051"/>
      <c r="M6" s="1055"/>
      <c r="N6" s="1055"/>
      <c r="O6" s="1055"/>
      <c r="P6" s="1051"/>
      <c r="Q6" s="1051" t="s">
        <v>1365</v>
      </c>
      <c r="R6" s="1051"/>
      <c r="S6" s="1043"/>
    </row>
    <row r="7" spans="1:19" ht="15.75" thickBot="1" x14ac:dyDescent="0.3">
      <c r="A7" s="1051"/>
      <c r="B7" s="1301" t="s">
        <v>1366</v>
      </c>
      <c r="C7" s="1302"/>
      <c r="D7" s="1302"/>
      <c r="E7" s="1302"/>
      <c r="F7" s="1302"/>
      <c r="G7" s="1302"/>
      <c r="H7" s="1302"/>
      <c r="I7" s="1303"/>
      <c r="J7" s="1051"/>
      <c r="K7" s="1051"/>
      <c r="L7" s="1051"/>
      <c r="M7" s="1055" t="s">
        <v>1365</v>
      </c>
      <c r="N7" s="1055">
        <v>600</v>
      </c>
      <c r="O7" s="1055">
        <v>35</v>
      </c>
      <c r="P7" s="1051"/>
      <c r="Q7" s="1051" t="s">
        <v>1367</v>
      </c>
      <c r="R7" s="1051"/>
      <c r="S7" s="1043"/>
    </row>
    <row r="8" spans="1:19" x14ac:dyDescent="0.25">
      <c r="A8" s="1051"/>
      <c r="B8" s="1063"/>
      <c r="C8" s="1064"/>
      <c r="D8" s="1064"/>
      <c r="E8" s="1064"/>
      <c r="F8" s="1064"/>
      <c r="G8" s="1064"/>
      <c r="H8" s="1064"/>
      <c r="I8" s="1065"/>
      <c r="J8" s="1051"/>
      <c r="K8" s="1051"/>
      <c r="L8" s="1051"/>
      <c r="M8" s="1055" t="s">
        <v>1367</v>
      </c>
      <c r="N8" s="1055">
        <v>600</v>
      </c>
      <c r="O8" s="1055">
        <v>50</v>
      </c>
      <c r="P8" s="1051"/>
      <c r="Q8" s="1051" t="s">
        <v>1368</v>
      </c>
      <c r="R8" s="1051"/>
      <c r="S8" s="1043"/>
    </row>
    <row r="9" spans="1:19" ht="65.25" customHeight="1" x14ac:dyDescent="0.25">
      <c r="A9" s="1051"/>
      <c r="B9" s="1066" t="s">
        <v>1369</v>
      </c>
      <c r="C9" s="1057" t="s">
        <v>1370</v>
      </c>
      <c r="D9" s="1057" t="s">
        <v>1371</v>
      </c>
      <c r="E9" s="1057" t="s">
        <v>1372</v>
      </c>
      <c r="F9" s="1057" t="s">
        <v>1373</v>
      </c>
      <c r="G9" s="1057" t="s">
        <v>1374</v>
      </c>
      <c r="H9" s="1057" t="s">
        <v>1375</v>
      </c>
      <c r="I9" s="1067" t="s">
        <v>1376</v>
      </c>
      <c r="J9" s="1051"/>
      <c r="K9" s="1051"/>
      <c r="L9" s="1051"/>
      <c r="M9" s="1055" t="s">
        <v>1368</v>
      </c>
      <c r="N9" s="1055">
        <v>750</v>
      </c>
      <c r="O9" s="1055">
        <v>35</v>
      </c>
      <c r="P9" s="1051"/>
      <c r="Q9" s="1051" t="s">
        <v>1368</v>
      </c>
      <c r="R9" s="1051"/>
      <c r="S9" s="1043"/>
    </row>
    <row r="10" spans="1:19" x14ac:dyDescent="0.25">
      <c r="A10" s="1051"/>
      <c r="B10" s="1075">
        <v>85</v>
      </c>
      <c r="C10" s="1076">
        <v>500</v>
      </c>
      <c r="D10" s="1077" t="s">
        <v>1362</v>
      </c>
      <c r="E10" s="1068">
        <f>VLOOKUP($D$10,$M$3:$O$17,2,FALSE)</f>
        <v>500</v>
      </c>
      <c r="F10" s="1068">
        <f>VLOOKUP($D$10,$M$3:$O$17,3,FALSE)</f>
        <v>35</v>
      </c>
      <c r="G10" s="1077"/>
      <c r="H10" s="1077" t="s">
        <v>670</v>
      </c>
      <c r="I10" s="1078" t="s">
        <v>1377</v>
      </c>
      <c r="J10" s="1051"/>
      <c r="K10" s="1051"/>
      <c r="L10" s="1051"/>
      <c r="M10" s="1055" t="s">
        <v>1378</v>
      </c>
      <c r="N10" s="1055">
        <v>750</v>
      </c>
      <c r="O10" s="1055">
        <v>50</v>
      </c>
      <c r="P10" s="1051"/>
      <c r="Q10" s="1051" t="s">
        <v>1379</v>
      </c>
      <c r="R10" s="1051"/>
      <c r="S10" s="1043"/>
    </row>
    <row r="11" spans="1:19" x14ac:dyDescent="0.25">
      <c r="A11" s="1051"/>
      <c r="B11" s="1069"/>
      <c r="C11" s="1053"/>
      <c r="D11" s="1053"/>
      <c r="E11" s="1070"/>
      <c r="F11" s="1070"/>
      <c r="G11" s="1053"/>
      <c r="H11" s="1070"/>
      <c r="I11" s="1054"/>
      <c r="J11" s="1051"/>
      <c r="K11" s="1051"/>
      <c r="L11" s="1051"/>
      <c r="M11" s="1055"/>
      <c r="N11" s="1055"/>
      <c r="O11" s="1055"/>
      <c r="P11" s="1051"/>
      <c r="Q11" s="1051" t="s">
        <v>1380</v>
      </c>
      <c r="R11" s="1051"/>
      <c r="S11" s="1043"/>
    </row>
    <row r="12" spans="1:19" ht="48.75" customHeight="1" x14ac:dyDescent="0.25">
      <c r="A12" s="1051"/>
      <c r="B12" s="1066" t="s">
        <v>1381</v>
      </c>
      <c r="C12" s="1057" t="s">
        <v>1382</v>
      </c>
      <c r="D12" s="1057" t="s">
        <v>1383</v>
      </c>
      <c r="E12" s="1057" t="s">
        <v>1384</v>
      </c>
      <c r="F12" s="1057" t="s">
        <v>1385</v>
      </c>
      <c r="G12" s="1057" t="s">
        <v>1386</v>
      </c>
      <c r="H12" s="1057" t="s">
        <v>1387</v>
      </c>
      <c r="I12" s="1067" t="s">
        <v>1388</v>
      </c>
      <c r="J12" s="1051"/>
      <c r="K12" s="1051"/>
      <c r="L12" s="1051"/>
      <c r="M12" s="1055" t="s">
        <v>1379</v>
      </c>
      <c r="N12" s="1055">
        <v>1000</v>
      </c>
      <c r="O12" s="1055">
        <v>35</v>
      </c>
      <c r="P12" s="1051"/>
      <c r="Q12" s="1051" t="s">
        <v>1389</v>
      </c>
      <c r="R12" s="1051"/>
      <c r="S12" s="1043"/>
    </row>
    <row r="13" spans="1:19" ht="51" customHeight="1" thickBot="1" x14ac:dyDescent="0.3">
      <c r="A13" s="1051"/>
      <c r="B13" s="1060" t="s">
        <v>670</v>
      </c>
      <c r="C13" s="1046">
        <v>30</v>
      </c>
      <c r="D13" s="1045" t="s">
        <v>490</v>
      </c>
      <c r="E13" s="1071" t="s">
        <v>670</v>
      </c>
      <c r="F13" s="1046">
        <v>2.25</v>
      </c>
      <c r="G13" s="1046">
        <v>30</v>
      </c>
      <c r="H13" s="1045" t="s">
        <v>490</v>
      </c>
      <c r="I13" s="1079" t="s">
        <v>1390</v>
      </c>
      <c r="J13" s="1051"/>
      <c r="K13" s="1051"/>
      <c r="L13" s="1051"/>
      <c r="M13" s="1055" t="s">
        <v>1380</v>
      </c>
      <c r="N13" s="1055">
        <v>1000</v>
      </c>
      <c r="O13" s="1055">
        <v>50</v>
      </c>
      <c r="P13" s="1051"/>
      <c r="Q13" s="1051" t="s">
        <v>1391</v>
      </c>
      <c r="R13" s="1051"/>
      <c r="S13" s="1043"/>
    </row>
    <row r="14" spans="1:19" ht="15.75" thickBot="1" x14ac:dyDescent="0.3">
      <c r="A14" s="1051"/>
      <c r="B14" s="1051"/>
      <c r="C14" s="1051"/>
      <c r="D14" s="1051"/>
      <c r="E14" s="1051"/>
      <c r="F14" s="1051"/>
      <c r="G14" s="1051"/>
      <c r="H14" s="1051"/>
      <c r="I14" s="1051"/>
      <c r="J14" s="1051"/>
      <c r="K14" s="1051"/>
      <c r="L14" s="1051"/>
      <c r="M14" s="1055"/>
      <c r="N14" s="1055"/>
      <c r="O14" s="1055"/>
      <c r="P14" s="1051"/>
      <c r="Q14" s="1051" t="s">
        <v>1392</v>
      </c>
      <c r="R14" s="1051"/>
      <c r="S14" s="1043"/>
    </row>
    <row r="15" spans="1:19" ht="15.75" thickBot="1" x14ac:dyDescent="0.3">
      <c r="A15" s="1051"/>
      <c r="B15" s="1305" t="s">
        <v>1393</v>
      </c>
      <c r="C15" s="1306"/>
      <c r="D15" s="1306"/>
      <c r="E15" s="1306"/>
      <c r="F15" s="1306"/>
      <c r="G15" s="1307"/>
      <c r="H15" s="1051"/>
      <c r="I15" s="1051"/>
      <c r="J15" s="1051"/>
      <c r="K15" s="1051"/>
      <c r="L15" s="1051"/>
      <c r="M15" s="1055" t="s">
        <v>1394</v>
      </c>
      <c r="N15" s="1055">
        <v>1500</v>
      </c>
      <c r="O15" s="1055">
        <v>35</v>
      </c>
      <c r="P15" s="1051"/>
      <c r="Q15" s="1051"/>
      <c r="R15" s="1051"/>
      <c r="S15" s="1043"/>
    </row>
    <row r="16" spans="1:19" x14ac:dyDescent="0.25">
      <c r="A16" s="1051"/>
      <c r="B16" s="1052"/>
      <c r="C16" s="1053"/>
      <c r="D16" s="1053"/>
      <c r="E16" s="1053"/>
      <c r="F16" s="1053"/>
      <c r="G16" s="1054"/>
      <c r="H16" s="1051"/>
      <c r="I16" s="1051"/>
      <c r="J16" s="1051"/>
      <c r="K16" s="1051"/>
      <c r="L16" s="1051"/>
      <c r="M16" s="1055" t="s">
        <v>1391</v>
      </c>
      <c r="N16" s="1055">
        <v>1500</v>
      </c>
      <c r="O16" s="1055">
        <v>50</v>
      </c>
      <c r="P16" s="1051"/>
      <c r="Q16" s="1051"/>
      <c r="R16" s="1051"/>
      <c r="S16" s="1043"/>
    </row>
    <row r="17" spans="1:19" ht="51" customHeight="1" x14ac:dyDescent="0.25">
      <c r="A17" s="1051"/>
      <c r="B17" s="1072" t="s">
        <v>1399</v>
      </c>
      <c r="C17" s="1073" t="s">
        <v>1395</v>
      </c>
      <c r="D17" s="1073" t="s">
        <v>1396</v>
      </c>
      <c r="E17" s="1073" t="s">
        <v>1400</v>
      </c>
      <c r="F17" s="1074" t="s">
        <v>1397</v>
      </c>
      <c r="G17" s="1059" t="s">
        <v>1401</v>
      </c>
      <c r="H17" s="1051"/>
      <c r="I17" s="1051"/>
      <c r="J17" s="1051"/>
      <c r="K17" s="1051"/>
      <c r="L17" s="1051"/>
      <c r="M17" s="1055" t="s">
        <v>1392</v>
      </c>
      <c r="N17" s="1055">
        <v>5000</v>
      </c>
      <c r="O17" s="1055">
        <v>100</v>
      </c>
      <c r="P17" s="1051"/>
      <c r="Q17" s="1051"/>
      <c r="R17" s="1051"/>
      <c r="S17" s="1043"/>
    </row>
    <row r="18" spans="1:19" ht="19.5" customHeight="1" thickBot="1" x14ac:dyDescent="0.3">
      <c r="A18" s="1051"/>
      <c r="B18" s="1048">
        <v>13</v>
      </c>
      <c r="C18" s="1047" t="s">
        <v>686</v>
      </c>
      <c r="D18" s="1049">
        <v>25</v>
      </c>
      <c r="E18" s="1047" t="s">
        <v>1398</v>
      </c>
      <c r="F18" s="1050">
        <v>2</v>
      </c>
      <c r="G18" s="1082" t="str">
        <f>IF('Pricing Schedule'!E5="PB","before","after")</f>
        <v>before</v>
      </c>
      <c r="H18" s="1051"/>
      <c r="I18" s="1051"/>
      <c r="J18" s="1051"/>
      <c r="K18" s="1051"/>
      <c r="L18" s="1051"/>
      <c r="M18" s="1051"/>
      <c r="N18" s="1051"/>
      <c r="O18" s="1051"/>
      <c r="P18" s="1051"/>
      <c r="Q18" s="1051"/>
      <c r="R18" s="1051"/>
      <c r="S18" s="1043"/>
    </row>
    <row r="19" spans="1:19" x14ac:dyDescent="0.25">
      <c r="A19" s="1051"/>
      <c r="B19" s="1053"/>
      <c r="C19" s="1053"/>
      <c r="D19" s="1053"/>
      <c r="E19" s="1053"/>
      <c r="F19" s="1053"/>
      <c r="G19" s="1053"/>
      <c r="H19" s="1051"/>
      <c r="I19" s="1051"/>
      <c r="J19" s="1051"/>
      <c r="K19" s="1051"/>
      <c r="L19" s="1051"/>
      <c r="M19" s="1051"/>
      <c r="N19" s="1051"/>
      <c r="O19" s="1051"/>
      <c r="P19" s="1051"/>
      <c r="Q19" s="1051"/>
      <c r="R19" s="1051"/>
      <c r="S19" s="1043"/>
    </row>
    <row r="20" spans="1:19" x14ac:dyDescent="0.25">
      <c r="A20" s="1051"/>
      <c r="B20" s="1051"/>
      <c r="C20" s="1051"/>
      <c r="D20" s="1051"/>
      <c r="E20" s="1051"/>
      <c r="F20" s="1051"/>
      <c r="G20" s="1051"/>
      <c r="H20" s="1051"/>
      <c r="I20" s="1051"/>
      <c r="J20" s="1051"/>
      <c r="K20" s="1051"/>
      <c r="L20" s="1051"/>
      <c r="M20" s="1051"/>
      <c r="N20" s="1051"/>
      <c r="O20" s="1051"/>
      <c r="P20" s="1051"/>
      <c r="Q20" s="1051"/>
      <c r="R20" s="1051"/>
      <c r="S20" s="1043"/>
    </row>
    <row r="21" spans="1:19" x14ac:dyDescent="0.25">
      <c r="A21" s="1051"/>
      <c r="B21" s="1051"/>
      <c r="C21" s="1051"/>
      <c r="D21" s="1051"/>
      <c r="E21" s="1051"/>
      <c r="F21" s="1051"/>
      <c r="G21" s="1051"/>
      <c r="H21" s="1051"/>
      <c r="I21" s="1051"/>
      <c r="J21" s="1051"/>
      <c r="K21" s="1051"/>
      <c r="L21" s="1051"/>
      <c r="M21" s="1051"/>
      <c r="N21" s="1051"/>
      <c r="O21" s="1051"/>
      <c r="P21" s="1051"/>
      <c r="Q21" s="1051"/>
      <c r="R21" s="1051"/>
      <c r="S21" s="1043"/>
    </row>
    <row r="22" spans="1:19" x14ac:dyDescent="0.25">
      <c r="A22" s="1043"/>
      <c r="B22" s="1043"/>
      <c r="C22" s="1043"/>
      <c r="D22" s="1043"/>
      <c r="E22" s="1043"/>
      <c r="F22" s="1043"/>
      <c r="G22" s="1043"/>
      <c r="H22" s="1043"/>
      <c r="I22" s="1043"/>
      <c r="J22" s="1043"/>
      <c r="K22" s="1043"/>
      <c r="L22" s="1043"/>
      <c r="M22" s="1043"/>
      <c r="N22" s="1043"/>
      <c r="O22" s="1043"/>
      <c r="P22" s="1043"/>
      <c r="Q22" s="1043"/>
      <c r="R22" s="1043"/>
      <c r="S22" s="1043"/>
    </row>
    <row r="23" spans="1:19" x14ac:dyDescent="0.25">
      <c r="A23" s="1043"/>
      <c r="B23" s="1043"/>
      <c r="C23" s="1043"/>
      <c r="D23" s="1043"/>
      <c r="E23" s="1043"/>
      <c r="F23" s="1043"/>
      <c r="G23" s="1043"/>
      <c r="H23" s="1043"/>
      <c r="I23" s="1043"/>
      <c r="J23" s="1043"/>
      <c r="K23" s="1043"/>
      <c r="L23" s="1043"/>
      <c r="M23" s="1043"/>
      <c r="N23" s="1043"/>
      <c r="O23" s="1043"/>
      <c r="P23" s="1043"/>
      <c r="Q23" s="1043"/>
      <c r="R23" s="1043"/>
      <c r="S23" s="1043"/>
    </row>
    <row r="24" spans="1:19" x14ac:dyDescent="0.25">
      <c r="A24" s="1043"/>
      <c r="B24" s="1043"/>
      <c r="C24" s="1043"/>
      <c r="D24" s="1043"/>
      <c r="E24" s="1043"/>
      <c r="F24" s="1043"/>
      <c r="G24" s="1043"/>
      <c r="H24" s="1043"/>
      <c r="I24" s="1043"/>
      <c r="J24" s="1043"/>
      <c r="K24" s="1043"/>
      <c r="L24" s="1043"/>
      <c r="M24" s="1043"/>
      <c r="N24" s="1043"/>
      <c r="O24" s="1043"/>
      <c r="P24" s="1043"/>
      <c r="Q24" s="1043"/>
      <c r="R24" s="1043"/>
      <c r="S24" s="1043"/>
    </row>
    <row r="25" spans="1:19" x14ac:dyDescent="0.25">
      <c r="A25" s="1043"/>
      <c r="B25" s="1043"/>
      <c r="C25" s="1043"/>
      <c r="D25" s="1043"/>
      <c r="E25" s="1043"/>
      <c r="F25" s="1043"/>
      <c r="G25" s="1043"/>
      <c r="H25" s="1043"/>
      <c r="I25" s="1043"/>
      <c r="J25" s="1043"/>
      <c r="K25" s="1043"/>
      <c r="L25" s="1043"/>
      <c r="M25" s="1043"/>
      <c r="N25" s="1043"/>
      <c r="O25" s="1043"/>
      <c r="P25" s="1043"/>
      <c r="Q25" s="1043"/>
      <c r="R25" s="1043"/>
      <c r="S25" s="1043"/>
    </row>
    <row r="26" spans="1:19" x14ac:dyDescent="0.25">
      <c r="A26" s="1043"/>
      <c r="B26" s="1043"/>
      <c r="C26" s="1043"/>
      <c r="D26" s="1043"/>
      <c r="E26" s="1043"/>
      <c r="F26" s="1043"/>
      <c r="G26" s="1043"/>
      <c r="H26" s="1043"/>
      <c r="I26" s="1043"/>
      <c r="J26" s="1043"/>
      <c r="K26" s="1043"/>
      <c r="L26" s="1043"/>
      <c r="M26" s="1043"/>
      <c r="N26" s="1043"/>
      <c r="O26" s="1043"/>
      <c r="P26" s="1043"/>
      <c r="Q26" s="1043"/>
      <c r="R26" s="1043"/>
      <c r="S26" s="1043"/>
    </row>
    <row r="27" spans="1:19" x14ac:dyDescent="0.25">
      <c r="A27" s="1043"/>
      <c r="B27" s="1043"/>
      <c r="C27" s="1043"/>
      <c r="D27" s="1043"/>
      <c r="E27" s="1043"/>
      <c r="F27" s="1043"/>
      <c r="G27" s="1043"/>
      <c r="H27" s="1043"/>
      <c r="I27" s="1043"/>
      <c r="J27" s="1043"/>
      <c r="K27" s="1043"/>
      <c r="L27" s="1043"/>
      <c r="M27" s="1043"/>
      <c r="N27" s="1043"/>
      <c r="O27" s="1043"/>
      <c r="P27" s="1043"/>
      <c r="Q27" s="1043"/>
      <c r="R27" s="1043"/>
      <c r="S27" s="1043"/>
    </row>
    <row r="28" spans="1:19" x14ac:dyDescent="0.25">
      <c r="A28" s="1043"/>
      <c r="B28" s="1043"/>
      <c r="C28" s="1043"/>
      <c r="D28" s="1043"/>
      <c r="E28" s="1043"/>
      <c r="F28" s="1043"/>
      <c r="G28" s="1043"/>
      <c r="H28" s="1043"/>
      <c r="I28" s="1043"/>
      <c r="J28" s="1043"/>
      <c r="K28" s="1043"/>
      <c r="L28" s="1043"/>
      <c r="M28" s="1043"/>
      <c r="N28" s="1043"/>
      <c r="O28" s="1043"/>
      <c r="P28" s="1043"/>
      <c r="Q28" s="1043"/>
      <c r="R28" s="1043"/>
      <c r="S28" s="1043"/>
    </row>
    <row r="29" spans="1:19" x14ac:dyDescent="0.25">
      <c r="A29" s="1043"/>
      <c r="B29" s="1043"/>
      <c r="C29" s="1043"/>
      <c r="D29" s="1043"/>
      <c r="E29" s="1043"/>
      <c r="F29" s="1043"/>
      <c r="G29" s="1043"/>
      <c r="H29" s="1043"/>
      <c r="I29" s="1043"/>
      <c r="J29" s="1043"/>
      <c r="K29" s="1043"/>
      <c r="L29" s="1043"/>
      <c r="M29" s="1043"/>
      <c r="N29" s="1043"/>
      <c r="O29" s="1043"/>
      <c r="P29" s="1043"/>
      <c r="Q29" s="1043"/>
      <c r="R29" s="1043"/>
      <c r="S29" s="1043"/>
    </row>
    <row r="30" spans="1:19" x14ac:dyDescent="0.25">
      <c r="A30" s="1043"/>
      <c r="B30" s="1043"/>
      <c r="C30" s="1043"/>
      <c r="D30" s="1043"/>
      <c r="E30" s="1043"/>
      <c r="F30" s="1043"/>
      <c r="G30" s="1043"/>
      <c r="H30" s="1043"/>
      <c r="I30" s="1043"/>
      <c r="J30" s="1043"/>
      <c r="K30" s="1043"/>
      <c r="L30" s="1043"/>
      <c r="M30" s="1043"/>
      <c r="N30" s="1043"/>
      <c r="O30" s="1043"/>
      <c r="P30" s="1043"/>
      <c r="Q30" s="1043"/>
      <c r="R30" s="1043"/>
      <c r="S30" s="1043"/>
    </row>
    <row r="31" spans="1:19" x14ac:dyDescent="0.25">
      <c r="A31" s="1043"/>
      <c r="B31" s="1043"/>
      <c r="C31" s="1043"/>
      <c r="D31" s="1043"/>
      <c r="E31" s="1043"/>
      <c r="F31" s="1043"/>
      <c r="G31" s="1043"/>
      <c r="H31" s="1043"/>
      <c r="I31" s="1043"/>
      <c r="J31" s="1043"/>
      <c r="K31" s="1043"/>
      <c r="L31" s="1043"/>
      <c r="M31" s="1043"/>
      <c r="N31" s="1043"/>
      <c r="O31" s="1043"/>
      <c r="P31" s="1043"/>
      <c r="Q31" s="1043"/>
      <c r="R31" s="1043"/>
      <c r="S31" s="1043"/>
    </row>
    <row r="32" spans="1:19" x14ac:dyDescent="0.25">
      <c r="A32" s="1043"/>
      <c r="B32" s="1043"/>
      <c r="C32" s="1043"/>
      <c r="D32" s="1043"/>
      <c r="E32" s="1043"/>
      <c r="F32" s="1043"/>
      <c r="G32" s="1043"/>
      <c r="H32" s="1043"/>
      <c r="I32" s="1043"/>
      <c r="J32" s="1043"/>
      <c r="K32" s="1043"/>
      <c r="L32" s="1043"/>
      <c r="M32" s="1043"/>
      <c r="N32" s="1043"/>
      <c r="O32" s="1043"/>
      <c r="P32" s="1043"/>
      <c r="Q32" s="1043"/>
      <c r="R32" s="1043"/>
      <c r="S32" s="1043"/>
    </row>
    <row r="33" spans="1:19" x14ac:dyDescent="0.25">
      <c r="A33" s="1043"/>
      <c r="B33" s="1043"/>
      <c r="C33" s="1043"/>
      <c r="D33" s="1043"/>
      <c r="E33" s="1043"/>
      <c r="F33" s="1043"/>
      <c r="G33" s="1043"/>
      <c r="H33" s="1043"/>
      <c r="I33" s="1043"/>
      <c r="J33" s="1043"/>
      <c r="K33" s="1043"/>
      <c r="L33" s="1043"/>
      <c r="M33" s="1043"/>
      <c r="N33" s="1043"/>
      <c r="O33" s="1043"/>
      <c r="P33" s="1043"/>
      <c r="Q33" s="1043"/>
      <c r="R33" s="1043"/>
      <c r="S33" s="1043"/>
    </row>
    <row r="34" spans="1:19" x14ac:dyDescent="0.25">
      <c r="A34" s="1043"/>
      <c r="B34" s="1043"/>
      <c r="C34" s="1043"/>
      <c r="D34" s="1043"/>
      <c r="E34" s="1043"/>
      <c r="F34" s="1043"/>
      <c r="G34" s="1043"/>
      <c r="H34" s="1043"/>
      <c r="I34" s="1043"/>
      <c r="J34" s="1043"/>
      <c r="K34" s="1043"/>
      <c r="L34" s="1043"/>
      <c r="M34" s="1043"/>
      <c r="N34" s="1043"/>
      <c r="O34" s="1043"/>
      <c r="P34" s="1043"/>
      <c r="Q34" s="1043"/>
      <c r="R34" s="1043"/>
      <c r="S34" s="1043"/>
    </row>
    <row r="35" spans="1:19" x14ac:dyDescent="0.25">
      <c r="A35" s="1043"/>
      <c r="B35" s="1043"/>
      <c r="C35" s="1043"/>
      <c r="D35" s="1043"/>
      <c r="E35" s="1043"/>
      <c r="F35" s="1043"/>
      <c r="G35" s="1043"/>
      <c r="H35" s="1043"/>
      <c r="I35" s="1043"/>
      <c r="J35" s="1043"/>
      <c r="K35" s="1043"/>
      <c r="L35" s="1043"/>
      <c r="M35" s="1043"/>
      <c r="N35" s="1043"/>
      <c r="O35" s="1043"/>
      <c r="P35" s="1043"/>
      <c r="Q35" s="1043"/>
      <c r="R35" s="1043"/>
      <c r="S35" s="1043"/>
    </row>
    <row r="36" spans="1:19" x14ac:dyDescent="0.25">
      <c r="A36" s="1043"/>
      <c r="B36" s="1043"/>
      <c r="C36" s="1043"/>
      <c r="D36" s="1043"/>
      <c r="E36" s="1043"/>
      <c r="F36" s="1043"/>
      <c r="G36" s="1043"/>
      <c r="H36" s="1043"/>
      <c r="I36" s="1043"/>
      <c r="J36" s="1043"/>
      <c r="K36" s="1043"/>
      <c r="L36" s="1043"/>
      <c r="M36" s="1043"/>
      <c r="N36" s="1043"/>
      <c r="O36" s="1043"/>
      <c r="P36" s="1043"/>
      <c r="Q36" s="1043"/>
      <c r="R36" s="1043"/>
      <c r="S36" s="1043"/>
    </row>
  </sheetData>
  <sheetProtection algorithmName="SHA-512" hashValue="NLMc2InAEMsFaSQ1Vwen9aDGxvZbijdaN2ZpYXiAMzechtRycYgeIJTwe+CwIIaO49n+fdzLtjlU/Ekoop4QYg==" saltValue="buOww2HXiwoEOGLop9jkHA==" spinCount="100000" sheet="1" objects="1" scenarios="1" selectLockedCells="1"/>
  <mergeCells count="4">
    <mergeCell ref="B2:I2"/>
    <mergeCell ref="M2:O2"/>
    <mergeCell ref="B7:I7"/>
    <mergeCell ref="B15:G15"/>
  </mergeCells>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B8" sqref="B8:N8"/>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717"/>
      <c r="B1" s="717"/>
      <c r="C1" s="717"/>
      <c r="D1" s="717"/>
      <c r="E1" s="717"/>
      <c r="F1" s="717"/>
      <c r="G1" s="717"/>
      <c r="H1" s="717"/>
      <c r="I1" s="717"/>
      <c r="J1" s="717"/>
      <c r="K1" s="717"/>
      <c r="L1" s="717"/>
      <c r="M1" s="717"/>
      <c r="N1" s="717"/>
      <c r="O1" s="717"/>
    </row>
    <row r="2" spans="1:21" ht="15.75" thickBot="1" x14ac:dyDescent="0.3">
      <c r="A2" s="717"/>
      <c r="B2" s="1308" t="s">
        <v>1421</v>
      </c>
      <c r="C2" s="1309"/>
      <c r="D2" s="1309"/>
      <c r="E2" s="1309"/>
      <c r="F2" s="1309"/>
      <c r="G2" s="1309"/>
      <c r="H2" s="1309"/>
      <c r="I2" s="1309"/>
      <c r="J2" s="1309"/>
      <c r="K2" s="1309"/>
      <c r="L2" s="1309"/>
      <c r="M2" s="1309"/>
      <c r="N2" s="1310"/>
      <c r="O2" s="717"/>
      <c r="U2" s="1147">
        <f>IF(ISNA(U4),0,1)</f>
        <v>0</v>
      </c>
    </row>
    <row r="3" spans="1:21" ht="15.75" thickBot="1" x14ac:dyDescent="0.3">
      <c r="A3" s="717"/>
      <c r="B3" s="1110"/>
      <c r="C3" s="1110"/>
      <c r="D3" s="1110"/>
      <c r="E3" s="1110"/>
      <c r="F3" s="1110"/>
      <c r="G3" s="1110"/>
      <c r="H3" s="1110"/>
      <c r="I3" s="1110"/>
      <c r="J3" s="1110"/>
      <c r="K3" s="1110"/>
      <c r="L3" s="1110"/>
      <c r="M3" s="1110"/>
      <c r="N3" s="1110"/>
      <c r="O3" s="717"/>
      <c r="U3" s="1147">
        <f>IF(ISNA(U5),0,1)</f>
        <v>0</v>
      </c>
    </row>
    <row r="4" spans="1:21" ht="54" customHeight="1" x14ac:dyDescent="0.25">
      <c r="A4" s="717"/>
      <c r="B4" s="1111" t="s">
        <v>1422</v>
      </c>
      <c r="C4" s="1112" t="s">
        <v>1423</v>
      </c>
      <c r="D4" s="1112" t="s">
        <v>1424</v>
      </c>
      <c r="E4" s="1112" t="s">
        <v>1425</v>
      </c>
      <c r="F4" s="1112" t="s">
        <v>1426</v>
      </c>
      <c r="G4" s="1112" t="s">
        <v>1427</v>
      </c>
      <c r="H4" s="1112" t="s">
        <v>1428</v>
      </c>
      <c r="I4" s="1112" t="s">
        <v>1429</v>
      </c>
      <c r="J4" s="1112" t="s">
        <v>1430</v>
      </c>
      <c r="K4" s="1112" t="s">
        <v>1431</v>
      </c>
      <c r="L4" s="1112" t="s">
        <v>1432</v>
      </c>
      <c r="M4" s="1113" t="s">
        <v>1433</v>
      </c>
      <c r="N4" s="1114" t="s">
        <v>1434</v>
      </c>
      <c r="O4" s="717"/>
      <c r="U4" s="1147" t="e">
        <f>MATCH("Yes",K11:K30,0)</f>
        <v>#N/A</v>
      </c>
    </row>
    <row r="5" spans="1:21" ht="15.75" thickBot="1" x14ac:dyDescent="0.3">
      <c r="A5" s="717"/>
      <c r="B5" s="1060">
        <v>1</v>
      </c>
      <c r="C5" s="1045"/>
      <c r="D5" s="1045" t="s">
        <v>686</v>
      </c>
      <c r="E5" s="1045" t="s">
        <v>1435</v>
      </c>
      <c r="F5" s="1045" t="s">
        <v>1436</v>
      </c>
      <c r="G5" s="1045" t="s">
        <v>670</v>
      </c>
      <c r="H5" s="1045" t="s">
        <v>672</v>
      </c>
      <c r="I5" s="1045" t="s">
        <v>672</v>
      </c>
      <c r="J5" s="1045" t="s">
        <v>670</v>
      </c>
      <c r="K5" s="1045" t="s">
        <v>672</v>
      </c>
      <c r="L5" s="1045" t="s">
        <v>672</v>
      </c>
      <c r="M5" s="1116" t="str">
        <f>'Required Info to Submit'!F17</f>
        <v/>
      </c>
      <c r="N5" s="1115" t="s">
        <v>672</v>
      </c>
      <c r="O5" s="717"/>
      <c r="U5" s="1148" t="e">
        <f>MATCH("Yes",I11:I30,0)</f>
        <v>#N/A</v>
      </c>
    </row>
    <row r="6" spans="1:21" x14ac:dyDescent="0.25">
      <c r="A6" s="717"/>
      <c r="B6" s="1110"/>
      <c r="C6" s="1110"/>
      <c r="D6" s="1110"/>
      <c r="E6" s="1110"/>
      <c r="F6" s="1110"/>
      <c r="G6" s="1110"/>
      <c r="H6" s="1110"/>
      <c r="I6" s="1110"/>
      <c r="J6" s="1110"/>
      <c r="K6" s="1110"/>
      <c r="L6" s="1110"/>
      <c r="M6" s="1110"/>
      <c r="N6" s="1110"/>
      <c r="O6" s="717"/>
    </row>
    <row r="7" spans="1:21" ht="15.75" thickBot="1" x14ac:dyDescent="0.3">
      <c r="A7" s="717"/>
      <c r="B7" s="717"/>
      <c r="C7" s="717"/>
      <c r="D7" s="717"/>
      <c r="E7" s="717"/>
      <c r="F7" s="717"/>
      <c r="G7" s="717"/>
      <c r="H7" s="717"/>
      <c r="I7" s="717"/>
      <c r="J7" s="717"/>
      <c r="K7" s="717"/>
      <c r="L7" s="717"/>
      <c r="M7" s="717"/>
      <c r="N7" s="717"/>
      <c r="O7" s="717"/>
    </row>
    <row r="8" spans="1:21" ht="15.75" thickBot="1" x14ac:dyDescent="0.3">
      <c r="A8" s="717"/>
      <c r="B8" s="1311" t="s">
        <v>1437</v>
      </c>
      <c r="C8" s="1309"/>
      <c r="D8" s="1309"/>
      <c r="E8" s="1309"/>
      <c r="F8" s="1309"/>
      <c r="G8" s="1309"/>
      <c r="H8" s="1309"/>
      <c r="I8" s="1309"/>
      <c r="J8" s="1309"/>
      <c r="K8" s="1309"/>
      <c r="L8" s="1309"/>
      <c r="M8" s="1309"/>
      <c r="N8" s="1310"/>
      <c r="O8" s="717"/>
    </row>
    <row r="9" spans="1:21" ht="15.75" thickBot="1" x14ac:dyDescent="0.3">
      <c r="A9" s="717"/>
      <c r="B9" s="1110"/>
      <c r="C9" s="1110"/>
      <c r="D9" s="1110"/>
      <c r="E9" s="1110"/>
      <c r="F9" s="1110"/>
      <c r="G9" s="1110"/>
      <c r="H9" s="1110"/>
      <c r="I9" s="1110"/>
      <c r="J9" s="1110"/>
      <c r="K9" s="1110"/>
      <c r="L9" s="1110"/>
      <c r="M9" s="1110"/>
      <c r="N9" s="1110"/>
      <c r="O9" s="717"/>
    </row>
    <row r="10" spans="1:21" ht="33" customHeight="1" x14ac:dyDescent="0.25">
      <c r="A10" s="717"/>
      <c r="B10" s="1119" t="s">
        <v>1422</v>
      </c>
      <c r="C10" s="1113" t="s">
        <v>1438</v>
      </c>
      <c r="D10" s="1113" t="s">
        <v>1439</v>
      </c>
      <c r="E10" s="1113" t="s">
        <v>1440</v>
      </c>
      <c r="F10" s="1120" t="s">
        <v>1441</v>
      </c>
      <c r="G10" s="1120" t="s">
        <v>1442</v>
      </c>
      <c r="H10" s="1113" t="s">
        <v>1402</v>
      </c>
      <c r="I10" s="1113" t="s">
        <v>1443</v>
      </c>
      <c r="J10" s="1113" t="s">
        <v>1444</v>
      </c>
      <c r="K10" s="1113" t="s">
        <v>1445</v>
      </c>
      <c r="L10" s="1113" t="s">
        <v>1446</v>
      </c>
      <c r="M10" s="1113" t="s">
        <v>1383</v>
      </c>
      <c r="N10" s="1114" t="s">
        <v>1447</v>
      </c>
      <c r="O10" s="717"/>
    </row>
    <row r="11" spans="1:21" x14ac:dyDescent="0.25">
      <c r="A11" s="717"/>
      <c r="B11" s="1121">
        <v>1</v>
      </c>
      <c r="C11" s="1122">
        <v>15</v>
      </c>
      <c r="D11" s="1123"/>
      <c r="E11" s="1077"/>
      <c r="F11" s="1132"/>
      <c r="G11" s="1077"/>
      <c r="H11" s="1123" t="s">
        <v>490</v>
      </c>
      <c r="I11" s="1135" t="s">
        <v>672</v>
      </c>
      <c r="J11" s="1133">
        <v>2.25</v>
      </c>
      <c r="K11" s="1077" t="s">
        <v>672</v>
      </c>
      <c r="L11" s="1133">
        <v>30</v>
      </c>
      <c r="M11" s="1137" t="s">
        <v>490</v>
      </c>
      <c r="N11" s="1139" t="s">
        <v>103</v>
      </c>
      <c r="O11" s="717"/>
      <c r="P11">
        <f>'Agreement Worksheet'!$F$13</f>
        <v>2.25</v>
      </c>
    </row>
    <row r="12" spans="1:21" x14ac:dyDescent="0.25">
      <c r="A12" s="717"/>
      <c r="B12" s="1124">
        <v>1</v>
      </c>
      <c r="C12" s="1122">
        <v>16</v>
      </c>
      <c r="D12" s="1125"/>
      <c r="E12" s="1077"/>
      <c r="F12" s="1129"/>
      <c r="G12" s="1077"/>
      <c r="H12" s="1123" t="s">
        <v>490</v>
      </c>
      <c r="I12" s="1135" t="s">
        <v>672</v>
      </c>
      <c r="J12" s="1133">
        <v>2.25</v>
      </c>
      <c r="K12" s="1077" t="s">
        <v>672</v>
      </c>
      <c r="L12" s="1133">
        <v>30</v>
      </c>
      <c r="M12" s="1137" t="s">
        <v>490</v>
      </c>
      <c r="N12" s="1140" t="s">
        <v>102</v>
      </c>
      <c r="O12" s="717"/>
      <c r="P12" s="1108">
        <f>'Agreement Worksheet'!$C$13</f>
        <v>30</v>
      </c>
    </row>
    <row r="13" spans="1:21" ht="26.25" x14ac:dyDescent="0.25">
      <c r="A13" s="717"/>
      <c r="B13" s="1121">
        <v>1</v>
      </c>
      <c r="C13" s="1122">
        <v>17</v>
      </c>
      <c r="D13" s="1123"/>
      <c r="E13" s="1077"/>
      <c r="F13" s="1129"/>
      <c r="G13" s="1077"/>
      <c r="H13" s="1123" t="s">
        <v>490</v>
      </c>
      <c r="I13" s="1135" t="s">
        <v>672</v>
      </c>
      <c r="J13" s="1133">
        <v>2.25</v>
      </c>
      <c r="K13" s="1077" t="s">
        <v>672</v>
      </c>
      <c r="L13" s="1133">
        <v>30</v>
      </c>
      <c r="M13" s="1137" t="s">
        <v>490</v>
      </c>
      <c r="N13" s="1140" t="s">
        <v>101</v>
      </c>
      <c r="O13" s="717"/>
      <c r="P13" s="1108" t="str">
        <f>'Agreement Worksheet'!$D$13</f>
        <v>%</v>
      </c>
    </row>
    <row r="14" spans="1:21" x14ac:dyDescent="0.25">
      <c r="A14" s="717"/>
      <c r="B14" s="1121">
        <v>1</v>
      </c>
      <c r="C14" s="1122">
        <v>18</v>
      </c>
      <c r="D14" s="1126"/>
      <c r="E14" s="1077"/>
      <c r="F14" s="1129"/>
      <c r="G14" s="1117"/>
      <c r="H14" s="1123" t="s">
        <v>490</v>
      </c>
      <c r="I14" s="1135" t="s">
        <v>672</v>
      </c>
      <c r="J14" s="1133">
        <v>2.25</v>
      </c>
      <c r="K14" s="1077" t="s">
        <v>672</v>
      </c>
      <c r="L14" s="1133">
        <v>30</v>
      </c>
      <c r="M14" s="1137" t="s">
        <v>490</v>
      </c>
      <c r="N14" s="1140" t="s">
        <v>100</v>
      </c>
      <c r="O14" s="717"/>
    </row>
    <row r="15" spans="1:21" ht="26.25" x14ac:dyDescent="0.25">
      <c r="A15" s="717"/>
      <c r="B15" s="1121">
        <v>1</v>
      </c>
      <c r="C15" s="1122">
        <v>19</v>
      </c>
      <c r="D15" s="1126"/>
      <c r="E15" s="1077"/>
      <c r="F15" s="1129"/>
      <c r="G15" s="1117"/>
      <c r="H15" s="1123" t="s">
        <v>490</v>
      </c>
      <c r="I15" s="1135" t="s">
        <v>672</v>
      </c>
      <c r="J15" s="1133">
        <v>2.25</v>
      </c>
      <c r="K15" s="1077" t="s">
        <v>672</v>
      </c>
      <c r="L15" s="1133">
        <v>30</v>
      </c>
      <c r="M15" s="1137" t="s">
        <v>490</v>
      </c>
      <c r="N15" s="1140" t="s">
        <v>104</v>
      </c>
      <c r="O15" s="717"/>
    </row>
    <row r="16" spans="1:21" ht="26.25" x14ac:dyDescent="0.25">
      <c r="A16" s="717"/>
      <c r="B16" s="1121">
        <v>1</v>
      </c>
      <c r="C16" s="1122">
        <v>20</v>
      </c>
      <c r="D16" s="1126"/>
      <c r="E16" s="1077"/>
      <c r="F16" s="1129"/>
      <c r="G16" s="1117"/>
      <c r="H16" s="1123" t="s">
        <v>490</v>
      </c>
      <c r="I16" s="1135" t="s">
        <v>672</v>
      </c>
      <c r="J16" s="1133">
        <v>2.25</v>
      </c>
      <c r="K16" s="1077" t="s">
        <v>672</v>
      </c>
      <c r="L16" s="1133">
        <v>30</v>
      </c>
      <c r="M16" s="1137" t="s">
        <v>490</v>
      </c>
      <c r="N16" s="1140" t="s">
        <v>99</v>
      </c>
      <c r="O16" s="717"/>
    </row>
    <row r="17" spans="1:15" x14ac:dyDescent="0.25">
      <c r="A17" s="717"/>
      <c r="B17" s="1121">
        <v>1</v>
      </c>
      <c r="C17" s="1122">
        <v>21</v>
      </c>
      <c r="D17" s="1126"/>
      <c r="E17" s="1077"/>
      <c r="F17" s="1129"/>
      <c r="G17" s="1117"/>
      <c r="H17" s="1123" t="s">
        <v>490</v>
      </c>
      <c r="I17" s="1135" t="s">
        <v>672</v>
      </c>
      <c r="J17" s="1133">
        <v>2.25</v>
      </c>
      <c r="K17" s="1077" t="s">
        <v>672</v>
      </c>
      <c r="L17" s="1133">
        <v>30</v>
      </c>
      <c r="M17" s="1137" t="s">
        <v>490</v>
      </c>
      <c r="N17" s="1140" t="s">
        <v>98</v>
      </c>
      <c r="O17" s="717"/>
    </row>
    <row r="18" spans="1:15" x14ac:dyDescent="0.25">
      <c r="A18" s="717"/>
      <c r="B18" s="1121">
        <v>1</v>
      </c>
      <c r="C18" s="1122">
        <v>22</v>
      </c>
      <c r="D18" s="1126"/>
      <c r="E18" s="1077"/>
      <c r="F18" s="1129"/>
      <c r="G18" s="1117"/>
      <c r="H18" s="1123" t="s">
        <v>490</v>
      </c>
      <c r="I18" s="1135" t="s">
        <v>672</v>
      </c>
      <c r="J18" s="1133">
        <v>2.25</v>
      </c>
      <c r="K18" s="1077" t="s">
        <v>672</v>
      </c>
      <c r="L18" s="1133">
        <v>30</v>
      </c>
      <c r="M18" s="1137" t="s">
        <v>490</v>
      </c>
      <c r="N18" s="1140" t="s">
        <v>97</v>
      </c>
      <c r="O18" s="717"/>
    </row>
    <row r="19" spans="1:15" x14ac:dyDescent="0.25">
      <c r="A19" s="717"/>
      <c r="B19" s="1121">
        <v>1</v>
      </c>
      <c r="C19" s="1122">
        <v>23</v>
      </c>
      <c r="D19" s="1126"/>
      <c r="E19" s="1077"/>
      <c r="F19" s="1129"/>
      <c r="G19" s="1117"/>
      <c r="H19" s="1123" t="s">
        <v>490</v>
      </c>
      <c r="I19" s="1135" t="s">
        <v>672</v>
      </c>
      <c r="J19" s="1133">
        <v>2.25</v>
      </c>
      <c r="K19" s="1077" t="s">
        <v>672</v>
      </c>
      <c r="L19" s="1133">
        <v>30</v>
      </c>
      <c r="M19" s="1137" t="s">
        <v>490</v>
      </c>
      <c r="N19" s="1140" t="s">
        <v>96</v>
      </c>
      <c r="O19" s="717"/>
    </row>
    <row r="20" spans="1:15" x14ac:dyDescent="0.25">
      <c r="A20" s="717"/>
      <c r="B20" s="1121">
        <v>1</v>
      </c>
      <c r="C20" s="1122">
        <v>24</v>
      </c>
      <c r="D20" s="1126"/>
      <c r="E20" s="1077"/>
      <c r="F20" s="1129"/>
      <c r="G20" s="1117"/>
      <c r="H20" s="1123" t="s">
        <v>490</v>
      </c>
      <c r="I20" s="1135" t="s">
        <v>672</v>
      </c>
      <c r="J20" s="1133">
        <v>2.25</v>
      </c>
      <c r="K20" s="1077" t="s">
        <v>672</v>
      </c>
      <c r="L20" s="1133">
        <v>30</v>
      </c>
      <c r="M20" s="1137" t="s">
        <v>490</v>
      </c>
      <c r="N20" s="1140" t="s">
        <v>95</v>
      </c>
      <c r="O20" s="717"/>
    </row>
    <row r="21" spans="1:15" x14ac:dyDescent="0.25">
      <c r="A21" s="717"/>
      <c r="B21" s="1121">
        <v>1</v>
      </c>
      <c r="C21" s="1122">
        <v>25</v>
      </c>
      <c r="D21" s="1126"/>
      <c r="E21" s="1077" t="s">
        <v>1448</v>
      </c>
      <c r="F21" s="1129"/>
      <c r="G21" s="1117"/>
      <c r="H21" s="1123" t="s">
        <v>490</v>
      </c>
      <c r="I21" s="1135" t="s">
        <v>672</v>
      </c>
      <c r="J21" s="1133">
        <v>2.25</v>
      </c>
      <c r="K21" s="1077" t="s">
        <v>672</v>
      </c>
      <c r="L21" s="1133">
        <v>30</v>
      </c>
      <c r="M21" s="1137" t="s">
        <v>490</v>
      </c>
      <c r="N21" s="1140" t="s">
        <v>94</v>
      </c>
      <c r="O21" s="717"/>
    </row>
    <row r="22" spans="1:15" x14ac:dyDescent="0.25">
      <c r="A22" s="717"/>
      <c r="B22" s="1121">
        <v>1</v>
      </c>
      <c r="C22" s="1122">
        <v>26</v>
      </c>
      <c r="D22" s="1126"/>
      <c r="E22" s="1077"/>
      <c r="F22" s="1129"/>
      <c r="G22" s="1117"/>
      <c r="H22" s="1123" t="s">
        <v>490</v>
      </c>
      <c r="I22" s="1135" t="s">
        <v>672</v>
      </c>
      <c r="J22" s="1133">
        <v>2.25</v>
      </c>
      <c r="K22" s="1077" t="s">
        <v>672</v>
      </c>
      <c r="L22" s="1133">
        <v>30</v>
      </c>
      <c r="M22" s="1137" t="s">
        <v>490</v>
      </c>
      <c r="N22" s="1140" t="s">
        <v>93</v>
      </c>
      <c r="O22" s="717"/>
    </row>
    <row r="23" spans="1:15" x14ac:dyDescent="0.25">
      <c r="A23" s="717"/>
      <c r="B23" s="1121">
        <v>1</v>
      </c>
      <c r="C23" s="1122">
        <v>29</v>
      </c>
      <c r="D23" s="1126"/>
      <c r="E23" s="1077"/>
      <c r="F23" s="1129"/>
      <c r="G23" s="1117"/>
      <c r="H23" s="1123" t="s">
        <v>490</v>
      </c>
      <c r="I23" s="1135" t="s">
        <v>672</v>
      </c>
      <c r="J23" s="1133">
        <v>2.25</v>
      </c>
      <c r="K23" s="1077" t="s">
        <v>672</v>
      </c>
      <c r="L23" s="1133">
        <v>30</v>
      </c>
      <c r="M23" s="1137" t="s">
        <v>490</v>
      </c>
      <c r="N23" s="1140" t="s">
        <v>92</v>
      </c>
      <c r="O23" s="717"/>
    </row>
    <row r="24" spans="1:15" x14ac:dyDescent="0.25">
      <c r="A24" s="717"/>
      <c r="B24" s="1121">
        <v>1</v>
      </c>
      <c r="C24" s="1122">
        <v>30</v>
      </c>
      <c r="D24" s="1126"/>
      <c r="E24" s="1077"/>
      <c r="F24" s="1129"/>
      <c r="G24" s="1117"/>
      <c r="H24" s="1123" t="s">
        <v>490</v>
      </c>
      <c r="I24" s="1135" t="s">
        <v>672</v>
      </c>
      <c r="J24" s="1133">
        <v>2.25</v>
      </c>
      <c r="K24" s="1077" t="s">
        <v>672</v>
      </c>
      <c r="L24" s="1133">
        <v>30</v>
      </c>
      <c r="M24" s="1137" t="s">
        <v>490</v>
      </c>
      <c r="N24" s="1140" t="s">
        <v>91</v>
      </c>
      <c r="O24" s="717"/>
    </row>
    <row r="25" spans="1:15" x14ac:dyDescent="0.25">
      <c r="A25" s="717"/>
      <c r="B25" s="1121">
        <v>1</v>
      </c>
      <c r="C25" s="1122">
        <v>31</v>
      </c>
      <c r="D25" s="1126"/>
      <c r="E25" s="1077"/>
      <c r="F25" s="1129"/>
      <c r="G25" s="1117"/>
      <c r="H25" s="1123" t="s">
        <v>490</v>
      </c>
      <c r="I25" s="1135" t="s">
        <v>672</v>
      </c>
      <c r="J25" s="1133">
        <v>2.25</v>
      </c>
      <c r="K25" s="1077" t="s">
        <v>672</v>
      </c>
      <c r="L25" s="1133">
        <v>30</v>
      </c>
      <c r="M25" s="1137" t="s">
        <v>490</v>
      </c>
      <c r="N25" s="1140" t="s">
        <v>90</v>
      </c>
      <c r="O25" s="717"/>
    </row>
    <row r="26" spans="1:15" x14ac:dyDescent="0.25">
      <c r="A26" s="717"/>
      <c r="B26" s="1121">
        <v>1</v>
      </c>
      <c r="C26" s="1122">
        <v>32</v>
      </c>
      <c r="D26" s="1126"/>
      <c r="E26" s="1077"/>
      <c r="F26" s="1129"/>
      <c r="G26" s="1117"/>
      <c r="H26" s="1123" t="s">
        <v>490</v>
      </c>
      <c r="I26" s="1135" t="s">
        <v>672</v>
      </c>
      <c r="J26" s="1133">
        <v>2.25</v>
      </c>
      <c r="K26" s="1077" t="s">
        <v>672</v>
      </c>
      <c r="L26" s="1133">
        <v>30</v>
      </c>
      <c r="M26" s="1137" t="s">
        <v>490</v>
      </c>
      <c r="N26" s="1140" t="s">
        <v>89</v>
      </c>
      <c r="O26" s="717"/>
    </row>
    <row r="27" spans="1:15" x14ac:dyDescent="0.25">
      <c r="A27" s="717"/>
      <c r="B27" s="1121">
        <v>1</v>
      </c>
      <c r="C27" s="1122">
        <v>33</v>
      </c>
      <c r="D27" s="1126"/>
      <c r="E27" s="1077"/>
      <c r="F27" s="1129"/>
      <c r="G27" s="1117"/>
      <c r="H27" s="1123" t="s">
        <v>490</v>
      </c>
      <c r="I27" s="1135" t="s">
        <v>672</v>
      </c>
      <c r="J27" s="1133">
        <v>2.25</v>
      </c>
      <c r="K27" s="1077" t="s">
        <v>672</v>
      </c>
      <c r="L27" s="1133">
        <v>30</v>
      </c>
      <c r="M27" s="1137" t="s">
        <v>490</v>
      </c>
      <c r="N27" s="1140" t="s">
        <v>88</v>
      </c>
      <c r="O27" s="717"/>
    </row>
    <row r="28" spans="1:15" x14ac:dyDescent="0.25">
      <c r="A28" s="717"/>
      <c r="B28" s="1121">
        <v>1</v>
      </c>
      <c r="C28" s="1122">
        <v>34</v>
      </c>
      <c r="D28" s="1126"/>
      <c r="E28" s="1077"/>
      <c r="F28" s="1129"/>
      <c r="G28" s="1117"/>
      <c r="H28" s="1123" t="s">
        <v>490</v>
      </c>
      <c r="I28" s="1135" t="s">
        <v>672</v>
      </c>
      <c r="J28" s="1133">
        <v>2.25</v>
      </c>
      <c r="K28" s="1077" t="s">
        <v>672</v>
      </c>
      <c r="L28" s="1133">
        <v>30</v>
      </c>
      <c r="M28" s="1137" t="s">
        <v>490</v>
      </c>
      <c r="N28" s="1140" t="s">
        <v>87</v>
      </c>
      <c r="O28" s="717"/>
    </row>
    <row r="29" spans="1:15" x14ac:dyDescent="0.25">
      <c r="A29" s="717"/>
      <c r="B29" s="1121">
        <v>1</v>
      </c>
      <c r="C29" s="1122">
        <v>35</v>
      </c>
      <c r="D29" s="1126"/>
      <c r="E29" s="1077"/>
      <c r="F29" s="1129"/>
      <c r="G29" s="1117"/>
      <c r="H29" s="1123" t="s">
        <v>490</v>
      </c>
      <c r="I29" s="1135" t="s">
        <v>672</v>
      </c>
      <c r="J29" s="1133">
        <v>2.25</v>
      </c>
      <c r="K29" s="1077" t="s">
        <v>672</v>
      </c>
      <c r="L29" s="1133">
        <v>30</v>
      </c>
      <c r="M29" s="1137" t="s">
        <v>490</v>
      </c>
      <c r="N29" s="1140" t="s">
        <v>86</v>
      </c>
      <c r="O29" s="717"/>
    </row>
    <row r="30" spans="1:15" ht="15.75" thickBot="1" x14ac:dyDescent="0.3">
      <c r="A30" s="717"/>
      <c r="B30" s="1060">
        <v>1</v>
      </c>
      <c r="C30" s="1127">
        <v>37</v>
      </c>
      <c r="D30" s="1128"/>
      <c r="E30" s="1045"/>
      <c r="F30" s="1130"/>
      <c r="G30" s="1118"/>
      <c r="H30" s="1071" t="s">
        <v>490</v>
      </c>
      <c r="I30" s="1136" t="s">
        <v>672</v>
      </c>
      <c r="J30" s="1134">
        <v>2.25</v>
      </c>
      <c r="K30" s="1045" t="s">
        <v>672</v>
      </c>
      <c r="L30" s="1134">
        <v>30</v>
      </c>
      <c r="M30" s="1138" t="s">
        <v>490</v>
      </c>
      <c r="N30" s="1141" t="s">
        <v>105</v>
      </c>
      <c r="O30" s="717"/>
    </row>
    <row r="31" spans="1:15" ht="15.75" hidden="1" thickBot="1" x14ac:dyDescent="0.3">
      <c r="A31" s="717"/>
      <c r="B31" s="1110"/>
      <c r="C31" s="1110"/>
      <c r="D31" s="1110"/>
      <c r="E31" s="1110"/>
      <c r="F31" s="1110"/>
      <c r="G31" s="1110"/>
      <c r="H31" s="1110"/>
      <c r="I31" s="1110"/>
      <c r="J31" s="1110"/>
      <c r="K31" s="1110"/>
      <c r="L31" s="1110"/>
      <c r="M31" s="1110"/>
      <c r="N31" s="1110"/>
      <c r="O31" s="717"/>
    </row>
    <row r="32" spans="1:15" ht="15.75" hidden="1" thickBot="1" x14ac:dyDescent="0.3">
      <c r="A32" s="717"/>
      <c r="B32" s="1311" t="s">
        <v>1449</v>
      </c>
      <c r="C32" s="1312"/>
      <c r="D32" s="1312"/>
      <c r="E32" s="1312"/>
      <c r="F32" s="1312"/>
      <c r="G32" s="1312"/>
      <c r="H32" s="1312"/>
      <c r="I32" s="1312"/>
      <c r="J32" s="1312"/>
      <c r="K32" s="1312"/>
      <c r="L32" s="1312"/>
      <c r="M32" s="1312"/>
      <c r="N32" s="1313"/>
      <c r="O32" s="717"/>
    </row>
    <row r="33" spans="1:15" ht="15.75" hidden="1" thickBot="1" x14ac:dyDescent="0.3">
      <c r="A33" s="717"/>
      <c r="B33" s="1110"/>
      <c r="C33" s="1110"/>
      <c r="D33" s="1110"/>
      <c r="E33" s="1110"/>
      <c r="F33" s="1110"/>
      <c r="G33" s="1110"/>
      <c r="H33" s="1110"/>
      <c r="I33" s="1110"/>
      <c r="J33" s="1110"/>
      <c r="K33" s="1110"/>
      <c r="L33" s="1110"/>
      <c r="M33" s="1110"/>
      <c r="N33" s="1110"/>
      <c r="O33" s="717"/>
    </row>
    <row r="34" spans="1:15" ht="36.75" hidden="1" customHeight="1" x14ac:dyDescent="0.25">
      <c r="A34" s="717"/>
      <c r="B34" s="1119" t="s">
        <v>1422</v>
      </c>
      <c r="C34" s="1113" t="s">
        <v>1438</v>
      </c>
      <c r="D34" s="1113" t="s">
        <v>1439</v>
      </c>
      <c r="E34" s="1113" t="s">
        <v>1440</v>
      </c>
      <c r="F34" s="1120" t="s">
        <v>1441</v>
      </c>
      <c r="G34" s="1120" t="s">
        <v>1442</v>
      </c>
      <c r="H34" s="1113" t="s">
        <v>1402</v>
      </c>
      <c r="I34" s="1113" t="s">
        <v>1443</v>
      </c>
      <c r="J34" s="1113" t="s">
        <v>1444</v>
      </c>
      <c r="K34" s="1113" t="s">
        <v>1445</v>
      </c>
      <c r="L34" s="1113" t="s">
        <v>1446</v>
      </c>
      <c r="M34" s="1113" t="s">
        <v>1383</v>
      </c>
      <c r="N34" s="1114" t="s">
        <v>1447</v>
      </c>
      <c r="O34" s="717"/>
    </row>
    <row r="35" spans="1:15" hidden="1" x14ac:dyDescent="0.25">
      <c r="A35" s="717"/>
      <c r="B35" s="1124">
        <v>1</v>
      </c>
      <c r="C35" s="1122">
        <v>15</v>
      </c>
      <c r="D35" s="1123"/>
      <c r="E35" s="1077"/>
      <c r="F35" s="1129"/>
      <c r="G35" s="1077"/>
      <c r="H35" s="1123" t="s">
        <v>490</v>
      </c>
      <c r="I35" s="1077" t="s">
        <v>672</v>
      </c>
      <c r="J35" s="1123">
        <v>2.25</v>
      </c>
      <c r="K35" s="1077" t="s">
        <v>672</v>
      </c>
      <c r="L35" s="1123">
        <v>30</v>
      </c>
      <c r="M35" s="1123" t="s">
        <v>490</v>
      </c>
      <c r="N35" s="1149" t="s">
        <v>103</v>
      </c>
      <c r="O35" s="717"/>
    </row>
    <row r="36" spans="1:15" hidden="1" x14ac:dyDescent="0.25">
      <c r="A36" s="717"/>
      <c r="B36" s="1124">
        <v>1</v>
      </c>
      <c r="C36" s="1122">
        <v>15</v>
      </c>
      <c r="D36" s="1142">
        <v>131</v>
      </c>
      <c r="E36" s="1077"/>
      <c r="F36" s="1129"/>
      <c r="G36" s="1077"/>
      <c r="H36" s="1123" t="s">
        <v>490</v>
      </c>
      <c r="I36" s="1077" t="s">
        <v>672</v>
      </c>
      <c r="J36" s="1123">
        <v>2.25</v>
      </c>
      <c r="K36" s="1077" t="s">
        <v>672</v>
      </c>
      <c r="L36" s="1123">
        <v>30</v>
      </c>
      <c r="M36" s="1123" t="s">
        <v>490</v>
      </c>
      <c r="N36" s="1139" t="s">
        <v>1454</v>
      </c>
      <c r="O36" s="717"/>
    </row>
    <row r="37" spans="1:15" hidden="1" x14ac:dyDescent="0.25">
      <c r="A37" s="717"/>
      <c r="B37" s="1124">
        <v>1</v>
      </c>
      <c r="C37" s="1122">
        <v>15</v>
      </c>
      <c r="D37" s="1142">
        <v>254</v>
      </c>
      <c r="E37" s="1077"/>
      <c r="F37" s="1129"/>
      <c r="G37" s="1077"/>
      <c r="H37" s="1123" t="s">
        <v>490</v>
      </c>
      <c r="I37" s="1077" t="s">
        <v>672</v>
      </c>
      <c r="J37" s="1123">
        <v>2.25</v>
      </c>
      <c r="K37" s="1077" t="s">
        <v>672</v>
      </c>
      <c r="L37" s="1123">
        <v>30</v>
      </c>
      <c r="M37" s="1123" t="s">
        <v>490</v>
      </c>
      <c r="N37" s="1139" t="s">
        <v>1454</v>
      </c>
      <c r="O37" s="717"/>
    </row>
    <row r="38" spans="1:15" hidden="1" x14ac:dyDescent="0.25">
      <c r="A38" s="717"/>
      <c r="B38" s="1124">
        <v>1</v>
      </c>
      <c r="C38" s="1122">
        <v>15</v>
      </c>
      <c r="D38" s="1142">
        <v>373</v>
      </c>
      <c r="E38" s="1077"/>
      <c r="F38" s="1129"/>
      <c r="G38" s="1077"/>
      <c r="H38" s="1123" t="s">
        <v>490</v>
      </c>
      <c r="I38" s="1077" t="s">
        <v>672</v>
      </c>
      <c r="J38" s="1123">
        <v>2.25</v>
      </c>
      <c r="K38" s="1077" t="s">
        <v>672</v>
      </c>
      <c r="L38" s="1123">
        <v>30</v>
      </c>
      <c r="M38" s="1123" t="s">
        <v>490</v>
      </c>
      <c r="N38" s="1139" t="s">
        <v>1454</v>
      </c>
      <c r="O38" s="717"/>
    </row>
    <row r="39" spans="1:15" hidden="1" x14ac:dyDescent="0.25">
      <c r="A39" s="717"/>
      <c r="B39" s="1124">
        <v>1</v>
      </c>
      <c r="C39" s="1122">
        <v>15</v>
      </c>
      <c r="D39" s="1142">
        <v>132</v>
      </c>
      <c r="E39" s="1077"/>
      <c r="F39" s="1129"/>
      <c r="G39" s="1077"/>
      <c r="H39" s="1123" t="s">
        <v>490</v>
      </c>
      <c r="I39" s="1077" t="s">
        <v>672</v>
      </c>
      <c r="J39" s="1123">
        <v>2.25</v>
      </c>
      <c r="K39" s="1077" t="s">
        <v>672</v>
      </c>
      <c r="L39" s="1123">
        <v>30</v>
      </c>
      <c r="M39" s="1123" t="s">
        <v>490</v>
      </c>
      <c r="N39" s="1139" t="s">
        <v>1454</v>
      </c>
      <c r="O39" s="717"/>
    </row>
    <row r="40" spans="1:15" hidden="1" x14ac:dyDescent="0.25">
      <c r="A40" s="717"/>
      <c r="B40" s="1124">
        <v>1</v>
      </c>
      <c r="C40" s="1122">
        <v>15</v>
      </c>
      <c r="D40" s="1142">
        <v>368</v>
      </c>
      <c r="E40" s="1077"/>
      <c r="F40" s="1129"/>
      <c r="G40" s="1077"/>
      <c r="H40" s="1123" t="s">
        <v>490</v>
      </c>
      <c r="I40" s="1077" t="s">
        <v>672</v>
      </c>
      <c r="J40" s="1123">
        <v>2.25</v>
      </c>
      <c r="K40" s="1077" t="s">
        <v>672</v>
      </c>
      <c r="L40" s="1123">
        <v>30</v>
      </c>
      <c r="M40" s="1123" t="s">
        <v>490</v>
      </c>
      <c r="N40" s="1139" t="s">
        <v>1454</v>
      </c>
      <c r="O40" s="717"/>
    </row>
    <row r="41" spans="1:15" hidden="1" x14ac:dyDescent="0.25">
      <c r="A41" s="717"/>
      <c r="B41" s="1124">
        <v>1</v>
      </c>
      <c r="C41" s="1122">
        <v>15</v>
      </c>
      <c r="D41" s="1142">
        <v>369</v>
      </c>
      <c r="E41" s="1077"/>
      <c r="F41" s="1129"/>
      <c r="G41" s="1077"/>
      <c r="H41" s="1123" t="s">
        <v>490</v>
      </c>
      <c r="I41" s="1077" t="s">
        <v>672</v>
      </c>
      <c r="J41" s="1123">
        <v>2.25</v>
      </c>
      <c r="K41" s="1077" t="s">
        <v>672</v>
      </c>
      <c r="L41" s="1123">
        <v>30</v>
      </c>
      <c r="M41" s="1123" t="s">
        <v>490</v>
      </c>
      <c r="N41" s="1139" t="s">
        <v>1454</v>
      </c>
      <c r="O41" s="717"/>
    </row>
    <row r="42" spans="1:15" hidden="1" x14ac:dyDescent="0.25">
      <c r="A42" s="717"/>
      <c r="B42" s="1124">
        <v>1</v>
      </c>
      <c r="C42" s="1122">
        <v>15</v>
      </c>
      <c r="D42" s="1142">
        <v>384</v>
      </c>
      <c r="E42" s="1077"/>
      <c r="F42" s="1129"/>
      <c r="G42" s="1077"/>
      <c r="H42" s="1123" t="s">
        <v>490</v>
      </c>
      <c r="I42" s="1077" t="s">
        <v>672</v>
      </c>
      <c r="J42" s="1123">
        <v>2.25</v>
      </c>
      <c r="K42" s="1077" t="s">
        <v>672</v>
      </c>
      <c r="L42" s="1123">
        <v>30</v>
      </c>
      <c r="M42" s="1123" t="s">
        <v>490</v>
      </c>
      <c r="N42" s="1139" t="s">
        <v>1454</v>
      </c>
      <c r="O42" s="717"/>
    </row>
    <row r="43" spans="1:15" hidden="1" x14ac:dyDescent="0.25">
      <c r="A43" s="717"/>
      <c r="B43" s="1124">
        <v>1</v>
      </c>
      <c r="C43" s="1122">
        <v>15</v>
      </c>
      <c r="D43" s="1142">
        <v>381</v>
      </c>
      <c r="E43" s="1077"/>
      <c r="F43" s="1129"/>
      <c r="G43" s="1077"/>
      <c r="H43" s="1123" t="s">
        <v>490</v>
      </c>
      <c r="I43" s="1077" t="s">
        <v>672</v>
      </c>
      <c r="J43" s="1123">
        <v>2.25</v>
      </c>
      <c r="K43" s="1077" t="s">
        <v>672</v>
      </c>
      <c r="L43" s="1123">
        <v>30</v>
      </c>
      <c r="M43" s="1123" t="s">
        <v>490</v>
      </c>
      <c r="N43" s="1139" t="s">
        <v>1454</v>
      </c>
      <c r="O43" s="717"/>
    </row>
    <row r="44" spans="1:15" hidden="1" x14ac:dyDescent="0.25">
      <c r="A44" s="717"/>
      <c r="B44" s="1124">
        <v>1</v>
      </c>
      <c r="C44" s="1122">
        <v>15</v>
      </c>
      <c r="D44" s="1142">
        <v>377</v>
      </c>
      <c r="E44" s="1077"/>
      <c r="F44" s="1129"/>
      <c r="G44" s="1077"/>
      <c r="H44" s="1123" t="s">
        <v>490</v>
      </c>
      <c r="I44" s="1077" t="s">
        <v>672</v>
      </c>
      <c r="J44" s="1123">
        <v>2.25</v>
      </c>
      <c r="K44" s="1077" t="s">
        <v>672</v>
      </c>
      <c r="L44" s="1123">
        <v>30</v>
      </c>
      <c r="M44" s="1123" t="s">
        <v>490</v>
      </c>
      <c r="N44" s="1139" t="s">
        <v>1454</v>
      </c>
      <c r="O44" s="717"/>
    </row>
    <row r="45" spans="1:15" hidden="1" x14ac:dyDescent="0.25">
      <c r="A45" s="717"/>
      <c r="B45" s="1124">
        <v>1</v>
      </c>
      <c r="C45" s="1122">
        <v>15</v>
      </c>
      <c r="D45" s="1142">
        <v>388</v>
      </c>
      <c r="E45" s="1077"/>
      <c r="F45" s="1129"/>
      <c r="G45" s="1077"/>
      <c r="H45" s="1123" t="s">
        <v>490</v>
      </c>
      <c r="I45" s="1077" t="s">
        <v>672</v>
      </c>
      <c r="J45" s="1123">
        <v>2.25</v>
      </c>
      <c r="K45" s="1077" t="s">
        <v>672</v>
      </c>
      <c r="L45" s="1123">
        <v>30</v>
      </c>
      <c r="M45" s="1123" t="s">
        <v>490</v>
      </c>
      <c r="N45" s="1139" t="s">
        <v>1454</v>
      </c>
      <c r="O45" s="717"/>
    </row>
    <row r="46" spans="1:15" hidden="1" x14ac:dyDescent="0.25">
      <c r="A46" s="717"/>
      <c r="B46" s="1124">
        <v>1</v>
      </c>
      <c r="C46" s="1122">
        <v>16</v>
      </c>
      <c r="D46" s="1125"/>
      <c r="E46" s="1077"/>
      <c r="F46" s="1129"/>
      <c r="G46" s="1077"/>
      <c r="H46" s="1123" t="s">
        <v>490</v>
      </c>
      <c r="I46" s="1077" t="s">
        <v>672</v>
      </c>
      <c r="J46" s="1123">
        <v>2.25</v>
      </c>
      <c r="K46" s="1077" t="s">
        <v>672</v>
      </c>
      <c r="L46" s="1123">
        <v>30</v>
      </c>
      <c r="M46" s="1123" t="s">
        <v>490</v>
      </c>
      <c r="N46" s="1140" t="s">
        <v>102</v>
      </c>
      <c r="O46" s="717"/>
    </row>
    <row r="47" spans="1:15" ht="26.25" hidden="1" x14ac:dyDescent="0.25">
      <c r="A47" s="717"/>
      <c r="B47" s="1121">
        <v>1</v>
      </c>
      <c r="C47" s="1122">
        <v>17</v>
      </c>
      <c r="D47" s="1123"/>
      <c r="E47" s="1077"/>
      <c r="F47" s="1129"/>
      <c r="G47" s="1077"/>
      <c r="H47" s="1123" t="s">
        <v>490</v>
      </c>
      <c r="I47" s="1077" t="s">
        <v>672</v>
      </c>
      <c r="J47" s="1123">
        <v>2.25</v>
      </c>
      <c r="K47" s="1077" t="s">
        <v>672</v>
      </c>
      <c r="L47" s="1123">
        <v>30</v>
      </c>
      <c r="M47" s="1123" t="s">
        <v>490</v>
      </c>
      <c r="N47" s="1140" t="s">
        <v>101</v>
      </c>
      <c r="O47" s="717"/>
    </row>
    <row r="48" spans="1:15" hidden="1" x14ac:dyDescent="0.25">
      <c r="A48" s="717"/>
      <c r="B48" s="1121">
        <v>1</v>
      </c>
      <c r="C48" s="1122">
        <v>18</v>
      </c>
      <c r="D48" s="1126"/>
      <c r="E48" s="1077"/>
      <c r="F48" s="1129"/>
      <c r="G48" s="1117"/>
      <c r="H48" s="1123" t="s">
        <v>490</v>
      </c>
      <c r="I48" s="1077" t="s">
        <v>672</v>
      </c>
      <c r="J48" s="1123">
        <v>2.25</v>
      </c>
      <c r="K48" s="1077" t="s">
        <v>672</v>
      </c>
      <c r="L48" s="1123">
        <v>30</v>
      </c>
      <c r="M48" s="1123" t="s">
        <v>490</v>
      </c>
      <c r="N48" s="1140" t="s">
        <v>100</v>
      </c>
      <c r="O48" s="717"/>
    </row>
    <row r="49" spans="1:15" ht="26.25" hidden="1" x14ac:dyDescent="0.25">
      <c r="A49" s="717"/>
      <c r="B49" s="1121">
        <v>1</v>
      </c>
      <c r="C49" s="1122">
        <v>19</v>
      </c>
      <c r="D49" s="1126"/>
      <c r="E49" s="1077"/>
      <c r="F49" s="1129"/>
      <c r="G49" s="1117"/>
      <c r="H49" s="1123" t="s">
        <v>490</v>
      </c>
      <c r="I49" s="1077" t="s">
        <v>672</v>
      </c>
      <c r="J49" s="1123">
        <v>2.25</v>
      </c>
      <c r="K49" s="1077" t="s">
        <v>672</v>
      </c>
      <c r="L49" s="1123">
        <v>30</v>
      </c>
      <c r="M49" s="1123" t="s">
        <v>490</v>
      </c>
      <c r="N49" s="1140" t="s">
        <v>104</v>
      </c>
      <c r="O49" s="717"/>
    </row>
    <row r="50" spans="1:15" ht="26.25" hidden="1" x14ac:dyDescent="0.25">
      <c r="A50" s="717"/>
      <c r="B50" s="1121">
        <v>1</v>
      </c>
      <c r="C50" s="1122">
        <v>20</v>
      </c>
      <c r="D50" s="1126"/>
      <c r="E50" s="1077"/>
      <c r="F50" s="1129"/>
      <c r="G50" s="1117"/>
      <c r="H50" s="1123" t="s">
        <v>490</v>
      </c>
      <c r="I50" s="1077" t="s">
        <v>672</v>
      </c>
      <c r="J50" s="1123">
        <v>2.25</v>
      </c>
      <c r="K50" s="1077" t="s">
        <v>672</v>
      </c>
      <c r="L50" s="1123">
        <v>30</v>
      </c>
      <c r="M50" s="1123" t="s">
        <v>490</v>
      </c>
      <c r="N50" s="1140" t="s">
        <v>99</v>
      </c>
      <c r="O50" s="717"/>
    </row>
    <row r="51" spans="1:15" hidden="1" x14ac:dyDescent="0.25">
      <c r="A51" s="717"/>
      <c r="B51" s="1121">
        <v>1</v>
      </c>
      <c r="C51" s="1122">
        <v>21</v>
      </c>
      <c r="D51" s="1126"/>
      <c r="E51" s="1077"/>
      <c r="F51" s="1129"/>
      <c r="G51" s="1117"/>
      <c r="H51" s="1123" t="s">
        <v>490</v>
      </c>
      <c r="I51" s="1077" t="s">
        <v>672</v>
      </c>
      <c r="J51" s="1123">
        <v>2.25</v>
      </c>
      <c r="K51" s="1077" t="s">
        <v>672</v>
      </c>
      <c r="L51" s="1123">
        <v>30</v>
      </c>
      <c r="M51" s="1123" t="s">
        <v>490</v>
      </c>
      <c r="N51" s="1140" t="s">
        <v>98</v>
      </c>
      <c r="O51" s="717"/>
    </row>
    <row r="52" spans="1:15" hidden="1" x14ac:dyDescent="0.25">
      <c r="A52" s="717"/>
      <c r="B52" s="1121">
        <v>1</v>
      </c>
      <c r="C52" s="1122">
        <v>22</v>
      </c>
      <c r="D52" s="1126"/>
      <c r="E52" s="1077"/>
      <c r="F52" s="1129"/>
      <c r="G52" s="1117"/>
      <c r="H52" s="1123" t="s">
        <v>490</v>
      </c>
      <c r="I52" s="1077" t="s">
        <v>672</v>
      </c>
      <c r="J52" s="1123">
        <v>2.25</v>
      </c>
      <c r="K52" s="1077" t="s">
        <v>672</v>
      </c>
      <c r="L52" s="1123">
        <v>30</v>
      </c>
      <c r="M52" s="1123" t="s">
        <v>490</v>
      </c>
      <c r="N52" s="1140" t="s">
        <v>97</v>
      </c>
      <c r="O52" s="717"/>
    </row>
    <row r="53" spans="1:15" hidden="1" x14ac:dyDescent="0.25">
      <c r="A53" s="717"/>
      <c r="B53" s="1121">
        <v>1</v>
      </c>
      <c r="C53" s="1122">
        <v>23</v>
      </c>
      <c r="D53" s="1126"/>
      <c r="E53" s="1077"/>
      <c r="F53" s="1129"/>
      <c r="G53" s="1117"/>
      <c r="H53" s="1123" t="s">
        <v>490</v>
      </c>
      <c r="I53" s="1077" t="s">
        <v>672</v>
      </c>
      <c r="J53" s="1123">
        <v>2.25</v>
      </c>
      <c r="K53" s="1077" t="s">
        <v>672</v>
      </c>
      <c r="L53" s="1123">
        <v>30</v>
      </c>
      <c r="M53" s="1123" t="s">
        <v>490</v>
      </c>
      <c r="N53" s="1140" t="s">
        <v>96</v>
      </c>
      <c r="O53" s="717"/>
    </row>
    <row r="54" spans="1:15" hidden="1" x14ac:dyDescent="0.25">
      <c r="A54" s="717"/>
      <c r="B54" s="1121">
        <v>1</v>
      </c>
      <c r="C54" s="1122">
        <v>24</v>
      </c>
      <c r="D54" s="1126"/>
      <c r="E54" s="1077"/>
      <c r="F54" s="1129"/>
      <c r="G54" s="1117"/>
      <c r="H54" s="1123" t="s">
        <v>490</v>
      </c>
      <c r="I54" s="1077" t="s">
        <v>672</v>
      </c>
      <c r="J54" s="1123">
        <v>2.25</v>
      </c>
      <c r="K54" s="1077" t="s">
        <v>672</v>
      </c>
      <c r="L54" s="1123">
        <v>30</v>
      </c>
      <c r="M54" s="1123" t="s">
        <v>490</v>
      </c>
      <c r="N54" s="1140" t="s">
        <v>95</v>
      </c>
      <c r="O54" s="717"/>
    </row>
    <row r="55" spans="1:15" hidden="1" x14ac:dyDescent="0.25">
      <c r="A55" s="717"/>
      <c r="B55" s="1121">
        <v>1</v>
      </c>
      <c r="C55" s="1122">
        <v>25</v>
      </c>
      <c r="D55" s="1126"/>
      <c r="E55" s="1077" t="s">
        <v>1448</v>
      </c>
      <c r="F55" s="1129"/>
      <c r="G55" s="1117"/>
      <c r="H55" s="1123" t="s">
        <v>490</v>
      </c>
      <c r="I55" s="1077" t="s">
        <v>670</v>
      </c>
      <c r="J55" s="1150">
        <v>2.25</v>
      </c>
      <c r="K55" s="1077" t="s">
        <v>672</v>
      </c>
      <c r="L55" s="1123">
        <v>30</v>
      </c>
      <c r="M55" s="1123" t="s">
        <v>490</v>
      </c>
      <c r="N55" s="1140" t="s">
        <v>94</v>
      </c>
      <c r="O55" s="717"/>
    </row>
    <row r="56" spans="1:15" hidden="1" x14ac:dyDescent="0.25">
      <c r="A56" s="717"/>
      <c r="B56" s="1121">
        <v>1</v>
      </c>
      <c r="C56" s="1122">
        <v>26</v>
      </c>
      <c r="D56" s="1126"/>
      <c r="E56" s="1077"/>
      <c r="F56" s="1129"/>
      <c r="G56" s="1117"/>
      <c r="H56" s="1123" t="s">
        <v>490</v>
      </c>
      <c r="I56" s="1077" t="s">
        <v>672</v>
      </c>
      <c r="J56" s="1123">
        <v>2.25</v>
      </c>
      <c r="K56" s="1077" t="s">
        <v>672</v>
      </c>
      <c r="L56" s="1123">
        <v>30</v>
      </c>
      <c r="M56" s="1123" t="s">
        <v>490</v>
      </c>
      <c r="N56" s="1140" t="s">
        <v>93</v>
      </c>
      <c r="O56" s="717"/>
    </row>
    <row r="57" spans="1:15" hidden="1" x14ac:dyDescent="0.25">
      <c r="A57" s="717"/>
      <c r="B57" s="1121">
        <v>1</v>
      </c>
      <c r="C57" s="1122">
        <v>29</v>
      </c>
      <c r="D57" s="1126"/>
      <c r="E57" s="1077"/>
      <c r="F57" s="1129"/>
      <c r="G57" s="1117"/>
      <c r="H57" s="1123" t="s">
        <v>490</v>
      </c>
      <c r="I57" s="1077" t="s">
        <v>672</v>
      </c>
      <c r="J57" s="1123">
        <v>2.25</v>
      </c>
      <c r="K57" s="1077" t="s">
        <v>672</v>
      </c>
      <c r="L57" s="1123">
        <v>30</v>
      </c>
      <c r="M57" s="1123" t="s">
        <v>490</v>
      </c>
      <c r="N57" s="1140" t="s">
        <v>92</v>
      </c>
      <c r="O57" s="717"/>
    </row>
    <row r="58" spans="1:15" hidden="1" x14ac:dyDescent="0.25">
      <c r="A58" s="717"/>
      <c r="B58" s="1121">
        <v>1</v>
      </c>
      <c r="C58" s="1122">
        <v>30</v>
      </c>
      <c r="D58" s="1126"/>
      <c r="E58" s="1077"/>
      <c r="F58" s="1129"/>
      <c r="G58" s="1117"/>
      <c r="H58" s="1123" t="s">
        <v>490</v>
      </c>
      <c r="I58" s="1077" t="s">
        <v>672</v>
      </c>
      <c r="J58" s="1123">
        <v>2.25</v>
      </c>
      <c r="K58" s="1077" t="s">
        <v>672</v>
      </c>
      <c r="L58" s="1123">
        <v>30</v>
      </c>
      <c r="M58" s="1123" t="s">
        <v>490</v>
      </c>
      <c r="N58" s="1140" t="s">
        <v>91</v>
      </c>
      <c r="O58" s="717"/>
    </row>
    <row r="59" spans="1:15" hidden="1" x14ac:dyDescent="0.25">
      <c r="A59" s="717"/>
      <c r="B59" s="1121">
        <v>1</v>
      </c>
      <c r="C59" s="1122">
        <v>31</v>
      </c>
      <c r="D59" s="1126"/>
      <c r="E59" s="1077"/>
      <c r="F59" s="1129"/>
      <c r="G59" s="1117"/>
      <c r="H59" s="1123" t="s">
        <v>490</v>
      </c>
      <c r="I59" s="1077" t="s">
        <v>672</v>
      </c>
      <c r="J59" s="1123">
        <v>2.25</v>
      </c>
      <c r="K59" s="1077" t="s">
        <v>672</v>
      </c>
      <c r="L59" s="1123">
        <v>30</v>
      </c>
      <c r="M59" s="1123" t="s">
        <v>490</v>
      </c>
      <c r="N59" s="1140" t="s">
        <v>90</v>
      </c>
      <c r="O59" s="717"/>
    </row>
    <row r="60" spans="1:15" hidden="1" x14ac:dyDescent="0.25">
      <c r="A60" s="717"/>
      <c r="B60" s="1121">
        <v>1</v>
      </c>
      <c r="C60" s="1122">
        <v>32</v>
      </c>
      <c r="D60" s="1126"/>
      <c r="E60" s="1077"/>
      <c r="F60" s="1129"/>
      <c r="G60" s="1117"/>
      <c r="H60" s="1123" t="s">
        <v>490</v>
      </c>
      <c r="I60" s="1077" t="s">
        <v>672</v>
      </c>
      <c r="J60" s="1123">
        <v>2.25</v>
      </c>
      <c r="K60" s="1077" t="s">
        <v>672</v>
      </c>
      <c r="L60" s="1123">
        <v>30</v>
      </c>
      <c r="M60" s="1123" t="s">
        <v>490</v>
      </c>
      <c r="N60" s="1140" t="s">
        <v>89</v>
      </c>
      <c r="O60" s="717"/>
    </row>
    <row r="61" spans="1:15" hidden="1" x14ac:dyDescent="0.25">
      <c r="A61" s="717"/>
      <c r="B61" s="1121">
        <v>1</v>
      </c>
      <c r="C61" s="1122">
        <v>33</v>
      </c>
      <c r="D61" s="1126"/>
      <c r="E61" s="1077"/>
      <c r="F61" s="1129"/>
      <c r="G61" s="1117"/>
      <c r="H61" s="1123" t="s">
        <v>490</v>
      </c>
      <c r="I61" s="1077" t="s">
        <v>672</v>
      </c>
      <c r="J61" s="1123">
        <v>2.25</v>
      </c>
      <c r="K61" s="1077" t="s">
        <v>672</v>
      </c>
      <c r="L61" s="1123">
        <v>30</v>
      </c>
      <c r="M61" s="1123" t="s">
        <v>490</v>
      </c>
      <c r="N61" s="1140" t="s">
        <v>88</v>
      </c>
      <c r="O61" s="717"/>
    </row>
    <row r="62" spans="1:15" hidden="1" x14ac:dyDescent="0.25">
      <c r="A62" s="717"/>
      <c r="B62" s="1121">
        <v>1</v>
      </c>
      <c r="C62" s="1122">
        <v>34</v>
      </c>
      <c r="D62" s="1126"/>
      <c r="E62" s="1077"/>
      <c r="F62" s="1129"/>
      <c r="G62" s="1117"/>
      <c r="H62" s="1123" t="s">
        <v>490</v>
      </c>
      <c r="I62" s="1077" t="s">
        <v>672</v>
      </c>
      <c r="J62" s="1123">
        <v>2.25</v>
      </c>
      <c r="K62" s="1077" t="s">
        <v>672</v>
      </c>
      <c r="L62" s="1123">
        <v>30</v>
      </c>
      <c r="M62" s="1123" t="s">
        <v>490</v>
      </c>
      <c r="N62" s="1140" t="s">
        <v>87</v>
      </c>
      <c r="O62" s="717"/>
    </row>
    <row r="63" spans="1:15" hidden="1" x14ac:dyDescent="0.25">
      <c r="A63" s="717"/>
      <c r="B63" s="1121">
        <v>1</v>
      </c>
      <c r="C63" s="1122">
        <v>35</v>
      </c>
      <c r="D63" s="1126"/>
      <c r="E63" s="1077"/>
      <c r="F63" s="1129"/>
      <c r="G63" s="1117"/>
      <c r="H63" s="1123" t="s">
        <v>490</v>
      </c>
      <c r="I63" s="1077" t="s">
        <v>672</v>
      </c>
      <c r="J63" s="1123">
        <v>2.25</v>
      </c>
      <c r="K63" s="1077" t="s">
        <v>672</v>
      </c>
      <c r="L63" s="1123">
        <v>30</v>
      </c>
      <c r="M63" s="1123" t="s">
        <v>490</v>
      </c>
      <c r="N63" s="1140" t="s">
        <v>86</v>
      </c>
      <c r="O63" s="717"/>
    </row>
    <row r="64" spans="1:15" ht="15.75" hidden="1" thickBot="1" x14ac:dyDescent="0.3">
      <c r="A64" s="717"/>
      <c r="B64" s="1060">
        <v>1</v>
      </c>
      <c r="C64" s="1127">
        <v>37</v>
      </c>
      <c r="D64" s="1128"/>
      <c r="E64" s="1045"/>
      <c r="F64" s="1130"/>
      <c r="G64" s="1118"/>
      <c r="H64" s="1071" t="s">
        <v>490</v>
      </c>
      <c r="I64" s="1045" t="s">
        <v>672</v>
      </c>
      <c r="J64" s="1071">
        <v>2.25</v>
      </c>
      <c r="K64" s="1045" t="s">
        <v>672</v>
      </c>
      <c r="L64" s="1071">
        <v>30</v>
      </c>
      <c r="M64" s="1071" t="s">
        <v>490</v>
      </c>
      <c r="N64" s="1141" t="s">
        <v>105</v>
      </c>
      <c r="O64" s="717"/>
    </row>
    <row r="65" spans="1:15" hidden="1" x14ac:dyDescent="0.25">
      <c r="A65" s="717"/>
      <c r="B65" s="1110"/>
      <c r="C65" s="1110"/>
      <c r="D65" s="1110"/>
      <c r="E65" s="1110"/>
      <c r="F65" s="1110"/>
      <c r="G65" s="1110"/>
      <c r="H65" s="1110"/>
      <c r="I65" s="1110"/>
      <c r="J65" s="1110"/>
      <c r="K65" s="1110"/>
      <c r="L65" s="1110"/>
      <c r="M65" s="1110"/>
      <c r="N65" s="1110"/>
      <c r="O65" s="717"/>
    </row>
    <row r="66" spans="1:15" x14ac:dyDescent="0.25">
      <c r="A66" s="717"/>
      <c r="B66" s="717"/>
      <c r="C66" s="717"/>
      <c r="D66" s="717"/>
      <c r="E66" s="717"/>
      <c r="F66" s="717"/>
      <c r="G66" s="717"/>
      <c r="H66" s="717"/>
      <c r="I66" s="717"/>
      <c r="J66" s="717"/>
      <c r="K66" s="717"/>
      <c r="L66" s="717"/>
      <c r="M66" s="717"/>
      <c r="N66" s="717"/>
      <c r="O66" s="717"/>
    </row>
    <row r="67" spans="1:15" x14ac:dyDescent="0.25">
      <c r="A67" s="717"/>
      <c r="B67" s="717"/>
      <c r="C67" s="717"/>
      <c r="D67" s="717"/>
      <c r="E67" s="717"/>
      <c r="F67" s="717"/>
      <c r="G67" s="717"/>
      <c r="H67" s="717"/>
      <c r="I67" s="717"/>
      <c r="J67" s="717"/>
      <c r="K67" s="717"/>
      <c r="L67" s="717"/>
      <c r="M67" s="717"/>
      <c r="N67" s="717"/>
      <c r="O67" s="717"/>
    </row>
    <row r="68" spans="1:15" x14ac:dyDescent="0.25">
      <c r="A68" s="717"/>
      <c r="B68" s="717"/>
      <c r="C68" s="717"/>
      <c r="D68" s="717"/>
      <c r="E68" s="717"/>
      <c r="F68" s="717"/>
      <c r="G68" s="717"/>
      <c r="H68" s="717"/>
      <c r="I68" s="717"/>
      <c r="J68" s="717"/>
      <c r="K68" s="717"/>
      <c r="L68" s="717"/>
      <c r="M68" s="717"/>
      <c r="N68" s="717"/>
      <c r="O68" s="717"/>
    </row>
    <row r="69" spans="1:15" x14ac:dyDescent="0.25">
      <c r="A69" s="717"/>
      <c r="B69" s="717"/>
      <c r="C69" s="717"/>
      <c r="D69" s="717"/>
      <c r="E69" s="717"/>
      <c r="F69" s="717"/>
      <c r="G69" s="717"/>
      <c r="H69" s="717"/>
      <c r="I69" s="717"/>
      <c r="J69" s="717"/>
      <c r="K69" s="717"/>
      <c r="L69" s="717"/>
      <c r="M69" s="717"/>
      <c r="N69" s="717"/>
      <c r="O69" s="717"/>
    </row>
    <row r="70" spans="1:15" x14ac:dyDescent="0.25">
      <c r="A70" s="717"/>
      <c r="B70" s="717"/>
      <c r="C70" s="717"/>
      <c r="D70" s="717"/>
      <c r="E70" s="717"/>
      <c r="F70" s="717"/>
      <c r="G70" s="717"/>
      <c r="H70" s="717"/>
      <c r="I70" s="717"/>
      <c r="J70" s="717"/>
      <c r="K70" s="717"/>
      <c r="L70" s="717"/>
      <c r="M70" s="717"/>
      <c r="N70" s="717"/>
      <c r="O70" s="717"/>
    </row>
    <row r="71" spans="1:15" x14ac:dyDescent="0.25">
      <c r="A71" s="717"/>
      <c r="B71" s="717"/>
      <c r="C71" s="717"/>
      <c r="D71" s="717"/>
      <c r="E71" s="717"/>
      <c r="F71" s="717"/>
      <c r="G71" s="717"/>
      <c r="H71" s="717"/>
      <c r="I71" s="717"/>
      <c r="J71" s="717"/>
      <c r="K71" s="717"/>
      <c r="L71" s="717"/>
      <c r="M71" s="717"/>
      <c r="N71" s="717"/>
      <c r="O71" s="717"/>
    </row>
    <row r="72" spans="1:15" x14ac:dyDescent="0.25">
      <c r="A72" s="717"/>
      <c r="B72" s="717"/>
      <c r="C72" s="717"/>
      <c r="D72" s="717"/>
      <c r="E72" s="717"/>
      <c r="F72" s="717"/>
      <c r="G72" s="717"/>
      <c r="H72" s="717"/>
      <c r="I72" s="717"/>
      <c r="J72" s="717"/>
      <c r="K72" s="717"/>
      <c r="L72" s="717"/>
      <c r="M72" s="717"/>
      <c r="N72" s="717"/>
      <c r="O72" s="717"/>
    </row>
    <row r="73" spans="1:15" x14ac:dyDescent="0.25">
      <c r="A73" s="717"/>
      <c r="B73" s="717"/>
      <c r="C73" s="717"/>
      <c r="D73" s="717"/>
      <c r="E73" s="717"/>
      <c r="F73" s="717"/>
      <c r="G73" s="717"/>
      <c r="H73" s="717"/>
      <c r="I73" s="717"/>
      <c r="J73" s="717"/>
      <c r="K73" s="717"/>
      <c r="L73" s="717"/>
      <c r="M73" s="717"/>
      <c r="N73" s="717"/>
      <c r="O73" s="717"/>
    </row>
    <row r="74" spans="1:15" x14ac:dyDescent="0.25">
      <c r="A74" s="717"/>
      <c r="B74" s="717"/>
      <c r="C74" s="717"/>
      <c r="D74" s="717"/>
      <c r="E74" s="717"/>
      <c r="F74" s="717"/>
      <c r="G74" s="717"/>
      <c r="H74" s="717"/>
      <c r="I74" s="717"/>
      <c r="J74" s="717"/>
      <c r="K74" s="717"/>
      <c r="L74" s="717"/>
      <c r="M74" s="717"/>
      <c r="N74" s="717"/>
      <c r="O74" s="717"/>
    </row>
    <row r="75" spans="1:15" x14ac:dyDescent="0.25">
      <c r="A75" s="717"/>
      <c r="B75" s="717"/>
      <c r="C75" s="717"/>
      <c r="D75" s="717"/>
      <c r="E75" s="717"/>
      <c r="F75" s="717"/>
      <c r="G75" s="717"/>
      <c r="H75" s="717"/>
      <c r="I75" s="717"/>
      <c r="J75" s="717"/>
      <c r="K75" s="717"/>
      <c r="L75" s="717"/>
      <c r="M75" s="717"/>
      <c r="N75" s="717"/>
      <c r="O75" s="717"/>
    </row>
    <row r="76" spans="1:15" x14ac:dyDescent="0.25">
      <c r="A76" s="717"/>
      <c r="B76" s="717"/>
      <c r="C76" s="717"/>
      <c r="D76" s="717"/>
      <c r="E76" s="717"/>
      <c r="F76" s="717"/>
      <c r="G76" s="717"/>
      <c r="H76" s="717"/>
      <c r="I76" s="717"/>
      <c r="J76" s="717"/>
      <c r="K76" s="717"/>
      <c r="L76" s="717"/>
      <c r="M76" s="717"/>
      <c r="N76" s="717"/>
      <c r="O76" s="717"/>
    </row>
    <row r="77" spans="1:15" x14ac:dyDescent="0.25">
      <c r="A77" s="717"/>
      <c r="B77" s="717"/>
      <c r="C77" s="717"/>
      <c r="D77" s="717"/>
      <c r="E77" s="717"/>
      <c r="F77" s="717"/>
      <c r="G77" s="717"/>
      <c r="H77" s="717"/>
      <c r="I77" s="717"/>
      <c r="J77" s="717"/>
      <c r="K77" s="717"/>
      <c r="L77" s="717"/>
      <c r="M77" s="717"/>
      <c r="N77" s="717"/>
      <c r="O77" s="717"/>
    </row>
    <row r="78" spans="1:15" x14ac:dyDescent="0.25">
      <c r="A78" s="717"/>
      <c r="B78" s="717"/>
      <c r="C78" s="717"/>
      <c r="D78" s="717"/>
      <c r="E78" s="717"/>
      <c r="F78" s="717"/>
      <c r="G78" s="717"/>
      <c r="H78" s="717"/>
      <c r="I78" s="717"/>
      <c r="J78" s="717"/>
      <c r="K78" s="717"/>
      <c r="L78" s="717"/>
      <c r="M78" s="717"/>
      <c r="N78" s="717"/>
      <c r="O78" s="717"/>
    </row>
    <row r="79" spans="1:15" x14ac:dyDescent="0.25">
      <c r="A79" s="717"/>
      <c r="B79" s="717"/>
      <c r="C79" s="717"/>
      <c r="D79" s="717"/>
      <c r="E79" s="717"/>
      <c r="F79" s="717"/>
      <c r="G79" s="717"/>
      <c r="H79" s="717"/>
      <c r="I79" s="717"/>
      <c r="J79" s="717"/>
      <c r="K79" s="717"/>
      <c r="L79" s="717"/>
      <c r="M79" s="717"/>
      <c r="N79" s="717"/>
      <c r="O79" s="717"/>
    </row>
    <row r="80" spans="1:15" x14ac:dyDescent="0.25">
      <c r="A80" s="717"/>
      <c r="B80" s="717"/>
      <c r="C80" s="717"/>
      <c r="D80" s="717"/>
      <c r="E80" s="717"/>
      <c r="F80" s="717"/>
      <c r="G80" s="717"/>
      <c r="H80" s="717"/>
      <c r="I80" s="717"/>
      <c r="J80" s="717"/>
      <c r="K80" s="717"/>
      <c r="L80" s="717"/>
      <c r="M80" s="717"/>
      <c r="N80" s="717"/>
      <c r="O80" s="717"/>
    </row>
    <row r="81" spans="1:15" x14ac:dyDescent="0.25">
      <c r="A81" s="717"/>
      <c r="B81" s="717"/>
      <c r="C81" s="717"/>
      <c r="D81" s="717"/>
      <c r="E81" s="717"/>
      <c r="F81" s="717"/>
      <c r="G81" s="717"/>
      <c r="H81" s="717"/>
      <c r="I81" s="717"/>
      <c r="J81" s="717"/>
      <c r="K81" s="717"/>
      <c r="L81" s="717"/>
      <c r="M81" s="717"/>
      <c r="N81" s="717"/>
      <c r="O81" s="717"/>
    </row>
    <row r="82" spans="1:15" x14ac:dyDescent="0.25">
      <c r="A82" s="717"/>
      <c r="B82" s="717"/>
      <c r="C82" s="717"/>
      <c r="D82" s="717"/>
      <c r="E82" s="717"/>
      <c r="F82" s="717"/>
      <c r="G82" s="717"/>
      <c r="H82" s="717"/>
      <c r="I82" s="717"/>
      <c r="J82" s="717"/>
      <c r="K82" s="717"/>
      <c r="L82" s="717"/>
      <c r="M82" s="717"/>
      <c r="N82" s="717"/>
      <c r="O82" s="717"/>
    </row>
    <row r="83" spans="1:15" x14ac:dyDescent="0.25">
      <c r="A83" s="717"/>
      <c r="B83" s="717"/>
      <c r="C83" s="717"/>
      <c r="D83" s="717"/>
      <c r="E83" s="717"/>
      <c r="F83" s="717"/>
      <c r="G83" s="717"/>
      <c r="H83" s="717"/>
      <c r="I83" s="717"/>
      <c r="J83" s="717"/>
      <c r="K83" s="717"/>
      <c r="L83" s="717"/>
      <c r="M83" s="717"/>
      <c r="N83" s="717"/>
      <c r="O83" s="717"/>
    </row>
    <row r="84" spans="1:15" x14ac:dyDescent="0.25">
      <c r="A84" s="717"/>
      <c r="B84" s="717"/>
      <c r="C84" s="717"/>
      <c r="D84" s="717"/>
      <c r="E84" s="717"/>
      <c r="F84" s="717"/>
      <c r="G84" s="717"/>
      <c r="H84" s="717"/>
      <c r="I84" s="717"/>
      <c r="J84" s="717"/>
      <c r="K84" s="717"/>
      <c r="L84" s="717"/>
      <c r="M84" s="717"/>
      <c r="N84" s="717"/>
      <c r="O84" s="717"/>
    </row>
    <row r="85" spans="1:15" x14ac:dyDescent="0.25">
      <c r="A85" s="717"/>
      <c r="B85" s="717"/>
      <c r="C85" s="717"/>
      <c r="D85" s="717"/>
      <c r="E85" s="717"/>
      <c r="F85" s="717"/>
      <c r="G85" s="717"/>
      <c r="H85" s="717"/>
      <c r="I85" s="717"/>
      <c r="J85" s="717"/>
      <c r="K85" s="717"/>
      <c r="L85" s="717"/>
      <c r="M85" s="717"/>
      <c r="N85" s="717"/>
      <c r="O85" s="717"/>
    </row>
    <row r="86" spans="1:15" x14ac:dyDescent="0.25">
      <c r="A86" s="717"/>
      <c r="B86" s="717"/>
      <c r="C86" s="717"/>
      <c r="D86" s="717"/>
      <c r="E86" s="717"/>
      <c r="F86" s="717"/>
      <c r="G86" s="717"/>
      <c r="H86" s="717"/>
      <c r="I86" s="717"/>
      <c r="J86" s="717"/>
      <c r="K86" s="717"/>
      <c r="L86" s="717"/>
      <c r="M86" s="717"/>
      <c r="N86" s="717"/>
      <c r="O86" s="717"/>
    </row>
    <row r="87" spans="1:15" x14ac:dyDescent="0.25">
      <c r="A87" s="717"/>
      <c r="B87" s="717"/>
      <c r="C87" s="717"/>
      <c r="D87" s="717"/>
      <c r="E87" s="717"/>
      <c r="F87" s="717"/>
      <c r="G87" s="717"/>
      <c r="H87" s="717"/>
      <c r="I87" s="717"/>
      <c r="J87" s="717"/>
      <c r="K87" s="717"/>
      <c r="L87" s="717"/>
      <c r="M87" s="717"/>
      <c r="N87" s="717"/>
      <c r="O87" s="717"/>
    </row>
    <row r="88" spans="1:15" x14ac:dyDescent="0.25">
      <c r="A88" s="717"/>
      <c r="B88" s="717"/>
      <c r="C88" s="717"/>
      <c r="D88" s="717"/>
      <c r="E88" s="717"/>
      <c r="F88" s="717"/>
      <c r="G88" s="717"/>
      <c r="H88" s="717"/>
      <c r="I88" s="717"/>
      <c r="J88" s="717"/>
      <c r="K88" s="717"/>
      <c r="L88" s="717"/>
      <c r="M88" s="717"/>
      <c r="N88" s="717"/>
      <c r="O88" s="717"/>
    </row>
    <row r="89" spans="1:15" x14ac:dyDescent="0.25">
      <c r="A89" s="717"/>
      <c r="B89" s="717"/>
      <c r="C89" s="717"/>
      <c r="D89" s="717"/>
      <c r="E89" s="717"/>
      <c r="F89" s="717"/>
      <c r="G89" s="717"/>
      <c r="H89" s="717"/>
      <c r="I89" s="717"/>
      <c r="J89" s="717"/>
      <c r="K89" s="717"/>
      <c r="L89" s="717"/>
      <c r="M89" s="717"/>
      <c r="N89" s="717"/>
      <c r="O89" s="717"/>
    </row>
    <row r="90" spans="1:15" x14ac:dyDescent="0.25">
      <c r="A90" s="717"/>
      <c r="B90" s="717"/>
      <c r="C90" s="717"/>
      <c r="D90" s="717"/>
      <c r="E90" s="717"/>
      <c r="F90" s="717"/>
      <c r="G90" s="717"/>
      <c r="H90" s="717"/>
      <c r="I90" s="717"/>
      <c r="J90" s="717"/>
      <c r="K90" s="717"/>
      <c r="L90" s="717"/>
      <c r="M90" s="717"/>
      <c r="N90" s="717"/>
    </row>
    <row r="91" spans="1:15" x14ac:dyDescent="0.25">
      <c r="A91" s="717"/>
      <c r="B91" s="717"/>
      <c r="C91" s="717"/>
      <c r="D91" s="717"/>
      <c r="E91" s="717"/>
      <c r="F91" s="717"/>
      <c r="G91" s="717"/>
      <c r="H91" s="717"/>
      <c r="I91" s="717"/>
      <c r="J91" s="717"/>
      <c r="K91" s="717"/>
      <c r="L91" s="717"/>
      <c r="M91" s="717"/>
      <c r="N91" s="717"/>
    </row>
    <row r="92" spans="1:15" x14ac:dyDescent="0.25">
      <c r="A92" s="717"/>
      <c r="B92" s="717"/>
      <c r="C92" s="717"/>
      <c r="D92" s="717"/>
      <c r="E92" s="717"/>
      <c r="F92" s="717"/>
      <c r="G92" s="717"/>
      <c r="H92" s="717"/>
      <c r="I92" s="717"/>
      <c r="J92" s="717"/>
      <c r="K92" s="717"/>
      <c r="L92" s="717"/>
      <c r="M92" s="717"/>
      <c r="N92" s="717"/>
    </row>
    <row r="93" spans="1:15" x14ac:dyDescent="0.25">
      <c r="A93" s="717"/>
      <c r="B93" s="717"/>
      <c r="C93" s="717"/>
      <c r="D93" s="717"/>
      <c r="E93" s="717"/>
      <c r="F93" s="717"/>
      <c r="G93" s="717"/>
      <c r="H93" s="717"/>
      <c r="I93" s="717"/>
      <c r="J93" s="717"/>
      <c r="K93" s="717"/>
      <c r="L93" s="717"/>
      <c r="M93" s="717"/>
      <c r="N93" s="717"/>
    </row>
    <row r="94" spans="1:15" x14ac:dyDescent="0.25">
      <c r="A94" s="717"/>
      <c r="B94" s="717"/>
      <c r="C94" s="717"/>
      <c r="D94" s="717"/>
      <c r="E94" s="717"/>
      <c r="F94" s="717"/>
      <c r="G94" s="717"/>
      <c r="H94" s="717"/>
      <c r="I94" s="717"/>
      <c r="J94" s="717"/>
      <c r="K94" s="717"/>
      <c r="L94" s="717"/>
      <c r="M94" s="717"/>
      <c r="N94" s="717"/>
    </row>
    <row r="95" spans="1:15" x14ac:dyDescent="0.25">
      <c r="A95" s="717"/>
      <c r="B95" s="717"/>
      <c r="C95" s="717"/>
      <c r="D95" s="717"/>
      <c r="E95" s="717"/>
      <c r="F95" s="717"/>
      <c r="G95" s="717"/>
      <c r="H95" s="717"/>
      <c r="I95" s="717"/>
      <c r="J95" s="717"/>
      <c r="K95" s="717"/>
      <c r="L95" s="717"/>
      <c r="M95" s="717"/>
      <c r="N95" s="717"/>
    </row>
    <row r="96" spans="1:15" x14ac:dyDescent="0.25">
      <c r="A96" s="717"/>
      <c r="B96" s="717"/>
      <c r="C96" s="717"/>
      <c r="D96" s="717"/>
      <c r="E96" s="717"/>
      <c r="F96" s="717"/>
      <c r="G96" s="717"/>
      <c r="H96" s="717"/>
      <c r="I96" s="717"/>
      <c r="J96" s="717"/>
      <c r="K96" s="717"/>
      <c r="L96" s="717"/>
      <c r="M96" s="717"/>
      <c r="N96" s="717"/>
    </row>
    <row r="97" spans="1:14" x14ac:dyDescent="0.25">
      <c r="A97" s="717"/>
      <c r="B97" s="717"/>
      <c r="C97" s="717"/>
      <c r="D97" s="717"/>
      <c r="E97" s="717"/>
      <c r="F97" s="717"/>
      <c r="G97" s="717"/>
      <c r="H97" s="717"/>
      <c r="I97" s="717"/>
      <c r="J97" s="717"/>
      <c r="K97" s="717"/>
      <c r="L97" s="717"/>
      <c r="M97" s="717"/>
      <c r="N97" s="717"/>
    </row>
    <row r="98" spans="1:14" x14ac:dyDescent="0.25">
      <c r="A98" s="717"/>
      <c r="B98" s="717"/>
      <c r="C98" s="717"/>
      <c r="D98" s="717"/>
      <c r="E98" s="717"/>
      <c r="F98" s="717"/>
      <c r="G98" s="717"/>
      <c r="H98" s="717"/>
      <c r="I98" s="717"/>
      <c r="J98" s="717"/>
      <c r="K98" s="717"/>
      <c r="L98" s="717"/>
      <c r="M98" s="717"/>
      <c r="N98" s="717"/>
    </row>
    <row r="99" spans="1:14" x14ac:dyDescent="0.25">
      <c r="A99" s="717"/>
      <c r="B99" s="717"/>
      <c r="C99" s="717"/>
      <c r="D99" s="717"/>
      <c r="E99" s="717"/>
      <c r="F99" s="717"/>
      <c r="G99" s="717"/>
      <c r="H99" s="717"/>
      <c r="I99" s="717"/>
      <c r="J99" s="717"/>
      <c r="K99" s="717"/>
      <c r="L99" s="717"/>
      <c r="M99" s="717"/>
      <c r="N99" s="717"/>
    </row>
    <row r="100" spans="1:14" x14ac:dyDescent="0.25">
      <c r="A100" s="717"/>
      <c r="B100" s="717"/>
      <c r="C100" s="717"/>
      <c r="D100" s="717"/>
      <c r="E100" s="717"/>
      <c r="F100" s="717"/>
      <c r="G100" s="717"/>
      <c r="H100" s="717"/>
      <c r="I100" s="717"/>
      <c r="J100" s="717"/>
      <c r="K100" s="717"/>
      <c r="L100" s="717"/>
      <c r="M100" s="717"/>
      <c r="N100" s="717"/>
    </row>
    <row r="101" spans="1:14" x14ac:dyDescent="0.25">
      <c r="A101" s="717"/>
      <c r="B101" s="717"/>
      <c r="C101" s="717"/>
      <c r="D101" s="717"/>
      <c r="E101" s="717"/>
      <c r="F101" s="717"/>
      <c r="G101" s="717"/>
      <c r="H101" s="717"/>
      <c r="I101" s="717"/>
      <c r="J101" s="717"/>
      <c r="K101" s="717"/>
      <c r="L101" s="717"/>
      <c r="M101" s="717"/>
      <c r="N101" s="717"/>
    </row>
    <row r="102" spans="1:14" x14ac:dyDescent="0.25">
      <c r="A102" s="717"/>
      <c r="B102" s="717"/>
      <c r="C102" s="717"/>
      <c r="D102" s="717"/>
      <c r="E102" s="717"/>
      <c r="F102" s="717"/>
      <c r="G102" s="717"/>
      <c r="H102" s="717"/>
      <c r="I102" s="717"/>
      <c r="J102" s="717"/>
      <c r="K102" s="717"/>
      <c r="L102" s="717"/>
      <c r="M102" s="717"/>
      <c r="N102" s="717"/>
    </row>
    <row r="103" spans="1:14" x14ac:dyDescent="0.25">
      <c r="A103" s="717"/>
      <c r="B103" s="717"/>
      <c r="C103" s="717"/>
      <c r="D103" s="717"/>
      <c r="E103" s="717"/>
      <c r="F103" s="717"/>
      <c r="G103" s="717"/>
      <c r="H103" s="717"/>
      <c r="I103" s="717"/>
      <c r="J103" s="717"/>
      <c r="K103" s="717"/>
      <c r="L103" s="717"/>
      <c r="M103" s="717"/>
      <c r="N103" s="717"/>
    </row>
    <row r="104" spans="1:14" x14ac:dyDescent="0.25">
      <c r="A104" s="717"/>
      <c r="B104" s="717"/>
      <c r="C104" s="717"/>
      <c r="D104" s="717"/>
      <c r="E104" s="717"/>
      <c r="F104" s="717"/>
      <c r="G104" s="717"/>
      <c r="H104" s="717"/>
      <c r="I104" s="717"/>
      <c r="J104" s="717"/>
      <c r="K104" s="717"/>
      <c r="L104" s="717"/>
      <c r="M104" s="717"/>
      <c r="N104" s="717"/>
    </row>
    <row r="105" spans="1:14" x14ac:dyDescent="0.25">
      <c r="A105" s="717"/>
      <c r="B105" s="717"/>
      <c r="C105" s="717"/>
      <c r="D105" s="717"/>
      <c r="E105" s="717"/>
      <c r="F105" s="717"/>
      <c r="G105" s="717"/>
      <c r="H105" s="717"/>
      <c r="I105" s="717"/>
      <c r="J105" s="717"/>
      <c r="K105" s="717"/>
      <c r="L105" s="717"/>
      <c r="M105" s="717"/>
      <c r="N105" s="717"/>
    </row>
    <row r="106" spans="1:14" x14ac:dyDescent="0.25">
      <c r="A106" s="717"/>
      <c r="B106" s="717"/>
      <c r="C106" s="717"/>
      <c r="D106" s="717"/>
      <c r="E106" s="717"/>
      <c r="F106" s="717"/>
      <c r="G106" s="717"/>
      <c r="H106" s="717"/>
      <c r="I106" s="717"/>
      <c r="J106" s="717"/>
      <c r="K106" s="717"/>
      <c r="L106" s="717"/>
      <c r="M106" s="717"/>
      <c r="N106" s="717"/>
    </row>
    <row r="107" spans="1:14" x14ac:dyDescent="0.25">
      <c r="A107" s="717"/>
      <c r="B107" s="717"/>
      <c r="C107" s="717"/>
      <c r="D107" s="717"/>
      <c r="E107" s="717"/>
      <c r="F107" s="717"/>
      <c r="G107" s="717"/>
      <c r="H107" s="717"/>
      <c r="I107" s="717"/>
      <c r="J107" s="717"/>
      <c r="K107" s="717"/>
      <c r="L107" s="717"/>
      <c r="M107" s="717"/>
      <c r="N107" s="717"/>
    </row>
    <row r="108" spans="1:14" x14ac:dyDescent="0.25">
      <c r="A108" s="717"/>
      <c r="B108" s="717"/>
      <c r="C108" s="717"/>
      <c r="D108" s="717"/>
      <c r="E108" s="717"/>
      <c r="F108" s="717"/>
      <c r="G108" s="717"/>
      <c r="H108" s="717"/>
      <c r="I108" s="717"/>
      <c r="J108" s="717"/>
      <c r="K108" s="717"/>
      <c r="L108" s="717"/>
      <c r="M108" s="717"/>
      <c r="N108" s="717"/>
    </row>
    <row r="109" spans="1:14" x14ac:dyDescent="0.25">
      <c r="A109" s="717"/>
      <c r="B109" s="717"/>
      <c r="C109" s="717"/>
      <c r="D109" s="717"/>
      <c r="E109" s="717"/>
      <c r="F109" s="717"/>
      <c r="G109" s="717"/>
      <c r="H109" s="717"/>
      <c r="I109" s="717"/>
      <c r="J109" s="717"/>
      <c r="K109" s="717"/>
      <c r="L109" s="717"/>
      <c r="M109" s="717"/>
      <c r="N109" s="717"/>
    </row>
    <row r="110" spans="1:14" x14ac:dyDescent="0.25">
      <c r="A110" s="717"/>
      <c r="B110" s="717"/>
      <c r="C110" s="717"/>
      <c r="D110" s="717"/>
      <c r="E110" s="717"/>
      <c r="F110" s="717"/>
      <c r="G110" s="717"/>
      <c r="H110" s="717"/>
      <c r="I110" s="717"/>
      <c r="J110" s="717"/>
      <c r="K110" s="717"/>
      <c r="L110" s="717"/>
      <c r="M110" s="717"/>
      <c r="N110" s="717"/>
    </row>
    <row r="111" spans="1:14" x14ac:dyDescent="0.25">
      <c r="A111" s="717"/>
      <c r="B111" s="717"/>
      <c r="C111" s="717"/>
      <c r="D111" s="717"/>
      <c r="E111" s="717"/>
      <c r="F111" s="717"/>
      <c r="G111" s="717"/>
      <c r="H111" s="717"/>
      <c r="I111" s="717"/>
      <c r="J111" s="717"/>
      <c r="K111" s="717"/>
      <c r="L111" s="717"/>
      <c r="M111" s="717"/>
      <c r="N111" s="717"/>
    </row>
    <row r="112" spans="1:14" x14ac:dyDescent="0.25">
      <c r="A112" s="717"/>
      <c r="B112" s="717"/>
      <c r="C112" s="717"/>
      <c r="D112" s="717"/>
      <c r="E112" s="717"/>
      <c r="F112" s="717"/>
      <c r="G112" s="717"/>
      <c r="H112" s="717"/>
      <c r="I112" s="717"/>
      <c r="J112" s="717"/>
      <c r="K112" s="717"/>
      <c r="L112" s="717"/>
      <c r="M112" s="717"/>
      <c r="N112" s="717"/>
    </row>
    <row r="113" spans="1:14" x14ac:dyDescent="0.25">
      <c r="A113" s="717"/>
      <c r="B113" s="717"/>
      <c r="C113" s="717"/>
      <c r="D113" s="717"/>
      <c r="E113" s="717"/>
      <c r="F113" s="717"/>
      <c r="G113" s="717"/>
      <c r="H113" s="717"/>
      <c r="I113" s="717"/>
      <c r="J113" s="717"/>
      <c r="K113" s="717"/>
      <c r="L113" s="717"/>
      <c r="M113" s="717"/>
      <c r="N113" s="717"/>
    </row>
    <row r="114" spans="1:14" x14ac:dyDescent="0.25">
      <c r="A114" s="717"/>
      <c r="B114" s="717"/>
      <c r="C114" s="717"/>
      <c r="D114" s="717"/>
      <c r="E114" s="717"/>
      <c r="F114" s="717"/>
      <c r="G114" s="717"/>
      <c r="H114" s="717"/>
      <c r="I114" s="717"/>
      <c r="J114" s="717"/>
      <c r="K114" s="717"/>
      <c r="L114" s="717"/>
      <c r="M114" s="717"/>
      <c r="N114" s="717"/>
    </row>
    <row r="115" spans="1:14" x14ac:dyDescent="0.25">
      <c r="A115" s="717"/>
      <c r="B115" s="717"/>
      <c r="C115" s="717"/>
      <c r="D115" s="717"/>
      <c r="E115" s="717"/>
      <c r="F115" s="717"/>
      <c r="G115" s="717"/>
      <c r="H115" s="717"/>
      <c r="I115" s="717"/>
      <c r="J115" s="717"/>
      <c r="K115" s="717"/>
      <c r="L115" s="717"/>
      <c r="M115" s="717"/>
      <c r="N115" s="717"/>
    </row>
    <row r="116" spans="1:14" x14ac:dyDescent="0.25">
      <c r="A116" s="717"/>
      <c r="B116" s="717"/>
      <c r="C116" s="717"/>
      <c r="D116" s="717"/>
      <c r="E116" s="717"/>
      <c r="F116" s="717"/>
      <c r="G116" s="717"/>
      <c r="H116" s="717"/>
      <c r="I116" s="717"/>
      <c r="J116" s="717"/>
      <c r="K116" s="717"/>
      <c r="L116" s="717"/>
      <c r="M116" s="717"/>
      <c r="N116" s="717"/>
    </row>
    <row r="117" spans="1:14" x14ac:dyDescent="0.25">
      <c r="A117" s="717"/>
      <c r="B117" s="717"/>
      <c r="C117" s="717"/>
      <c r="D117" s="717"/>
      <c r="E117" s="717"/>
      <c r="F117" s="717"/>
      <c r="G117" s="717"/>
      <c r="H117" s="717"/>
      <c r="I117" s="717"/>
      <c r="J117" s="717"/>
      <c r="K117" s="717"/>
      <c r="L117" s="717"/>
      <c r="M117" s="717"/>
      <c r="N117" s="717"/>
    </row>
    <row r="118" spans="1:14" x14ac:dyDescent="0.25">
      <c r="A118" s="717"/>
      <c r="B118" s="717"/>
      <c r="C118" s="717"/>
      <c r="D118" s="717"/>
      <c r="E118" s="717"/>
      <c r="F118" s="717"/>
      <c r="G118" s="717"/>
      <c r="H118" s="717"/>
      <c r="I118" s="717"/>
      <c r="J118" s="717"/>
      <c r="K118" s="717"/>
      <c r="L118" s="717"/>
      <c r="M118" s="717"/>
      <c r="N118" s="717"/>
    </row>
    <row r="119" spans="1:14" x14ac:dyDescent="0.25">
      <c r="A119" s="717"/>
      <c r="B119" s="717"/>
      <c r="C119" s="717"/>
      <c r="D119" s="717"/>
      <c r="E119" s="717"/>
      <c r="F119" s="717"/>
      <c r="G119" s="717"/>
      <c r="H119" s="717"/>
      <c r="I119" s="717"/>
      <c r="J119" s="717"/>
      <c r="K119" s="717"/>
      <c r="L119" s="717"/>
      <c r="M119" s="717"/>
      <c r="N119" s="717"/>
    </row>
    <row r="120" spans="1:14" x14ac:dyDescent="0.25">
      <c r="A120" s="717"/>
      <c r="B120" s="717"/>
      <c r="C120" s="717"/>
      <c r="D120" s="717"/>
      <c r="E120" s="717"/>
      <c r="F120" s="717"/>
      <c r="G120" s="717"/>
      <c r="H120" s="717"/>
      <c r="I120" s="717"/>
      <c r="J120" s="717"/>
      <c r="K120" s="717"/>
      <c r="L120" s="717"/>
      <c r="M120" s="717"/>
      <c r="N120" s="717"/>
    </row>
    <row r="121" spans="1:14" x14ac:dyDescent="0.25">
      <c r="A121" s="717"/>
      <c r="B121" s="717"/>
      <c r="C121" s="717"/>
      <c r="D121" s="717"/>
      <c r="E121" s="717"/>
      <c r="F121" s="717"/>
      <c r="G121" s="717"/>
      <c r="H121" s="717"/>
      <c r="I121" s="717"/>
      <c r="J121" s="717"/>
      <c r="K121" s="717"/>
      <c r="L121" s="717"/>
      <c r="M121" s="717"/>
      <c r="N121" s="717"/>
    </row>
    <row r="122" spans="1:14" x14ac:dyDescent="0.25">
      <c r="A122" s="717"/>
      <c r="B122" s="717"/>
      <c r="C122" s="717"/>
      <c r="D122" s="717"/>
      <c r="E122" s="717"/>
      <c r="F122" s="717"/>
      <c r="G122" s="717"/>
      <c r="H122" s="717"/>
      <c r="I122" s="717"/>
      <c r="J122" s="717"/>
      <c r="K122" s="717"/>
      <c r="L122" s="717"/>
      <c r="M122" s="717"/>
      <c r="N122" s="717"/>
    </row>
    <row r="123" spans="1:14" x14ac:dyDescent="0.25">
      <c r="A123" s="717"/>
      <c r="B123" s="717"/>
      <c r="C123" s="717"/>
      <c r="D123" s="717"/>
      <c r="E123" s="717"/>
      <c r="F123" s="717"/>
      <c r="G123" s="717"/>
      <c r="H123" s="717"/>
      <c r="I123" s="717"/>
      <c r="J123" s="717"/>
      <c r="K123" s="717"/>
      <c r="L123" s="717"/>
      <c r="M123" s="717"/>
      <c r="N123" s="717"/>
    </row>
    <row r="124" spans="1:14" x14ac:dyDescent="0.25">
      <c r="A124" s="717"/>
      <c r="B124" s="717"/>
      <c r="C124" s="717"/>
      <c r="D124" s="717"/>
      <c r="E124" s="717"/>
      <c r="F124" s="717"/>
      <c r="G124" s="717"/>
      <c r="H124" s="717"/>
      <c r="I124" s="717"/>
      <c r="J124" s="717"/>
      <c r="K124" s="717"/>
      <c r="L124" s="717"/>
      <c r="M124" s="717"/>
      <c r="N124" s="717"/>
    </row>
    <row r="125" spans="1:14" x14ac:dyDescent="0.25">
      <c r="A125" s="717"/>
      <c r="B125" s="717"/>
      <c r="C125" s="717"/>
      <c r="D125" s="717"/>
      <c r="E125" s="717"/>
      <c r="F125" s="717"/>
      <c r="G125" s="717"/>
      <c r="H125" s="717"/>
      <c r="I125" s="717"/>
      <c r="J125" s="717"/>
      <c r="K125" s="717"/>
      <c r="L125" s="717"/>
      <c r="M125" s="717"/>
      <c r="N125" s="717"/>
    </row>
    <row r="126" spans="1:14" x14ac:dyDescent="0.25">
      <c r="A126" s="717"/>
      <c r="B126" s="717"/>
      <c r="C126" s="717"/>
      <c r="D126" s="717"/>
      <c r="E126" s="717"/>
      <c r="F126" s="717"/>
      <c r="G126" s="717"/>
      <c r="H126" s="717"/>
      <c r="I126" s="717"/>
      <c r="J126" s="717"/>
      <c r="K126" s="717"/>
      <c r="L126" s="717"/>
      <c r="M126" s="717"/>
      <c r="N126" s="717"/>
    </row>
    <row r="127" spans="1:14" x14ac:dyDescent="0.25">
      <c r="A127" s="717"/>
      <c r="B127" s="717"/>
      <c r="C127" s="717"/>
      <c r="D127" s="717"/>
      <c r="E127" s="717"/>
      <c r="F127" s="717"/>
      <c r="G127" s="717"/>
      <c r="H127" s="717"/>
      <c r="I127" s="717"/>
      <c r="J127" s="717"/>
      <c r="K127" s="717"/>
      <c r="L127" s="717"/>
      <c r="M127" s="717"/>
      <c r="N127" s="717"/>
    </row>
    <row r="128" spans="1:14" x14ac:dyDescent="0.25">
      <c r="A128" s="717"/>
      <c r="B128" s="717"/>
      <c r="C128" s="717"/>
      <c r="D128" s="717"/>
      <c r="E128" s="717"/>
      <c r="F128" s="717"/>
      <c r="G128" s="717"/>
      <c r="H128" s="717"/>
      <c r="I128" s="717"/>
      <c r="J128" s="717"/>
      <c r="K128" s="717"/>
      <c r="L128" s="717"/>
      <c r="M128" s="717"/>
      <c r="N128" s="717"/>
    </row>
    <row r="129" spans="1:14" x14ac:dyDescent="0.25">
      <c r="A129" s="717"/>
      <c r="B129" s="717"/>
      <c r="C129" s="717"/>
      <c r="D129" s="717"/>
      <c r="E129" s="717"/>
      <c r="F129" s="717"/>
      <c r="G129" s="717"/>
      <c r="H129" s="717"/>
      <c r="I129" s="717"/>
      <c r="J129" s="717"/>
      <c r="K129" s="717"/>
      <c r="L129" s="717"/>
      <c r="M129" s="717"/>
      <c r="N129" s="717"/>
    </row>
    <row r="130" spans="1:14" x14ac:dyDescent="0.25">
      <c r="A130" s="717"/>
      <c r="B130" s="717"/>
      <c r="C130" s="717"/>
      <c r="D130" s="717"/>
      <c r="E130" s="717"/>
      <c r="F130" s="717"/>
      <c r="G130" s="717"/>
      <c r="H130" s="717"/>
      <c r="I130" s="717"/>
      <c r="J130" s="717"/>
      <c r="K130" s="717"/>
      <c r="L130" s="717"/>
      <c r="M130" s="717"/>
      <c r="N130" s="717"/>
    </row>
    <row r="131" spans="1:14" x14ac:dyDescent="0.25">
      <c r="A131" s="717"/>
      <c r="B131" s="717"/>
      <c r="C131" s="717"/>
      <c r="D131" s="717"/>
      <c r="E131" s="717"/>
      <c r="F131" s="717"/>
      <c r="G131" s="717"/>
      <c r="H131" s="717"/>
      <c r="I131" s="717"/>
      <c r="J131" s="717"/>
      <c r="K131" s="717"/>
      <c r="L131" s="717"/>
      <c r="M131" s="717"/>
      <c r="N131" s="717"/>
    </row>
    <row r="132" spans="1:14" x14ac:dyDescent="0.25">
      <c r="A132" s="717"/>
      <c r="B132" s="717"/>
      <c r="C132" s="717"/>
      <c r="D132" s="717"/>
      <c r="E132" s="717"/>
      <c r="F132" s="717"/>
      <c r="G132" s="717"/>
      <c r="H132" s="717"/>
      <c r="I132" s="717"/>
      <c r="J132" s="717"/>
      <c r="K132" s="717"/>
      <c r="L132" s="717"/>
      <c r="M132" s="717"/>
      <c r="N132" s="717"/>
    </row>
    <row r="133" spans="1:14" x14ac:dyDescent="0.25">
      <c r="A133" s="717"/>
      <c r="B133" s="717"/>
      <c r="C133" s="717"/>
      <c r="D133" s="717"/>
      <c r="E133" s="717"/>
      <c r="F133" s="717"/>
      <c r="G133" s="717"/>
      <c r="H133" s="717"/>
      <c r="I133" s="717"/>
      <c r="J133" s="717"/>
      <c r="K133" s="717"/>
      <c r="L133" s="717"/>
      <c r="M133" s="717"/>
      <c r="N133" s="717"/>
    </row>
    <row r="134" spans="1:14" x14ac:dyDescent="0.25">
      <c r="A134" s="717"/>
      <c r="B134" s="717"/>
      <c r="C134" s="717"/>
      <c r="D134" s="717"/>
      <c r="E134" s="717"/>
      <c r="F134" s="717"/>
      <c r="G134" s="717"/>
      <c r="H134" s="717"/>
      <c r="I134" s="717"/>
      <c r="J134" s="717"/>
      <c r="K134" s="717"/>
      <c r="L134" s="717"/>
      <c r="M134" s="717"/>
      <c r="N134" s="717"/>
    </row>
    <row r="135" spans="1:14" x14ac:dyDescent="0.25">
      <c r="A135" s="717"/>
      <c r="B135" s="717"/>
      <c r="C135" s="717"/>
      <c r="D135" s="717"/>
      <c r="E135" s="717"/>
      <c r="F135" s="717"/>
      <c r="G135" s="717"/>
      <c r="H135" s="717"/>
      <c r="I135" s="717"/>
      <c r="J135" s="717"/>
      <c r="K135" s="717"/>
      <c r="L135" s="717"/>
      <c r="M135" s="717"/>
      <c r="N135" s="717"/>
    </row>
    <row r="136" spans="1:14" x14ac:dyDescent="0.25">
      <c r="A136" s="717"/>
      <c r="B136" s="717"/>
      <c r="C136" s="717"/>
      <c r="D136" s="717"/>
      <c r="E136" s="717"/>
      <c r="F136" s="717"/>
      <c r="G136" s="717"/>
      <c r="H136" s="717"/>
      <c r="I136" s="717"/>
      <c r="J136" s="717"/>
      <c r="K136" s="717"/>
      <c r="L136" s="717"/>
      <c r="M136" s="717"/>
      <c r="N136" s="717"/>
    </row>
    <row r="137" spans="1:14" x14ac:dyDescent="0.25">
      <c r="A137" s="717"/>
      <c r="B137" s="717"/>
      <c r="C137" s="717"/>
      <c r="D137" s="717"/>
      <c r="E137" s="717"/>
      <c r="F137" s="717"/>
      <c r="G137" s="717"/>
      <c r="H137" s="717"/>
      <c r="I137" s="717"/>
      <c r="J137" s="717"/>
      <c r="K137" s="717"/>
      <c r="L137" s="717"/>
      <c r="M137" s="717"/>
      <c r="N137" s="717"/>
    </row>
    <row r="138" spans="1:14" x14ac:dyDescent="0.25">
      <c r="A138" s="717"/>
      <c r="B138" s="717"/>
      <c r="C138" s="717"/>
      <c r="D138" s="717"/>
      <c r="E138" s="717"/>
      <c r="F138" s="717"/>
      <c r="G138" s="717"/>
      <c r="H138" s="717"/>
      <c r="I138" s="717"/>
      <c r="J138" s="717"/>
      <c r="K138" s="717"/>
      <c r="L138" s="717"/>
      <c r="M138" s="717"/>
      <c r="N138" s="717"/>
    </row>
    <row r="139" spans="1:14" x14ac:dyDescent="0.25">
      <c r="A139" s="717"/>
      <c r="B139" s="717"/>
      <c r="C139" s="717"/>
      <c r="D139" s="717"/>
      <c r="E139" s="717"/>
      <c r="F139" s="717"/>
      <c r="G139" s="717"/>
      <c r="H139" s="717"/>
      <c r="I139" s="717"/>
      <c r="J139" s="717"/>
      <c r="K139" s="717"/>
      <c r="L139" s="717"/>
      <c r="M139" s="717"/>
      <c r="N139" s="717"/>
    </row>
    <row r="140" spans="1:14" x14ac:dyDescent="0.25">
      <c r="A140" s="717"/>
      <c r="B140" s="717"/>
      <c r="C140" s="717"/>
      <c r="D140" s="717"/>
      <c r="E140" s="717"/>
      <c r="F140" s="717"/>
      <c r="G140" s="717"/>
      <c r="H140" s="717"/>
      <c r="I140" s="717"/>
      <c r="J140" s="717"/>
      <c r="K140" s="717"/>
      <c r="L140" s="717"/>
      <c r="M140" s="717"/>
      <c r="N140" s="717"/>
    </row>
    <row r="141" spans="1:14" x14ac:dyDescent="0.25">
      <c r="A141" s="717"/>
      <c r="B141" s="717"/>
      <c r="C141" s="717"/>
      <c r="D141" s="717"/>
      <c r="E141" s="717"/>
      <c r="F141" s="717"/>
      <c r="G141" s="717"/>
      <c r="H141" s="717"/>
      <c r="I141" s="717"/>
      <c r="J141" s="717"/>
      <c r="K141" s="717"/>
      <c r="L141" s="717"/>
      <c r="M141" s="717"/>
      <c r="N141" s="717"/>
    </row>
    <row r="142" spans="1:14" x14ac:dyDescent="0.25">
      <c r="A142" s="717"/>
      <c r="B142" s="717"/>
      <c r="C142" s="717"/>
      <c r="D142" s="717"/>
      <c r="E142" s="717"/>
      <c r="F142" s="717"/>
      <c r="G142" s="717"/>
      <c r="H142" s="717"/>
      <c r="I142" s="717"/>
      <c r="J142" s="717"/>
      <c r="K142" s="717"/>
      <c r="L142" s="717"/>
      <c r="M142" s="717"/>
      <c r="N142" s="717"/>
    </row>
    <row r="143" spans="1:14" x14ac:dyDescent="0.25">
      <c r="A143" s="717"/>
      <c r="B143" s="717"/>
      <c r="C143" s="717"/>
      <c r="D143" s="717"/>
      <c r="E143" s="717"/>
      <c r="F143" s="717"/>
      <c r="G143" s="717"/>
      <c r="H143" s="717"/>
      <c r="I143" s="717"/>
      <c r="J143" s="717"/>
      <c r="K143" s="717"/>
      <c r="L143" s="717"/>
      <c r="M143" s="717"/>
      <c r="N143" s="717"/>
    </row>
    <row r="144" spans="1:14" x14ac:dyDescent="0.25">
      <c r="A144" s="717"/>
      <c r="B144" s="717"/>
      <c r="C144" s="717"/>
      <c r="D144" s="717"/>
      <c r="E144" s="717"/>
      <c r="F144" s="717"/>
      <c r="G144" s="717"/>
      <c r="H144" s="717"/>
      <c r="I144" s="717"/>
      <c r="J144" s="717"/>
      <c r="K144" s="717"/>
      <c r="L144" s="717"/>
      <c r="M144" s="717"/>
      <c r="N144" s="717"/>
    </row>
    <row r="145" spans="1:14" x14ac:dyDescent="0.25">
      <c r="A145" s="717"/>
      <c r="B145" s="717"/>
      <c r="C145" s="717"/>
      <c r="D145" s="717"/>
      <c r="E145" s="717"/>
      <c r="F145" s="717"/>
      <c r="G145" s="717"/>
      <c r="H145" s="717"/>
      <c r="I145" s="717"/>
      <c r="J145" s="717"/>
      <c r="K145" s="717"/>
      <c r="L145" s="717"/>
      <c r="M145" s="717"/>
      <c r="N145" s="717"/>
    </row>
    <row r="146" spans="1:14" x14ac:dyDescent="0.25">
      <c r="A146" s="717"/>
      <c r="B146" s="717"/>
      <c r="C146" s="717"/>
      <c r="D146" s="717"/>
      <c r="E146" s="717"/>
      <c r="F146" s="717"/>
      <c r="G146" s="717"/>
      <c r="H146" s="717"/>
      <c r="I146" s="717"/>
      <c r="J146" s="717"/>
      <c r="K146" s="717"/>
      <c r="L146" s="717"/>
      <c r="M146" s="717"/>
      <c r="N146" s="717"/>
    </row>
    <row r="147" spans="1:14" x14ac:dyDescent="0.25">
      <c r="A147" s="717"/>
      <c r="B147" s="717"/>
      <c r="C147" s="717"/>
      <c r="D147" s="717"/>
      <c r="E147" s="717"/>
      <c r="F147" s="717"/>
      <c r="G147" s="717"/>
      <c r="H147" s="717"/>
      <c r="I147" s="717"/>
      <c r="J147" s="717"/>
      <c r="K147" s="717"/>
      <c r="L147" s="717"/>
      <c r="M147" s="717"/>
      <c r="N147" s="717"/>
    </row>
    <row r="148" spans="1:14" x14ac:dyDescent="0.25">
      <c r="A148" s="717"/>
      <c r="B148" s="717"/>
      <c r="C148" s="717"/>
      <c r="D148" s="717"/>
      <c r="E148" s="717"/>
      <c r="F148" s="717"/>
      <c r="G148" s="717"/>
      <c r="H148" s="717"/>
      <c r="I148" s="717"/>
      <c r="J148" s="717"/>
      <c r="K148" s="717"/>
      <c r="L148" s="717"/>
      <c r="M148" s="717"/>
      <c r="N148" s="717"/>
    </row>
    <row r="149" spans="1:14" x14ac:dyDescent="0.25">
      <c r="A149" s="717"/>
      <c r="B149" s="717"/>
      <c r="C149" s="717"/>
      <c r="D149" s="717"/>
      <c r="E149" s="717"/>
      <c r="F149" s="717"/>
      <c r="G149" s="717"/>
      <c r="H149" s="717"/>
      <c r="I149" s="717"/>
      <c r="J149" s="717"/>
      <c r="K149" s="717"/>
      <c r="L149" s="717"/>
      <c r="M149" s="717"/>
      <c r="N149" s="717"/>
    </row>
    <row r="150" spans="1:14" x14ac:dyDescent="0.25">
      <c r="A150" s="717"/>
      <c r="B150" s="717"/>
      <c r="C150" s="717"/>
      <c r="D150" s="717"/>
      <c r="E150" s="717"/>
      <c r="F150" s="717"/>
      <c r="G150" s="717"/>
      <c r="H150" s="717"/>
      <c r="I150" s="717"/>
      <c r="J150" s="717"/>
      <c r="K150" s="717"/>
      <c r="L150" s="717"/>
      <c r="M150" s="717"/>
      <c r="N150" s="717"/>
    </row>
    <row r="151" spans="1:14" x14ac:dyDescent="0.25">
      <c r="A151" s="717"/>
      <c r="B151" s="717"/>
      <c r="C151" s="717"/>
      <c r="D151" s="717"/>
      <c r="E151" s="717"/>
      <c r="F151" s="717"/>
      <c r="G151" s="717"/>
      <c r="H151" s="717"/>
      <c r="I151" s="717"/>
      <c r="J151" s="717"/>
      <c r="K151" s="717"/>
      <c r="L151" s="717"/>
      <c r="M151" s="717"/>
      <c r="N151" s="717"/>
    </row>
  </sheetData>
  <sheetProtection algorithmName="SHA-512" hashValue="OAAMLDgg+0K/YBd1e1bBkRk2q/6zgtQoaUr4aahHqPkjcgsoCfot8y+VEZdLqbcihlmorIUmI9mdlpiuXp2g7w==" saltValue="+JiqspQ1zfXcn914apnMjQ==" spinCount="100000" sheet="1" objects="1" scenarios="1"/>
  <mergeCells count="3">
    <mergeCell ref="B2:N2"/>
    <mergeCell ref="B8:N8"/>
    <mergeCell ref="B32:N32"/>
  </mergeCells>
  <conditionalFormatting sqref="N16">
    <cfRule type="expression" dxfId="104" priority="14">
      <formula>$E11="EXCLUDE"</formula>
    </cfRule>
  </conditionalFormatting>
  <conditionalFormatting sqref="N24:N26">
    <cfRule type="expression" dxfId="103" priority="15">
      <formula>$E25="EXCLUDE"</formula>
    </cfRule>
  </conditionalFormatting>
  <conditionalFormatting sqref="N11 N14:N15 N23">
    <cfRule type="expression" dxfId="102" priority="16">
      <formula>$E12="EXCLUDE"</formula>
    </cfRule>
  </conditionalFormatting>
  <conditionalFormatting sqref="N12">
    <cfRule type="expression" dxfId="101" priority="17">
      <formula>$E14="EXCLUDE"</formula>
    </cfRule>
  </conditionalFormatting>
  <conditionalFormatting sqref="N13 N21">
    <cfRule type="expression" dxfId="100" priority="18">
      <formula>$E20="EXCLUDE"</formula>
    </cfRule>
  </conditionalFormatting>
  <conditionalFormatting sqref="N27:N28 N18">
    <cfRule type="expression" dxfId="99" priority="19">
      <formula>$E21="EXCLUDE"</formula>
    </cfRule>
  </conditionalFormatting>
  <conditionalFormatting sqref="N30">
    <cfRule type="expression" dxfId="98" priority="20">
      <formula>$E23="EXCLUDE"</formula>
    </cfRule>
  </conditionalFormatting>
  <conditionalFormatting sqref="N17 N29 N19 N22">
    <cfRule type="expression" dxfId="97" priority="21">
      <formula>$E17="EXCLUDE"</formula>
    </cfRule>
  </conditionalFormatting>
  <conditionalFormatting sqref="N20">
    <cfRule type="expression" dxfId="96" priority="22">
      <formula>$E18="EXCLUDE"</formula>
    </cfRule>
  </conditionalFormatting>
  <conditionalFormatting sqref="N50">
    <cfRule type="expression" dxfId="95" priority="5">
      <formula>$E45="EXCLUDE"</formula>
    </cfRule>
  </conditionalFormatting>
  <conditionalFormatting sqref="N58:N60">
    <cfRule type="expression" dxfId="94" priority="6">
      <formula>$E59="EXCLUDE"</formula>
    </cfRule>
  </conditionalFormatting>
  <conditionalFormatting sqref="N48:N49 N57">
    <cfRule type="expression" dxfId="93" priority="7">
      <formula>$E49="EXCLUDE"</formula>
    </cfRule>
  </conditionalFormatting>
  <conditionalFormatting sqref="N46">
    <cfRule type="expression" dxfId="92" priority="8">
      <formula>$E48="EXCLUDE"</formula>
    </cfRule>
  </conditionalFormatting>
  <conditionalFormatting sqref="N47 N55">
    <cfRule type="expression" dxfId="91" priority="9">
      <formula>$E54="EXCLUDE"</formula>
    </cfRule>
  </conditionalFormatting>
  <conditionalFormatting sqref="N61:N62 N52">
    <cfRule type="expression" dxfId="90" priority="10">
      <formula>$E55="EXCLUDE"</formula>
    </cfRule>
  </conditionalFormatting>
  <conditionalFormatting sqref="N64">
    <cfRule type="expression" dxfId="89" priority="11">
      <formula>$E57="EXCLUDE"</formula>
    </cfRule>
  </conditionalFormatting>
  <conditionalFormatting sqref="N51 N63 N53 N56">
    <cfRule type="expression" dxfId="88" priority="12">
      <formula>$E51="EXCLUDE"</formula>
    </cfRule>
  </conditionalFormatting>
  <conditionalFormatting sqref="N54">
    <cfRule type="expression" dxfId="87" priority="13">
      <formula>$E52="EXCLUDE"</formula>
    </cfRule>
  </conditionalFormatting>
  <conditionalFormatting sqref="N36:N45">
    <cfRule type="expression" dxfId="86"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A14" workbookViewId="0">
      <selection activeCell="C15" sqref="C15"/>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795" t="s">
        <v>113</v>
      </c>
    </row>
    <row r="2" spans="1:37" x14ac:dyDescent="0.2">
      <c r="I2" s="631"/>
      <c r="J2" s="1317"/>
      <c r="K2" s="1317"/>
      <c r="O2" s="631"/>
      <c r="P2" s="631"/>
      <c r="Q2" s="631"/>
      <c r="R2" s="631"/>
      <c r="S2" s="631"/>
      <c r="T2" s="631"/>
      <c r="U2" s="631"/>
      <c r="V2" s="631"/>
      <c r="W2" s="631"/>
      <c r="X2" s="631"/>
      <c r="Y2" s="631"/>
      <c r="Z2" s="631"/>
      <c r="AA2" s="631"/>
      <c r="AH2" s="146" t="s">
        <v>62</v>
      </c>
      <c r="AI2" s="146" t="s">
        <v>1</v>
      </c>
      <c r="AJ2" s="146" t="s">
        <v>62</v>
      </c>
      <c r="AK2" s="795" t="s">
        <v>113</v>
      </c>
    </row>
    <row r="3" spans="1:37" x14ac:dyDescent="0.2">
      <c r="I3" s="632" t="s">
        <v>946</v>
      </c>
      <c r="J3" s="1267" t="e">
        <f>VLOOKUP($J$4,'Market Geography'!$D:$G,4,FALSE)</f>
        <v>#N/A</v>
      </c>
      <c r="K3" s="1267"/>
      <c r="O3" s="631"/>
      <c r="P3" s="631"/>
      <c r="Q3" s="631"/>
      <c r="R3" s="631"/>
      <c r="S3" s="631"/>
      <c r="T3" s="631"/>
      <c r="U3" s="631"/>
      <c r="V3" s="631"/>
      <c r="W3" s="631"/>
      <c r="X3" s="631"/>
      <c r="Y3" s="631"/>
      <c r="Z3" s="631"/>
      <c r="AA3" s="631"/>
      <c r="AH3" s="146" t="s">
        <v>74</v>
      </c>
      <c r="AI3" s="146" t="s">
        <v>1</v>
      </c>
      <c r="AJ3" s="146" t="s">
        <v>74</v>
      </c>
      <c r="AK3" s="795" t="s">
        <v>113</v>
      </c>
    </row>
    <row r="4" spans="1:37" x14ac:dyDescent="0.2">
      <c r="I4" s="632" t="s">
        <v>947</v>
      </c>
      <c r="J4" s="1267">
        <f>Welcome!$D$4</f>
        <v>0</v>
      </c>
      <c r="K4" s="1267"/>
      <c r="L4" s="633"/>
      <c r="M4" s="633"/>
      <c r="O4" s="631"/>
      <c r="P4" s="631"/>
      <c r="Q4" s="631"/>
      <c r="R4" s="631"/>
      <c r="S4" s="631"/>
      <c r="T4" s="631"/>
      <c r="U4" s="631"/>
      <c r="V4" s="631"/>
      <c r="W4" s="631"/>
      <c r="X4" s="631"/>
      <c r="Y4" s="631"/>
      <c r="Z4" s="631"/>
      <c r="AA4" s="631"/>
      <c r="AC4" s="27"/>
      <c r="AH4" s="146" t="s">
        <v>34</v>
      </c>
      <c r="AI4" s="146" t="s">
        <v>1</v>
      </c>
      <c r="AJ4" s="146" t="s">
        <v>34</v>
      </c>
      <c r="AK4" s="795" t="s">
        <v>113</v>
      </c>
    </row>
    <row r="5" spans="1:37" x14ac:dyDescent="0.2">
      <c r="I5" s="632" t="s">
        <v>948</v>
      </c>
      <c r="J5" s="1318" t="e">
        <f>VLOOKUP($J$4,'Market Geography'!$D:$F,3,FALSE)</f>
        <v>#N/A</v>
      </c>
      <c r="K5" s="1318"/>
      <c r="O5" s="631"/>
      <c r="P5" s="631"/>
      <c r="Q5" s="631"/>
      <c r="R5" s="631"/>
      <c r="S5" s="631"/>
      <c r="T5" s="631"/>
      <c r="U5" s="631"/>
      <c r="V5" s="631"/>
      <c r="W5" s="631"/>
      <c r="X5" s="631"/>
      <c r="Y5" s="631"/>
      <c r="Z5" s="631"/>
      <c r="AA5" s="631"/>
      <c r="AH5" s="146" t="s">
        <v>0</v>
      </c>
      <c r="AI5" s="146" t="s">
        <v>1</v>
      </c>
      <c r="AJ5" s="146" t="s">
        <v>0</v>
      </c>
      <c r="AK5" s="795" t="s">
        <v>113</v>
      </c>
    </row>
    <row r="6" spans="1:37" x14ac:dyDescent="0.2">
      <c r="I6" s="634" t="s">
        <v>949</v>
      </c>
      <c r="J6" s="1267" t="s">
        <v>134</v>
      </c>
      <c r="K6" s="1267" t="s">
        <v>207</v>
      </c>
      <c r="O6" s="631"/>
      <c r="P6" s="631"/>
      <c r="Q6" s="631"/>
      <c r="R6" s="631"/>
      <c r="S6" s="631"/>
      <c r="T6" s="631"/>
      <c r="U6" s="631"/>
      <c r="V6" s="631"/>
      <c r="W6" s="631"/>
      <c r="X6" s="631"/>
      <c r="Y6" s="631"/>
      <c r="Z6" s="631"/>
      <c r="AA6" s="631"/>
      <c r="AH6" s="146" t="s">
        <v>69</v>
      </c>
      <c r="AI6" s="146" t="s">
        <v>1</v>
      </c>
      <c r="AJ6" s="146" t="s">
        <v>69</v>
      </c>
      <c r="AK6" s="795" t="s">
        <v>113</v>
      </c>
    </row>
    <row r="7" spans="1:37" x14ac:dyDescent="0.2">
      <c r="I7" s="634" t="s">
        <v>950</v>
      </c>
      <c r="J7" s="1267" t="str">
        <f>IF(Welcome!$D$10="MDA","C","N")</f>
        <v>N</v>
      </c>
      <c r="K7" s="1267" t="e">
        <f>IF(#REF!="MDA","C","N")</f>
        <v>#REF!</v>
      </c>
      <c r="O7" s="631"/>
      <c r="P7" s="631"/>
      <c r="Q7" s="631"/>
      <c r="R7" s="631"/>
      <c r="S7" s="631"/>
      <c r="T7" s="631"/>
      <c r="U7" s="631"/>
      <c r="V7" s="631"/>
      <c r="W7" s="631"/>
      <c r="X7" s="631"/>
      <c r="Y7" s="631"/>
      <c r="Z7" s="631"/>
      <c r="AA7" s="631"/>
      <c r="AB7" s="27"/>
      <c r="AC7" s="27"/>
      <c r="AH7" s="146" t="s">
        <v>4</v>
      </c>
      <c r="AI7" s="146" t="s">
        <v>1</v>
      </c>
      <c r="AJ7" s="146" t="s">
        <v>4</v>
      </c>
      <c r="AK7" s="795" t="s">
        <v>113</v>
      </c>
    </row>
    <row r="8" spans="1:37" x14ac:dyDescent="0.2">
      <c r="AH8" s="146" t="s">
        <v>35</v>
      </c>
      <c r="AI8" s="146" t="s">
        <v>1</v>
      </c>
      <c r="AJ8" s="146" t="s">
        <v>35</v>
      </c>
      <c r="AK8" s="795" t="s">
        <v>113</v>
      </c>
    </row>
    <row r="9" spans="1:37" x14ac:dyDescent="0.2">
      <c r="I9" s="635"/>
      <c r="AH9" s="146" t="s">
        <v>6</v>
      </c>
      <c r="AI9" s="146" t="s">
        <v>1</v>
      </c>
      <c r="AJ9" s="146" t="s">
        <v>6</v>
      </c>
      <c r="AK9" s="795" t="s">
        <v>113</v>
      </c>
    </row>
    <row r="10" spans="1:37" x14ac:dyDescent="0.2">
      <c r="I10" s="635"/>
      <c r="J10" s="635"/>
      <c r="N10" s="621"/>
      <c r="O10" s="621"/>
      <c r="P10" s="621"/>
      <c r="Q10" s="621"/>
      <c r="R10" s="621"/>
      <c r="S10" s="621"/>
      <c r="T10" s="621"/>
      <c r="U10" s="621"/>
      <c r="V10" s="621"/>
      <c r="W10" s="621"/>
      <c r="X10" s="621"/>
      <c r="Y10" s="621"/>
      <c r="Z10" s="621"/>
      <c r="AA10" s="621"/>
      <c r="AB10" s="621"/>
      <c r="AC10" s="636"/>
      <c r="AH10" s="146" t="s">
        <v>15</v>
      </c>
      <c r="AI10" s="146" t="s">
        <v>1</v>
      </c>
      <c r="AJ10" s="146" t="s">
        <v>15</v>
      </c>
      <c r="AK10" s="795" t="s">
        <v>113</v>
      </c>
    </row>
    <row r="11" spans="1:37" x14ac:dyDescent="0.2">
      <c r="I11" s="619"/>
      <c r="N11" s="621"/>
      <c r="O11" s="621"/>
      <c r="P11" s="621"/>
      <c r="Q11" s="621"/>
      <c r="R11" s="621"/>
      <c r="S11" s="621"/>
      <c r="T11" s="621"/>
      <c r="U11" s="621"/>
      <c r="V11" s="621"/>
      <c r="W11" s="621"/>
      <c r="X11" s="621"/>
      <c r="Y11" s="621"/>
      <c r="Z11" s="621"/>
      <c r="AA11" s="621"/>
      <c r="AB11" s="621"/>
      <c r="AC11" s="636"/>
      <c r="AH11" s="146" t="s">
        <v>45</v>
      </c>
      <c r="AI11" s="146" t="s">
        <v>1</v>
      </c>
      <c r="AJ11" s="146" t="s">
        <v>45</v>
      </c>
      <c r="AK11" s="795" t="s">
        <v>113</v>
      </c>
    </row>
    <row r="12" spans="1:37" x14ac:dyDescent="0.2">
      <c r="I12" s="619"/>
      <c r="N12" s="621"/>
      <c r="O12" s="621"/>
      <c r="P12" s="621"/>
      <c r="Q12" s="621"/>
      <c r="R12" s="621"/>
      <c r="S12" s="621"/>
      <c r="T12" s="621"/>
      <c r="U12" s="621"/>
      <c r="V12" s="621"/>
      <c r="W12" s="621"/>
      <c r="X12" s="621"/>
      <c r="Y12" s="621"/>
      <c r="Z12" s="621"/>
      <c r="AA12" s="621"/>
      <c r="AB12" s="621"/>
      <c r="AH12" s="146" t="s">
        <v>48</v>
      </c>
      <c r="AI12" s="146" t="s">
        <v>1</v>
      </c>
      <c r="AJ12" s="146" t="s">
        <v>48</v>
      </c>
      <c r="AK12" s="795" t="s">
        <v>113</v>
      </c>
    </row>
    <row r="13" spans="1:37" x14ac:dyDescent="0.2">
      <c r="J13" s="620"/>
      <c r="N13" s="621"/>
      <c r="AD13" s="1314" t="s">
        <v>1006</v>
      </c>
      <c r="AE13" s="1315"/>
      <c r="AF13" s="1316"/>
      <c r="AH13" s="146" t="s">
        <v>60</v>
      </c>
      <c r="AI13" s="146" t="s">
        <v>1</v>
      </c>
      <c r="AJ13" s="146" t="s">
        <v>60</v>
      </c>
      <c r="AK13" s="795" t="s">
        <v>113</v>
      </c>
    </row>
    <row r="14" spans="1:37" ht="38.25" x14ac:dyDescent="0.2">
      <c r="A14" s="146" t="s">
        <v>1071</v>
      </c>
      <c r="B14" s="626" t="s">
        <v>927</v>
      </c>
      <c r="C14" s="626" t="s">
        <v>945</v>
      </c>
      <c r="D14" s="627" t="s">
        <v>997</v>
      </c>
      <c r="E14" s="627" t="s">
        <v>1005</v>
      </c>
      <c r="F14" s="629" t="s">
        <v>1012</v>
      </c>
      <c r="G14" s="628" t="s">
        <v>1007</v>
      </c>
      <c r="H14" s="628" t="s">
        <v>1008</v>
      </c>
      <c r="I14" s="628" t="s">
        <v>205</v>
      </c>
      <c r="J14" s="628" t="s">
        <v>403</v>
      </c>
      <c r="K14" s="628" t="s">
        <v>206</v>
      </c>
      <c r="L14" s="628" t="s">
        <v>1009</v>
      </c>
      <c r="M14" s="628" t="s">
        <v>1070</v>
      </c>
      <c r="N14" s="630" t="s">
        <v>1015</v>
      </c>
      <c r="O14" s="629" t="s">
        <v>1016</v>
      </c>
      <c r="P14" s="629" t="s">
        <v>1017</v>
      </c>
      <c r="Q14" s="627" t="s">
        <v>1010</v>
      </c>
      <c r="R14" s="627" t="s">
        <v>1011</v>
      </c>
      <c r="S14" s="627" t="s">
        <v>1020</v>
      </c>
      <c r="T14" s="627" t="s">
        <v>998</v>
      </c>
      <c r="U14" s="627" t="s">
        <v>999</v>
      </c>
      <c r="V14" s="627" t="s">
        <v>1000</v>
      </c>
      <c r="W14" s="638" t="s">
        <v>1018</v>
      </c>
      <c r="X14" s="638" t="s">
        <v>1019</v>
      </c>
      <c r="Y14" s="638" t="s">
        <v>1021</v>
      </c>
      <c r="Z14" s="628" t="s">
        <v>1013</v>
      </c>
      <c r="AA14" s="628" t="s">
        <v>1014</v>
      </c>
      <c r="AB14" s="628"/>
      <c r="AC14" s="640" t="s">
        <v>852</v>
      </c>
      <c r="AD14" s="641" t="s">
        <v>853</v>
      </c>
      <c r="AE14" s="641" t="s">
        <v>854</v>
      </c>
      <c r="AF14" s="641" t="s">
        <v>855</v>
      </c>
      <c r="AG14" s="641" t="s">
        <v>1045</v>
      </c>
      <c r="AH14" s="146" t="s">
        <v>20</v>
      </c>
      <c r="AI14" s="146" t="s">
        <v>1</v>
      </c>
      <c r="AJ14" s="146" t="s">
        <v>20</v>
      </c>
      <c r="AK14" s="795" t="s">
        <v>113</v>
      </c>
    </row>
    <row r="15" spans="1:37" x14ac:dyDescent="0.2">
      <c r="A15" s="146" t="str">
        <f>IF('Customer Inputs'!$S6="","",IF('Variable Costs (Back)'!$M15="Zip Code Not Serviced","Zip Code Not Serviced",""))</f>
        <v/>
      </c>
      <c r="B15" s="146" t="str">
        <f>'Customer Inputs'!Y6</f>
        <v/>
      </c>
      <c r="C15" s="146" t="str">
        <f>IF(Welcome!$D$8="HOSPITALITY",IFERROR(VLOOKUP(B15,$AJ:$AK,2,FALSE),""),IFERROR(VLOOKUP(B15,$AH:$AI,2,FALSE),""))</f>
        <v/>
      </c>
      <c r="D15" s="619">
        <f>ROUND('Multi-Customer'!$AU$49,0)</f>
        <v>0</v>
      </c>
      <c r="E15" s="619">
        <f>ROUND('Multi-Customer'!$AU$50,0)</f>
        <v>0</v>
      </c>
      <c r="F15" s="619">
        <f>ROUND('Multi-Customer'!$AV$33,0)</f>
        <v>0</v>
      </c>
      <c r="G15" s="619" t="str">
        <f>LEFT($I15,3)</f>
        <v/>
      </c>
      <c r="H15" s="619" t="str">
        <f>LEFT($I15,4)</f>
        <v/>
      </c>
      <c r="I15" s="619" t="str">
        <f>IF('Customer Inputs'!Z6="","",'Customer Inputs'!Z6)</f>
        <v/>
      </c>
      <c r="J15" s="637" t="str">
        <f>IF('Customer Inputs'!$F6="","",'Customer Inputs'!$P6)</f>
        <v/>
      </c>
      <c r="K15" s="146" t="str">
        <f>'Customer Inputs'!X6</f>
        <v/>
      </c>
      <c r="L15" s="620">
        <f>IFERROR(IFERROR(IFERROR(VLOOKUP($J$5&amp;$I15,'5zip'!$A:$F,6,FALSE),VLOOKUP($J$5&amp;$H15,'4zip'!$A:$F,6,FALSE)),VLOOKUP($J$5&amp;$G15,'3zip'!$A:$F,6,FALSE)),0)</f>
        <v>0</v>
      </c>
      <c r="M15" s="620" t="str">
        <f>IFERROR(IFERROR(IFERROR(VLOOKUP($J$5&amp;$I15,'5zip'!$A:$F,6,FALSE),VLOOKUP($J$5&amp;$H15,'4zip'!$A:$F,6,FALSE)),VLOOKUP($J$5&amp;$G15,'3zip'!$A:$F,6,FALSE)),"Zip Code Not Serviced")</f>
        <v>Zip Code Not Serviced</v>
      </c>
      <c r="N15" s="621">
        <f>IFERROR(52*K15*L15,0)</f>
        <v>0</v>
      </c>
      <c r="O15" s="622">
        <f>IFERROR((VLOOKUP($J$4&amp;$C15&amp;$J$6&amp;$J$7,'Variable Selling'!$B:$O,11,FALSE))*F15,0)</f>
        <v>0</v>
      </c>
      <c r="P15" s="622">
        <f>IFERROR(VLOOKUP($J$4,'Variable Div Avgs'!$D:$I,6,FALSE)*'Variable Costs (Back)'!$F15,0)</f>
        <v>0</v>
      </c>
      <c r="Q15" s="622">
        <f t="shared" ref="Q15:Q24" si="0">IFERROR(T15/E15,0)</f>
        <v>0</v>
      </c>
      <c r="R15" s="622">
        <f t="shared" ref="R15:R24" si="1">IFERROR(U15/D15,0)</f>
        <v>0</v>
      </c>
      <c r="S15" s="622">
        <f>IFERROR(V15/D15,0)</f>
        <v>0</v>
      </c>
      <c r="T15" s="622">
        <f>IFERROR(VLOOKUP($AC15,'Existing Customer Variable Exp'!$B:$E,2,FALSE),0)</f>
        <v>0</v>
      </c>
      <c r="U15" s="622">
        <f>IFERROR(VLOOKUP($AC15,'Existing Customer Variable Exp'!$B:$E,3,FALSE),0)</f>
        <v>0</v>
      </c>
      <c r="V15" s="622">
        <f>IFERROR(VLOOKUP($AC15,'Existing Customer Variable Exp'!$B:$E,4,FALSE),0)</f>
        <v>0</v>
      </c>
      <c r="W15" s="621">
        <f>IFERROR(Q15*K15*52,0)</f>
        <v>0</v>
      </c>
      <c r="X15" s="622">
        <f>R15*F15</f>
        <v>0</v>
      </c>
      <c r="Y15" s="622">
        <f>S15*F15</f>
        <v>0</v>
      </c>
      <c r="Z15" s="622" t="str">
        <f>IF('Customer Inputs'!L6&lt;&gt;'Customer Inputs'!X6,"Modelled",IF(D15=F15,"BASE","Modelled"))</f>
        <v>BASE</v>
      </c>
      <c r="AA15" s="622" t="str">
        <f>IF(SUMIF('Existing Customers'!$A:$A,'Variable Costs (Back)'!$AC15,'Existing Customers'!$Q:$Q)&gt;0,"Existing","New")</f>
        <v>New</v>
      </c>
      <c r="AB15" s="639" t="s">
        <v>833</v>
      </c>
      <c r="AC15" s="623" t="str">
        <f>IF('Customer Inputs'!$F6="","",'Customer Inputs'!$G6)</f>
        <v/>
      </c>
      <c r="AD15" s="642">
        <f>IF($AA15="Existing",IF($Z15="BASE",$T15,$W15),$N15)</f>
        <v>0</v>
      </c>
      <c r="AE15" s="642">
        <f>IF($AA15="Existing",IF($Z15="BASE",$U15,$X15),$O15)</f>
        <v>0</v>
      </c>
      <c r="AF15" s="642">
        <f>IF($AA15="Existing",IF($Z15="BASE",$V15,$Y15),$P15)</f>
        <v>0</v>
      </c>
      <c r="AG15" s="742">
        <f>SUM(AD15:AF15)</f>
        <v>0</v>
      </c>
      <c r="AH15" s="146" t="s">
        <v>36</v>
      </c>
      <c r="AI15" s="146" t="s">
        <v>1</v>
      </c>
      <c r="AJ15" s="146" t="s">
        <v>36</v>
      </c>
      <c r="AK15" s="795" t="s">
        <v>113</v>
      </c>
    </row>
    <row r="16" spans="1:37" x14ac:dyDescent="0.2">
      <c r="A16" s="146" t="str">
        <f>IF('Customer Inputs'!$S7="","",IF('Variable Costs (Back)'!$M16="Zip Code Not Serviced","Zip Code Not Serviced",""))</f>
        <v/>
      </c>
      <c r="B16" s="146" t="str">
        <f>'Customer Inputs'!Y7</f>
        <v/>
      </c>
      <c r="C16" s="146" t="str">
        <f>IF(Welcome!$D$8="HOSPITALITY",IFERROR(VLOOKUP(B16,$AJ:$AK,2,FALSE),""),IFERROR(VLOOKUP(B16,$AH:$AI,2,FALSE),""))</f>
        <v/>
      </c>
      <c r="D16" s="619">
        <f>ROUND('Multi-Customer'!$BD$49,0)</f>
        <v>0</v>
      </c>
      <c r="E16" s="619">
        <f>ROUND('Multi-Customer'!$BD$50,0)</f>
        <v>0</v>
      </c>
      <c r="F16" s="619">
        <f>ROUND('Multi-Customer'!$BE$33,0)</f>
        <v>0</v>
      </c>
      <c r="G16" s="619" t="str">
        <f t="shared" ref="G16:G24" si="2">LEFT($I16,3)</f>
        <v/>
      </c>
      <c r="H16" s="619" t="str">
        <f t="shared" ref="H16:H24" si="3">LEFT($I16,4)</f>
        <v/>
      </c>
      <c r="I16" s="619" t="str">
        <f>IF('Customer Inputs'!Z7="","",'Customer Inputs'!Z7)</f>
        <v/>
      </c>
      <c r="J16" s="637" t="str">
        <f>IF('Customer Inputs'!$F7="","",'Customer Inputs'!$P7)</f>
        <v/>
      </c>
      <c r="K16" s="146" t="str">
        <f>'Customer Inputs'!X7</f>
        <v/>
      </c>
      <c r="L16" s="620">
        <f>IFERROR(IFERROR(IFERROR(VLOOKUP($J$5&amp;$I16,'5zip'!$A:$F,6,FALSE),VLOOKUP($J$5&amp;$H16,'4zip'!$A:$F,6,FALSE)),VLOOKUP($J$5&amp;$G16,'3zip'!$A:$F,6,FALSE)),0)</f>
        <v>0</v>
      </c>
      <c r="M16" s="620" t="str">
        <f>IFERROR(IFERROR(IFERROR(VLOOKUP($J$5&amp;$I16,'5zip'!$A:$F,6,FALSE),VLOOKUP($J$5&amp;$H16,'4zip'!$A:$F,6,FALSE)),VLOOKUP($J$5&amp;$G16,'3zip'!$A:$F,6,FALSE)),"Zip Code Not Serviced")</f>
        <v>Zip Code Not Serviced</v>
      </c>
      <c r="N16" s="621">
        <f t="shared" ref="N16:N24" si="4">IFERROR(52*K16*L16,0)</f>
        <v>0</v>
      </c>
      <c r="O16" s="622">
        <f>IFERROR((VLOOKUP($J$4&amp;$C16&amp;$J$6&amp;$J$7,'Variable Selling'!$B:$O,11,FALSE))*F16,0)</f>
        <v>0</v>
      </c>
      <c r="P16" s="622">
        <f>IFERROR(VLOOKUP($J$4,'Variable Div Avgs'!$D:$I,6,FALSE)*'Variable Costs (Back)'!$F16,0)</f>
        <v>0</v>
      </c>
      <c r="Q16" s="622">
        <f t="shared" si="0"/>
        <v>0</v>
      </c>
      <c r="R16" s="622">
        <f t="shared" si="1"/>
        <v>0</v>
      </c>
      <c r="S16" s="622">
        <f t="shared" ref="S16:S24" si="5">IFERROR(V16/D16,0)</f>
        <v>0</v>
      </c>
      <c r="T16" s="622">
        <f>IFERROR(VLOOKUP($AC16,'Existing Customer Variable Exp'!$B:$E,2,FALSE),0)</f>
        <v>0</v>
      </c>
      <c r="U16" s="622">
        <f>IFERROR(VLOOKUP($AC16,'Existing Customer Variable Exp'!$B:$E,3,FALSE),0)</f>
        <v>0</v>
      </c>
      <c r="V16" s="622">
        <f>IFERROR(VLOOKUP($AC16,'Existing Customer Variable Exp'!$B:$E,4,FALSE),0)</f>
        <v>0</v>
      </c>
      <c r="W16" s="621">
        <f t="shared" ref="W16:W24" si="6">IFERROR(Q16*K16*52,0)</f>
        <v>0</v>
      </c>
      <c r="X16" s="622">
        <f t="shared" ref="X16:X24" si="7">R16*F16</f>
        <v>0</v>
      </c>
      <c r="Y16" s="622">
        <f t="shared" ref="Y16:Y24" si="8">S16*F16</f>
        <v>0</v>
      </c>
      <c r="Z16" s="622" t="str">
        <f>IF('Customer Inputs'!L7&lt;&gt;'Customer Inputs'!X7,"Modelled",IF(D16=F16,"BASE","Modelled"))</f>
        <v>BASE</v>
      </c>
      <c r="AA16" s="622" t="str">
        <f>IF(SUMIF('Existing Customers'!$A:$A,'Variable Costs (Back)'!$AC16,'Existing Customers'!$Q:$Q)&gt;0,"Existing","New")</f>
        <v>New</v>
      </c>
      <c r="AB16" s="639" t="s">
        <v>834</v>
      </c>
      <c r="AC16" s="623" t="str">
        <f>IF('Customer Inputs'!$F7="","",'Customer Inputs'!$G7)</f>
        <v/>
      </c>
      <c r="AD16" s="642">
        <f t="shared" ref="AD16:AD22" si="9">IF($AA16="Existing",IF($Z16="BASE",$T16,$W16),$N16)</f>
        <v>0</v>
      </c>
      <c r="AE16" s="642">
        <f t="shared" ref="AE16:AE22" si="10">IF($AA16="Existing",IF($Z16="BASE",$U16,$X16),$O16)</f>
        <v>0</v>
      </c>
      <c r="AF16" s="642">
        <f t="shared" ref="AF16:AF24" si="11">IF($AA16="Existing",IF($Z16="BASE",$V16,$Y16),$P16)</f>
        <v>0</v>
      </c>
      <c r="AG16" s="742">
        <f t="shared" ref="AG16:AG24" si="12">SUM(AD16:AF16)</f>
        <v>0</v>
      </c>
      <c r="AH16" s="146" t="s">
        <v>71</v>
      </c>
      <c r="AI16" s="146" t="s">
        <v>1</v>
      </c>
      <c r="AJ16" s="146" t="s">
        <v>71</v>
      </c>
      <c r="AK16" s="795" t="s">
        <v>113</v>
      </c>
    </row>
    <row r="17" spans="1:37" x14ac:dyDescent="0.2">
      <c r="A17" s="146" t="str">
        <f>IF('Customer Inputs'!$S8="","",IF('Variable Costs (Back)'!$M17="Zip Code Not Serviced","Zip Code Not Serviced",""))</f>
        <v/>
      </c>
      <c r="B17" s="146" t="str">
        <f>'Customer Inputs'!Y8</f>
        <v/>
      </c>
      <c r="C17" s="146" t="str">
        <f>IF(Welcome!$D$8="HOSPITALITY",IFERROR(VLOOKUP(B17,$AJ:$AK,2,FALSE),""),IFERROR(VLOOKUP(B17,$AH:$AI,2,FALSE),""))</f>
        <v/>
      </c>
      <c r="D17" s="619">
        <f>ROUND('Multi-Customer'!$BM$49,0)</f>
        <v>0</v>
      </c>
      <c r="E17" s="619">
        <f>ROUND('Multi-Customer'!$BM$50,0)</f>
        <v>0</v>
      </c>
      <c r="F17" s="619">
        <f>ROUND('Multi-Customer'!$BN$33,0)</f>
        <v>0</v>
      </c>
      <c r="G17" s="619" t="str">
        <f t="shared" si="2"/>
        <v/>
      </c>
      <c r="H17" s="619" t="str">
        <f t="shared" si="3"/>
        <v/>
      </c>
      <c r="I17" s="619" t="str">
        <f>IF('Customer Inputs'!Z8="","",'Customer Inputs'!Z8)</f>
        <v/>
      </c>
      <c r="J17" s="637" t="str">
        <f>IF('Customer Inputs'!$F8="","",'Customer Inputs'!$P8)</f>
        <v/>
      </c>
      <c r="K17" s="146" t="str">
        <f>'Customer Inputs'!X8</f>
        <v/>
      </c>
      <c r="L17" s="620">
        <f>IFERROR(IFERROR(IFERROR(VLOOKUP($J$5&amp;$I17,'5zip'!$A:$F,6,FALSE),VLOOKUP($J$5&amp;$H17,'4zip'!$A:$F,6,FALSE)),VLOOKUP($J$5&amp;$G17,'3zip'!$A:$F,6,FALSE)),0)</f>
        <v>0</v>
      </c>
      <c r="M17" s="620" t="str">
        <f>IFERROR(IFERROR(IFERROR(VLOOKUP($J$5&amp;$I17,'5zip'!$A:$F,6,FALSE),VLOOKUP($J$5&amp;$H17,'4zip'!$A:$F,6,FALSE)),VLOOKUP($J$5&amp;$G17,'3zip'!$A:$F,6,FALSE)),"Zip Code Not Serviced")</f>
        <v>Zip Code Not Serviced</v>
      </c>
      <c r="N17" s="621">
        <f t="shared" si="4"/>
        <v>0</v>
      </c>
      <c r="O17" s="622">
        <f>IFERROR((VLOOKUP($J$4&amp;$C17&amp;$J$6&amp;$J$7,'Variable Selling'!$B:$O,11,FALSE))*F17,0)</f>
        <v>0</v>
      </c>
      <c r="P17" s="622">
        <f>IFERROR(VLOOKUP($J$4,'Variable Div Avgs'!$D:$I,6,FALSE)*'Variable Costs (Back)'!$F17,0)</f>
        <v>0</v>
      </c>
      <c r="Q17" s="622">
        <f t="shared" si="0"/>
        <v>0</v>
      </c>
      <c r="R17" s="622">
        <f t="shared" si="1"/>
        <v>0</v>
      </c>
      <c r="S17" s="622">
        <f t="shared" si="5"/>
        <v>0</v>
      </c>
      <c r="T17" s="622">
        <f>IFERROR(VLOOKUP($AC17,'Existing Customer Variable Exp'!$B:$E,2,FALSE),0)</f>
        <v>0</v>
      </c>
      <c r="U17" s="622">
        <f>IFERROR(VLOOKUP($AC17,'Existing Customer Variable Exp'!$B:$E,3,FALSE),0)</f>
        <v>0</v>
      </c>
      <c r="V17" s="622">
        <f>IFERROR(VLOOKUP($AC17,'Existing Customer Variable Exp'!$B:$E,4,FALSE),0)</f>
        <v>0</v>
      </c>
      <c r="W17" s="621">
        <f t="shared" si="6"/>
        <v>0</v>
      </c>
      <c r="X17" s="622">
        <f t="shared" si="7"/>
        <v>0</v>
      </c>
      <c r="Y17" s="622">
        <f t="shared" si="8"/>
        <v>0</v>
      </c>
      <c r="Z17" s="622" t="str">
        <f>IF('Customer Inputs'!L8&lt;&gt;'Customer Inputs'!X8,"Modelled",IF(D17=F17,"BASE","Modelled"))</f>
        <v>BASE</v>
      </c>
      <c r="AA17" s="622" t="str">
        <f>IF(SUMIF('Existing Customers'!$A:$A,'Variable Costs (Back)'!$AC17,'Existing Customers'!$Q:$Q)&gt;0,"Existing","New")</f>
        <v>New</v>
      </c>
      <c r="AB17" s="639" t="s">
        <v>835</v>
      </c>
      <c r="AC17" s="623" t="str">
        <f>IF('Customer Inputs'!$F8="","",'Customer Inputs'!$G8)</f>
        <v/>
      </c>
      <c r="AD17" s="642">
        <f t="shared" si="9"/>
        <v>0</v>
      </c>
      <c r="AE17" s="642">
        <f t="shared" si="10"/>
        <v>0</v>
      </c>
      <c r="AF17" s="642">
        <f t="shared" si="11"/>
        <v>0</v>
      </c>
      <c r="AG17" s="742">
        <f t="shared" si="12"/>
        <v>0</v>
      </c>
      <c r="AH17" s="146" t="s">
        <v>11</v>
      </c>
      <c r="AI17" s="146" t="s">
        <v>1</v>
      </c>
      <c r="AJ17" s="146" t="s">
        <v>11</v>
      </c>
      <c r="AK17" s="795" t="s">
        <v>113</v>
      </c>
    </row>
    <row r="18" spans="1:37" x14ac:dyDescent="0.2">
      <c r="A18" s="146" t="str">
        <f>IF('Customer Inputs'!$S9="","",IF('Variable Costs (Back)'!$M18="Zip Code Not Serviced","Zip Code Not Serviced",""))</f>
        <v/>
      </c>
      <c r="B18" s="146" t="str">
        <f>'Customer Inputs'!Y9</f>
        <v/>
      </c>
      <c r="C18" s="146" t="str">
        <f>IF(Welcome!$D$8="HOSPITALITY",IFERROR(VLOOKUP(B18,$AJ:$AK,2,FALSE),""),IFERROR(VLOOKUP(B18,$AH:$AI,2,FALSE),""))</f>
        <v/>
      </c>
      <c r="D18" s="619">
        <f>ROUND('Multi-Customer'!$BV$49,0)</f>
        <v>0</v>
      </c>
      <c r="E18" s="619">
        <f>ROUND('Multi-Customer'!$BV$50,0)</f>
        <v>0</v>
      </c>
      <c r="F18" s="619">
        <f>ROUND('Multi-Customer'!$BW$33,0)</f>
        <v>0</v>
      </c>
      <c r="G18" s="619" t="str">
        <f t="shared" si="2"/>
        <v/>
      </c>
      <c r="H18" s="619" t="str">
        <f t="shared" si="3"/>
        <v/>
      </c>
      <c r="I18" s="619" t="str">
        <f>IF('Customer Inputs'!Z9="","",'Customer Inputs'!Z9)</f>
        <v/>
      </c>
      <c r="J18" s="637" t="str">
        <f>IF('Customer Inputs'!$F9="","",'Customer Inputs'!$P9)</f>
        <v/>
      </c>
      <c r="K18" s="146" t="str">
        <f>'Customer Inputs'!X9</f>
        <v/>
      </c>
      <c r="L18" s="620">
        <f>IFERROR(IFERROR(IFERROR(VLOOKUP($J$5&amp;$I18,'5zip'!$A:$F,6,FALSE),VLOOKUP($J$5&amp;$H18,'4zip'!$A:$F,6,FALSE)),VLOOKUP($J$5&amp;$G18,'3zip'!$A:$F,6,FALSE)),0)</f>
        <v>0</v>
      </c>
      <c r="M18" s="620" t="str">
        <f>IFERROR(IFERROR(IFERROR(VLOOKUP($J$5&amp;$I18,'5zip'!$A:$F,6,FALSE),VLOOKUP($J$5&amp;$H18,'4zip'!$A:$F,6,FALSE)),VLOOKUP($J$5&amp;$G18,'3zip'!$A:$F,6,FALSE)),"Zip Code Not Serviced")</f>
        <v>Zip Code Not Serviced</v>
      </c>
      <c r="N18" s="621">
        <f t="shared" si="4"/>
        <v>0</v>
      </c>
      <c r="O18" s="622">
        <f>IFERROR((VLOOKUP($J$4&amp;$C18&amp;$J$6&amp;$J$7,'Variable Selling'!$B:$O,11,FALSE))*F18,0)</f>
        <v>0</v>
      </c>
      <c r="P18" s="622">
        <f>IFERROR(VLOOKUP($J$4,'Variable Div Avgs'!$D:$I,6,FALSE)*'Variable Costs (Back)'!$F18,0)</f>
        <v>0</v>
      </c>
      <c r="Q18" s="622">
        <f t="shared" si="0"/>
        <v>0</v>
      </c>
      <c r="R18" s="622">
        <f t="shared" si="1"/>
        <v>0</v>
      </c>
      <c r="S18" s="622">
        <f t="shared" si="5"/>
        <v>0</v>
      </c>
      <c r="T18" s="622">
        <f>IFERROR(VLOOKUP($AC18,'Existing Customer Variable Exp'!$B:$E,2,FALSE),0)</f>
        <v>0</v>
      </c>
      <c r="U18" s="622">
        <f>IFERROR(VLOOKUP($AC18,'Existing Customer Variable Exp'!$B:$E,3,FALSE),0)</f>
        <v>0</v>
      </c>
      <c r="V18" s="622">
        <f>IFERROR(VLOOKUP($AC18,'Existing Customer Variable Exp'!$B:$E,4,FALSE),0)</f>
        <v>0</v>
      </c>
      <c r="W18" s="621">
        <f t="shared" si="6"/>
        <v>0</v>
      </c>
      <c r="X18" s="622">
        <f t="shared" si="7"/>
        <v>0</v>
      </c>
      <c r="Y18" s="622">
        <f t="shared" si="8"/>
        <v>0</v>
      </c>
      <c r="Z18" s="622" t="str">
        <f>IF('Customer Inputs'!L9&lt;&gt;'Customer Inputs'!X9,"Modelled",IF(D18=F18,"BASE","Modelled"))</f>
        <v>BASE</v>
      </c>
      <c r="AA18" s="622" t="str">
        <f>IF(SUMIF('Existing Customers'!$A:$A,'Variable Costs (Back)'!$AC18,'Existing Customers'!$Q:$Q)&gt;0,"Existing","New")</f>
        <v>New</v>
      </c>
      <c r="AB18" s="639" t="s">
        <v>836</v>
      </c>
      <c r="AC18" s="623" t="str">
        <f>IF('Customer Inputs'!$F9="","",'Customer Inputs'!$G9)</f>
        <v/>
      </c>
      <c r="AD18" s="642">
        <f t="shared" si="9"/>
        <v>0</v>
      </c>
      <c r="AE18" s="642">
        <f t="shared" si="10"/>
        <v>0</v>
      </c>
      <c r="AF18" s="642">
        <f t="shared" si="11"/>
        <v>0</v>
      </c>
      <c r="AG18" s="742">
        <f t="shared" si="12"/>
        <v>0</v>
      </c>
      <c r="AH18" s="146" t="s">
        <v>9</v>
      </c>
      <c r="AI18" s="146" t="s">
        <v>1</v>
      </c>
      <c r="AJ18" s="146" t="s">
        <v>9</v>
      </c>
      <c r="AK18" s="795" t="s">
        <v>113</v>
      </c>
    </row>
    <row r="19" spans="1:37" x14ac:dyDescent="0.2">
      <c r="A19" s="146" t="str">
        <f>IF('Customer Inputs'!$S10="","",IF('Variable Costs (Back)'!$M19="Zip Code Not Serviced","Zip Code Not Serviced",""))</f>
        <v/>
      </c>
      <c r="B19" s="146" t="str">
        <f>'Customer Inputs'!Y10</f>
        <v/>
      </c>
      <c r="C19" s="146" t="str">
        <f>IF(Welcome!$D$8="HOSPITALITY",IFERROR(VLOOKUP(B19,$AJ:$AK,2,FALSE),""),IFERROR(VLOOKUP(B19,$AH:$AI,2,FALSE),""))</f>
        <v/>
      </c>
      <c r="D19" s="619">
        <f>ROUND('Multi-Customer'!$CE$49,0)</f>
        <v>0</v>
      </c>
      <c r="E19" s="619">
        <f>ROUND('Multi-Customer'!$CE$50,0)</f>
        <v>0</v>
      </c>
      <c r="F19" s="619">
        <f>ROUND('Multi-Customer'!$CF$33,0)</f>
        <v>0</v>
      </c>
      <c r="G19" s="619" t="str">
        <f t="shared" si="2"/>
        <v/>
      </c>
      <c r="H19" s="619" t="str">
        <f t="shared" si="3"/>
        <v/>
      </c>
      <c r="I19" s="619" t="str">
        <f>IF('Customer Inputs'!Z10="","",'Customer Inputs'!Z10)</f>
        <v/>
      </c>
      <c r="J19" s="637" t="str">
        <f>IF('Customer Inputs'!$F10="","",'Customer Inputs'!$P10)</f>
        <v/>
      </c>
      <c r="K19" s="146" t="str">
        <f>'Customer Inputs'!X10</f>
        <v/>
      </c>
      <c r="L19" s="620">
        <f>IFERROR(IFERROR(IFERROR(VLOOKUP($J$5&amp;$I19,'5zip'!$A:$F,6,FALSE),VLOOKUP($J$5&amp;$H19,'4zip'!$A:$F,6,FALSE)),VLOOKUP($J$5&amp;$G19,'3zip'!$A:$F,6,FALSE)),0)</f>
        <v>0</v>
      </c>
      <c r="M19" s="620" t="str">
        <f>IFERROR(IFERROR(IFERROR(VLOOKUP($J$5&amp;$I19,'5zip'!$A:$F,6,FALSE),VLOOKUP($J$5&amp;$H19,'4zip'!$A:$F,6,FALSE)),VLOOKUP($J$5&amp;$G19,'3zip'!$A:$F,6,FALSE)),"Zip Code Not Serviced")</f>
        <v>Zip Code Not Serviced</v>
      </c>
      <c r="N19" s="621">
        <f t="shared" si="4"/>
        <v>0</v>
      </c>
      <c r="O19" s="622">
        <f>IFERROR((VLOOKUP($J$4&amp;$C19&amp;$J$6&amp;$J$7,'Variable Selling'!$B:$O,11,FALSE))*F19,0)</f>
        <v>0</v>
      </c>
      <c r="P19" s="622">
        <f>IFERROR(VLOOKUP($J$4,'Variable Div Avgs'!$D:$I,6,FALSE)*'Variable Costs (Back)'!$F19,0)</f>
        <v>0</v>
      </c>
      <c r="Q19" s="622">
        <f t="shared" si="0"/>
        <v>0</v>
      </c>
      <c r="R19" s="622">
        <f t="shared" si="1"/>
        <v>0</v>
      </c>
      <c r="S19" s="622">
        <f t="shared" si="5"/>
        <v>0</v>
      </c>
      <c r="T19" s="622">
        <f>IFERROR(VLOOKUP($AC19,'Existing Customer Variable Exp'!$B:$E,2,FALSE),0)</f>
        <v>0</v>
      </c>
      <c r="U19" s="622">
        <f>IFERROR(VLOOKUP($AC19,'Existing Customer Variable Exp'!$B:$E,3,FALSE),0)</f>
        <v>0</v>
      </c>
      <c r="V19" s="622">
        <f>IFERROR(VLOOKUP($AC19,'Existing Customer Variable Exp'!$B:$E,4,FALSE),0)</f>
        <v>0</v>
      </c>
      <c r="W19" s="621">
        <f t="shared" si="6"/>
        <v>0</v>
      </c>
      <c r="X19" s="622">
        <f t="shared" si="7"/>
        <v>0</v>
      </c>
      <c r="Y19" s="622">
        <f t="shared" si="8"/>
        <v>0</v>
      </c>
      <c r="Z19" s="622" t="str">
        <f>IF('Customer Inputs'!L10&lt;&gt;'Customer Inputs'!X10,"Modelled",IF(D19=F19,"BASE","Modelled"))</f>
        <v>BASE</v>
      </c>
      <c r="AA19" s="622" t="str">
        <f>IF(SUMIF('Existing Customers'!$A:$A,'Variable Costs (Back)'!$AC19,'Existing Customers'!$Q:$Q)&gt;0,"Existing","New")</f>
        <v>New</v>
      </c>
      <c r="AB19" s="639" t="s">
        <v>837</v>
      </c>
      <c r="AC19" s="623" t="str">
        <f>IF('Customer Inputs'!$F10="","",'Customer Inputs'!$G10)</f>
        <v/>
      </c>
      <c r="AD19" s="642">
        <f t="shared" si="9"/>
        <v>0</v>
      </c>
      <c r="AE19" s="642">
        <f t="shared" si="10"/>
        <v>0</v>
      </c>
      <c r="AF19" s="642">
        <f t="shared" si="11"/>
        <v>0</v>
      </c>
      <c r="AG19" s="742">
        <f t="shared" si="12"/>
        <v>0</v>
      </c>
      <c r="AH19" s="146" t="s">
        <v>38</v>
      </c>
      <c r="AI19" s="146" t="s">
        <v>1</v>
      </c>
      <c r="AJ19" s="146" t="s">
        <v>38</v>
      </c>
      <c r="AK19" s="795" t="s">
        <v>113</v>
      </c>
    </row>
    <row r="20" spans="1:37" x14ac:dyDescent="0.2">
      <c r="A20" s="146" t="str">
        <f>IF('Customer Inputs'!$S11="","",IF('Variable Costs (Back)'!$M20="Zip Code Not Serviced","Zip Code Not Serviced",""))</f>
        <v/>
      </c>
      <c r="B20" s="146" t="str">
        <f>'Customer Inputs'!Y11</f>
        <v/>
      </c>
      <c r="C20" s="146" t="str">
        <f>IF(Welcome!$D$8="HOSPITALITY",IFERROR(VLOOKUP(B20,$AJ:$AK,2,FALSE),""),IFERROR(VLOOKUP(B20,$AH:$AI,2,FALSE),""))</f>
        <v/>
      </c>
      <c r="D20" s="619">
        <f>ROUND('Multi-Customer'!$CN$49,0)</f>
        <v>0</v>
      </c>
      <c r="E20" s="619">
        <f>ROUND('Multi-Customer'!$CN$50,0)</f>
        <v>0</v>
      </c>
      <c r="F20" s="619">
        <f>ROUND('Multi-Customer'!$CO$33,0)</f>
        <v>0</v>
      </c>
      <c r="G20" s="619" t="str">
        <f t="shared" si="2"/>
        <v/>
      </c>
      <c r="H20" s="619" t="str">
        <f t="shared" si="3"/>
        <v/>
      </c>
      <c r="I20" s="619" t="str">
        <f>IF('Customer Inputs'!Z11="","",'Customer Inputs'!Z11)</f>
        <v/>
      </c>
      <c r="J20" s="637" t="str">
        <f>IF('Customer Inputs'!$F11="","",'Customer Inputs'!$P11)</f>
        <v/>
      </c>
      <c r="K20" s="146" t="str">
        <f>'Customer Inputs'!X11</f>
        <v/>
      </c>
      <c r="L20" s="620">
        <f>IFERROR(IFERROR(IFERROR(VLOOKUP($J$5&amp;$I20,'5zip'!$A:$F,6,FALSE),VLOOKUP($J$5&amp;$H20,'4zip'!$A:$F,6,FALSE)),VLOOKUP($J$5&amp;$G20,'3zip'!$A:$F,6,FALSE)),0)</f>
        <v>0</v>
      </c>
      <c r="M20" s="620" t="str">
        <f>IFERROR(IFERROR(IFERROR(VLOOKUP($J$5&amp;$I20,'5zip'!$A:$F,6,FALSE),VLOOKUP($J$5&amp;$H20,'4zip'!$A:$F,6,FALSE)),VLOOKUP($J$5&amp;$G20,'3zip'!$A:$F,6,FALSE)),"Zip Code Not Serviced")</f>
        <v>Zip Code Not Serviced</v>
      </c>
      <c r="N20" s="621">
        <f t="shared" si="4"/>
        <v>0</v>
      </c>
      <c r="O20" s="622">
        <f>IFERROR((VLOOKUP($J$4&amp;$C20&amp;$J$6&amp;$J$7,'Variable Selling'!$B:$O,11,FALSE))*F20,0)</f>
        <v>0</v>
      </c>
      <c r="P20" s="622">
        <f>IFERROR(VLOOKUP($J$4,'Variable Div Avgs'!$D:$I,6,FALSE)*'Variable Costs (Back)'!$F20,0)</f>
        <v>0</v>
      </c>
      <c r="Q20" s="622">
        <f t="shared" si="0"/>
        <v>0</v>
      </c>
      <c r="R20" s="622">
        <f t="shared" si="1"/>
        <v>0</v>
      </c>
      <c r="S20" s="622">
        <f t="shared" si="5"/>
        <v>0</v>
      </c>
      <c r="T20" s="622">
        <f>IFERROR(VLOOKUP($AC20,'Existing Customer Variable Exp'!$B:$E,2,FALSE),0)</f>
        <v>0</v>
      </c>
      <c r="U20" s="622">
        <f>IFERROR(VLOOKUP($AC20,'Existing Customer Variable Exp'!$B:$E,3,FALSE),0)</f>
        <v>0</v>
      </c>
      <c r="V20" s="622">
        <f>IFERROR(VLOOKUP($AC20,'Existing Customer Variable Exp'!$B:$E,4,FALSE),0)</f>
        <v>0</v>
      </c>
      <c r="W20" s="621">
        <f t="shared" si="6"/>
        <v>0</v>
      </c>
      <c r="X20" s="622">
        <f t="shared" si="7"/>
        <v>0</v>
      </c>
      <c r="Y20" s="622">
        <f t="shared" si="8"/>
        <v>0</v>
      </c>
      <c r="Z20" s="622" t="str">
        <f>IF('Customer Inputs'!L11&lt;&gt;'Customer Inputs'!X11,"Modelled",IF(D20=F20,"BASE","Modelled"))</f>
        <v>BASE</v>
      </c>
      <c r="AA20" s="622" t="str">
        <f>IF(SUMIF('Existing Customers'!$A:$A,'Variable Costs (Back)'!$AC20,'Existing Customers'!$Q:$Q)&gt;0,"Existing","New")</f>
        <v>New</v>
      </c>
      <c r="AB20" s="639" t="s">
        <v>838</v>
      </c>
      <c r="AC20" s="623" t="str">
        <f>IF('Customer Inputs'!$F11="","",'Customer Inputs'!$G11)</f>
        <v/>
      </c>
      <c r="AD20" s="642">
        <f t="shared" si="9"/>
        <v>0</v>
      </c>
      <c r="AE20" s="642">
        <f t="shared" si="10"/>
        <v>0</v>
      </c>
      <c r="AF20" s="642">
        <f t="shared" si="11"/>
        <v>0</v>
      </c>
      <c r="AG20" s="742">
        <f t="shared" si="12"/>
        <v>0</v>
      </c>
      <c r="AH20" s="146" t="s">
        <v>264</v>
      </c>
      <c r="AI20" s="146" t="s">
        <v>1</v>
      </c>
      <c r="AJ20" s="146" t="s">
        <v>264</v>
      </c>
      <c r="AK20" s="795" t="s">
        <v>113</v>
      </c>
    </row>
    <row r="21" spans="1:37" x14ac:dyDescent="0.2">
      <c r="A21" s="146" t="str">
        <f>IF('Customer Inputs'!$S12="","",IF('Variable Costs (Back)'!$M21="Zip Code Not Serviced","Zip Code Not Serviced",""))</f>
        <v/>
      </c>
      <c r="B21" s="146" t="str">
        <f>'Customer Inputs'!Y12</f>
        <v/>
      </c>
      <c r="C21" s="146" t="str">
        <f>IF(Welcome!$D$8="HOSPITALITY",IFERROR(VLOOKUP(B21,$AJ:$AK,2,FALSE),""),IFERROR(VLOOKUP(B21,$AH:$AI,2,FALSE),""))</f>
        <v/>
      </c>
      <c r="D21" s="619">
        <f>ROUND('Multi-Customer'!$CW$49,0)</f>
        <v>0</v>
      </c>
      <c r="E21" s="619">
        <f>ROUND('Multi-Customer'!$CW$50,0)</f>
        <v>0</v>
      </c>
      <c r="F21" s="619">
        <f>ROUND('Multi-Customer'!$CX$33,0)</f>
        <v>0</v>
      </c>
      <c r="G21" s="619" t="str">
        <f t="shared" si="2"/>
        <v/>
      </c>
      <c r="H21" s="619" t="str">
        <f t="shared" si="3"/>
        <v/>
      </c>
      <c r="I21" s="619" t="str">
        <f>IF('Customer Inputs'!Z12="","",'Customer Inputs'!Z12)</f>
        <v/>
      </c>
      <c r="J21" s="637" t="str">
        <f>IF('Customer Inputs'!$F12="","",'Customer Inputs'!$P12)</f>
        <v/>
      </c>
      <c r="K21" s="146" t="str">
        <f>'Customer Inputs'!X12</f>
        <v/>
      </c>
      <c r="L21" s="620">
        <f>IFERROR(IFERROR(IFERROR(VLOOKUP($J$5&amp;$I21,'5zip'!$A:$F,6,FALSE),VLOOKUP($J$5&amp;$H21,'4zip'!$A:$F,6,FALSE)),VLOOKUP($J$5&amp;$G21,'3zip'!$A:$F,6,FALSE)),0)</f>
        <v>0</v>
      </c>
      <c r="M21" s="620" t="str">
        <f>IFERROR(IFERROR(IFERROR(VLOOKUP($J$5&amp;$I21,'5zip'!$A:$F,6,FALSE),VLOOKUP($J$5&amp;$H21,'4zip'!$A:$F,6,FALSE)),VLOOKUP($J$5&amp;$G21,'3zip'!$A:$F,6,FALSE)),"Zip Code Not Serviced")</f>
        <v>Zip Code Not Serviced</v>
      </c>
      <c r="N21" s="621">
        <f t="shared" si="4"/>
        <v>0</v>
      </c>
      <c r="O21" s="622">
        <f>IFERROR((VLOOKUP($J$4&amp;$C21&amp;$J$6&amp;$J$7,'Variable Selling'!$B:$O,11,FALSE))*F21,0)</f>
        <v>0</v>
      </c>
      <c r="P21" s="622">
        <f>IFERROR(VLOOKUP($J$4,'Variable Div Avgs'!$D:$I,6,FALSE)*'Variable Costs (Back)'!$F21,0)</f>
        <v>0</v>
      </c>
      <c r="Q21" s="622">
        <f t="shared" si="0"/>
        <v>0</v>
      </c>
      <c r="R21" s="622">
        <f t="shared" si="1"/>
        <v>0</v>
      </c>
      <c r="S21" s="622">
        <f t="shared" si="5"/>
        <v>0</v>
      </c>
      <c r="T21" s="622">
        <f>IFERROR(VLOOKUP($AC21,'Existing Customer Variable Exp'!$B:$E,2,FALSE),0)</f>
        <v>0</v>
      </c>
      <c r="U21" s="622">
        <f>IFERROR(VLOOKUP($AC21,'Existing Customer Variable Exp'!$B:$E,3,FALSE),0)</f>
        <v>0</v>
      </c>
      <c r="V21" s="622">
        <f>IFERROR(VLOOKUP($AC21,'Existing Customer Variable Exp'!$B:$E,4,FALSE),0)</f>
        <v>0</v>
      </c>
      <c r="W21" s="621">
        <f t="shared" si="6"/>
        <v>0</v>
      </c>
      <c r="X21" s="622">
        <f t="shared" si="7"/>
        <v>0</v>
      </c>
      <c r="Y21" s="622">
        <f t="shared" si="8"/>
        <v>0</v>
      </c>
      <c r="Z21" s="622" t="str">
        <f>IF('Customer Inputs'!L12&lt;&gt;'Customer Inputs'!X12,"Modelled",IF(D21=F21,"BASE","Modelled"))</f>
        <v>BASE</v>
      </c>
      <c r="AA21" s="622" t="str">
        <f>IF(SUMIF('Existing Customers'!$A:$A,'Variable Costs (Back)'!$AC21,'Existing Customers'!$Q:$Q)&gt;0,"Existing","New")</f>
        <v>New</v>
      </c>
      <c r="AB21" s="639" t="s">
        <v>839</v>
      </c>
      <c r="AC21" s="623" t="str">
        <f>IF('Customer Inputs'!$F12="","",'Customer Inputs'!$G12)</f>
        <v/>
      </c>
      <c r="AD21" s="642">
        <f t="shared" si="9"/>
        <v>0</v>
      </c>
      <c r="AE21" s="642">
        <f t="shared" si="10"/>
        <v>0</v>
      </c>
      <c r="AF21" s="642">
        <f t="shared" si="11"/>
        <v>0</v>
      </c>
      <c r="AG21" s="742">
        <f t="shared" si="12"/>
        <v>0</v>
      </c>
      <c r="AH21" s="146" t="s">
        <v>260</v>
      </c>
      <c r="AI21" s="146" t="s">
        <v>114</v>
      </c>
      <c r="AJ21" s="146" t="s">
        <v>260</v>
      </c>
      <c r="AK21" s="146" t="s">
        <v>114</v>
      </c>
    </row>
    <row r="22" spans="1:37" x14ac:dyDescent="0.2">
      <c r="A22" s="146" t="str">
        <f>IF('Customer Inputs'!$S13="","",IF('Variable Costs (Back)'!$M22="Zip Code Not Serviced","Zip Code Not Serviced",""))</f>
        <v/>
      </c>
      <c r="B22" s="146" t="str">
        <f>'Customer Inputs'!Y13</f>
        <v/>
      </c>
      <c r="C22" s="146" t="str">
        <f>IF(Welcome!$D$8="HOSPITALITY",IFERROR(VLOOKUP(B22,$AJ:$AK,2,FALSE),""),IFERROR(VLOOKUP(B22,$AH:$AI,2,FALSE),""))</f>
        <v/>
      </c>
      <c r="D22" s="619">
        <f>ROUND('Multi-Customer'!$DF$49,0)</f>
        <v>0</v>
      </c>
      <c r="E22" s="619">
        <f>ROUND('Multi-Customer'!$DF$50,0)</f>
        <v>0</v>
      </c>
      <c r="F22" s="619">
        <f>ROUND('Multi-Customer'!$DG$33,0)</f>
        <v>0</v>
      </c>
      <c r="G22" s="619" t="str">
        <f t="shared" si="2"/>
        <v/>
      </c>
      <c r="H22" s="619" t="str">
        <f t="shared" si="3"/>
        <v/>
      </c>
      <c r="I22" s="619" t="str">
        <f>IF('Customer Inputs'!Z13="","",'Customer Inputs'!Z13)</f>
        <v/>
      </c>
      <c r="J22" s="637" t="str">
        <f>IF('Customer Inputs'!$F13="","",'Customer Inputs'!$P13)</f>
        <v/>
      </c>
      <c r="K22" s="146" t="str">
        <f>'Customer Inputs'!X13</f>
        <v/>
      </c>
      <c r="L22" s="620">
        <f>IFERROR(IFERROR(IFERROR(VLOOKUP($J$5&amp;$I22,'5zip'!$A:$F,6,FALSE),VLOOKUP($J$5&amp;$H22,'4zip'!$A:$F,6,FALSE)),VLOOKUP($J$5&amp;$G22,'3zip'!$A:$F,6,FALSE)),0)</f>
        <v>0</v>
      </c>
      <c r="M22" s="620" t="str">
        <f>IFERROR(IFERROR(IFERROR(VLOOKUP($J$5&amp;$I22,'5zip'!$A:$F,6,FALSE),VLOOKUP($J$5&amp;$H22,'4zip'!$A:$F,6,FALSE)),VLOOKUP($J$5&amp;$G22,'3zip'!$A:$F,6,FALSE)),"Zip Code Not Serviced")</f>
        <v>Zip Code Not Serviced</v>
      </c>
      <c r="N22" s="621">
        <f t="shared" si="4"/>
        <v>0</v>
      </c>
      <c r="O22" s="622">
        <f>IFERROR((VLOOKUP($J$4&amp;$C22&amp;$J$6&amp;$J$7,'Variable Selling'!$B:$O,11,FALSE))*F22,0)</f>
        <v>0</v>
      </c>
      <c r="P22" s="622">
        <f>IFERROR(VLOOKUP($J$4,'Variable Div Avgs'!$D:$I,6,FALSE)*'Variable Costs (Back)'!$F22,0)</f>
        <v>0</v>
      </c>
      <c r="Q22" s="622">
        <f t="shared" si="0"/>
        <v>0</v>
      </c>
      <c r="R22" s="622">
        <f t="shared" si="1"/>
        <v>0</v>
      </c>
      <c r="S22" s="622">
        <f t="shared" si="5"/>
        <v>0</v>
      </c>
      <c r="T22" s="622">
        <f>IFERROR(VLOOKUP($AC22,'Existing Customer Variable Exp'!$B:$E,2,FALSE),0)</f>
        <v>0</v>
      </c>
      <c r="U22" s="622">
        <f>IFERROR(VLOOKUP($AC22,'Existing Customer Variable Exp'!$B:$E,3,FALSE),0)</f>
        <v>0</v>
      </c>
      <c r="V22" s="622">
        <f>IFERROR(VLOOKUP($AC22,'Existing Customer Variable Exp'!$B:$E,4,FALSE),0)</f>
        <v>0</v>
      </c>
      <c r="W22" s="621">
        <f t="shared" si="6"/>
        <v>0</v>
      </c>
      <c r="X22" s="622">
        <f t="shared" si="7"/>
        <v>0</v>
      </c>
      <c r="Y22" s="622">
        <f t="shared" si="8"/>
        <v>0</v>
      </c>
      <c r="Z22" s="622" t="str">
        <f>IF('Customer Inputs'!L13&lt;&gt;'Customer Inputs'!X13,"Modelled",IF(D22=F22,"BASE","Modelled"))</f>
        <v>BASE</v>
      </c>
      <c r="AA22" s="622" t="str">
        <f>IF(SUMIF('Existing Customers'!$A:$A,'Variable Costs (Back)'!$AC22,'Existing Customers'!$Q:$Q)&gt;0,"Existing","New")</f>
        <v>New</v>
      </c>
      <c r="AB22" s="639" t="s">
        <v>840</v>
      </c>
      <c r="AC22" s="623" t="str">
        <f>IF('Customer Inputs'!$F13="","",'Customer Inputs'!$G13)</f>
        <v/>
      </c>
      <c r="AD22" s="642">
        <f t="shared" si="9"/>
        <v>0</v>
      </c>
      <c r="AE22" s="642">
        <f t="shared" si="10"/>
        <v>0</v>
      </c>
      <c r="AF22" s="642">
        <f t="shared" si="11"/>
        <v>0</v>
      </c>
      <c r="AG22" s="742">
        <f t="shared" si="12"/>
        <v>0</v>
      </c>
      <c r="AH22" s="146" t="s">
        <v>261</v>
      </c>
      <c r="AI22" s="146" t="s">
        <v>116</v>
      </c>
      <c r="AJ22" s="146" t="s">
        <v>261</v>
      </c>
      <c r="AK22" s="146" t="s">
        <v>116</v>
      </c>
    </row>
    <row r="23" spans="1:37" x14ac:dyDescent="0.2">
      <c r="A23" s="146" t="str">
        <f>IF('Customer Inputs'!$S14="","",IF('Variable Costs (Back)'!$M23="Zip Code Not Serviced","Zip Code Not Serviced",""))</f>
        <v/>
      </c>
      <c r="B23" s="146" t="str">
        <f>'Customer Inputs'!Y14</f>
        <v/>
      </c>
      <c r="C23" s="146" t="str">
        <f>IF(Welcome!$D$8="HOSPITALITY",IFERROR(VLOOKUP(B23,$AJ:$AK,2,FALSE),""),IFERROR(VLOOKUP(B23,$AH:$AI,2,FALSE),""))</f>
        <v/>
      </c>
      <c r="D23" s="619">
        <f>ROUND('Multi-Customer'!$DO$49,0)</f>
        <v>0</v>
      </c>
      <c r="E23" s="619">
        <f>ROUND('Multi-Customer'!$DO$50,0)</f>
        <v>0</v>
      </c>
      <c r="F23" s="619">
        <f>ROUND('Multi-Customer'!$DP$33,0)</f>
        <v>0</v>
      </c>
      <c r="G23" s="619" t="str">
        <f t="shared" si="2"/>
        <v/>
      </c>
      <c r="H23" s="619" t="str">
        <f t="shared" si="3"/>
        <v/>
      </c>
      <c r="I23" s="619" t="str">
        <f>IF('Customer Inputs'!Z14="","",'Customer Inputs'!Z14)</f>
        <v/>
      </c>
      <c r="J23" s="637" t="str">
        <f>IF('Customer Inputs'!$F14="","",'Customer Inputs'!$P14)</f>
        <v/>
      </c>
      <c r="K23" s="146" t="str">
        <f>'Customer Inputs'!X14</f>
        <v/>
      </c>
      <c r="L23" s="620">
        <f>IFERROR(IFERROR(IFERROR(VLOOKUP($J$5&amp;$I23,'5zip'!$A:$F,6,FALSE),VLOOKUP($J$5&amp;$H23,'4zip'!$A:$F,6,FALSE)),VLOOKUP($J$5&amp;$G23,'3zip'!$A:$F,6,FALSE)),0)</f>
        <v>0</v>
      </c>
      <c r="M23" s="620" t="str">
        <f>IFERROR(IFERROR(IFERROR(VLOOKUP($J$5&amp;$I23,'5zip'!$A:$F,6,FALSE),VLOOKUP($J$5&amp;$H23,'4zip'!$A:$F,6,FALSE)),VLOOKUP($J$5&amp;$G23,'3zip'!$A:$F,6,FALSE)),"Zip Code Not Serviced")</f>
        <v>Zip Code Not Serviced</v>
      </c>
      <c r="N23" s="621">
        <f t="shared" si="4"/>
        <v>0</v>
      </c>
      <c r="O23" s="622">
        <f>IFERROR((VLOOKUP($J$4&amp;$C23&amp;$J$6&amp;$J$7,'Variable Selling'!$B:$O,11,FALSE))*F23,0)</f>
        <v>0</v>
      </c>
      <c r="P23" s="622">
        <f>IFERROR(VLOOKUP($J$4,'Variable Div Avgs'!$D:$I,6,FALSE)*'Variable Costs (Back)'!$F23,0)</f>
        <v>0</v>
      </c>
      <c r="Q23" s="622">
        <f t="shared" si="0"/>
        <v>0</v>
      </c>
      <c r="R23" s="622">
        <f t="shared" si="1"/>
        <v>0</v>
      </c>
      <c r="S23" s="622">
        <f t="shared" si="5"/>
        <v>0</v>
      </c>
      <c r="T23" s="622">
        <f>IFERROR(VLOOKUP($AC23,'Existing Customer Variable Exp'!$B:$E,2,FALSE),0)</f>
        <v>0</v>
      </c>
      <c r="U23" s="622">
        <f>IFERROR(VLOOKUP($AC23,'Existing Customer Variable Exp'!$B:$E,3,FALSE),0)</f>
        <v>0</v>
      </c>
      <c r="V23" s="622">
        <f>IFERROR(VLOOKUP($AC23,'Existing Customer Variable Exp'!$B:$E,4,FALSE),0)</f>
        <v>0</v>
      </c>
      <c r="W23" s="621">
        <f t="shared" si="6"/>
        <v>0</v>
      </c>
      <c r="X23" s="622">
        <f t="shared" si="7"/>
        <v>0</v>
      </c>
      <c r="Y23" s="622">
        <f t="shared" si="8"/>
        <v>0</v>
      </c>
      <c r="Z23" s="622" t="str">
        <f>IF('Customer Inputs'!L14&lt;&gt;'Customer Inputs'!X14,"Modelled",IF(D23=F23,"BASE","Modelled"))</f>
        <v>BASE</v>
      </c>
      <c r="AA23" s="622" t="str">
        <f>IF(SUMIF('Existing Customers'!$A:$A,'Variable Costs (Back)'!$AC23,'Existing Customers'!$Q:$Q)&gt;0,"Existing","New")</f>
        <v>New</v>
      </c>
      <c r="AB23" s="639" t="s">
        <v>841</v>
      </c>
      <c r="AC23" s="623" t="str">
        <f>IF('Customer Inputs'!$F14="","",'Customer Inputs'!$G14)</f>
        <v/>
      </c>
      <c r="AD23" s="642">
        <f>IF($AA23="Existing",IF($Z23="BASE",$T23,$W23),$N23)</f>
        <v>0</v>
      </c>
      <c r="AE23" s="642">
        <f>IF($AA23="Existing",IF($Z23="BASE",$U23,$X23),$O23)</f>
        <v>0</v>
      </c>
      <c r="AF23" s="642">
        <f t="shared" si="11"/>
        <v>0</v>
      </c>
      <c r="AG23" s="742">
        <f t="shared" si="12"/>
        <v>0</v>
      </c>
      <c r="AH23" s="146" t="s">
        <v>262</v>
      </c>
      <c r="AI23" s="146" t="s">
        <v>112</v>
      </c>
      <c r="AJ23" s="146" t="s">
        <v>262</v>
      </c>
      <c r="AK23" s="146" t="s">
        <v>112</v>
      </c>
    </row>
    <row r="24" spans="1:37" ht="13.5" thickBot="1" x14ac:dyDescent="0.25">
      <c r="A24" s="146" t="str">
        <f>IF('Customer Inputs'!$S15="","",IF('Variable Costs (Back)'!$M24="Zip Code Not Serviced","Zip Code Not Serviced",""))</f>
        <v/>
      </c>
      <c r="B24" s="146" t="str">
        <f>'Customer Inputs'!Y15</f>
        <v/>
      </c>
      <c r="C24" s="146" t="str">
        <f>IF(Welcome!$D$8="HOSPITALITY",IFERROR(VLOOKUP(B24,$AJ:$AK,2,FALSE),""),IFERROR(VLOOKUP(B24,$AH:$AI,2,FALSE),""))</f>
        <v/>
      </c>
      <c r="D24" s="619">
        <f>ROUND('Multi-Customer'!$DX$49,0)</f>
        <v>0</v>
      </c>
      <c r="E24" s="619">
        <f>ROUND('Multi-Customer'!$DX$50,0)</f>
        <v>0</v>
      </c>
      <c r="F24" s="619">
        <f>ROUND('Multi-Customer'!$DY$33,0)</f>
        <v>0</v>
      </c>
      <c r="G24" s="619" t="str">
        <f t="shared" si="2"/>
        <v/>
      </c>
      <c r="H24" s="619" t="str">
        <f t="shared" si="3"/>
        <v/>
      </c>
      <c r="I24" s="619" t="str">
        <f>IF('Customer Inputs'!Z15="","",'Customer Inputs'!Z15)</f>
        <v/>
      </c>
      <c r="J24" s="637" t="str">
        <f>IF('Customer Inputs'!$F15="","",'Customer Inputs'!$P15)</f>
        <v/>
      </c>
      <c r="K24" s="146" t="str">
        <f>'Customer Inputs'!X15</f>
        <v/>
      </c>
      <c r="L24" s="620">
        <f>IFERROR(IFERROR(IFERROR(VLOOKUP($J$5&amp;$I24,'5zip'!$A:$F,6,FALSE),VLOOKUP($J$5&amp;$H24,'4zip'!$A:$F,6,FALSE)),VLOOKUP($J$5&amp;$G24,'3zip'!$A:$F,6,FALSE)),0)</f>
        <v>0</v>
      </c>
      <c r="M24" s="620" t="str">
        <f>IFERROR(IFERROR(IFERROR(VLOOKUP($J$5&amp;$I24,'5zip'!$A:$F,6,FALSE),VLOOKUP($J$5&amp;$H24,'4zip'!$A:$F,6,FALSE)),VLOOKUP($J$5&amp;$G24,'3zip'!$A:$F,6,FALSE)),"Zip Code Not Serviced")</f>
        <v>Zip Code Not Serviced</v>
      </c>
      <c r="N24" s="621">
        <f t="shared" si="4"/>
        <v>0</v>
      </c>
      <c r="O24" s="622">
        <f>IFERROR((VLOOKUP($J$4&amp;$C24&amp;$J$6&amp;$J$7,'Variable Selling'!$B:$O,11,FALSE))*F24,0)</f>
        <v>0</v>
      </c>
      <c r="P24" s="622">
        <f>IFERROR(VLOOKUP($J$4,'Variable Div Avgs'!$D:$I,6,FALSE)*'Variable Costs (Back)'!$F24,0)</f>
        <v>0</v>
      </c>
      <c r="Q24" s="622">
        <f t="shared" si="0"/>
        <v>0</v>
      </c>
      <c r="R24" s="622">
        <f t="shared" si="1"/>
        <v>0</v>
      </c>
      <c r="S24" s="622">
        <f t="shared" si="5"/>
        <v>0</v>
      </c>
      <c r="T24" s="622">
        <f>IFERROR(VLOOKUP($AC24,'Existing Customer Variable Exp'!$B:$E,2,FALSE),0)</f>
        <v>0</v>
      </c>
      <c r="U24" s="622">
        <f>IFERROR(VLOOKUP($AC24,'Existing Customer Variable Exp'!$B:$E,3,FALSE),0)</f>
        <v>0</v>
      </c>
      <c r="V24" s="622">
        <f>IFERROR(VLOOKUP($AC24,'Existing Customer Variable Exp'!$B:$E,4,FALSE),0)</f>
        <v>0</v>
      </c>
      <c r="W24" s="621">
        <f t="shared" si="6"/>
        <v>0</v>
      </c>
      <c r="X24" s="622">
        <f t="shared" si="7"/>
        <v>0</v>
      </c>
      <c r="Y24" s="622">
        <f t="shared" si="8"/>
        <v>0</v>
      </c>
      <c r="Z24" s="622" t="str">
        <f>IF('Customer Inputs'!L15&lt;&gt;'Customer Inputs'!X15,"Modelled",IF(D24=F24,"BASE","Modelled"))</f>
        <v>BASE</v>
      </c>
      <c r="AA24" s="622" t="str">
        <f>IF(SUMIF('Existing Customers'!$A:$A,'Variable Costs (Back)'!$AC24,'Existing Customers'!$Q:$Q)&gt;0,"Existing","New")</f>
        <v>New</v>
      </c>
      <c r="AB24" s="639" t="s">
        <v>842</v>
      </c>
      <c r="AC24" s="646" t="str">
        <f>IF('Customer Inputs'!$F15="","",'Customer Inputs'!$G15)</f>
        <v/>
      </c>
      <c r="AD24" s="644">
        <f>IF($AA24="Existing",IF($Z24="BASE",$T24,$W24),$N24)</f>
        <v>0</v>
      </c>
      <c r="AE24" s="644">
        <f>IF($AA24="Existing",IF($Z24="BASE",$U24,$X24),$O24)</f>
        <v>0</v>
      </c>
      <c r="AF24" s="644">
        <f t="shared" si="11"/>
        <v>0</v>
      </c>
      <c r="AG24" s="743">
        <f t="shared" si="12"/>
        <v>0</v>
      </c>
      <c r="AH24" s="146" t="s">
        <v>263</v>
      </c>
      <c r="AI24" s="146" t="s">
        <v>113</v>
      </c>
      <c r="AJ24" s="146" t="s">
        <v>263</v>
      </c>
      <c r="AK24" s="146" t="s">
        <v>113</v>
      </c>
    </row>
    <row r="25" spans="1:37" ht="13.5" thickTop="1" x14ac:dyDescent="0.2">
      <c r="K25" s="624">
        <f>SUM(K15:K24)</f>
        <v>0</v>
      </c>
      <c r="W25" s="622"/>
      <c r="Y25" s="622"/>
      <c r="Z25" s="622"/>
      <c r="AA25" s="622"/>
      <c r="AC25" s="645" t="s">
        <v>978</v>
      </c>
      <c r="AD25" s="643">
        <f>SUM(AD15:AD24)</f>
        <v>0</v>
      </c>
      <c r="AE25" s="643">
        <f>SUM(AE15:AE24)</f>
        <v>0</v>
      </c>
      <c r="AF25" s="643">
        <f>SUM(AF15:AF24)</f>
        <v>0</v>
      </c>
      <c r="AG25" s="643">
        <f>SUM(AD25:AF25)</f>
        <v>0</v>
      </c>
      <c r="AH25" s="146" t="s">
        <v>265</v>
      </c>
      <c r="AI25" s="146" t="s">
        <v>111</v>
      </c>
      <c r="AJ25" s="146" t="s">
        <v>265</v>
      </c>
      <c r="AK25" s="146" t="s">
        <v>111</v>
      </c>
    </row>
    <row r="26" spans="1:37" x14ac:dyDescent="0.2">
      <c r="J26" s="625" t="s">
        <v>939</v>
      </c>
      <c r="K26" s="624">
        <f>IFERROR(SUM($K$15:$K$24)/COUNTIF($K$15:$K$24,"&gt;0"),0)</f>
        <v>0</v>
      </c>
      <c r="AB26" s="625"/>
      <c r="AH26" s="146" t="s">
        <v>266</v>
      </c>
      <c r="AI26" s="146" t="s">
        <v>118</v>
      </c>
      <c r="AJ26" s="146" t="s">
        <v>266</v>
      </c>
      <c r="AK26" s="146" t="s">
        <v>118</v>
      </c>
    </row>
    <row r="27" spans="1:37" x14ac:dyDescent="0.2">
      <c r="AB27" s="625"/>
      <c r="AH27" s="146" t="s">
        <v>267</v>
      </c>
      <c r="AI27" s="146" t="s">
        <v>115</v>
      </c>
      <c r="AJ27" s="146" t="s">
        <v>267</v>
      </c>
      <c r="AK27" s="146" t="s">
        <v>115</v>
      </c>
    </row>
    <row r="28" spans="1:37" x14ac:dyDescent="0.2">
      <c r="AH28" s="146" t="s">
        <v>268</v>
      </c>
      <c r="AI28" s="146" t="s">
        <v>117</v>
      </c>
      <c r="AJ28" s="146" t="s">
        <v>268</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37" sqref="H3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320" t="s">
        <v>1051</v>
      </c>
      <c r="F1" s="1321"/>
      <c r="G1" s="1321"/>
      <c r="H1" s="1321"/>
      <c r="I1" s="1321"/>
      <c r="J1" s="1322"/>
      <c r="L1" s="1320" t="s">
        <v>1050</v>
      </c>
      <c r="M1" s="1322"/>
      <c r="Q1" s="1" t="s">
        <v>552</v>
      </c>
      <c r="R1" s="1" t="s">
        <v>551</v>
      </c>
    </row>
    <row r="2" spans="1:18" x14ac:dyDescent="0.25">
      <c r="E2" s="1">
        <v>0.1</v>
      </c>
      <c r="F2" s="54">
        <v>1.0999999999999999E-2</v>
      </c>
      <c r="G2" s="54">
        <v>2.7E-2</v>
      </c>
      <c r="H2" s="54">
        <v>3.2000000000000001E-2</v>
      </c>
      <c r="I2" s="54">
        <v>4.9000000000000002E-2</v>
      </c>
      <c r="J2" s="54">
        <v>6.4000000000000001E-2</v>
      </c>
      <c r="L2" s="851" t="s">
        <v>1174</v>
      </c>
      <c r="M2" s="49">
        <v>5.0000000000000001E-4</v>
      </c>
      <c r="O2" s="1" t="s">
        <v>553</v>
      </c>
      <c r="P2" s="1" t="s">
        <v>214</v>
      </c>
      <c r="Q2" s="1" t="s">
        <v>14</v>
      </c>
      <c r="R2" s="54">
        <v>6.0999999999999999E-2</v>
      </c>
    </row>
    <row r="3" spans="1:18" x14ac:dyDescent="0.25">
      <c r="E3" s="1">
        <v>0.15</v>
      </c>
      <c r="F3" s="54">
        <v>5.0000000000000001E-3</v>
      </c>
      <c r="G3" s="54">
        <v>3.9E-2</v>
      </c>
      <c r="H3" s="54">
        <v>0.05</v>
      </c>
      <c r="I3" s="54">
        <v>6.5000000000000002E-2</v>
      </c>
      <c r="J3" s="54">
        <v>8.5999999999999993E-2</v>
      </c>
      <c r="L3" s="851" t="s">
        <v>1175</v>
      </c>
      <c r="M3" s="49">
        <v>1E-3</v>
      </c>
      <c r="O3" s="1" t="s">
        <v>554</v>
      </c>
      <c r="P3" s="1" t="s">
        <v>215</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51" t="s">
        <v>1176</v>
      </c>
      <c r="M4" s="49">
        <v>1.5E-3</v>
      </c>
      <c r="O4" s="1" t="s">
        <v>555</v>
      </c>
      <c r="P4" s="1" t="s">
        <v>216</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51" t="s">
        <v>1177</v>
      </c>
      <c r="M5" s="49">
        <v>2E-3</v>
      </c>
      <c r="O5" s="1" t="s">
        <v>556</v>
      </c>
      <c r="P5" s="1" t="s">
        <v>270</v>
      </c>
      <c r="Q5" s="1" t="s">
        <v>14</v>
      </c>
      <c r="R5" s="54">
        <v>0.14499999999999999</v>
      </c>
    </row>
    <row r="6" spans="1:18" x14ac:dyDescent="0.25">
      <c r="A6" s="88" t="s">
        <v>966</v>
      </c>
      <c r="B6" t="str">
        <f>IF(B7&lt;0.25,"Q1",IF(B7&lt;0.5,"Q2",IF(B7&lt;0.75,"Q3","Q4")))</f>
        <v>Q1</v>
      </c>
      <c r="E6" s="1">
        <v>0.3</v>
      </c>
      <c r="F6" s="54">
        <v>3.2000000000000001E-2</v>
      </c>
      <c r="G6" s="54">
        <v>6.5000000000000002E-2</v>
      </c>
      <c r="H6" s="54">
        <v>7.6999999999999999E-2</v>
      </c>
      <c r="I6" s="54">
        <v>9.5000000000000001E-2</v>
      </c>
      <c r="J6" s="54">
        <v>0.12</v>
      </c>
      <c r="L6" s="851" t="s">
        <v>1178</v>
      </c>
      <c r="M6" s="49">
        <v>2.5000000000000001E-3</v>
      </c>
      <c r="O6" s="1" t="s">
        <v>557</v>
      </c>
      <c r="P6" s="1" t="s">
        <v>214</v>
      </c>
      <c r="Q6" s="1" t="s">
        <v>62</v>
      </c>
      <c r="R6" s="54">
        <v>4.5999999999999999E-2</v>
      </c>
    </row>
    <row r="7" spans="1:18" x14ac:dyDescent="0.25">
      <c r="A7" s="88" t="s">
        <v>474</v>
      </c>
      <c r="B7">
        <f>'PIM Ranges'!$AU$3</f>
        <v>0</v>
      </c>
      <c r="E7" s="1">
        <v>0.35</v>
      </c>
      <c r="F7" s="54">
        <v>4.8000000000000001E-2</v>
      </c>
      <c r="G7" s="54">
        <v>7.9000000000000001E-2</v>
      </c>
      <c r="H7" s="54">
        <v>9.4E-2</v>
      </c>
      <c r="I7" s="54">
        <v>0.11</v>
      </c>
      <c r="J7" s="54">
        <v>0.14499999999999999</v>
      </c>
      <c r="L7" s="851" t="s">
        <v>1179</v>
      </c>
      <c r="M7" s="49">
        <v>3.0000000000000001E-3</v>
      </c>
      <c r="O7" s="1" t="s">
        <v>558</v>
      </c>
      <c r="P7" s="1" t="s">
        <v>215</v>
      </c>
      <c r="Q7" s="1" t="s">
        <v>62</v>
      </c>
      <c r="R7" s="54">
        <v>8.5000000000000006E-2</v>
      </c>
    </row>
    <row r="8" spans="1:18" x14ac:dyDescent="0.25">
      <c r="A8" s="88" t="s">
        <v>476</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51" t="s">
        <v>1180</v>
      </c>
      <c r="M8" s="49">
        <v>3.5000000000000001E-3</v>
      </c>
      <c r="O8" s="1" t="s">
        <v>559</v>
      </c>
      <c r="P8" s="1" t="s">
        <v>216</v>
      </c>
      <c r="Q8" s="1" t="s">
        <v>62</v>
      </c>
      <c r="R8" s="54">
        <v>0.106</v>
      </c>
    </row>
    <row r="9" spans="1:18" x14ac:dyDescent="0.25">
      <c r="A9" s="88" t="s">
        <v>967</v>
      </c>
      <c r="B9" t="str">
        <f>IF($B$4="Multiple Menu Types",B6&amp;B5,B6&amp;B4)</f>
        <v>Q1Enter Customer(s)</v>
      </c>
      <c r="E9" s="1">
        <v>0.45</v>
      </c>
      <c r="F9" s="54">
        <v>5.6000000000000001E-2</v>
      </c>
      <c r="G9" s="54">
        <v>8.6999999999999994E-2</v>
      </c>
      <c r="H9" s="54">
        <v>0.10100000000000001</v>
      </c>
      <c r="I9" s="54">
        <v>0.12</v>
      </c>
      <c r="J9" s="54">
        <v>0.16700000000000001</v>
      </c>
      <c r="L9" s="851" t="s">
        <v>1181</v>
      </c>
      <c r="M9" s="49">
        <v>4.0000000000000001E-3</v>
      </c>
      <c r="O9" s="1" t="s">
        <v>560</v>
      </c>
      <c r="P9" s="1" t="s">
        <v>270</v>
      </c>
      <c r="Q9" s="1" t="s">
        <v>62</v>
      </c>
      <c r="R9" s="54">
        <v>0.106</v>
      </c>
    </row>
    <row r="10" spans="1:18" x14ac:dyDescent="0.25">
      <c r="A10" s="88"/>
      <c r="E10" s="1">
        <v>0.5</v>
      </c>
      <c r="F10" s="54">
        <v>0.05</v>
      </c>
      <c r="G10" s="54">
        <v>9.1999999999999998E-2</v>
      </c>
      <c r="H10" s="54">
        <v>0.108</v>
      </c>
      <c r="I10" s="54">
        <v>0.124</v>
      </c>
      <c r="J10" s="54">
        <v>0.16600000000000001</v>
      </c>
      <c r="L10" s="851" t="s">
        <v>1182</v>
      </c>
      <c r="M10" s="49">
        <v>4.4999999999999997E-3</v>
      </c>
      <c r="O10" s="1" t="s">
        <v>561</v>
      </c>
      <c r="P10" s="1" t="s">
        <v>214</v>
      </c>
      <c r="Q10" s="1" t="s">
        <v>74</v>
      </c>
      <c r="R10" s="54">
        <v>7.1999999999999995E-2</v>
      </c>
    </row>
    <row r="11" spans="1:18" x14ac:dyDescent="0.25">
      <c r="A11" s="88" t="s">
        <v>968</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51" t="s">
        <v>1183</v>
      </c>
      <c r="M11" s="49">
        <v>5.0000000000000001E-3</v>
      </c>
      <c r="O11" s="1" t="s">
        <v>562</v>
      </c>
      <c r="P11" s="1" t="s">
        <v>215</v>
      </c>
      <c r="Q11" s="1" t="s">
        <v>74</v>
      </c>
      <c r="R11" s="54">
        <v>0.109</v>
      </c>
    </row>
    <row r="12" spans="1:18" x14ac:dyDescent="0.25">
      <c r="A12" s="88" t="s">
        <v>969</v>
      </c>
      <c r="B12">
        <f>IFERROR(VLOOKUP($B$9,$O:$R,4,FALSE),0)</f>
        <v>0</v>
      </c>
      <c r="E12" s="1">
        <v>0.6</v>
      </c>
      <c r="F12" s="54">
        <v>6.6000000000000003E-2</v>
      </c>
      <c r="G12" s="54">
        <v>0.10299999999999999</v>
      </c>
      <c r="H12" s="54">
        <v>0.11899999999999999</v>
      </c>
      <c r="I12" s="54">
        <v>0.13700000000000001</v>
      </c>
      <c r="J12" s="54">
        <v>0.184</v>
      </c>
      <c r="L12" s="851" t="s">
        <v>1184</v>
      </c>
      <c r="M12" s="49">
        <v>5.4999999999999997E-3</v>
      </c>
      <c r="O12" s="1" t="s">
        <v>563</v>
      </c>
      <c r="P12" s="1" t="s">
        <v>216</v>
      </c>
      <c r="Q12" s="1" t="s">
        <v>74</v>
      </c>
      <c r="R12" s="54">
        <v>0.14299999999999999</v>
      </c>
    </row>
    <row r="13" spans="1:18" x14ac:dyDescent="0.25">
      <c r="A13" s="88"/>
      <c r="E13" s="1">
        <v>0.65</v>
      </c>
      <c r="F13" s="54">
        <v>7.4999999999999997E-2</v>
      </c>
      <c r="G13" s="54">
        <v>0.111</v>
      </c>
      <c r="H13" s="54">
        <v>0.123</v>
      </c>
      <c r="I13" s="54">
        <v>0.13600000000000001</v>
      </c>
      <c r="J13" s="54">
        <v>0.17299999999999999</v>
      </c>
      <c r="L13" s="851" t="s">
        <v>1185</v>
      </c>
      <c r="M13" s="49">
        <v>6.0000000000000001E-3</v>
      </c>
      <c r="O13" s="1" t="s">
        <v>564</v>
      </c>
      <c r="P13" s="1" t="s">
        <v>270</v>
      </c>
      <c r="Q13" s="1" t="s">
        <v>74</v>
      </c>
      <c r="R13" s="54">
        <v>0.14299999999999999</v>
      </c>
    </row>
    <row r="14" spans="1:18" x14ac:dyDescent="0.25">
      <c r="A14" s="88" t="s">
        <v>928</v>
      </c>
      <c r="B14" s="41">
        <f>'PIM Model'!$G$31</f>
        <v>0</v>
      </c>
      <c r="E14" s="1">
        <v>0.7</v>
      </c>
      <c r="F14" s="54">
        <v>0.08</v>
      </c>
      <c r="G14" s="54">
        <v>0.113</v>
      </c>
      <c r="H14" s="54">
        <v>0.126</v>
      </c>
      <c r="I14" s="54">
        <v>0.15</v>
      </c>
      <c r="J14" s="54">
        <v>0.20200000000000001</v>
      </c>
      <c r="L14" s="851" t="s">
        <v>1186</v>
      </c>
      <c r="M14" s="49">
        <v>6.4999999999999997E-3</v>
      </c>
      <c r="O14" s="1" t="s">
        <v>565</v>
      </c>
      <c r="P14" s="1" t="s">
        <v>214</v>
      </c>
      <c r="Q14" s="1" t="s">
        <v>34</v>
      </c>
      <c r="R14" s="54">
        <v>6.2E-2</v>
      </c>
    </row>
    <row r="15" spans="1:18" x14ac:dyDescent="0.25">
      <c r="A15" s="88" t="s">
        <v>970</v>
      </c>
      <c r="B15" s="41">
        <f>B12*B14</f>
        <v>0</v>
      </c>
      <c r="E15" s="1">
        <v>0.75</v>
      </c>
      <c r="F15" s="54">
        <v>7.8E-2</v>
      </c>
      <c r="G15" s="54">
        <v>0.108</v>
      </c>
      <c r="H15" s="54">
        <v>0.128</v>
      </c>
      <c r="I15" s="54">
        <v>0.154</v>
      </c>
      <c r="J15" s="54">
        <v>0.21</v>
      </c>
      <c r="L15" s="851" t="s">
        <v>1187</v>
      </c>
      <c r="M15" s="49">
        <v>7.0000000000000001E-3</v>
      </c>
      <c r="O15" s="1" t="s">
        <v>566</v>
      </c>
      <c r="P15" s="1" t="s">
        <v>215</v>
      </c>
      <c r="Q15" s="1" t="s">
        <v>34</v>
      </c>
      <c r="R15" s="54">
        <v>0.10199999999999999</v>
      </c>
    </row>
    <row r="16" spans="1:18" x14ac:dyDescent="0.25">
      <c r="A16" s="88" t="s">
        <v>968</v>
      </c>
      <c r="B16">
        <f>B14*B11</f>
        <v>0</v>
      </c>
      <c r="E16" s="1">
        <v>0.8</v>
      </c>
      <c r="F16" s="54">
        <v>9.7000000000000003E-2</v>
      </c>
      <c r="G16" s="54">
        <v>0.13200000000000001</v>
      </c>
      <c r="H16" s="54">
        <v>0.129</v>
      </c>
      <c r="I16" s="54">
        <v>0.156</v>
      </c>
      <c r="J16" s="54">
        <v>0.17</v>
      </c>
      <c r="L16" s="851" t="s">
        <v>1188</v>
      </c>
      <c r="M16" s="49">
        <v>7.4999999999999997E-3</v>
      </c>
      <c r="O16" s="1" t="s">
        <v>567</v>
      </c>
      <c r="P16" s="1" t="s">
        <v>216</v>
      </c>
      <c r="Q16" s="1" t="s">
        <v>34</v>
      </c>
      <c r="R16" s="54">
        <v>0.11700000000000001</v>
      </c>
    </row>
    <row r="17" spans="2:18" x14ac:dyDescent="0.25">
      <c r="E17" s="1" t="s">
        <v>475</v>
      </c>
      <c r="F17" s="54">
        <v>9.9000000000000005E-2</v>
      </c>
      <c r="G17" s="54">
        <v>0.10800000000000001</v>
      </c>
      <c r="H17" s="54">
        <v>0.129</v>
      </c>
      <c r="I17" s="54">
        <v>0.151</v>
      </c>
      <c r="J17" s="54">
        <v>0.155</v>
      </c>
      <c r="L17" s="852" t="s">
        <v>1189</v>
      </c>
      <c r="M17" s="49">
        <v>8.0000000000000002E-3</v>
      </c>
      <c r="O17" s="1" t="s">
        <v>568</v>
      </c>
      <c r="P17" s="1" t="s">
        <v>270</v>
      </c>
      <c r="Q17" s="1" t="s">
        <v>34</v>
      </c>
      <c r="R17" s="54">
        <v>0.11700000000000001</v>
      </c>
    </row>
    <row r="18" spans="2:18" x14ac:dyDescent="0.25">
      <c r="L18" s="851" t="s">
        <v>1190</v>
      </c>
      <c r="M18" s="49">
        <v>8.5000000000000006E-3</v>
      </c>
      <c r="O18" s="1" t="s">
        <v>569</v>
      </c>
      <c r="P18" s="1" t="s">
        <v>214</v>
      </c>
      <c r="Q18" s="1" t="s">
        <v>0</v>
      </c>
      <c r="R18" s="54">
        <v>5.3999999999999999E-2</v>
      </c>
    </row>
    <row r="19" spans="2:18" x14ac:dyDescent="0.25">
      <c r="B19" t="s">
        <v>1057</v>
      </c>
      <c r="C19">
        <f>IF(Welcome!$D$16="Select # of Locations",0,Welcome!$D$16)</f>
        <v>0</v>
      </c>
      <c r="L19" s="851" t="s">
        <v>1191</v>
      </c>
      <c r="M19" s="49">
        <v>8.9999999999999993E-3</v>
      </c>
      <c r="O19" s="1" t="s">
        <v>570</v>
      </c>
      <c r="P19" s="1" t="s">
        <v>215</v>
      </c>
      <c r="Q19" s="1" t="s">
        <v>0</v>
      </c>
      <c r="R19" s="54">
        <v>8.7999999999999995E-2</v>
      </c>
    </row>
    <row r="20" spans="2:18" x14ac:dyDescent="0.25">
      <c r="B20">
        <f>'PIM Model'!$E$3</f>
        <v>0</v>
      </c>
      <c r="E20" s="1320" t="s">
        <v>1052</v>
      </c>
      <c r="F20" s="1321"/>
      <c r="G20" s="1322"/>
      <c r="L20" s="1"/>
      <c r="M20" s="49">
        <v>9.4999999999999998E-3</v>
      </c>
      <c r="O20" s="1" t="s">
        <v>571</v>
      </c>
      <c r="P20" s="1" t="s">
        <v>216</v>
      </c>
      <c r="Q20" s="1" t="s">
        <v>0</v>
      </c>
      <c r="R20" s="54">
        <v>0.112</v>
      </c>
    </row>
    <row r="21" spans="2:18" x14ac:dyDescent="0.25">
      <c r="B21" t="s">
        <v>496</v>
      </c>
      <c r="C21" s="41">
        <f>'PIM Model'!$G$31</f>
        <v>0</v>
      </c>
      <c r="E21" s="90" t="s">
        <v>1059</v>
      </c>
      <c r="F21" s="715">
        <v>2600</v>
      </c>
      <c r="G21" s="54">
        <v>5.6000000000000001E-2</v>
      </c>
      <c r="H21" s="24"/>
      <c r="O21" s="1" t="s">
        <v>572</v>
      </c>
      <c r="P21" s="1" t="s">
        <v>270</v>
      </c>
      <c r="Q21" s="1" t="s">
        <v>0</v>
      </c>
      <c r="R21" s="54">
        <v>0.112</v>
      </c>
    </row>
    <row r="22" spans="2:18" x14ac:dyDescent="0.25">
      <c r="B22" t="s">
        <v>497</v>
      </c>
      <c r="C22" s="41">
        <f>$C$21/52</f>
        <v>0</v>
      </c>
      <c r="D22" t="s">
        <v>1074</v>
      </c>
      <c r="E22" s="90" t="s">
        <v>1060</v>
      </c>
      <c r="F22" s="715">
        <v>4600</v>
      </c>
      <c r="G22" s="54">
        <v>6.3E-2</v>
      </c>
      <c r="H22" s="24"/>
      <c r="L22" s="1319" t="s">
        <v>113</v>
      </c>
      <c r="M22" s="1319"/>
      <c r="O22" s="1" t="s">
        <v>573</v>
      </c>
      <c r="P22" s="1" t="s">
        <v>214</v>
      </c>
      <c r="Q22" s="1" t="s">
        <v>69</v>
      </c>
      <c r="R22" s="54">
        <v>7.6999999999999999E-2</v>
      </c>
    </row>
    <row r="23" spans="2:18" x14ac:dyDescent="0.25">
      <c r="B23" t="s">
        <v>1058</v>
      </c>
      <c r="C23" s="41" t="e">
        <f>$C$22/C19</f>
        <v>#DIV/0!</v>
      </c>
      <c r="E23" s="90" t="s">
        <v>1061</v>
      </c>
      <c r="F23" s="715">
        <v>8300</v>
      </c>
      <c r="G23" s="54">
        <v>5.2999999999999999E-2</v>
      </c>
      <c r="H23" s="24"/>
      <c r="L23" s="1320" t="s">
        <v>1050</v>
      </c>
      <c r="M23" s="1322"/>
      <c r="O23" s="1" t="s">
        <v>574</v>
      </c>
      <c r="P23" s="1" t="s">
        <v>215</v>
      </c>
      <c r="Q23" s="1" t="s">
        <v>69</v>
      </c>
      <c r="R23" s="54">
        <v>0.122</v>
      </c>
    </row>
    <row r="24" spans="2:18" x14ac:dyDescent="0.25">
      <c r="B24" t="s">
        <v>1054</v>
      </c>
      <c r="C24" s="24">
        <v>0.08</v>
      </c>
      <c r="D24" s="24" t="e">
        <f>IF($C$23&lt;$F$21,$G$21,IF($C$23&lt;$F$22,$G$22,IF($C$23&lt;$F$23,$G$23,IF($C$23&lt;$F$24,$G$24,$G$25))))</f>
        <v>#DIV/0!</v>
      </c>
      <c r="E24" s="90" t="s">
        <v>1062</v>
      </c>
      <c r="F24" s="715">
        <v>17000</v>
      </c>
      <c r="G24" s="54">
        <v>7.2999999999999995E-2</v>
      </c>
      <c r="H24" s="24"/>
      <c r="L24" s="431" t="s">
        <v>1174</v>
      </c>
      <c r="M24" s="49">
        <f t="shared" ref="M24:M29" si="0">M25-0.0005</f>
        <v>4.9999999999999975E-3</v>
      </c>
      <c r="O24" s="1" t="s">
        <v>575</v>
      </c>
      <c r="P24" s="1" t="s">
        <v>216</v>
      </c>
      <c r="Q24" s="1" t="s">
        <v>69</v>
      </c>
      <c r="R24" s="54">
        <v>0.151</v>
      </c>
    </row>
    <row r="25" spans="2:18" x14ac:dyDescent="0.25">
      <c r="B25" t="s">
        <v>1055</v>
      </c>
      <c r="C25" s="24">
        <v>0.08</v>
      </c>
      <c r="D25" s="24" t="e">
        <f>IF($C$23&lt;$F$29,$G$29,IF($C$23&lt;$F$30,$G$30,IF($C$23&lt;$F$31,$G$31,IF($C$23&lt;$F$32,$G$32,$G$33))))</f>
        <v>#DIV/0!</v>
      </c>
      <c r="E25" s="90" t="s">
        <v>1063</v>
      </c>
      <c r="F25" s="715"/>
      <c r="G25" s="54">
        <v>6.0999999999999999E-2</v>
      </c>
      <c r="H25" s="24"/>
      <c r="K25" s="810"/>
      <c r="L25" s="431" t="s">
        <v>1175</v>
      </c>
      <c r="M25" s="49">
        <f t="shared" si="0"/>
        <v>5.4999999999999979E-3</v>
      </c>
      <c r="O25" s="1" t="s">
        <v>576</v>
      </c>
      <c r="P25" s="1" t="s">
        <v>270</v>
      </c>
      <c r="Q25" s="1" t="s">
        <v>69</v>
      </c>
      <c r="R25" s="54">
        <v>0.151</v>
      </c>
    </row>
    <row r="26" spans="2:18" x14ac:dyDescent="0.25">
      <c r="B26" t="s">
        <v>1056</v>
      </c>
      <c r="C26" s="24">
        <f>IF($B$20="MDA",$C$24,$C$25)</f>
        <v>0.08</v>
      </c>
      <c r="E26" s="88"/>
      <c r="G26" s="24"/>
      <c r="H26" s="24"/>
      <c r="K26" s="810"/>
      <c r="L26" s="431" t="s">
        <v>1176</v>
      </c>
      <c r="M26" s="49">
        <f t="shared" si="0"/>
        <v>5.9999999999999984E-3</v>
      </c>
      <c r="O26" s="1" t="s">
        <v>577</v>
      </c>
      <c r="P26" s="1" t="s">
        <v>214</v>
      </c>
      <c r="Q26" s="1" t="s">
        <v>4</v>
      </c>
      <c r="R26" s="54">
        <v>6.5000000000000002E-2</v>
      </c>
    </row>
    <row r="27" spans="2:18" x14ac:dyDescent="0.25">
      <c r="B27" t="s">
        <v>495</v>
      </c>
      <c r="C27" s="24">
        <f>'Tracking &amp; Profitability'!$I$34</f>
        <v>0</v>
      </c>
      <c r="E27" s="88"/>
      <c r="K27" s="810"/>
      <c r="L27" s="431" t="s">
        <v>1177</v>
      </c>
      <c r="M27" s="49">
        <f t="shared" si="0"/>
        <v>6.4999999999999988E-3</v>
      </c>
      <c r="O27" s="1" t="s">
        <v>578</v>
      </c>
      <c r="P27" s="1" t="s">
        <v>215</v>
      </c>
      <c r="Q27" s="1" t="s">
        <v>4</v>
      </c>
      <c r="R27" s="54">
        <v>9.2999999999999999E-2</v>
      </c>
    </row>
    <row r="28" spans="2:18" x14ac:dyDescent="0.25">
      <c r="C28" s="24">
        <f>IFERROR(IF($C$27&gt;$C$26,"Approved",C26-C27),0)</f>
        <v>0.08</v>
      </c>
      <c r="E28" s="1319" t="s">
        <v>1053</v>
      </c>
      <c r="F28" s="1319"/>
      <c r="G28" s="1319"/>
      <c r="K28" s="810"/>
      <c r="L28" s="431" t="s">
        <v>1178</v>
      </c>
      <c r="M28" s="49">
        <f t="shared" si="0"/>
        <v>6.9999999999999993E-3</v>
      </c>
      <c r="O28" s="1" t="s">
        <v>579</v>
      </c>
      <c r="P28" s="1" t="s">
        <v>216</v>
      </c>
      <c r="Q28" s="1" t="s">
        <v>4</v>
      </c>
      <c r="R28" s="54">
        <v>0.11600000000000001</v>
      </c>
    </row>
    <row r="29" spans="2:18" x14ac:dyDescent="0.25">
      <c r="E29" s="90" t="s">
        <v>1064</v>
      </c>
      <c r="F29" s="715">
        <v>1500</v>
      </c>
      <c r="G29" s="54">
        <v>8.3000000000000004E-2</v>
      </c>
      <c r="H29" s="24"/>
      <c r="K29" s="810"/>
      <c r="L29" s="431" t="s">
        <v>1179</v>
      </c>
      <c r="M29" s="49">
        <f t="shared" si="0"/>
        <v>7.4999999999999997E-3</v>
      </c>
      <c r="O29" s="1" t="s">
        <v>580</v>
      </c>
      <c r="P29" s="1" t="s">
        <v>270</v>
      </c>
      <c r="Q29" s="1" t="s">
        <v>4</v>
      </c>
      <c r="R29" s="54">
        <v>0.11600000000000001</v>
      </c>
    </row>
    <row r="30" spans="2:18" x14ac:dyDescent="0.25">
      <c r="E30" s="90" t="s">
        <v>1065</v>
      </c>
      <c r="F30" s="715">
        <v>2400</v>
      </c>
      <c r="G30" s="54">
        <v>8.3000000000000004E-2</v>
      </c>
      <c r="H30" s="24"/>
      <c r="K30" s="810"/>
      <c r="L30" s="826" t="s">
        <v>1180</v>
      </c>
      <c r="M30" s="827">
        <v>8.0000000000000002E-3</v>
      </c>
      <c r="O30" s="1" t="s">
        <v>581</v>
      </c>
      <c r="P30" s="1" t="s">
        <v>214</v>
      </c>
      <c r="Q30" s="1" t="s">
        <v>35</v>
      </c>
      <c r="R30" s="54">
        <v>8.6999999999999994E-2</v>
      </c>
    </row>
    <row r="31" spans="2:18" x14ac:dyDescent="0.25">
      <c r="E31" s="90" t="s">
        <v>1066</v>
      </c>
      <c r="F31" s="715">
        <v>4100</v>
      </c>
      <c r="G31" s="54">
        <v>8.3000000000000004E-2</v>
      </c>
      <c r="H31" s="24"/>
      <c r="K31" s="810"/>
      <c r="L31" s="431" t="s">
        <v>1181</v>
      </c>
      <c r="M31" s="49">
        <f>M30+0.0005</f>
        <v>8.5000000000000006E-3</v>
      </c>
      <c r="O31" s="1" t="s">
        <v>582</v>
      </c>
      <c r="P31" s="1" t="s">
        <v>215</v>
      </c>
      <c r="Q31" s="1" t="s">
        <v>35</v>
      </c>
      <c r="R31" s="54">
        <v>8.6999999999999994E-2</v>
      </c>
    </row>
    <row r="32" spans="2:18" x14ac:dyDescent="0.25">
      <c r="E32" s="90" t="s">
        <v>1067</v>
      </c>
      <c r="F32" s="715">
        <v>8000</v>
      </c>
      <c r="G32" s="54">
        <v>8.2000000000000003E-2</v>
      </c>
      <c r="H32" s="24"/>
      <c r="K32" s="810"/>
      <c r="L32" s="431" t="s">
        <v>1182</v>
      </c>
      <c r="M32" s="49">
        <f>M31+0.0005</f>
        <v>9.0000000000000011E-3</v>
      </c>
      <c r="O32" s="1" t="s">
        <v>583</v>
      </c>
      <c r="P32" s="1" t="s">
        <v>216</v>
      </c>
      <c r="Q32" s="1" t="s">
        <v>35</v>
      </c>
      <c r="R32" s="54">
        <v>0.11700000000000001</v>
      </c>
    </row>
    <row r="33" spans="1:18" x14ac:dyDescent="0.25">
      <c r="E33" s="90" t="s">
        <v>1068</v>
      </c>
      <c r="F33" s="715"/>
      <c r="G33" s="54">
        <v>7.9000000000000001E-2</v>
      </c>
      <c r="H33" s="24"/>
      <c r="K33" s="810"/>
      <c r="L33" s="431" t="s">
        <v>1183</v>
      </c>
      <c r="M33" s="49">
        <f t="shared" ref="M33:M42" si="1">M32+0.0005</f>
        <v>9.5000000000000015E-3</v>
      </c>
      <c r="O33" s="1" t="s">
        <v>584</v>
      </c>
      <c r="P33" s="1" t="s">
        <v>270</v>
      </c>
      <c r="Q33" s="1" t="s">
        <v>35</v>
      </c>
      <c r="R33" s="54">
        <v>0.11700000000000001</v>
      </c>
    </row>
    <row r="34" spans="1:18" ht="15.75" thickBot="1" x14ac:dyDescent="0.3">
      <c r="G34" s="24"/>
      <c r="H34" s="24"/>
      <c r="K34" s="810"/>
      <c r="L34" s="431" t="s">
        <v>1184</v>
      </c>
      <c r="M34" s="49">
        <f t="shared" si="1"/>
        <v>1.0000000000000002E-2</v>
      </c>
      <c r="O34" s="1" t="s">
        <v>585</v>
      </c>
      <c r="P34" s="1" t="s">
        <v>214</v>
      </c>
      <c r="Q34" s="1" t="s">
        <v>6</v>
      </c>
      <c r="R34" s="54">
        <v>0.06</v>
      </c>
    </row>
    <row r="35" spans="1:18" ht="15.75" thickBot="1" x14ac:dyDescent="0.3">
      <c r="A35" s="461" t="s">
        <v>973</v>
      </c>
      <c r="K35" s="810"/>
      <c r="L35" s="431" t="s">
        <v>1185</v>
      </c>
      <c r="M35" s="49">
        <f t="shared" si="1"/>
        <v>1.0500000000000002E-2</v>
      </c>
      <c r="O35" s="1" t="s">
        <v>586</v>
      </c>
      <c r="P35" s="1" t="s">
        <v>215</v>
      </c>
      <c r="Q35" s="1" t="s">
        <v>6</v>
      </c>
      <c r="R35" s="54">
        <v>0.106</v>
      </c>
    </row>
    <row r="36" spans="1:18" ht="15.75" thickBot="1" x14ac:dyDescent="0.3">
      <c r="A36" s="457" t="s">
        <v>961</v>
      </c>
      <c r="B36" s="454" t="s">
        <v>927</v>
      </c>
      <c r="C36" s="451" t="s">
        <v>467</v>
      </c>
      <c r="D36" s="451" t="s">
        <v>962</v>
      </c>
      <c r="E36" s="451" t="s">
        <v>965</v>
      </c>
      <c r="F36" s="451" t="s">
        <v>247</v>
      </c>
      <c r="G36" s="451" t="s">
        <v>964</v>
      </c>
      <c r="H36" s="452" t="s">
        <v>971</v>
      </c>
      <c r="I36" s="453" t="s">
        <v>963</v>
      </c>
      <c r="J36" s="452" t="s">
        <v>972</v>
      </c>
      <c r="K36" s="810"/>
      <c r="L36" s="431" t="s">
        <v>1186</v>
      </c>
      <c r="M36" s="49">
        <f t="shared" si="1"/>
        <v>1.1000000000000003E-2</v>
      </c>
      <c r="O36" s="1" t="s">
        <v>587</v>
      </c>
      <c r="P36" s="1" t="s">
        <v>216</v>
      </c>
      <c r="Q36" s="1" t="s">
        <v>6</v>
      </c>
      <c r="R36" s="54">
        <v>0.12</v>
      </c>
    </row>
    <row r="37" spans="1:18" x14ac:dyDescent="0.25">
      <c r="A37" s="458">
        <v>1</v>
      </c>
      <c r="B37" s="455" t="str">
        <f>'Customer Inputs'!Y6</f>
        <v/>
      </c>
      <c r="C37" s="32">
        <f>'Customer Inputs'!P6</f>
        <v>0</v>
      </c>
      <c r="D37" s="447" t="str">
        <f>'Customer Inputs'!AA6</f>
        <v/>
      </c>
      <c r="E37" s="32" t="str">
        <f t="shared" ref="E37:E46" si="2">IF($D37&lt;0.25,"Q1",IF($D37&lt;0.5,"Q2",IF($D37&lt;0.75,"Q3","Q4")))</f>
        <v>Q4</v>
      </c>
      <c r="F37" s="32" t="str">
        <f>E37&amp;B37</f>
        <v>Q4</v>
      </c>
      <c r="G37" s="32">
        <f t="shared" ref="G37:G46" si="3">IFERROR(VLOOKUP($F37,$O:$R,4,FALSE),0)</f>
        <v>0</v>
      </c>
      <c r="H37" s="448">
        <f>IF(Welcome!$D$8="HOSPITALITY",IFERROR(VLOOKUP("" &amp; CEILING(D37,0.05),$L$24:$M$42,2,0),$M$42),IFERROR(VLOOKUP(""&amp;CEILING(D37,0.05),$L$2:$M$20,2,0),$M$20))</f>
        <v>9.4999999999999998E-3</v>
      </c>
      <c r="I37" s="449">
        <f>G37*C37</f>
        <v>0</v>
      </c>
      <c r="J37" s="450">
        <f>H37*C37</f>
        <v>0</v>
      </c>
      <c r="K37" s="810"/>
      <c r="L37" s="431" t="s">
        <v>1187</v>
      </c>
      <c r="M37" s="49">
        <f t="shared" si="1"/>
        <v>1.1500000000000003E-2</v>
      </c>
      <c r="O37" s="1" t="s">
        <v>588</v>
      </c>
      <c r="P37" s="1" t="s">
        <v>270</v>
      </c>
      <c r="Q37" s="1" t="s">
        <v>6</v>
      </c>
      <c r="R37" s="54">
        <v>0.17</v>
      </c>
    </row>
    <row r="38" spans="1:18" x14ac:dyDescent="0.25">
      <c r="A38" s="459">
        <v>2</v>
      </c>
      <c r="B38" s="317" t="str">
        <f>'Customer Inputs'!Y7</f>
        <v/>
      </c>
      <c r="C38" s="1">
        <f>'Customer Inputs'!P7</f>
        <v>0</v>
      </c>
      <c r="D38" s="442" t="str">
        <f>'Customer Inputs'!AA7</f>
        <v/>
      </c>
      <c r="E38" s="1" t="str">
        <f t="shared" si="2"/>
        <v>Q4</v>
      </c>
      <c r="F38" s="1" t="str">
        <f t="shared" ref="F38:F46" si="4">E38&amp;B38</f>
        <v>Q4</v>
      </c>
      <c r="G38" s="1">
        <f t="shared" si="3"/>
        <v>0</v>
      </c>
      <c r="H38" s="448">
        <f>IF(Welcome!$D$8="HOSPITALITY",IFERROR(VLOOKUP("" &amp; CEILING(D38,0.05),$L$24:$M$42,2,0),$M$42),IFERROR(VLOOKUP(""&amp;CEILING(D38,0.05),$L$2:$M$20,2,0),$M$20))</f>
        <v>9.4999999999999998E-3</v>
      </c>
      <c r="I38" s="443">
        <f t="shared" ref="I38:I46" si="5">G38*C38</f>
        <v>0</v>
      </c>
      <c r="J38" s="444">
        <f t="shared" ref="J38:J46" si="6">H38*C38</f>
        <v>0</v>
      </c>
      <c r="K38" s="810"/>
      <c r="L38" s="431" t="s">
        <v>1188</v>
      </c>
      <c r="M38" s="49">
        <f t="shared" si="1"/>
        <v>1.2000000000000004E-2</v>
      </c>
      <c r="O38" s="1" t="s">
        <v>589</v>
      </c>
      <c r="P38" s="1" t="s">
        <v>214</v>
      </c>
      <c r="Q38" s="1" t="s">
        <v>260</v>
      </c>
      <c r="R38" s="54">
        <v>5.9000000000000004E-2</v>
      </c>
    </row>
    <row r="39" spans="1:18" x14ac:dyDescent="0.25">
      <c r="A39" s="459">
        <v>3</v>
      </c>
      <c r="B39" s="317" t="str">
        <f>'Customer Inputs'!Y8</f>
        <v/>
      </c>
      <c r="C39" s="1">
        <f>'Customer Inputs'!P8</f>
        <v>0</v>
      </c>
      <c r="D39" s="442" t="str">
        <f>'Customer Inputs'!AA8</f>
        <v/>
      </c>
      <c r="E39" s="1" t="str">
        <f t="shared" si="2"/>
        <v>Q4</v>
      </c>
      <c r="F39" s="1" t="str">
        <f t="shared" si="4"/>
        <v>Q4</v>
      </c>
      <c r="G39" s="1">
        <f t="shared" si="3"/>
        <v>0</v>
      </c>
      <c r="H39" s="448">
        <f>IF(Welcome!$D$8="HOSPITALITY",IFERROR(VLOOKUP("" &amp; CEILING(D39,0.05),$L$24:$M$42,2,0),$M$42),IFERROR(VLOOKUP(""&amp;CEILING(D39,0.05),$L$2:$M$20,2,0),$M$20))</f>
        <v>9.4999999999999998E-3</v>
      </c>
      <c r="I39" s="443">
        <f t="shared" si="5"/>
        <v>0</v>
      </c>
      <c r="J39" s="444">
        <f t="shared" si="6"/>
        <v>0</v>
      </c>
      <c r="K39" s="810"/>
      <c r="L39" s="432" t="s">
        <v>1189</v>
      </c>
      <c r="M39" s="49">
        <f t="shared" si="1"/>
        <v>1.2500000000000004E-2</v>
      </c>
      <c r="O39" s="1" t="s">
        <v>590</v>
      </c>
      <c r="P39" s="1" t="s">
        <v>215</v>
      </c>
      <c r="Q39" s="1" t="s">
        <v>260</v>
      </c>
      <c r="R39" s="54">
        <v>9.9000000000000005E-2</v>
      </c>
    </row>
    <row r="40" spans="1:18" x14ac:dyDescent="0.25">
      <c r="A40" s="459">
        <v>4</v>
      </c>
      <c r="B40" s="317" t="str">
        <f>'Customer Inputs'!Y9</f>
        <v/>
      </c>
      <c r="C40" s="1">
        <f>'Customer Inputs'!P9</f>
        <v>0</v>
      </c>
      <c r="D40" s="442" t="str">
        <f>'Customer Inputs'!AA9</f>
        <v/>
      </c>
      <c r="E40" s="1" t="str">
        <f t="shared" si="2"/>
        <v>Q4</v>
      </c>
      <c r="F40" s="1" t="str">
        <f t="shared" si="4"/>
        <v>Q4</v>
      </c>
      <c r="G40" s="1">
        <f t="shared" si="3"/>
        <v>0</v>
      </c>
      <c r="H40" s="448">
        <f>IF(Welcome!$D$8="HOSPITALITY",IFERROR(VLOOKUP("" &amp; CEILING(D40,0.05),$L$24:$M$42,2,0),$M$42),IFERROR(VLOOKUP(""&amp;CEILING(D40,0.05),$L$2:$M$20,2,0),$M$20))</f>
        <v>9.4999999999999998E-3</v>
      </c>
      <c r="I40" s="443">
        <f t="shared" si="5"/>
        <v>0</v>
      </c>
      <c r="J40" s="444">
        <f t="shared" si="6"/>
        <v>0</v>
      </c>
      <c r="K40" s="810"/>
      <c r="L40" s="431" t="s">
        <v>1190</v>
      </c>
      <c r="M40" s="49">
        <f t="shared" si="1"/>
        <v>1.3000000000000005E-2</v>
      </c>
      <c r="O40" s="1" t="s">
        <v>591</v>
      </c>
      <c r="P40" s="1" t="s">
        <v>216</v>
      </c>
      <c r="Q40" s="1" t="s">
        <v>260</v>
      </c>
      <c r="R40" s="54">
        <v>0.11900000000000001</v>
      </c>
    </row>
    <row r="41" spans="1:18" x14ac:dyDescent="0.25">
      <c r="A41" s="459">
        <v>5</v>
      </c>
      <c r="B41" s="317" t="str">
        <f>'Customer Inputs'!Y10</f>
        <v/>
      </c>
      <c r="C41" s="1">
        <f>'Customer Inputs'!P10</f>
        <v>0</v>
      </c>
      <c r="D41" s="442" t="str">
        <f>'Customer Inputs'!AA10</f>
        <v/>
      </c>
      <c r="E41" s="1" t="str">
        <f t="shared" si="2"/>
        <v>Q4</v>
      </c>
      <c r="F41" s="1" t="str">
        <f t="shared" si="4"/>
        <v>Q4</v>
      </c>
      <c r="G41" s="1">
        <f t="shared" si="3"/>
        <v>0</v>
      </c>
      <c r="H41" s="448">
        <f>IF(Welcome!$D$8="HOSPITALITY",IFERROR(VLOOKUP("" &amp; CEILING(D41,0.05),$L$24:$M$42,2,0),$M$42),IFERROR(VLOOKUP(""&amp;CEILING(D41,0.05),$L$2:$M$20,2,0),$M$20))</f>
        <v>9.4999999999999998E-3</v>
      </c>
      <c r="I41" s="443">
        <f t="shared" si="5"/>
        <v>0</v>
      </c>
      <c r="J41" s="444">
        <f t="shared" si="6"/>
        <v>0</v>
      </c>
      <c r="K41" s="810"/>
      <c r="L41" s="431" t="s">
        <v>1191</v>
      </c>
      <c r="M41" s="49">
        <f t="shared" si="1"/>
        <v>1.3500000000000005E-2</v>
      </c>
      <c r="O41" s="1" t="s">
        <v>592</v>
      </c>
      <c r="P41" s="1" t="s">
        <v>270</v>
      </c>
      <c r="Q41" s="1" t="s">
        <v>260</v>
      </c>
      <c r="R41" s="54">
        <v>0.15</v>
      </c>
    </row>
    <row r="42" spans="1:18" x14ac:dyDescent="0.25">
      <c r="A42" s="459">
        <v>6</v>
      </c>
      <c r="B42" s="317" t="str">
        <f>'Customer Inputs'!Y11</f>
        <v/>
      </c>
      <c r="C42" s="1">
        <f>'Customer Inputs'!P11</f>
        <v>0</v>
      </c>
      <c r="D42" s="442" t="str">
        <f>'Customer Inputs'!AA11</f>
        <v/>
      </c>
      <c r="E42" s="1" t="str">
        <f t="shared" si="2"/>
        <v>Q4</v>
      </c>
      <c r="F42" s="1" t="str">
        <f t="shared" si="4"/>
        <v>Q4</v>
      </c>
      <c r="G42" s="1">
        <f t="shared" si="3"/>
        <v>0</v>
      </c>
      <c r="H42" s="448">
        <f>IF(Welcome!$D$8="HOSPITALITY",IFERROR(VLOOKUP("" &amp; CEILING(D42,0.05),$L$24:$M$42,2,0),$M$42),IFERROR(VLOOKUP(""&amp;CEILING(D42,0.05),$L$2:$M$20,2,0),$M$20))</f>
        <v>9.4999999999999998E-3</v>
      </c>
      <c r="I42" s="443">
        <f t="shared" si="5"/>
        <v>0</v>
      </c>
      <c r="J42" s="444">
        <f t="shared" si="6"/>
        <v>0</v>
      </c>
      <c r="K42" s="810"/>
      <c r="L42" s="811" t="s">
        <v>1192</v>
      </c>
      <c r="M42" s="49">
        <f t="shared" si="1"/>
        <v>1.4000000000000005E-2</v>
      </c>
      <c r="O42" s="1" t="s">
        <v>593</v>
      </c>
      <c r="P42" s="1" t="s">
        <v>214</v>
      </c>
      <c r="Q42" s="1" t="s">
        <v>15</v>
      </c>
      <c r="R42" s="54">
        <v>4.5999999999999999E-2</v>
      </c>
    </row>
    <row r="43" spans="1:18" x14ac:dyDescent="0.25">
      <c r="A43" s="459">
        <v>7</v>
      </c>
      <c r="B43" s="317" t="str">
        <f>'Customer Inputs'!Y12</f>
        <v/>
      </c>
      <c r="C43" s="1">
        <f>'Customer Inputs'!P12</f>
        <v>0</v>
      </c>
      <c r="D43" s="442" t="str">
        <f>'Customer Inputs'!AA12</f>
        <v/>
      </c>
      <c r="E43" s="1" t="str">
        <f t="shared" si="2"/>
        <v>Q4</v>
      </c>
      <c r="F43" s="1" t="str">
        <f t="shared" si="4"/>
        <v>Q4</v>
      </c>
      <c r="G43" s="1">
        <f t="shared" si="3"/>
        <v>0</v>
      </c>
      <c r="H43" s="448">
        <f>IF(Welcome!$D$8="HOSPITALITY",IFERROR(VLOOKUP("" &amp; CEILING(D43,0.05),$L$24:$M$42,2,0),$M$42),IFERROR(VLOOKUP(""&amp;CEILING(D43,0.05),$L$2:$M$20,2,0),$M$20))</f>
        <v>9.4999999999999998E-3</v>
      </c>
      <c r="I43" s="443">
        <f t="shared" si="5"/>
        <v>0</v>
      </c>
      <c r="J43" s="444">
        <f t="shared" si="6"/>
        <v>0</v>
      </c>
      <c r="O43" s="1" t="s">
        <v>594</v>
      </c>
      <c r="P43" s="1" t="s">
        <v>215</v>
      </c>
      <c r="Q43" s="1" t="s">
        <v>15</v>
      </c>
      <c r="R43" s="54">
        <v>0.109</v>
      </c>
    </row>
    <row r="44" spans="1:18" x14ac:dyDescent="0.25">
      <c r="A44" s="459">
        <v>8</v>
      </c>
      <c r="B44" s="317" t="str">
        <f>'Customer Inputs'!Y13</f>
        <v/>
      </c>
      <c r="C44" s="1">
        <f>'Customer Inputs'!P13</f>
        <v>0</v>
      </c>
      <c r="D44" s="442" t="str">
        <f>'Customer Inputs'!AA13</f>
        <v/>
      </c>
      <c r="E44" s="1" t="str">
        <f t="shared" si="2"/>
        <v>Q4</v>
      </c>
      <c r="F44" s="1" t="str">
        <f t="shared" si="4"/>
        <v>Q4</v>
      </c>
      <c r="G44" s="1">
        <f t="shared" si="3"/>
        <v>0</v>
      </c>
      <c r="H44" s="448">
        <f>IF(Welcome!$D$8="HOSPITALITY",IFERROR(VLOOKUP("" &amp; CEILING(D44,0.05),$L$24:$M$42,2,0),$M$42),IFERROR(VLOOKUP(""&amp;CEILING(D44,0.05),$L$2:$M$20,2,0),$M$20))</f>
        <v>9.4999999999999998E-3</v>
      </c>
      <c r="I44" s="443">
        <f t="shared" si="5"/>
        <v>0</v>
      </c>
      <c r="J44" s="444">
        <f t="shared" si="6"/>
        <v>0</v>
      </c>
      <c r="O44" s="1" t="s">
        <v>595</v>
      </c>
      <c r="P44" s="1" t="s">
        <v>216</v>
      </c>
      <c r="Q44" s="1" t="s">
        <v>15</v>
      </c>
      <c r="R44" s="54">
        <v>0.11600000000000001</v>
      </c>
    </row>
    <row r="45" spans="1:18" x14ac:dyDescent="0.25">
      <c r="A45" s="459">
        <v>9</v>
      </c>
      <c r="B45" s="317" t="str">
        <f>'Customer Inputs'!Y14</f>
        <v/>
      </c>
      <c r="C45" s="1">
        <f>'Customer Inputs'!P14</f>
        <v>0</v>
      </c>
      <c r="D45" s="442" t="str">
        <f>'Customer Inputs'!AA14</f>
        <v/>
      </c>
      <c r="E45" s="1" t="str">
        <f t="shared" si="2"/>
        <v>Q4</v>
      </c>
      <c r="F45" s="1" t="str">
        <f t="shared" si="4"/>
        <v>Q4</v>
      </c>
      <c r="G45" s="1">
        <f t="shared" si="3"/>
        <v>0</v>
      </c>
      <c r="H45" s="448">
        <f>IF(Welcome!$D$8="HOSPITALITY",IFERROR(VLOOKUP("" &amp; CEILING(D45,0.05),$L$24:$M$42,2,0),$M$42),IFERROR(VLOOKUP(""&amp;CEILING(D45,0.05),$L$2:$M$20,2,0),$M$20))</f>
        <v>9.4999999999999998E-3</v>
      </c>
      <c r="I45" s="443">
        <f t="shared" si="5"/>
        <v>0</v>
      </c>
      <c r="J45" s="444">
        <f t="shared" si="6"/>
        <v>0</v>
      </c>
      <c r="O45" s="1" t="s">
        <v>596</v>
      </c>
      <c r="P45" s="1" t="s">
        <v>270</v>
      </c>
      <c r="Q45" s="1" t="s">
        <v>15</v>
      </c>
      <c r="R45" s="54">
        <v>0.11600000000000001</v>
      </c>
    </row>
    <row r="46" spans="1:18" ht="15.75" thickBot="1" x14ac:dyDescent="0.3">
      <c r="A46" s="460">
        <v>10</v>
      </c>
      <c r="B46" s="456" t="str">
        <f>'Customer Inputs'!Y15</f>
        <v/>
      </c>
      <c r="C46" s="36">
        <f>'Customer Inputs'!P15</f>
        <v>0</v>
      </c>
      <c r="D46" s="355" t="str">
        <f>'Customer Inputs'!AA15</f>
        <v/>
      </c>
      <c r="E46" s="36" t="str">
        <f t="shared" si="2"/>
        <v>Q4</v>
      </c>
      <c r="F46" s="36" t="str">
        <f t="shared" si="4"/>
        <v>Q4</v>
      </c>
      <c r="G46" s="36">
        <f t="shared" si="3"/>
        <v>0</v>
      </c>
      <c r="H46" s="448">
        <f>IF(Welcome!$D$8="HOSPITALITY",IFERROR(VLOOKUP("" &amp; CEILING(D46,0.05),$L$24:$M$42,2,0),$M$42),IFERROR(VLOOKUP(""&amp;CEILING(D46,0.05),$L$2:$M$20,2,0),$M$20))</f>
        <v>9.4999999999999998E-3</v>
      </c>
      <c r="I46" s="445">
        <f t="shared" si="5"/>
        <v>0</v>
      </c>
      <c r="J46" s="446">
        <f t="shared" si="6"/>
        <v>0</v>
      </c>
      <c r="O46" s="1" t="s">
        <v>597</v>
      </c>
      <c r="P46" s="1" t="s">
        <v>214</v>
      </c>
      <c r="Q46" s="1" t="s">
        <v>45</v>
      </c>
      <c r="R46" s="54">
        <v>5.1999999999999998E-2</v>
      </c>
    </row>
    <row r="47" spans="1:18" ht="15.75" thickBot="1" x14ac:dyDescent="0.3">
      <c r="I47" s="462">
        <f>SUM(I37:I46)</f>
        <v>0</v>
      </c>
      <c r="J47" s="463">
        <f>SUM(J37:J46)</f>
        <v>0</v>
      </c>
      <c r="O47" s="1" t="s">
        <v>598</v>
      </c>
      <c r="P47" s="1" t="s">
        <v>215</v>
      </c>
      <c r="Q47" s="1" t="s">
        <v>45</v>
      </c>
      <c r="R47" s="54">
        <v>6.3E-2</v>
      </c>
    </row>
    <row r="48" spans="1:18" x14ac:dyDescent="0.25">
      <c r="O48" s="1" t="s">
        <v>599</v>
      </c>
      <c r="P48" s="1" t="s">
        <v>216</v>
      </c>
      <c r="Q48" s="1" t="s">
        <v>45</v>
      </c>
      <c r="R48" s="54">
        <v>0.115</v>
      </c>
    </row>
    <row r="49" spans="4:18" x14ac:dyDescent="0.25">
      <c r="O49" s="1" t="s">
        <v>600</v>
      </c>
      <c r="P49" s="1" t="s">
        <v>270</v>
      </c>
      <c r="Q49" s="1" t="s">
        <v>45</v>
      </c>
      <c r="R49" s="54">
        <v>0.115</v>
      </c>
    </row>
    <row r="50" spans="4:18" x14ac:dyDescent="0.25">
      <c r="O50" s="1" t="s">
        <v>601</v>
      </c>
      <c r="P50" s="1" t="s">
        <v>214</v>
      </c>
      <c r="Q50" s="1" t="s">
        <v>261</v>
      </c>
      <c r="R50" s="54">
        <v>5.9000000000000004E-2</v>
      </c>
    </row>
    <row r="51" spans="4:18" x14ac:dyDescent="0.25">
      <c r="O51" s="1" t="s">
        <v>602</v>
      </c>
      <c r="P51" s="1" t="s">
        <v>215</v>
      </c>
      <c r="Q51" s="1" t="s">
        <v>261</v>
      </c>
      <c r="R51" s="54">
        <v>9.9000000000000005E-2</v>
      </c>
    </row>
    <row r="52" spans="4:18" x14ac:dyDescent="0.25">
      <c r="O52" s="1" t="s">
        <v>603</v>
      </c>
      <c r="P52" s="1" t="s">
        <v>216</v>
      </c>
      <c r="Q52" s="1" t="s">
        <v>261</v>
      </c>
      <c r="R52" s="54">
        <v>0.11900000000000001</v>
      </c>
    </row>
    <row r="53" spans="4:18" x14ac:dyDescent="0.25">
      <c r="O53" s="1" t="s">
        <v>604</v>
      </c>
      <c r="P53" s="1" t="s">
        <v>270</v>
      </c>
      <c r="Q53" s="1" t="s">
        <v>261</v>
      </c>
      <c r="R53" s="54">
        <v>0.15</v>
      </c>
    </row>
    <row r="54" spans="4:18" x14ac:dyDescent="0.25">
      <c r="D54" s="62"/>
      <c r="H54" s="825"/>
      <c r="O54" s="1" t="s">
        <v>605</v>
      </c>
      <c r="P54" s="1" t="s">
        <v>214</v>
      </c>
      <c r="Q54" s="1" t="s">
        <v>48</v>
      </c>
      <c r="R54" s="54">
        <v>5.8999999999999997E-2</v>
      </c>
    </row>
    <row r="55" spans="4:18" x14ac:dyDescent="0.25">
      <c r="E55" s="42"/>
      <c r="G55" s="62"/>
      <c r="O55" s="1" t="s">
        <v>606</v>
      </c>
      <c r="P55" s="1" t="s">
        <v>215</v>
      </c>
      <c r="Q55" s="1" t="s">
        <v>48</v>
      </c>
      <c r="R55" s="54">
        <v>9.9000000000000005E-2</v>
      </c>
    </row>
    <row r="56" spans="4:18" x14ac:dyDescent="0.25">
      <c r="D56" s="42"/>
      <c r="O56" s="1" t="s">
        <v>607</v>
      </c>
      <c r="P56" s="1" t="s">
        <v>216</v>
      </c>
      <c r="Q56" s="1" t="s">
        <v>48</v>
      </c>
      <c r="R56" s="54">
        <v>0.13900000000000001</v>
      </c>
    </row>
    <row r="57" spans="4:18" x14ac:dyDescent="0.25">
      <c r="O57" s="1" t="s">
        <v>608</v>
      </c>
      <c r="P57" s="1" t="s">
        <v>270</v>
      </c>
      <c r="Q57" s="1" t="s">
        <v>48</v>
      </c>
      <c r="R57" s="54">
        <v>0.13900000000000001</v>
      </c>
    </row>
    <row r="58" spans="4:18" x14ac:dyDescent="0.25">
      <c r="O58" s="1" t="s">
        <v>609</v>
      </c>
      <c r="P58" s="1" t="s">
        <v>214</v>
      </c>
      <c r="Q58" s="1" t="s">
        <v>262</v>
      </c>
      <c r="R58" s="54">
        <v>5.9000000000000004E-2</v>
      </c>
    </row>
    <row r="59" spans="4:18" x14ac:dyDescent="0.25">
      <c r="O59" s="1" t="s">
        <v>610</v>
      </c>
      <c r="P59" s="1" t="s">
        <v>215</v>
      </c>
      <c r="Q59" s="1" t="s">
        <v>262</v>
      </c>
      <c r="R59" s="54">
        <v>9.9000000000000005E-2</v>
      </c>
    </row>
    <row r="60" spans="4:18" x14ac:dyDescent="0.25">
      <c r="O60" s="1" t="s">
        <v>611</v>
      </c>
      <c r="P60" s="1" t="s">
        <v>216</v>
      </c>
      <c r="Q60" s="1" t="s">
        <v>262</v>
      </c>
      <c r="R60" s="54">
        <v>0.11900000000000001</v>
      </c>
    </row>
    <row r="61" spans="4:18" x14ac:dyDescent="0.25">
      <c r="O61" s="1" t="s">
        <v>612</v>
      </c>
      <c r="P61" s="1" t="s">
        <v>270</v>
      </c>
      <c r="Q61" s="1" t="s">
        <v>262</v>
      </c>
      <c r="R61" s="54">
        <v>0.15</v>
      </c>
    </row>
    <row r="62" spans="4:18" x14ac:dyDescent="0.25">
      <c r="O62" s="1" t="s">
        <v>613</v>
      </c>
      <c r="P62" s="1" t="s">
        <v>214</v>
      </c>
      <c r="Q62" s="1" t="s">
        <v>263</v>
      </c>
      <c r="R62" s="54">
        <v>5.9000000000000004E-2</v>
      </c>
    </row>
    <row r="63" spans="4:18" x14ac:dyDescent="0.25">
      <c r="O63" s="1" t="s">
        <v>614</v>
      </c>
      <c r="P63" s="1" t="s">
        <v>215</v>
      </c>
      <c r="Q63" s="1" t="s">
        <v>263</v>
      </c>
      <c r="R63" s="54">
        <v>9.9000000000000005E-2</v>
      </c>
    </row>
    <row r="64" spans="4:18" x14ac:dyDescent="0.25">
      <c r="O64" s="1" t="s">
        <v>615</v>
      </c>
      <c r="P64" s="1" t="s">
        <v>216</v>
      </c>
      <c r="Q64" s="1" t="s">
        <v>263</v>
      </c>
      <c r="R64" s="54">
        <v>0.11900000000000001</v>
      </c>
    </row>
    <row r="65" spans="15:18" x14ac:dyDescent="0.25">
      <c r="O65" s="1" t="s">
        <v>616</v>
      </c>
      <c r="P65" s="1" t="s">
        <v>270</v>
      </c>
      <c r="Q65" s="1" t="s">
        <v>263</v>
      </c>
      <c r="R65" s="54">
        <v>0.15</v>
      </c>
    </row>
    <row r="66" spans="15:18" x14ac:dyDescent="0.25">
      <c r="O66" s="1" t="s">
        <v>617</v>
      </c>
      <c r="P66" s="1" t="s">
        <v>214</v>
      </c>
      <c r="Q66" s="1" t="s">
        <v>264</v>
      </c>
      <c r="R66" s="54">
        <v>5.0999999999999997E-2</v>
      </c>
    </row>
    <row r="67" spans="15:18" x14ac:dyDescent="0.25">
      <c r="O67" s="1" t="s">
        <v>618</v>
      </c>
      <c r="P67" s="1" t="s">
        <v>215</v>
      </c>
      <c r="Q67" s="1" t="s">
        <v>264</v>
      </c>
      <c r="R67" s="54">
        <v>0.108</v>
      </c>
    </row>
    <row r="68" spans="15:18" x14ac:dyDescent="0.25">
      <c r="O68" s="1" t="s">
        <v>619</v>
      </c>
      <c r="P68" s="1" t="s">
        <v>216</v>
      </c>
      <c r="Q68" s="1" t="s">
        <v>264</v>
      </c>
      <c r="R68" s="54">
        <v>0.121</v>
      </c>
    </row>
    <row r="69" spans="15:18" x14ac:dyDescent="0.25">
      <c r="O69" s="1" t="s">
        <v>620</v>
      </c>
      <c r="P69" s="1" t="s">
        <v>270</v>
      </c>
      <c r="Q69" s="1" t="s">
        <v>264</v>
      </c>
      <c r="R69" s="54">
        <v>0.155</v>
      </c>
    </row>
    <row r="70" spans="15:18" x14ac:dyDescent="0.25">
      <c r="O70" s="1" t="s">
        <v>621</v>
      </c>
      <c r="P70" s="1" t="s">
        <v>214</v>
      </c>
      <c r="Q70" s="1" t="s">
        <v>60</v>
      </c>
      <c r="R70" s="54">
        <v>5.0999999999999997E-2</v>
      </c>
    </row>
    <row r="71" spans="15:18" x14ac:dyDescent="0.25">
      <c r="O71" s="1" t="s">
        <v>622</v>
      </c>
      <c r="P71" s="1" t="s">
        <v>215</v>
      </c>
      <c r="Q71" s="1" t="s">
        <v>60</v>
      </c>
      <c r="R71" s="54">
        <v>0.108</v>
      </c>
    </row>
    <row r="72" spans="15:18" x14ac:dyDescent="0.25">
      <c r="O72" s="1" t="s">
        <v>623</v>
      </c>
      <c r="P72" s="1" t="s">
        <v>216</v>
      </c>
      <c r="Q72" s="1" t="s">
        <v>60</v>
      </c>
      <c r="R72" s="54">
        <v>0.121</v>
      </c>
    </row>
    <row r="73" spans="15:18" x14ac:dyDescent="0.25">
      <c r="O73" s="1" t="s">
        <v>624</v>
      </c>
      <c r="P73" s="1" t="s">
        <v>270</v>
      </c>
      <c r="Q73" s="1" t="s">
        <v>60</v>
      </c>
      <c r="R73" s="54">
        <v>0.155</v>
      </c>
    </row>
    <row r="74" spans="15:18" x14ac:dyDescent="0.25">
      <c r="O74" s="1" t="s">
        <v>625</v>
      </c>
      <c r="P74" s="1" t="s">
        <v>214</v>
      </c>
      <c r="Q74" s="1" t="s">
        <v>20</v>
      </c>
      <c r="R74" s="54">
        <v>7.0999999999999994E-2</v>
      </c>
    </row>
    <row r="75" spans="15:18" x14ac:dyDescent="0.25">
      <c r="O75" s="1" t="s">
        <v>626</v>
      </c>
      <c r="P75" s="1" t="s">
        <v>215</v>
      </c>
      <c r="Q75" s="1" t="s">
        <v>20</v>
      </c>
      <c r="R75" s="54">
        <v>8.7999999999999995E-2</v>
      </c>
    </row>
    <row r="76" spans="15:18" x14ac:dyDescent="0.25">
      <c r="O76" s="1" t="s">
        <v>627</v>
      </c>
      <c r="P76" s="1" t="s">
        <v>216</v>
      </c>
      <c r="Q76" s="1" t="s">
        <v>20</v>
      </c>
      <c r="R76" s="54">
        <v>0.107</v>
      </c>
    </row>
    <row r="77" spans="15:18" x14ac:dyDescent="0.25">
      <c r="O77" s="1" t="s">
        <v>628</v>
      </c>
      <c r="P77" s="1" t="s">
        <v>270</v>
      </c>
      <c r="Q77" s="1" t="s">
        <v>20</v>
      </c>
      <c r="R77" s="54">
        <v>0.107</v>
      </c>
    </row>
    <row r="78" spans="15:18" x14ac:dyDescent="0.25">
      <c r="O78" s="1" t="s">
        <v>629</v>
      </c>
      <c r="P78" s="1" t="s">
        <v>214</v>
      </c>
      <c r="Q78" s="1" t="s">
        <v>265</v>
      </c>
      <c r="R78" s="54">
        <v>5.9000000000000004E-2</v>
      </c>
    </row>
    <row r="79" spans="15:18" x14ac:dyDescent="0.25">
      <c r="O79" s="1" t="s">
        <v>630</v>
      </c>
      <c r="P79" s="1" t="s">
        <v>215</v>
      </c>
      <c r="Q79" s="1" t="s">
        <v>265</v>
      </c>
      <c r="R79" s="54">
        <v>9.9000000000000005E-2</v>
      </c>
    </row>
    <row r="80" spans="15:18" x14ac:dyDescent="0.25">
      <c r="O80" s="1" t="s">
        <v>631</v>
      </c>
      <c r="P80" s="1" t="s">
        <v>216</v>
      </c>
      <c r="Q80" s="1" t="s">
        <v>265</v>
      </c>
      <c r="R80" s="54">
        <v>0.11900000000000001</v>
      </c>
    </row>
    <row r="81" spans="15:18" x14ac:dyDescent="0.25">
      <c r="O81" s="1" t="s">
        <v>632</v>
      </c>
      <c r="P81" s="1" t="s">
        <v>270</v>
      </c>
      <c r="Q81" s="1" t="s">
        <v>265</v>
      </c>
      <c r="R81" s="54">
        <v>0.15</v>
      </c>
    </row>
    <row r="82" spans="15:18" x14ac:dyDescent="0.25">
      <c r="O82" s="1" t="s">
        <v>633</v>
      </c>
      <c r="P82" s="1" t="s">
        <v>214</v>
      </c>
      <c r="Q82" s="1" t="s">
        <v>266</v>
      </c>
      <c r="R82" s="54">
        <v>5.9000000000000004E-2</v>
      </c>
    </row>
    <row r="83" spans="15:18" x14ac:dyDescent="0.25">
      <c r="O83" s="1" t="s">
        <v>634</v>
      </c>
      <c r="P83" s="1" t="s">
        <v>215</v>
      </c>
      <c r="Q83" s="1" t="s">
        <v>266</v>
      </c>
      <c r="R83" s="54">
        <v>9.9000000000000005E-2</v>
      </c>
    </row>
    <row r="84" spans="15:18" x14ac:dyDescent="0.25">
      <c r="O84" s="1" t="s">
        <v>635</v>
      </c>
      <c r="P84" s="1" t="s">
        <v>216</v>
      </c>
      <c r="Q84" s="1" t="s">
        <v>266</v>
      </c>
      <c r="R84" s="54">
        <v>0.11900000000000001</v>
      </c>
    </row>
    <row r="85" spans="15:18" x14ac:dyDescent="0.25">
      <c r="O85" s="1" t="s">
        <v>636</v>
      </c>
      <c r="P85" s="1" t="s">
        <v>270</v>
      </c>
      <c r="Q85" s="1" t="s">
        <v>266</v>
      </c>
      <c r="R85" s="54">
        <v>0.15</v>
      </c>
    </row>
    <row r="86" spans="15:18" x14ac:dyDescent="0.25">
      <c r="O86" s="1" t="s">
        <v>637</v>
      </c>
      <c r="P86" s="1" t="s">
        <v>214</v>
      </c>
      <c r="Q86" s="1" t="s">
        <v>36</v>
      </c>
      <c r="R86" s="54">
        <v>4.3999999999999997E-2</v>
      </c>
    </row>
    <row r="87" spans="15:18" x14ac:dyDescent="0.25">
      <c r="O87" s="1" t="s">
        <v>638</v>
      </c>
      <c r="P87" s="1" t="s">
        <v>215</v>
      </c>
      <c r="Q87" s="1" t="s">
        <v>36</v>
      </c>
      <c r="R87" s="54">
        <v>8.6999999999999994E-2</v>
      </c>
    </row>
    <row r="88" spans="15:18" x14ac:dyDescent="0.25">
      <c r="O88" s="1" t="s">
        <v>639</v>
      </c>
      <c r="P88" s="1" t="s">
        <v>216</v>
      </c>
      <c r="Q88" s="1" t="s">
        <v>36</v>
      </c>
      <c r="R88" s="54">
        <v>9.2999999999999999E-2</v>
      </c>
    </row>
    <row r="89" spans="15:18" x14ac:dyDescent="0.25">
      <c r="O89" s="1" t="s">
        <v>640</v>
      </c>
      <c r="P89" s="1" t="s">
        <v>270</v>
      </c>
      <c r="Q89" s="1" t="s">
        <v>36</v>
      </c>
      <c r="R89" s="54">
        <v>0.14899999999999999</v>
      </c>
    </row>
    <row r="90" spans="15:18" x14ac:dyDescent="0.25">
      <c r="O90" s="1" t="s">
        <v>641</v>
      </c>
      <c r="P90" s="1" t="s">
        <v>214</v>
      </c>
      <c r="Q90" s="1" t="s">
        <v>71</v>
      </c>
      <c r="R90" s="54">
        <v>5.9000000000000004E-2</v>
      </c>
    </row>
    <row r="91" spans="15:18" x14ac:dyDescent="0.25">
      <c r="O91" s="1" t="s">
        <v>642</v>
      </c>
      <c r="P91" s="1" t="s">
        <v>215</v>
      </c>
      <c r="Q91" s="1" t="s">
        <v>71</v>
      </c>
      <c r="R91" s="54">
        <v>9.9000000000000005E-2</v>
      </c>
    </row>
    <row r="92" spans="15:18" x14ac:dyDescent="0.25">
      <c r="O92" s="1" t="s">
        <v>643</v>
      </c>
      <c r="P92" s="1" t="s">
        <v>216</v>
      </c>
      <c r="Q92" s="1" t="s">
        <v>71</v>
      </c>
      <c r="R92" s="54">
        <v>0.11900000000000001</v>
      </c>
    </row>
    <row r="93" spans="15:18" x14ac:dyDescent="0.25">
      <c r="O93" s="1" t="s">
        <v>644</v>
      </c>
      <c r="P93" s="1" t="s">
        <v>270</v>
      </c>
      <c r="Q93" s="1" t="s">
        <v>71</v>
      </c>
      <c r="R93" s="54">
        <v>0.15</v>
      </c>
    </row>
    <row r="94" spans="15:18" x14ac:dyDescent="0.25">
      <c r="O94" s="1" t="s">
        <v>645</v>
      </c>
      <c r="P94" s="1" t="s">
        <v>214</v>
      </c>
      <c r="Q94" s="1" t="s">
        <v>11</v>
      </c>
      <c r="R94" s="54">
        <v>6.2E-2</v>
      </c>
    </row>
    <row r="95" spans="15:18" x14ac:dyDescent="0.25">
      <c r="O95" s="1" t="s">
        <v>646</v>
      </c>
      <c r="P95" s="1" t="s">
        <v>215</v>
      </c>
      <c r="Q95" s="1" t="s">
        <v>11</v>
      </c>
      <c r="R95" s="54">
        <v>9.4E-2</v>
      </c>
    </row>
    <row r="96" spans="15:18" x14ac:dyDescent="0.25">
      <c r="O96" s="1" t="s">
        <v>647</v>
      </c>
      <c r="P96" s="1" t="s">
        <v>216</v>
      </c>
      <c r="Q96" s="1" t="s">
        <v>11</v>
      </c>
      <c r="R96" s="54">
        <v>0.112</v>
      </c>
    </row>
    <row r="97" spans="15:18" x14ac:dyDescent="0.25">
      <c r="O97" s="1" t="s">
        <v>648</v>
      </c>
      <c r="P97" s="1" t="s">
        <v>270</v>
      </c>
      <c r="Q97" s="1" t="s">
        <v>11</v>
      </c>
      <c r="R97" s="54">
        <v>0.112</v>
      </c>
    </row>
    <row r="98" spans="15:18" x14ac:dyDescent="0.25">
      <c r="O98" s="1" t="s">
        <v>649</v>
      </c>
      <c r="P98" s="1" t="s">
        <v>214</v>
      </c>
      <c r="Q98" s="1" t="s">
        <v>267</v>
      </c>
      <c r="R98" s="54">
        <v>5.9000000000000004E-2</v>
      </c>
    </row>
    <row r="99" spans="15:18" x14ac:dyDescent="0.25">
      <c r="O99" s="1" t="s">
        <v>650</v>
      </c>
      <c r="P99" s="1" t="s">
        <v>215</v>
      </c>
      <c r="Q99" s="1" t="s">
        <v>267</v>
      </c>
      <c r="R99" s="54">
        <v>9.9000000000000005E-2</v>
      </c>
    </row>
    <row r="100" spans="15:18" x14ac:dyDescent="0.25">
      <c r="O100" s="1" t="s">
        <v>651</v>
      </c>
      <c r="P100" s="1" t="s">
        <v>216</v>
      </c>
      <c r="Q100" s="1" t="s">
        <v>267</v>
      </c>
      <c r="R100" s="54">
        <v>0.11900000000000001</v>
      </c>
    </row>
    <row r="101" spans="15:18" x14ac:dyDescent="0.25">
      <c r="O101" s="1" t="s">
        <v>652</v>
      </c>
      <c r="P101" s="1" t="s">
        <v>270</v>
      </c>
      <c r="Q101" s="1" t="s">
        <v>267</v>
      </c>
      <c r="R101" s="54">
        <v>0.15</v>
      </c>
    </row>
    <row r="102" spans="15:18" x14ac:dyDescent="0.25">
      <c r="O102" s="1" t="s">
        <v>653</v>
      </c>
      <c r="P102" s="1" t="s">
        <v>214</v>
      </c>
      <c r="Q102" s="1" t="s">
        <v>268</v>
      </c>
      <c r="R102" s="54">
        <v>5.9000000000000004E-2</v>
      </c>
    </row>
    <row r="103" spans="15:18" x14ac:dyDescent="0.25">
      <c r="O103" s="1" t="s">
        <v>654</v>
      </c>
      <c r="P103" s="1" t="s">
        <v>215</v>
      </c>
      <c r="Q103" s="1" t="s">
        <v>268</v>
      </c>
      <c r="R103" s="54">
        <v>9.9000000000000005E-2</v>
      </c>
    </row>
    <row r="104" spans="15:18" x14ac:dyDescent="0.25">
      <c r="O104" s="1" t="s">
        <v>655</v>
      </c>
      <c r="P104" s="1" t="s">
        <v>216</v>
      </c>
      <c r="Q104" s="1" t="s">
        <v>268</v>
      </c>
      <c r="R104" s="54">
        <v>0.11900000000000001</v>
      </c>
    </row>
    <row r="105" spans="15:18" x14ac:dyDescent="0.25">
      <c r="O105" s="1" t="s">
        <v>656</v>
      </c>
      <c r="P105" s="1" t="s">
        <v>270</v>
      </c>
      <c r="Q105" s="1" t="s">
        <v>268</v>
      </c>
      <c r="R105" s="54">
        <v>0.15</v>
      </c>
    </row>
    <row r="106" spans="15:18" x14ac:dyDescent="0.25">
      <c r="O106" s="1" t="s">
        <v>657</v>
      </c>
      <c r="P106" s="1" t="s">
        <v>214</v>
      </c>
      <c r="Q106" s="1" t="s">
        <v>9</v>
      </c>
      <c r="R106" s="54">
        <v>5.0999999999999997E-2</v>
      </c>
    </row>
    <row r="107" spans="15:18" x14ac:dyDescent="0.25">
      <c r="O107" s="1" t="s">
        <v>658</v>
      </c>
      <c r="P107" s="1" t="s">
        <v>215</v>
      </c>
      <c r="Q107" s="1" t="s">
        <v>9</v>
      </c>
      <c r="R107" s="54">
        <v>0.10100000000000001</v>
      </c>
    </row>
    <row r="108" spans="15:18" x14ac:dyDescent="0.25">
      <c r="O108" s="1" t="s">
        <v>659</v>
      </c>
      <c r="P108" s="1" t="s">
        <v>216</v>
      </c>
      <c r="Q108" s="1" t="s">
        <v>9</v>
      </c>
      <c r="R108" s="54">
        <v>0.14199999999999999</v>
      </c>
    </row>
    <row r="109" spans="15:18" x14ac:dyDescent="0.25">
      <c r="O109" s="1" t="s">
        <v>660</v>
      </c>
      <c r="P109" s="1" t="s">
        <v>270</v>
      </c>
      <c r="Q109" s="1" t="s">
        <v>9</v>
      </c>
      <c r="R109" s="54">
        <v>0.14199999999999999</v>
      </c>
    </row>
    <row r="110" spans="15:18" x14ac:dyDescent="0.25">
      <c r="O110" s="1" t="s">
        <v>661</v>
      </c>
      <c r="P110" s="1" t="s">
        <v>214</v>
      </c>
      <c r="Q110" s="1" t="s">
        <v>38</v>
      </c>
      <c r="R110" s="54">
        <v>6.5000000000000002E-2</v>
      </c>
    </row>
    <row r="111" spans="15:18" x14ac:dyDescent="0.25">
      <c r="O111" s="1" t="s">
        <v>662</v>
      </c>
      <c r="P111" s="1" t="s">
        <v>215</v>
      </c>
      <c r="Q111" s="1" t="s">
        <v>38</v>
      </c>
      <c r="R111" s="54">
        <v>0.09</v>
      </c>
    </row>
    <row r="112" spans="15:18" x14ac:dyDescent="0.25">
      <c r="O112" s="1" t="s">
        <v>663</v>
      </c>
      <c r="P112" s="1" t="s">
        <v>216</v>
      </c>
      <c r="Q112" s="1" t="s">
        <v>38</v>
      </c>
      <c r="R112" s="54">
        <v>0.09</v>
      </c>
    </row>
    <row r="113" spans="15:18" x14ac:dyDescent="0.25">
      <c r="O113" s="1" t="s">
        <v>664</v>
      </c>
      <c r="P113" s="1" t="s">
        <v>270</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workbookViewId="0">
      <selection activeCell="M1" sqref="M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323" t="s">
        <v>859</v>
      </c>
      <c r="O1" s="1323"/>
      <c r="P1">
        <f>COUNTIF($AT$1:$DX$1,"New Location")</f>
        <v>0</v>
      </c>
      <c r="AT1" s="90" t="s">
        <v>823</v>
      </c>
      <c r="AU1" s="91">
        <f>'Customer Inputs'!$G$6</f>
        <v>0</v>
      </c>
      <c r="BC1" s="90" t="s">
        <v>824</v>
      </c>
      <c r="BD1" s="91">
        <f>'Customer Inputs'!$G$7</f>
        <v>0</v>
      </c>
      <c r="BL1" s="90" t="s">
        <v>825</v>
      </c>
      <c r="BM1" s="91">
        <f>'Customer Inputs'!$G$8</f>
        <v>0</v>
      </c>
      <c r="BU1" s="90" t="s">
        <v>826</v>
      </c>
      <c r="BV1" s="395">
        <f>'Customer Inputs'!$G$9</f>
        <v>0</v>
      </c>
      <c r="CD1" s="90" t="s">
        <v>827</v>
      </c>
      <c r="CE1" s="91">
        <f>'Customer Inputs'!$G$10</f>
        <v>0</v>
      </c>
      <c r="CM1" s="90" t="s">
        <v>828</v>
      </c>
      <c r="CN1" s="91">
        <f>'Customer Inputs'!$G$11</f>
        <v>0</v>
      </c>
      <c r="CV1" s="90" t="s">
        <v>829</v>
      </c>
      <c r="CW1" s="91">
        <f>'Customer Inputs'!$G$12</f>
        <v>0</v>
      </c>
      <c r="DE1" s="90" t="s">
        <v>830</v>
      </c>
      <c r="DF1" s="91">
        <f>'Customer Inputs'!$G$13</f>
        <v>0</v>
      </c>
      <c r="DN1" s="90" t="s">
        <v>831</v>
      </c>
      <c r="DO1" s="91">
        <f>'Customer Inputs'!$G$14</f>
        <v>0</v>
      </c>
      <c r="DW1" s="90" t="s">
        <v>832</v>
      </c>
      <c r="DX1" s="91">
        <f>'Customer Inputs'!$G$15</f>
        <v>0</v>
      </c>
    </row>
    <row r="2" spans="2:150" x14ac:dyDescent="0.25">
      <c r="N2" s="88"/>
      <c r="O2" s="88"/>
      <c r="AT2" s="88" t="s">
        <v>929</v>
      </c>
      <c r="AU2" s="91" t="str">
        <f>'Customer Inputs'!$K$6</f>
        <v/>
      </c>
      <c r="BC2" s="88" t="s">
        <v>929</v>
      </c>
      <c r="BD2" s="91" t="str">
        <f>'Customer Inputs'!$K$7</f>
        <v/>
      </c>
      <c r="BL2" s="88" t="s">
        <v>929</v>
      </c>
      <c r="BM2" s="91" t="str">
        <f>'Customer Inputs'!$K$8</f>
        <v/>
      </c>
      <c r="BU2" s="88" t="s">
        <v>929</v>
      </c>
      <c r="BV2" s="91" t="str">
        <f>'Customer Inputs'!$K$9</f>
        <v/>
      </c>
      <c r="CD2" s="88" t="s">
        <v>929</v>
      </c>
      <c r="CE2" s="91" t="str">
        <f>'Customer Inputs'!$K$10</f>
        <v/>
      </c>
      <c r="CM2" s="88" t="s">
        <v>929</v>
      </c>
      <c r="CN2" s="91" t="str">
        <f>'Customer Inputs'!$K$11</f>
        <v/>
      </c>
      <c r="CV2" s="88" t="s">
        <v>929</v>
      </c>
      <c r="CW2" s="91" t="str">
        <f>'Customer Inputs'!$K$12</f>
        <v/>
      </c>
      <c r="DE2" s="88" t="s">
        <v>929</v>
      </c>
      <c r="DF2" s="91" t="str">
        <f>'Customer Inputs'!$K$13</f>
        <v/>
      </c>
      <c r="DN2" s="88" t="s">
        <v>929</v>
      </c>
      <c r="DO2" s="91" t="str">
        <f>'Customer Inputs'!$K$14</f>
        <v/>
      </c>
      <c r="DW2" s="88" t="s">
        <v>929</v>
      </c>
      <c r="DX2" s="91" t="str">
        <f>'Customer Inputs'!$K$15</f>
        <v/>
      </c>
    </row>
    <row r="3" spans="2:150" x14ac:dyDescent="0.25">
      <c r="N3" s="88"/>
      <c r="O3" s="88"/>
      <c r="AT3" s="88" t="s">
        <v>930</v>
      </c>
      <c r="AU3" s="91">
        <f>'Customer Inputs'!$P$6</f>
        <v>0</v>
      </c>
      <c r="BC3" s="88" t="s">
        <v>930</v>
      </c>
      <c r="BD3" s="91">
        <f>'Customer Inputs'!$P$7</f>
        <v>0</v>
      </c>
      <c r="BL3" s="88" t="s">
        <v>930</v>
      </c>
      <c r="BM3" s="91">
        <f>'Customer Inputs'!$P$8</f>
        <v>0</v>
      </c>
      <c r="BU3" s="88" t="s">
        <v>930</v>
      </c>
      <c r="BV3" s="91">
        <f>'Customer Inputs'!$P$9</f>
        <v>0</v>
      </c>
      <c r="CD3" s="88" t="s">
        <v>930</v>
      </c>
      <c r="CE3" s="91">
        <f>'Customer Inputs'!$P$10</f>
        <v>0</v>
      </c>
      <c r="CM3" s="88" t="s">
        <v>930</v>
      </c>
      <c r="CN3" s="91">
        <f>'Customer Inputs'!$P$11</f>
        <v>0</v>
      </c>
      <c r="CV3" s="88" t="s">
        <v>930</v>
      </c>
      <c r="CW3" s="91">
        <f>'Customer Inputs'!$P$12</f>
        <v>0</v>
      </c>
      <c r="DE3" s="88" t="s">
        <v>930</v>
      </c>
      <c r="DF3" s="91">
        <f>'Customer Inputs'!$P$13</f>
        <v>0</v>
      </c>
      <c r="DN3" s="88" t="s">
        <v>930</v>
      </c>
      <c r="DO3" s="91">
        <f>'Customer Inputs'!$P$14</f>
        <v>0</v>
      </c>
      <c r="DW3" s="88" t="s">
        <v>930</v>
      </c>
      <c r="DX3" s="91">
        <f>'Customer Inputs'!$P$15</f>
        <v>0</v>
      </c>
    </row>
    <row r="4" spans="2:150" x14ac:dyDescent="0.25">
      <c r="N4" s="88"/>
      <c r="O4" s="88"/>
      <c r="AT4" s="88" t="s">
        <v>933</v>
      </c>
      <c r="AU4" s="396" t="e">
        <f>AU3/AU2</f>
        <v>#VALUE!</v>
      </c>
      <c r="BC4" s="88" t="s">
        <v>933</v>
      </c>
      <c r="BD4" s="396" t="e">
        <f>BD3/BD2</f>
        <v>#VALUE!</v>
      </c>
      <c r="BL4" s="88" t="s">
        <v>933</v>
      </c>
      <c r="BM4" s="396" t="e">
        <f>BM3/BM2</f>
        <v>#VALUE!</v>
      </c>
      <c r="BU4" s="88" t="s">
        <v>933</v>
      </c>
      <c r="BV4" s="396" t="e">
        <f>BV3/BV2</f>
        <v>#VALUE!</v>
      </c>
      <c r="CD4" s="88" t="s">
        <v>933</v>
      </c>
      <c r="CE4" s="396" t="e">
        <f>CE3/CE2</f>
        <v>#VALUE!</v>
      </c>
      <c r="CM4" s="88" t="s">
        <v>933</v>
      </c>
      <c r="CN4" s="396" t="e">
        <f>CN3/CN2</f>
        <v>#VALUE!</v>
      </c>
      <c r="CV4" s="88" t="s">
        <v>933</v>
      </c>
      <c r="CW4" s="396" t="e">
        <f>CW3/CW2</f>
        <v>#VALUE!</v>
      </c>
      <c r="DE4" s="88" t="s">
        <v>933</v>
      </c>
      <c r="DF4" s="396" t="e">
        <f>DF3/DF2</f>
        <v>#VALUE!</v>
      </c>
      <c r="DN4" s="88" t="s">
        <v>933</v>
      </c>
      <c r="DO4" s="396" t="e">
        <f>DO3/DO2</f>
        <v>#VALUE!</v>
      </c>
      <c r="DW4" s="88" t="s">
        <v>933</v>
      </c>
      <c r="DX4" s="396" t="e">
        <f>DX3/DX2</f>
        <v>#VALUE!</v>
      </c>
    </row>
    <row r="5" spans="2:150" x14ac:dyDescent="0.25">
      <c r="N5" s="1323" t="s">
        <v>860</v>
      </c>
      <c r="O5" s="1323"/>
      <c r="P5">
        <f>COUNT(AU1,BD1,BM1,BV1,CE1,CN1,CW1,DF1,DO1,DX1)</f>
        <v>10</v>
      </c>
      <c r="AT5" s="88" t="s">
        <v>960</v>
      </c>
      <c r="AU5">
        <f>IFERROR(VLOOKUP(AU$1,'Existing Customers'!$A:$F,6,FALSE),AU6)</f>
        <v>0</v>
      </c>
      <c r="BC5" s="88" t="s">
        <v>960</v>
      </c>
      <c r="BD5">
        <f>IFERROR(VLOOKUP(BD$1,'Existing Customers'!$A:$F,6,FALSE),BD6)</f>
        <v>0</v>
      </c>
      <c r="BL5" s="88" t="s">
        <v>960</v>
      </c>
      <c r="BM5">
        <f>IFERROR(VLOOKUP(BM$1,'Existing Customers'!$A:$F,6,FALSE),BM6)</f>
        <v>0</v>
      </c>
      <c r="BU5" s="88" t="s">
        <v>960</v>
      </c>
      <c r="BV5">
        <f>IFERROR(VLOOKUP(BV$1,'Existing Customers'!$A:$F,6,FALSE),BV6)</f>
        <v>0</v>
      </c>
      <c r="CD5" s="88" t="s">
        <v>960</v>
      </c>
      <c r="CE5">
        <f>IFERROR(VLOOKUP(CE$1,'Existing Customers'!$A:$F,6,FALSE),CE6)</f>
        <v>0</v>
      </c>
      <c r="CM5" s="88" t="s">
        <v>960</v>
      </c>
      <c r="CN5">
        <f>IFERROR(VLOOKUP(CN$1,'Existing Customers'!$A:$F,6,FALSE),CN6)</f>
        <v>0</v>
      </c>
      <c r="CV5" s="88" t="s">
        <v>960</v>
      </c>
      <c r="CW5">
        <f>IFERROR(VLOOKUP(CW$1,'Existing Customers'!$A:$F,6,FALSE),CW6)</f>
        <v>0</v>
      </c>
      <c r="DE5" s="88" t="s">
        <v>960</v>
      </c>
      <c r="DF5">
        <f>IFERROR(VLOOKUP(DF$1,'Existing Customers'!$A:$F,6,FALSE),DF6)</f>
        <v>0</v>
      </c>
      <c r="DN5" s="88" t="s">
        <v>960</v>
      </c>
      <c r="DO5">
        <f>IFERROR(VLOOKUP(DO$1,'Existing Customers'!$A:$F,6,FALSE),DO6)</f>
        <v>0</v>
      </c>
      <c r="DW5" s="88" t="s">
        <v>960</v>
      </c>
      <c r="DX5">
        <f>IFERROR(VLOOKUP(DX$1,'Existing Customers'!$A:$F,6,FALSE),DX6)</f>
        <v>0</v>
      </c>
    </row>
    <row r="6" spans="2:150" x14ac:dyDescent="0.25">
      <c r="N6" s="1323"/>
      <c r="O6" s="1323"/>
      <c r="AT6" s="88" t="s">
        <v>931</v>
      </c>
      <c r="AU6" s="441">
        <f>'Customer Inputs'!$R$6</f>
        <v>0</v>
      </c>
      <c r="BC6" s="88" t="s">
        <v>931</v>
      </c>
      <c r="BD6" s="91">
        <f>'Customer Inputs'!$R$7</f>
        <v>0</v>
      </c>
      <c r="BL6" s="88" t="s">
        <v>931</v>
      </c>
      <c r="BM6" s="91">
        <f>'Customer Inputs'!$R$8</f>
        <v>0</v>
      </c>
      <c r="BU6" s="88" t="s">
        <v>931</v>
      </c>
      <c r="BV6" s="91">
        <f>'Customer Inputs'!$R$9</f>
        <v>0</v>
      </c>
      <c r="CD6" s="88" t="s">
        <v>931</v>
      </c>
      <c r="CE6" s="91">
        <f>'Customer Inputs'!$R$10</f>
        <v>0</v>
      </c>
      <c r="CM6" s="88" t="s">
        <v>931</v>
      </c>
      <c r="CN6" s="91">
        <f>'Customer Inputs'!$R$11</f>
        <v>0</v>
      </c>
      <c r="CV6" s="88" t="s">
        <v>931</v>
      </c>
      <c r="CW6" s="91">
        <f>'Customer Inputs'!$R$12</f>
        <v>0</v>
      </c>
      <c r="DE6" s="88" t="s">
        <v>931</v>
      </c>
      <c r="DF6" s="91">
        <f>'Customer Inputs'!$R$13</f>
        <v>0</v>
      </c>
      <c r="DN6" s="88" t="s">
        <v>931</v>
      </c>
      <c r="DO6" s="91">
        <f>'Customer Inputs'!$R$14</f>
        <v>0</v>
      </c>
      <c r="DW6" s="88" t="s">
        <v>931</v>
      </c>
      <c r="DX6" s="91">
        <f>'Customer Inputs'!$R$15</f>
        <v>0</v>
      </c>
    </row>
    <row r="7" spans="2:150" x14ac:dyDescent="0.25">
      <c r="N7" s="88"/>
      <c r="O7" s="88"/>
      <c r="AT7" s="88" t="s">
        <v>941</v>
      </c>
      <c r="AU7" s="419">
        <f>IFERROR(SUMIFS('Existing Customers'!$AC:$AC,'Existing Customers'!$A:$A,'Multi-Customer'!AU$1)/SUMIFS('Existing Customers'!$Q:$Q,'Existing Customers'!$A:$A,'Multi-Customer'!AU$1),0)</f>
        <v>0</v>
      </c>
      <c r="BC7" s="88" t="s">
        <v>941</v>
      </c>
      <c r="BD7" s="419">
        <f>IFERROR(SUMIFS('Existing Customers'!$AC:$AC,'Existing Customers'!$A:$A,'Multi-Customer'!BD$1)/SUMIFS('Existing Customers'!$Q:$Q,'Existing Customers'!$A:$A,'Multi-Customer'!BD$1),0)</f>
        <v>0</v>
      </c>
      <c r="BL7" s="88" t="s">
        <v>941</v>
      </c>
      <c r="BM7" s="419">
        <f>IFERROR(SUMIFS('Existing Customers'!$AC:$AC,'Existing Customers'!$A:$A,'Multi-Customer'!BM$1)/SUMIFS('Existing Customers'!$Q:$Q,'Existing Customers'!$A:$A,'Multi-Customer'!BM$1),0)</f>
        <v>0</v>
      </c>
      <c r="BU7" s="88" t="s">
        <v>941</v>
      </c>
      <c r="BV7" s="419">
        <f>IFERROR(SUMIFS('Existing Customers'!$AC:$AC,'Existing Customers'!$A:$A,'Multi-Customer'!BV$1)/SUMIFS('Existing Customers'!$Q:$Q,'Existing Customers'!$A:$A,'Multi-Customer'!BV$1),0)</f>
        <v>0</v>
      </c>
      <c r="CD7" s="88" t="s">
        <v>941</v>
      </c>
      <c r="CE7" s="419">
        <f>IFERROR(SUMIFS('Existing Customers'!$AC:$AC,'Existing Customers'!$A:$A,'Multi-Customer'!CE$1)/SUMIFS('Existing Customers'!$Q:$Q,'Existing Customers'!$A:$A,'Multi-Customer'!CE$1),0)</f>
        <v>0</v>
      </c>
      <c r="CM7" s="88" t="s">
        <v>941</v>
      </c>
      <c r="CN7" s="419">
        <f>IFERROR(SUMIFS('Existing Customers'!$AC:$AC,'Existing Customers'!$A:$A,'Multi-Customer'!CN$1)/SUMIFS('Existing Customers'!$Q:$Q,'Existing Customers'!$A:$A,'Multi-Customer'!CN$1),0)</f>
        <v>0</v>
      </c>
      <c r="CV7" s="88" t="s">
        <v>941</v>
      </c>
      <c r="CW7" s="419">
        <f>IFERROR(SUMIFS('Existing Customers'!$AC:$AC,'Existing Customers'!$A:$A,'Multi-Customer'!CW$1)/SUMIFS('Existing Customers'!$Q:$Q,'Existing Customers'!$A:$A,'Multi-Customer'!CW$1),0)</f>
        <v>0</v>
      </c>
      <c r="DE7" s="88" t="s">
        <v>941</v>
      </c>
      <c r="DF7" s="419">
        <f>IFERROR(SUMIFS('Existing Customers'!$AC:$AC,'Existing Customers'!$A:$A,'Multi-Customer'!DF$1)/SUMIFS('Existing Customers'!$Q:$Q,'Existing Customers'!$A:$A,'Multi-Customer'!DF$1),0)</f>
        <v>0</v>
      </c>
      <c r="DN7" s="88" t="s">
        <v>941</v>
      </c>
      <c r="DO7" s="419">
        <f>IFERROR(SUMIFS('Existing Customers'!$AC:$AC,'Existing Customers'!$A:$A,'Multi-Customer'!DO$1)/SUMIFS('Existing Customers'!$Q:$Q,'Existing Customers'!$A:$A,'Multi-Customer'!DO$1),0)</f>
        <v>0</v>
      </c>
      <c r="DW7" s="88" t="s">
        <v>941</v>
      </c>
      <c r="DX7" s="419">
        <f>IFERROR(SUMIFS('Existing Customers'!$AC:$AC,'Existing Customers'!$A:$A,'Multi-Customer'!DX$1)/SUMIFS('Existing Customers'!$Q:$Q,'Existing Customers'!$A:$A,'Multi-Customer'!DX$1),0)</f>
        <v>0</v>
      </c>
    </row>
    <row r="8" spans="2:150" x14ac:dyDescent="0.25">
      <c r="AT8" s="88" t="s">
        <v>934</v>
      </c>
      <c r="AU8" s="398">
        <f>'Customer Inputs'!$T$6</f>
        <v>0</v>
      </c>
      <c r="BC8" s="88" t="s">
        <v>934</v>
      </c>
      <c r="BD8" s="398">
        <f>'Customer Inputs'!$T$7</f>
        <v>0</v>
      </c>
      <c r="BL8" s="88" t="s">
        <v>934</v>
      </c>
      <c r="BM8" s="398">
        <f>'Customer Inputs'!$T$8</f>
        <v>0</v>
      </c>
      <c r="BU8" s="88" t="s">
        <v>934</v>
      </c>
      <c r="BV8" s="398">
        <f>'Customer Inputs'!$T$9</f>
        <v>0</v>
      </c>
      <c r="CD8" s="88" t="s">
        <v>934</v>
      </c>
      <c r="CE8" s="398">
        <f>'Customer Inputs'!$T$10</f>
        <v>0</v>
      </c>
      <c r="CM8" s="88" t="s">
        <v>934</v>
      </c>
      <c r="CN8" s="398">
        <f>'Customer Inputs'!$T$11</f>
        <v>0</v>
      </c>
      <c r="CV8" s="88" t="s">
        <v>934</v>
      </c>
      <c r="CW8" s="398">
        <f>'Customer Inputs'!$T$12</f>
        <v>0</v>
      </c>
      <c r="DE8" s="88" t="s">
        <v>934</v>
      </c>
      <c r="DF8" s="398">
        <f>'Customer Inputs'!$T$13</f>
        <v>0</v>
      </c>
      <c r="DN8" s="88" t="s">
        <v>934</v>
      </c>
      <c r="DO8" s="398">
        <f>'Customer Inputs'!$T$14</f>
        <v>0</v>
      </c>
      <c r="DW8" s="88" t="s">
        <v>934</v>
      </c>
      <c r="DX8" s="398">
        <f>'Customer Inputs'!$T$15</f>
        <v>0</v>
      </c>
    </row>
    <row r="9" spans="2:150" ht="15.75" thickBot="1" x14ac:dyDescent="0.3">
      <c r="M9" s="88" t="s">
        <v>843</v>
      </c>
      <c r="O9" t="s">
        <v>976</v>
      </c>
      <c r="P9" s="24">
        <f>IFERROR(P33/O33,0)</f>
        <v>0</v>
      </c>
      <c r="W9" t="s">
        <v>979</v>
      </c>
      <c r="AB9" t="s">
        <v>1034</v>
      </c>
      <c r="AO9" s="1324" t="s">
        <v>1035</v>
      </c>
      <c r="EE9" t="s">
        <v>1031</v>
      </c>
      <c r="EN9" t="s">
        <v>1032</v>
      </c>
    </row>
    <row r="10" spans="2:150" ht="13.9" customHeight="1" thickBot="1" x14ac:dyDescent="0.3">
      <c r="C10" t="s">
        <v>980</v>
      </c>
      <c r="M10" s="88"/>
      <c r="V10" s="479" t="s">
        <v>936</v>
      </c>
      <c r="W10" s="480" t="s">
        <v>937</v>
      </c>
      <c r="X10" s="481" t="s">
        <v>938</v>
      </c>
      <c r="Y10" s="482"/>
      <c r="Z10" s="482"/>
      <c r="AC10" s="479" t="s">
        <v>1033</v>
      </c>
      <c r="AD10" s="482"/>
      <c r="AE10" s="482"/>
      <c r="AO10" s="1324"/>
      <c r="AT10" s="88"/>
      <c r="AU10" s="412" t="str">
        <f>IF(AU2="Enter Spend&gt;&gt;&gt;","Spec"&amp;"Sales","Exist"&amp;"Sales")</f>
        <v>ExistSales</v>
      </c>
      <c r="AV10" s="413" t="str">
        <f>IF(AU2="Enter Spend&gt;&gt;&gt;","Spec"&amp;"Cases","Exist"&amp;"Cases")</f>
        <v>ExistCases</v>
      </c>
      <c r="AW10" s="413" t="str">
        <f>IF(AU2="Enter Spend&gt;&gt;&gt;","Spec"&amp;"Ebcases","Exist"&amp;"Ebcases")</f>
        <v>ExistEbcases</v>
      </c>
      <c r="AX10" s="413" t="str">
        <f>IF(AU2="Enter Spend&gt;&gt;&gt;","Spec"&amp;"Weight","Exist"&amp;"Weight")</f>
        <v>ExistWeight</v>
      </c>
      <c r="AY10" s="413" t="str">
        <f>IF(AU2="Enter Spend&gt;&gt;&gt;","Spec"&amp;"TAGP","Exist"&amp;"TAGP")</f>
        <v>ExistTAGP</v>
      </c>
      <c r="AZ10" s="414" t="str">
        <f>IF(AU2="Enter Spend&gt;&gt;&gt;","Spec"&amp;"TGP","Exist"&amp;"TGP")</f>
        <v>ExistTGP</v>
      </c>
      <c r="BA10" s="407"/>
      <c r="BB10" s="407"/>
      <c r="BC10" s="407"/>
      <c r="BD10" s="412" t="str">
        <f>IF(BD2="Enter Spend&gt;&gt;&gt;","Spec"&amp;"Sales","Exist"&amp;"Sales")</f>
        <v>ExistSales</v>
      </c>
      <c r="BE10" s="413" t="str">
        <f>IF(BD2="Enter Spend&gt;&gt;&gt;","Spec"&amp;"Cases","Exist"&amp;"Cases")</f>
        <v>ExistCases</v>
      </c>
      <c r="BF10" s="413" t="str">
        <f>IF(BD2="Enter Spend&gt;&gt;&gt;","Spec"&amp;"Ebcases","Exist"&amp;"Ebcases")</f>
        <v>ExistEbcases</v>
      </c>
      <c r="BG10" s="413" t="str">
        <f>IF(BD2="Enter Spend&gt;&gt;&gt;","Spec"&amp;"Weight","Exist"&amp;"Weight")</f>
        <v>ExistWeight</v>
      </c>
      <c r="BH10" s="413" t="str">
        <f>IF(BD2="Enter Spend&gt;&gt;&gt;","Spec"&amp;"TAGP","Exist"&amp;"TAGP")</f>
        <v>ExistTAGP</v>
      </c>
      <c r="BI10" s="414" t="str">
        <f>IF(BD2="Enter Spend&gt;&gt;&gt;","Spec"&amp;"TGP","Exist"&amp;"TGP")</f>
        <v>ExistTGP</v>
      </c>
      <c r="BJ10" s="407"/>
      <c r="BK10" s="407"/>
      <c r="BL10" s="407"/>
      <c r="BM10" s="412" t="str">
        <f>IF(BM2="Enter Spend&gt;&gt;&gt;","Spec"&amp;"Sales","Exist"&amp;"Sales")</f>
        <v>ExistSales</v>
      </c>
      <c r="BN10" s="413" t="str">
        <f>IF(BM2="Enter Spend&gt;&gt;&gt;","Spec"&amp;"Cases","Exist"&amp;"Cases")</f>
        <v>ExistCases</v>
      </c>
      <c r="BO10" s="413" t="str">
        <f>IF(BM2="Enter Spend&gt;&gt;&gt;","Spec"&amp;"Ebcases","Exist"&amp;"Ebcases")</f>
        <v>ExistEbcases</v>
      </c>
      <c r="BP10" s="413" t="str">
        <f>IF(BM2="Enter Spend&gt;&gt;&gt;","Spec"&amp;"Weight","Exist"&amp;"Weight")</f>
        <v>ExistWeight</v>
      </c>
      <c r="BQ10" s="413" t="str">
        <f>IF(BM2="Enter Spend&gt;&gt;&gt;","Spec"&amp;"TAGP","Exist"&amp;"TAGP")</f>
        <v>ExistTAGP</v>
      </c>
      <c r="BR10" s="414" t="str">
        <f>IF(BM2="Enter Spend&gt;&gt;&gt;","Spec"&amp;"TGP","Exist"&amp;"TGP")</f>
        <v>ExistTGP</v>
      </c>
      <c r="BS10" s="407"/>
      <c r="BT10" s="407"/>
      <c r="BU10" s="407"/>
      <c r="BV10" s="412" t="str">
        <f>IF(BV2="Enter Spend&gt;&gt;&gt;","Spec"&amp;"Sales","Exist"&amp;"Sales")</f>
        <v>ExistSales</v>
      </c>
      <c r="BW10" s="413" t="str">
        <f>IF(BV2="Enter Spend&gt;&gt;&gt;","Spec"&amp;"Cases","Exist"&amp;"Cases")</f>
        <v>ExistCases</v>
      </c>
      <c r="BX10" s="413" t="str">
        <f>IF(BV2="Enter Spend&gt;&gt;&gt;","Spec"&amp;"Ebcases","Exist"&amp;"Ebcases")</f>
        <v>ExistEbcases</v>
      </c>
      <c r="BY10" s="413" t="str">
        <f>IF(BV2="Enter Spend&gt;&gt;&gt;","Spec"&amp;"Weight","Exist"&amp;"Weight")</f>
        <v>ExistWeight</v>
      </c>
      <c r="BZ10" s="413" t="str">
        <f>IF(BV2="Enter Spend&gt;&gt;&gt;","Spec"&amp;"TAGP","Exist"&amp;"TAGP")</f>
        <v>ExistTAGP</v>
      </c>
      <c r="CA10" s="414" t="str">
        <f>IF(BV2="Enter Spend&gt;&gt;&gt;","Spec"&amp;"TGP","Exist"&amp;"TGP")</f>
        <v>ExistTGP</v>
      </c>
      <c r="CB10" s="407"/>
      <c r="CC10" s="407"/>
      <c r="CD10" s="407"/>
      <c r="CE10" s="412" t="str">
        <f>IF(CE2="Enter Spend&gt;&gt;&gt;","Spec"&amp;"Sales","Exist"&amp;"Sales")</f>
        <v>ExistSales</v>
      </c>
      <c r="CF10" s="413" t="str">
        <f>IF(CE2="Enter Spend&gt;&gt;&gt;","Spec"&amp;"Cases","Exist"&amp;"Cases")</f>
        <v>ExistCases</v>
      </c>
      <c r="CG10" s="413" t="str">
        <f>IF(CE2="Enter Spend&gt;&gt;&gt;","Spec"&amp;"Ebcases","Exist"&amp;"Ebcases")</f>
        <v>ExistEbcases</v>
      </c>
      <c r="CH10" s="413" t="str">
        <f>IF(CE2="Enter Spend&gt;&gt;&gt;","Spec"&amp;"Weight","Exist"&amp;"Weight")</f>
        <v>ExistWeight</v>
      </c>
      <c r="CI10" s="413" t="str">
        <f>IF(CE2="Enter Spend&gt;&gt;&gt;","Spec"&amp;"TAGP","Exist"&amp;"TAGP")</f>
        <v>ExistTAGP</v>
      </c>
      <c r="CJ10" s="414" t="str">
        <f>IF(CE2="Enter Spend&gt;&gt;&gt;","Spec"&amp;"TGP","Exist"&amp;"TGP")</f>
        <v>ExistTGP</v>
      </c>
      <c r="CK10" s="407"/>
      <c r="CL10" s="407"/>
      <c r="CM10" s="407"/>
      <c r="CN10" s="412" t="str">
        <f>IF(CN2="Enter Spend&gt;&gt;&gt;","Spec"&amp;"Sales","Exist"&amp;"Sales")</f>
        <v>ExistSales</v>
      </c>
      <c r="CO10" s="413" t="str">
        <f>IF(CN2="Enter Spend&gt;&gt;&gt;","Spec"&amp;"Cases","Exist"&amp;"Cases")</f>
        <v>ExistCases</v>
      </c>
      <c r="CP10" s="413" t="str">
        <f>IF(CN2="Enter Spend&gt;&gt;&gt;","Spec"&amp;"Ebcases","Exist"&amp;"Ebcases")</f>
        <v>ExistEbcases</v>
      </c>
      <c r="CQ10" s="413" t="str">
        <f>IF(CN2="Enter Spend&gt;&gt;&gt;","Spec"&amp;"Weight","Exist"&amp;"Weight")</f>
        <v>ExistWeight</v>
      </c>
      <c r="CR10" s="413" t="str">
        <f>IF(CN2="Enter Spend&gt;&gt;&gt;","Spec"&amp;"TAGP","Exist"&amp;"TAGP")</f>
        <v>ExistTAGP</v>
      </c>
      <c r="CS10" s="414" t="str">
        <f>IF(CN2="Enter Spend&gt;&gt;&gt;","Spec"&amp;"TGP","Exist"&amp;"TGP")</f>
        <v>ExistTGP</v>
      </c>
      <c r="CT10" s="407"/>
      <c r="CU10" s="407"/>
      <c r="CV10" s="407"/>
      <c r="CW10" s="412" t="str">
        <f>IF(CW2="Enter Spend&gt;&gt;&gt;","Spec"&amp;"Sales","Exist"&amp;"Sales")</f>
        <v>ExistSales</v>
      </c>
      <c r="CX10" s="413" t="str">
        <f>IF(CW2="Enter Spend&gt;&gt;&gt;","Spec"&amp;"Cases","Exist"&amp;"Cases")</f>
        <v>ExistCases</v>
      </c>
      <c r="CY10" s="413" t="str">
        <f>IF(CW2="Enter Spend&gt;&gt;&gt;","Spec"&amp;"Ebcases","Exist"&amp;"Ebcases")</f>
        <v>ExistEbcases</v>
      </c>
      <c r="CZ10" s="413" t="str">
        <f>IF(CW2="Enter Spend&gt;&gt;&gt;","Spec"&amp;"Weight","Exist"&amp;"Weight")</f>
        <v>ExistWeight</v>
      </c>
      <c r="DA10" s="413" t="str">
        <f>IF(CW2="Enter Spend&gt;&gt;&gt;","Spec"&amp;"TAGP","Exist"&amp;"TAGP")</f>
        <v>ExistTAGP</v>
      </c>
      <c r="DB10" s="414" t="str">
        <f>IF(CW2="Enter Spend&gt;&gt;&gt;","Spec"&amp;"TGP","Exist"&amp;"TGP")</f>
        <v>ExistTGP</v>
      </c>
      <c r="DC10" s="407"/>
      <c r="DD10" s="407"/>
      <c r="DE10" s="407"/>
      <c r="DF10" s="412" t="str">
        <f>IF(DF2="Enter Spend&gt;&gt;&gt;","Spec"&amp;"Sales","Exist"&amp;"Sales")</f>
        <v>ExistSales</v>
      </c>
      <c r="DG10" s="413" t="str">
        <f>IF(DF2="Enter Spend&gt;&gt;&gt;","Spec"&amp;"Cases","Exist"&amp;"Cases")</f>
        <v>ExistCases</v>
      </c>
      <c r="DH10" s="413" t="str">
        <f>IF(DF2="Enter Spend&gt;&gt;&gt;","Spec"&amp;"Ebcases","Exist"&amp;"Ebcases")</f>
        <v>ExistEbcases</v>
      </c>
      <c r="DI10" s="413" t="str">
        <f>IF(DF2="Enter Spend&gt;&gt;&gt;","Spec"&amp;"Weight","Exist"&amp;"Weight")</f>
        <v>ExistWeight</v>
      </c>
      <c r="DJ10" s="413" t="str">
        <f>IF(DF2="Enter Spend&gt;&gt;&gt;","Spec"&amp;"TAGP","Exist"&amp;"TAGP")</f>
        <v>ExistTAGP</v>
      </c>
      <c r="DK10" s="414" t="str">
        <f>IF(DF2="Enter Spend&gt;&gt;&gt;","Spec"&amp;"TGP","Exist"&amp;"TGP")</f>
        <v>ExistTGP</v>
      </c>
      <c r="DL10" s="407"/>
      <c r="DM10" s="407"/>
      <c r="DN10" s="407"/>
      <c r="DO10" s="412" t="str">
        <f>IF(DO2="Enter Spend&gt;&gt;&gt;","Spec"&amp;"Sales","Exist"&amp;"Sales")</f>
        <v>ExistSales</v>
      </c>
      <c r="DP10" s="413" t="str">
        <f>IF(DO2="Enter Spend&gt;&gt;&gt;","Spec"&amp;"Cases","Exist"&amp;"Cases")</f>
        <v>ExistCases</v>
      </c>
      <c r="DQ10" s="413" t="str">
        <f>IF(DO2="Enter Spend&gt;&gt;&gt;","Spec"&amp;"Ebcases","Exist"&amp;"Ebcases")</f>
        <v>ExistEbcases</v>
      </c>
      <c r="DR10" s="413" t="str">
        <f>IF(DO2="Enter Spend&gt;&gt;&gt;","Spec"&amp;"Weight","Exist"&amp;"Weight")</f>
        <v>ExistWeight</v>
      </c>
      <c r="DS10" s="413" t="str">
        <f>IF(DO2="Enter Spend&gt;&gt;&gt;","Spec"&amp;"TAGP","Exist"&amp;"TAGP")</f>
        <v>ExistTAGP</v>
      </c>
      <c r="DT10" s="414" t="str">
        <f>IF(DO2="Enter Spend&gt;&gt;&gt;","Spec"&amp;"TGP","Exist"&amp;"TGP")</f>
        <v>ExistTGP</v>
      </c>
      <c r="DU10" s="407"/>
      <c r="DV10" s="407"/>
      <c r="DW10" s="407"/>
      <c r="DX10" s="412" t="str">
        <f>IF(DX2="Enter Spend&gt;&gt;&gt;","Spec"&amp;"Sales","Exist"&amp;"Sales")</f>
        <v>ExistSales</v>
      </c>
      <c r="DY10" s="413" t="str">
        <f>IF(DX2="Enter Spend&gt;&gt;&gt;","Spec"&amp;"Cases","Exist"&amp;"Cases")</f>
        <v>ExistCases</v>
      </c>
      <c r="DZ10" s="413" t="str">
        <f>IF(DX2="Enter Spend&gt;&gt;&gt;","Spec"&amp;"Ebcases","Exist"&amp;"Ebcases")</f>
        <v>ExistEbcases</v>
      </c>
      <c r="EA10" s="413" t="str">
        <f>IF(DX2="Enter Spend&gt;&gt;&gt;","Spec"&amp;"Weight","Exist"&amp;"Weight")</f>
        <v>ExistWeight</v>
      </c>
      <c r="EB10" s="413" t="str">
        <f>IF(DX2="Enter Spend&gt;&gt;&gt;","Spec"&amp;"TAGP","Exist"&amp;"TAGP")</f>
        <v>ExistTAGP</v>
      </c>
      <c r="EC10" s="414" t="str">
        <f>IF(DX2="Enter Spend&gt;&gt;&gt;","Spec"&amp;"TGP","Exist"&amp;"TGP")</f>
        <v>ExistTGP</v>
      </c>
      <c r="EE10" s="407"/>
      <c r="EF10" s="412" t="str">
        <f>IF(EF2="Enter Spend&gt;&gt;&gt;","Spec"&amp;"Sales","Exist"&amp;"Sales")</f>
        <v>ExistSales</v>
      </c>
      <c r="EG10" s="413" t="str">
        <f>IF(EF2="Enter Spend&gt;&gt;&gt;","Spec"&amp;"Cases","Exist"&amp;"Cases")</f>
        <v>ExistCases</v>
      </c>
      <c r="EH10" s="413" t="str">
        <f>IF(EF2="Enter Spend&gt;&gt;&gt;","Spec"&amp;"Ebcases","Exist"&amp;"Ebcases")</f>
        <v>ExistEbcases</v>
      </c>
      <c r="EI10" s="413" t="str">
        <f>IF(EF2="Enter Spend&gt;&gt;&gt;","Spec"&amp;"Weight","Exist"&amp;"Weight")</f>
        <v>ExistWeight</v>
      </c>
      <c r="EJ10" s="413" t="str">
        <f>IF(EF2="Enter Spend&gt;&gt;&gt;","Spec"&amp;"TAGP","Exist"&amp;"TAGP")</f>
        <v>ExistTAGP</v>
      </c>
      <c r="EK10" s="414" t="str">
        <f>IF(EF2="Enter Spend&gt;&gt;&gt;","Spec"&amp;"TGP","Exist"&amp;"TGP")</f>
        <v>ExistTGP</v>
      </c>
      <c r="EL10" s="407"/>
      <c r="EM10" s="407"/>
      <c r="EN10" s="407"/>
      <c r="EO10" s="412" t="str">
        <f>IF(EO2="Enter Spend&gt;&gt;&gt;","Spec"&amp;"Sales","Exist"&amp;"Sales")</f>
        <v>ExistSales</v>
      </c>
      <c r="EP10" s="413" t="str">
        <f>IF(EO2="Enter Spend&gt;&gt;&gt;","Spec"&amp;"Cases","Exist"&amp;"Cases")</f>
        <v>ExistCases</v>
      </c>
      <c r="EQ10" s="413" t="str">
        <f>IF(EO2="Enter Spend&gt;&gt;&gt;","Spec"&amp;"Ebcases","Exist"&amp;"Ebcases")</f>
        <v>ExistEbcases</v>
      </c>
      <c r="ER10" s="413" t="str">
        <f>IF(EO2="Enter Spend&gt;&gt;&gt;","Spec"&amp;"Weight","Exist"&amp;"Weight")</f>
        <v>ExistWeight</v>
      </c>
      <c r="ES10" s="413" t="str">
        <f>IF(EO2="Enter Spend&gt;&gt;&gt;","Spec"&amp;"TAGP","Exist"&amp;"TAGP")</f>
        <v>ExistTAGP</v>
      </c>
      <c r="ET10" s="414" t="str">
        <f>IF(EO2="Enter Spend&gt;&gt;&gt;","Spec"&amp;"TGP","Exist"&amp;"TGP")</f>
        <v>ExistTGP</v>
      </c>
    </row>
    <row r="11" spans="2:150" ht="15.75" thickBot="1" x14ac:dyDescent="0.3">
      <c r="B11" s="93" t="s">
        <v>108</v>
      </c>
      <c r="C11" s="483" t="s">
        <v>82</v>
      </c>
      <c r="D11" s="484" t="s">
        <v>83</v>
      </c>
      <c r="E11" s="484" t="s">
        <v>405</v>
      </c>
      <c r="F11" s="484" t="s">
        <v>509</v>
      </c>
      <c r="G11" s="485" t="s">
        <v>406</v>
      </c>
      <c r="H11" s="502" t="s">
        <v>536</v>
      </c>
      <c r="M11" s="93" t="s">
        <v>108</v>
      </c>
      <c r="N11" s="115" t="s">
        <v>82</v>
      </c>
      <c r="O11" s="95" t="s">
        <v>83</v>
      </c>
      <c r="P11" s="95" t="s">
        <v>405</v>
      </c>
      <c r="Q11" s="95" t="s">
        <v>509</v>
      </c>
      <c r="R11" s="96" t="s">
        <v>406</v>
      </c>
      <c r="S11" s="112" t="s">
        <v>536</v>
      </c>
      <c r="T11" s="397"/>
      <c r="U11" s="397"/>
      <c r="V11" s="483" t="s">
        <v>403</v>
      </c>
      <c r="W11" s="484" t="s">
        <v>406</v>
      </c>
      <c r="X11" s="484" t="s">
        <v>200</v>
      </c>
      <c r="Y11" s="484" t="s">
        <v>536</v>
      </c>
      <c r="Z11" s="485" t="s">
        <v>935</v>
      </c>
      <c r="AA11" s="397"/>
      <c r="AB11" s="397"/>
      <c r="AC11" s="483" t="s">
        <v>403</v>
      </c>
      <c r="AD11" s="484" t="s">
        <v>406</v>
      </c>
      <c r="AE11" s="485" t="s">
        <v>935</v>
      </c>
      <c r="AF11" s="397"/>
      <c r="AG11" s="397"/>
      <c r="AH11" s="397"/>
      <c r="AI11" s="397"/>
      <c r="AJ11" s="521" t="s">
        <v>1022</v>
      </c>
      <c r="AK11" s="521"/>
      <c r="AL11" s="521" t="s">
        <v>1073</v>
      </c>
      <c r="AM11" s="397"/>
      <c r="AN11" s="397"/>
      <c r="AO11" s="1324"/>
      <c r="AP11" s="397"/>
      <c r="AQ11" s="397"/>
      <c r="AR11" s="397"/>
      <c r="AS11" s="67" t="s">
        <v>932</v>
      </c>
      <c r="AT11" s="93" t="s">
        <v>108</v>
      </c>
      <c r="AU11" s="94" t="s">
        <v>82</v>
      </c>
      <c r="AV11" s="95" t="s">
        <v>83</v>
      </c>
      <c r="AW11" s="95" t="s">
        <v>405</v>
      </c>
      <c r="AX11" s="95" t="s">
        <v>509</v>
      </c>
      <c r="AY11" s="404" t="s">
        <v>406</v>
      </c>
      <c r="AZ11" s="96" t="s">
        <v>200</v>
      </c>
      <c r="BA11" s="397"/>
      <c r="BB11" s="67" t="s">
        <v>932</v>
      </c>
      <c r="BC11" s="93" t="s">
        <v>108</v>
      </c>
      <c r="BD11" s="94" t="s">
        <v>82</v>
      </c>
      <c r="BE11" s="95" t="s">
        <v>83</v>
      </c>
      <c r="BF11" s="95" t="s">
        <v>405</v>
      </c>
      <c r="BG11" s="95" t="s">
        <v>509</v>
      </c>
      <c r="BH11" s="96" t="s">
        <v>406</v>
      </c>
      <c r="BI11" s="96" t="s">
        <v>200</v>
      </c>
      <c r="BJ11" s="397"/>
      <c r="BK11" s="67" t="s">
        <v>932</v>
      </c>
      <c r="BL11" s="93" t="s">
        <v>108</v>
      </c>
      <c r="BM11" s="94" t="s">
        <v>82</v>
      </c>
      <c r="BN11" s="95" t="s">
        <v>83</v>
      </c>
      <c r="BO11" s="95" t="s">
        <v>405</v>
      </c>
      <c r="BP11" s="95" t="s">
        <v>509</v>
      </c>
      <c r="BQ11" s="96" t="s">
        <v>406</v>
      </c>
      <c r="BR11" s="96" t="s">
        <v>200</v>
      </c>
      <c r="BS11" s="397"/>
      <c r="BT11" s="67" t="s">
        <v>932</v>
      </c>
      <c r="BU11" s="93" t="s">
        <v>108</v>
      </c>
      <c r="BV11" s="94" t="s">
        <v>82</v>
      </c>
      <c r="BW11" s="95" t="s">
        <v>83</v>
      </c>
      <c r="BX11" s="95" t="s">
        <v>405</v>
      </c>
      <c r="BY11" s="95" t="s">
        <v>509</v>
      </c>
      <c r="BZ11" s="96" t="s">
        <v>406</v>
      </c>
      <c r="CA11" s="96" t="s">
        <v>200</v>
      </c>
      <c r="CB11" s="397"/>
      <c r="CC11" s="67" t="s">
        <v>932</v>
      </c>
      <c r="CD11" s="93" t="s">
        <v>108</v>
      </c>
      <c r="CE11" s="94" t="s">
        <v>82</v>
      </c>
      <c r="CF11" s="95" t="s">
        <v>83</v>
      </c>
      <c r="CG11" s="95" t="s">
        <v>405</v>
      </c>
      <c r="CH11" s="95" t="s">
        <v>509</v>
      </c>
      <c r="CI11" s="96" t="s">
        <v>406</v>
      </c>
      <c r="CJ11" s="96" t="s">
        <v>200</v>
      </c>
      <c r="CK11" s="397"/>
      <c r="CL11" s="67" t="s">
        <v>932</v>
      </c>
      <c r="CM11" s="93" t="s">
        <v>108</v>
      </c>
      <c r="CN11" s="94" t="s">
        <v>82</v>
      </c>
      <c r="CO11" s="95" t="s">
        <v>83</v>
      </c>
      <c r="CP11" s="95" t="s">
        <v>405</v>
      </c>
      <c r="CQ11" s="95" t="s">
        <v>509</v>
      </c>
      <c r="CR11" s="96" t="s">
        <v>406</v>
      </c>
      <c r="CS11" s="96" t="s">
        <v>200</v>
      </c>
      <c r="CT11" s="397"/>
      <c r="CU11" s="67" t="s">
        <v>932</v>
      </c>
      <c r="CV11" s="93" t="s">
        <v>108</v>
      </c>
      <c r="CW11" s="94" t="s">
        <v>82</v>
      </c>
      <c r="CX11" s="95" t="s">
        <v>83</v>
      </c>
      <c r="CY11" s="95" t="s">
        <v>405</v>
      </c>
      <c r="CZ11" s="95" t="s">
        <v>509</v>
      </c>
      <c r="DA11" s="96" t="s">
        <v>406</v>
      </c>
      <c r="DB11" s="96" t="s">
        <v>200</v>
      </c>
      <c r="DC11" s="397"/>
      <c r="DD11" s="67" t="s">
        <v>932</v>
      </c>
      <c r="DE11" s="93" t="s">
        <v>108</v>
      </c>
      <c r="DF11" s="94" t="s">
        <v>82</v>
      </c>
      <c r="DG11" s="95" t="s">
        <v>83</v>
      </c>
      <c r="DH11" s="95" t="s">
        <v>405</v>
      </c>
      <c r="DI11" s="95" t="s">
        <v>509</v>
      </c>
      <c r="DJ11" s="96" t="s">
        <v>406</v>
      </c>
      <c r="DK11" s="96" t="s">
        <v>200</v>
      </c>
      <c r="DL11" s="397"/>
      <c r="DM11" s="67" t="s">
        <v>932</v>
      </c>
      <c r="DN11" s="93" t="s">
        <v>108</v>
      </c>
      <c r="DO11" s="94" t="s">
        <v>82</v>
      </c>
      <c r="DP11" s="95" t="s">
        <v>83</v>
      </c>
      <c r="DQ11" s="95" t="s">
        <v>405</v>
      </c>
      <c r="DR11" s="95" t="s">
        <v>509</v>
      </c>
      <c r="DS11" s="404" t="s">
        <v>406</v>
      </c>
      <c r="DT11" s="96" t="s">
        <v>200</v>
      </c>
      <c r="DU11" s="397"/>
      <c r="DV11" s="67" t="s">
        <v>932</v>
      </c>
      <c r="DW11" s="93" t="s">
        <v>108</v>
      </c>
      <c r="DX11" s="408" t="s">
        <v>82</v>
      </c>
      <c r="DY11" s="409" t="s">
        <v>83</v>
      </c>
      <c r="DZ11" s="409" t="s">
        <v>405</v>
      </c>
      <c r="EA11" s="409" t="s">
        <v>509</v>
      </c>
      <c r="EB11" s="410" t="s">
        <v>406</v>
      </c>
      <c r="EC11" s="411" t="s">
        <v>200</v>
      </c>
      <c r="EE11" s="93" t="s">
        <v>108</v>
      </c>
      <c r="EF11" s="94" t="s">
        <v>82</v>
      </c>
      <c r="EG11" s="95" t="s">
        <v>83</v>
      </c>
      <c r="EH11" s="95" t="s">
        <v>405</v>
      </c>
      <c r="EI11" s="95" t="s">
        <v>509</v>
      </c>
      <c r="EJ11" s="404" t="s">
        <v>406</v>
      </c>
      <c r="EK11" s="96" t="s">
        <v>200</v>
      </c>
      <c r="EL11" s="397"/>
      <c r="EM11" s="67" t="s">
        <v>932</v>
      </c>
      <c r="EN11" s="93" t="s">
        <v>108</v>
      </c>
      <c r="EO11" s="408" t="s">
        <v>82</v>
      </c>
      <c r="EP11" s="409" t="s">
        <v>83</v>
      </c>
      <c r="EQ11" s="409" t="s">
        <v>405</v>
      </c>
      <c r="ER11" s="409" t="s">
        <v>509</v>
      </c>
      <c r="ES11" s="410" t="s">
        <v>406</v>
      </c>
      <c r="ET11" s="411" t="s">
        <v>200</v>
      </c>
    </row>
    <row r="12" spans="2:150" x14ac:dyDescent="0.25">
      <c r="B12" s="105" t="s">
        <v>99</v>
      </c>
      <c r="C12" s="486">
        <f>(AU12+BD12+BM12+BV12+CE12+CN12+CW12+DF12+DO12+DX12)</f>
        <v>0</v>
      </c>
      <c r="D12" s="503">
        <f>($AV12+$BE12+$BN12+$BW12+$CF12+$CO12+$CX12+$DG12+$DP12+$DY12)</f>
        <v>0</v>
      </c>
      <c r="E12" s="503">
        <f>($AW12+$BF12+$BO12+$BX12+$CG12+$CP12+$CY12+$DH12+$DQ12+$DZ12)</f>
        <v>0</v>
      </c>
      <c r="F12" s="503">
        <f>($AX12+$BG12+$BP12+$BY12+$CH12+$CQ12+$CZ12+$DI12+$DR12+$EA12)</f>
        <v>0</v>
      </c>
      <c r="G12" s="504">
        <f>($AY12+$BH12+$BQ12+$BZ12+$CI12+$CR12+$DA12+$DJ12+$DS12+$EB12)</f>
        <v>0</v>
      </c>
      <c r="H12" s="505">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3"/>
      <c r="U12" s="105" t="s">
        <v>99</v>
      </c>
      <c r="V12" s="486">
        <f t="shared" ref="V12:X32" si="4">SUMIFS($AU12:$EC12,$AU$10:$EC$10,V$10)</f>
        <v>0</v>
      </c>
      <c r="W12" s="487">
        <f t="shared" si="4"/>
        <v>0</v>
      </c>
      <c r="X12" s="487">
        <f t="shared" si="4"/>
        <v>0</v>
      </c>
      <c r="Y12" s="488">
        <f>IFERROR(W12/V12,0)</f>
        <v>0</v>
      </c>
      <c r="Z12" s="489">
        <f>IFERROR(X12/V12,0)</f>
        <v>0</v>
      </c>
      <c r="AA12" s="403"/>
      <c r="AB12" s="105" t="s">
        <v>99</v>
      </c>
      <c r="AC12" s="486">
        <f t="shared" ref="AC12:AC32" si="5">SUMIFS($AU12:$EC12,$AU$10:$EC$10,AC$10)</f>
        <v>0</v>
      </c>
      <c r="AD12" s="487">
        <f>AH12*AC12</f>
        <v>0</v>
      </c>
      <c r="AE12" s="489"/>
      <c r="AF12" s="403"/>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3">
        <f>VLOOKUP($AB12&amp;$AG12,'IMargin Quartiles'!$A:$F,6,FALSE)</f>
        <v>0.14000000000000001</v>
      </c>
      <c r="AI12" s="403"/>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3" t="e">
        <f>VLOOKUP($AB12&amp;$AJ12,'IMargin Quartiles'!$A:$F,6,FALSE)</f>
        <v>#DIV/0!</v>
      </c>
      <c r="AL12">
        <f>'PIM Model'!C10</f>
        <v>0</v>
      </c>
      <c r="AM12" s="403"/>
      <c r="AN12" s="403"/>
      <c r="AO12" s="403" t="e">
        <f>IF($AL12="AVG",IFERROR((W12+AD12)/(V12+AC12),AK12),(W12+AD12)/(V12+AC12))</f>
        <v>#DIV/0!</v>
      </c>
      <c r="AP12" s="403"/>
      <c r="AQ12" s="403"/>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5">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5">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5">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5"/>
      <c r="EK12" s="99"/>
      <c r="EL12" s="132"/>
      <c r="EN12" s="105" t="s">
        <v>99</v>
      </c>
      <c r="EO12" s="97"/>
      <c r="EP12" s="92"/>
      <c r="EQ12" s="98"/>
      <c r="ER12" s="98"/>
      <c r="ES12" s="405"/>
      <c r="ET12" s="99"/>
    </row>
    <row r="13" spans="2:150" x14ac:dyDescent="0.25">
      <c r="B13" s="105" t="s">
        <v>520</v>
      </c>
      <c r="C13" s="486">
        <f t="shared" ref="C13:C32" si="6">($AU13+$BD13+$BM13+$BV13+$CE13+$CN13+$CW13+$DF13+$DO13+$DX13)</f>
        <v>0</v>
      </c>
      <c r="D13" s="503">
        <f t="shared" ref="D13:D32" si="7">($AV13+$BE13+$BN13+$BW13+$CF13+$CO13+$CX13+$DG13+$DP13+$DY13)</f>
        <v>0</v>
      </c>
      <c r="E13" s="503">
        <f t="shared" ref="E13:E32" si="8">($AW13+$BF13+$BO13+$BX13+$CG13+$CP13+$CY13+$DH13+$DQ13+$DZ13)</f>
        <v>0</v>
      </c>
      <c r="F13" s="503">
        <f t="shared" ref="F13:F32" si="9">($AX13+$BG13+$BP13+$BY13+$CH13+$CQ13+$CZ13+$DI13+$DR13+$EA13)</f>
        <v>0</v>
      </c>
      <c r="G13" s="504">
        <f t="shared" ref="G13:G32" si="10">($AY13+$BH13+$BQ13+$BZ13+$CI13+$CR13+$DA13+$DJ13+$DS13+$EB13)</f>
        <v>0</v>
      </c>
      <c r="H13" s="506">
        <f t="shared" ref="H13:H32" si="11">IFERROR(G13/C13,0)</f>
        <v>0</v>
      </c>
      <c r="J13" t="str">
        <f>'PIM Model'!E11</f>
        <v>INCLUDE</v>
      </c>
      <c r="K13">
        <f t="shared" ref="K13:K32" si="12">IFERROR(N13/$N$33,0)</f>
        <v>0</v>
      </c>
      <c r="L13">
        <f t="shared" ref="L13:L32" si="13">IF(J13="Include",K13,0)</f>
        <v>0</v>
      </c>
      <c r="M13" s="105" t="s">
        <v>520</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3"/>
      <c r="U13" s="105" t="s">
        <v>520</v>
      </c>
      <c r="V13" s="490">
        <f t="shared" si="4"/>
        <v>0</v>
      </c>
      <c r="W13" s="491">
        <f t="shared" si="4"/>
        <v>0</v>
      </c>
      <c r="X13" s="491">
        <f t="shared" si="4"/>
        <v>0</v>
      </c>
      <c r="Y13" s="492">
        <f t="shared" ref="Y13:Y32" si="16">IFERROR(W13/V13,0)</f>
        <v>0</v>
      </c>
      <c r="Z13" s="493">
        <f t="shared" ref="Z13:Z32" si="17">IFERROR(X13/V13,0)</f>
        <v>0</v>
      </c>
      <c r="AA13" s="403"/>
      <c r="AB13" s="105" t="s">
        <v>520</v>
      </c>
      <c r="AC13" s="490">
        <f t="shared" si="5"/>
        <v>0</v>
      </c>
      <c r="AD13" s="487">
        <f t="shared" ref="AD13:AD32" si="18">AH13*AC13</f>
        <v>0</v>
      </c>
      <c r="AE13" s="493"/>
      <c r="AF13" s="403"/>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3">
        <f>VLOOKUP($AB13&amp;$AG13,'IMargin Quartiles'!$A:$F,6,FALSE)</f>
        <v>0.1</v>
      </c>
      <c r="AI13" s="403"/>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3" t="e">
        <f>VLOOKUP($AB13&amp;$AJ13,'IMargin Quartiles'!$A:$F,6,FALSE)</f>
        <v>#DIV/0!</v>
      </c>
      <c r="AL13">
        <f>'PIM Model'!C11</f>
        <v>0</v>
      </c>
      <c r="AM13" s="403"/>
      <c r="AN13" s="403"/>
      <c r="AO13" s="403" t="e">
        <f>IF($AL13="AVG",IFERROR((W13+AD13)/(V13+AC13),AK13),(W13+AD13)/(V13+AC13))</f>
        <v>#DIV/0!</v>
      </c>
      <c r="AP13" s="403"/>
      <c r="AQ13" s="403"/>
      <c r="AR13" s="111">
        <v>4</v>
      </c>
      <c r="AS13">
        <f>IFERROR(VLOOKUP(AU$5,'Basket Composition'!$A$3:$W$30,'Multi-Customer'!$AR13,FALSE),0)</f>
        <v>0</v>
      </c>
      <c r="AT13" s="105" t="s">
        <v>520</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520</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520</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520</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520</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520</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520</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520</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520</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520</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520</v>
      </c>
      <c r="EF13" s="100"/>
      <c r="EG13" s="92"/>
      <c r="EH13" s="92"/>
      <c r="EI13" s="92"/>
      <c r="EJ13" s="117"/>
      <c r="EK13" s="101"/>
      <c r="EL13" s="132"/>
      <c r="EN13" s="105" t="s">
        <v>520</v>
      </c>
      <c r="EO13" s="100"/>
      <c r="EP13" s="92"/>
      <c r="EQ13" s="92"/>
      <c r="ER13" s="92"/>
      <c r="ES13" s="117"/>
      <c r="ET13" s="101"/>
    </row>
    <row r="14" spans="2:150" x14ac:dyDescent="0.25">
      <c r="B14" s="105" t="s">
        <v>521</v>
      </c>
      <c r="C14" s="486">
        <f t="shared" si="6"/>
        <v>0</v>
      </c>
      <c r="D14" s="503">
        <f t="shared" si="7"/>
        <v>0</v>
      </c>
      <c r="E14" s="503">
        <f t="shared" si="8"/>
        <v>0</v>
      </c>
      <c r="F14" s="503">
        <f t="shared" si="9"/>
        <v>0</v>
      </c>
      <c r="G14" s="504">
        <f t="shared" si="10"/>
        <v>0</v>
      </c>
      <c r="H14" s="506">
        <f t="shared" si="11"/>
        <v>0</v>
      </c>
      <c r="J14" t="str">
        <f>'PIM Model'!E12</f>
        <v>INCLUDE</v>
      </c>
      <c r="K14">
        <f t="shared" si="12"/>
        <v>0</v>
      </c>
      <c r="L14">
        <f t="shared" si="13"/>
        <v>0</v>
      </c>
      <c r="M14" s="105" t="s">
        <v>521</v>
      </c>
      <c r="N14" s="100">
        <f t="shared" si="14"/>
        <v>0</v>
      </c>
      <c r="O14" s="92">
        <f t="shared" si="0"/>
        <v>0</v>
      </c>
      <c r="P14" s="92">
        <f t="shared" si="1"/>
        <v>0</v>
      </c>
      <c r="Q14" s="92">
        <f t="shared" si="2"/>
        <v>0</v>
      </c>
      <c r="R14" s="117">
        <f t="shared" si="3"/>
        <v>0</v>
      </c>
      <c r="S14" s="120">
        <f t="shared" si="15"/>
        <v>0</v>
      </c>
      <c r="T14" s="403"/>
      <c r="U14" s="105" t="s">
        <v>521</v>
      </c>
      <c r="V14" s="490">
        <f t="shared" si="4"/>
        <v>0</v>
      </c>
      <c r="W14" s="491">
        <f t="shared" si="4"/>
        <v>0</v>
      </c>
      <c r="X14" s="491">
        <f t="shared" si="4"/>
        <v>0</v>
      </c>
      <c r="Y14" s="492">
        <f t="shared" si="16"/>
        <v>0</v>
      </c>
      <c r="Z14" s="493">
        <f t="shared" si="17"/>
        <v>0</v>
      </c>
      <c r="AA14" s="403"/>
      <c r="AB14" s="105" t="s">
        <v>521</v>
      </c>
      <c r="AC14" s="490">
        <f t="shared" si="5"/>
        <v>0</v>
      </c>
      <c r="AD14" s="487">
        <f t="shared" si="18"/>
        <v>0</v>
      </c>
      <c r="AE14" s="493"/>
      <c r="AF14" s="403"/>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3">
        <f>VLOOKUP($AB14&amp;$AG14,'IMargin Quartiles'!$A:$F,6,FALSE)</f>
        <v>0.09</v>
      </c>
      <c r="AI14" s="403"/>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3" t="e">
        <f>VLOOKUP($AB14&amp;$AJ14,'IMargin Quartiles'!$A:$F,6,FALSE)</f>
        <v>#DIV/0!</v>
      </c>
      <c r="AL14">
        <f>'PIM Model'!C12</f>
        <v>0</v>
      </c>
      <c r="AM14" s="403"/>
      <c r="AN14" s="403"/>
      <c r="AO14" s="403" t="e">
        <f t="shared" ref="AO14:AO32" si="19">IF($AL14="AVG",IFERROR((W14+AD14)/(V14+AC14),AK14),(W14+AD14)/(V14+AC14))</f>
        <v>#DIV/0!</v>
      </c>
      <c r="AP14" s="403"/>
      <c r="AQ14" s="403"/>
      <c r="AR14" s="111">
        <v>5</v>
      </c>
      <c r="AS14">
        <f>IFERROR(VLOOKUP(AU$5,'Basket Composition'!$A$3:$W$30,'Multi-Customer'!$AR14,FALSE),0)</f>
        <v>0</v>
      </c>
      <c r="AT14" s="105" t="s">
        <v>521</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521</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521</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521</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521</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521</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521</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521</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521</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521</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521</v>
      </c>
      <c r="EF14" s="100"/>
      <c r="EG14" s="92"/>
      <c r="EH14" s="92"/>
      <c r="EI14" s="92"/>
      <c r="EJ14" s="117"/>
      <c r="EK14" s="101"/>
      <c r="EL14" s="132"/>
      <c r="EN14" s="105" t="s">
        <v>521</v>
      </c>
      <c r="EO14" s="100"/>
      <c r="EP14" s="92"/>
      <c r="EQ14" s="92"/>
      <c r="ER14" s="92"/>
      <c r="ES14" s="117"/>
      <c r="ET14" s="101"/>
    </row>
    <row r="15" spans="2:150" x14ac:dyDescent="0.25">
      <c r="B15" s="105" t="s">
        <v>102</v>
      </c>
      <c r="C15" s="486">
        <f t="shared" si="6"/>
        <v>0</v>
      </c>
      <c r="D15" s="503">
        <f t="shared" si="7"/>
        <v>0</v>
      </c>
      <c r="E15" s="503">
        <f t="shared" si="8"/>
        <v>0</v>
      </c>
      <c r="F15" s="503">
        <f t="shared" si="9"/>
        <v>0</v>
      </c>
      <c r="G15" s="504">
        <f t="shared" si="10"/>
        <v>0</v>
      </c>
      <c r="H15" s="506">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3"/>
      <c r="U15" s="105" t="s">
        <v>102</v>
      </c>
      <c r="V15" s="490">
        <f t="shared" si="4"/>
        <v>0</v>
      </c>
      <c r="W15" s="491">
        <f t="shared" si="4"/>
        <v>0</v>
      </c>
      <c r="X15" s="491">
        <f t="shared" si="4"/>
        <v>0</v>
      </c>
      <c r="Y15" s="492">
        <f t="shared" si="16"/>
        <v>0</v>
      </c>
      <c r="Z15" s="493">
        <f t="shared" si="17"/>
        <v>0</v>
      </c>
      <c r="AA15" s="403"/>
      <c r="AB15" s="105" t="s">
        <v>102</v>
      </c>
      <c r="AC15" s="490">
        <f t="shared" si="5"/>
        <v>0</v>
      </c>
      <c r="AD15" s="487">
        <f t="shared" si="18"/>
        <v>0</v>
      </c>
      <c r="AE15" s="493"/>
      <c r="AF15" s="403"/>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3">
        <f>VLOOKUP($AB15&amp;$AG15,'IMargin Quartiles'!$A:$F,6,FALSE)</f>
        <v>0.18</v>
      </c>
      <c r="AI15" s="403"/>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3" t="e">
        <f>VLOOKUP($AB15&amp;$AJ15,'IMargin Quartiles'!$A:$F,6,FALSE)</f>
        <v>#DIV/0!</v>
      </c>
      <c r="AL15">
        <f>'PIM Model'!C13</f>
        <v>0</v>
      </c>
      <c r="AM15" s="403"/>
      <c r="AN15" s="403"/>
      <c r="AO15" s="403" t="e">
        <f t="shared" si="19"/>
        <v>#DIV/0!</v>
      </c>
      <c r="AP15" s="403"/>
      <c r="AQ15" s="403"/>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6">
        <f t="shared" si="6"/>
        <v>0</v>
      </c>
      <c r="D16" s="503">
        <f t="shared" si="7"/>
        <v>0</v>
      </c>
      <c r="E16" s="503">
        <f t="shared" si="8"/>
        <v>0</v>
      </c>
      <c r="F16" s="503">
        <f t="shared" si="9"/>
        <v>0</v>
      </c>
      <c r="G16" s="504">
        <f t="shared" si="10"/>
        <v>0</v>
      </c>
      <c r="H16" s="506">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3"/>
      <c r="U16" s="105" t="s">
        <v>100</v>
      </c>
      <c r="V16" s="490">
        <f t="shared" si="4"/>
        <v>0</v>
      </c>
      <c r="W16" s="491">
        <f t="shared" si="4"/>
        <v>0</v>
      </c>
      <c r="X16" s="491">
        <f t="shared" si="4"/>
        <v>0</v>
      </c>
      <c r="Y16" s="492">
        <f t="shared" si="16"/>
        <v>0</v>
      </c>
      <c r="Z16" s="493">
        <f t="shared" si="17"/>
        <v>0</v>
      </c>
      <c r="AA16" s="403"/>
      <c r="AB16" s="105" t="s">
        <v>100</v>
      </c>
      <c r="AC16" s="490">
        <f t="shared" si="5"/>
        <v>0</v>
      </c>
      <c r="AD16" s="487">
        <f t="shared" si="18"/>
        <v>0</v>
      </c>
      <c r="AE16" s="493"/>
      <c r="AF16" s="403"/>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3">
        <f>VLOOKUP($AB16&amp;$AG16,'IMargin Quartiles'!$A:$F,6,FALSE)</f>
        <v>0.18</v>
      </c>
      <c r="AI16" s="403"/>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3" t="e">
        <f>VLOOKUP($AB16&amp;$AJ16,'IMargin Quartiles'!$A:$F,6,FALSE)</f>
        <v>#DIV/0!</v>
      </c>
      <c r="AL16">
        <f>'PIM Model'!C14</f>
        <v>0</v>
      </c>
      <c r="AM16" s="403"/>
      <c r="AN16" s="403"/>
      <c r="AO16" s="403" t="e">
        <f t="shared" si="19"/>
        <v>#DIV/0!</v>
      </c>
      <c r="AP16" s="403"/>
      <c r="AQ16" s="403"/>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6">
        <f t="shared" si="6"/>
        <v>0</v>
      </c>
      <c r="D17" s="503">
        <f t="shared" si="7"/>
        <v>0</v>
      </c>
      <c r="E17" s="503">
        <f t="shared" si="8"/>
        <v>0</v>
      </c>
      <c r="F17" s="503">
        <f t="shared" si="9"/>
        <v>0</v>
      </c>
      <c r="G17" s="504">
        <f t="shared" si="10"/>
        <v>0</v>
      </c>
      <c r="H17" s="506">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3"/>
      <c r="U17" s="105" t="s">
        <v>104</v>
      </c>
      <c r="V17" s="490">
        <f t="shared" si="4"/>
        <v>0</v>
      </c>
      <c r="W17" s="491">
        <f t="shared" si="4"/>
        <v>0</v>
      </c>
      <c r="X17" s="491">
        <f t="shared" si="4"/>
        <v>0</v>
      </c>
      <c r="Y17" s="492">
        <f t="shared" si="16"/>
        <v>0</v>
      </c>
      <c r="Z17" s="493">
        <f t="shared" si="17"/>
        <v>0</v>
      </c>
      <c r="AA17" s="403"/>
      <c r="AB17" s="105" t="s">
        <v>104</v>
      </c>
      <c r="AC17" s="490">
        <f t="shared" si="5"/>
        <v>0</v>
      </c>
      <c r="AD17" s="487">
        <f t="shared" si="18"/>
        <v>0</v>
      </c>
      <c r="AE17" s="493"/>
      <c r="AF17" s="403"/>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3">
        <f>VLOOKUP($AB17&amp;$AG17,'IMargin Quartiles'!$A:$F,6,FALSE)</f>
        <v>0.18</v>
      </c>
      <c r="AI17" s="403"/>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3" t="e">
        <f>VLOOKUP($AB17&amp;$AJ17,'IMargin Quartiles'!$A:$F,6,FALSE)</f>
        <v>#DIV/0!</v>
      </c>
      <c r="AL17">
        <f>'PIM Model'!C15</f>
        <v>0</v>
      </c>
      <c r="AM17" s="403"/>
      <c r="AN17" s="403"/>
      <c r="AO17" s="403" t="e">
        <f t="shared" si="19"/>
        <v>#DIV/0!</v>
      </c>
      <c r="AP17" s="403"/>
      <c r="AQ17" s="403"/>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6">
        <f t="shared" si="6"/>
        <v>0</v>
      </c>
      <c r="D18" s="503">
        <f t="shared" si="7"/>
        <v>0</v>
      </c>
      <c r="E18" s="503">
        <f t="shared" si="8"/>
        <v>0</v>
      </c>
      <c r="F18" s="503">
        <f t="shared" si="9"/>
        <v>0</v>
      </c>
      <c r="G18" s="504">
        <f t="shared" si="10"/>
        <v>0</v>
      </c>
      <c r="H18" s="506">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3"/>
      <c r="U18" s="105" t="s">
        <v>98</v>
      </c>
      <c r="V18" s="490">
        <f t="shared" si="4"/>
        <v>0</v>
      </c>
      <c r="W18" s="491">
        <f t="shared" si="4"/>
        <v>0</v>
      </c>
      <c r="X18" s="491">
        <f t="shared" si="4"/>
        <v>0</v>
      </c>
      <c r="Y18" s="492">
        <f t="shared" si="16"/>
        <v>0</v>
      </c>
      <c r="Z18" s="493">
        <f t="shared" si="17"/>
        <v>0</v>
      </c>
      <c r="AA18" s="403"/>
      <c r="AB18" s="105" t="s">
        <v>98</v>
      </c>
      <c r="AC18" s="490">
        <f t="shared" si="5"/>
        <v>0</v>
      </c>
      <c r="AD18" s="487">
        <f t="shared" si="18"/>
        <v>0</v>
      </c>
      <c r="AE18" s="493"/>
      <c r="AF18" s="403"/>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3">
        <f>VLOOKUP($AB18&amp;$AG18,'IMargin Quartiles'!$A:$F,6,FALSE)</f>
        <v>0.17</v>
      </c>
      <c r="AI18" s="403"/>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3" t="e">
        <f>VLOOKUP($AB18&amp;$AJ18,'IMargin Quartiles'!$A:$F,6,FALSE)</f>
        <v>#DIV/0!</v>
      </c>
      <c r="AL18">
        <f>'PIM Model'!C16</f>
        <v>0</v>
      </c>
      <c r="AM18" s="403"/>
      <c r="AN18" s="403"/>
      <c r="AO18" s="403" t="e">
        <f t="shared" si="19"/>
        <v>#DIV/0!</v>
      </c>
      <c r="AP18" s="403"/>
      <c r="AQ18" s="403"/>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6">
        <f t="shared" si="6"/>
        <v>0</v>
      </c>
      <c r="D19" s="503">
        <f t="shared" si="7"/>
        <v>0</v>
      </c>
      <c r="E19" s="503">
        <f t="shared" si="8"/>
        <v>0</v>
      </c>
      <c r="F19" s="503">
        <f t="shared" si="9"/>
        <v>0</v>
      </c>
      <c r="G19" s="504">
        <f t="shared" si="10"/>
        <v>0</v>
      </c>
      <c r="H19" s="506">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3"/>
      <c r="U19" s="105" t="s">
        <v>95</v>
      </c>
      <c r="V19" s="490">
        <f t="shared" si="4"/>
        <v>0</v>
      </c>
      <c r="W19" s="491">
        <f t="shared" si="4"/>
        <v>0</v>
      </c>
      <c r="X19" s="491">
        <f t="shared" si="4"/>
        <v>0</v>
      </c>
      <c r="Y19" s="492">
        <f t="shared" si="16"/>
        <v>0</v>
      </c>
      <c r="Z19" s="493">
        <f t="shared" si="17"/>
        <v>0</v>
      </c>
      <c r="AA19" s="403"/>
      <c r="AB19" s="105" t="s">
        <v>95</v>
      </c>
      <c r="AC19" s="490">
        <f t="shared" si="5"/>
        <v>0</v>
      </c>
      <c r="AD19" s="487">
        <f t="shared" si="18"/>
        <v>0</v>
      </c>
      <c r="AE19" s="493"/>
      <c r="AF19" s="403"/>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3">
        <f>VLOOKUP($AB19&amp;$AG19,'IMargin Quartiles'!$A:$F,6,FALSE)</f>
        <v>0.12</v>
      </c>
      <c r="AI19" s="403"/>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3" t="e">
        <f>VLOOKUP($AB19&amp;$AJ19,'IMargin Quartiles'!$A:$F,6,FALSE)</f>
        <v>#DIV/0!</v>
      </c>
      <c r="AL19">
        <f>'PIM Model'!C17</f>
        <v>0</v>
      </c>
      <c r="AM19" s="403"/>
      <c r="AN19" s="403"/>
      <c r="AO19" s="403" t="e">
        <f t="shared" si="19"/>
        <v>#DIV/0!</v>
      </c>
      <c r="AP19" s="403"/>
      <c r="AQ19" s="403"/>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6">
        <f t="shared" si="6"/>
        <v>0</v>
      </c>
      <c r="D20" s="503">
        <f t="shared" si="7"/>
        <v>0</v>
      </c>
      <c r="E20" s="503">
        <f t="shared" si="8"/>
        <v>0</v>
      </c>
      <c r="F20" s="503">
        <f t="shared" si="9"/>
        <v>0</v>
      </c>
      <c r="G20" s="504">
        <f t="shared" si="10"/>
        <v>0</v>
      </c>
      <c r="H20" s="506">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3"/>
      <c r="U20" s="105" t="s">
        <v>96</v>
      </c>
      <c r="V20" s="490">
        <f t="shared" si="4"/>
        <v>0</v>
      </c>
      <c r="W20" s="491">
        <f t="shared" si="4"/>
        <v>0</v>
      </c>
      <c r="X20" s="491">
        <f t="shared" si="4"/>
        <v>0</v>
      </c>
      <c r="Y20" s="492">
        <f t="shared" si="16"/>
        <v>0</v>
      </c>
      <c r="Z20" s="493">
        <f t="shared" si="17"/>
        <v>0</v>
      </c>
      <c r="AA20" s="403"/>
      <c r="AB20" s="105" t="s">
        <v>96</v>
      </c>
      <c r="AC20" s="490">
        <f t="shared" si="5"/>
        <v>0</v>
      </c>
      <c r="AD20" s="487">
        <f t="shared" si="18"/>
        <v>0</v>
      </c>
      <c r="AE20" s="493"/>
      <c r="AF20" s="403"/>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3">
        <f>VLOOKUP($AB20&amp;$AG20,'IMargin Quartiles'!$A:$F,6,FALSE)</f>
        <v>0.18</v>
      </c>
      <c r="AI20" s="403"/>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3" t="e">
        <f>VLOOKUP($AB20&amp;$AJ20,'IMargin Quartiles'!$A:$F,6,FALSE)</f>
        <v>#DIV/0!</v>
      </c>
      <c r="AL20">
        <f>'PIM Model'!C18</f>
        <v>0</v>
      </c>
      <c r="AM20" s="403"/>
      <c r="AN20" s="403"/>
      <c r="AO20" s="403" t="e">
        <f t="shared" si="19"/>
        <v>#DIV/0!</v>
      </c>
      <c r="AP20" s="403"/>
      <c r="AQ20" s="403"/>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6">
        <f t="shared" si="6"/>
        <v>0</v>
      </c>
      <c r="D21" s="503">
        <f t="shared" si="7"/>
        <v>0</v>
      </c>
      <c r="E21" s="503">
        <f t="shared" si="8"/>
        <v>0</v>
      </c>
      <c r="F21" s="503">
        <f t="shared" si="9"/>
        <v>0</v>
      </c>
      <c r="G21" s="504">
        <f t="shared" si="10"/>
        <v>0</v>
      </c>
      <c r="H21" s="506">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3"/>
      <c r="U21" s="105" t="s">
        <v>101</v>
      </c>
      <c r="V21" s="490">
        <f t="shared" si="4"/>
        <v>0</v>
      </c>
      <c r="W21" s="491">
        <f t="shared" si="4"/>
        <v>0</v>
      </c>
      <c r="X21" s="491">
        <f t="shared" si="4"/>
        <v>0</v>
      </c>
      <c r="Y21" s="492">
        <f t="shared" si="16"/>
        <v>0</v>
      </c>
      <c r="Z21" s="493">
        <f t="shared" si="17"/>
        <v>0</v>
      </c>
      <c r="AA21" s="403"/>
      <c r="AB21" s="105" t="s">
        <v>101</v>
      </c>
      <c r="AC21" s="490">
        <f t="shared" si="5"/>
        <v>0</v>
      </c>
      <c r="AD21" s="487">
        <f t="shared" si="18"/>
        <v>0</v>
      </c>
      <c r="AE21" s="493"/>
      <c r="AF21" s="403"/>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3">
        <f>VLOOKUP($AB21&amp;$AG21,'IMargin Quartiles'!$A:$F,6,FALSE)</f>
        <v>0.18</v>
      </c>
      <c r="AI21" s="403"/>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3" t="e">
        <f>VLOOKUP($AB21&amp;$AJ21,'IMargin Quartiles'!$A:$F,6,FALSE)</f>
        <v>#DIV/0!</v>
      </c>
      <c r="AL21">
        <f>'PIM Model'!C19</f>
        <v>0</v>
      </c>
      <c r="AM21" s="403"/>
      <c r="AN21" s="403"/>
      <c r="AO21" s="403" t="e">
        <f t="shared" si="19"/>
        <v>#DIV/0!</v>
      </c>
      <c r="AP21" s="403"/>
      <c r="AQ21" s="403"/>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6">
        <f t="shared" si="6"/>
        <v>0</v>
      </c>
      <c r="D22" s="503">
        <f t="shared" si="7"/>
        <v>0</v>
      </c>
      <c r="E22" s="503">
        <f t="shared" si="8"/>
        <v>0</v>
      </c>
      <c r="F22" s="503">
        <f t="shared" si="9"/>
        <v>0</v>
      </c>
      <c r="G22" s="504">
        <f t="shared" si="10"/>
        <v>0</v>
      </c>
      <c r="H22" s="506">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3"/>
      <c r="U22" s="105" t="s">
        <v>97</v>
      </c>
      <c r="V22" s="490">
        <f t="shared" si="4"/>
        <v>0</v>
      </c>
      <c r="W22" s="491">
        <f t="shared" si="4"/>
        <v>0</v>
      </c>
      <c r="X22" s="491">
        <f t="shared" si="4"/>
        <v>0</v>
      </c>
      <c r="Y22" s="492">
        <f t="shared" si="16"/>
        <v>0</v>
      </c>
      <c r="Z22" s="493">
        <f t="shared" si="17"/>
        <v>0</v>
      </c>
      <c r="AA22" s="403"/>
      <c r="AB22" s="105" t="s">
        <v>97</v>
      </c>
      <c r="AC22" s="490">
        <f t="shared" si="5"/>
        <v>0</v>
      </c>
      <c r="AD22" s="487">
        <f t="shared" si="18"/>
        <v>0</v>
      </c>
      <c r="AE22" s="493"/>
      <c r="AF22" s="403"/>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3">
        <f>VLOOKUP($AB22&amp;$AG22,'IMargin Quartiles'!$A:$F,6,FALSE)</f>
        <v>0.17</v>
      </c>
      <c r="AI22" s="403"/>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3" t="e">
        <f>VLOOKUP($AB22&amp;$AJ22,'IMargin Quartiles'!$A:$F,6,FALSE)</f>
        <v>#DIV/0!</v>
      </c>
      <c r="AL22">
        <f>'PIM Model'!C20</f>
        <v>0</v>
      </c>
      <c r="AM22" s="403"/>
      <c r="AN22" s="403"/>
      <c r="AO22" s="403" t="e">
        <f t="shared" si="19"/>
        <v>#DIV/0!</v>
      </c>
      <c r="AP22" s="403"/>
      <c r="AQ22" s="403"/>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6">
        <f t="shared" si="6"/>
        <v>0</v>
      </c>
      <c r="D23" s="503">
        <f t="shared" si="7"/>
        <v>0</v>
      </c>
      <c r="E23" s="503">
        <f t="shared" si="8"/>
        <v>0</v>
      </c>
      <c r="F23" s="503">
        <f t="shared" si="9"/>
        <v>0</v>
      </c>
      <c r="G23" s="504">
        <f t="shared" si="10"/>
        <v>0</v>
      </c>
      <c r="H23" s="506">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3"/>
      <c r="U23" s="105" t="s">
        <v>93</v>
      </c>
      <c r="V23" s="490">
        <f t="shared" si="4"/>
        <v>0</v>
      </c>
      <c r="W23" s="491">
        <f t="shared" si="4"/>
        <v>0</v>
      </c>
      <c r="X23" s="491">
        <f t="shared" si="4"/>
        <v>0</v>
      </c>
      <c r="Y23" s="492">
        <f t="shared" si="16"/>
        <v>0</v>
      </c>
      <c r="Z23" s="493">
        <f t="shared" si="17"/>
        <v>0</v>
      </c>
      <c r="AA23" s="403"/>
      <c r="AB23" s="105" t="s">
        <v>93</v>
      </c>
      <c r="AC23" s="490">
        <f t="shared" si="5"/>
        <v>0</v>
      </c>
      <c r="AD23" s="487">
        <f t="shared" si="18"/>
        <v>0</v>
      </c>
      <c r="AE23" s="493"/>
      <c r="AF23" s="403"/>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3">
        <f>VLOOKUP($AB23&amp;$AG23,'IMargin Quartiles'!$A:$F,6,FALSE)</f>
        <v>0.18</v>
      </c>
      <c r="AI23" s="403"/>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3" t="e">
        <f>VLOOKUP($AB23&amp;$AJ23,'IMargin Quartiles'!$A:$F,6,FALSE)</f>
        <v>#DIV/0!</v>
      </c>
      <c r="AL23">
        <f>'PIM Model'!C21</f>
        <v>0</v>
      </c>
      <c r="AM23" s="403"/>
      <c r="AN23" s="403"/>
      <c r="AO23" s="403" t="e">
        <f t="shared" si="19"/>
        <v>#DIV/0!</v>
      </c>
      <c r="AP23" s="403"/>
      <c r="AQ23" s="403"/>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6">
        <f t="shared" si="6"/>
        <v>0</v>
      </c>
      <c r="D24" s="503">
        <f t="shared" si="7"/>
        <v>0</v>
      </c>
      <c r="E24" s="503">
        <f t="shared" si="8"/>
        <v>0</v>
      </c>
      <c r="F24" s="503">
        <f t="shared" si="9"/>
        <v>0</v>
      </c>
      <c r="G24" s="504">
        <f t="shared" si="10"/>
        <v>0</v>
      </c>
      <c r="H24" s="506">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3"/>
      <c r="U24" s="105" t="s">
        <v>105</v>
      </c>
      <c r="V24" s="490">
        <f t="shared" si="4"/>
        <v>0</v>
      </c>
      <c r="W24" s="491">
        <f t="shared" si="4"/>
        <v>0</v>
      </c>
      <c r="X24" s="491">
        <f t="shared" si="4"/>
        <v>0</v>
      </c>
      <c r="Y24" s="492">
        <f t="shared" si="16"/>
        <v>0</v>
      </c>
      <c r="Z24" s="493">
        <f t="shared" si="17"/>
        <v>0</v>
      </c>
      <c r="AA24" s="403"/>
      <c r="AB24" s="105" t="s">
        <v>105</v>
      </c>
      <c r="AC24" s="490">
        <f t="shared" si="5"/>
        <v>0</v>
      </c>
      <c r="AD24" s="487">
        <f t="shared" si="18"/>
        <v>0</v>
      </c>
      <c r="AE24" s="493"/>
      <c r="AF24" s="403"/>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3">
        <f>VLOOKUP($AB24&amp;$AG24,'IMargin Quartiles'!$A:$F,6,FALSE)</f>
        <v>0.18</v>
      </c>
      <c r="AI24" s="403"/>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3" t="e">
        <f>VLOOKUP($AB24&amp;$AJ24,'IMargin Quartiles'!$A:$F,6,FALSE)</f>
        <v>#DIV/0!</v>
      </c>
      <c r="AL24">
        <f>'PIM Model'!C22</f>
        <v>0</v>
      </c>
      <c r="AM24" s="403"/>
      <c r="AN24" s="403"/>
      <c r="AO24" s="403" t="e">
        <f t="shared" si="19"/>
        <v>#DIV/0!</v>
      </c>
      <c r="AP24" s="403"/>
      <c r="AQ24" s="403"/>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6">
        <f t="shared" si="6"/>
        <v>0</v>
      </c>
      <c r="D25" s="503">
        <f t="shared" si="7"/>
        <v>0</v>
      </c>
      <c r="E25" s="503">
        <f t="shared" si="8"/>
        <v>0</v>
      </c>
      <c r="F25" s="503">
        <f t="shared" si="9"/>
        <v>0</v>
      </c>
      <c r="G25" s="504">
        <f t="shared" si="10"/>
        <v>0</v>
      </c>
      <c r="H25" s="506">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3"/>
      <c r="U25" s="105" t="s">
        <v>92</v>
      </c>
      <c r="V25" s="490">
        <f t="shared" si="4"/>
        <v>0</v>
      </c>
      <c r="W25" s="491">
        <f t="shared" si="4"/>
        <v>0</v>
      </c>
      <c r="X25" s="491">
        <f t="shared" si="4"/>
        <v>0</v>
      </c>
      <c r="Y25" s="492">
        <f t="shared" si="16"/>
        <v>0</v>
      </c>
      <c r="Z25" s="493">
        <f t="shared" si="17"/>
        <v>0</v>
      </c>
      <c r="AA25" s="403"/>
      <c r="AB25" s="105" t="s">
        <v>92</v>
      </c>
      <c r="AC25" s="490">
        <f t="shared" si="5"/>
        <v>0</v>
      </c>
      <c r="AD25" s="487">
        <f t="shared" si="18"/>
        <v>0</v>
      </c>
      <c r="AE25" s="493"/>
      <c r="AF25" s="403"/>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3">
        <f>VLOOKUP($AB25&amp;$AG25,'IMargin Quartiles'!$A:$F,6,FALSE)</f>
        <v>0.13</v>
      </c>
      <c r="AI25" s="403"/>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3" t="e">
        <f>VLOOKUP($AB25&amp;$AJ25,'IMargin Quartiles'!$A:$F,6,FALSE)</f>
        <v>#DIV/0!</v>
      </c>
      <c r="AL25">
        <f>'PIM Model'!C23</f>
        <v>0</v>
      </c>
      <c r="AM25" s="403"/>
      <c r="AN25" s="403"/>
      <c r="AO25" s="403" t="e">
        <f t="shared" si="19"/>
        <v>#DIV/0!</v>
      </c>
      <c r="AP25" s="403"/>
      <c r="AQ25" s="403"/>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6">
        <f t="shared" si="6"/>
        <v>0</v>
      </c>
      <c r="D26" s="503">
        <f t="shared" si="7"/>
        <v>0</v>
      </c>
      <c r="E26" s="503">
        <f t="shared" si="8"/>
        <v>0</v>
      </c>
      <c r="F26" s="503">
        <f t="shared" si="9"/>
        <v>0</v>
      </c>
      <c r="G26" s="504">
        <f t="shared" si="10"/>
        <v>0</v>
      </c>
      <c r="H26" s="506">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3"/>
      <c r="U26" s="105" t="s">
        <v>91</v>
      </c>
      <c r="V26" s="490">
        <f t="shared" si="4"/>
        <v>0</v>
      </c>
      <c r="W26" s="491">
        <f t="shared" si="4"/>
        <v>0</v>
      </c>
      <c r="X26" s="491">
        <f t="shared" si="4"/>
        <v>0</v>
      </c>
      <c r="Y26" s="492">
        <f t="shared" si="16"/>
        <v>0</v>
      </c>
      <c r="Z26" s="493">
        <f t="shared" si="17"/>
        <v>0</v>
      </c>
      <c r="AA26" s="403"/>
      <c r="AB26" s="105" t="s">
        <v>91</v>
      </c>
      <c r="AC26" s="490">
        <f t="shared" si="5"/>
        <v>0</v>
      </c>
      <c r="AD26" s="487">
        <f t="shared" si="18"/>
        <v>0</v>
      </c>
      <c r="AE26" s="493"/>
      <c r="AF26" s="403"/>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3">
        <f>VLOOKUP($AB26&amp;$AG26,'IMargin Quartiles'!$A:$F,6,FALSE)</f>
        <v>0.16</v>
      </c>
      <c r="AI26" s="403"/>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3" t="e">
        <f>VLOOKUP($AB26&amp;$AJ26,'IMargin Quartiles'!$A:$F,6,FALSE)</f>
        <v>#DIV/0!</v>
      </c>
      <c r="AL26">
        <f>'PIM Model'!C24</f>
        <v>0</v>
      </c>
      <c r="AM26" s="403"/>
      <c r="AN26" s="403"/>
      <c r="AO26" s="403" t="e">
        <f t="shared" si="19"/>
        <v>#DIV/0!</v>
      </c>
      <c r="AP26" s="403"/>
      <c r="AQ26" s="403"/>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6">
        <f t="shared" si="6"/>
        <v>0</v>
      </c>
      <c r="D27" s="503">
        <f t="shared" si="7"/>
        <v>0</v>
      </c>
      <c r="E27" s="503">
        <f t="shared" si="8"/>
        <v>0</v>
      </c>
      <c r="F27" s="503">
        <f t="shared" si="9"/>
        <v>0</v>
      </c>
      <c r="G27" s="504">
        <f t="shared" si="10"/>
        <v>0</v>
      </c>
      <c r="H27" s="506">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3"/>
      <c r="U27" s="105" t="s">
        <v>90</v>
      </c>
      <c r="V27" s="490">
        <f t="shared" si="4"/>
        <v>0</v>
      </c>
      <c r="W27" s="491">
        <f t="shared" si="4"/>
        <v>0</v>
      </c>
      <c r="X27" s="491">
        <f t="shared" si="4"/>
        <v>0</v>
      </c>
      <c r="Y27" s="492">
        <f t="shared" si="16"/>
        <v>0</v>
      </c>
      <c r="Z27" s="493">
        <f t="shared" si="17"/>
        <v>0</v>
      </c>
      <c r="AA27" s="403"/>
      <c r="AB27" s="105" t="s">
        <v>90</v>
      </c>
      <c r="AC27" s="490">
        <f t="shared" si="5"/>
        <v>0</v>
      </c>
      <c r="AD27" s="487">
        <f t="shared" si="18"/>
        <v>0</v>
      </c>
      <c r="AE27" s="493"/>
      <c r="AF27" s="403"/>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3">
        <f>VLOOKUP($AB27&amp;$AG27,'IMargin Quartiles'!$A:$F,6,FALSE)</f>
        <v>0.11</v>
      </c>
      <c r="AI27" s="403"/>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3" t="e">
        <f>VLOOKUP($AB27&amp;$AJ27,'IMargin Quartiles'!$A:$F,6,FALSE)</f>
        <v>#DIV/0!</v>
      </c>
      <c r="AL27">
        <f>'PIM Model'!C25</f>
        <v>0</v>
      </c>
      <c r="AM27" s="403"/>
      <c r="AN27" s="403"/>
      <c r="AO27" s="403" t="e">
        <f t="shared" si="19"/>
        <v>#DIV/0!</v>
      </c>
      <c r="AP27" s="403"/>
      <c r="AQ27" s="403"/>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6">
        <f t="shared" si="6"/>
        <v>0</v>
      </c>
      <c r="D28" s="503">
        <f t="shared" si="7"/>
        <v>0</v>
      </c>
      <c r="E28" s="503">
        <f t="shared" si="8"/>
        <v>0</v>
      </c>
      <c r="F28" s="503">
        <f t="shared" si="9"/>
        <v>0</v>
      </c>
      <c r="G28" s="504">
        <f t="shared" si="10"/>
        <v>0</v>
      </c>
      <c r="H28" s="506">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3"/>
      <c r="U28" s="105" t="s">
        <v>89</v>
      </c>
      <c r="V28" s="490">
        <f t="shared" si="4"/>
        <v>0</v>
      </c>
      <c r="W28" s="491">
        <f t="shared" si="4"/>
        <v>0</v>
      </c>
      <c r="X28" s="491">
        <f t="shared" si="4"/>
        <v>0</v>
      </c>
      <c r="Y28" s="492">
        <f t="shared" si="16"/>
        <v>0</v>
      </c>
      <c r="Z28" s="493">
        <f t="shared" si="17"/>
        <v>0</v>
      </c>
      <c r="AA28" s="403"/>
      <c r="AB28" s="105" t="s">
        <v>89</v>
      </c>
      <c r="AC28" s="490">
        <f t="shared" si="5"/>
        <v>0</v>
      </c>
      <c r="AD28" s="487">
        <f t="shared" si="18"/>
        <v>0</v>
      </c>
      <c r="AE28" s="493"/>
      <c r="AF28" s="403"/>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3">
        <f>VLOOKUP($AB28&amp;$AG28,'IMargin Quartiles'!$A:$F,6,FALSE)</f>
        <v>0.17</v>
      </c>
      <c r="AI28" s="403"/>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3" t="e">
        <f>VLOOKUP($AB28&amp;$AJ28,'IMargin Quartiles'!$A:$F,6,FALSE)</f>
        <v>#DIV/0!</v>
      </c>
      <c r="AL28">
        <f>'PIM Model'!C26</f>
        <v>0</v>
      </c>
      <c r="AM28" s="403"/>
      <c r="AN28" s="403"/>
      <c r="AO28" s="403" t="e">
        <f t="shared" si="19"/>
        <v>#DIV/0!</v>
      </c>
      <c r="AP28" s="403"/>
      <c r="AQ28" s="403"/>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6">
        <f t="shared" si="6"/>
        <v>0</v>
      </c>
      <c r="D29" s="503">
        <f t="shared" si="7"/>
        <v>0</v>
      </c>
      <c r="E29" s="503">
        <f t="shared" si="8"/>
        <v>0</v>
      </c>
      <c r="F29" s="503">
        <f t="shared" si="9"/>
        <v>0</v>
      </c>
      <c r="G29" s="504">
        <f t="shared" si="10"/>
        <v>0</v>
      </c>
      <c r="H29" s="506">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3"/>
      <c r="U29" s="105" t="s">
        <v>94</v>
      </c>
      <c r="V29" s="490">
        <f t="shared" si="4"/>
        <v>0</v>
      </c>
      <c r="W29" s="491">
        <f t="shared" si="4"/>
        <v>0</v>
      </c>
      <c r="X29" s="491">
        <f t="shared" si="4"/>
        <v>0</v>
      </c>
      <c r="Y29" s="492">
        <f t="shared" si="16"/>
        <v>0</v>
      </c>
      <c r="Z29" s="493">
        <f t="shared" si="17"/>
        <v>0</v>
      </c>
      <c r="AA29" s="403"/>
      <c r="AB29" s="105" t="s">
        <v>94</v>
      </c>
      <c r="AC29" s="490">
        <f t="shared" si="5"/>
        <v>0</v>
      </c>
      <c r="AD29" s="487">
        <f t="shared" si="18"/>
        <v>0</v>
      </c>
      <c r="AE29" s="493"/>
      <c r="AF29" s="403"/>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3">
        <f>VLOOKUP($AB29&amp;$AG29,'IMargin Quartiles'!$A:$F,6,FALSE)</f>
        <v>0.16</v>
      </c>
      <c r="AI29" s="403"/>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3" t="e">
        <f>VLOOKUP($AB29&amp;$AJ29,'IMargin Quartiles'!$A:$F,6,FALSE)</f>
        <v>#DIV/0!</v>
      </c>
      <c r="AL29">
        <f>'PIM Model'!C27</f>
        <v>0</v>
      </c>
      <c r="AM29" s="403"/>
      <c r="AN29" s="403"/>
      <c r="AO29" s="403" t="e">
        <f t="shared" si="19"/>
        <v>#DIV/0!</v>
      </c>
      <c r="AP29" s="403"/>
      <c r="AQ29" s="403"/>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6">
        <f t="shared" si="6"/>
        <v>0</v>
      </c>
      <c r="D30" s="503">
        <f t="shared" si="7"/>
        <v>0</v>
      </c>
      <c r="E30" s="503">
        <f t="shared" si="8"/>
        <v>0</v>
      </c>
      <c r="F30" s="503">
        <f t="shared" si="9"/>
        <v>0</v>
      </c>
      <c r="G30" s="504">
        <f t="shared" si="10"/>
        <v>0</v>
      </c>
      <c r="H30" s="506">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3"/>
      <c r="U30" s="105" t="s">
        <v>86</v>
      </c>
      <c r="V30" s="490">
        <f t="shared" si="4"/>
        <v>0</v>
      </c>
      <c r="W30" s="491">
        <f t="shared" si="4"/>
        <v>0</v>
      </c>
      <c r="X30" s="491">
        <f t="shared" si="4"/>
        <v>0</v>
      </c>
      <c r="Y30" s="492">
        <f t="shared" si="16"/>
        <v>0</v>
      </c>
      <c r="Z30" s="493">
        <f t="shared" si="17"/>
        <v>0</v>
      </c>
      <c r="AA30" s="403"/>
      <c r="AB30" s="105" t="s">
        <v>86</v>
      </c>
      <c r="AC30" s="490">
        <f t="shared" si="5"/>
        <v>0</v>
      </c>
      <c r="AD30" s="487">
        <f t="shared" si="18"/>
        <v>0</v>
      </c>
      <c r="AE30" s="493"/>
      <c r="AF30" s="403"/>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3">
        <f>VLOOKUP($AB30&amp;$AG30,'IMargin Quartiles'!$A:$F,6,FALSE)</f>
        <v>0.17</v>
      </c>
      <c r="AI30" s="403"/>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3" t="e">
        <f>VLOOKUP($AB30&amp;$AJ30,'IMargin Quartiles'!$A:$F,6,FALSE)</f>
        <v>#DIV/0!</v>
      </c>
      <c r="AL30">
        <f>'PIM Model'!C28</f>
        <v>0</v>
      </c>
      <c r="AM30" s="403"/>
      <c r="AN30" s="403"/>
      <c r="AO30" s="403" t="e">
        <f t="shared" si="19"/>
        <v>#DIV/0!</v>
      </c>
      <c r="AP30" s="403"/>
      <c r="AQ30" s="403"/>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6">
        <f t="shared" si="6"/>
        <v>0</v>
      </c>
      <c r="D31" s="503">
        <f t="shared" si="7"/>
        <v>0</v>
      </c>
      <c r="E31" s="503">
        <f t="shared" si="8"/>
        <v>0</v>
      </c>
      <c r="F31" s="503">
        <f t="shared" si="9"/>
        <v>0</v>
      </c>
      <c r="G31" s="504">
        <f t="shared" si="10"/>
        <v>0</v>
      </c>
      <c r="H31" s="506">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3"/>
      <c r="U31" s="105" t="s">
        <v>88</v>
      </c>
      <c r="V31" s="490">
        <f t="shared" si="4"/>
        <v>0</v>
      </c>
      <c r="W31" s="491">
        <f t="shared" si="4"/>
        <v>0</v>
      </c>
      <c r="X31" s="491">
        <f t="shared" si="4"/>
        <v>0</v>
      </c>
      <c r="Y31" s="492">
        <f t="shared" si="16"/>
        <v>0</v>
      </c>
      <c r="Z31" s="493">
        <f t="shared" si="17"/>
        <v>0</v>
      </c>
      <c r="AA31" s="403"/>
      <c r="AB31" s="105" t="s">
        <v>88</v>
      </c>
      <c r="AC31" s="490">
        <f t="shared" si="5"/>
        <v>0</v>
      </c>
      <c r="AD31" s="487">
        <f t="shared" si="18"/>
        <v>0</v>
      </c>
      <c r="AE31" s="493"/>
      <c r="AF31" s="403"/>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3">
        <f>VLOOKUP($AB31&amp;$AG31,'IMargin Quartiles'!$A:$F,6,FALSE)</f>
        <v>0.13</v>
      </c>
      <c r="AI31" s="403"/>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3" t="e">
        <f>VLOOKUP($AB31&amp;$AJ31,'IMargin Quartiles'!$A:$F,6,FALSE)</f>
        <v>#DIV/0!</v>
      </c>
      <c r="AL31">
        <f>'PIM Model'!C29</f>
        <v>0</v>
      </c>
      <c r="AM31" s="403"/>
      <c r="AN31" s="403"/>
      <c r="AO31" s="403" t="e">
        <f t="shared" si="19"/>
        <v>#DIV/0!</v>
      </c>
      <c r="AP31" s="403"/>
      <c r="AQ31" s="403"/>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6">
        <f t="shared" si="6"/>
        <v>0</v>
      </c>
      <c r="D32" s="503">
        <f t="shared" si="7"/>
        <v>0</v>
      </c>
      <c r="E32" s="503">
        <f t="shared" si="8"/>
        <v>0</v>
      </c>
      <c r="F32" s="503">
        <f t="shared" si="9"/>
        <v>0</v>
      </c>
      <c r="G32" s="504">
        <f t="shared" si="10"/>
        <v>0</v>
      </c>
      <c r="H32" s="507">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3"/>
      <c r="U32" s="106" t="s">
        <v>87</v>
      </c>
      <c r="V32" s="494">
        <f t="shared" si="4"/>
        <v>0</v>
      </c>
      <c r="W32" s="495">
        <f t="shared" si="4"/>
        <v>0</v>
      </c>
      <c r="X32" s="495">
        <f t="shared" si="4"/>
        <v>0</v>
      </c>
      <c r="Y32" s="496">
        <f t="shared" si="16"/>
        <v>0</v>
      </c>
      <c r="Z32" s="497">
        <f t="shared" si="17"/>
        <v>0</v>
      </c>
      <c r="AA32" s="403"/>
      <c r="AB32" s="106" t="s">
        <v>87</v>
      </c>
      <c r="AC32" s="494">
        <f t="shared" si="5"/>
        <v>0</v>
      </c>
      <c r="AD32" s="487">
        <f t="shared" si="18"/>
        <v>0</v>
      </c>
      <c r="AE32" s="497"/>
      <c r="AF32" s="403"/>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3">
        <f>VLOOKUP($AB32&amp;$AG32,'IMargin Quartiles'!$A:$F,6,FALSE)</f>
        <v>0.11</v>
      </c>
      <c r="AI32" s="403"/>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3" t="e">
        <f>VLOOKUP($AB32&amp;$AJ32,'IMargin Quartiles'!$A:$F,6,FALSE)</f>
        <v>#DIV/0!</v>
      </c>
      <c r="AL32">
        <f>'PIM Model'!C30</f>
        <v>0</v>
      </c>
      <c r="AM32" s="403"/>
      <c r="AN32" s="403"/>
      <c r="AO32" s="403" t="e">
        <f t="shared" si="19"/>
        <v>#DIV/0!</v>
      </c>
      <c r="AP32" s="403"/>
      <c r="AQ32" s="403"/>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8">
        <f>SUM(V12:V32)</f>
        <v>0</v>
      </c>
      <c r="W33" s="499">
        <f>SUM(W12:W32)</f>
        <v>0</v>
      </c>
      <c r="X33" s="499">
        <f>SUM(X12:X32)</f>
        <v>0</v>
      </c>
      <c r="Y33" s="500">
        <f t="shared" ref="Y33" si="20">IFERROR(W33/V33,0)</f>
        <v>0</v>
      </c>
      <c r="Z33" s="501">
        <f t="shared" ref="Z33" si="21">IFERROR(X33/V33,0)</f>
        <v>0</v>
      </c>
      <c r="AA33" s="111"/>
      <c r="AB33" s="111"/>
      <c r="AC33" s="498">
        <f>SUM(AC12:AC32)</f>
        <v>0</v>
      </c>
      <c r="AD33" s="666">
        <f>SUM(AD12:AD32)</f>
        <v>0</v>
      </c>
      <c r="AE33" s="501">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6">
        <f t="shared" si="22"/>
        <v>0</v>
      </c>
      <c r="AZ33" s="110">
        <f t="shared" si="22"/>
        <v>0</v>
      </c>
      <c r="BA33" s="399"/>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6">
        <f t="shared" si="30"/>
        <v>0</v>
      </c>
      <c r="DT33" s="110">
        <f t="shared" si="30"/>
        <v>0</v>
      </c>
      <c r="DU33" s="111"/>
      <c r="DX33" s="108">
        <f t="shared" ref="DX33:EC33" si="31">SUM(DX12:DX32)</f>
        <v>0</v>
      </c>
      <c r="DY33" s="109">
        <f t="shared" si="31"/>
        <v>0</v>
      </c>
      <c r="DZ33" s="109">
        <f t="shared" si="31"/>
        <v>0</v>
      </c>
      <c r="EA33" s="109">
        <f t="shared" si="31"/>
        <v>0</v>
      </c>
      <c r="EB33" s="406">
        <f t="shared" si="31"/>
        <v>0</v>
      </c>
      <c r="EC33" s="110">
        <f t="shared" si="31"/>
        <v>0</v>
      </c>
      <c r="EF33" s="108"/>
      <c r="EG33" s="109"/>
      <c r="EH33" s="109"/>
      <c r="EI33" s="109"/>
      <c r="EJ33" s="406"/>
      <c r="EK33" s="110"/>
      <c r="EL33" s="111"/>
      <c r="EO33" s="108"/>
      <c r="EP33" s="109"/>
      <c r="EQ33" s="109"/>
      <c r="ER33" s="109"/>
      <c r="ES33" s="406"/>
      <c r="ET33" s="110"/>
    </row>
    <row r="34" spans="3:150" ht="15.75" thickBot="1" x14ac:dyDescent="0.3">
      <c r="C34" s="23"/>
      <c r="E34" s="464" t="e">
        <f>E33/D33</f>
        <v>#DIV/0!</v>
      </c>
      <c r="AV34" s="509"/>
    </row>
    <row r="35" spans="3:150" x14ac:dyDescent="0.25">
      <c r="L35" s="361"/>
      <c r="M35" s="466" t="s">
        <v>857</v>
      </c>
      <c r="N35" s="364"/>
    </row>
    <row r="36" spans="3:150" x14ac:dyDescent="0.25">
      <c r="L36" s="467">
        <f>RANK(N36,$N$37:$N$41)</f>
        <v>1</v>
      </c>
      <c r="M36" s="465" t="s">
        <v>953</v>
      </c>
      <c r="N36" s="468">
        <f t="shared" ref="N36" si="32">COUNTIF($AU$45:$DX$45,M36)</f>
        <v>0</v>
      </c>
      <c r="AT36" s="107" t="s">
        <v>844</v>
      </c>
      <c r="AU36" s="89">
        <f>AU1</f>
        <v>0</v>
      </c>
      <c r="BC36" s="107" t="s">
        <v>844</v>
      </c>
      <c r="BD36" s="89">
        <f>BD1</f>
        <v>0</v>
      </c>
      <c r="BL36" s="107" t="s">
        <v>844</v>
      </c>
      <c r="BM36" s="89">
        <f>BM1</f>
        <v>0</v>
      </c>
      <c r="BU36" s="107" t="s">
        <v>844</v>
      </c>
      <c r="BV36" s="89">
        <f>BV1</f>
        <v>0</v>
      </c>
      <c r="CD36" s="107" t="s">
        <v>844</v>
      </c>
      <c r="CE36" s="89">
        <f>CE1</f>
        <v>0</v>
      </c>
      <c r="CM36" s="107" t="s">
        <v>844</v>
      </c>
      <c r="CN36" s="89">
        <f>CN1</f>
        <v>0</v>
      </c>
      <c r="CV36" s="107" t="s">
        <v>844</v>
      </c>
      <c r="CW36" s="89">
        <f>CW1</f>
        <v>0</v>
      </c>
      <c r="DE36" s="107" t="s">
        <v>844</v>
      </c>
      <c r="DF36" s="89">
        <f>DF1</f>
        <v>0</v>
      </c>
      <c r="DN36" s="107" t="s">
        <v>844</v>
      </c>
      <c r="DO36" s="89">
        <f>DO1</f>
        <v>0</v>
      </c>
      <c r="DW36" s="107" t="s">
        <v>844</v>
      </c>
      <c r="DX36" s="89">
        <f>DX1</f>
        <v>0</v>
      </c>
    </row>
    <row r="37" spans="3:150" x14ac:dyDescent="0.25">
      <c r="L37" s="467">
        <f t="shared" ref="L37:L45" si="33">RANK(N37,$N$37:$N$45)</f>
        <v>1</v>
      </c>
      <c r="M37" s="465" t="s">
        <v>1</v>
      </c>
      <c r="N37" s="468">
        <f>COUNTIF('Variable Costs (Back)'!$C$15:$C$24,M37)</f>
        <v>0</v>
      </c>
      <c r="AT37" s="107" t="s">
        <v>845</v>
      </c>
      <c r="AU37" s="89" t="e">
        <f>VLOOKUP(AU$1,'Existing Customers'!$A:$AA,2,FALSE)</f>
        <v>#N/A</v>
      </c>
      <c r="BC37" s="107" t="s">
        <v>845</v>
      </c>
      <c r="BD37" s="89" t="e">
        <f>VLOOKUP(BD$1,'Existing Customers'!$A:$AA,2,FALSE)</f>
        <v>#N/A</v>
      </c>
      <c r="BL37" s="107" t="s">
        <v>845</v>
      </c>
      <c r="BM37" s="89" t="e">
        <f>VLOOKUP(BM$1,'Existing Customers'!$A:$AA,2,FALSE)</f>
        <v>#N/A</v>
      </c>
      <c r="BU37" s="107" t="s">
        <v>845</v>
      </c>
      <c r="BV37" s="89" t="e">
        <f>VLOOKUP(BV$1,'Existing Customers'!$A:$AA,2,FALSE)</f>
        <v>#N/A</v>
      </c>
      <c r="CD37" s="107" t="s">
        <v>845</v>
      </c>
      <c r="CE37" s="89" t="e">
        <f>VLOOKUP(CE$1,'Existing Customers'!$A:$AA,2,FALSE)</f>
        <v>#N/A</v>
      </c>
      <c r="CM37" s="107" t="s">
        <v>845</v>
      </c>
      <c r="CN37" s="89" t="e">
        <f>VLOOKUP(CN$1,'Existing Customers'!$A:$AA,2,FALSE)</f>
        <v>#N/A</v>
      </c>
      <c r="CV37" s="107" t="s">
        <v>845</v>
      </c>
      <c r="CW37" s="89" t="e">
        <f>VLOOKUP(CW$1,'Existing Customers'!$A:$AA,2,FALSE)</f>
        <v>#N/A</v>
      </c>
      <c r="DE37" s="107" t="s">
        <v>845</v>
      </c>
      <c r="DF37" s="89" t="e">
        <f>VLOOKUP(DF$1,'Existing Customers'!$A:$AA,2,FALSE)</f>
        <v>#N/A</v>
      </c>
      <c r="DN37" s="107" t="s">
        <v>845</v>
      </c>
      <c r="DO37" s="89" t="e">
        <f>VLOOKUP(DO$1,'Existing Customers'!$A:$AA,2,FALSE)</f>
        <v>#N/A</v>
      </c>
      <c r="DW37" s="107" t="s">
        <v>845</v>
      </c>
      <c r="DX37" s="89" t="e">
        <f>VLOOKUP(DX$1,'Existing Customers'!$A:$AA,2,FALSE)</f>
        <v>#N/A</v>
      </c>
    </row>
    <row r="38" spans="3:150" x14ac:dyDescent="0.25">
      <c r="L38" s="467">
        <f t="shared" si="33"/>
        <v>1</v>
      </c>
      <c r="M38" s="465" t="s">
        <v>114</v>
      </c>
      <c r="N38" s="468">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7">
        <f t="shared" si="33"/>
        <v>1</v>
      </c>
      <c r="M39" s="465" t="s">
        <v>116</v>
      </c>
      <c r="N39" s="468">
        <f>COUNTIF('Variable Costs (Back)'!$C$15:$C$24,M39)</f>
        <v>0</v>
      </c>
      <c r="AT39" s="107" t="s">
        <v>846</v>
      </c>
      <c r="AU39" s="89" t="e">
        <f>VLOOKUP(AU$1,'Existing Customers'!$A:$AA,25,FALSE)</f>
        <v>#N/A</v>
      </c>
      <c r="BC39" s="107" t="s">
        <v>846</v>
      </c>
      <c r="BD39" s="89" t="e">
        <f>VLOOKUP(BD$1,'Existing Customers'!$A:$AA,25,FALSE)</f>
        <v>#N/A</v>
      </c>
      <c r="BL39" s="107" t="s">
        <v>846</v>
      </c>
      <c r="BM39" s="89" t="e">
        <f>VLOOKUP(BM$1,'Existing Customers'!$A:$AA,25,FALSE)</f>
        <v>#N/A</v>
      </c>
      <c r="BU39" s="107" t="s">
        <v>846</v>
      </c>
      <c r="BV39" s="89" t="e">
        <f>VLOOKUP(BV$1,'Existing Customers'!$A:$AA,25,FALSE)</f>
        <v>#N/A</v>
      </c>
      <c r="CD39" s="107" t="s">
        <v>846</v>
      </c>
      <c r="CE39" s="89" t="e">
        <f>VLOOKUP(CE$1,'Existing Customers'!$A:$AA,25,FALSE)</f>
        <v>#N/A</v>
      </c>
      <c r="CM39" s="107" t="s">
        <v>846</v>
      </c>
      <c r="CN39" s="89" t="e">
        <f>VLOOKUP(CN$1,'Existing Customers'!$A:$AA,25,FALSE)</f>
        <v>#N/A</v>
      </c>
      <c r="CV39" s="107" t="s">
        <v>846</v>
      </c>
      <c r="CW39" s="89" t="e">
        <f>VLOOKUP(CW$1,'Existing Customers'!$A:$AA,25,FALSE)</f>
        <v>#N/A</v>
      </c>
      <c r="DE39" s="107" t="s">
        <v>846</v>
      </c>
      <c r="DF39" s="89" t="e">
        <f>VLOOKUP(DF$1,'Existing Customers'!$A:$AA,25,FALSE)</f>
        <v>#N/A</v>
      </c>
      <c r="DN39" s="107" t="s">
        <v>846</v>
      </c>
      <c r="DO39" s="89" t="e">
        <f>VLOOKUP(DO$1,'Existing Customers'!$A:$AA,25,FALSE)</f>
        <v>#N/A</v>
      </c>
      <c r="DW39" s="107" t="s">
        <v>846</v>
      </c>
      <c r="DX39" s="89" t="e">
        <f>VLOOKUP(DX$1,'Existing Customers'!$A:$AA,25,FALSE)</f>
        <v>#N/A</v>
      </c>
    </row>
    <row r="40" spans="3:150" x14ac:dyDescent="0.25">
      <c r="L40" s="467">
        <f t="shared" si="33"/>
        <v>1</v>
      </c>
      <c r="M40" s="465" t="s">
        <v>112</v>
      </c>
      <c r="N40" s="468">
        <f>COUNTIF('Variable Costs (Back)'!$C$15:$C$24,M40)</f>
        <v>0</v>
      </c>
      <c r="AT40" s="107" t="s">
        <v>847</v>
      </c>
      <c r="AU40" s="89" t="e">
        <f>VLOOKUP(AU$1,'Existing Customers'!$A:$AA,26,FALSE)</f>
        <v>#N/A</v>
      </c>
      <c r="BC40" s="107" t="s">
        <v>847</v>
      </c>
      <c r="BD40" s="89" t="e">
        <f>VLOOKUP(BD$1,'Existing Customers'!$A:$AA,26,FALSE)</f>
        <v>#N/A</v>
      </c>
      <c r="BL40" s="107" t="s">
        <v>847</v>
      </c>
      <c r="BM40" s="89" t="e">
        <f>VLOOKUP(BM$1,'Existing Customers'!$A:$AA,26,FALSE)</f>
        <v>#N/A</v>
      </c>
      <c r="BU40" s="107" t="s">
        <v>847</v>
      </c>
      <c r="BV40" s="89" t="e">
        <f>VLOOKUP(BV$1,'Existing Customers'!$A:$AA,26,FALSE)</f>
        <v>#N/A</v>
      </c>
      <c r="CD40" s="107" t="s">
        <v>847</v>
      </c>
      <c r="CE40" s="89" t="e">
        <f>VLOOKUP(CE$1,'Existing Customers'!$A:$AA,26,FALSE)</f>
        <v>#N/A</v>
      </c>
      <c r="CM40" s="107" t="s">
        <v>847</v>
      </c>
      <c r="CN40" s="89" t="e">
        <f>VLOOKUP(CN$1,'Existing Customers'!$A:$AA,26,FALSE)</f>
        <v>#N/A</v>
      </c>
      <c r="CV40" s="107" t="s">
        <v>847</v>
      </c>
      <c r="CW40" s="89" t="e">
        <f>VLOOKUP(CW$1,'Existing Customers'!$A:$AA,26,FALSE)</f>
        <v>#N/A</v>
      </c>
      <c r="DE40" s="107" t="s">
        <v>847</v>
      </c>
      <c r="DF40" s="89" t="e">
        <f>VLOOKUP(DF$1,'Existing Customers'!$A:$AA,26,FALSE)</f>
        <v>#N/A</v>
      </c>
      <c r="DN40" s="107" t="s">
        <v>847</v>
      </c>
      <c r="DO40" s="89" t="e">
        <f>VLOOKUP(DO$1,'Existing Customers'!$A:$AA,26,FALSE)</f>
        <v>#N/A</v>
      </c>
      <c r="DW40" s="107" t="s">
        <v>847</v>
      </c>
      <c r="DX40" s="89" t="e">
        <f>VLOOKUP(DX$1,'Existing Customers'!$A:$AA,26,FALSE)</f>
        <v>#N/A</v>
      </c>
    </row>
    <row r="41" spans="3:150" x14ac:dyDescent="0.25">
      <c r="L41" s="467">
        <f t="shared" si="33"/>
        <v>1</v>
      </c>
      <c r="M41" s="465" t="s">
        <v>113</v>
      </c>
      <c r="N41" s="468">
        <f>COUNTIF('Variable Costs (Back)'!$C$15:$C$24,M41)</f>
        <v>0</v>
      </c>
      <c r="AT41" s="107" t="s">
        <v>848</v>
      </c>
      <c r="AU41" s="89" t="e">
        <f>VLOOKUP(AU$1,'Existing Customers'!$A:$AA,23,FALSE)</f>
        <v>#N/A</v>
      </c>
      <c r="BC41" s="107" t="s">
        <v>848</v>
      </c>
      <c r="BD41" s="89" t="e">
        <f>VLOOKUP(BD$1,'Existing Customers'!$A:$AA,23,FALSE)</f>
        <v>#N/A</v>
      </c>
      <c r="BL41" s="107" t="s">
        <v>848</v>
      </c>
      <c r="BM41" s="89" t="e">
        <f>VLOOKUP(BM$1,'Existing Customers'!$A:$AA,23,FALSE)</f>
        <v>#N/A</v>
      </c>
      <c r="BU41" s="107" t="s">
        <v>848</v>
      </c>
      <c r="BV41" s="89" t="e">
        <f>VLOOKUP(BV$1,'Existing Customers'!$A:$AA,23,FALSE)</f>
        <v>#N/A</v>
      </c>
      <c r="CD41" s="107" t="s">
        <v>848</v>
      </c>
      <c r="CE41" s="89" t="e">
        <f>VLOOKUP(CE$1,'Existing Customers'!$A:$AA,23,FALSE)</f>
        <v>#N/A</v>
      </c>
      <c r="CM41" s="107" t="s">
        <v>848</v>
      </c>
      <c r="CN41" s="89" t="e">
        <f>VLOOKUP(CN$1,'Existing Customers'!$A:$AA,23,FALSE)</f>
        <v>#N/A</v>
      </c>
      <c r="CV41" s="107" t="s">
        <v>848</v>
      </c>
      <c r="CW41" s="89" t="e">
        <f>VLOOKUP(CW$1,'Existing Customers'!$A:$AA,23,FALSE)</f>
        <v>#N/A</v>
      </c>
      <c r="DE41" s="107" t="s">
        <v>848</v>
      </c>
      <c r="DF41" s="89" t="e">
        <f>VLOOKUP(DF$1,'Existing Customers'!$A:$AA,23,FALSE)</f>
        <v>#N/A</v>
      </c>
      <c r="DN41" s="107" t="s">
        <v>848</v>
      </c>
      <c r="DO41" s="89" t="e">
        <f>VLOOKUP(DO$1,'Existing Customers'!$A:$AA,23,FALSE)</f>
        <v>#N/A</v>
      </c>
      <c r="DW41" s="107" t="s">
        <v>848</v>
      </c>
      <c r="DX41" s="89" t="e">
        <f>VLOOKUP(DX$1,'Existing Customers'!$A:$AA,23,FALSE)</f>
        <v>#N/A</v>
      </c>
    </row>
    <row r="42" spans="3:150" x14ac:dyDescent="0.25">
      <c r="L42" s="467">
        <f t="shared" si="33"/>
        <v>1</v>
      </c>
      <c r="M42" s="465" t="s">
        <v>111</v>
      </c>
      <c r="N42" s="468">
        <f>COUNTIF('Variable Costs (Back)'!$C$15:$C$24,M42)</f>
        <v>0</v>
      </c>
      <c r="AT42" s="107" t="s">
        <v>849</v>
      </c>
      <c r="AU42" s="89" t="e">
        <f>VLOOKUP(AU$1,'Existing Customers'!$A:$AA,24,FALSE)</f>
        <v>#N/A</v>
      </c>
      <c r="BC42" s="107" t="s">
        <v>849</v>
      </c>
      <c r="BD42" s="89" t="e">
        <f>VLOOKUP(BD$1,'Existing Customers'!$A:$AA,24,FALSE)</f>
        <v>#N/A</v>
      </c>
      <c r="BL42" s="107" t="s">
        <v>849</v>
      </c>
      <c r="BM42" s="89" t="e">
        <f>VLOOKUP(BM$1,'Existing Customers'!$A:$AA,24,FALSE)</f>
        <v>#N/A</v>
      </c>
      <c r="BU42" s="107" t="s">
        <v>849</v>
      </c>
      <c r="BV42" s="89" t="e">
        <f>VLOOKUP(BV$1,'Existing Customers'!$A:$AA,24,FALSE)</f>
        <v>#N/A</v>
      </c>
      <c r="CD42" s="107" t="s">
        <v>849</v>
      </c>
      <c r="CE42" s="89" t="e">
        <f>VLOOKUP(CE$1,'Existing Customers'!$A:$AA,24,FALSE)</f>
        <v>#N/A</v>
      </c>
      <c r="CM42" s="107" t="s">
        <v>849</v>
      </c>
      <c r="CN42" s="89" t="e">
        <f>VLOOKUP(CN$1,'Existing Customers'!$A:$AA,24,FALSE)</f>
        <v>#N/A</v>
      </c>
      <c r="CV42" s="107" t="s">
        <v>849</v>
      </c>
      <c r="CW42" s="89" t="e">
        <f>VLOOKUP(CW$1,'Existing Customers'!$A:$AA,24,FALSE)</f>
        <v>#N/A</v>
      </c>
      <c r="DE42" s="107" t="s">
        <v>849</v>
      </c>
      <c r="DF42" s="89" t="e">
        <f>VLOOKUP(DF$1,'Existing Customers'!$A:$AA,24,FALSE)</f>
        <v>#N/A</v>
      </c>
      <c r="DN42" s="107" t="s">
        <v>849</v>
      </c>
      <c r="DO42" s="89" t="e">
        <f>VLOOKUP(DO$1,'Existing Customers'!$A:$AA,24,FALSE)</f>
        <v>#N/A</v>
      </c>
      <c r="DW42" s="107" t="s">
        <v>849</v>
      </c>
      <c r="DX42" s="89" t="e">
        <f>VLOOKUP(DX$1,'Existing Customers'!$A:$AA,24,FALSE)</f>
        <v>#N/A</v>
      </c>
    </row>
    <row r="43" spans="3:150" x14ac:dyDescent="0.25">
      <c r="L43" s="467">
        <f t="shared" si="33"/>
        <v>1</v>
      </c>
      <c r="M43" s="465" t="s">
        <v>118</v>
      </c>
      <c r="N43" s="468">
        <f>COUNTIF('Variable Costs (Back)'!$C$15:$C$24,M43)</f>
        <v>0</v>
      </c>
      <c r="AT43" s="107" t="s">
        <v>850</v>
      </c>
      <c r="AU43" s="89" t="e">
        <f>VLOOKUP(AU$1,'Existing Customers'!$A:$AA,9,FALSE)</f>
        <v>#N/A</v>
      </c>
      <c r="BC43" s="107" t="s">
        <v>850</v>
      </c>
      <c r="BD43" s="89" t="e">
        <f>VLOOKUP(BD$1,'Existing Customers'!$A:$AA,9,FALSE)</f>
        <v>#N/A</v>
      </c>
      <c r="BL43" s="107" t="s">
        <v>850</v>
      </c>
      <c r="BM43" s="89" t="e">
        <f>VLOOKUP(BM$1,'Existing Customers'!$A:$AA,9,FALSE)</f>
        <v>#N/A</v>
      </c>
      <c r="BU43" s="107" t="s">
        <v>850</v>
      </c>
      <c r="BV43" s="89" t="e">
        <f>VLOOKUP(BV$1,'Existing Customers'!$A:$AA,9,FALSE)</f>
        <v>#N/A</v>
      </c>
      <c r="CD43" s="107" t="s">
        <v>850</v>
      </c>
      <c r="CE43" s="89" t="e">
        <f>VLOOKUP(CE$1,'Existing Customers'!$A:$AA,9,FALSE)</f>
        <v>#N/A</v>
      </c>
      <c r="CM43" s="107" t="s">
        <v>850</v>
      </c>
      <c r="CN43" s="89" t="e">
        <f>VLOOKUP(CN$1,'Existing Customers'!$A:$AA,9,FALSE)</f>
        <v>#N/A</v>
      </c>
      <c r="CV43" s="107" t="s">
        <v>850</v>
      </c>
      <c r="CW43" s="89" t="e">
        <f>VLOOKUP(CW$1,'Existing Customers'!$A:$AA,9,FALSE)</f>
        <v>#N/A</v>
      </c>
      <c r="DE43" s="107" t="s">
        <v>850</v>
      </c>
      <c r="DF43" s="89" t="e">
        <f>VLOOKUP(DF$1,'Existing Customers'!$A:$AA,9,FALSE)</f>
        <v>#N/A</v>
      </c>
      <c r="DN43" s="107" t="s">
        <v>850</v>
      </c>
      <c r="DO43" s="89" t="e">
        <f>VLOOKUP(DO$1,'Existing Customers'!$A:$AA,9,FALSE)</f>
        <v>#N/A</v>
      </c>
      <c r="DW43" s="107" t="s">
        <v>850</v>
      </c>
      <c r="DX43" s="89" t="e">
        <f>VLOOKUP(DX$1,'Existing Customers'!$A:$AA,9,FALSE)</f>
        <v>#N/A</v>
      </c>
    </row>
    <row r="44" spans="3:150" x14ac:dyDescent="0.25">
      <c r="L44" s="467">
        <f t="shared" si="33"/>
        <v>1</v>
      </c>
      <c r="M44" s="465" t="s">
        <v>115</v>
      </c>
      <c r="N44" s="468">
        <f>COUNTIF('Variable Costs (Back)'!$C$15:$C$24,M44)</f>
        <v>0</v>
      </c>
      <c r="AT44" s="107" t="s">
        <v>851</v>
      </c>
      <c r="AU44" s="89" t="e">
        <f>VLOOKUP(AU$1,'Existing Customers'!$A:$AA,27,FALSE)</f>
        <v>#N/A</v>
      </c>
      <c r="BC44" s="107" t="s">
        <v>851</v>
      </c>
      <c r="BD44" s="89" t="e">
        <f>VLOOKUP(BD$1,'Existing Customers'!$A:$AA,27,FALSE)</f>
        <v>#N/A</v>
      </c>
      <c r="BL44" s="107" t="s">
        <v>851</v>
      </c>
      <c r="BM44" s="89" t="e">
        <f>VLOOKUP(BM$1,'Existing Customers'!$A:$AA,27,FALSE)</f>
        <v>#N/A</v>
      </c>
      <c r="BU44" s="107" t="s">
        <v>851</v>
      </c>
      <c r="BV44" s="89" t="e">
        <f>VLOOKUP(BV$1,'Existing Customers'!$A:$AA,27,FALSE)</f>
        <v>#N/A</v>
      </c>
      <c r="CD44" s="107" t="s">
        <v>851</v>
      </c>
      <c r="CE44" s="89" t="e">
        <f>VLOOKUP(CE$1,'Existing Customers'!$A:$AA,27,FALSE)</f>
        <v>#N/A</v>
      </c>
      <c r="CM44" s="107" t="s">
        <v>851</v>
      </c>
      <c r="CN44" s="89" t="e">
        <f>VLOOKUP(CN$1,'Existing Customers'!$A:$AA,27,FALSE)</f>
        <v>#N/A</v>
      </c>
      <c r="CV44" s="107" t="s">
        <v>851</v>
      </c>
      <c r="CW44" s="89" t="e">
        <f>VLOOKUP(CW$1,'Existing Customers'!$A:$AA,27,FALSE)</f>
        <v>#N/A</v>
      </c>
      <c r="DE44" s="107" t="s">
        <v>851</v>
      </c>
      <c r="DF44" s="89" t="e">
        <f>VLOOKUP(DF$1,'Existing Customers'!$A:$AA,27,FALSE)</f>
        <v>#N/A</v>
      </c>
      <c r="DN44" s="107" t="s">
        <v>851</v>
      </c>
      <c r="DO44" s="89" t="e">
        <f>VLOOKUP(DO$1,'Existing Customers'!$A:$AA,27,FALSE)</f>
        <v>#N/A</v>
      </c>
      <c r="DW44" s="107" t="s">
        <v>851</v>
      </c>
      <c r="DX44" s="89" t="e">
        <f>VLOOKUP(DX$1,'Existing Customers'!$A:$AA,27,FALSE)</f>
        <v>#N/A</v>
      </c>
    </row>
    <row r="45" spans="3:150" x14ac:dyDescent="0.25">
      <c r="L45" s="467">
        <f t="shared" si="33"/>
        <v>1</v>
      </c>
      <c r="M45" s="465" t="s">
        <v>117</v>
      </c>
      <c r="N45" s="468">
        <f>COUNTIF('Variable Costs (Back)'!$C$15:$C$24,M45)</f>
        <v>0</v>
      </c>
      <c r="AT45" s="107" t="s">
        <v>1004</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856</v>
      </c>
      <c r="AU46" s="89">
        <f>IFERROR(VLOOKUP(AU$1,'Existing Customers'!$A:$AA,6,FALSE),AU6)</f>
        <v>0</v>
      </c>
      <c r="BC46" s="107" t="s">
        <v>856</v>
      </c>
      <c r="BD46" s="89">
        <f>IFERROR(VLOOKUP(BD$1,'Existing Customers'!$A:$AA,6,FALSE),BD5)</f>
        <v>0</v>
      </c>
      <c r="BL46" s="107" t="s">
        <v>856</v>
      </c>
      <c r="BM46" s="89">
        <f>IFERROR(VLOOKUP(BM$1,'Existing Customers'!$A:$AA,6,FALSE),BM6)</f>
        <v>0</v>
      </c>
      <c r="BU46" s="107" t="s">
        <v>856</v>
      </c>
      <c r="BV46" s="89">
        <f>IFERROR(VLOOKUP(BV$1,'Existing Customers'!$A:$AA,6,FALSE),BV6)</f>
        <v>0</v>
      </c>
      <c r="CD46" s="107" t="s">
        <v>856</v>
      </c>
      <c r="CE46" s="89">
        <f>IFERROR(VLOOKUP(CE$1,'Existing Customers'!$A:$AA,6,FALSE),CE6)</f>
        <v>0</v>
      </c>
      <c r="CM46" s="107" t="s">
        <v>856</v>
      </c>
      <c r="CN46" s="89">
        <f>IFERROR(VLOOKUP(CN$1,'Existing Customers'!$A:$AA,6,FALSE),CN6)</f>
        <v>0</v>
      </c>
      <c r="CV46" s="107" t="s">
        <v>856</v>
      </c>
      <c r="CW46" s="89">
        <f>IFERROR(VLOOKUP(CW$1,'Existing Customers'!$A:$AA,6,FALSE),CW6)</f>
        <v>0</v>
      </c>
      <c r="DE46" s="107" t="s">
        <v>856</v>
      </c>
      <c r="DF46" s="89">
        <f>IFERROR(VLOOKUP(DF$1,'Existing Customers'!$A:$AA,6,FALSE),DF6)</f>
        <v>0</v>
      </c>
      <c r="DN46" s="107" t="s">
        <v>856</v>
      </c>
      <c r="DO46" s="89">
        <f>IFERROR(VLOOKUP(DO$1,'Existing Customers'!$A:$AA,6,FALSE),DO6)</f>
        <v>0</v>
      </c>
      <c r="DW46" s="107" t="s">
        <v>856</v>
      </c>
      <c r="DX46" s="89">
        <f>IFERROR(VLOOKUP(DX$1,'Existing Customers'!$A:$AA,6,FALSE),DX6)</f>
        <v>0</v>
      </c>
    </row>
    <row r="47" spans="3:150" ht="15.75" thickBot="1" x14ac:dyDescent="0.3">
      <c r="L47" s="469">
        <v>1</v>
      </c>
      <c r="M47" s="470" t="str">
        <f>IF(COUNTIF($N$36:$N$45,"&gt;0")&gt;1,"MULTIPLE PYRAMID SEGMENTS",VLOOKUP(L47,$L$36:$M$45,2,FALSE))</f>
        <v>Enter Customer(s)</v>
      </c>
      <c r="N47" s="471"/>
      <c r="AT47" s="107" t="s">
        <v>1003</v>
      </c>
      <c r="AU47" s="89" t="str">
        <f>IFERROR(ROUND(VLOOKUP(AU36,'Existing Customer Variable Exp'!$B:$F,5,FALSE)/52,1),"Enter Drops &gt;")</f>
        <v>Enter Drops &gt;</v>
      </c>
      <c r="BC47" s="107" t="s">
        <v>861</v>
      </c>
      <c r="BD47" s="89" t="str">
        <f>IFERROR(ROUND(VLOOKUP(BD36,'Existing Customer Variable Exp'!$B:$F,5,FALSE)/52,1),"Enter Drops &gt;")</f>
        <v>Enter Drops &gt;</v>
      </c>
      <c r="BL47" s="107" t="s">
        <v>861</v>
      </c>
      <c r="BM47" s="89" t="str">
        <f>IFERROR(ROUND(VLOOKUP(BM36,'Existing Customer Variable Exp'!$B:$F,5,FALSE)/52,1),"Enter Drops &gt;")</f>
        <v>Enter Drops &gt;</v>
      </c>
      <c r="BU47" s="107" t="s">
        <v>861</v>
      </c>
      <c r="BV47" s="89" t="str">
        <f>IFERROR(ROUND(VLOOKUP(BV36,'Existing Customer Variable Exp'!$B:$F,5,FALSE)/52,1),"Enter Drops &gt;")</f>
        <v>Enter Drops &gt;</v>
      </c>
      <c r="CD47" s="107" t="s">
        <v>861</v>
      </c>
      <c r="CE47" s="89" t="str">
        <f>IFERROR(ROUND(VLOOKUP(CE36,'Existing Customer Variable Exp'!$B:$F,5,FALSE)/52,1),"Enter Drops &gt;")</f>
        <v>Enter Drops &gt;</v>
      </c>
      <c r="CM47" s="107" t="s">
        <v>861</v>
      </c>
      <c r="CN47" s="89" t="str">
        <f>IFERROR(ROUND(VLOOKUP(CN36,'Existing Customer Variable Exp'!$B:$F,5,FALSE)/52,1),"Enter Drops &gt;")</f>
        <v>Enter Drops &gt;</v>
      </c>
      <c r="CV47" s="107" t="s">
        <v>861</v>
      </c>
      <c r="CW47" s="89" t="str">
        <f>IFERROR(ROUND(VLOOKUP(CW36,'Existing Customer Variable Exp'!$B:$F,5,FALSE)/52,1),"Enter Drops &gt;")</f>
        <v>Enter Drops &gt;</v>
      </c>
      <c r="DE47" s="107" t="s">
        <v>861</v>
      </c>
      <c r="DF47" s="89" t="str">
        <f>IFERROR(ROUND(VLOOKUP(DF36,'Existing Customer Variable Exp'!$B:$F,5,FALSE)/52,1),"Enter Drops &gt;")</f>
        <v>Enter Drops &gt;</v>
      </c>
      <c r="DN47" s="107" t="s">
        <v>861</v>
      </c>
      <c r="DO47" s="89" t="str">
        <f>IFERROR(ROUND(VLOOKUP(DO36,'Existing Customer Variable Exp'!$B:$F,5,FALSE)/52,1),"Enter Drops &gt;")</f>
        <v>Enter Drops &gt;</v>
      </c>
      <c r="DW47" s="107" t="s">
        <v>861</v>
      </c>
      <c r="DX47" s="89" t="str">
        <f>IFERROR(ROUND(VLOOKUP(DX36,'Existing Customer Variable Exp'!$B:$F,5,FALSE)/52,1),"Enter Drops &gt;")</f>
        <v>Enter Drops &gt;</v>
      </c>
    </row>
    <row r="48" spans="3:150" ht="15.75" thickBot="1" x14ac:dyDescent="0.3">
      <c r="Q48" s="107"/>
      <c r="R48" s="132"/>
      <c r="AT48" s="107" t="s">
        <v>471</v>
      </c>
      <c r="AU48" s="133">
        <f>IF(AU2="Enter Spend&gt;&gt;&gt;","Enter EB % &gt;",AU$7)</f>
        <v>0</v>
      </c>
      <c r="BC48" s="107" t="s">
        <v>471</v>
      </c>
      <c r="BD48" s="133">
        <f>IF(BD2="Enter Spend&gt;&gt;&gt;","Enter EB % &gt;",BD$7)</f>
        <v>0</v>
      </c>
      <c r="BL48" s="107" t="s">
        <v>471</v>
      </c>
      <c r="BM48" s="133">
        <f>IF(BM2="Enter Spend&gt;&gt;&gt;","Enter EB % &gt;",BM$7)</f>
        <v>0</v>
      </c>
      <c r="BU48" s="107" t="s">
        <v>471</v>
      </c>
      <c r="BV48" s="133">
        <f>IF(BV2="Enter Spend&gt;&gt;&gt;","Enter EB % &gt;",BV$7)</f>
        <v>0</v>
      </c>
      <c r="CD48" s="107" t="s">
        <v>471</v>
      </c>
      <c r="CE48" s="133">
        <f>IF(CE2="Enter Spend&gt;&gt;&gt;","Enter EB % &gt;",CE$7)</f>
        <v>0</v>
      </c>
      <c r="CM48" s="107" t="s">
        <v>471</v>
      </c>
      <c r="CN48" s="133">
        <f>IF(CN2="Enter Spend&gt;&gt;&gt;","Enter EB % &gt;",CN$7)</f>
        <v>0</v>
      </c>
      <c r="CV48" s="107" t="s">
        <v>471</v>
      </c>
      <c r="CW48" s="133">
        <f>IF(CW2="Enter Spend&gt;&gt;&gt;","Enter EB % &gt;",CW$7)</f>
        <v>0</v>
      </c>
      <c r="DE48" s="107" t="s">
        <v>471</v>
      </c>
      <c r="DF48" s="133">
        <f>IF(DF2="Enter Spend&gt;&gt;&gt;","Enter EB % &gt;",DF$7)</f>
        <v>0</v>
      </c>
      <c r="DN48" s="107" t="s">
        <v>471</v>
      </c>
      <c r="DO48" s="133">
        <f>IF(DO2="Enter Spend&gt;&gt;&gt;","Enter EB % &gt;",DO$7)</f>
        <v>0</v>
      </c>
      <c r="DW48" s="107" t="s">
        <v>471</v>
      </c>
      <c r="DX48" s="133">
        <f>IF(DX2="Enter Spend&gt;&gt;&gt;","Enter EB % &gt;",DX$7)</f>
        <v>0</v>
      </c>
    </row>
    <row r="49" spans="12:128" x14ac:dyDescent="0.25">
      <c r="L49" s="472"/>
      <c r="M49" s="466" t="s">
        <v>858</v>
      </c>
      <c r="N49" s="473"/>
      <c r="Q49" s="107"/>
      <c r="R49" s="132"/>
      <c r="AT49" s="107" t="s">
        <v>1002</v>
      </c>
      <c r="AU49" s="111">
        <f>SUMIFS('Existing Customers'!$N:$N,'Existing Customers'!$A:$A,'Multi-Customer'!AU$36)</f>
        <v>0</v>
      </c>
      <c r="BC49" s="107" t="s">
        <v>996</v>
      </c>
      <c r="BD49" s="111">
        <f>SUMIFS('Existing Customers'!$N:$N,'Existing Customers'!$A:$A,'Multi-Customer'!BD$36)</f>
        <v>0</v>
      </c>
      <c r="BL49" s="107" t="s">
        <v>996</v>
      </c>
      <c r="BM49" s="111">
        <f>SUMIFS('Existing Customers'!$N:$N,'Existing Customers'!$A:$A,'Multi-Customer'!BM$36)</f>
        <v>0</v>
      </c>
      <c r="BU49" s="107" t="s">
        <v>996</v>
      </c>
      <c r="BV49" s="111">
        <f>SUMIFS('Existing Customers'!$N:$N,'Existing Customers'!$A:$A,'Multi-Customer'!BV$36)</f>
        <v>0</v>
      </c>
      <c r="CD49" s="107" t="s">
        <v>996</v>
      </c>
      <c r="CE49" s="111">
        <f>SUMIFS('Existing Customers'!$N:$N,'Existing Customers'!$A:$A,'Multi-Customer'!CE$36)</f>
        <v>0</v>
      </c>
      <c r="CM49" s="107" t="s">
        <v>996</v>
      </c>
      <c r="CN49" s="111">
        <f>SUMIFS('Existing Customers'!$N:$N,'Existing Customers'!$A:$A,'Multi-Customer'!CN$36)</f>
        <v>0</v>
      </c>
      <c r="CV49" s="107" t="s">
        <v>996</v>
      </c>
      <c r="CW49" s="111">
        <f>SUMIFS('Existing Customers'!$N:$N,'Existing Customers'!$A:$A,'Multi-Customer'!CW$36)</f>
        <v>0</v>
      </c>
      <c r="DE49" s="107" t="s">
        <v>996</v>
      </c>
      <c r="DF49" s="111">
        <f>SUMIFS('Existing Customers'!$N:$N,'Existing Customers'!$A:$A,'Multi-Customer'!DF$36)</f>
        <v>0</v>
      </c>
      <c r="DN49" s="107" t="s">
        <v>996</v>
      </c>
      <c r="DO49" s="111">
        <f>SUMIFS('Existing Customers'!$N:$N,'Existing Customers'!$A:$A,'Multi-Customer'!DO$36)</f>
        <v>0</v>
      </c>
      <c r="DW49" s="107" t="s">
        <v>996</v>
      </c>
      <c r="DX49" s="111">
        <f>SUMIFS('Existing Customers'!$N:$N,'Existing Customers'!$A:$A,'Multi-Customer'!DX$36)</f>
        <v>0</v>
      </c>
    </row>
    <row r="50" spans="12:128" x14ac:dyDescent="0.25">
      <c r="L50" s="467">
        <f t="shared" ref="L50:L78" si="34">RANK(N50,$N$50:$N$78)</f>
        <v>1</v>
      </c>
      <c r="M50" s="465" t="s">
        <v>953</v>
      </c>
      <c r="N50" s="468">
        <f t="shared" ref="N50:N78" si="35">COUNTIF($AT$46:$DX$46,M50)</f>
        <v>0</v>
      </c>
      <c r="Q50" s="107"/>
      <c r="R50" s="133"/>
      <c r="AT50" s="107" t="s">
        <v>1001</v>
      </c>
      <c r="AU50" s="111">
        <f>IFERROR(VLOOKUP(AU$36,'Existing Customer Variable Exp'!$B:$F,5,FALSE),0)</f>
        <v>0</v>
      </c>
      <c r="BC50" s="107" t="s">
        <v>1001</v>
      </c>
      <c r="BD50" s="111">
        <f>IFERROR(VLOOKUP(BD$36,'Existing Customer Variable Exp'!$B:$F,5,FALSE),0)</f>
        <v>0</v>
      </c>
      <c r="BL50" s="107" t="s">
        <v>1001</v>
      </c>
      <c r="BM50" s="111">
        <f>IFERROR(VLOOKUP(BM$36,'Existing Customer Variable Exp'!$B:$F,5,FALSE),0)</f>
        <v>0</v>
      </c>
      <c r="BU50" s="107" t="s">
        <v>1001</v>
      </c>
      <c r="BV50" s="111">
        <f>IFERROR(VLOOKUP(BV$36,'Existing Customer Variable Exp'!$B:$F,5,FALSE),0)</f>
        <v>0</v>
      </c>
      <c r="CD50" s="107" t="s">
        <v>1001</v>
      </c>
      <c r="CE50" s="111">
        <f>IFERROR(VLOOKUP(CE$36,'Existing Customer Variable Exp'!$B:$F,5,FALSE),0)</f>
        <v>0</v>
      </c>
      <c r="CM50" s="107" t="s">
        <v>1001</v>
      </c>
      <c r="CN50" s="111">
        <f>IFERROR(VLOOKUP(CN$36,'Existing Customer Variable Exp'!$B:$F,5,FALSE),0)</f>
        <v>0</v>
      </c>
      <c r="CV50" s="107" t="s">
        <v>1001</v>
      </c>
      <c r="CW50" s="111">
        <f>IFERROR(VLOOKUP(CW$36,'Existing Customer Variable Exp'!$B:$F,5,FALSE),0)</f>
        <v>0</v>
      </c>
      <c r="DE50" s="107" t="s">
        <v>1001</v>
      </c>
      <c r="DF50" s="111">
        <f>IFERROR(VLOOKUP(DF$36,'Existing Customer Variable Exp'!$B:$F,5,FALSE),0)</f>
        <v>0</v>
      </c>
      <c r="DN50" s="107" t="s">
        <v>1001</v>
      </c>
      <c r="DO50" s="111">
        <f>IFERROR(VLOOKUP(DO$36,'Existing Customer Variable Exp'!$B:$F,5,FALSE),0)</f>
        <v>0</v>
      </c>
      <c r="DW50" s="107" t="s">
        <v>1001</v>
      </c>
      <c r="DX50" s="111">
        <f>IFERROR(VLOOKUP(DX$36,'Existing Customer Variable Exp'!$B:$F,5,FALSE),0)</f>
        <v>0</v>
      </c>
    </row>
    <row r="51" spans="12:128" x14ac:dyDescent="0.25">
      <c r="L51" s="467">
        <f t="shared" si="34"/>
        <v>1</v>
      </c>
      <c r="M51" s="465" t="s">
        <v>14</v>
      </c>
      <c r="N51" s="468">
        <f t="shared" si="35"/>
        <v>0</v>
      </c>
    </row>
    <row r="52" spans="12:128" x14ac:dyDescent="0.25">
      <c r="L52" s="467">
        <f t="shared" si="34"/>
        <v>1</v>
      </c>
      <c r="M52" s="465" t="s">
        <v>62</v>
      </c>
      <c r="N52" s="468">
        <f t="shared" si="35"/>
        <v>0</v>
      </c>
    </row>
    <row r="53" spans="12:128" x14ac:dyDescent="0.25">
      <c r="L53" s="467">
        <f t="shared" si="34"/>
        <v>1</v>
      </c>
      <c r="M53" s="465" t="s">
        <v>74</v>
      </c>
      <c r="N53" s="468">
        <f t="shared" si="35"/>
        <v>0</v>
      </c>
    </row>
    <row r="54" spans="12:128" x14ac:dyDescent="0.25">
      <c r="L54" s="467">
        <f t="shared" si="34"/>
        <v>1</v>
      </c>
      <c r="M54" s="465" t="s">
        <v>34</v>
      </c>
      <c r="N54" s="468">
        <f t="shared" si="35"/>
        <v>0</v>
      </c>
    </row>
    <row r="55" spans="12:128" x14ac:dyDescent="0.25">
      <c r="L55" s="467">
        <f t="shared" si="34"/>
        <v>1</v>
      </c>
      <c r="M55" s="465" t="s">
        <v>0</v>
      </c>
      <c r="N55" s="468">
        <f t="shared" si="35"/>
        <v>0</v>
      </c>
    </row>
    <row r="56" spans="12:128" x14ac:dyDescent="0.25">
      <c r="L56" s="467">
        <f t="shared" si="34"/>
        <v>1</v>
      </c>
      <c r="M56" s="465" t="s">
        <v>69</v>
      </c>
      <c r="N56" s="468">
        <f t="shared" si="35"/>
        <v>0</v>
      </c>
    </row>
    <row r="57" spans="12:128" x14ac:dyDescent="0.25">
      <c r="L57" s="467">
        <f t="shared" si="34"/>
        <v>1</v>
      </c>
      <c r="M57" s="465" t="s">
        <v>4</v>
      </c>
      <c r="N57" s="468">
        <f t="shared" si="35"/>
        <v>0</v>
      </c>
    </row>
    <row r="58" spans="12:128" x14ac:dyDescent="0.25">
      <c r="L58" s="467">
        <f t="shared" si="34"/>
        <v>1</v>
      </c>
      <c r="M58" s="465" t="s">
        <v>35</v>
      </c>
      <c r="N58" s="468">
        <f t="shared" si="35"/>
        <v>0</v>
      </c>
    </row>
    <row r="59" spans="12:128" x14ac:dyDescent="0.25">
      <c r="L59" s="467">
        <f t="shared" si="34"/>
        <v>1</v>
      </c>
      <c r="M59" s="465" t="s">
        <v>6</v>
      </c>
      <c r="N59" s="468">
        <f t="shared" si="35"/>
        <v>0</v>
      </c>
    </row>
    <row r="60" spans="12:128" x14ac:dyDescent="0.25">
      <c r="L60" s="467">
        <f t="shared" si="34"/>
        <v>1</v>
      </c>
      <c r="M60" s="465" t="s">
        <v>260</v>
      </c>
      <c r="N60" s="468">
        <f t="shared" si="35"/>
        <v>0</v>
      </c>
    </row>
    <row r="61" spans="12:128" x14ac:dyDescent="0.25">
      <c r="L61" s="467">
        <f t="shared" si="34"/>
        <v>1</v>
      </c>
      <c r="M61" s="465" t="s">
        <v>15</v>
      </c>
      <c r="N61" s="468">
        <f t="shared" si="35"/>
        <v>0</v>
      </c>
    </row>
    <row r="62" spans="12:128" x14ac:dyDescent="0.25">
      <c r="L62" s="467">
        <f t="shared" si="34"/>
        <v>1</v>
      </c>
      <c r="M62" s="465" t="s">
        <v>45</v>
      </c>
      <c r="N62" s="468">
        <f t="shared" si="35"/>
        <v>0</v>
      </c>
    </row>
    <row r="63" spans="12:128" x14ac:dyDescent="0.25">
      <c r="L63" s="467">
        <f t="shared" si="34"/>
        <v>1</v>
      </c>
      <c r="M63" s="465" t="s">
        <v>261</v>
      </c>
      <c r="N63" s="468">
        <f t="shared" si="35"/>
        <v>0</v>
      </c>
    </row>
    <row r="64" spans="12:128" x14ac:dyDescent="0.25">
      <c r="L64" s="467">
        <f t="shared" si="34"/>
        <v>1</v>
      </c>
      <c r="M64" s="465" t="s">
        <v>48</v>
      </c>
      <c r="N64" s="468">
        <f t="shared" si="35"/>
        <v>0</v>
      </c>
    </row>
    <row r="65" spans="12:14" x14ac:dyDescent="0.25">
      <c r="L65" s="467">
        <f t="shared" si="34"/>
        <v>1</v>
      </c>
      <c r="M65" s="465" t="s">
        <v>262</v>
      </c>
      <c r="N65" s="468">
        <f t="shared" si="35"/>
        <v>0</v>
      </c>
    </row>
    <row r="66" spans="12:14" x14ac:dyDescent="0.25">
      <c r="L66" s="467">
        <f t="shared" si="34"/>
        <v>1</v>
      </c>
      <c r="M66" s="465" t="s">
        <v>263</v>
      </c>
      <c r="N66" s="468">
        <f t="shared" si="35"/>
        <v>0</v>
      </c>
    </row>
    <row r="67" spans="12:14" x14ac:dyDescent="0.25">
      <c r="L67" s="467">
        <f t="shared" si="34"/>
        <v>1</v>
      </c>
      <c r="M67" s="465" t="s">
        <v>264</v>
      </c>
      <c r="N67" s="468">
        <f t="shared" si="35"/>
        <v>0</v>
      </c>
    </row>
    <row r="68" spans="12:14" x14ac:dyDescent="0.25">
      <c r="L68" s="467">
        <f t="shared" si="34"/>
        <v>1</v>
      </c>
      <c r="M68" s="465" t="s">
        <v>60</v>
      </c>
      <c r="N68" s="468">
        <f t="shared" si="35"/>
        <v>0</v>
      </c>
    </row>
    <row r="69" spans="12:14" x14ac:dyDescent="0.25">
      <c r="L69" s="467">
        <f t="shared" si="34"/>
        <v>1</v>
      </c>
      <c r="M69" s="465" t="s">
        <v>20</v>
      </c>
      <c r="N69" s="468">
        <f t="shared" si="35"/>
        <v>0</v>
      </c>
    </row>
    <row r="70" spans="12:14" x14ac:dyDescent="0.25">
      <c r="L70" s="467">
        <f t="shared" si="34"/>
        <v>1</v>
      </c>
      <c r="M70" s="465" t="s">
        <v>265</v>
      </c>
      <c r="N70" s="468">
        <f t="shared" si="35"/>
        <v>0</v>
      </c>
    </row>
    <row r="71" spans="12:14" x14ac:dyDescent="0.25">
      <c r="L71" s="467">
        <f t="shared" si="34"/>
        <v>1</v>
      </c>
      <c r="M71" s="465" t="s">
        <v>266</v>
      </c>
      <c r="N71" s="468">
        <f t="shared" si="35"/>
        <v>0</v>
      </c>
    </row>
    <row r="72" spans="12:14" x14ac:dyDescent="0.25">
      <c r="L72" s="467">
        <f t="shared" si="34"/>
        <v>1</v>
      </c>
      <c r="M72" s="465" t="s">
        <v>36</v>
      </c>
      <c r="N72" s="468">
        <f t="shared" si="35"/>
        <v>0</v>
      </c>
    </row>
    <row r="73" spans="12:14" x14ac:dyDescent="0.25">
      <c r="L73" s="467">
        <f t="shared" si="34"/>
        <v>1</v>
      </c>
      <c r="M73" s="465" t="s">
        <v>71</v>
      </c>
      <c r="N73" s="468">
        <f t="shared" si="35"/>
        <v>0</v>
      </c>
    </row>
    <row r="74" spans="12:14" x14ac:dyDescent="0.25">
      <c r="L74" s="467">
        <f t="shared" si="34"/>
        <v>1</v>
      </c>
      <c r="M74" s="465" t="s">
        <v>11</v>
      </c>
      <c r="N74" s="468">
        <f t="shared" si="35"/>
        <v>0</v>
      </c>
    </row>
    <row r="75" spans="12:14" x14ac:dyDescent="0.25">
      <c r="L75" s="467">
        <f t="shared" si="34"/>
        <v>1</v>
      </c>
      <c r="M75" s="465" t="s">
        <v>267</v>
      </c>
      <c r="N75" s="468">
        <f t="shared" si="35"/>
        <v>0</v>
      </c>
    </row>
    <row r="76" spans="12:14" x14ac:dyDescent="0.25">
      <c r="L76" s="467">
        <f t="shared" si="34"/>
        <v>1</v>
      </c>
      <c r="M76" s="465" t="s">
        <v>268</v>
      </c>
      <c r="N76" s="468">
        <f t="shared" si="35"/>
        <v>0</v>
      </c>
    </row>
    <row r="77" spans="12:14" x14ac:dyDescent="0.25">
      <c r="L77" s="467">
        <f t="shared" si="34"/>
        <v>1</v>
      </c>
      <c r="M77" s="465" t="s">
        <v>9</v>
      </c>
      <c r="N77" s="468">
        <f t="shared" si="35"/>
        <v>0</v>
      </c>
    </row>
    <row r="78" spans="12:14" x14ac:dyDescent="0.25">
      <c r="L78" s="467">
        <f t="shared" si="34"/>
        <v>1</v>
      </c>
      <c r="M78" s="465" t="s">
        <v>38</v>
      </c>
      <c r="N78" s="468">
        <f t="shared" si="35"/>
        <v>0</v>
      </c>
    </row>
    <row r="79" spans="12:14" x14ac:dyDescent="0.25">
      <c r="L79" s="143"/>
      <c r="N79" s="144"/>
    </row>
    <row r="80" spans="12:14" x14ac:dyDescent="0.25">
      <c r="L80" s="143">
        <v>1</v>
      </c>
      <c r="M80" s="474" t="str">
        <f>IF($M$81&gt;1,"MULTIPLE TYPES",VLOOKUP(L80,$L$50:$M$78,2,FALSE))</f>
        <v>MULTIPLE TYPES</v>
      </c>
      <c r="N80" s="144"/>
    </row>
    <row r="81" spans="12:14" x14ac:dyDescent="0.25">
      <c r="L81" s="475" t="s">
        <v>863</v>
      </c>
      <c r="M81" s="476">
        <f>COUNTIF($L$50:$L$78,1)</f>
        <v>29</v>
      </c>
      <c r="N81" s="144"/>
    </row>
    <row r="82" spans="12:14" x14ac:dyDescent="0.25">
      <c r="L82" s="475" t="s">
        <v>862</v>
      </c>
      <c r="M82" s="476" t="str">
        <f>VLOOKUP(L80,$L$50:$M$78,2,FALSE)</f>
        <v>Enter Customer(s)</v>
      </c>
      <c r="N82" s="144"/>
    </row>
    <row r="83" spans="12:14" ht="15.75" thickBot="1" x14ac:dyDescent="0.3">
      <c r="L83" s="477" t="s">
        <v>975</v>
      </c>
      <c r="M83" s="478" t="str">
        <f>IF(COUNTIF($N$51:$N$78,"&gt;0")&gt;1,"MULTIPLE TYPES",$M$80)</f>
        <v>MULTIPLE TYPES</v>
      </c>
      <c r="N83" s="292"/>
    </row>
    <row r="85" spans="12:14" x14ac:dyDescent="0.25">
      <c r="M85" s="107"/>
    </row>
  </sheetData>
  <mergeCells count="4">
    <mergeCell ref="N1:O1"/>
    <mergeCell ref="N5:O5"/>
    <mergeCell ref="N6:O6"/>
    <mergeCell ref="AO9:AO1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954</v>
      </c>
      <c r="AU2" s="41" t="e">
        <f>$AL$33</f>
        <v>#DIV/0!</v>
      </c>
      <c r="AY2" s="536" t="s">
        <v>993</v>
      </c>
      <c r="AZ2" s="291"/>
      <c r="BA2" s="291"/>
      <c r="BB2" s="291"/>
      <c r="BC2" s="291"/>
      <c r="BD2" s="291"/>
      <c r="BE2" s="291"/>
      <c r="BF2" s="291"/>
      <c r="BK2" s="536" t="s">
        <v>993</v>
      </c>
    </row>
    <row r="3" spans="1:70" x14ac:dyDescent="0.25">
      <c r="AT3" s="88" t="s">
        <v>471</v>
      </c>
      <c r="AU3" s="24">
        <f>'Customer Inputs'!$AB$16</f>
        <v>0</v>
      </c>
      <c r="AY3" s="538">
        <v>334319</v>
      </c>
      <c r="AZ3" s="537" t="s">
        <v>214</v>
      </c>
      <c r="BA3" s="55" t="s">
        <v>214</v>
      </c>
      <c r="BB3" s="530">
        <v>0.04</v>
      </c>
      <c r="BC3" s="530">
        <v>0.08</v>
      </c>
      <c r="BD3" s="530">
        <v>9.2999999999999999E-2</v>
      </c>
      <c r="BE3" s="530">
        <v>0.11</v>
      </c>
      <c r="BF3" s="531">
        <v>0.153</v>
      </c>
      <c r="BK3" s="538">
        <v>301441</v>
      </c>
      <c r="BL3" s="537" t="s">
        <v>214</v>
      </c>
      <c r="BM3" s="55" t="s">
        <v>214</v>
      </c>
      <c r="BN3" s="530">
        <v>4.5999999999999999E-2</v>
      </c>
      <c r="BO3" s="530">
        <v>8.8999999999999996E-2</v>
      </c>
      <c r="BP3" s="530">
        <v>0.107</v>
      </c>
      <c r="BQ3" s="530">
        <v>0.127</v>
      </c>
      <c r="BR3" s="530">
        <v>0.17100000000000001</v>
      </c>
    </row>
    <row r="4" spans="1:70" ht="15.75" thickBot="1" x14ac:dyDescent="0.3">
      <c r="AY4" s="539">
        <v>723899</v>
      </c>
      <c r="AZ4" s="317" t="s">
        <v>215</v>
      </c>
      <c r="BA4" s="1" t="s">
        <v>215</v>
      </c>
      <c r="BB4" s="532">
        <v>4.2000000000000003E-2</v>
      </c>
      <c r="BC4" s="532">
        <v>7.4999999999999997E-2</v>
      </c>
      <c r="BD4" s="532">
        <v>8.6999999999999994E-2</v>
      </c>
      <c r="BE4" s="532">
        <v>0.1</v>
      </c>
      <c r="BF4" s="533">
        <v>0.13600000000000001</v>
      </c>
      <c r="BK4" s="539">
        <v>684993</v>
      </c>
      <c r="BL4" s="317" t="s">
        <v>215</v>
      </c>
      <c r="BM4" s="1" t="s">
        <v>215</v>
      </c>
      <c r="BN4" s="532">
        <v>4.8000000000000001E-2</v>
      </c>
      <c r="BO4" s="532">
        <v>8.3000000000000004E-2</v>
      </c>
      <c r="BP4" s="532">
        <v>0.1</v>
      </c>
      <c r="BQ4" s="532">
        <v>0.115</v>
      </c>
      <c r="BR4" s="532">
        <v>0.152</v>
      </c>
    </row>
    <row r="5" spans="1:70" ht="15.75" thickBot="1" x14ac:dyDescent="0.3">
      <c r="AW5" s="1325" t="s">
        <v>991</v>
      </c>
      <c r="AX5" s="1326"/>
      <c r="AY5" s="539">
        <v>1757315</v>
      </c>
      <c r="AZ5" s="317" t="s">
        <v>216</v>
      </c>
      <c r="BA5" s="1" t="s">
        <v>216</v>
      </c>
      <c r="BB5" s="532">
        <v>3.2000000000000001E-2</v>
      </c>
      <c r="BC5" s="532">
        <v>6.9000000000000006E-2</v>
      </c>
      <c r="BD5" s="532">
        <v>8.2000000000000003E-2</v>
      </c>
      <c r="BE5" s="532">
        <v>9.6000000000000002E-2</v>
      </c>
      <c r="BF5" s="533">
        <v>0.13300000000000001</v>
      </c>
      <c r="BI5" s="1325" t="s">
        <v>992</v>
      </c>
      <c r="BJ5" s="1326"/>
      <c r="BK5" s="539">
        <v>1554219</v>
      </c>
      <c r="BL5" s="317" t="s">
        <v>216</v>
      </c>
      <c r="BM5" s="1" t="s">
        <v>216</v>
      </c>
      <c r="BN5" s="532">
        <v>3.6999999999999998E-2</v>
      </c>
      <c r="BO5" s="532">
        <v>7.8E-2</v>
      </c>
      <c r="BP5" s="532">
        <v>9.4E-2</v>
      </c>
      <c r="BQ5" s="532">
        <v>0.11</v>
      </c>
      <c r="BR5" s="532">
        <v>0.151</v>
      </c>
    </row>
    <row r="6" spans="1:70" ht="15.75" thickBot="1" x14ac:dyDescent="0.3">
      <c r="AW6" s="51" t="s">
        <v>502</v>
      </c>
      <c r="AX6" s="52" t="e">
        <f>IF($AU$2&lt;$AY$3,$AZ$3,IF($AU$2&lt;$AY$4,$AZ$4,IF($AU$2&lt;$AY$5,$AZ$5,IF($AU$2&lt;$AY$6,$AZ$6,$AZ$7))))</f>
        <v>#DIV/0!</v>
      </c>
      <c r="AY6" s="539">
        <v>3873056</v>
      </c>
      <c r="AZ6" s="317" t="s">
        <v>270</v>
      </c>
      <c r="BA6" s="1" t="s">
        <v>270</v>
      </c>
      <c r="BB6" s="532">
        <v>2.5000000000000001E-2</v>
      </c>
      <c r="BC6" s="532">
        <v>6.3E-2</v>
      </c>
      <c r="BD6" s="532">
        <v>7.5999999999999998E-2</v>
      </c>
      <c r="BE6" s="532">
        <v>0.09</v>
      </c>
      <c r="BF6" s="533">
        <v>0.13</v>
      </c>
      <c r="BI6" s="51" t="s">
        <v>502</v>
      </c>
      <c r="BJ6" s="52" t="e">
        <f>IF($AU$2&lt;$AY$3,$AZ$3,IF($AU$2&lt;$AY$4,$AZ$4,IF($AU$2&lt;$AY$5,$AZ$5,IF($AU$2&lt;$AY$6,$AZ$6,$AZ$7))))</f>
        <v>#DIV/0!</v>
      </c>
      <c r="BK6" s="539">
        <v>3316405</v>
      </c>
      <c r="BL6" s="317" t="s">
        <v>270</v>
      </c>
      <c r="BM6" s="1" t="s">
        <v>270</v>
      </c>
      <c r="BN6" s="532">
        <v>3.1E-2</v>
      </c>
      <c r="BO6" s="532">
        <v>7.0000000000000007E-2</v>
      </c>
      <c r="BP6" s="532">
        <v>8.6999999999999994E-2</v>
      </c>
      <c r="BQ6" s="532">
        <v>0.104</v>
      </c>
      <c r="BR6" s="532">
        <v>0.14899999999999999</v>
      </c>
    </row>
    <row r="7" spans="1:70" ht="15.75" thickBot="1" x14ac:dyDescent="0.3">
      <c r="AW7" s="51" t="s">
        <v>503</v>
      </c>
      <c r="AX7" s="53" t="e">
        <f>VLOOKUP($AX$6,$BA$3:$BF$7,3,FALSE)</f>
        <v>#DIV/0!</v>
      </c>
      <c r="AY7" s="540"/>
      <c r="AZ7" s="456" t="s">
        <v>271</v>
      </c>
      <c r="BA7" s="36" t="s">
        <v>271</v>
      </c>
      <c r="BB7" s="534">
        <v>2.5999999999999999E-2</v>
      </c>
      <c r="BC7" s="534">
        <v>5.6000000000000001E-2</v>
      </c>
      <c r="BD7" s="534">
        <v>6.8000000000000005E-2</v>
      </c>
      <c r="BE7" s="534">
        <v>8.3000000000000004E-2</v>
      </c>
      <c r="BF7" s="535">
        <v>0.114</v>
      </c>
      <c r="BI7" s="51" t="s">
        <v>503</v>
      </c>
      <c r="BJ7" s="53" t="e">
        <f>VLOOKUP($BJ$6,$BM$3:$BO$7,3,FALSE)</f>
        <v>#DIV/0!</v>
      </c>
      <c r="BK7" s="541"/>
      <c r="BL7" s="456" t="s">
        <v>271</v>
      </c>
      <c r="BM7" s="36" t="s">
        <v>271</v>
      </c>
      <c r="BN7" s="534">
        <v>0.03</v>
      </c>
      <c r="BO7" s="534">
        <v>6.4000000000000001E-2</v>
      </c>
      <c r="BP7" s="534">
        <v>7.8E-2</v>
      </c>
      <c r="BQ7" s="534">
        <v>9.5000000000000001E-2</v>
      </c>
      <c r="BR7" s="534">
        <v>0.13100000000000001</v>
      </c>
    </row>
    <row r="8" spans="1:70" x14ac:dyDescent="0.25">
      <c r="AU8" s="42"/>
    </row>
    <row r="10" spans="1:70" ht="15.75" x14ac:dyDescent="0.25">
      <c r="C10" s="508" t="s">
        <v>981</v>
      </c>
      <c r="D10" s="2" t="s">
        <v>470</v>
      </c>
      <c r="E10" s="2" t="s">
        <v>470</v>
      </c>
      <c r="F10" s="2" t="s">
        <v>470</v>
      </c>
      <c r="G10" s="2" t="s">
        <v>470</v>
      </c>
      <c r="H10" s="2" t="s">
        <v>470</v>
      </c>
      <c r="I10" s="2" t="s">
        <v>470</v>
      </c>
      <c r="J10" s="2"/>
      <c r="K10" s="2"/>
      <c r="L10" s="2"/>
      <c r="N10" s="508" t="s">
        <v>982</v>
      </c>
      <c r="O10" s="2" t="s">
        <v>470</v>
      </c>
      <c r="P10" s="2" t="s">
        <v>470</v>
      </c>
      <c r="Q10" s="2" t="s">
        <v>470</v>
      </c>
      <c r="R10" s="2" t="s">
        <v>470</v>
      </c>
      <c r="S10" s="2" t="s">
        <v>470</v>
      </c>
      <c r="T10" s="2" t="s">
        <v>470</v>
      </c>
      <c r="U10" s="2"/>
      <c r="V10" s="2"/>
      <c r="W10" s="407" t="str">
        <f>IF('Multi-Customer'!$M$80="MULTIPLE MENU TYPES","INDEPENDENT RESTAURATEURS (PYR)",'Multi-Customer'!$M$80)</f>
        <v>MULTIPLE TYPES</v>
      </c>
      <c r="X10" s="2"/>
      <c r="Y10" s="2"/>
      <c r="Z10" s="2"/>
      <c r="AA10" s="2"/>
      <c r="AB10" s="2"/>
      <c r="AC10" s="2"/>
      <c r="AD10" s="2" t="s">
        <v>1029</v>
      </c>
      <c r="AE10" s="2"/>
      <c r="AF10" s="2"/>
      <c r="AG10" s="2"/>
      <c r="AH10" s="2"/>
      <c r="AI10" s="2"/>
      <c r="AJ10" s="2"/>
      <c r="AK10" s="508" t="s">
        <v>984</v>
      </c>
      <c r="AL10" s="43" t="s">
        <v>470</v>
      </c>
      <c r="AM10" s="43" t="s">
        <v>470</v>
      </c>
      <c r="AN10" s="43" t="s">
        <v>470</v>
      </c>
      <c r="AO10" s="43" t="s">
        <v>470</v>
      </c>
      <c r="AP10" s="43" t="s">
        <v>470</v>
      </c>
      <c r="AQ10" s="1328" t="s">
        <v>989</v>
      </c>
      <c r="AR10" s="1328"/>
      <c r="AW10" s="1327" t="s">
        <v>987</v>
      </c>
      <c r="AX10" s="1327"/>
      <c r="AY10" s="1327"/>
      <c r="AZ10" s="1327"/>
      <c r="BA10" s="1327"/>
      <c r="BD10" s="1327" t="s">
        <v>988</v>
      </c>
      <c r="BE10" s="1327"/>
      <c r="BF10" s="1327"/>
      <c r="BG10" s="1327"/>
      <c r="BH10" s="1327"/>
    </row>
    <row r="11" spans="1:70" x14ac:dyDescent="0.25">
      <c r="A11" s="2" t="s">
        <v>932</v>
      </c>
      <c r="C11" t="s">
        <v>257</v>
      </c>
      <c r="D11" s="2" t="s">
        <v>403</v>
      </c>
      <c r="E11" s="2" t="s">
        <v>83</v>
      </c>
      <c r="F11" s="2" t="s">
        <v>405</v>
      </c>
      <c r="G11" s="2" t="s">
        <v>509</v>
      </c>
      <c r="H11" s="2" t="s">
        <v>512</v>
      </c>
      <c r="I11" s="2" t="s">
        <v>510</v>
      </c>
      <c r="J11" s="2"/>
      <c r="K11" s="2"/>
      <c r="L11" s="2" t="s">
        <v>932</v>
      </c>
      <c r="N11" s="2" t="s">
        <v>257</v>
      </c>
      <c r="O11" s="2" t="s">
        <v>403</v>
      </c>
      <c r="P11" s="2" t="s">
        <v>83</v>
      </c>
      <c r="Q11" s="2" t="s">
        <v>405</v>
      </c>
      <c r="R11" s="2" t="s">
        <v>509</v>
      </c>
      <c r="S11" s="2" t="s">
        <v>512</v>
      </c>
      <c r="T11" s="2" t="s">
        <v>510</v>
      </c>
      <c r="U11" s="2"/>
      <c r="V11" s="2" t="s">
        <v>1023</v>
      </c>
      <c r="W11" s="2" t="s">
        <v>1024</v>
      </c>
      <c r="X11" s="2" t="s">
        <v>1025</v>
      </c>
      <c r="Y11" s="2"/>
      <c r="Z11" s="2"/>
      <c r="AA11" s="2" t="s">
        <v>983</v>
      </c>
      <c r="AB11" s="2" t="s">
        <v>1028</v>
      </c>
      <c r="AC11" s="2" t="s">
        <v>1026</v>
      </c>
      <c r="AD11" s="2" t="s">
        <v>1027</v>
      </c>
      <c r="AE11" s="2"/>
      <c r="AF11" s="2" t="s">
        <v>983</v>
      </c>
      <c r="AG11" s="2"/>
      <c r="AH11" s="2"/>
      <c r="AI11" s="2"/>
      <c r="AJ11" s="2"/>
      <c r="AK11" s="43" t="s">
        <v>257</v>
      </c>
      <c r="AL11" s="43" t="s">
        <v>403</v>
      </c>
      <c r="AM11" s="43" t="s">
        <v>83</v>
      </c>
      <c r="AN11" s="43" t="s">
        <v>509</v>
      </c>
      <c r="AO11" s="43" t="s">
        <v>512</v>
      </c>
      <c r="AP11" s="43" t="s">
        <v>510</v>
      </c>
      <c r="AQ11" s="521" t="s">
        <v>378</v>
      </c>
      <c r="AR11" s="521" t="s">
        <v>1022</v>
      </c>
      <c r="AV11" s="2"/>
      <c r="AW11" s="56" t="s">
        <v>257</v>
      </c>
      <c r="AX11" s="15" t="s">
        <v>214</v>
      </c>
      <c r="AY11" s="15" t="s">
        <v>215</v>
      </c>
      <c r="AZ11" s="15" t="s">
        <v>216</v>
      </c>
      <c r="BA11" s="15" t="s">
        <v>270</v>
      </c>
      <c r="BC11" s="2"/>
      <c r="BD11" s="56" t="s">
        <v>257</v>
      </c>
      <c r="BE11" s="15" t="s">
        <v>214</v>
      </c>
      <c r="BF11" s="15" t="s">
        <v>215</v>
      </c>
      <c r="BG11" s="15" t="s">
        <v>216</v>
      </c>
      <c r="BH11" s="15" t="s">
        <v>270</v>
      </c>
      <c r="BO11" s="58"/>
    </row>
    <row r="12" spans="1:70" x14ac:dyDescent="0.25">
      <c r="A12" t="e">
        <f>D12/$D$33</f>
        <v>#DIV/0!</v>
      </c>
      <c r="B12">
        <v>3</v>
      </c>
      <c r="C12" t="s">
        <v>99</v>
      </c>
      <c r="D12" s="25">
        <f>'Multi-Customer'!C12</f>
        <v>0</v>
      </c>
      <c r="E12">
        <f>'Multi-Customer'!D12</f>
        <v>0</v>
      </c>
      <c r="F12">
        <f>'Multi-Customer'!E12</f>
        <v>0</v>
      </c>
      <c r="G12" s="354">
        <f>'Multi-Customer'!F12</f>
        <v>0</v>
      </c>
      <c r="H12" s="19">
        <f>IFERROR(D12/E12,0)</f>
        <v>0</v>
      </c>
      <c r="I12" s="19">
        <f>IFERROR(D12/G12,0)</f>
        <v>0</v>
      </c>
      <c r="J12" s="354"/>
      <c r="K12" s="354" t="str">
        <f>'PIM Model'!E10</f>
        <v>INCLUDE</v>
      </c>
      <c r="L12" s="354" t="e">
        <f t="shared" ref="L12:L32" si="0">IF($K12="Exclude",0,$A12)</f>
        <v>#DIV/0!</v>
      </c>
      <c r="M12">
        <v>3</v>
      </c>
      <c r="N12" s="354" t="s">
        <v>99</v>
      </c>
      <c r="O12" s="354" t="e">
        <f t="shared" ref="O12:O32" si="1">IF($K12="Exclude",0,D12/$L$33)</f>
        <v>#DIV/0!</v>
      </c>
      <c r="P12" s="354" t="e">
        <f t="shared" ref="P12:P32" si="2">IF($K12="Exclude",0,E12/$L$33)</f>
        <v>#DIV/0!</v>
      </c>
      <c r="Q12" s="354" t="e">
        <f t="shared" ref="Q12:Q32" si="3">IF($K12="Exclude",0,F12/$L$33)</f>
        <v>#DIV/0!</v>
      </c>
      <c r="R12" s="354" t="e">
        <f t="shared" ref="R12:R32" si="4">IF($K12="Exclude",0,G12/$L$33)</f>
        <v>#DIV/0!</v>
      </c>
      <c r="S12" s="354" t="e">
        <f>IFERROR($O12/P12,VLOOKUP($W$10,'Basket Composition'!$A$34:$W$62,'PIM Ranges'!$M12,FALSE))</f>
        <v>#N/A</v>
      </c>
      <c r="T12" s="19" t="e">
        <f>IFERROR(O12/R12,VLOOKUP($W$10,'Basket Composition'!$A$65:$W$92,'PIM Ranges'!$M12,FALSE))</f>
        <v>#N/A</v>
      </c>
      <c r="U12" s="19"/>
      <c r="V12" s="2">
        <f>'PIM Model'!$C$10</f>
        <v>0</v>
      </c>
      <c r="W12" s="656">
        <f>VLOOKUP($W$10,'Basket Composition'!$A$3:$W$30,'PIM Ranges'!$AJ12)</f>
        <v>2.2200000000000001E-2</v>
      </c>
      <c r="X12" s="19" t="e">
        <f>$W12*$Z$33</f>
        <v>#DIV/0!</v>
      </c>
      <c r="Y12" s="354" t="e">
        <f>IF(V12="AVG",X12,O12)</f>
        <v>#DIV/0!</v>
      </c>
      <c r="Z12" s="354" t="e">
        <f>IF($V12="AVG",0,$Y12)</f>
        <v>#DIV/0!</v>
      </c>
      <c r="AA12" s="354">
        <f>IF($V12="AVG",IF($O12=0,$Y12,$Y12-$O12),0)</f>
        <v>0</v>
      </c>
      <c r="AB12" s="657" t="e">
        <f>$Y12/$Y$33</f>
        <v>#DIV/0!</v>
      </c>
      <c r="AC12" s="657" t="e">
        <f>IF($AA12=0,AB12,0)</f>
        <v>#DIV/0!</v>
      </c>
      <c r="AD12" s="354" t="e">
        <f t="shared" ref="AD12:AD32" si="5">IF($AA12=0,$O12-($AA$33*($AC12/$AC$33)),$Y12)</f>
        <v>#DIV/0!</v>
      </c>
      <c r="AE12" s="354"/>
      <c r="AF12" s="354" t="e">
        <f>AD12*(1+$AG12)-AD12</f>
        <v>#DIV/0!</v>
      </c>
      <c r="AG12" s="42">
        <f>'PIM Model'!B10</f>
        <v>0</v>
      </c>
      <c r="AH12" s="509" t="e">
        <f t="shared" ref="AH12:AH32" si="6">L12*(1+AG12)</f>
        <v>#DIV/0!</v>
      </c>
      <c r="AI12" s="509" t="e">
        <f>IF(AF12=0,AH12,0)</f>
        <v>#DIV/0!</v>
      </c>
      <c r="AJ12">
        <v>3</v>
      </c>
      <c r="AK12" s="510" t="s">
        <v>99</v>
      </c>
      <c r="AL12" s="510" t="e">
        <f t="shared" ref="AL12:AL32" si="7">IF($AG12=0,$AD12-($AF$33*($AI12/$AI$33)),$AD12+$AF12)</f>
        <v>#DIV/0!</v>
      </c>
      <c r="AM12" s="510">
        <f t="shared" ref="AM12:AM32" si="8">IFERROR($AL12/AO12,0)</f>
        <v>0</v>
      </c>
      <c r="AN12" s="510">
        <f t="shared" ref="AN12:AN32" si="9">IFERROR($AL12/AP12,0)</f>
        <v>0</v>
      </c>
      <c r="AO12" s="511" t="e">
        <f t="shared" ref="AO12:AO32" si="10">S12</f>
        <v>#N/A</v>
      </c>
      <c r="AP12" s="511" t="e">
        <f t="shared" ref="AP12:AP32" si="11">T12</f>
        <v>#N/A</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2"/>
      <c r="AW12" s="56" t="s">
        <v>99</v>
      </c>
      <c r="AX12" s="543">
        <v>6992</v>
      </c>
      <c r="AY12" s="543">
        <v>18976</v>
      </c>
      <c r="AZ12" s="543">
        <v>35942</v>
      </c>
      <c r="BA12" s="543">
        <v>79246</v>
      </c>
      <c r="BC12" s="2"/>
      <c r="BD12" s="56" t="s">
        <v>99</v>
      </c>
      <c r="BE12" s="543">
        <v>13830</v>
      </c>
      <c r="BF12" s="543">
        <v>40121</v>
      </c>
      <c r="BG12" s="543">
        <v>106847</v>
      </c>
      <c r="BH12" s="543">
        <v>246211</v>
      </c>
    </row>
    <row r="13" spans="1:70" x14ac:dyDescent="0.25">
      <c r="A13" t="e">
        <f t="shared" ref="A13:A32" si="13">D13/$D$33</f>
        <v>#DIV/0!</v>
      </c>
      <c r="B13">
        <v>4</v>
      </c>
      <c r="C13" t="s">
        <v>520</v>
      </c>
      <c r="D13" s="25">
        <f>'Multi-Customer'!C13</f>
        <v>0</v>
      </c>
      <c r="E13">
        <f>'Multi-Customer'!D13</f>
        <v>0</v>
      </c>
      <c r="F13">
        <f>'Multi-Customer'!E13</f>
        <v>0</v>
      </c>
      <c r="G13" s="354">
        <f>'Multi-Customer'!F13</f>
        <v>0</v>
      </c>
      <c r="H13" s="19">
        <f t="shared" ref="H13:H32" si="14">IFERROR(D13/E13,0)</f>
        <v>0</v>
      </c>
      <c r="I13" s="19">
        <f t="shared" ref="I13:I32" si="15">IFERROR(D13/G13,0)</f>
        <v>0</v>
      </c>
      <c r="J13" s="354"/>
      <c r="K13" s="354" t="str">
        <f>'PIM Model'!E11</f>
        <v>INCLUDE</v>
      </c>
      <c r="L13" s="354" t="e">
        <f t="shared" si="0"/>
        <v>#DIV/0!</v>
      </c>
      <c r="M13">
        <v>4</v>
      </c>
      <c r="N13" s="354" t="s">
        <v>520</v>
      </c>
      <c r="O13" s="354" t="e">
        <f t="shared" si="1"/>
        <v>#DIV/0!</v>
      </c>
      <c r="P13" s="354" t="e">
        <f t="shared" si="2"/>
        <v>#DIV/0!</v>
      </c>
      <c r="Q13" s="354" t="e">
        <f t="shared" si="3"/>
        <v>#DIV/0!</v>
      </c>
      <c r="R13" s="354" t="e">
        <f t="shared" si="4"/>
        <v>#DIV/0!</v>
      </c>
      <c r="S13" s="354" t="e">
        <f>IFERROR($O13/P13,VLOOKUP($W$10,'Basket Composition'!$A$34:$W$62,'PIM Ranges'!$M13,FALSE))</f>
        <v>#N/A</v>
      </c>
      <c r="T13" s="19" t="e">
        <f>IFERROR(O13/R13,VLOOKUP($W$10,'Basket Composition'!$A$65:$W$92,'PIM Ranges'!$M13,FALSE))</f>
        <v>#N/A</v>
      </c>
      <c r="U13" s="19"/>
      <c r="V13" s="2">
        <f>'PIM Model'!$C$11</f>
        <v>0</v>
      </c>
      <c r="W13" s="656">
        <f>VLOOKUP($W$10,'Basket Composition'!$A$3:$W$30,'PIM Ranges'!$AJ13)</f>
        <v>7.3499999999999996E-2</v>
      </c>
      <c r="X13" s="19" t="e">
        <f t="shared" ref="X13:X32" si="16">$W13*$Z$33</f>
        <v>#DIV/0!</v>
      </c>
      <c r="Y13" s="354" t="e">
        <f t="shared" ref="Y13:Y32" si="17">IF(V13="AVG",X13,O13)</f>
        <v>#DIV/0!</v>
      </c>
      <c r="Z13" s="354" t="e">
        <f t="shared" ref="Z13:Z32" si="18">IF($V13="AVG",0,$Y13)</f>
        <v>#DIV/0!</v>
      </c>
      <c r="AA13" s="354">
        <f t="shared" ref="AA13:AA32" si="19">IF($V13="AVG",IF($O13=0,$Y13,$Y13-$O13),0)</f>
        <v>0</v>
      </c>
      <c r="AB13" s="657" t="e">
        <f t="shared" ref="AB13:AB32" si="20">$Y13/$Y$33</f>
        <v>#DIV/0!</v>
      </c>
      <c r="AC13" s="657" t="e">
        <f t="shared" ref="AC13:AC32" si="21">IF($AA13=0,AB13,0)</f>
        <v>#DIV/0!</v>
      </c>
      <c r="AD13" s="354" t="e">
        <f t="shared" si="5"/>
        <v>#DIV/0!</v>
      </c>
      <c r="AE13" s="354"/>
      <c r="AF13" s="354" t="e">
        <f t="shared" ref="AF13:AF32" si="22">AD13*(1+$AG13)-AD13</f>
        <v>#DIV/0!</v>
      </c>
      <c r="AG13" s="42">
        <f>'PIM Model'!B11</f>
        <v>0</v>
      </c>
      <c r="AH13" s="509" t="e">
        <f t="shared" si="6"/>
        <v>#DIV/0!</v>
      </c>
      <c r="AI13" s="509" t="e">
        <f t="shared" ref="AI13:AI32" si="23">IF(AF13=0,AH13,0)</f>
        <v>#DIV/0!</v>
      </c>
      <c r="AJ13">
        <v>4</v>
      </c>
      <c r="AK13" s="510" t="s">
        <v>520</v>
      </c>
      <c r="AL13" s="510" t="e">
        <f t="shared" si="7"/>
        <v>#DIV/0!</v>
      </c>
      <c r="AM13" s="510">
        <f t="shared" si="8"/>
        <v>0</v>
      </c>
      <c r="AN13" s="510">
        <f t="shared" si="9"/>
        <v>0</v>
      </c>
      <c r="AO13" s="511" t="e">
        <f>S13</f>
        <v>#N/A</v>
      </c>
      <c r="AP13" s="511" t="e">
        <f t="shared" si="11"/>
        <v>#N/A</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2"/>
      <c r="AW13" s="60" t="s">
        <v>520</v>
      </c>
      <c r="AX13" s="543">
        <v>9726</v>
      </c>
      <c r="AY13" s="543">
        <v>36145</v>
      </c>
      <c r="AZ13" s="543">
        <v>112255</v>
      </c>
      <c r="BA13" s="543">
        <v>235495</v>
      </c>
      <c r="BD13" s="60" t="s">
        <v>520</v>
      </c>
      <c r="BE13" s="543">
        <v>10238</v>
      </c>
      <c r="BF13" s="543">
        <v>41074</v>
      </c>
      <c r="BG13" s="543">
        <v>127563</v>
      </c>
      <c r="BH13" s="543">
        <v>301917</v>
      </c>
    </row>
    <row r="14" spans="1:70" x14ac:dyDescent="0.25">
      <c r="A14" t="e">
        <f t="shared" si="13"/>
        <v>#DIV/0!</v>
      </c>
      <c r="B14">
        <v>5</v>
      </c>
      <c r="C14" t="s">
        <v>521</v>
      </c>
      <c r="D14" s="25">
        <f>'Multi-Customer'!C14</f>
        <v>0</v>
      </c>
      <c r="E14">
        <f>'Multi-Customer'!D14</f>
        <v>0</v>
      </c>
      <c r="F14">
        <f>'Multi-Customer'!E14</f>
        <v>0</v>
      </c>
      <c r="G14" s="354">
        <f>'Multi-Customer'!F14</f>
        <v>0</v>
      </c>
      <c r="H14" s="19">
        <f t="shared" si="14"/>
        <v>0</v>
      </c>
      <c r="I14" s="19">
        <f t="shared" si="15"/>
        <v>0</v>
      </c>
      <c r="J14" s="354"/>
      <c r="K14" s="354" t="str">
        <f>'PIM Model'!E12</f>
        <v>INCLUDE</v>
      </c>
      <c r="L14" s="354" t="e">
        <f t="shared" si="0"/>
        <v>#DIV/0!</v>
      </c>
      <c r="M14">
        <v>5</v>
      </c>
      <c r="N14" s="354" t="s">
        <v>521</v>
      </c>
      <c r="O14" s="354" t="e">
        <f t="shared" si="1"/>
        <v>#DIV/0!</v>
      </c>
      <c r="P14" s="354" t="e">
        <f t="shared" si="2"/>
        <v>#DIV/0!</v>
      </c>
      <c r="Q14" s="354" t="e">
        <f t="shared" si="3"/>
        <v>#DIV/0!</v>
      </c>
      <c r="R14" s="354" t="e">
        <f t="shared" si="4"/>
        <v>#DIV/0!</v>
      </c>
      <c r="S14" s="354" t="e">
        <f>IFERROR($O14/P14,VLOOKUP($W$10,'Basket Composition'!$A$34:$W$62,'PIM Ranges'!$M14,FALSE))</f>
        <v>#N/A</v>
      </c>
      <c r="T14" s="19" t="e">
        <f>IFERROR(O14/R14,VLOOKUP($W$10,'Basket Composition'!$A$65:$W$92,'PIM Ranges'!$M14,FALSE))</f>
        <v>#N/A</v>
      </c>
      <c r="U14" s="19"/>
      <c r="V14" s="2">
        <f>'PIM Model'!$C$12</f>
        <v>0</v>
      </c>
      <c r="W14" s="656">
        <f>VLOOKUP($W$10,'Basket Composition'!$A$3:$W$30,'PIM Ranges'!$AJ14)</f>
        <v>0.1148</v>
      </c>
      <c r="X14" s="19" t="e">
        <f t="shared" si="16"/>
        <v>#DIV/0!</v>
      </c>
      <c r="Y14" s="354" t="e">
        <f t="shared" si="17"/>
        <v>#DIV/0!</v>
      </c>
      <c r="Z14" s="354" t="e">
        <f t="shared" si="18"/>
        <v>#DIV/0!</v>
      </c>
      <c r="AA14" s="354">
        <f t="shared" si="19"/>
        <v>0</v>
      </c>
      <c r="AB14" s="657" t="e">
        <f t="shared" si="20"/>
        <v>#DIV/0!</v>
      </c>
      <c r="AC14" s="657" t="e">
        <f t="shared" si="21"/>
        <v>#DIV/0!</v>
      </c>
      <c r="AD14" s="354" t="e">
        <f t="shared" si="5"/>
        <v>#DIV/0!</v>
      </c>
      <c r="AE14" s="354"/>
      <c r="AF14" s="354" t="e">
        <f t="shared" si="22"/>
        <v>#DIV/0!</v>
      </c>
      <c r="AG14" s="42">
        <f>'PIM Model'!B12</f>
        <v>0</v>
      </c>
      <c r="AH14" s="509" t="e">
        <f t="shared" si="6"/>
        <v>#DIV/0!</v>
      </c>
      <c r="AI14" s="509" t="e">
        <f t="shared" si="23"/>
        <v>#DIV/0!</v>
      </c>
      <c r="AJ14">
        <v>5</v>
      </c>
      <c r="AK14" s="510" t="s">
        <v>521</v>
      </c>
      <c r="AL14" s="510" t="e">
        <f t="shared" si="7"/>
        <v>#DIV/0!</v>
      </c>
      <c r="AM14" s="510">
        <f t="shared" si="8"/>
        <v>0</v>
      </c>
      <c r="AN14" s="510">
        <f t="shared" si="9"/>
        <v>0</v>
      </c>
      <c r="AO14" s="511" t="e">
        <f t="shared" si="10"/>
        <v>#N/A</v>
      </c>
      <c r="AP14" s="511" t="e">
        <f t="shared" si="11"/>
        <v>#N/A</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2"/>
      <c r="AW14" s="60" t="s">
        <v>521</v>
      </c>
      <c r="AX14" s="543">
        <v>7627</v>
      </c>
      <c r="AY14" s="543">
        <v>25048</v>
      </c>
      <c r="AZ14" s="543">
        <v>65918</v>
      </c>
      <c r="BA14" s="543">
        <v>149490</v>
      </c>
      <c r="BD14" s="60" t="s">
        <v>521</v>
      </c>
      <c r="BE14" s="543">
        <v>8381</v>
      </c>
      <c r="BF14" s="543">
        <v>27692</v>
      </c>
      <c r="BG14" s="543">
        <v>73242</v>
      </c>
      <c r="BH14" s="543">
        <v>169875</v>
      </c>
    </row>
    <row r="15" spans="1:70" x14ac:dyDescent="0.25">
      <c r="A15" t="e">
        <f t="shared" si="13"/>
        <v>#DIV/0!</v>
      </c>
      <c r="B15">
        <v>6</v>
      </c>
      <c r="C15" t="s">
        <v>102</v>
      </c>
      <c r="D15" s="25">
        <f>'Multi-Customer'!C15</f>
        <v>0</v>
      </c>
      <c r="E15">
        <f>'Multi-Customer'!D15</f>
        <v>0</v>
      </c>
      <c r="F15">
        <f>'Multi-Customer'!E15</f>
        <v>0</v>
      </c>
      <c r="G15" s="354">
        <f>'Multi-Customer'!F15</f>
        <v>0</v>
      </c>
      <c r="H15" s="19">
        <f t="shared" si="14"/>
        <v>0</v>
      </c>
      <c r="I15" s="19">
        <f t="shared" si="15"/>
        <v>0</v>
      </c>
      <c r="J15" s="354"/>
      <c r="K15" s="354" t="str">
        <f>'PIM Model'!E13</f>
        <v>INCLUDE</v>
      </c>
      <c r="L15" s="354" t="e">
        <f t="shared" si="0"/>
        <v>#DIV/0!</v>
      </c>
      <c r="M15">
        <v>6</v>
      </c>
      <c r="N15" s="354" t="s">
        <v>102</v>
      </c>
      <c r="O15" s="354" t="e">
        <f t="shared" si="1"/>
        <v>#DIV/0!</v>
      </c>
      <c r="P15" s="354" t="e">
        <f t="shared" si="2"/>
        <v>#DIV/0!</v>
      </c>
      <c r="Q15" s="354" t="e">
        <f t="shared" si="3"/>
        <v>#DIV/0!</v>
      </c>
      <c r="R15" s="354" t="e">
        <f t="shared" si="4"/>
        <v>#DIV/0!</v>
      </c>
      <c r="S15" s="354" t="e">
        <f>IFERROR($O15/P15,VLOOKUP($W$10,'Basket Composition'!$A$34:$W$62,'PIM Ranges'!$M15,FALSE))</f>
        <v>#N/A</v>
      </c>
      <c r="T15" s="19" t="e">
        <f>IFERROR(O15/R15,VLOOKUP($W$10,'Basket Composition'!$A$65:$W$92,'PIM Ranges'!$M15,FALSE))</f>
        <v>#N/A</v>
      </c>
      <c r="U15" s="19"/>
      <c r="V15" s="2">
        <f>'PIM Model'!$C$13</f>
        <v>0</v>
      </c>
      <c r="W15" s="656">
        <f>VLOOKUP($W$10,'Basket Composition'!$A$3:$W$30,'PIM Ranges'!$AJ15)</f>
        <v>5.4800000000000001E-2</v>
      </c>
      <c r="X15" s="19" t="e">
        <f t="shared" si="16"/>
        <v>#DIV/0!</v>
      </c>
      <c r="Y15" s="354" t="e">
        <f t="shared" si="17"/>
        <v>#DIV/0!</v>
      </c>
      <c r="Z15" s="354" t="e">
        <f t="shared" si="18"/>
        <v>#DIV/0!</v>
      </c>
      <c r="AA15" s="354">
        <f t="shared" si="19"/>
        <v>0</v>
      </c>
      <c r="AB15" s="657" t="e">
        <f t="shared" si="20"/>
        <v>#DIV/0!</v>
      </c>
      <c r="AC15" s="657" t="e">
        <f t="shared" si="21"/>
        <v>#DIV/0!</v>
      </c>
      <c r="AD15" s="354" t="e">
        <f t="shared" si="5"/>
        <v>#DIV/0!</v>
      </c>
      <c r="AE15" s="354"/>
      <c r="AF15" s="354" t="e">
        <f t="shared" si="22"/>
        <v>#DIV/0!</v>
      </c>
      <c r="AG15" s="42">
        <f>'PIM Model'!B13</f>
        <v>0</v>
      </c>
      <c r="AH15" s="509" t="e">
        <f t="shared" si="6"/>
        <v>#DIV/0!</v>
      </c>
      <c r="AI15" s="509" t="e">
        <f t="shared" si="23"/>
        <v>#DIV/0!</v>
      </c>
      <c r="AJ15">
        <v>6</v>
      </c>
      <c r="AK15" s="510" t="s">
        <v>102</v>
      </c>
      <c r="AL15" s="510" t="e">
        <f t="shared" si="7"/>
        <v>#DIV/0!</v>
      </c>
      <c r="AM15" s="510">
        <f t="shared" si="8"/>
        <v>0</v>
      </c>
      <c r="AN15" s="510">
        <f t="shared" si="9"/>
        <v>0</v>
      </c>
      <c r="AO15" s="511" t="e">
        <f t="shared" si="10"/>
        <v>#N/A</v>
      </c>
      <c r="AP15" s="511" t="e">
        <f t="shared" si="11"/>
        <v>#N/A</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2"/>
      <c r="AW15" s="56" t="s">
        <v>102</v>
      </c>
      <c r="AX15" s="543">
        <v>2926</v>
      </c>
      <c r="AY15" s="543">
        <v>7075</v>
      </c>
      <c r="AZ15" s="543">
        <v>14145</v>
      </c>
      <c r="BA15" s="543">
        <v>30916</v>
      </c>
      <c r="BD15" s="56" t="s">
        <v>102</v>
      </c>
      <c r="BE15" s="543">
        <v>5828</v>
      </c>
      <c r="BF15" s="543">
        <v>18598</v>
      </c>
      <c r="BG15" s="543">
        <v>52273</v>
      </c>
      <c r="BH15" s="543">
        <v>121106</v>
      </c>
    </row>
    <row r="16" spans="1:70" x14ac:dyDescent="0.25">
      <c r="A16" t="e">
        <f t="shared" si="13"/>
        <v>#DIV/0!</v>
      </c>
      <c r="B16">
        <v>7</v>
      </c>
      <c r="C16" t="s">
        <v>100</v>
      </c>
      <c r="D16" s="25">
        <f>'Multi-Customer'!C16</f>
        <v>0</v>
      </c>
      <c r="E16">
        <f>'Multi-Customer'!D16</f>
        <v>0</v>
      </c>
      <c r="F16">
        <f>'Multi-Customer'!E16</f>
        <v>0</v>
      </c>
      <c r="G16" s="354">
        <f>'Multi-Customer'!F16</f>
        <v>0</v>
      </c>
      <c r="H16" s="19">
        <f t="shared" si="14"/>
        <v>0</v>
      </c>
      <c r="I16" s="19">
        <f t="shared" si="15"/>
        <v>0</v>
      </c>
      <c r="J16" s="354"/>
      <c r="K16" s="354" t="str">
        <f>'PIM Model'!E14</f>
        <v>INCLUDE</v>
      </c>
      <c r="L16" s="354" t="e">
        <f t="shared" si="0"/>
        <v>#DIV/0!</v>
      </c>
      <c r="M16">
        <v>7</v>
      </c>
      <c r="N16" s="354" t="s">
        <v>100</v>
      </c>
      <c r="O16" s="354" t="e">
        <f t="shared" si="1"/>
        <v>#DIV/0!</v>
      </c>
      <c r="P16" s="354" t="e">
        <f t="shared" si="2"/>
        <v>#DIV/0!</v>
      </c>
      <c r="Q16" s="354" t="e">
        <f t="shared" si="3"/>
        <v>#DIV/0!</v>
      </c>
      <c r="R16" s="354" t="e">
        <f t="shared" si="4"/>
        <v>#DIV/0!</v>
      </c>
      <c r="S16" s="354" t="e">
        <f>IFERROR($O16/P16,VLOOKUP($W$10,'Basket Composition'!$A$34:$W$62,'PIM Ranges'!$M16,FALSE))</f>
        <v>#N/A</v>
      </c>
      <c r="T16" s="19" t="e">
        <f>IFERROR(O16/R16,VLOOKUP($W$10,'Basket Composition'!$A$65:$W$92,'PIM Ranges'!$M16,FALSE))</f>
        <v>#N/A</v>
      </c>
      <c r="U16" s="19"/>
      <c r="V16" s="2">
        <f>'PIM Model'!$C$14</f>
        <v>0</v>
      </c>
      <c r="W16" s="656">
        <f>VLOOKUP($W$10,'Basket Composition'!$A$3:$W$30,'PIM Ranges'!$AJ16)</f>
        <v>9.4500000000000001E-2</v>
      </c>
      <c r="X16" s="19" t="e">
        <f t="shared" si="16"/>
        <v>#DIV/0!</v>
      </c>
      <c r="Y16" s="354" t="e">
        <f t="shared" si="17"/>
        <v>#DIV/0!</v>
      </c>
      <c r="Z16" s="354" t="e">
        <f t="shared" si="18"/>
        <v>#DIV/0!</v>
      </c>
      <c r="AA16" s="354">
        <f t="shared" si="19"/>
        <v>0</v>
      </c>
      <c r="AB16" s="657" t="e">
        <f t="shared" si="20"/>
        <v>#DIV/0!</v>
      </c>
      <c r="AC16" s="657" t="e">
        <f t="shared" si="21"/>
        <v>#DIV/0!</v>
      </c>
      <c r="AD16" s="354" t="e">
        <f t="shared" si="5"/>
        <v>#DIV/0!</v>
      </c>
      <c r="AE16" s="354"/>
      <c r="AF16" s="354" t="e">
        <f t="shared" si="22"/>
        <v>#DIV/0!</v>
      </c>
      <c r="AG16" s="42">
        <f>'PIM Model'!B14</f>
        <v>0</v>
      </c>
      <c r="AH16" s="509" t="e">
        <f t="shared" si="6"/>
        <v>#DIV/0!</v>
      </c>
      <c r="AI16" s="509" t="e">
        <f t="shared" si="23"/>
        <v>#DIV/0!</v>
      </c>
      <c r="AJ16">
        <v>7</v>
      </c>
      <c r="AK16" s="510" t="s">
        <v>100</v>
      </c>
      <c r="AL16" s="510" t="e">
        <f t="shared" si="7"/>
        <v>#DIV/0!</v>
      </c>
      <c r="AM16" s="510">
        <f t="shared" si="8"/>
        <v>0</v>
      </c>
      <c r="AN16" s="510">
        <f t="shared" si="9"/>
        <v>0</v>
      </c>
      <c r="AO16" s="511" t="e">
        <f t="shared" si="10"/>
        <v>#N/A</v>
      </c>
      <c r="AP16" s="511" t="e">
        <f t="shared" si="11"/>
        <v>#N/A</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2"/>
      <c r="AW16" s="56" t="s">
        <v>100</v>
      </c>
      <c r="AX16" s="543">
        <v>9661</v>
      </c>
      <c r="AY16" s="543">
        <v>18992</v>
      </c>
      <c r="AZ16" s="543">
        <v>36524</v>
      </c>
      <c r="BA16" s="543">
        <v>76773</v>
      </c>
      <c r="BD16" s="56" t="s">
        <v>100</v>
      </c>
      <c r="BE16" s="543">
        <v>14922</v>
      </c>
      <c r="BF16" s="543">
        <v>36880</v>
      </c>
      <c r="BG16" s="543">
        <v>97878</v>
      </c>
      <c r="BH16" s="543">
        <v>221341</v>
      </c>
    </row>
    <row r="17" spans="1:60" x14ac:dyDescent="0.25">
      <c r="A17" t="e">
        <f t="shared" si="13"/>
        <v>#DIV/0!</v>
      </c>
      <c r="B17">
        <v>8</v>
      </c>
      <c r="C17" t="s">
        <v>104</v>
      </c>
      <c r="D17" s="25">
        <f>'Multi-Customer'!C17</f>
        <v>0</v>
      </c>
      <c r="E17">
        <f>'Multi-Customer'!D17</f>
        <v>0</v>
      </c>
      <c r="F17">
        <f>'Multi-Customer'!E17</f>
        <v>0</v>
      </c>
      <c r="G17" s="354">
        <f>'Multi-Customer'!F17</f>
        <v>0</v>
      </c>
      <c r="H17" s="19">
        <f t="shared" si="14"/>
        <v>0</v>
      </c>
      <c r="I17" s="19">
        <f t="shared" si="15"/>
        <v>0</v>
      </c>
      <c r="J17" s="354"/>
      <c r="K17" s="354" t="str">
        <f>'PIM Model'!E15</f>
        <v>INCLUDE</v>
      </c>
      <c r="L17" s="354" t="e">
        <f t="shared" si="0"/>
        <v>#DIV/0!</v>
      </c>
      <c r="M17">
        <v>8</v>
      </c>
      <c r="N17" s="354" t="s">
        <v>104</v>
      </c>
      <c r="O17" s="354" t="e">
        <f t="shared" si="1"/>
        <v>#DIV/0!</v>
      </c>
      <c r="P17" s="354" t="e">
        <f t="shared" si="2"/>
        <v>#DIV/0!</v>
      </c>
      <c r="Q17" s="354" t="e">
        <f t="shared" si="3"/>
        <v>#DIV/0!</v>
      </c>
      <c r="R17" s="354" t="e">
        <f t="shared" si="4"/>
        <v>#DIV/0!</v>
      </c>
      <c r="S17" s="354" t="e">
        <f>IFERROR($O17/P17,VLOOKUP($W$10,'Basket Composition'!$A$34:$W$62,'PIM Ranges'!$M17,FALSE))</f>
        <v>#N/A</v>
      </c>
      <c r="T17" s="19" t="e">
        <f>IFERROR(O17/R17,VLOOKUP($W$10,'Basket Composition'!$A$65:$W$92,'PIM Ranges'!$M17,FALSE))</f>
        <v>#N/A</v>
      </c>
      <c r="U17" s="19"/>
      <c r="V17" s="2">
        <f>'PIM Model'!$C$15</f>
        <v>0</v>
      </c>
      <c r="W17" s="656">
        <f>VLOOKUP($W$10,'Basket Composition'!$A$3:$W$30,'PIM Ranges'!$AJ17)</f>
        <v>1.61E-2</v>
      </c>
      <c r="X17" s="19" t="e">
        <f t="shared" si="16"/>
        <v>#DIV/0!</v>
      </c>
      <c r="Y17" s="354" t="e">
        <f t="shared" si="17"/>
        <v>#DIV/0!</v>
      </c>
      <c r="Z17" s="354" t="e">
        <f t="shared" si="18"/>
        <v>#DIV/0!</v>
      </c>
      <c r="AA17" s="354">
        <f t="shared" si="19"/>
        <v>0</v>
      </c>
      <c r="AB17" s="657" t="e">
        <f t="shared" si="20"/>
        <v>#DIV/0!</v>
      </c>
      <c r="AC17" s="657" t="e">
        <f t="shared" si="21"/>
        <v>#DIV/0!</v>
      </c>
      <c r="AD17" s="354" t="e">
        <f t="shared" si="5"/>
        <v>#DIV/0!</v>
      </c>
      <c r="AE17" s="354"/>
      <c r="AF17" s="354" t="e">
        <f t="shared" si="22"/>
        <v>#DIV/0!</v>
      </c>
      <c r="AG17" s="42">
        <f>'PIM Model'!B15</f>
        <v>0</v>
      </c>
      <c r="AH17" s="509" t="e">
        <f t="shared" si="6"/>
        <v>#DIV/0!</v>
      </c>
      <c r="AI17" s="509" t="e">
        <f t="shared" si="23"/>
        <v>#DIV/0!</v>
      </c>
      <c r="AJ17">
        <v>8</v>
      </c>
      <c r="AK17" s="510" t="s">
        <v>104</v>
      </c>
      <c r="AL17" s="510" t="e">
        <f t="shared" si="7"/>
        <v>#DIV/0!</v>
      </c>
      <c r="AM17" s="510">
        <f t="shared" si="8"/>
        <v>0</v>
      </c>
      <c r="AN17" s="510">
        <f t="shared" si="9"/>
        <v>0</v>
      </c>
      <c r="AO17" s="511" t="e">
        <f t="shared" si="10"/>
        <v>#N/A</v>
      </c>
      <c r="AP17" s="511" t="e">
        <f t="shared" si="11"/>
        <v>#N/A</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2"/>
      <c r="AW17" s="56" t="s">
        <v>104</v>
      </c>
      <c r="AX17" s="543">
        <v>1374</v>
      </c>
      <c r="AY17" s="543">
        <v>4152</v>
      </c>
      <c r="AZ17" s="543">
        <v>8859</v>
      </c>
      <c r="BA17" s="543">
        <v>20083</v>
      </c>
      <c r="BD17" s="56" t="s">
        <v>104</v>
      </c>
      <c r="BE17" s="543">
        <v>2515</v>
      </c>
      <c r="BF17" s="543">
        <v>9191</v>
      </c>
      <c r="BG17" s="543">
        <v>28229</v>
      </c>
      <c r="BH17" s="543">
        <v>66332</v>
      </c>
    </row>
    <row r="18" spans="1:60" x14ac:dyDescent="0.25">
      <c r="A18" t="e">
        <f t="shared" si="13"/>
        <v>#DIV/0!</v>
      </c>
      <c r="B18">
        <v>9</v>
      </c>
      <c r="C18" t="s">
        <v>98</v>
      </c>
      <c r="D18" s="25">
        <f>'Multi-Customer'!C18</f>
        <v>0</v>
      </c>
      <c r="E18">
        <f>'Multi-Customer'!D18</f>
        <v>0</v>
      </c>
      <c r="F18">
        <f>'Multi-Customer'!E18</f>
        <v>0</v>
      </c>
      <c r="G18" s="354">
        <f>'Multi-Customer'!F18</f>
        <v>0</v>
      </c>
      <c r="H18" s="19">
        <f t="shared" si="14"/>
        <v>0</v>
      </c>
      <c r="I18" s="19">
        <f t="shared" si="15"/>
        <v>0</v>
      </c>
      <c r="J18" s="354"/>
      <c r="K18" s="354" t="str">
        <f>'PIM Model'!E16</f>
        <v>INCLUDE</v>
      </c>
      <c r="L18" s="354" t="e">
        <f t="shared" si="0"/>
        <v>#DIV/0!</v>
      </c>
      <c r="M18">
        <v>9</v>
      </c>
      <c r="N18" s="354" t="s">
        <v>98</v>
      </c>
      <c r="O18" s="354" t="e">
        <f t="shared" si="1"/>
        <v>#DIV/0!</v>
      </c>
      <c r="P18" s="354" t="e">
        <f t="shared" si="2"/>
        <v>#DIV/0!</v>
      </c>
      <c r="Q18" s="354" t="e">
        <f t="shared" si="3"/>
        <v>#DIV/0!</v>
      </c>
      <c r="R18" s="354" t="e">
        <f t="shared" si="4"/>
        <v>#DIV/0!</v>
      </c>
      <c r="S18" s="354" t="e">
        <f>IFERROR($O18/P18,VLOOKUP($W$10,'Basket Composition'!$A$34:$W$62,'PIM Ranges'!$M18,FALSE))</f>
        <v>#N/A</v>
      </c>
      <c r="T18" s="19" t="e">
        <f>IFERROR(O18/R18,VLOOKUP($W$10,'Basket Composition'!$A$65:$W$92,'PIM Ranges'!$M18,FALSE))</f>
        <v>#N/A</v>
      </c>
      <c r="U18" s="19"/>
      <c r="V18" s="2">
        <f>'PIM Model'!$C$16</f>
        <v>0</v>
      </c>
      <c r="W18" s="656">
        <f>VLOOKUP($W$10,'Basket Composition'!$A$3:$W$30,'PIM Ranges'!$AJ18)</f>
        <v>3.44E-2</v>
      </c>
      <c r="X18" s="19" t="e">
        <f t="shared" si="16"/>
        <v>#DIV/0!</v>
      </c>
      <c r="Y18" s="354" t="e">
        <f t="shared" si="17"/>
        <v>#DIV/0!</v>
      </c>
      <c r="Z18" s="354" t="e">
        <f t="shared" si="18"/>
        <v>#DIV/0!</v>
      </c>
      <c r="AA18" s="354">
        <f t="shared" si="19"/>
        <v>0</v>
      </c>
      <c r="AB18" s="657" t="e">
        <f t="shared" si="20"/>
        <v>#DIV/0!</v>
      </c>
      <c r="AC18" s="657" t="e">
        <f t="shared" si="21"/>
        <v>#DIV/0!</v>
      </c>
      <c r="AD18" s="354" t="e">
        <f t="shared" si="5"/>
        <v>#DIV/0!</v>
      </c>
      <c r="AE18" s="354"/>
      <c r="AF18" s="354" t="e">
        <f t="shared" si="22"/>
        <v>#DIV/0!</v>
      </c>
      <c r="AG18" s="42">
        <f>'PIM Model'!B16</f>
        <v>0</v>
      </c>
      <c r="AH18" s="509" t="e">
        <f t="shared" si="6"/>
        <v>#DIV/0!</v>
      </c>
      <c r="AI18" s="509" t="e">
        <f t="shared" si="23"/>
        <v>#DIV/0!</v>
      </c>
      <c r="AJ18">
        <v>9</v>
      </c>
      <c r="AK18" s="510" t="s">
        <v>98</v>
      </c>
      <c r="AL18" s="510" t="e">
        <f t="shared" si="7"/>
        <v>#DIV/0!</v>
      </c>
      <c r="AM18" s="510">
        <f t="shared" si="8"/>
        <v>0</v>
      </c>
      <c r="AN18" s="510">
        <f t="shared" si="9"/>
        <v>0</v>
      </c>
      <c r="AO18" s="511" t="e">
        <f t="shared" si="10"/>
        <v>#N/A</v>
      </c>
      <c r="AP18" s="511" t="e">
        <f t="shared" si="11"/>
        <v>#N/A</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2"/>
      <c r="AW18" s="56" t="s">
        <v>98</v>
      </c>
      <c r="AX18" s="543">
        <v>5735</v>
      </c>
      <c r="AY18" s="543">
        <v>12048</v>
      </c>
      <c r="AZ18" s="543">
        <v>22223</v>
      </c>
      <c r="BA18" s="543">
        <v>46885</v>
      </c>
      <c r="BD18" s="56" t="s">
        <v>98</v>
      </c>
      <c r="BE18" s="543">
        <v>11588</v>
      </c>
      <c r="BF18" s="543">
        <v>31399</v>
      </c>
      <c r="BG18" s="543">
        <v>78180</v>
      </c>
      <c r="BH18" s="543">
        <v>177577</v>
      </c>
    </row>
    <row r="19" spans="1:60" x14ac:dyDescent="0.25">
      <c r="A19" t="e">
        <f t="shared" si="13"/>
        <v>#DIV/0!</v>
      </c>
      <c r="B19">
        <v>10</v>
      </c>
      <c r="C19" t="s">
        <v>95</v>
      </c>
      <c r="D19" s="25">
        <f>'Multi-Customer'!C19</f>
        <v>0</v>
      </c>
      <c r="E19">
        <f>'Multi-Customer'!D19</f>
        <v>0</v>
      </c>
      <c r="F19">
        <f>'Multi-Customer'!E19</f>
        <v>0</v>
      </c>
      <c r="G19" s="354">
        <f>'Multi-Customer'!F19</f>
        <v>0</v>
      </c>
      <c r="H19" s="19">
        <f t="shared" si="14"/>
        <v>0</v>
      </c>
      <c r="I19" s="19">
        <f t="shared" si="15"/>
        <v>0</v>
      </c>
      <c r="J19" s="354"/>
      <c r="K19" s="354" t="str">
        <f>'PIM Model'!E17</f>
        <v>INCLUDE</v>
      </c>
      <c r="L19" s="354" t="e">
        <f t="shared" si="0"/>
        <v>#DIV/0!</v>
      </c>
      <c r="M19">
        <v>10</v>
      </c>
      <c r="N19" s="354" t="s">
        <v>95</v>
      </c>
      <c r="O19" s="354" t="e">
        <f t="shared" si="1"/>
        <v>#DIV/0!</v>
      </c>
      <c r="P19" s="354" t="e">
        <f t="shared" si="2"/>
        <v>#DIV/0!</v>
      </c>
      <c r="Q19" s="354" t="e">
        <f t="shared" si="3"/>
        <v>#DIV/0!</v>
      </c>
      <c r="R19" s="354" t="e">
        <f t="shared" si="4"/>
        <v>#DIV/0!</v>
      </c>
      <c r="S19" s="354" t="e">
        <f>IFERROR($O19/P19,VLOOKUP($W$10,'Basket Composition'!$A$34:$W$62,'PIM Ranges'!$M19,FALSE))</f>
        <v>#N/A</v>
      </c>
      <c r="T19" s="19" t="e">
        <f>IFERROR(O19/R19,VLOOKUP($W$10,'Basket Composition'!$A$65:$W$92,'PIM Ranges'!$M19,FALSE))</f>
        <v>#N/A</v>
      </c>
      <c r="U19" s="19"/>
      <c r="V19" s="2">
        <f>'PIM Model'!$C$17</f>
        <v>0</v>
      </c>
      <c r="W19" s="656">
        <f>VLOOKUP($W$10,'Basket Composition'!$A$3:$W$30,'PIM Ranges'!$AJ19)</f>
        <v>8.7800000000000003E-2</v>
      </c>
      <c r="X19" s="19" t="e">
        <f t="shared" si="16"/>
        <v>#DIV/0!</v>
      </c>
      <c r="Y19" s="354" t="e">
        <f t="shared" si="17"/>
        <v>#DIV/0!</v>
      </c>
      <c r="Z19" s="354" t="e">
        <f t="shared" si="18"/>
        <v>#DIV/0!</v>
      </c>
      <c r="AA19" s="354">
        <f t="shared" si="19"/>
        <v>0</v>
      </c>
      <c r="AB19" s="657" t="e">
        <f t="shared" si="20"/>
        <v>#DIV/0!</v>
      </c>
      <c r="AC19" s="657" t="e">
        <f t="shared" si="21"/>
        <v>#DIV/0!</v>
      </c>
      <c r="AD19" s="354" t="e">
        <f t="shared" si="5"/>
        <v>#DIV/0!</v>
      </c>
      <c r="AE19" s="354"/>
      <c r="AF19" s="354" t="e">
        <f t="shared" si="22"/>
        <v>#DIV/0!</v>
      </c>
      <c r="AG19" s="42">
        <f>'PIM Model'!B17</f>
        <v>0</v>
      </c>
      <c r="AH19" s="509" t="e">
        <f t="shared" si="6"/>
        <v>#DIV/0!</v>
      </c>
      <c r="AI19" s="509" t="e">
        <f t="shared" si="23"/>
        <v>#DIV/0!</v>
      </c>
      <c r="AJ19">
        <v>10</v>
      </c>
      <c r="AK19" s="510" t="s">
        <v>95</v>
      </c>
      <c r="AL19" s="510" t="e">
        <f t="shared" si="7"/>
        <v>#DIV/0!</v>
      </c>
      <c r="AM19" s="510">
        <f t="shared" si="8"/>
        <v>0</v>
      </c>
      <c r="AN19" s="510">
        <f t="shared" si="9"/>
        <v>0</v>
      </c>
      <c r="AO19" s="511" t="e">
        <f t="shared" si="10"/>
        <v>#N/A</v>
      </c>
      <c r="AP19" s="511" t="e">
        <f t="shared" si="11"/>
        <v>#N/A</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2"/>
      <c r="AW19" s="56" t="s">
        <v>95</v>
      </c>
      <c r="AX19" s="543">
        <v>5783</v>
      </c>
      <c r="AY19" s="543">
        <v>15190</v>
      </c>
      <c r="AZ19" s="543">
        <v>28191</v>
      </c>
      <c r="BA19" s="543">
        <v>61587</v>
      </c>
      <c r="BD19" s="56" t="s">
        <v>95</v>
      </c>
      <c r="BE19" s="543">
        <v>11697</v>
      </c>
      <c r="BF19" s="543">
        <v>35019</v>
      </c>
      <c r="BG19" s="543">
        <v>103570</v>
      </c>
      <c r="BH19" s="543">
        <v>238698</v>
      </c>
    </row>
    <row r="20" spans="1:60" x14ac:dyDescent="0.25">
      <c r="A20" t="e">
        <f t="shared" si="13"/>
        <v>#DIV/0!</v>
      </c>
      <c r="B20">
        <v>11</v>
      </c>
      <c r="C20" t="s">
        <v>96</v>
      </c>
      <c r="D20" s="25">
        <f>'Multi-Customer'!C20</f>
        <v>0</v>
      </c>
      <c r="E20">
        <f>'Multi-Customer'!D20</f>
        <v>0</v>
      </c>
      <c r="F20">
        <f>'Multi-Customer'!E20</f>
        <v>0</v>
      </c>
      <c r="G20" s="354">
        <f>'Multi-Customer'!F20</f>
        <v>0</v>
      </c>
      <c r="H20" s="19">
        <f t="shared" si="14"/>
        <v>0</v>
      </c>
      <c r="I20" s="19">
        <f t="shared" si="15"/>
        <v>0</v>
      </c>
      <c r="J20" s="354"/>
      <c r="K20" s="354" t="str">
        <f>'PIM Model'!E18</f>
        <v>INCLUDE</v>
      </c>
      <c r="L20" s="354" t="e">
        <f t="shared" si="0"/>
        <v>#DIV/0!</v>
      </c>
      <c r="M20">
        <v>11</v>
      </c>
      <c r="N20" s="354" t="s">
        <v>96</v>
      </c>
      <c r="O20" s="354" t="e">
        <f t="shared" si="1"/>
        <v>#DIV/0!</v>
      </c>
      <c r="P20" s="354" t="e">
        <f t="shared" si="2"/>
        <v>#DIV/0!</v>
      </c>
      <c r="Q20" s="354" t="e">
        <f t="shared" si="3"/>
        <v>#DIV/0!</v>
      </c>
      <c r="R20" s="354" t="e">
        <f t="shared" si="4"/>
        <v>#DIV/0!</v>
      </c>
      <c r="S20" s="354" t="e">
        <f>IFERROR($O20/P20,VLOOKUP($W$10,'Basket Composition'!$A$34:$W$62,'PIM Ranges'!$M20,FALSE))</f>
        <v>#N/A</v>
      </c>
      <c r="T20" s="19" t="e">
        <f>IFERROR(O20/R20,VLOOKUP($W$10,'Basket Composition'!$A$65:$W$92,'PIM Ranges'!$M20,FALSE))</f>
        <v>#N/A</v>
      </c>
      <c r="U20" s="19"/>
      <c r="V20" s="2">
        <f>'PIM Model'!$C$18</f>
        <v>0</v>
      </c>
      <c r="W20" s="656">
        <f>VLOOKUP($W$10,'Basket Composition'!$A$3:$W$30,'PIM Ranges'!$AJ20)</f>
        <v>1.3299999999999999E-2</v>
      </c>
      <c r="X20" s="19" t="e">
        <f t="shared" si="16"/>
        <v>#DIV/0!</v>
      </c>
      <c r="Y20" s="354" t="e">
        <f t="shared" si="17"/>
        <v>#DIV/0!</v>
      </c>
      <c r="Z20" s="354" t="e">
        <f t="shared" si="18"/>
        <v>#DIV/0!</v>
      </c>
      <c r="AA20" s="354">
        <f t="shared" si="19"/>
        <v>0</v>
      </c>
      <c r="AB20" s="657" t="e">
        <f t="shared" si="20"/>
        <v>#DIV/0!</v>
      </c>
      <c r="AC20" s="657" t="e">
        <f t="shared" si="21"/>
        <v>#DIV/0!</v>
      </c>
      <c r="AD20" s="354" t="e">
        <f t="shared" si="5"/>
        <v>#DIV/0!</v>
      </c>
      <c r="AE20" s="354"/>
      <c r="AF20" s="354" t="e">
        <f t="shared" si="22"/>
        <v>#DIV/0!</v>
      </c>
      <c r="AG20" s="42">
        <f>'PIM Model'!B18</f>
        <v>0</v>
      </c>
      <c r="AH20" s="509" t="e">
        <f t="shared" si="6"/>
        <v>#DIV/0!</v>
      </c>
      <c r="AI20" s="509" t="e">
        <f t="shared" si="23"/>
        <v>#DIV/0!</v>
      </c>
      <c r="AJ20">
        <v>11</v>
      </c>
      <c r="AK20" s="510" t="s">
        <v>96</v>
      </c>
      <c r="AL20" s="510" t="e">
        <f t="shared" si="7"/>
        <v>#DIV/0!</v>
      </c>
      <c r="AM20" s="510">
        <f t="shared" si="8"/>
        <v>0</v>
      </c>
      <c r="AN20" s="510">
        <f t="shared" si="9"/>
        <v>0</v>
      </c>
      <c r="AO20" s="511" t="e">
        <f t="shared" si="10"/>
        <v>#N/A</v>
      </c>
      <c r="AP20" s="511" t="e">
        <f t="shared" si="11"/>
        <v>#N/A</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2"/>
      <c r="AW20" s="56" t="s">
        <v>96</v>
      </c>
      <c r="AX20" s="543">
        <v>830</v>
      </c>
      <c r="AY20" s="543">
        <v>2480</v>
      </c>
      <c r="AZ20" s="543">
        <v>6004</v>
      </c>
      <c r="BA20" s="543">
        <v>13761</v>
      </c>
      <c r="BD20" s="56" t="s">
        <v>96</v>
      </c>
      <c r="BE20" s="543">
        <v>1562</v>
      </c>
      <c r="BF20" s="543">
        <v>5701</v>
      </c>
      <c r="BG20" s="543">
        <v>19578</v>
      </c>
      <c r="BH20" s="543">
        <v>45979</v>
      </c>
    </row>
    <row r="21" spans="1:60" x14ac:dyDescent="0.25">
      <c r="A21" t="e">
        <f t="shared" si="13"/>
        <v>#DIV/0!</v>
      </c>
      <c r="B21">
        <v>12</v>
      </c>
      <c r="C21" t="s">
        <v>101</v>
      </c>
      <c r="D21" s="25">
        <f>'Multi-Customer'!C21</f>
        <v>0</v>
      </c>
      <c r="E21">
        <f>'Multi-Customer'!D21</f>
        <v>0</v>
      </c>
      <c r="F21">
        <f>'Multi-Customer'!E21</f>
        <v>0</v>
      </c>
      <c r="G21" s="354">
        <f>'Multi-Customer'!F21</f>
        <v>0</v>
      </c>
      <c r="H21" s="19">
        <f t="shared" si="14"/>
        <v>0</v>
      </c>
      <c r="I21" s="19">
        <f t="shared" si="15"/>
        <v>0</v>
      </c>
      <c r="J21" s="354"/>
      <c r="K21" s="354" t="str">
        <f>'PIM Model'!E19</f>
        <v>INCLUDE</v>
      </c>
      <c r="L21" s="354" t="e">
        <f t="shared" si="0"/>
        <v>#DIV/0!</v>
      </c>
      <c r="M21">
        <v>12</v>
      </c>
      <c r="N21" s="354" t="s">
        <v>101</v>
      </c>
      <c r="O21" s="354" t="e">
        <f t="shared" si="1"/>
        <v>#DIV/0!</v>
      </c>
      <c r="P21" s="354" t="e">
        <f t="shared" si="2"/>
        <v>#DIV/0!</v>
      </c>
      <c r="Q21" s="354" t="e">
        <f t="shared" si="3"/>
        <v>#DIV/0!</v>
      </c>
      <c r="R21" s="354" t="e">
        <f t="shared" si="4"/>
        <v>#DIV/0!</v>
      </c>
      <c r="S21" s="354" t="e">
        <f>IFERROR($O21/P21,VLOOKUP($W$10,'Basket Composition'!$A$34:$W$62,'PIM Ranges'!$M21,FALSE))</f>
        <v>#N/A</v>
      </c>
      <c r="T21" s="19" t="e">
        <f>IFERROR(O21/R21,VLOOKUP($W$10,'Basket Composition'!$A$65:$W$92,'PIM Ranges'!$M21,FALSE))</f>
        <v>#N/A</v>
      </c>
      <c r="U21" s="19"/>
      <c r="V21" s="2">
        <f>'PIM Model'!$C$19</f>
        <v>0</v>
      </c>
      <c r="W21" s="656">
        <f>VLOOKUP($W$10,'Basket Composition'!$A$3:$W$30,'PIM Ranges'!$AJ21)</f>
        <v>4.3700000000000003E-2</v>
      </c>
      <c r="X21" s="19" t="e">
        <f t="shared" si="16"/>
        <v>#DIV/0!</v>
      </c>
      <c r="Y21" s="354" t="e">
        <f t="shared" si="17"/>
        <v>#DIV/0!</v>
      </c>
      <c r="Z21" s="354" t="e">
        <f t="shared" si="18"/>
        <v>#DIV/0!</v>
      </c>
      <c r="AA21" s="354">
        <f t="shared" si="19"/>
        <v>0</v>
      </c>
      <c r="AB21" s="657" t="e">
        <f t="shared" si="20"/>
        <v>#DIV/0!</v>
      </c>
      <c r="AC21" s="657" t="e">
        <f t="shared" si="21"/>
        <v>#DIV/0!</v>
      </c>
      <c r="AD21" s="354" t="e">
        <f t="shared" si="5"/>
        <v>#DIV/0!</v>
      </c>
      <c r="AE21" s="354"/>
      <c r="AF21" s="354" t="e">
        <f t="shared" si="22"/>
        <v>#DIV/0!</v>
      </c>
      <c r="AG21" s="42">
        <f>'PIM Model'!B19</f>
        <v>0</v>
      </c>
      <c r="AH21" s="509" t="e">
        <f t="shared" si="6"/>
        <v>#DIV/0!</v>
      </c>
      <c r="AI21" s="509" t="e">
        <f t="shared" si="23"/>
        <v>#DIV/0!</v>
      </c>
      <c r="AJ21">
        <v>12</v>
      </c>
      <c r="AK21" s="510" t="s">
        <v>101</v>
      </c>
      <c r="AL21" s="510" t="e">
        <f t="shared" si="7"/>
        <v>#DIV/0!</v>
      </c>
      <c r="AM21" s="510">
        <f t="shared" si="8"/>
        <v>0</v>
      </c>
      <c r="AN21" s="510">
        <f t="shared" si="9"/>
        <v>0</v>
      </c>
      <c r="AO21" s="511" t="e">
        <f t="shared" si="10"/>
        <v>#N/A</v>
      </c>
      <c r="AP21" s="511" t="e">
        <f t="shared" si="11"/>
        <v>#N/A</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2"/>
      <c r="AW21" s="56" t="s">
        <v>101</v>
      </c>
      <c r="AX21" s="543">
        <v>2353</v>
      </c>
      <c r="AY21" s="543">
        <v>5189</v>
      </c>
      <c r="AZ21" s="543">
        <v>10687</v>
      </c>
      <c r="BA21" s="543">
        <v>23163</v>
      </c>
      <c r="BD21" s="56" t="s">
        <v>101</v>
      </c>
      <c r="BE21" s="543">
        <v>3473</v>
      </c>
      <c r="BF21" s="543">
        <v>9790</v>
      </c>
      <c r="BG21" s="543">
        <v>29037</v>
      </c>
      <c r="BH21" s="543">
        <v>66663</v>
      </c>
    </row>
    <row r="22" spans="1:60" x14ac:dyDescent="0.25">
      <c r="A22" t="e">
        <f t="shared" si="13"/>
        <v>#DIV/0!</v>
      </c>
      <c r="B22">
        <v>13</v>
      </c>
      <c r="C22" t="s">
        <v>97</v>
      </c>
      <c r="D22" s="25">
        <f>'Multi-Customer'!C22</f>
        <v>0</v>
      </c>
      <c r="E22">
        <f>'Multi-Customer'!D22</f>
        <v>0</v>
      </c>
      <c r="F22">
        <f>'Multi-Customer'!E22</f>
        <v>0</v>
      </c>
      <c r="G22" s="354">
        <f>'Multi-Customer'!F22</f>
        <v>0</v>
      </c>
      <c r="H22" s="19">
        <f t="shared" si="14"/>
        <v>0</v>
      </c>
      <c r="I22" s="19">
        <f t="shared" si="15"/>
        <v>0</v>
      </c>
      <c r="J22" s="354"/>
      <c r="K22" s="354" t="str">
        <f>'PIM Model'!E20</f>
        <v>INCLUDE</v>
      </c>
      <c r="L22" s="354" t="e">
        <f t="shared" si="0"/>
        <v>#DIV/0!</v>
      </c>
      <c r="M22">
        <v>13</v>
      </c>
      <c r="N22" s="354" t="s">
        <v>97</v>
      </c>
      <c r="O22" s="354" t="e">
        <f t="shared" si="1"/>
        <v>#DIV/0!</v>
      </c>
      <c r="P22" s="354" t="e">
        <f t="shared" si="2"/>
        <v>#DIV/0!</v>
      </c>
      <c r="Q22" s="354" t="e">
        <f t="shared" si="3"/>
        <v>#DIV/0!</v>
      </c>
      <c r="R22" s="354" t="e">
        <f t="shared" si="4"/>
        <v>#DIV/0!</v>
      </c>
      <c r="S22" s="354" t="e">
        <f>IFERROR($O22/P22,VLOOKUP($W$10,'Basket Composition'!$A$34:$W$62,'PIM Ranges'!$M22,FALSE))</f>
        <v>#N/A</v>
      </c>
      <c r="T22" s="19" t="e">
        <f>IFERROR(O22/R22,VLOOKUP($W$10,'Basket Composition'!$A$65:$W$92,'PIM Ranges'!$M22,FALSE))</f>
        <v>#N/A</v>
      </c>
      <c r="U22" s="19"/>
      <c r="V22" s="2">
        <f>'PIM Model'!$C$20</f>
        <v>0</v>
      </c>
      <c r="W22" s="656">
        <f>VLOOKUP($W$10,'Basket Composition'!$A$3:$W$30,'PIM Ranges'!$AJ22)</f>
        <v>9.7600000000000117E-2</v>
      </c>
      <c r="X22" s="19" t="e">
        <f t="shared" si="16"/>
        <v>#DIV/0!</v>
      </c>
      <c r="Y22" s="354" t="e">
        <f t="shared" si="17"/>
        <v>#DIV/0!</v>
      </c>
      <c r="Z22" s="354" t="e">
        <f t="shared" si="18"/>
        <v>#DIV/0!</v>
      </c>
      <c r="AA22" s="354">
        <f t="shared" si="19"/>
        <v>0</v>
      </c>
      <c r="AB22" s="657" t="e">
        <f t="shared" si="20"/>
        <v>#DIV/0!</v>
      </c>
      <c r="AC22" s="657" t="e">
        <f t="shared" si="21"/>
        <v>#DIV/0!</v>
      </c>
      <c r="AD22" s="354" t="e">
        <f t="shared" si="5"/>
        <v>#DIV/0!</v>
      </c>
      <c r="AE22" s="354"/>
      <c r="AF22" s="354" t="e">
        <f t="shared" si="22"/>
        <v>#DIV/0!</v>
      </c>
      <c r="AG22" s="42">
        <f>'PIM Model'!B20</f>
        <v>0</v>
      </c>
      <c r="AH22" s="509" t="e">
        <f t="shared" si="6"/>
        <v>#DIV/0!</v>
      </c>
      <c r="AI22" s="509" t="e">
        <f t="shared" si="23"/>
        <v>#DIV/0!</v>
      </c>
      <c r="AJ22">
        <v>13</v>
      </c>
      <c r="AK22" s="510" t="s">
        <v>97</v>
      </c>
      <c r="AL22" s="510" t="e">
        <f t="shared" si="7"/>
        <v>#DIV/0!</v>
      </c>
      <c r="AM22" s="510">
        <f t="shared" si="8"/>
        <v>0</v>
      </c>
      <c r="AN22" s="510">
        <f t="shared" si="9"/>
        <v>0</v>
      </c>
      <c r="AO22" s="511" t="e">
        <f t="shared" si="10"/>
        <v>#N/A</v>
      </c>
      <c r="AP22" s="511" t="e">
        <f t="shared" si="11"/>
        <v>#N/A</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2"/>
      <c r="AW22" s="56" t="s">
        <v>97</v>
      </c>
      <c r="AX22" s="543">
        <v>26250</v>
      </c>
      <c r="AY22" s="543">
        <v>37715</v>
      </c>
      <c r="AZ22" s="543">
        <v>54986</v>
      </c>
      <c r="BA22" s="543">
        <v>98006</v>
      </c>
      <c r="BD22" s="56" t="s">
        <v>97</v>
      </c>
      <c r="BE22" s="543">
        <v>34732</v>
      </c>
      <c r="BF22" s="543">
        <v>78310</v>
      </c>
      <c r="BG22" s="543">
        <v>203159</v>
      </c>
      <c r="BH22" s="543">
        <v>451886</v>
      </c>
    </row>
    <row r="23" spans="1:60" x14ac:dyDescent="0.25">
      <c r="A23" t="e">
        <f t="shared" si="13"/>
        <v>#DIV/0!</v>
      </c>
      <c r="B23">
        <v>14</v>
      </c>
      <c r="C23" t="s">
        <v>93</v>
      </c>
      <c r="D23" s="25">
        <f>'Multi-Customer'!C23</f>
        <v>0</v>
      </c>
      <c r="E23">
        <f>'Multi-Customer'!D23</f>
        <v>0</v>
      </c>
      <c r="F23">
        <f>'Multi-Customer'!E23</f>
        <v>0</v>
      </c>
      <c r="G23" s="354">
        <f>'Multi-Customer'!F23</f>
        <v>0</v>
      </c>
      <c r="H23" s="19">
        <f t="shared" si="14"/>
        <v>0</v>
      </c>
      <c r="I23" s="19">
        <f t="shared" si="15"/>
        <v>0</v>
      </c>
      <c r="J23" s="354"/>
      <c r="K23" s="354" t="str">
        <f>'PIM Model'!E21</f>
        <v>INCLUDE</v>
      </c>
      <c r="L23" s="354" t="e">
        <f t="shared" si="0"/>
        <v>#DIV/0!</v>
      </c>
      <c r="M23">
        <v>14</v>
      </c>
      <c r="N23" s="354" t="s">
        <v>93</v>
      </c>
      <c r="O23" s="354" t="e">
        <f t="shared" si="1"/>
        <v>#DIV/0!</v>
      </c>
      <c r="P23" s="354" t="e">
        <f t="shared" si="2"/>
        <v>#DIV/0!</v>
      </c>
      <c r="Q23" s="354" t="e">
        <f t="shared" si="3"/>
        <v>#DIV/0!</v>
      </c>
      <c r="R23" s="354" t="e">
        <f t="shared" si="4"/>
        <v>#DIV/0!</v>
      </c>
      <c r="S23" s="354" t="e">
        <f>IFERROR($O23/P23,VLOOKUP($W$10,'Basket Composition'!$A$34:$W$62,'PIM Ranges'!$M23,FALSE))</f>
        <v>#N/A</v>
      </c>
      <c r="T23" s="19" t="e">
        <f>IFERROR(O23/R23,VLOOKUP($W$10,'Basket Composition'!$A$65:$W$92,'PIM Ranges'!$M23,FALSE))</f>
        <v>#N/A</v>
      </c>
      <c r="U23" s="19"/>
      <c r="V23" s="2">
        <f>'PIM Model'!$C$21</f>
        <v>0</v>
      </c>
      <c r="W23" s="656">
        <f>VLOOKUP($W$10,'Basket Composition'!$A$3:$W$30,'PIM Ranges'!$AJ23)</f>
        <v>6.2700000000000006E-2</v>
      </c>
      <c r="X23" s="19" t="e">
        <f t="shared" si="16"/>
        <v>#DIV/0!</v>
      </c>
      <c r="Y23" s="354" t="e">
        <f t="shared" si="17"/>
        <v>#DIV/0!</v>
      </c>
      <c r="Z23" s="354" t="e">
        <f t="shared" si="18"/>
        <v>#DIV/0!</v>
      </c>
      <c r="AA23" s="354">
        <f t="shared" si="19"/>
        <v>0</v>
      </c>
      <c r="AB23" s="657" t="e">
        <f t="shared" si="20"/>
        <v>#DIV/0!</v>
      </c>
      <c r="AC23" s="657" t="e">
        <f t="shared" si="21"/>
        <v>#DIV/0!</v>
      </c>
      <c r="AD23" s="354" t="e">
        <f t="shared" si="5"/>
        <v>#DIV/0!</v>
      </c>
      <c r="AE23" s="354"/>
      <c r="AF23" s="354" t="e">
        <f t="shared" si="22"/>
        <v>#DIV/0!</v>
      </c>
      <c r="AG23" s="42">
        <f>'PIM Model'!B21</f>
        <v>0</v>
      </c>
      <c r="AH23" s="509" t="e">
        <f t="shared" si="6"/>
        <v>#DIV/0!</v>
      </c>
      <c r="AI23" s="509" t="e">
        <f t="shared" si="23"/>
        <v>#DIV/0!</v>
      </c>
      <c r="AJ23">
        <v>14</v>
      </c>
      <c r="AK23" s="510" t="s">
        <v>93</v>
      </c>
      <c r="AL23" s="510" t="e">
        <f t="shared" si="7"/>
        <v>#DIV/0!</v>
      </c>
      <c r="AM23" s="510">
        <f t="shared" si="8"/>
        <v>0</v>
      </c>
      <c r="AN23" s="510">
        <f t="shared" si="9"/>
        <v>0</v>
      </c>
      <c r="AO23" s="511" t="e">
        <f t="shared" si="10"/>
        <v>#N/A</v>
      </c>
      <c r="AP23" s="511" t="e">
        <f t="shared" si="11"/>
        <v>#N/A</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2"/>
      <c r="AW23" s="56" t="s">
        <v>93</v>
      </c>
      <c r="AX23" s="543">
        <v>9242</v>
      </c>
      <c r="AY23" s="543">
        <v>18705</v>
      </c>
      <c r="AZ23" s="543">
        <v>31626</v>
      </c>
      <c r="BA23" s="543">
        <v>65192</v>
      </c>
      <c r="BD23" s="56" t="s">
        <v>93</v>
      </c>
      <c r="BE23" s="543">
        <v>19767</v>
      </c>
      <c r="BF23" s="543">
        <v>50065</v>
      </c>
      <c r="BG23" s="543">
        <v>124322</v>
      </c>
      <c r="BH23" s="543">
        <v>278212</v>
      </c>
    </row>
    <row r="24" spans="1:60" x14ac:dyDescent="0.25">
      <c r="A24" t="e">
        <f t="shared" si="13"/>
        <v>#DIV/0!</v>
      </c>
      <c r="B24">
        <v>15</v>
      </c>
      <c r="C24" t="s">
        <v>105</v>
      </c>
      <c r="D24" s="25">
        <f>'Multi-Customer'!C24</f>
        <v>0</v>
      </c>
      <c r="E24">
        <f>'Multi-Customer'!D24</f>
        <v>0</v>
      </c>
      <c r="F24">
        <f>'Multi-Customer'!E24</f>
        <v>0</v>
      </c>
      <c r="G24" s="354">
        <f>'Multi-Customer'!F24</f>
        <v>0</v>
      </c>
      <c r="H24" s="19">
        <f t="shared" si="14"/>
        <v>0</v>
      </c>
      <c r="I24" s="19">
        <f t="shared" si="15"/>
        <v>0</v>
      </c>
      <c r="J24" s="354"/>
      <c r="K24" s="354" t="str">
        <f>'PIM Model'!E22</f>
        <v>INCLUDE</v>
      </c>
      <c r="L24" s="354" t="e">
        <f t="shared" si="0"/>
        <v>#DIV/0!</v>
      </c>
      <c r="M24">
        <v>15</v>
      </c>
      <c r="N24" s="354" t="s">
        <v>105</v>
      </c>
      <c r="O24" s="354" t="e">
        <f t="shared" si="1"/>
        <v>#DIV/0!</v>
      </c>
      <c r="P24" s="354" t="e">
        <f t="shared" si="2"/>
        <v>#DIV/0!</v>
      </c>
      <c r="Q24" s="354" t="e">
        <f t="shared" si="3"/>
        <v>#DIV/0!</v>
      </c>
      <c r="R24" s="354" t="e">
        <f t="shared" si="4"/>
        <v>#DIV/0!</v>
      </c>
      <c r="S24" s="354" t="e">
        <f>IFERROR($O24/P24,VLOOKUP($W$10,'Basket Composition'!$A$34:$W$62,'PIM Ranges'!$M24,FALSE))</f>
        <v>#N/A</v>
      </c>
      <c r="T24" s="19" t="e">
        <f>IFERROR(O24/R24,VLOOKUP($W$10,'Basket Composition'!$A$65:$W$92,'PIM Ranges'!$M24,FALSE))</f>
        <v>#N/A</v>
      </c>
      <c r="U24" s="19"/>
      <c r="V24" s="2">
        <f>'PIM Model'!$C$22</f>
        <v>0</v>
      </c>
      <c r="W24" s="656">
        <f>VLOOKUP($W$10,'Basket Composition'!$A$3:$W$30,'PIM Ranges'!$AJ24)</f>
        <v>2.0999999999999999E-3</v>
      </c>
      <c r="X24" s="19" t="e">
        <f t="shared" si="16"/>
        <v>#DIV/0!</v>
      </c>
      <c r="Y24" s="354" t="e">
        <f t="shared" si="17"/>
        <v>#DIV/0!</v>
      </c>
      <c r="Z24" s="354" t="e">
        <f t="shared" si="18"/>
        <v>#DIV/0!</v>
      </c>
      <c r="AA24" s="354">
        <f t="shared" si="19"/>
        <v>0</v>
      </c>
      <c r="AB24" s="657" t="e">
        <f t="shared" si="20"/>
        <v>#DIV/0!</v>
      </c>
      <c r="AC24" s="657" t="e">
        <f t="shared" si="21"/>
        <v>#DIV/0!</v>
      </c>
      <c r="AD24" s="354" t="e">
        <f t="shared" si="5"/>
        <v>#DIV/0!</v>
      </c>
      <c r="AE24" s="354"/>
      <c r="AF24" s="354" t="e">
        <f t="shared" si="22"/>
        <v>#DIV/0!</v>
      </c>
      <c r="AG24" s="42">
        <f>'PIM Model'!B22</f>
        <v>0</v>
      </c>
      <c r="AH24" s="509" t="e">
        <f t="shared" si="6"/>
        <v>#DIV/0!</v>
      </c>
      <c r="AI24" s="509" t="e">
        <f t="shared" si="23"/>
        <v>#DIV/0!</v>
      </c>
      <c r="AJ24">
        <v>15</v>
      </c>
      <c r="AK24" s="510" t="s">
        <v>105</v>
      </c>
      <c r="AL24" s="510" t="e">
        <f t="shared" si="7"/>
        <v>#DIV/0!</v>
      </c>
      <c r="AM24" s="510">
        <f t="shared" si="8"/>
        <v>0</v>
      </c>
      <c r="AN24" s="510">
        <f t="shared" si="9"/>
        <v>0</v>
      </c>
      <c r="AO24" s="511" t="e">
        <f t="shared" si="10"/>
        <v>#N/A</v>
      </c>
      <c r="AP24" s="511" t="e">
        <f t="shared" si="11"/>
        <v>#N/A</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2"/>
      <c r="AW24" s="56" t="s">
        <v>105</v>
      </c>
      <c r="AX24" s="543">
        <v>142</v>
      </c>
      <c r="AY24" s="543">
        <v>469</v>
      </c>
      <c r="AZ24" s="543">
        <v>1089</v>
      </c>
      <c r="BA24" s="543">
        <v>2473</v>
      </c>
      <c r="BD24" s="56" t="s">
        <v>105</v>
      </c>
      <c r="BE24" s="543">
        <v>179</v>
      </c>
      <c r="BF24" s="543">
        <v>732</v>
      </c>
      <c r="BG24" s="543">
        <v>2385</v>
      </c>
      <c r="BH24" s="543">
        <v>5645</v>
      </c>
    </row>
    <row r="25" spans="1:60" x14ac:dyDescent="0.25">
      <c r="A25" t="e">
        <f t="shared" si="13"/>
        <v>#DIV/0!</v>
      </c>
      <c r="B25">
        <v>16</v>
      </c>
      <c r="C25" t="s">
        <v>92</v>
      </c>
      <c r="D25" s="25">
        <f>'Multi-Customer'!C25</f>
        <v>0</v>
      </c>
      <c r="E25">
        <f>'Multi-Customer'!D25</f>
        <v>0</v>
      </c>
      <c r="F25">
        <f>'Multi-Customer'!E25</f>
        <v>0</v>
      </c>
      <c r="G25" s="354">
        <f>'Multi-Customer'!F25</f>
        <v>0</v>
      </c>
      <c r="H25" s="19">
        <f>IFERROR(D25/E25,0)</f>
        <v>0</v>
      </c>
      <c r="I25" s="19">
        <f>IFERROR(D25/G25,0)</f>
        <v>0</v>
      </c>
      <c r="J25" s="354"/>
      <c r="K25" s="354" t="str">
        <f>'PIM Model'!E23</f>
        <v>INCLUDE</v>
      </c>
      <c r="L25" s="354" t="e">
        <f t="shared" si="0"/>
        <v>#DIV/0!</v>
      </c>
      <c r="M25">
        <v>16</v>
      </c>
      <c r="N25" s="354" t="s">
        <v>92</v>
      </c>
      <c r="O25" s="354" t="e">
        <f t="shared" si="1"/>
        <v>#DIV/0!</v>
      </c>
      <c r="P25" s="354" t="e">
        <f t="shared" si="2"/>
        <v>#DIV/0!</v>
      </c>
      <c r="Q25" s="354" t="e">
        <f t="shared" si="3"/>
        <v>#DIV/0!</v>
      </c>
      <c r="R25" s="354" t="e">
        <f t="shared" si="4"/>
        <v>#DIV/0!</v>
      </c>
      <c r="S25" s="354" t="e">
        <f>IFERROR($O25/P25,VLOOKUP($W$10,'Basket Composition'!$A$34:$W$62,'PIM Ranges'!$M25,FALSE))</f>
        <v>#N/A</v>
      </c>
      <c r="T25" s="19" t="e">
        <f>IFERROR(O25/R25,VLOOKUP($W$10,'Basket Composition'!$A$65:$W$92,'PIM Ranges'!$M25,FALSE))</f>
        <v>#N/A</v>
      </c>
      <c r="U25" s="19"/>
      <c r="V25" s="2">
        <f>'PIM Model'!$C$23</f>
        <v>0</v>
      </c>
      <c r="W25" s="656">
        <f>VLOOKUP($W$10,'Basket Composition'!$A$3:$W$30,'PIM Ranges'!$AJ25)</f>
        <v>3.2599999999999997E-2</v>
      </c>
      <c r="X25" s="19" t="e">
        <f t="shared" si="16"/>
        <v>#DIV/0!</v>
      </c>
      <c r="Y25" s="354" t="e">
        <f t="shared" si="17"/>
        <v>#DIV/0!</v>
      </c>
      <c r="Z25" s="354" t="e">
        <f t="shared" si="18"/>
        <v>#DIV/0!</v>
      </c>
      <c r="AA25" s="354">
        <f t="shared" si="19"/>
        <v>0</v>
      </c>
      <c r="AB25" s="657" t="e">
        <f t="shared" si="20"/>
        <v>#DIV/0!</v>
      </c>
      <c r="AC25" s="657" t="e">
        <f t="shared" si="21"/>
        <v>#DIV/0!</v>
      </c>
      <c r="AD25" s="354" t="e">
        <f t="shared" si="5"/>
        <v>#DIV/0!</v>
      </c>
      <c r="AE25" s="354"/>
      <c r="AF25" s="354" t="e">
        <f t="shared" si="22"/>
        <v>#DIV/0!</v>
      </c>
      <c r="AG25" s="42">
        <f>'PIM Model'!B23</f>
        <v>0</v>
      </c>
      <c r="AH25" s="509" t="e">
        <f t="shared" si="6"/>
        <v>#DIV/0!</v>
      </c>
      <c r="AI25" s="509" t="e">
        <f t="shared" si="23"/>
        <v>#DIV/0!</v>
      </c>
      <c r="AJ25">
        <v>16</v>
      </c>
      <c r="AK25" s="510" t="s">
        <v>92</v>
      </c>
      <c r="AL25" s="510" t="e">
        <f t="shared" si="7"/>
        <v>#DIV/0!</v>
      </c>
      <c r="AM25" s="510">
        <f t="shared" si="8"/>
        <v>0</v>
      </c>
      <c r="AN25" s="510">
        <f t="shared" si="9"/>
        <v>0</v>
      </c>
      <c r="AO25" s="511" t="e">
        <f t="shared" si="10"/>
        <v>#N/A</v>
      </c>
      <c r="AP25" s="511" t="e">
        <f t="shared" si="11"/>
        <v>#N/A</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2"/>
      <c r="AW25" s="56" t="s">
        <v>92</v>
      </c>
      <c r="AX25" s="543">
        <v>6610</v>
      </c>
      <c r="AY25" s="543">
        <v>11026</v>
      </c>
      <c r="AZ25" s="543">
        <v>16902</v>
      </c>
      <c r="BA25" s="543">
        <v>32235</v>
      </c>
      <c r="BD25" s="56" t="s">
        <v>92</v>
      </c>
      <c r="BE25" s="543">
        <v>7323</v>
      </c>
      <c r="BF25" s="543">
        <v>19194</v>
      </c>
      <c r="BG25" s="543">
        <v>47517</v>
      </c>
      <c r="BH25" s="543">
        <v>107183</v>
      </c>
    </row>
    <row r="26" spans="1:60" x14ac:dyDescent="0.25">
      <c r="A26" t="e">
        <f t="shared" si="13"/>
        <v>#DIV/0!</v>
      </c>
      <c r="B26">
        <v>17</v>
      </c>
      <c r="C26" t="s">
        <v>91</v>
      </c>
      <c r="D26" s="25">
        <f>'Multi-Customer'!C26</f>
        <v>0</v>
      </c>
      <c r="E26">
        <f>'Multi-Customer'!D26</f>
        <v>0</v>
      </c>
      <c r="F26">
        <f>'Multi-Customer'!E26</f>
        <v>0</v>
      </c>
      <c r="G26" s="354">
        <f>'Multi-Customer'!F26</f>
        <v>0</v>
      </c>
      <c r="H26" s="19">
        <f t="shared" si="14"/>
        <v>0</v>
      </c>
      <c r="I26" s="19">
        <f t="shared" si="15"/>
        <v>0</v>
      </c>
      <c r="J26" s="354"/>
      <c r="K26" s="354" t="str">
        <f>'PIM Model'!E24</f>
        <v>INCLUDE</v>
      </c>
      <c r="L26" s="354" t="e">
        <f t="shared" si="0"/>
        <v>#DIV/0!</v>
      </c>
      <c r="M26">
        <v>17</v>
      </c>
      <c r="N26" s="354" t="s">
        <v>91</v>
      </c>
      <c r="O26" s="354" t="e">
        <f t="shared" si="1"/>
        <v>#DIV/0!</v>
      </c>
      <c r="P26" s="354" t="e">
        <f t="shared" si="2"/>
        <v>#DIV/0!</v>
      </c>
      <c r="Q26" s="354" t="e">
        <f t="shared" si="3"/>
        <v>#DIV/0!</v>
      </c>
      <c r="R26" s="354" t="e">
        <f t="shared" si="4"/>
        <v>#DIV/0!</v>
      </c>
      <c r="S26" s="354" t="e">
        <f>IFERROR($O26/P26,VLOOKUP($W$10,'Basket Composition'!$A$34:$W$62,'PIM Ranges'!$M26,FALSE))</f>
        <v>#N/A</v>
      </c>
      <c r="T26" s="19" t="e">
        <f>IFERROR(O26/R26,VLOOKUP($W$10,'Basket Composition'!$A$65:$W$92,'PIM Ranges'!$M26,FALSE))</f>
        <v>#N/A</v>
      </c>
      <c r="U26" s="19"/>
      <c r="V26" s="2">
        <f>'PIM Model'!$C$24</f>
        <v>0</v>
      </c>
      <c r="W26" s="656">
        <f>VLOOKUP($W$10,'Basket Composition'!$A$3:$W$30,'PIM Ranges'!$AJ26)</f>
        <v>2.9700000000000001E-2</v>
      </c>
      <c r="X26" s="19" t="e">
        <f t="shared" si="16"/>
        <v>#DIV/0!</v>
      </c>
      <c r="Y26" s="354" t="e">
        <f t="shared" si="17"/>
        <v>#DIV/0!</v>
      </c>
      <c r="Z26" s="354" t="e">
        <f t="shared" si="18"/>
        <v>#DIV/0!</v>
      </c>
      <c r="AA26" s="354">
        <f t="shared" si="19"/>
        <v>0</v>
      </c>
      <c r="AB26" s="657" t="e">
        <f t="shared" si="20"/>
        <v>#DIV/0!</v>
      </c>
      <c r="AC26" s="657" t="e">
        <f t="shared" si="21"/>
        <v>#DIV/0!</v>
      </c>
      <c r="AD26" s="354" t="e">
        <f t="shared" si="5"/>
        <v>#DIV/0!</v>
      </c>
      <c r="AE26" s="354"/>
      <c r="AF26" s="354" t="e">
        <f t="shared" si="22"/>
        <v>#DIV/0!</v>
      </c>
      <c r="AG26" s="42">
        <f>'PIM Model'!B24</f>
        <v>0</v>
      </c>
      <c r="AH26" s="509" t="e">
        <f t="shared" si="6"/>
        <v>#DIV/0!</v>
      </c>
      <c r="AI26" s="509" t="e">
        <f t="shared" si="23"/>
        <v>#DIV/0!</v>
      </c>
      <c r="AJ26">
        <v>17</v>
      </c>
      <c r="AK26" s="510" t="s">
        <v>91</v>
      </c>
      <c r="AL26" s="510" t="e">
        <f t="shared" si="7"/>
        <v>#DIV/0!</v>
      </c>
      <c r="AM26" s="510">
        <f t="shared" si="8"/>
        <v>0</v>
      </c>
      <c r="AN26" s="510">
        <f t="shared" si="9"/>
        <v>0</v>
      </c>
      <c r="AO26" s="511" t="e">
        <f t="shared" si="10"/>
        <v>#N/A</v>
      </c>
      <c r="AP26" s="511" t="e">
        <f t="shared" si="11"/>
        <v>#N/A</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2"/>
      <c r="AW26" s="56" t="s">
        <v>91</v>
      </c>
      <c r="AX26" s="543">
        <v>7459</v>
      </c>
      <c r="AY26" s="543">
        <v>15542</v>
      </c>
      <c r="AZ26" s="543">
        <v>28734</v>
      </c>
      <c r="BA26" s="543">
        <v>60450</v>
      </c>
      <c r="BD26" s="56" t="s">
        <v>91</v>
      </c>
      <c r="BE26" s="543">
        <v>13315</v>
      </c>
      <c r="BF26" s="543">
        <v>33760</v>
      </c>
      <c r="BG26" s="543">
        <v>91382</v>
      </c>
      <c r="BH26" s="543">
        <v>208294</v>
      </c>
    </row>
    <row r="27" spans="1:60" x14ac:dyDescent="0.25">
      <c r="A27" t="e">
        <f t="shared" si="13"/>
        <v>#DIV/0!</v>
      </c>
      <c r="B27">
        <v>18</v>
      </c>
      <c r="C27" t="s">
        <v>90</v>
      </c>
      <c r="D27" s="25">
        <f>'Multi-Customer'!C27</f>
        <v>0</v>
      </c>
      <c r="E27">
        <f>'Multi-Customer'!D27</f>
        <v>0</v>
      </c>
      <c r="F27">
        <f>'Multi-Customer'!E27</f>
        <v>0</v>
      </c>
      <c r="G27" s="354">
        <f>'Multi-Customer'!F27</f>
        <v>0</v>
      </c>
      <c r="H27" s="19">
        <f t="shared" si="14"/>
        <v>0</v>
      </c>
      <c r="I27" s="19">
        <f t="shared" si="15"/>
        <v>0</v>
      </c>
      <c r="J27" s="354"/>
      <c r="K27" s="354" t="str">
        <f>'PIM Model'!E25</f>
        <v>INCLUDE</v>
      </c>
      <c r="L27" s="354" t="e">
        <f t="shared" si="0"/>
        <v>#DIV/0!</v>
      </c>
      <c r="M27">
        <v>18</v>
      </c>
      <c r="N27" s="354" t="s">
        <v>90</v>
      </c>
      <c r="O27" s="354" t="e">
        <f t="shared" si="1"/>
        <v>#DIV/0!</v>
      </c>
      <c r="P27" s="354" t="e">
        <f t="shared" si="2"/>
        <v>#DIV/0!</v>
      </c>
      <c r="Q27" s="354" t="e">
        <f t="shared" si="3"/>
        <v>#DIV/0!</v>
      </c>
      <c r="R27" s="354" t="e">
        <f t="shared" si="4"/>
        <v>#DIV/0!</v>
      </c>
      <c r="S27" s="354" t="e">
        <f>IFERROR($O27/P27,VLOOKUP($W$10,'Basket Composition'!$A$34:$W$62,'PIM Ranges'!$M27,FALSE))</f>
        <v>#N/A</v>
      </c>
      <c r="T27" s="19" t="e">
        <f>IFERROR(O27/R27,VLOOKUP($W$10,'Basket Composition'!$A$65:$W$92,'PIM Ranges'!$M27,FALSE))</f>
        <v>#N/A</v>
      </c>
      <c r="U27" s="19"/>
      <c r="V27" s="2">
        <f>'PIM Model'!$C$25</f>
        <v>0</v>
      </c>
      <c r="W27" s="656">
        <f>VLOOKUP($W$10,'Basket Composition'!$A$3:$W$30,'PIM Ranges'!$AJ27)</f>
        <v>9.9400000000000002E-2</v>
      </c>
      <c r="X27" s="19" t="e">
        <f t="shared" si="16"/>
        <v>#DIV/0!</v>
      </c>
      <c r="Y27" s="354" t="e">
        <f t="shared" si="17"/>
        <v>#DIV/0!</v>
      </c>
      <c r="Z27" s="354" t="e">
        <f t="shared" si="18"/>
        <v>#DIV/0!</v>
      </c>
      <c r="AA27" s="354">
        <f t="shared" si="19"/>
        <v>0</v>
      </c>
      <c r="AB27" s="657" t="e">
        <f t="shared" si="20"/>
        <v>#DIV/0!</v>
      </c>
      <c r="AC27" s="657" t="e">
        <f t="shared" si="21"/>
        <v>#DIV/0!</v>
      </c>
      <c r="AD27" s="354" t="e">
        <f t="shared" si="5"/>
        <v>#DIV/0!</v>
      </c>
      <c r="AE27" s="354"/>
      <c r="AF27" s="354" t="e">
        <f t="shared" si="22"/>
        <v>#DIV/0!</v>
      </c>
      <c r="AG27" s="42">
        <f>'PIM Model'!B25</f>
        <v>0</v>
      </c>
      <c r="AH27" s="509" t="e">
        <f t="shared" si="6"/>
        <v>#DIV/0!</v>
      </c>
      <c r="AI27" s="509" t="e">
        <f t="shared" si="23"/>
        <v>#DIV/0!</v>
      </c>
      <c r="AJ27">
        <v>18</v>
      </c>
      <c r="AK27" s="510" t="s">
        <v>90</v>
      </c>
      <c r="AL27" s="510" t="e">
        <f t="shared" si="7"/>
        <v>#DIV/0!</v>
      </c>
      <c r="AM27" s="510">
        <f t="shared" si="8"/>
        <v>0</v>
      </c>
      <c r="AN27" s="510">
        <f t="shared" si="9"/>
        <v>0</v>
      </c>
      <c r="AO27" s="511" t="e">
        <f t="shared" si="10"/>
        <v>#N/A</v>
      </c>
      <c r="AP27" s="511" t="e">
        <f t="shared" si="11"/>
        <v>#N/A</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2"/>
      <c r="AW27" s="56" t="s">
        <v>90</v>
      </c>
      <c r="AX27" s="543">
        <v>17969</v>
      </c>
      <c r="AY27" s="543">
        <v>34626</v>
      </c>
      <c r="AZ27" s="543">
        <v>59214</v>
      </c>
      <c r="BA27" s="543">
        <v>120996</v>
      </c>
      <c r="BD27" s="56" t="s">
        <v>90</v>
      </c>
      <c r="BE27" s="543">
        <v>25337</v>
      </c>
      <c r="BF27" s="543">
        <v>62445</v>
      </c>
      <c r="BG27" s="543">
        <v>178249</v>
      </c>
      <c r="BH27" s="543">
        <v>407116</v>
      </c>
    </row>
    <row r="28" spans="1:60" x14ac:dyDescent="0.25">
      <c r="A28" t="e">
        <f t="shared" si="13"/>
        <v>#DIV/0!</v>
      </c>
      <c r="B28">
        <v>19</v>
      </c>
      <c r="C28" t="s">
        <v>89</v>
      </c>
      <c r="D28" s="25">
        <f>'Multi-Customer'!C28</f>
        <v>0</v>
      </c>
      <c r="E28">
        <f>'Multi-Customer'!D28</f>
        <v>0</v>
      </c>
      <c r="F28">
        <f>'Multi-Customer'!E28</f>
        <v>0</v>
      </c>
      <c r="G28" s="354">
        <f>'Multi-Customer'!F28</f>
        <v>0</v>
      </c>
      <c r="H28" s="19">
        <f t="shared" si="14"/>
        <v>0</v>
      </c>
      <c r="I28" s="19">
        <f t="shared" si="15"/>
        <v>0</v>
      </c>
      <c r="J28" s="354"/>
      <c r="K28" s="354" t="str">
        <f>'PIM Model'!E26</f>
        <v>INCLUDE</v>
      </c>
      <c r="L28" s="354" t="e">
        <f t="shared" si="0"/>
        <v>#DIV/0!</v>
      </c>
      <c r="M28">
        <v>19</v>
      </c>
      <c r="N28" s="354" t="s">
        <v>89</v>
      </c>
      <c r="O28" s="354" t="e">
        <f t="shared" si="1"/>
        <v>#DIV/0!</v>
      </c>
      <c r="P28" s="354" t="e">
        <f t="shared" si="2"/>
        <v>#DIV/0!</v>
      </c>
      <c r="Q28" s="354" t="e">
        <f t="shared" si="3"/>
        <v>#DIV/0!</v>
      </c>
      <c r="R28" s="354" t="e">
        <f t="shared" si="4"/>
        <v>#DIV/0!</v>
      </c>
      <c r="S28" s="354" t="e">
        <f>IFERROR($O28/P28,VLOOKUP($W$10,'Basket Composition'!$A$34:$W$62,'PIM Ranges'!$M28,FALSE))</f>
        <v>#N/A</v>
      </c>
      <c r="T28" s="19" t="e">
        <f>IFERROR(O28/R28,VLOOKUP($W$10,'Basket Composition'!$A$65:$W$92,'PIM Ranges'!$M28,FALSE))</f>
        <v>#N/A</v>
      </c>
      <c r="U28" s="19"/>
      <c r="V28" s="2">
        <f>'PIM Model'!$C$26</f>
        <v>0</v>
      </c>
      <c r="W28" s="656">
        <f>VLOOKUP($W$10,'Basket Composition'!$A$3:$W$30,'PIM Ranges'!$AJ28)</f>
        <v>4.8999999999999998E-3</v>
      </c>
      <c r="X28" s="19" t="e">
        <f t="shared" si="16"/>
        <v>#DIV/0!</v>
      </c>
      <c r="Y28" s="354" t="e">
        <f t="shared" si="17"/>
        <v>#DIV/0!</v>
      </c>
      <c r="Z28" s="354" t="e">
        <f t="shared" si="18"/>
        <v>#DIV/0!</v>
      </c>
      <c r="AA28" s="354">
        <f t="shared" si="19"/>
        <v>0</v>
      </c>
      <c r="AB28" s="657" t="e">
        <f t="shared" si="20"/>
        <v>#DIV/0!</v>
      </c>
      <c r="AC28" s="657" t="e">
        <f t="shared" si="21"/>
        <v>#DIV/0!</v>
      </c>
      <c r="AD28" s="354" t="e">
        <f t="shared" si="5"/>
        <v>#DIV/0!</v>
      </c>
      <c r="AE28" s="354"/>
      <c r="AF28" s="354" t="e">
        <f t="shared" si="22"/>
        <v>#DIV/0!</v>
      </c>
      <c r="AG28" s="42">
        <f>'PIM Model'!B26</f>
        <v>0</v>
      </c>
      <c r="AH28" s="509" t="e">
        <f t="shared" si="6"/>
        <v>#DIV/0!</v>
      </c>
      <c r="AI28" s="509" t="e">
        <f t="shared" si="23"/>
        <v>#DIV/0!</v>
      </c>
      <c r="AJ28">
        <v>19</v>
      </c>
      <c r="AK28" s="510" t="s">
        <v>89</v>
      </c>
      <c r="AL28" s="510" t="e">
        <f t="shared" si="7"/>
        <v>#DIV/0!</v>
      </c>
      <c r="AM28" s="510">
        <f t="shared" si="8"/>
        <v>0</v>
      </c>
      <c r="AN28" s="510">
        <f t="shared" si="9"/>
        <v>0</v>
      </c>
      <c r="AO28" s="511" t="e">
        <f t="shared" si="10"/>
        <v>#N/A</v>
      </c>
      <c r="AP28" s="511" t="e">
        <f t="shared" si="11"/>
        <v>#N/A</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2"/>
      <c r="AW28" s="56" t="s">
        <v>89</v>
      </c>
      <c r="AX28" s="543">
        <v>1058</v>
      </c>
      <c r="AY28" s="543">
        <v>3034</v>
      </c>
      <c r="AZ28" s="543">
        <v>8013</v>
      </c>
      <c r="BA28" s="543">
        <v>18443</v>
      </c>
      <c r="BD28" s="56" t="s">
        <v>89</v>
      </c>
      <c r="BE28" s="543">
        <v>2315</v>
      </c>
      <c r="BF28" s="543">
        <v>7746</v>
      </c>
      <c r="BG28" s="543">
        <v>24790</v>
      </c>
      <c r="BH28" s="543">
        <v>58388</v>
      </c>
    </row>
    <row r="29" spans="1:60" x14ac:dyDescent="0.25">
      <c r="A29" t="e">
        <f t="shared" si="13"/>
        <v>#DIV/0!</v>
      </c>
      <c r="B29">
        <v>20</v>
      </c>
      <c r="C29" t="s">
        <v>94</v>
      </c>
      <c r="D29" s="25">
        <f>'Multi-Customer'!C29</f>
        <v>0</v>
      </c>
      <c r="E29">
        <f>'Multi-Customer'!D29</f>
        <v>0</v>
      </c>
      <c r="F29">
        <f>'Multi-Customer'!E29</f>
        <v>0</v>
      </c>
      <c r="G29" s="354">
        <f>'Multi-Customer'!F29</f>
        <v>0</v>
      </c>
      <c r="H29" s="19">
        <f t="shared" si="14"/>
        <v>0</v>
      </c>
      <c r="I29" s="19">
        <f t="shared" si="15"/>
        <v>0</v>
      </c>
      <c r="J29" s="354"/>
      <c r="K29" s="354" t="str">
        <f>'PIM Model'!E27</f>
        <v>INCLUDE</v>
      </c>
      <c r="L29" s="354" t="e">
        <f t="shared" si="0"/>
        <v>#DIV/0!</v>
      </c>
      <c r="M29">
        <v>20</v>
      </c>
      <c r="N29" s="354" t="s">
        <v>94</v>
      </c>
      <c r="O29" s="354" t="e">
        <f t="shared" si="1"/>
        <v>#DIV/0!</v>
      </c>
      <c r="P29" s="354" t="e">
        <f t="shared" si="2"/>
        <v>#DIV/0!</v>
      </c>
      <c r="Q29" s="354" t="e">
        <f t="shared" si="3"/>
        <v>#DIV/0!</v>
      </c>
      <c r="R29" s="354" t="e">
        <f t="shared" si="4"/>
        <v>#DIV/0!</v>
      </c>
      <c r="S29" s="354" t="e">
        <f>IFERROR($O29/P29,VLOOKUP($W$10,'Basket Composition'!$A$34:$W$62,'PIM Ranges'!$M29,FALSE))</f>
        <v>#N/A</v>
      </c>
      <c r="T29" s="19" t="e">
        <f>IFERROR(O29/R29,VLOOKUP($W$10,'Basket Composition'!$A$65:$W$92,'PIM Ranges'!$M29,FALSE))</f>
        <v>#N/A</v>
      </c>
      <c r="U29" s="19"/>
      <c r="V29" s="2">
        <f>'PIM Model'!$C$27</f>
        <v>0</v>
      </c>
      <c r="W29" s="656">
        <f>VLOOKUP($W$10,'Basket Composition'!$A$3:$W$30,'PIM Ranges'!$AJ29)</f>
        <v>7.1499999999999994E-2</v>
      </c>
      <c r="X29" s="19" t="e">
        <f t="shared" si="16"/>
        <v>#DIV/0!</v>
      </c>
      <c r="Y29" s="354" t="e">
        <f t="shared" si="17"/>
        <v>#DIV/0!</v>
      </c>
      <c r="Z29" s="354" t="e">
        <f t="shared" si="18"/>
        <v>#DIV/0!</v>
      </c>
      <c r="AA29" s="354">
        <f t="shared" si="19"/>
        <v>0</v>
      </c>
      <c r="AB29" s="657" t="e">
        <f t="shared" si="20"/>
        <v>#DIV/0!</v>
      </c>
      <c r="AC29" s="657" t="e">
        <f t="shared" si="21"/>
        <v>#DIV/0!</v>
      </c>
      <c r="AD29" s="354" t="e">
        <f t="shared" si="5"/>
        <v>#DIV/0!</v>
      </c>
      <c r="AE29" s="354"/>
      <c r="AF29" s="354" t="e">
        <f t="shared" si="22"/>
        <v>#DIV/0!</v>
      </c>
      <c r="AG29" s="42">
        <f>'PIM Model'!B27</f>
        <v>0</v>
      </c>
      <c r="AH29" s="509" t="e">
        <f t="shared" si="6"/>
        <v>#DIV/0!</v>
      </c>
      <c r="AI29" s="509" t="e">
        <f t="shared" si="23"/>
        <v>#DIV/0!</v>
      </c>
      <c r="AJ29">
        <v>20</v>
      </c>
      <c r="AK29" s="510" t="s">
        <v>94</v>
      </c>
      <c r="AL29" s="510" t="e">
        <f t="shared" si="7"/>
        <v>#DIV/0!</v>
      </c>
      <c r="AM29" s="510">
        <f t="shared" si="8"/>
        <v>0</v>
      </c>
      <c r="AN29" s="510">
        <f t="shared" si="9"/>
        <v>0</v>
      </c>
      <c r="AO29" s="511" t="e">
        <f t="shared" si="10"/>
        <v>#N/A</v>
      </c>
      <c r="AP29" s="511" t="e">
        <f t="shared" si="11"/>
        <v>#N/A</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2"/>
      <c r="AW29" s="56" t="s">
        <v>94</v>
      </c>
      <c r="AX29" s="543">
        <v>6052</v>
      </c>
      <c r="AY29" s="543">
        <v>19330</v>
      </c>
      <c r="AZ29" s="543">
        <v>36449</v>
      </c>
      <c r="BA29" s="543">
        <v>81904</v>
      </c>
      <c r="BD29" s="56" t="s">
        <v>94</v>
      </c>
      <c r="BE29" s="543">
        <v>8676</v>
      </c>
      <c r="BF29" s="543">
        <v>33383</v>
      </c>
      <c r="BG29" s="543">
        <v>87871</v>
      </c>
      <c r="BH29" s="543">
        <v>205967</v>
      </c>
    </row>
    <row r="30" spans="1:60" x14ac:dyDescent="0.25">
      <c r="A30" t="e">
        <f t="shared" si="13"/>
        <v>#DIV/0!</v>
      </c>
      <c r="B30">
        <v>21</v>
      </c>
      <c r="C30" t="s">
        <v>86</v>
      </c>
      <c r="D30" s="25">
        <f>'Multi-Customer'!C30</f>
        <v>0</v>
      </c>
      <c r="E30">
        <f>'Multi-Customer'!D30</f>
        <v>0</v>
      </c>
      <c r="F30">
        <f>'Multi-Customer'!E30</f>
        <v>0</v>
      </c>
      <c r="G30" s="354">
        <f>'Multi-Customer'!F30</f>
        <v>0</v>
      </c>
      <c r="H30" s="19">
        <f t="shared" si="14"/>
        <v>0</v>
      </c>
      <c r="I30" s="19">
        <f t="shared" si="15"/>
        <v>0</v>
      </c>
      <c r="J30" s="354"/>
      <c r="K30" s="354" t="str">
        <f>'PIM Model'!E28</f>
        <v>INCLUDE</v>
      </c>
      <c r="L30" s="354" t="e">
        <f t="shared" si="0"/>
        <v>#DIV/0!</v>
      </c>
      <c r="M30">
        <v>21</v>
      </c>
      <c r="N30" s="354" t="s">
        <v>86</v>
      </c>
      <c r="O30" s="354" t="e">
        <f t="shared" si="1"/>
        <v>#DIV/0!</v>
      </c>
      <c r="P30" s="354" t="e">
        <f t="shared" si="2"/>
        <v>#DIV/0!</v>
      </c>
      <c r="Q30" s="354" t="e">
        <f t="shared" si="3"/>
        <v>#DIV/0!</v>
      </c>
      <c r="R30" s="354" t="e">
        <f t="shared" si="4"/>
        <v>#DIV/0!</v>
      </c>
      <c r="S30" s="354" t="e">
        <f>IFERROR($O30/P30,VLOOKUP($W$10,'Basket Composition'!$A$34:$W$62,'PIM Ranges'!$M30,FALSE))</f>
        <v>#N/A</v>
      </c>
      <c r="T30" s="19" t="e">
        <f>IFERROR(O30/R30,VLOOKUP($W$10,'Basket Composition'!$A$65:$W$92,'PIM Ranges'!$M30,FALSE))</f>
        <v>#N/A</v>
      </c>
      <c r="U30" s="19"/>
      <c r="V30" s="2">
        <f>'PIM Model'!$C$28</f>
        <v>0</v>
      </c>
      <c r="W30" s="656">
        <f>VLOOKUP($W$10,'Basket Composition'!$A$3:$W$30,'PIM Ranges'!$AJ30)</f>
        <v>1E-3</v>
      </c>
      <c r="X30" s="19" t="e">
        <f t="shared" si="16"/>
        <v>#DIV/0!</v>
      </c>
      <c r="Y30" s="354" t="e">
        <f t="shared" si="17"/>
        <v>#DIV/0!</v>
      </c>
      <c r="Z30" s="354" t="e">
        <f t="shared" si="18"/>
        <v>#DIV/0!</v>
      </c>
      <c r="AA30" s="354">
        <f t="shared" si="19"/>
        <v>0</v>
      </c>
      <c r="AB30" s="657" t="e">
        <f t="shared" si="20"/>
        <v>#DIV/0!</v>
      </c>
      <c r="AC30" s="657" t="e">
        <f t="shared" si="21"/>
        <v>#DIV/0!</v>
      </c>
      <c r="AD30" s="354" t="e">
        <f t="shared" si="5"/>
        <v>#DIV/0!</v>
      </c>
      <c r="AE30" s="354"/>
      <c r="AF30" s="354" t="e">
        <f t="shared" si="22"/>
        <v>#DIV/0!</v>
      </c>
      <c r="AG30" s="42">
        <f>'PIM Model'!B28</f>
        <v>0</v>
      </c>
      <c r="AH30" s="509" t="e">
        <f t="shared" si="6"/>
        <v>#DIV/0!</v>
      </c>
      <c r="AI30" s="509" t="e">
        <f t="shared" si="23"/>
        <v>#DIV/0!</v>
      </c>
      <c r="AJ30">
        <v>21</v>
      </c>
      <c r="AK30" s="510" t="s">
        <v>86</v>
      </c>
      <c r="AL30" s="510" t="e">
        <f t="shared" si="7"/>
        <v>#DIV/0!</v>
      </c>
      <c r="AM30" s="510">
        <f t="shared" si="8"/>
        <v>0</v>
      </c>
      <c r="AN30" s="510">
        <f t="shared" si="9"/>
        <v>0</v>
      </c>
      <c r="AO30" s="511" t="e">
        <f t="shared" si="10"/>
        <v>#N/A</v>
      </c>
      <c r="AP30" s="511" t="e">
        <f t="shared" si="11"/>
        <v>#N/A</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2"/>
      <c r="AW30" s="56" t="s">
        <v>86</v>
      </c>
      <c r="AX30" s="543">
        <v>88</v>
      </c>
      <c r="AY30" s="543">
        <v>544</v>
      </c>
      <c r="AZ30" s="543">
        <v>2063</v>
      </c>
      <c r="BA30" s="543">
        <v>4981</v>
      </c>
      <c r="BD30" s="56" t="s">
        <v>86</v>
      </c>
      <c r="BE30" s="543">
        <v>151</v>
      </c>
      <c r="BF30" s="543">
        <v>808</v>
      </c>
      <c r="BG30" s="543">
        <v>4097</v>
      </c>
      <c r="BH30" s="543">
        <v>9886</v>
      </c>
    </row>
    <row r="31" spans="1:60" x14ac:dyDescent="0.25">
      <c r="A31" t="e">
        <f t="shared" si="13"/>
        <v>#DIV/0!</v>
      </c>
      <c r="B31">
        <v>22</v>
      </c>
      <c r="C31" t="s">
        <v>88</v>
      </c>
      <c r="D31" s="25">
        <f>'Multi-Customer'!C31</f>
        <v>0</v>
      </c>
      <c r="E31">
        <f>'Multi-Customer'!D31</f>
        <v>0</v>
      </c>
      <c r="F31">
        <f>'Multi-Customer'!E31</f>
        <v>0</v>
      </c>
      <c r="G31" s="354">
        <f>'Multi-Customer'!F31</f>
        <v>0</v>
      </c>
      <c r="H31" s="19">
        <f t="shared" si="14"/>
        <v>0</v>
      </c>
      <c r="I31" s="19">
        <f t="shared" si="15"/>
        <v>0</v>
      </c>
      <c r="J31" s="354"/>
      <c r="K31" s="354" t="str">
        <f>'PIM Model'!E29</f>
        <v>INCLUDE</v>
      </c>
      <c r="L31" s="354" t="e">
        <f t="shared" si="0"/>
        <v>#DIV/0!</v>
      </c>
      <c r="M31">
        <v>22</v>
      </c>
      <c r="N31" s="354" t="s">
        <v>88</v>
      </c>
      <c r="O31" s="354" t="e">
        <f t="shared" si="1"/>
        <v>#DIV/0!</v>
      </c>
      <c r="P31" s="354" t="e">
        <f t="shared" si="2"/>
        <v>#DIV/0!</v>
      </c>
      <c r="Q31" s="354" t="e">
        <f t="shared" si="3"/>
        <v>#DIV/0!</v>
      </c>
      <c r="R31" s="354" t="e">
        <f t="shared" si="4"/>
        <v>#DIV/0!</v>
      </c>
      <c r="S31" s="354" t="e">
        <f>IFERROR($O31/P31,VLOOKUP($W$10,'Basket Composition'!$A$34:$W$62,'PIM Ranges'!$M31,FALSE))</f>
        <v>#N/A</v>
      </c>
      <c r="T31" s="19" t="e">
        <f>IFERROR(O31/R31,VLOOKUP($W$10,'Basket Composition'!$A$65:$W$92,'PIM Ranges'!$M31,FALSE))</f>
        <v>#N/A</v>
      </c>
      <c r="U31" s="19"/>
      <c r="V31" s="2">
        <f>'PIM Model'!$C$29</f>
        <v>0</v>
      </c>
      <c r="W31" s="656">
        <f>VLOOKUP($W$10,'Basket Composition'!$A$3:$W$30,'PIM Ranges'!$AJ31)</f>
        <v>4.24E-2</v>
      </c>
      <c r="X31" s="19" t="e">
        <f t="shared" si="16"/>
        <v>#DIV/0!</v>
      </c>
      <c r="Y31" s="354" t="e">
        <f t="shared" si="17"/>
        <v>#DIV/0!</v>
      </c>
      <c r="Z31" s="354" t="e">
        <f t="shared" si="18"/>
        <v>#DIV/0!</v>
      </c>
      <c r="AA31" s="354">
        <f t="shared" si="19"/>
        <v>0</v>
      </c>
      <c r="AB31" s="657" t="e">
        <f t="shared" si="20"/>
        <v>#DIV/0!</v>
      </c>
      <c r="AC31" s="657" t="e">
        <f t="shared" si="21"/>
        <v>#DIV/0!</v>
      </c>
      <c r="AD31" s="354" t="e">
        <f t="shared" si="5"/>
        <v>#DIV/0!</v>
      </c>
      <c r="AE31" s="354"/>
      <c r="AF31" s="354" t="e">
        <f t="shared" si="22"/>
        <v>#DIV/0!</v>
      </c>
      <c r="AG31" s="42">
        <f>'PIM Model'!B29</f>
        <v>0</v>
      </c>
      <c r="AH31" s="509" t="e">
        <f t="shared" si="6"/>
        <v>#DIV/0!</v>
      </c>
      <c r="AI31" s="509" t="e">
        <f t="shared" si="23"/>
        <v>#DIV/0!</v>
      </c>
      <c r="AJ31">
        <v>22</v>
      </c>
      <c r="AK31" s="510" t="s">
        <v>88</v>
      </c>
      <c r="AL31" s="510" t="e">
        <f t="shared" si="7"/>
        <v>#DIV/0!</v>
      </c>
      <c r="AM31" s="510">
        <f t="shared" si="8"/>
        <v>0</v>
      </c>
      <c r="AN31" s="510">
        <f t="shared" si="9"/>
        <v>0</v>
      </c>
      <c r="AO31" s="511" t="e">
        <f t="shared" si="10"/>
        <v>#N/A</v>
      </c>
      <c r="AP31" s="511" t="e">
        <f t="shared" si="11"/>
        <v>#N/A</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2"/>
      <c r="AW31" s="56" t="s">
        <v>88</v>
      </c>
      <c r="AX31" s="543">
        <v>6782</v>
      </c>
      <c r="AY31" s="543">
        <v>19966</v>
      </c>
      <c r="AZ31" s="543">
        <v>43486</v>
      </c>
      <c r="BA31" s="543">
        <v>97858</v>
      </c>
      <c r="BD31" s="56" t="s">
        <v>88</v>
      </c>
      <c r="BE31" s="543">
        <v>8688</v>
      </c>
      <c r="BF31" s="543">
        <v>30144</v>
      </c>
      <c r="BG31" s="543">
        <v>100469</v>
      </c>
      <c r="BH31" s="543">
        <v>234604</v>
      </c>
    </row>
    <row r="32" spans="1:60" x14ac:dyDescent="0.25">
      <c r="A32" t="e">
        <f t="shared" si="13"/>
        <v>#DIV/0!</v>
      </c>
      <c r="B32">
        <v>23</v>
      </c>
      <c r="C32" t="s">
        <v>87</v>
      </c>
      <c r="D32" s="25">
        <f>'Multi-Customer'!C32</f>
        <v>0</v>
      </c>
      <c r="E32">
        <f>'Multi-Customer'!D32</f>
        <v>0</v>
      </c>
      <c r="F32">
        <f>'Multi-Customer'!E32</f>
        <v>0</v>
      </c>
      <c r="G32" s="354">
        <f>'Multi-Customer'!F32</f>
        <v>0</v>
      </c>
      <c r="H32" s="19">
        <f t="shared" si="14"/>
        <v>0</v>
      </c>
      <c r="I32" s="19">
        <f t="shared" si="15"/>
        <v>0</v>
      </c>
      <c r="J32" s="354"/>
      <c r="K32" s="354" t="str">
        <f>'PIM Model'!E30</f>
        <v>INCLUDE</v>
      </c>
      <c r="L32" s="354" t="e">
        <f t="shared" si="0"/>
        <v>#DIV/0!</v>
      </c>
      <c r="M32">
        <v>23</v>
      </c>
      <c r="N32" s="354" t="s">
        <v>87</v>
      </c>
      <c r="O32" s="354" t="e">
        <f t="shared" si="1"/>
        <v>#DIV/0!</v>
      </c>
      <c r="P32" s="354" t="e">
        <f t="shared" si="2"/>
        <v>#DIV/0!</v>
      </c>
      <c r="Q32" s="354" t="e">
        <f t="shared" si="3"/>
        <v>#DIV/0!</v>
      </c>
      <c r="R32" s="354" t="e">
        <f t="shared" si="4"/>
        <v>#DIV/0!</v>
      </c>
      <c r="S32" s="354" t="e">
        <f>IFERROR($O32/P32,VLOOKUP($W$10,'Basket Composition'!$A$34:$W$62,'PIM Ranges'!$M32,FALSE))</f>
        <v>#N/A</v>
      </c>
      <c r="T32" s="19" t="e">
        <f>IFERROR(O32/R32,VLOOKUP($W$10,'Basket Composition'!$A$65:$W$92,'PIM Ranges'!$M32,FALSE))</f>
        <v>#N/A</v>
      </c>
      <c r="U32" s="19"/>
      <c r="V32" s="2">
        <f>'PIM Model'!$C$30</f>
        <v>0</v>
      </c>
      <c r="W32" s="656">
        <f>VLOOKUP($W$10,'Basket Composition'!$A$3:$W$30,'PIM Ranges'!$AJ32)</f>
        <v>1E-3</v>
      </c>
      <c r="X32" s="19" t="e">
        <f t="shared" si="16"/>
        <v>#DIV/0!</v>
      </c>
      <c r="Y32" s="354" t="e">
        <f t="shared" si="17"/>
        <v>#DIV/0!</v>
      </c>
      <c r="Z32" s="354" t="e">
        <f t="shared" si="18"/>
        <v>#DIV/0!</v>
      </c>
      <c r="AA32" s="354">
        <f t="shared" si="19"/>
        <v>0</v>
      </c>
      <c r="AB32" s="657" t="e">
        <f t="shared" si="20"/>
        <v>#DIV/0!</v>
      </c>
      <c r="AC32" s="657" t="e">
        <f t="shared" si="21"/>
        <v>#DIV/0!</v>
      </c>
      <c r="AD32" s="354" t="e">
        <f t="shared" si="5"/>
        <v>#DIV/0!</v>
      </c>
      <c r="AE32" s="354"/>
      <c r="AF32" s="354" t="e">
        <f t="shared" si="22"/>
        <v>#DIV/0!</v>
      </c>
      <c r="AG32" s="42">
        <f>'PIM Model'!B30</f>
        <v>0</v>
      </c>
      <c r="AH32" s="509" t="e">
        <f t="shared" si="6"/>
        <v>#DIV/0!</v>
      </c>
      <c r="AI32" s="509" t="e">
        <f t="shared" si="23"/>
        <v>#DIV/0!</v>
      </c>
      <c r="AJ32">
        <v>23</v>
      </c>
      <c r="AK32" s="510" t="s">
        <v>87</v>
      </c>
      <c r="AL32" s="510" t="e">
        <f t="shared" si="7"/>
        <v>#DIV/0!</v>
      </c>
      <c r="AM32" s="510">
        <f t="shared" si="8"/>
        <v>0</v>
      </c>
      <c r="AN32" s="510">
        <f t="shared" si="9"/>
        <v>0</v>
      </c>
      <c r="AO32" s="511" t="e">
        <f t="shared" si="10"/>
        <v>#N/A</v>
      </c>
      <c r="AP32" s="511" t="e">
        <f t="shared" si="11"/>
        <v>#N/A</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2"/>
      <c r="AW32" s="56" t="s">
        <v>87</v>
      </c>
      <c r="AX32" s="543">
        <v>317</v>
      </c>
      <c r="AY32" s="543">
        <v>1177</v>
      </c>
      <c r="AZ32" s="543">
        <v>4361</v>
      </c>
      <c r="BA32" s="543">
        <v>10380</v>
      </c>
      <c r="BD32" s="56" t="s">
        <v>87</v>
      </c>
      <c r="BE32" s="543">
        <v>496</v>
      </c>
      <c r="BF32" s="543">
        <v>2401</v>
      </c>
      <c r="BG32" s="543">
        <v>10817</v>
      </c>
      <c r="BH32" s="543">
        <v>25725</v>
      </c>
    </row>
    <row r="33" spans="1:60" x14ac:dyDescent="0.25">
      <c r="A33" t="e">
        <f>SUM(A12:A32)</f>
        <v>#DIV/0!</v>
      </c>
      <c r="D33" s="25">
        <f>SUM(D$12:D$32)</f>
        <v>0</v>
      </c>
      <c r="E33">
        <f>SUM(E$12:E$32)</f>
        <v>0</v>
      </c>
      <c r="F33">
        <f>SUM(F$12:F$32)</f>
        <v>0</v>
      </c>
      <c r="G33">
        <f>SUM(G$12:G$32)</f>
        <v>0</v>
      </c>
      <c r="L33" s="354" t="e">
        <f>SUM(L12:L32)</f>
        <v>#DIV/0!</v>
      </c>
      <c r="O33" s="25" t="e">
        <f>SUM(O$12:O$32)</f>
        <v>#DIV/0!</v>
      </c>
      <c r="P33" t="e">
        <f>SUM(P$12:P$32)</f>
        <v>#DIV/0!</v>
      </c>
      <c r="Q33" t="e">
        <f>SUM(Q$12:Q$32)</f>
        <v>#DIV/0!</v>
      </c>
      <c r="R33" t="e">
        <f>SUM(R$12:R$32)</f>
        <v>#DIV/0!</v>
      </c>
      <c r="W33" s="354">
        <f>SUM($W$12:$W$32)</f>
        <v>1</v>
      </c>
      <c r="Y33" s="354" t="e">
        <f>SUM(Y12:Y32)</f>
        <v>#DIV/0!</v>
      </c>
      <c r="Z33" s="354" t="e">
        <f>SUM($Z$12:$Z$32)</f>
        <v>#DIV/0!</v>
      </c>
      <c r="AA33" s="354">
        <f>SUM(AA12:AA32)</f>
        <v>0</v>
      </c>
      <c r="AB33" s="657" t="e">
        <f>SUM(AB12:AB32)</f>
        <v>#DIV/0!</v>
      </c>
      <c r="AC33" s="657" t="e">
        <f>SUM(AC12:AC32)</f>
        <v>#DIV/0!</v>
      </c>
      <c r="AD33" s="354" t="e">
        <f>SUM(AD12:AD32)</f>
        <v>#DIV/0!</v>
      </c>
      <c r="AF33" s="354" t="e">
        <f>SUM(AF12:AF32)</f>
        <v>#DIV/0!</v>
      </c>
      <c r="AH33" s="354" t="e">
        <f>SUM(AH12:AH32)</f>
        <v>#DIV/0!</v>
      </c>
      <c r="AI33" s="354" t="e">
        <f>SUM(AI12:AI32)</f>
        <v>#DIV/0!</v>
      </c>
      <c r="AL33" s="354" t="e">
        <f>SUM(AL12:AL32)</f>
        <v>#DIV/0!</v>
      </c>
      <c r="AM33" s="354">
        <f t="shared" ref="AM33:AN33" si="24">SUM(AM12:AM32)</f>
        <v>0</v>
      </c>
      <c r="AN33" s="354">
        <f t="shared" si="24"/>
        <v>0</v>
      </c>
      <c r="AV33" s="542"/>
      <c r="AW33" s="56" t="s">
        <v>258</v>
      </c>
      <c r="AX33" s="543">
        <v>3824</v>
      </c>
      <c r="AY33" s="543">
        <v>15819</v>
      </c>
      <c r="AZ33" s="543">
        <v>31421</v>
      </c>
      <c r="BA33" s="543">
        <v>38852</v>
      </c>
      <c r="BD33" s="56" t="s">
        <v>258</v>
      </c>
      <c r="BE33" s="543">
        <v>3824</v>
      </c>
      <c r="BF33" s="543">
        <v>15819</v>
      </c>
      <c r="BG33" s="543">
        <v>31421</v>
      </c>
      <c r="BH33" s="543">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0" customWidth="1"/>
    <col min="6" max="6" width="14.140625" customWidth="1"/>
    <col min="7" max="7" width="11.5703125" bestFit="1" customWidth="1"/>
    <col min="8" max="8" width="1.7109375" style="311" customWidth="1"/>
    <col min="9" max="9" width="8.140625" customWidth="1"/>
    <col min="10" max="10" width="20.28515625" bestFit="1" customWidth="1"/>
    <col min="11" max="11" width="20.7109375" bestFit="1" customWidth="1"/>
    <col min="12" max="12" width="12.5703125" customWidth="1"/>
    <col min="13" max="13" width="1.7109375" style="311" customWidth="1"/>
    <col min="14" max="14" width="9.5703125" customWidth="1"/>
    <col min="15" max="15" width="13.7109375" customWidth="1"/>
    <col min="16" max="17" width="14.7109375" customWidth="1"/>
    <col min="18" max="18" width="1.7109375" style="311" customWidth="1"/>
    <col min="19" max="19" width="8.140625" customWidth="1"/>
    <col min="20" max="20" width="15.85546875" customWidth="1"/>
    <col min="21" max="21" width="12.140625" bestFit="1" customWidth="1"/>
    <col min="22" max="22" width="14.7109375" customWidth="1"/>
    <col min="23" max="23" width="1.7109375" style="311" customWidth="1"/>
  </cols>
  <sheetData>
    <row r="1" spans="1:23" ht="29.25" thickBot="1" x14ac:dyDescent="0.5">
      <c r="A1" s="1333" t="s">
        <v>820</v>
      </c>
      <c r="B1" s="1333"/>
      <c r="C1" s="1333"/>
      <c r="D1" s="1333"/>
      <c r="F1" s="1334" t="s">
        <v>749</v>
      </c>
      <c r="G1" s="1334"/>
      <c r="I1" s="1335" t="s">
        <v>819</v>
      </c>
      <c r="J1" s="1336"/>
      <c r="K1" s="1336"/>
      <c r="L1" s="1336"/>
      <c r="M1" s="1336"/>
      <c r="N1" s="1336"/>
      <c r="O1" s="1336"/>
      <c r="P1" s="1336"/>
      <c r="Q1" s="1336"/>
      <c r="R1" s="1336"/>
      <c r="S1" s="1336"/>
      <c r="T1" s="1336"/>
      <c r="U1" s="1336"/>
      <c r="V1" s="1337"/>
    </row>
    <row r="2" spans="1:23" x14ac:dyDescent="0.25">
      <c r="I2" s="361"/>
      <c r="J2" s="141"/>
      <c r="K2" s="141"/>
      <c r="L2" s="141"/>
      <c r="M2" s="141"/>
      <c r="N2" s="141"/>
      <c r="O2" s="141"/>
      <c r="P2" s="141"/>
      <c r="Q2" s="141"/>
      <c r="R2" s="141"/>
      <c r="S2" s="141"/>
      <c r="T2" s="141"/>
      <c r="U2" s="141"/>
      <c r="V2" s="364"/>
    </row>
    <row r="3" spans="1:23" x14ac:dyDescent="0.25">
      <c r="A3" t="s">
        <v>248</v>
      </c>
      <c r="B3" s="1338">
        <f>Welcome!$D$4</f>
        <v>0</v>
      </c>
      <c r="C3" s="1338"/>
      <c r="I3" s="356">
        <v>1</v>
      </c>
      <c r="J3" t="s">
        <v>775</v>
      </c>
      <c r="L3" s="1338" t="str">
        <f>"ALC "&amp;'Required Info to Submit'!$F$6</f>
        <v xml:space="preserve">ALC </v>
      </c>
      <c r="M3" s="1338"/>
      <c r="N3" s="1338"/>
      <c r="O3" s="1338"/>
      <c r="P3" s="1338"/>
      <c r="R3"/>
      <c r="V3" s="144"/>
    </row>
    <row r="4" spans="1:23" ht="45" x14ac:dyDescent="0.25">
      <c r="A4" t="s">
        <v>756</v>
      </c>
      <c r="B4" s="1339">
        <f>'Required Info to Submit'!$F$6</f>
        <v>0</v>
      </c>
      <c r="C4" s="1339"/>
      <c r="D4" s="2" t="s">
        <v>911</v>
      </c>
      <c r="F4" s="271" t="s">
        <v>750</v>
      </c>
      <c r="G4" s="688">
        <f>Incentives!$H$9</f>
        <v>0</v>
      </c>
      <c r="H4" s="313"/>
      <c r="I4" s="356">
        <v>2</v>
      </c>
      <c r="J4" t="s">
        <v>751</v>
      </c>
      <c r="L4" s="365">
        <f>'Required Info to Submit'!$F$14</f>
        <v>0</v>
      </c>
      <c r="M4" s="365"/>
      <c r="N4" s="365"/>
      <c r="O4" s="366">
        <v>3</v>
      </c>
      <c r="P4" s="1338" t="s">
        <v>753</v>
      </c>
      <c r="Q4" s="1338"/>
      <c r="R4" s="1338"/>
      <c r="S4" s="1341" t="e">
        <f>$L$4+(364*$G$5)+6</f>
        <v>#VALUE!</v>
      </c>
      <c r="T4" s="1341"/>
      <c r="U4" s="365"/>
      <c r="V4" s="144"/>
    </row>
    <row r="5" spans="1:23" x14ac:dyDescent="0.25">
      <c r="A5" t="s">
        <v>1048</v>
      </c>
      <c r="B5" s="1343">
        <f>'Required Info to Submit'!$F$8</f>
        <v>0</v>
      </c>
      <c r="C5" s="1343"/>
      <c r="D5" t="e">
        <f>G5*12</f>
        <v>#VALUE!</v>
      </c>
      <c r="F5" s="271" t="s">
        <v>752</v>
      </c>
      <c r="G5" s="312" t="str">
        <f>Welcome!$D$14</f>
        <v>Select Term</v>
      </c>
      <c r="H5" s="313"/>
      <c r="I5" s="357"/>
      <c r="M5"/>
      <c r="O5" s="2"/>
      <c r="P5" s="303"/>
      <c r="Q5" s="303"/>
      <c r="R5" s="303"/>
      <c r="S5" s="303"/>
      <c r="T5" s="303"/>
      <c r="V5" s="144"/>
    </row>
    <row r="6" spans="1:23" x14ac:dyDescent="0.25">
      <c r="A6" t="s">
        <v>814</v>
      </c>
      <c r="B6" s="1340">
        <f>'Required Info to Submit'!$F$14</f>
        <v>0</v>
      </c>
      <c r="C6" s="1340"/>
      <c r="F6" t="s">
        <v>754</v>
      </c>
      <c r="G6" s="785">
        <f>IF(L4&lt;43827,43827-L4+1,IF(L4&lt;43918,43918-L4+1,IF(L4&lt;44009,44009-L4+1,IF(L4&lt;44198,44198-L4+1,IF(L4&lt;44289,44289-L4+1,IF(L4&lt;44380,44380-L4+1,IF(L4&lt;44471,44471-L4+1,44562-L4+1)))))))/7</f>
        <v>6261.1428571428569</v>
      </c>
      <c r="H6" s="314"/>
      <c r="I6" s="356">
        <v>5</v>
      </c>
      <c r="J6" t="s">
        <v>755</v>
      </c>
      <c r="L6" s="303">
        <f>'MDA Worksheet'!$D$95</f>
        <v>0</v>
      </c>
      <c r="M6"/>
      <c r="O6" s="366">
        <v>7</v>
      </c>
      <c r="P6" s="1338" t="s">
        <v>776</v>
      </c>
      <c r="Q6" s="1338"/>
      <c r="R6" s="1338"/>
      <c r="S6" s="1342">
        <f>-('Tracking &amp; Profitability'!$E$22)</f>
        <v>0</v>
      </c>
      <c r="T6" s="1342"/>
      <c r="U6" s="20"/>
      <c r="V6" s="144"/>
    </row>
    <row r="7" spans="1:23" x14ac:dyDescent="0.25">
      <c r="A7" t="s">
        <v>815</v>
      </c>
      <c r="B7" s="1338">
        <f>'Required Info to Submit'!$F$10</f>
        <v>0</v>
      </c>
      <c r="C7" s="1338"/>
      <c r="F7" s="885" t="str">
        <f>IF(Incentives!E15="Yes","VB","")</f>
        <v/>
      </c>
      <c r="G7" s="885" t="str">
        <f>IF(Incentives!E26="YES","DS","")</f>
        <v/>
      </c>
      <c r="I7" s="356">
        <v>6</v>
      </c>
      <c r="J7" t="s">
        <v>777</v>
      </c>
      <c r="L7" s="1338" t="str">
        <f>'MDA Worksheet'!$K$95</f>
        <v/>
      </c>
      <c r="M7" s="1338"/>
      <c r="N7" s="1338"/>
      <c r="O7" s="366">
        <v>8</v>
      </c>
      <c r="P7" s="1338" t="s">
        <v>891</v>
      </c>
      <c r="Q7" s="1338"/>
      <c r="R7" s="1338"/>
      <c r="S7" s="1338">
        <f>'Required Info to Submit'!$F$10</f>
        <v>0</v>
      </c>
      <c r="T7" s="1338"/>
      <c r="V7" s="144"/>
    </row>
    <row r="8" spans="1:23" x14ac:dyDescent="0.25">
      <c r="A8" t="s">
        <v>816</v>
      </c>
      <c r="B8" s="1338">
        <f>'Required Info to Submit'!$F$9</f>
        <v>0</v>
      </c>
      <c r="C8" s="1338"/>
      <c r="F8" s="885" t="str">
        <f>IF(Incentives!E37="Yes","EB","")</f>
        <v/>
      </c>
      <c r="G8" s="885" t="str">
        <f>IF(Incentives!E48="Yes","SG","")</f>
        <v/>
      </c>
      <c r="I8" s="143"/>
      <c r="M8"/>
      <c r="R8"/>
      <c r="V8" s="144"/>
    </row>
    <row r="9" spans="1:23" x14ac:dyDescent="0.25">
      <c r="A9" t="s">
        <v>673</v>
      </c>
      <c r="B9" s="1338">
        <f>'Required Info to Submit'!$F$12</f>
        <v>0</v>
      </c>
      <c r="C9" s="1338"/>
      <c r="F9" s="885" t="str">
        <f>IF(Incentives!E56="Yes","EC","")</f>
        <v/>
      </c>
      <c r="G9" s="885" t="str">
        <f>IF(Incentives!E89="Yes","CC","")</f>
        <v/>
      </c>
      <c r="I9" s="367" t="s">
        <v>893</v>
      </c>
      <c r="J9" s="316" t="s">
        <v>952</v>
      </c>
      <c r="K9" s="315" t="s">
        <v>882</v>
      </c>
      <c r="L9" s="316" t="s">
        <v>894</v>
      </c>
      <c r="M9" s="316"/>
      <c r="N9" s="316"/>
      <c r="O9" s="315" t="s">
        <v>895</v>
      </c>
      <c r="P9" s="316"/>
      <c r="Q9" s="317"/>
      <c r="R9"/>
      <c r="V9" s="144"/>
    </row>
    <row r="10" spans="1:23" ht="15.75" thickBot="1" x14ac:dyDescent="0.3">
      <c r="A10" t="s">
        <v>817</v>
      </c>
      <c r="B10" s="1338">
        <f>'Required Info to Submit'!$F$11</f>
        <v>0</v>
      </c>
      <c r="C10" s="1338"/>
      <c r="F10" s="885" t="str">
        <f>IF(Incentives!E64="Yes","PP","")</f>
        <v/>
      </c>
      <c r="G10" s="885" t="str">
        <f>IF(Incentives!E81="Yes","CBT","")</f>
        <v/>
      </c>
      <c r="I10" s="290"/>
      <c r="J10" s="291"/>
      <c r="K10" s="291"/>
      <c r="L10" s="291"/>
      <c r="M10" s="291"/>
      <c r="N10" s="291"/>
      <c r="O10" s="291"/>
      <c r="P10" s="291"/>
      <c r="Q10" s="291"/>
      <c r="R10" s="291"/>
      <c r="S10" s="291"/>
      <c r="T10" s="291"/>
      <c r="U10" s="291"/>
      <c r="V10" s="292"/>
    </row>
    <row r="11" spans="1:23" ht="16.5" thickBot="1" x14ac:dyDescent="0.3">
      <c r="B11" s="1329"/>
      <c r="C11" s="1329"/>
      <c r="F11" s="957" t="str">
        <f>IF(Incentives!E72="Yes","Roll","")</f>
        <v/>
      </c>
      <c r="I11" s="1330" t="s">
        <v>757</v>
      </c>
      <c r="J11" s="1331"/>
      <c r="K11" s="1331"/>
      <c r="L11" s="1332"/>
      <c r="M11" s="319"/>
      <c r="N11" s="1330" t="s">
        <v>485</v>
      </c>
      <c r="O11" s="1331"/>
      <c r="P11" s="1331"/>
      <c r="Q11" s="1332"/>
      <c r="R11" s="319"/>
      <c r="S11" s="1330" t="s">
        <v>546</v>
      </c>
      <c r="T11" s="1331"/>
      <c r="U11" s="1331"/>
      <c r="V11" s="1332"/>
    </row>
    <row r="12" spans="1:23" ht="15.75" thickBot="1" x14ac:dyDescent="0.3">
      <c r="A12" s="1365" t="s">
        <v>757</v>
      </c>
      <c r="B12" s="1366"/>
      <c r="C12" s="1366"/>
      <c r="D12" s="1367"/>
      <c r="E12" s="924"/>
      <c r="F12" s="141"/>
      <c r="G12" s="141"/>
      <c r="H12" s="848"/>
      <c r="I12" s="1356" t="s">
        <v>758</v>
      </c>
      <c r="J12" s="1357"/>
      <c r="K12" s="1357"/>
      <c r="L12" s="1358"/>
      <c r="M12" s="319"/>
      <c r="N12" s="1356" t="s">
        <v>759</v>
      </c>
      <c r="O12" s="1357"/>
      <c r="P12" s="1357"/>
      <c r="Q12" s="1358"/>
      <c r="R12" s="319"/>
      <c r="S12" s="1356" t="s">
        <v>760</v>
      </c>
      <c r="T12" s="1357"/>
      <c r="U12" s="1357"/>
      <c r="V12" s="1358"/>
    </row>
    <row r="13" spans="1:23" x14ac:dyDescent="0.25">
      <c r="A13" s="320" t="s">
        <v>761</v>
      </c>
      <c r="B13" s="321">
        <f>$L$4</f>
        <v>0</v>
      </c>
      <c r="C13" s="322" t="s">
        <v>762</v>
      </c>
      <c r="D13" s="326" t="e">
        <f>$S$4</f>
        <v>#VALUE!</v>
      </c>
      <c r="E13" s="323"/>
      <c r="F13" s="322"/>
      <c r="G13" s="322"/>
      <c r="H13" s="324"/>
      <c r="I13" s="358" t="s">
        <v>763</v>
      </c>
      <c r="J13" s="321">
        <f>L4</f>
        <v>0</v>
      </c>
      <c r="K13" s="325" t="s">
        <v>764</v>
      </c>
      <c r="L13" s="326" t="e">
        <f>D13</f>
        <v>#VALUE!</v>
      </c>
      <c r="M13" s="324"/>
      <c r="N13" s="350" t="s">
        <v>763</v>
      </c>
      <c r="O13" s="328">
        <f>$L$4</f>
        <v>0</v>
      </c>
      <c r="P13" s="88" t="s">
        <v>764</v>
      </c>
      <c r="Q13" s="351" t="e">
        <f>$S$4</f>
        <v>#VALUE!</v>
      </c>
      <c r="R13" s="324"/>
      <c r="S13" s="143" t="s">
        <v>763</v>
      </c>
      <c r="T13" s="328">
        <f>$L$4</f>
        <v>0</v>
      </c>
      <c r="U13" s="88" t="s">
        <v>764</v>
      </c>
      <c r="V13" s="351" t="e">
        <f>$S$4</f>
        <v>#VALUE!</v>
      </c>
      <c r="W13" s="313"/>
    </row>
    <row r="14" spans="1:23" ht="45" x14ac:dyDescent="0.25">
      <c r="A14" s="327" t="s">
        <v>895</v>
      </c>
      <c r="B14" s="828" t="str">
        <f>Incentives!$I$14</f>
        <v>Select Payment Method</v>
      </c>
      <c r="C14" s="886"/>
      <c r="D14" s="332"/>
      <c r="E14" s="329"/>
      <c r="F14" s="271"/>
      <c r="G14" s="271"/>
      <c r="H14" s="313"/>
      <c r="I14" s="359" t="s">
        <v>913</v>
      </c>
      <c r="J14" s="328" t="str">
        <f>Incentives!$I$14</f>
        <v>Select Payment Method</v>
      </c>
      <c r="K14" s="331" t="str">
        <f>IF(J14="Check","Check","Credit Memo")</f>
        <v>Credit Memo</v>
      </c>
      <c r="L14" s="689" t="str">
        <f>Incentives!$K$14</f>
        <v/>
      </c>
      <c r="M14" s="313"/>
      <c r="N14" s="359" t="s">
        <v>914</v>
      </c>
      <c r="O14" s="328" t="str">
        <f>Incentives!$I$25</f>
        <v>Select Payment Method</v>
      </c>
      <c r="P14" s="331" t="str">
        <f>IF(O14="Check","Check","Credit Memo")</f>
        <v>Credit Memo</v>
      </c>
      <c r="Q14" s="689" t="str">
        <f>Incentives!$K$25</f>
        <v/>
      </c>
      <c r="R14" s="313"/>
      <c r="S14" s="327" t="s">
        <v>914</v>
      </c>
      <c r="T14" s="328" t="str">
        <f>Incentives!$I$36</f>
        <v>Select Payment Method</v>
      </c>
      <c r="U14" s="331" t="str">
        <f>IF(T14="Check","Check","Credit Memo")</f>
        <v>Credit Memo</v>
      </c>
      <c r="V14" s="689" t="str">
        <f>Incentives!$K$36</f>
        <v/>
      </c>
      <c r="W14" s="313"/>
    </row>
    <row r="15" spans="1:23" x14ac:dyDescent="0.25">
      <c r="A15" s="327" t="s">
        <v>1224</v>
      </c>
      <c r="B15" s="828" t="str">
        <f>Incentives!$G$14</f>
        <v>Quarterly</v>
      </c>
      <c r="C15" s="886"/>
      <c r="D15" s="332"/>
      <c r="E15" s="329"/>
      <c r="F15" s="271"/>
      <c r="G15" s="271"/>
      <c r="H15" s="313"/>
      <c r="I15" s="776" t="s">
        <v>1224</v>
      </c>
      <c r="J15" s="328" t="str">
        <f>B15</f>
        <v>Quarterly</v>
      </c>
      <c r="K15" s="331"/>
      <c r="L15" s="332"/>
      <c r="M15" s="313"/>
      <c r="N15" s="143"/>
      <c r="O15" s="88" t="s">
        <v>907</v>
      </c>
      <c r="P15" t="s">
        <v>908</v>
      </c>
      <c r="Q15" s="144"/>
      <c r="R15" s="313"/>
      <c r="S15" s="143"/>
      <c r="T15" s="88" t="s">
        <v>907</v>
      </c>
      <c r="U15" t="s">
        <v>908</v>
      </c>
      <c r="V15" s="144"/>
      <c r="W15" s="313"/>
    </row>
    <row r="16" spans="1:23" x14ac:dyDescent="0.25">
      <c r="A16" s="327"/>
      <c r="B16" s="828"/>
      <c r="C16" s="886"/>
      <c r="D16" s="332"/>
      <c r="E16" s="329"/>
      <c r="F16" s="271"/>
      <c r="G16" s="271"/>
      <c r="H16" s="313"/>
      <c r="I16" s="359"/>
      <c r="J16" s="88" t="s">
        <v>906</v>
      </c>
      <c r="K16" s="330">
        <f>Incentives!$I$18</f>
        <v>0.01</v>
      </c>
      <c r="L16" s="332"/>
      <c r="M16" s="313"/>
      <c r="N16" s="776" t="s">
        <v>1224</v>
      </c>
      <c r="O16" s="903" t="str">
        <f>B27</f>
        <v>Quarterly</v>
      </c>
      <c r="P16" s="331"/>
      <c r="Q16" s="332"/>
      <c r="R16" s="313"/>
      <c r="S16" s="776" t="s">
        <v>1224</v>
      </c>
      <c r="T16" s="903" t="str">
        <f>B37</f>
        <v>Quarterly</v>
      </c>
      <c r="U16" s="331"/>
      <c r="V16" s="332"/>
      <c r="W16" s="313"/>
    </row>
    <row r="17" spans="1:23" x14ac:dyDescent="0.25">
      <c r="A17" s="143"/>
      <c r="B17" s="805"/>
      <c r="C17" s="805"/>
      <c r="D17" s="144"/>
      <c r="I17" s="143"/>
      <c r="J17" s="88" t="s">
        <v>907</v>
      </c>
      <c r="K17" t="s">
        <v>908</v>
      </c>
      <c r="L17" s="144"/>
      <c r="M17" s="333"/>
      <c r="N17" s="143"/>
      <c r="Q17" s="360"/>
      <c r="S17" s="143"/>
      <c r="V17" s="144"/>
    </row>
    <row r="18" spans="1:23" ht="30" x14ac:dyDescent="0.25">
      <c r="A18" s="334"/>
      <c r="B18" s="335" t="s">
        <v>765</v>
      </c>
      <c r="C18" s="335" t="s">
        <v>766</v>
      </c>
      <c r="D18" s="761" t="s">
        <v>767</v>
      </c>
      <c r="E18" s="336"/>
      <c r="F18" s="337"/>
      <c r="G18" s="337" t="s">
        <v>768</v>
      </c>
      <c r="H18" s="338"/>
      <c r="I18" s="776">
        <v>3</v>
      </c>
      <c r="J18" s="337"/>
      <c r="K18" s="777" t="s">
        <v>1083</v>
      </c>
      <c r="L18" s="778" t="s">
        <v>1084</v>
      </c>
      <c r="M18" s="338"/>
      <c r="N18" s="776">
        <v>3</v>
      </c>
      <c r="P18" s="777" t="s">
        <v>1083</v>
      </c>
      <c r="Q18" s="778" t="s">
        <v>1084</v>
      </c>
      <c r="R18" s="338"/>
      <c r="S18" s="776">
        <v>2</v>
      </c>
      <c r="U18" s="777" t="s">
        <v>1085</v>
      </c>
      <c r="V18" s="778" t="s">
        <v>1086</v>
      </c>
      <c r="W18" s="338"/>
    </row>
    <row r="19" spans="1:23" x14ac:dyDescent="0.25">
      <c r="A19" s="143"/>
      <c r="B19" s="911">
        <v>0</v>
      </c>
      <c r="C19" s="376">
        <f>IF(ISERROR(B20-0.01),"",B20-0.01)</f>
        <v>-0.01</v>
      </c>
      <c r="D19" s="925">
        <f>Incentives!$I$17</f>
        <v>0</v>
      </c>
      <c r="E19" s="340"/>
      <c r="I19" s="357" t="s">
        <v>1079</v>
      </c>
      <c r="K19">
        <v>0</v>
      </c>
      <c r="L19" s="765">
        <f>D19</f>
        <v>0</v>
      </c>
      <c r="N19" s="357" t="s">
        <v>1079</v>
      </c>
      <c r="P19" s="373">
        <f>B29</f>
        <v>0</v>
      </c>
      <c r="Q19" s="766">
        <f>D29</f>
        <v>0</v>
      </c>
      <c r="S19" s="357" t="s">
        <v>1079</v>
      </c>
      <c r="U19" s="24">
        <f>B39</f>
        <v>0</v>
      </c>
      <c r="V19" s="766">
        <f>D39</f>
        <v>0</v>
      </c>
    </row>
    <row r="20" spans="1:23" x14ac:dyDescent="0.25">
      <c r="A20" s="143"/>
      <c r="B20" s="370">
        <f>ROUND(Incentives!$G$18,0)</f>
        <v>0</v>
      </c>
      <c r="C20" s="376">
        <f>IF(ISERROR(B21-0.01),"",B21-0.01)</f>
        <v>-0.01</v>
      </c>
      <c r="D20" s="925">
        <f>Incentives!$I$18</f>
        <v>0.01</v>
      </c>
      <c r="E20" s="340"/>
      <c r="F20">
        <v>1</v>
      </c>
      <c r="G20" s="341">
        <f>Incentives!$E$18</f>
        <v>0</v>
      </c>
      <c r="H20" s="342"/>
      <c r="I20" s="357" t="s">
        <v>1080</v>
      </c>
      <c r="J20" t="str">
        <f>IF(AND($B$20=0, B21=0),"Flat Rate",0)</f>
        <v>Flat Rate</v>
      </c>
      <c r="K20" t="str">
        <f>IF($B$20=0,"",ROUND($B$20,0))</f>
        <v/>
      </c>
      <c r="L20" s="766">
        <f t="shared" ref="L20:L22" si="0">D20</f>
        <v>0.01</v>
      </c>
      <c r="N20" s="357" t="s">
        <v>1080</v>
      </c>
      <c r="P20" s="374">
        <f>B30</f>
        <v>0</v>
      </c>
      <c r="Q20" s="766">
        <f>D30</f>
        <v>0.01</v>
      </c>
      <c r="S20" s="357" t="s">
        <v>1080</v>
      </c>
      <c r="U20" s="24">
        <f>B40</f>
        <v>0</v>
      </c>
      <c r="V20" s="766">
        <f>D40</f>
        <v>0.01</v>
      </c>
    </row>
    <row r="21" spans="1:23" x14ac:dyDescent="0.25">
      <c r="A21" s="143"/>
      <c r="B21" s="370">
        <f>IF(D21=0,"",ROUND(Incentives!$G$19,0))</f>
        <v>0</v>
      </c>
      <c r="C21" s="376" t="str">
        <f>IF(OR(ISERROR(B22-0.01),B22=0),"",B22-0.01)</f>
        <v/>
      </c>
      <c r="D21" s="925">
        <f>Incentives!$I$19</f>
        <v>1.4999999999999999E-2</v>
      </c>
      <c r="E21" s="340"/>
      <c r="F21">
        <v>2</v>
      </c>
      <c r="G21" s="341">
        <f>Incentives!$E$19</f>
        <v>0</v>
      </c>
      <c r="H21" s="342"/>
      <c r="I21" s="357" t="s">
        <v>1081</v>
      </c>
      <c r="K21">
        <f>IF($B$21="","",ROUND($B$21,0))</f>
        <v>0</v>
      </c>
      <c r="L21" s="766">
        <f t="shared" si="0"/>
        <v>1.4999999999999999E-2</v>
      </c>
      <c r="N21" s="357" t="s">
        <v>1081</v>
      </c>
      <c r="P21" s="374">
        <f>B31</f>
        <v>0</v>
      </c>
      <c r="Q21" s="766">
        <f>D31</f>
        <v>1.4999999999999999E-2</v>
      </c>
      <c r="S21" s="357" t="s">
        <v>1081</v>
      </c>
      <c r="U21" s="59">
        <f>B41</f>
        <v>0</v>
      </c>
      <c r="V21" s="765">
        <f>D41</f>
        <v>1.4999999999999999E-2</v>
      </c>
    </row>
    <row r="22" spans="1:23" ht="15.75" thickBot="1" x14ac:dyDescent="0.3">
      <c r="A22" s="290"/>
      <c r="B22" s="371">
        <f>IF(D22=0,"",Incentives!$G$20)</f>
        <v>0</v>
      </c>
      <c r="C22" s="344">
        <v>999999.99</v>
      </c>
      <c r="D22" s="926">
        <f>Incentives!$I$20</f>
        <v>0.02</v>
      </c>
      <c r="E22" s="346"/>
      <c r="F22" s="291">
        <v>3</v>
      </c>
      <c r="G22" s="347">
        <f>Incentives!$E$20</f>
        <v>0</v>
      </c>
      <c r="H22" s="348"/>
      <c r="I22" s="357" t="s">
        <v>1082</v>
      </c>
      <c r="J22" s="291"/>
      <c r="K22" s="291">
        <f>IF($B$22="","",ROUND($B$22,0))</f>
        <v>0</v>
      </c>
      <c r="L22" s="856">
        <f t="shared" si="0"/>
        <v>0.02</v>
      </c>
      <c r="M22" s="349"/>
      <c r="N22" s="357" t="s">
        <v>1082</v>
      </c>
      <c r="O22" s="291"/>
      <c r="P22" s="375">
        <f>B32</f>
        <v>0</v>
      </c>
      <c r="Q22" s="856">
        <f>D32</f>
        <v>0.02</v>
      </c>
      <c r="R22" s="349"/>
      <c r="S22" s="357" t="s">
        <v>1082</v>
      </c>
      <c r="U22" s="59">
        <f>B42</f>
        <v>0</v>
      </c>
      <c r="V22" s="765">
        <f>D42</f>
        <v>0.02</v>
      </c>
    </row>
    <row r="23" spans="1:23" ht="16.5" thickBot="1" x14ac:dyDescent="0.3">
      <c r="E23" s="919"/>
      <c r="H23" s="848"/>
      <c r="I23" s="1330" t="s">
        <v>1213</v>
      </c>
      <c r="J23" s="1331"/>
      <c r="K23" s="1331"/>
      <c r="L23" s="1332"/>
      <c r="M23" s="847"/>
      <c r="N23" s="1353" t="s">
        <v>1214</v>
      </c>
      <c r="O23" s="1354"/>
      <c r="P23" s="1354"/>
      <c r="Q23" s="1355"/>
      <c r="R23" s="847"/>
      <c r="S23" s="1330" t="s">
        <v>1202</v>
      </c>
      <c r="T23" s="1331"/>
      <c r="U23" s="1331"/>
      <c r="V23" s="1332"/>
    </row>
    <row r="24" spans="1:23" ht="15.75" thickBot="1" x14ac:dyDescent="0.3">
      <c r="A24" s="1365" t="s">
        <v>485</v>
      </c>
      <c r="B24" s="1366"/>
      <c r="C24" s="1366"/>
      <c r="D24" s="1367"/>
      <c r="E24" s="318"/>
      <c r="F24" s="141"/>
      <c r="G24" s="141"/>
      <c r="H24" s="319"/>
      <c r="I24" s="1356" t="s">
        <v>769</v>
      </c>
      <c r="J24" s="1357"/>
      <c r="K24" s="1357"/>
      <c r="L24" s="1358"/>
      <c r="M24" s="847"/>
      <c r="N24" s="1362" t="s">
        <v>769</v>
      </c>
      <c r="O24" s="1363"/>
      <c r="P24" s="1363"/>
      <c r="Q24" s="1364"/>
      <c r="R24" s="847"/>
      <c r="S24" s="1356" t="s">
        <v>770</v>
      </c>
      <c r="T24" s="1357"/>
      <c r="U24" s="1357"/>
      <c r="V24" s="1358"/>
    </row>
    <row r="25" spans="1:23" x14ac:dyDescent="0.25">
      <c r="A25" s="327" t="s">
        <v>751</v>
      </c>
      <c r="B25" s="828">
        <f>$L$4</f>
        <v>0</v>
      </c>
      <c r="C25" s="886" t="s">
        <v>762</v>
      </c>
      <c r="D25" s="332" t="e">
        <f>$S$4</f>
        <v>#VALUE!</v>
      </c>
      <c r="I25" s="944" t="s">
        <v>763</v>
      </c>
      <c r="J25" s="321">
        <f>$L$4</f>
        <v>0</v>
      </c>
      <c r="K25" s="362" t="s">
        <v>764</v>
      </c>
      <c r="L25" s="363" t="e">
        <f>$S$4</f>
        <v>#VALUE!</v>
      </c>
      <c r="N25" s="143"/>
      <c r="O25" s="805"/>
      <c r="P25" s="805"/>
      <c r="Q25" s="144"/>
      <c r="S25" s="143" t="s">
        <v>763</v>
      </c>
      <c r="T25" s="828">
        <f>$L$4</f>
        <v>0</v>
      </c>
      <c r="U25" s="830" t="s">
        <v>764</v>
      </c>
      <c r="V25" s="351" t="e">
        <f>$S$4</f>
        <v>#VALUE!</v>
      </c>
    </row>
    <row r="26" spans="1:23" ht="30" x14ac:dyDescent="0.25">
      <c r="A26" s="327" t="s">
        <v>895</v>
      </c>
      <c r="B26" s="828" t="str">
        <f>Incentives!$I$25</f>
        <v>Select Payment Method</v>
      </c>
      <c r="C26" s="886"/>
      <c r="D26" s="332"/>
      <c r="I26" s="938"/>
      <c r="J26" s="830" t="str">
        <f>IF(Incentives!$I$63="Check","Check","Credit Memo")</f>
        <v>Credit Memo</v>
      </c>
      <c r="K26" s="805" t="str">
        <f>Incentives!$K$63</f>
        <v/>
      </c>
      <c r="L26" s="351"/>
      <c r="N26" s="143"/>
      <c r="O26" s="834" t="s">
        <v>1194</v>
      </c>
      <c r="P26" s="834"/>
      <c r="Q26" s="835">
        <f>D62</f>
        <v>0</v>
      </c>
      <c r="S26" s="327" t="s">
        <v>914</v>
      </c>
      <c r="T26" s="828" t="str">
        <f>Incentives!$I$80</f>
        <v>Select Payment Method</v>
      </c>
      <c r="U26" s="829" t="str">
        <f>IF($T$26="Check","Check","Credit Memo")</f>
        <v>Credit Memo</v>
      </c>
      <c r="V26" s="689" t="str">
        <f>Incentives!$K$80</f>
        <v/>
      </c>
    </row>
    <row r="27" spans="1:23" x14ac:dyDescent="0.25">
      <c r="A27" s="143" t="s">
        <v>1224</v>
      </c>
      <c r="B27" s="805" t="str">
        <f>Incentives!$G$25</f>
        <v>Quarterly</v>
      </c>
      <c r="C27" s="805"/>
      <c r="D27" s="144"/>
      <c r="I27" s="143"/>
      <c r="J27" s="805"/>
      <c r="K27" s="805"/>
      <c r="L27" s="144"/>
      <c r="N27" s="836" t="s">
        <v>1193</v>
      </c>
      <c r="O27" s="834" t="s">
        <v>763</v>
      </c>
      <c r="P27" s="834" t="s">
        <v>764</v>
      </c>
      <c r="Q27" s="837"/>
      <c r="S27" s="143"/>
      <c r="T27" s="805" t="s">
        <v>892</v>
      </c>
      <c r="U27" s="805"/>
      <c r="V27" s="144"/>
    </row>
    <row r="28" spans="1:23" ht="30" x14ac:dyDescent="0.25">
      <c r="A28" s="143"/>
      <c r="B28" s="335" t="s">
        <v>126</v>
      </c>
      <c r="C28" s="335" t="s">
        <v>128</v>
      </c>
      <c r="D28" s="761" t="s">
        <v>767</v>
      </c>
      <c r="E28" s="352"/>
      <c r="I28" s="143"/>
      <c r="J28" s="805"/>
      <c r="K28" s="805"/>
      <c r="L28" s="144"/>
      <c r="N28" s="838" t="s">
        <v>1197</v>
      </c>
      <c r="O28" s="839">
        <f>L4</f>
        <v>0</v>
      </c>
      <c r="P28" s="839">
        <f>O28+363</f>
        <v>363</v>
      </c>
      <c r="Q28" s="840" t="e">
        <f>$C$62/$B$62</f>
        <v>#VALUE!</v>
      </c>
      <c r="S28" s="143"/>
      <c r="T28" s="805"/>
      <c r="U28" s="805"/>
      <c r="V28" s="144"/>
    </row>
    <row r="29" spans="1:23" ht="30" x14ac:dyDescent="0.25">
      <c r="A29" s="143"/>
      <c r="B29" s="372">
        <v>0</v>
      </c>
      <c r="C29" s="376">
        <f>ROUND(IF(ISERROR(B30-0.01),"",B30-0.01),2)</f>
        <v>-0.01</v>
      </c>
      <c r="D29" s="764">
        <f>Incentives!$I$28</f>
        <v>0</v>
      </c>
      <c r="I29" s="356">
        <v>1</v>
      </c>
      <c r="J29" s="831" t="s">
        <v>772</v>
      </c>
      <c r="K29" s="832">
        <f>IF(B60="YES - Purchase Commitment",Incentives!$M$66,Incentives!$K$66)</f>
        <v>0</v>
      </c>
      <c r="L29" s="144"/>
      <c r="N29" s="838" t="s">
        <v>1198</v>
      </c>
      <c r="O29" s="839">
        <f>P28+1</f>
        <v>364</v>
      </c>
      <c r="P29" s="839">
        <f>O29+370</f>
        <v>734</v>
      </c>
      <c r="Q29" s="840" t="e">
        <f>$C$62/$B$62</f>
        <v>#VALUE!</v>
      </c>
      <c r="S29" s="356">
        <v>2</v>
      </c>
      <c r="T29" s="831" t="s">
        <v>772</v>
      </c>
      <c r="U29" s="832">
        <f>Incentives!$K$83</f>
        <v>3</v>
      </c>
      <c r="V29" s="144"/>
    </row>
    <row r="30" spans="1:23" x14ac:dyDescent="0.25">
      <c r="A30" s="143"/>
      <c r="B30" s="370">
        <f>ROUND(Incentives!$G$29,0)</f>
        <v>0</v>
      </c>
      <c r="C30" s="376">
        <f t="shared" ref="C30:C31" si="1">ROUND(IF(ISERROR(B31-0.01),"",B31-0.01),2)</f>
        <v>-0.01</v>
      </c>
      <c r="D30" s="764">
        <f>Incentives!$I$29</f>
        <v>0.01</v>
      </c>
      <c r="I30" s="945" t="str">
        <f>IF($B$60="YES - Purchase Commitment",3,"")</f>
        <v/>
      </c>
      <c r="J30" s="831" t="str">
        <f>IF($B$60="YES - Purchase Commitment","Min Sales Required","")</f>
        <v/>
      </c>
      <c r="K30" s="833">
        <f>$G$4</f>
        <v>0</v>
      </c>
      <c r="L30" s="144" t="s">
        <v>896</v>
      </c>
      <c r="N30" s="838" t="s">
        <v>1199</v>
      </c>
      <c r="O30" s="839">
        <f>P29+1</f>
        <v>735</v>
      </c>
      <c r="P30" s="839">
        <f>O30+363</f>
        <v>1098</v>
      </c>
      <c r="Q30" s="840" t="e">
        <f>$C$62/$B$62</f>
        <v>#VALUE!</v>
      </c>
      <c r="S30" s="143"/>
      <c r="T30" s="805"/>
      <c r="U30" s="805"/>
      <c r="V30" s="144"/>
    </row>
    <row r="31" spans="1:23" x14ac:dyDescent="0.25">
      <c r="A31" s="143"/>
      <c r="B31" s="370">
        <f>ROUND(Incentives!$G$30,0)</f>
        <v>0</v>
      </c>
      <c r="C31" s="376">
        <f t="shared" si="1"/>
        <v>-0.01</v>
      </c>
      <c r="D31" s="764">
        <f>Incentives!$I$30</f>
        <v>1.4999999999999999E-2</v>
      </c>
      <c r="I31" s="945">
        <f>IF($B$60="YES - Purchase Commitment"," ",3)</f>
        <v>3</v>
      </c>
      <c r="J31" s="831" t="str">
        <f>IF($B$60="YES - Purchase Commitment"," ","Min Sales Required")</f>
        <v>Min Sales Required</v>
      </c>
      <c r="K31" s="833" t="e">
        <f>IF($B$60="YES - Purchase Commitment","",$G$4*$G$5)</f>
        <v>#VALUE!</v>
      </c>
      <c r="L31" s="689" t="s">
        <v>778</v>
      </c>
      <c r="N31" s="838" t="s">
        <v>1200</v>
      </c>
      <c r="O31" s="839">
        <f>P30+1</f>
        <v>1099</v>
      </c>
      <c r="P31" s="839">
        <f>O31+363</f>
        <v>1462</v>
      </c>
      <c r="Q31" s="840" t="e">
        <f>$C$62/$B$62</f>
        <v>#VALUE!</v>
      </c>
      <c r="S31" s="143"/>
      <c r="T31" s="805"/>
      <c r="U31" s="805"/>
      <c r="V31" s="144"/>
    </row>
    <row r="32" spans="1:23" ht="15.75" thickBot="1" x14ac:dyDescent="0.3">
      <c r="A32" s="290"/>
      <c r="B32" s="371">
        <f>ROUND(Incentives!$G$31,0)</f>
        <v>0</v>
      </c>
      <c r="C32" s="344">
        <v>999999.99</v>
      </c>
      <c r="D32" s="763">
        <f>Incentives!$I$31</f>
        <v>0.02</v>
      </c>
      <c r="E32" s="353"/>
      <c r="F32" s="291"/>
      <c r="G32" s="291"/>
      <c r="H32" s="349"/>
      <c r="I32" s="290"/>
      <c r="J32" s="291"/>
      <c r="K32" s="291"/>
      <c r="L32" s="292"/>
      <c r="N32" s="841" t="s">
        <v>1201</v>
      </c>
      <c r="O32" s="842">
        <f>P31+1</f>
        <v>1463</v>
      </c>
      <c r="P32" s="842">
        <f>O32+363</f>
        <v>1826</v>
      </c>
      <c r="Q32" s="843" t="e">
        <f>$C$62/$B$62</f>
        <v>#VALUE!</v>
      </c>
      <c r="S32" s="290"/>
      <c r="T32" s="291"/>
      <c r="U32" s="291"/>
      <c r="V32" s="292"/>
    </row>
    <row r="33" spans="1:22" ht="16.5" thickBot="1" x14ac:dyDescent="0.3">
      <c r="E33" s="919"/>
      <c r="H33" s="848"/>
      <c r="I33" s="1359" t="s">
        <v>771</v>
      </c>
      <c r="J33" s="1360"/>
      <c r="K33" s="1360"/>
      <c r="L33" s="1361"/>
      <c r="M33" s="848"/>
      <c r="N33" s="1347" t="s">
        <v>1091</v>
      </c>
      <c r="O33" s="1348"/>
      <c r="P33" s="1348"/>
      <c r="Q33" s="1349"/>
      <c r="R33" s="848"/>
      <c r="S33" s="1347" t="s">
        <v>1225</v>
      </c>
      <c r="T33" s="1348"/>
      <c r="U33" s="1348"/>
      <c r="V33" s="1349"/>
    </row>
    <row r="34" spans="1:22" ht="15.75" thickBot="1" x14ac:dyDescent="0.3">
      <c r="A34" s="1365" t="s">
        <v>546</v>
      </c>
      <c r="B34" s="1366"/>
      <c r="C34" s="1366"/>
      <c r="D34" s="1367"/>
      <c r="E34" s="318"/>
      <c r="F34" s="141"/>
      <c r="G34" s="141"/>
      <c r="H34" s="319"/>
      <c r="I34" s="1344" t="s">
        <v>774</v>
      </c>
      <c r="J34" s="1345"/>
      <c r="K34" s="1345"/>
      <c r="L34" s="1346"/>
      <c r="M34" s="848"/>
      <c r="N34" s="1350" t="s">
        <v>773</v>
      </c>
      <c r="O34" s="1351"/>
      <c r="P34" s="1351"/>
      <c r="Q34" s="1352"/>
      <c r="R34" s="848"/>
      <c r="S34" s="1356" t="s">
        <v>1233</v>
      </c>
      <c r="T34" s="1357"/>
      <c r="U34" s="1357"/>
      <c r="V34" s="1358"/>
    </row>
    <row r="35" spans="1:22" x14ac:dyDescent="0.25">
      <c r="A35" s="327" t="s">
        <v>751</v>
      </c>
      <c r="B35" s="328">
        <f>$L$4</f>
        <v>0</v>
      </c>
      <c r="C35" s="271" t="s">
        <v>762</v>
      </c>
      <c r="D35" s="332" t="e">
        <f>$S$4</f>
        <v>#VALUE!</v>
      </c>
      <c r="I35" s="361" t="s">
        <v>763</v>
      </c>
      <c r="J35" s="321">
        <f>$L$4</f>
        <v>0</v>
      </c>
      <c r="K35" s="362" t="s">
        <v>764</v>
      </c>
      <c r="L35" s="363" t="e">
        <f>$S$4</f>
        <v>#VALUE!</v>
      </c>
      <c r="N35" s="143" t="s">
        <v>1092</v>
      </c>
      <c r="O35" s="365">
        <f>$L$4</f>
        <v>0</v>
      </c>
      <c r="P35" t="s">
        <v>764</v>
      </c>
      <c r="Q35" s="351" t="e">
        <f>$S$4</f>
        <v>#VALUE!</v>
      </c>
      <c r="S35" s="866" t="s">
        <v>822</v>
      </c>
      <c r="T35" s="872">
        <f>$L$4</f>
        <v>0</v>
      </c>
      <c r="U35" s="874" t="s">
        <v>764</v>
      </c>
      <c r="V35" s="873" t="e">
        <f>$S$4</f>
        <v>#VALUE!</v>
      </c>
    </row>
    <row r="36" spans="1:22" ht="45" x14ac:dyDescent="0.25">
      <c r="A36" s="327" t="s">
        <v>915</v>
      </c>
      <c r="B36" s="328" t="str">
        <f>Incentives!$I$36</f>
        <v>Select Payment Method</v>
      </c>
      <c r="C36" s="271"/>
      <c r="D36" s="332"/>
      <c r="I36" s="327" t="s">
        <v>914</v>
      </c>
      <c r="J36" s="828" t="str">
        <f>Incentives!$I$55</f>
        <v>Select Payment Method</v>
      </c>
      <c r="K36" s="829" t="str">
        <f>IF(J36="Check","Check","Credit Memo")</f>
        <v>Credit Memo</v>
      </c>
      <c r="L36" s="689" t="str">
        <f>Incentives!$K$55</f>
        <v/>
      </c>
      <c r="N36" s="327" t="s">
        <v>914</v>
      </c>
      <c r="O36" s="271" t="str">
        <f>$B$82</f>
        <v>Select Payment Method</v>
      </c>
      <c r="Q36" s="144"/>
      <c r="S36" s="875" t="s">
        <v>1227</v>
      </c>
      <c r="T36" s="876" t="str">
        <f>$B$46</f>
        <v>Select Payment Method</v>
      </c>
      <c r="U36" s="867"/>
      <c r="V36" s="868"/>
    </row>
    <row r="37" spans="1:22" x14ac:dyDescent="0.25">
      <c r="A37" s="866" t="s">
        <v>1224</v>
      </c>
      <c r="B37" s="914" t="str">
        <f>Incentives!$G$36</f>
        <v>Quarterly</v>
      </c>
      <c r="D37" s="144"/>
      <c r="I37" s="776" t="s">
        <v>1224</v>
      </c>
      <c r="J37" s="903" t="str">
        <f>B54</f>
        <v>Quarterly</v>
      </c>
      <c r="K37" s="805"/>
      <c r="L37" s="144"/>
      <c r="N37" s="143"/>
      <c r="Q37" s="144"/>
      <c r="S37" s="866" t="s">
        <v>1228</v>
      </c>
      <c r="T37" s="867" t="str">
        <f>$B$47</f>
        <v>Quarterly</v>
      </c>
      <c r="U37" s="867"/>
      <c r="V37" s="868"/>
    </row>
    <row r="38" spans="1:22" ht="30" x14ac:dyDescent="0.25">
      <c r="A38" s="143"/>
      <c r="B38" s="335" t="s">
        <v>126</v>
      </c>
      <c r="C38" s="335" t="s">
        <v>128</v>
      </c>
      <c r="D38" s="761" t="s">
        <v>534</v>
      </c>
      <c r="I38" s="776">
        <v>3</v>
      </c>
      <c r="J38" s="831" t="s">
        <v>1232</v>
      </c>
      <c r="K38" s="858">
        <f>D55</f>
        <v>0</v>
      </c>
      <c r="L38" s="144"/>
      <c r="N38" s="143"/>
      <c r="O38" t="s">
        <v>772</v>
      </c>
      <c r="P38" s="22">
        <f>D84</f>
        <v>0</v>
      </c>
      <c r="Q38" s="144"/>
      <c r="S38" s="866"/>
      <c r="T38" s="867"/>
      <c r="U38" s="867" t="s">
        <v>1221</v>
      </c>
      <c r="V38" s="878">
        <f>$C$48</f>
        <v>0</v>
      </c>
    </row>
    <row r="39" spans="1:22" x14ac:dyDescent="0.25">
      <c r="A39" s="143"/>
      <c r="B39" s="759">
        <v>0</v>
      </c>
      <c r="C39" s="760">
        <f>IF(ISERROR(B40-0.01),"",(B40-0.0001))</f>
        <v>-1E-4</v>
      </c>
      <c r="D39" s="762">
        <v>0</v>
      </c>
      <c r="I39" s="776">
        <v>4</v>
      </c>
      <c r="J39" s="831" t="s">
        <v>1231</v>
      </c>
      <c r="K39" s="858">
        <f>$C$55</f>
        <v>0</v>
      </c>
      <c r="L39" s="144"/>
      <c r="N39" s="143"/>
      <c r="Q39" s="144"/>
      <c r="S39" s="866"/>
      <c r="T39" s="867"/>
      <c r="U39" s="867" t="s">
        <v>1223</v>
      </c>
      <c r="V39" s="877">
        <f>D48</f>
        <v>0</v>
      </c>
    </row>
    <row r="40" spans="1:22" ht="15.75" thickBot="1" x14ac:dyDescent="0.3">
      <c r="A40" s="143"/>
      <c r="B40" s="339">
        <f>Incentives!$G$40</f>
        <v>0</v>
      </c>
      <c r="C40" s="760" t="str">
        <f>IF(OR(ISERROR(B41-0.01),B41=0),"",(B41-0.0001))</f>
        <v/>
      </c>
      <c r="D40" s="764">
        <f>Incentives!$I$40</f>
        <v>0.01</v>
      </c>
      <c r="F40" s="910"/>
      <c r="G40" s="910"/>
      <c r="I40" s="290"/>
      <c r="J40" s="291"/>
      <c r="K40" s="291"/>
      <c r="L40" s="292"/>
      <c r="N40" s="290"/>
      <c r="O40" s="291"/>
      <c r="P40" s="291"/>
      <c r="Q40" s="292"/>
      <c r="S40" s="869"/>
      <c r="T40" s="870"/>
      <c r="U40" s="870"/>
      <c r="V40" s="871"/>
    </row>
    <row r="41" spans="1:22" ht="16.5" thickBot="1" x14ac:dyDescent="0.3">
      <c r="A41" s="143"/>
      <c r="B41" s="339">
        <f>Incentives!$G$41</f>
        <v>0</v>
      </c>
      <c r="C41" s="760" t="str">
        <f>IF(OR(ISERROR(B42-0.01),B42=0),"",(B42-0.0001))</f>
        <v/>
      </c>
      <c r="D41" s="764">
        <f>Incentives!$I$41</f>
        <v>1.4999999999999999E-2</v>
      </c>
      <c r="F41" s="910"/>
      <c r="G41" s="910"/>
      <c r="H41" s="915"/>
      <c r="I41" s="805"/>
      <c r="N41" s="1330" t="s">
        <v>1276</v>
      </c>
      <c r="O41" s="1331"/>
      <c r="P41" s="1331"/>
      <c r="Q41" s="1332"/>
      <c r="S41" s="1330"/>
      <c r="T41" s="1331"/>
      <c r="U41" s="1331"/>
      <c r="V41" s="1332"/>
    </row>
    <row r="42" spans="1:22" ht="15.75" thickBot="1" x14ac:dyDescent="0.3">
      <c r="A42" s="290"/>
      <c r="B42" s="345">
        <f>Incentives!$G$42</f>
        <v>0</v>
      </c>
      <c r="C42" s="355">
        <v>1</v>
      </c>
      <c r="D42" s="763">
        <f>Incentives!$I$42</f>
        <v>0.02</v>
      </c>
      <c r="E42" s="353"/>
      <c r="F42" s="805"/>
      <c r="G42" s="805"/>
      <c r="H42" s="916"/>
      <c r="I42" s="805"/>
      <c r="N42" s="1356" t="s">
        <v>1277</v>
      </c>
      <c r="O42" s="1357"/>
      <c r="P42" s="1357"/>
      <c r="Q42" s="1358"/>
      <c r="R42" s="966"/>
      <c r="S42" s="1356"/>
      <c r="T42" s="1357"/>
      <c r="U42" s="1357"/>
      <c r="V42" s="1358"/>
    </row>
    <row r="43" spans="1:22" ht="15.75" thickBot="1" x14ac:dyDescent="0.3">
      <c r="E43" s="919"/>
      <c r="F43" s="920"/>
      <c r="G43" s="922"/>
      <c r="H43" s="848"/>
      <c r="I43" s="844"/>
      <c r="J43" s="369" t="s">
        <v>755</v>
      </c>
      <c r="K43" s="845" t="s">
        <v>756</v>
      </c>
      <c r="L43" s="846"/>
      <c r="N43" s="944" t="s">
        <v>763</v>
      </c>
      <c r="O43" s="321">
        <f>$L$4</f>
        <v>0</v>
      </c>
      <c r="P43" s="362" t="s">
        <v>764</v>
      </c>
      <c r="Q43" s="363" t="e">
        <f>$S$4</f>
        <v>#VALUE!</v>
      </c>
      <c r="S43" s="944"/>
      <c r="T43" s="321"/>
      <c r="U43" s="362"/>
      <c r="V43" s="363"/>
    </row>
    <row r="44" spans="1:22" x14ac:dyDescent="0.25">
      <c r="A44" s="1365" t="s">
        <v>1225</v>
      </c>
      <c r="B44" s="1366"/>
      <c r="C44" s="1366"/>
      <c r="D44" s="1367"/>
      <c r="E44" s="318"/>
      <c r="F44" s="805"/>
      <c r="G44" s="805"/>
      <c r="I44" s="917">
        <v>1</v>
      </c>
      <c r="J44" s="296">
        <f>IFERROR('MDA Worksheet'!D95,"")</f>
        <v>0</v>
      </c>
      <c r="K44" s="749" t="str">
        <f>IFERROR('MDA Worksheet'!$K$95,"")</f>
        <v/>
      </c>
      <c r="N44" s="143"/>
      <c r="O44" s="805"/>
      <c r="P44" s="805"/>
      <c r="Q44" s="144"/>
      <c r="S44" s="143"/>
      <c r="T44" s="805"/>
      <c r="U44" s="805"/>
      <c r="V44" s="144"/>
    </row>
    <row r="45" spans="1:22" x14ac:dyDescent="0.25">
      <c r="A45" s="143" t="s">
        <v>761</v>
      </c>
      <c r="B45" s="828">
        <f>$L$4</f>
        <v>0</v>
      </c>
      <c r="C45" s="805"/>
      <c r="D45" s="332" t="e">
        <f>$S$4</f>
        <v>#VALUE!</v>
      </c>
      <c r="I45" s="918">
        <v>2</v>
      </c>
      <c r="J45" s="297">
        <f>IFERROR('MDA Worksheet'!D96,"")</f>
        <v>0</v>
      </c>
      <c r="K45" s="1" t="str">
        <f>IFERROR('MDA Worksheet'!K96,"")</f>
        <v/>
      </c>
      <c r="N45" s="143"/>
      <c r="O45" s="805" t="str">
        <f>B68</f>
        <v>Select Payment Method</v>
      </c>
      <c r="P45" s="805"/>
      <c r="Q45" s="144"/>
      <c r="S45" s="143"/>
      <c r="T45" s="805"/>
      <c r="U45" s="805"/>
      <c r="V45" s="144"/>
    </row>
    <row r="46" spans="1:22" x14ac:dyDescent="0.25">
      <c r="A46" s="889" t="s">
        <v>895</v>
      </c>
      <c r="B46" s="805" t="str">
        <f>Incentives!$I$47</f>
        <v>Select Payment Method</v>
      </c>
      <c r="C46" s="805"/>
      <c r="D46" s="144"/>
      <c r="I46" s="918">
        <v>3</v>
      </c>
      <c r="J46" s="297">
        <f>IFERROR('MDA Worksheet'!D97,"")</f>
        <v>0</v>
      </c>
      <c r="K46" s="1" t="str">
        <f>IFERROR('MDA Worksheet'!K97,"")</f>
        <v/>
      </c>
      <c r="N46" s="143"/>
      <c r="O46" s="805"/>
      <c r="P46" s="805"/>
      <c r="Q46" s="144"/>
      <c r="S46" s="143"/>
      <c r="T46" s="805"/>
      <c r="U46" s="805"/>
      <c r="V46" s="144"/>
    </row>
    <row r="47" spans="1:22" ht="30" x14ac:dyDescent="0.25">
      <c r="A47" s="889" t="s">
        <v>1224</v>
      </c>
      <c r="B47" s="805" t="str">
        <f>Incentives!$G$47</f>
        <v>Quarterly</v>
      </c>
      <c r="C47" s="890" t="s">
        <v>1221</v>
      </c>
      <c r="D47" s="891" t="s">
        <v>1223</v>
      </c>
      <c r="F47" s="910"/>
      <c r="G47" s="910"/>
      <c r="H47" s="916"/>
      <c r="I47" s="918">
        <v>4</v>
      </c>
      <c r="J47" s="297">
        <f>IFERROR('MDA Worksheet'!D98,"")</f>
        <v>0</v>
      </c>
      <c r="K47" s="1" t="str">
        <f>IFERROR('MDA Worksheet'!K98,"")</f>
        <v/>
      </c>
      <c r="N47" s="356">
        <v>1</v>
      </c>
      <c r="O47" s="831" t="s">
        <v>772</v>
      </c>
      <c r="P47" s="968">
        <f>B69</f>
        <v>0</v>
      </c>
      <c r="Q47" s="144"/>
      <c r="S47" s="994"/>
      <c r="T47" s="995"/>
      <c r="U47" s="996"/>
      <c r="V47" s="868"/>
    </row>
    <row r="48" spans="1:22" x14ac:dyDescent="0.25">
      <c r="A48" s="143"/>
      <c r="B48" s="805"/>
      <c r="C48" s="833">
        <f>Incentives!$G$50</f>
        <v>0</v>
      </c>
      <c r="D48" s="766">
        <f>Incentives!$I$50</f>
        <v>0</v>
      </c>
      <c r="H48" s="916"/>
      <c r="I48" s="918">
        <v>5</v>
      </c>
      <c r="J48" s="297">
        <f>IFERROR('MDA Worksheet'!D99,"")</f>
        <v>0</v>
      </c>
      <c r="K48" s="1" t="str">
        <f>IFERROR('MDA Worksheet'!K99,"")</f>
        <v/>
      </c>
      <c r="N48" s="945" t="str">
        <f>IF($B$60="YES - Purchase Commitment",3,"")</f>
        <v/>
      </c>
      <c r="O48" s="831" t="str">
        <f>IF($B$60="YES - Purchase Commitment","Min Sales Required","")</f>
        <v/>
      </c>
      <c r="P48" s="833">
        <f>$G$4</f>
        <v>0</v>
      </c>
      <c r="Q48" s="144" t="s">
        <v>896</v>
      </c>
      <c r="S48" s="997"/>
      <c r="T48" s="995"/>
      <c r="U48" s="998"/>
      <c r="V48" s="868"/>
    </row>
    <row r="49" spans="1:23" ht="30.75" thickBot="1" x14ac:dyDescent="0.3">
      <c r="A49" s="290"/>
      <c r="B49" s="291"/>
      <c r="C49" s="291"/>
      <c r="D49" s="292"/>
      <c r="E49" s="353"/>
      <c r="F49" s="805"/>
      <c r="G49" s="805"/>
      <c r="H49" s="916"/>
      <c r="I49" s="918">
        <v>6</v>
      </c>
      <c r="J49" s="297">
        <f>IFERROR('MDA Worksheet'!D100,"")</f>
        <v>0</v>
      </c>
      <c r="K49" s="1" t="str">
        <f>IFERROR('MDA Worksheet'!K100,"")</f>
        <v/>
      </c>
      <c r="N49" s="967">
        <f>IF($B$60="YES - Purchase Commitment"," ",3)</f>
        <v>3</v>
      </c>
      <c r="O49" s="831" t="str">
        <f>IF($B$60="YES - Purchase Commitment"," ","Min Sales Required")</f>
        <v>Min Sales Required</v>
      </c>
      <c r="P49" s="833" t="e">
        <f>$D$72</f>
        <v>#VALUE!</v>
      </c>
      <c r="Q49" s="689" t="s">
        <v>778</v>
      </c>
      <c r="S49" s="997"/>
      <c r="T49" s="995"/>
      <c r="U49" s="998"/>
      <c r="V49" s="999"/>
    </row>
    <row r="50" spans="1:23" ht="15.75" thickBot="1" x14ac:dyDescent="0.3">
      <c r="A50" s="884"/>
      <c r="B50" s="884"/>
      <c r="C50" s="884"/>
      <c r="D50" s="884"/>
      <c r="E50" s="919"/>
      <c r="F50" s="920"/>
      <c r="G50" s="922"/>
      <c r="H50" s="848"/>
      <c r="I50" s="918">
        <v>7</v>
      </c>
      <c r="J50" s="297">
        <f>IFERROR('MDA Worksheet'!D101,"")</f>
        <v>0</v>
      </c>
      <c r="K50" s="1" t="str">
        <f>IFERROR('MDA Worksheet'!K101,"")</f>
        <v/>
      </c>
      <c r="N50" s="143"/>
      <c r="O50" s="805"/>
      <c r="P50" s="805"/>
      <c r="Q50" s="144"/>
      <c r="S50" s="866"/>
      <c r="T50" s="867"/>
      <c r="U50" s="867"/>
      <c r="V50" s="868"/>
    </row>
    <row r="51" spans="1:23" x14ac:dyDescent="0.25">
      <c r="A51" s="1365" t="s">
        <v>771</v>
      </c>
      <c r="B51" s="1366"/>
      <c r="C51" s="1366"/>
      <c r="D51" s="1367"/>
      <c r="E51" s="318"/>
      <c r="F51" s="805"/>
      <c r="G51" s="805"/>
      <c r="I51" s="918">
        <v>8</v>
      </c>
      <c r="J51" s="297">
        <f>IFERROR('MDA Worksheet'!D102,"")</f>
        <v>0</v>
      </c>
      <c r="K51" s="1" t="str">
        <f>IFERROR('MDA Worksheet'!K102,"")</f>
        <v/>
      </c>
      <c r="N51" s="143" t="s">
        <v>1279</v>
      </c>
      <c r="O51" s="1368" t="str">
        <f>"Amount to be paid to the customer $ "&amp;TEXT(D69,"#,###,###.00")</f>
        <v>Amount to be paid to the customer $ .00</v>
      </c>
      <c r="P51" s="1368"/>
      <c r="Q51" s="1369"/>
      <c r="S51" s="866"/>
      <c r="T51" s="1000"/>
      <c r="U51" s="1000"/>
      <c r="V51" s="1001"/>
    </row>
    <row r="52" spans="1:23" x14ac:dyDescent="0.25">
      <c r="A52" s="327" t="s">
        <v>751</v>
      </c>
      <c r="B52" s="828">
        <f>$L$4</f>
        <v>0</v>
      </c>
      <c r="C52" s="886" t="s">
        <v>762</v>
      </c>
      <c r="D52" s="332" t="e">
        <f>$S$4</f>
        <v>#VALUE!</v>
      </c>
      <c r="E52" s="888"/>
      <c r="I52" s="918">
        <v>9</v>
      </c>
      <c r="J52" s="297">
        <f>IFERROR('MDA Worksheet'!D103,"")</f>
        <v>0</v>
      </c>
      <c r="K52" s="1" t="str">
        <f>IFERROR('MDA Worksheet'!K103,"")</f>
        <v/>
      </c>
      <c r="N52" s="143"/>
      <c r="O52" s="1368" t="str">
        <f>"Claw Back Amount $ "&amp;TEXT(D71,"#,###,###.00")</f>
        <v>Claw Back Amount $ .00</v>
      </c>
      <c r="P52" s="1368"/>
      <c r="Q52" s="1369"/>
      <c r="S52" s="866"/>
      <c r="T52" s="1000"/>
      <c r="U52" s="1000"/>
      <c r="V52" s="1001"/>
    </row>
    <row r="53" spans="1:23" ht="15.75" thickBot="1" x14ac:dyDescent="0.3">
      <c r="A53" s="143" t="s">
        <v>895</v>
      </c>
      <c r="B53" s="805" t="str">
        <f>Incentives!$I$55</f>
        <v>Select Payment Method</v>
      </c>
      <c r="C53" s="805"/>
      <c r="D53" s="144"/>
      <c r="H53" s="916"/>
      <c r="I53" s="540">
        <v>10</v>
      </c>
      <c r="J53" s="299">
        <f>IFERROR('MDA Worksheet'!D104,"")</f>
        <v>0</v>
      </c>
      <c r="K53" s="36" t="str">
        <f>IFERROR('MDA Worksheet'!K104,"")</f>
        <v/>
      </c>
      <c r="L53" s="291"/>
      <c r="M53" s="349"/>
      <c r="N53" s="290"/>
      <c r="O53" s="969"/>
      <c r="P53" s="969"/>
      <c r="Q53" s="970"/>
      <c r="R53" s="349"/>
      <c r="S53" s="869"/>
      <c r="T53" s="1002"/>
      <c r="U53" s="1002"/>
      <c r="V53" s="1003"/>
    </row>
    <row r="54" spans="1:23" x14ac:dyDescent="0.25">
      <c r="A54" s="143" t="s">
        <v>1224</v>
      </c>
      <c r="B54" s="903" t="str">
        <f>Incentives!$G$55</f>
        <v>Quarterly</v>
      </c>
      <c r="C54" s="335" t="s">
        <v>534</v>
      </c>
      <c r="D54" s="887" t="s">
        <v>232</v>
      </c>
      <c r="H54" s="916"/>
    </row>
    <row r="55" spans="1:23" ht="15.75" thickBot="1" x14ac:dyDescent="0.3">
      <c r="A55" s="290"/>
      <c r="B55" s="291"/>
      <c r="C55" s="860">
        <f>Incentives!$K$58</f>
        <v>0</v>
      </c>
      <c r="D55" s="763">
        <f>Incentives!$G$58</f>
        <v>0</v>
      </c>
      <c r="F55" s="805"/>
      <c r="G55" s="805"/>
      <c r="H55" s="916"/>
    </row>
    <row r="56" spans="1:23" ht="15.75" thickBot="1" x14ac:dyDescent="0.3">
      <c r="E56" s="919"/>
      <c r="F56" s="920"/>
      <c r="G56" s="922"/>
      <c r="H56" s="848"/>
    </row>
    <row r="57" spans="1:23" x14ac:dyDescent="0.25">
      <c r="A57" s="1365" t="s">
        <v>1213</v>
      </c>
      <c r="B57" s="1366"/>
      <c r="C57" s="1366"/>
      <c r="D57" s="1367"/>
      <c r="F57" s="805"/>
      <c r="G57" s="805"/>
    </row>
    <row r="58" spans="1:23" x14ac:dyDescent="0.25">
      <c r="A58" s="327" t="s">
        <v>751</v>
      </c>
      <c r="B58" s="828">
        <f>$L$4</f>
        <v>0</v>
      </c>
      <c r="C58" s="886" t="s">
        <v>762</v>
      </c>
      <c r="D58" s="332" t="e">
        <f>$S$4</f>
        <v>#VALUE!</v>
      </c>
      <c r="E58" s="888"/>
    </row>
    <row r="59" spans="1:23" x14ac:dyDescent="0.25">
      <c r="A59" s="143" t="s">
        <v>895</v>
      </c>
      <c r="B59" s="805" t="str">
        <f>Incentives!$I$63</f>
        <v>Select Payment Method</v>
      </c>
      <c r="C59" s="805"/>
      <c r="D59" s="144"/>
      <c r="H59" s="916"/>
    </row>
    <row r="60" spans="1:23" x14ac:dyDescent="0.25">
      <c r="A60" s="143" t="s">
        <v>1173</v>
      </c>
      <c r="B60" s="805" t="str">
        <f>Incentives!G63</f>
        <v>NO</v>
      </c>
      <c r="C60" s="805"/>
      <c r="D60" s="144"/>
    </row>
    <row r="61" spans="1:23" x14ac:dyDescent="0.25">
      <c r="A61" s="143"/>
      <c r="B61" s="958" t="s">
        <v>1274</v>
      </c>
      <c r="C61" s="958" t="s">
        <v>772</v>
      </c>
      <c r="D61" s="887" t="s">
        <v>818</v>
      </c>
      <c r="F61" s="805"/>
      <c r="G61" s="805"/>
    </row>
    <row r="62" spans="1:23" s="935" customFormat="1" x14ac:dyDescent="0.25">
      <c r="A62" s="866"/>
      <c r="B62" s="956" t="str">
        <f>IF(B60="No","",Welcome!D14)</f>
        <v/>
      </c>
      <c r="C62" s="963">
        <f>IF($B$60="YES - Purchase Commitment",Incentives!$K$66/$G$5,Incentives!$K$66)</f>
        <v>0</v>
      </c>
      <c r="D62" s="964">
        <f>$G$4</f>
        <v>0</v>
      </c>
      <c r="E62" s="310"/>
      <c r="F62" s="805"/>
      <c r="G62" s="805"/>
      <c r="H62" s="311"/>
      <c r="M62" s="311"/>
      <c r="R62" s="311"/>
      <c r="W62" s="311"/>
    </row>
    <row r="63" spans="1:23" s="935" customFormat="1" x14ac:dyDescent="0.25">
      <c r="A63" s="866"/>
      <c r="B63" s="867"/>
      <c r="C63" s="948"/>
      <c r="D63" s="965" t="s">
        <v>1275</v>
      </c>
      <c r="E63" s="310"/>
      <c r="F63" s="805"/>
      <c r="G63" s="805"/>
      <c r="H63" s="311"/>
      <c r="M63" s="311"/>
      <c r="R63" s="311"/>
      <c r="W63" s="311"/>
    </row>
    <row r="64" spans="1:23" s="935" customFormat="1" x14ac:dyDescent="0.25">
      <c r="A64" s="866"/>
      <c r="B64" s="867"/>
      <c r="C64" s="948"/>
      <c r="D64" s="764" t="e">
        <f>Incentives!$K$66/(Incentives!$G$5*Incentives!$G$4)</f>
        <v>#VALUE!</v>
      </c>
      <c r="E64" s="310"/>
      <c r="F64" s="805"/>
      <c r="G64" s="805"/>
      <c r="H64" s="311"/>
      <c r="M64" s="311"/>
      <c r="R64" s="311"/>
      <c r="W64" s="311"/>
    </row>
    <row r="65" spans="1:23" ht="15.75" thickBot="1" x14ac:dyDescent="0.3">
      <c r="A65" s="290"/>
      <c r="B65" s="291"/>
      <c r="C65" s="291"/>
      <c r="D65" s="292"/>
      <c r="F65" s="805"/>
      <c r="G65" s="805"/>
      <c r="I65" s="935"/>
    </row>
    <row r="66" spans="1:23" s="930" customFormat="1" ht="15.75" thickBot="1" x14ac:dyDescent="0.3">
      <c r="A66" s="1365" t="s">
        <v>1261</v>
      </c>
      <c r="B66" s="1366"/>
      <c r="C66" s="1366"/>
      <c r="D66" s="1367"/>
      <c r="E66" s="919"/>
      <c r="F66" s="920"/>
      <c r="G66" s="922"/>
      <c r="H66" s="848"/>
      <c r="I66"/>
      <c r="M66" s="311"/>
      <c r="R66" s="311"/>
      <c r="W66" s="311"/>
    </row>
    <row r="67" spans="1:23" s="930" customFormat="1" x14ac:dyDescent="0.25">
      <c r="A67" s="320" t="s">
        <v>751</v>
      </c>
      <c r="B67" s="321">
        <f>$L$4</f>
        <v>0</v>
      </c>
      <c r="C67" s="322" t="s">
        <v>762</v>
      </c>
      <c r="D67" s="326" t="e">
        <f>$S$4</f>
        <v>#VALUE!</v>
      </c>
      <c r="E67" s="888"/>
      <c r="F67" s="805"/>
      <c r="G67" s="805"/>
      <c r="H67" s="916"/>
      <c r="M67" s="311"/>
      <c r="R67" s="311"/>
      <c r="W67" s="311"/>
    </row>
    <row r="68" spans="1:23" s="930" customFormat="1" x14ac:dyDescent="0.25">
      <c r="A68" s="143" t="s">
        <v>895</v>
      </c>
      <c r="B68" s="937" t="str">
        <f>Incentives!$I$71</f>
        <v>Select Payment Method</v>
      </c>
      <c r="C68" s="805"/>
      <c r="D68" s="144"/>
      <c r="E68" s="888"/>
      <c r="F68" s="805"/>
      <c r="G68" s="805"/>
      <c r="H68" s="916"/>
      <c r="M68" s="311"/>
      <c r="R68" s="311"/>
      <c r="W68" s="311"/>
    </row>
    <row r="69" spans="1:23" s="930" customFormat="1" x14ac:dyDescent="0.25">
      <c r="A69" s="959" t="s">
        <v>1272</v>
      </c>
      <c r="B69" s="950">
        <f>Incentives!$M$71</f>
        <v>0</v>
      </c>
      <c r="C69" s="960" t="s">
        <v>1268</v>
      </c>
      <c r="D69" s="953">
        <f>Incentives!$G$71</f>
        <v>0</v>
      </c>
      <c r="E69" s="888"/>
      <c r="F69" s="805"/>
      <c r="G69" s="805"/>
      <c r="H69" s="916"/>
      <c r="M69" s="311"/>
      <c r="R69" s="311"/>
      <c r="W69" s="311"/>
    </row>
    <row r="70" spans="1:23" s="930" customFormat="1" x14ac:dyDescent="0.25">
      <c r="A70" s="959" t="s">
        <v>1269</v>
      </c>
      <c r="B70" s="951">
        <f>Incentives!$G$75</f>
        <v>0</v>
      </c>
      <c r="C70" s="961" t="s">
        <v>814</v>
      </c>
      <c r="D70" s="954">
        <f>Incentives!$I$75</f>
        <v>0</v>
      </c>
      <c r="E70" s="888"/>
      <c r="F70" s="805"/>
      <c r="G70" s="805"/>
      <c r="H70" s="916"/>
      <c r="M70" s="311"/>
      <c r="R70" s="311"/>
      <c r="W70" s="311"/>
    </row>
    <row r="71" spans="1:23" s="935" customFormat="1" x14ac:dyDescent="0.25">
      <c r="A71" s="959" t="s">
        <v>1270</v>
      </c>
      <c r="B71" s="952">
        <f>Incentives!$K$75</f>
        <v>0</v>
      </c>
      <c r="C71" s="961" t="s">
        <v>1271</v>
      </c>
      <c r="D71" s="953">
        <f>Incentives!$K$71</f>
        <v>0</v>
      </c>
      <c r="E71" s="888"/>
      <c r="F71" s="805"/>
      <c r="G71" s="805"/>
      <c r="H71" s="916"/>
      <c r="M71" s="311"/>
      <c r="R71" s="311"/>
      <c r="W71" s="311"/>
    </row>
    <row r="72" spans="1:23" s="930" customFormat="1" ht="15.75" thickBot="1" x14ac:dyDescent="0.3">
      <c r="A72" s="290"/>
      <c r="B72" s="291"/>
      <c r="C72" s="962" t="s">
        <v>1273</v>
      </c>
      <c r="D72" s="955" t="e">
        <f>Incentives!$G$5*Incentives!$G$4</f>
        <v>#VALUE!</v>
      </c>
      <c r="E72" s="888"/>
      <c r="F72" s="805"/>
      <c r="G72" s="805"/>
      <c r="H72" s="916"/>
      <c r="M72" s="311"/>
      <c r="R72" s="311"/>
      <c r="W72" s="311"/>
    </row>
    <row r="73" spans="1:23" ht="15.75" thickBot="1" x14ac:dyDescent="0.3">
      <c r="A73" s="930"/>
      <c r="B73" s="930"/>
      <c r="C73" s="930"/>
      <c r="D73" s="930"/>
      <c r="E73" s="888"/>
      <c r="F73" s="805"/>
      <c r="G73" s="805"/>
      <c r="H73" s="916"/>
      <c r="I73" s="930"/>
    </row>
    <row r="74" spans="1:23" x14ac:dyDescent="0.25">
      <c r="A74" s="1365" t="str">
        <f>Incentives!G80</f>
        <v>CHECK Business Tools (General)</v>
      </c>
      <c r="B74" s="1366"/>
      <c r="C74" s="1366"/>
      <c r="D74" s="1366"/>
      <c r="E74" s="888"/>
      <c r="F74" s="805"/>
      <c r="G74" s="805"/>
      <c r="H74" s="916"/>
    </row>
    <row r="75" spans="1:23" x14ac:dyDescent="0.25">
      <c r="A75" s="327" t="s">
        <v>751</v>
      </c>
      <c r="B75" s="328">
        <f>$L$4</f>
        <v>0</v>
      </c>
      <c r="C75" s="271" t="s">
        <v>762</v>
      </c>
      <c r="D75" s="328" t="e">
        <f>$S$4</f>
        <v>#VALUE!</v>
      </c>
    </row>
    <row r="76" spans="1:23" x14ac:dyDescent="0.25">
      <c r="A76" s="143" t="s">
        <v>895</v>
      </c>
      <c r="B76" t="str">
        <f>Incentives!$I$80</f>
        <v>Select Payment Method</v>
      </c>
    </row>
    <row r="77" spans="1:23" x14ac:dyDescent="0.25">
      <c r="A77" s="143"/>
      <c r="C77" s="1" t="s">
        <v>818</v>
      </c>
      <c r="D77" s="1" t="s">
        <v>772</v>
      </c>
    </row>
    <row r="78" spans="1:23" ht="15.75" thickBot="1" x14ac:dyDescent="0.3">
      <c r="A78" s="290"/>
      <c r="B78" s="291"/>
      <c r="C78" s="368">
        <f>Incentives!$H$9</f>
        <v>0</v>
      </c>
      <c r="D78" s="343">
        <f>Incentives!$K$83</f>
        <v>3</v>
      </c>
    </row>
    <row r="79" spans="1:23" ht="15.75" thickBot="1" x14ac:dyDescent="0.3"/>
    <row r="80" spans="1:23" ht="15.75" thickBot="1" x14ac:dyDescent="0.3">
      <c r="A80" s="1365" t="s">
        <v>1088</v>
      </c>
      <c r="B80" s="1366"/>
      <c r="C80" s="1366"/>
      <c r="D80" s="1367"/>
      <c r="E80" s="919"/>
      <c r="F80" s="920"/>
      <c r="G80" s="921"/>
      <c r="H80" s="923"/>
    </row>
    <row r="81" spans="1:4" x14ac:dyDescent="0.25">
      <c r="A81" s="143" t="s">
        <v>751</v>
      </c>
      <c r="B81" s="805"/>
      <c r="C81" s="805" t="s">
        <v>753</v>
      </c>
      <c r="D81" s="144"/>
    </row>
    <row r="82" spans="1:4" x14ac:dyDescent="0.25">
      <c r="A82" s="143" t="s">
        <v>915</v>
      </c>
      <c r="B82" s="805" t="str">
        <f>Incentives!$I$88</f>
        <v>Select Payment Method</v>
      </c>
      <c r="C82" s="805"/>
      <c r="D82" s="144"/>
    </row>
    <row r="83" spans="1:4" x14ac:dyDescent="0.25">
      <c r="A83" s="143"/>
      <c r="B83" s="805"/>
      <c r="C83" s="911"/>
      <c r="D83" s="913" t="s">
        <v>772</v>
      </c>
    </row>
    <row r="84" spans="1:4" ht="15.75" thickBot="1" x14ac:dyDescent="0.3">
      <c r="A84" s="290"/>
      <c r="B84" s="291"/>
      <c r="C84" s="912"/>
      <c r="D84" s="927">
        <f>Incentives!$G$91</f>
        <v>0</v>
      </c>
    </row>
  </sheetData>
  <sheetProtection algorithmName="SHA-512" hashValue="H+c/0t5ue1Z5KW4+DVKgaJO/l1FWDpyWCfDFlKh6GPSB5nW6N6sL2JmEamY5RGT9o/nBS3CkEJsqIwjNyITr9g==" saltValue="IRvFgSGJ3b/brOK2Zellng==" spinCount="100000" sheet="1" objects="1" scenarios="1"/>
  <mergeCells count="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topLeftCell="A46" zoomScaleNormal="100" workbookViewId="0">
      <selection activeCell="AC51" sqref="AC5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1"/>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4"/>
    </row>
    <row r="2" spans="2:68" ht="36" x14ac:dyDescent="0.55000000000000004">
      <c r="B2" s="1456" t="s">
        <v>741</v>
      </c>
      <c r="C2" s="1457"/>
      <c r="D2" s="1457"/>
      <c r="E2" s="1457"/>
      <c r="F2" s="1457"/>
      <c r="G2" s="1457"/>
      <c r="H2" s="1457"/>
      <c r="I2" s="1457"/>
      <c r="J2" s="1457"/>
      <c r="K2" s="1457"/>
      <c r="L2" s="1457"/>
      <c r="M2" s="1457"/>
      <c r="N2" s="1457"/>
      <c r="O2" s="1457"/>
      <c r="P2" s="1457"/>
      <c r="Q2" s="1457"/>
      <c r="R2" s="1457"/>
      <c r="S2" s="1457"/>
      <c r="T2" s="1457"/>
      <c r="U2" s="1457"/>
      <c r="V2" s="1457"/>
      <c r="W2" s="1457"/>
      <c r="X2" s="1457"/>
      <c r="Y2" s="1457"/>
      <c r="Z2" s="1457"/>
      <c r="AA2" s="1457"/>
      <c r="AB2" s="1457"/>
      <c r="AC2" s="1457"/>
      <c r="AD2" s="1457"/>
      <c r="AE2" s="1457"/>
      <c r="AF2" s="1457"/>
      <c r="AG2" s="1457"/>
      <c r="AH2" s="1457"/>
      <c r="AI2" s="1457"/>
      <c r="AJ2" s="1457"/>
      <c r="AK2" s="1457"/>
      <c r="AL2" s="1457"/>
      <c r="AM2" s="1457"/>
      <c r="AN2" s="1457"/>
      <c r="AO2" s="1457"/>
      <c r="AP2" s="1457"/>
      <c r="AQ2" s="1457"/>
      <c r="AR2" s="1457"/>
      <c r="AS2" s="1457"/>
      <c r="AT2" s="1457"/>
      <c r="AU2" s="1457"/>
      <c r="AV2" s="1457"/>
      <c r="AW2" s="1457"/>
      <c r="AX2" s="1457"/>
      <c r="AY2" s="1457"/>
      <c r="AZ2" s="1457"/>
      <c r="BA2" s="1457"/>
      <c r="BB2" s="1457"/>
      <c r="BC2" s="1457"/>
      <c r="BD2" s="1457"/>
      <c r="BE2" s="1457"/>
      <c r="BF2" s="1458"/>
    </row>
    <row r="3" spans="2:68" x14ac:dyDescent="0.25">
      <c r="B3" s="1459"/>
      <c r="C3" s="1424"/>
      <c r="D3" s="1424"/>
      <c r="E3" s="1424"/>
      <c r="F3" s="1424"/>
      <c r="G3" s="1424"/>
      <c r="H3" s="1424"/>
      <c r="I3" s="1424"/>
      <c r="J3" s="1424"/>
      <c r="K3" s="1424"/>
      <c r="L3" s="1424"/>
      <c r="M3" s="1424"/>
      <c r="N3" s="1424"/>
      <c r="O3" s="1424"/>
      <c r="P3" s="1424"/>
      <c r="Q3" s="1424"/>
      <c r="R3" s="1424"/>
      <c r="S3" s="1424"/>
      <c r="T3" s="1424"/>
      <c r="U3" s="1424"/>
      <c r="V3" s="1424"/>
      <c r="W3" s="1424"/>
      <c r="X3" s="1424"/>
      <c r="Y3" s="1424"/>
      <c r="Z3" s="1424"/>
      <c r="AA3" s="1424"/>
      <c r="AB3" s="1424"/>
      <c r="AC3" s="1424"/>
      <c r="AD3" s="1424"/>
      <c r="AE3" s="1424"/>
      <c r="AF3" s="1424"/>
      <c r="AG3" s="1424"/>
      <c r="AH3" s="1424"/>
      <c r="AI3" s="1424"/>
      <c r="AJ3" s="1424"/>
      <c r="AK3" s="1424"/>
      <c r="AL3" s="1424"/>
      <c r="AM3" s="1424"/>
      <c r="AN3" s="1424"/>
      <c r="AO3" s="1424"/>
      <c r="AP3" s="1424"/>
      <c r="AQ3" s="1424"/>
      <c r="AR3" s="1424"/>
      <c r="AS3" s="1424"/>
      <c r="AT3" s="1424"/>
      <c r="AU3" s="1424"/>
      <c r="AV3" s="1424"/>
      <c r="AW3" s="1424"/>
      <c r="AX3" s="1424"/>
      <c r="AY3" s="1424"/>
      <c r="AZ3" s="1424"/>
      <c r="BA3" s="1424"/>
      <c r="BB3" s="1424"/>
      <c r="BC3" s="1424"/>
      <c r="BD3" s="1424"/>
      <c r="BE3" s="1424"/>
      <c r="BF3" s="1460"/>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440" t="s">
        <v>668</v>
      </c>
      <c r="C8" s="1441"/>
      <c r="D8" s="1441"/>
      <c r="E8" s="1441"/>
      <c r="F8" s="1441"/>
      <c r="G8" s="1441"/>
      <c r="H8" s="1441"/>
      <c r="I8" s="1441"/>
      <c r="J8" s="1441"/>
      <c r="K8" s="1441"/>
      <c r="L8" s="1441"/>
      <c r="M8" s="1441"/>
      <c r="N8" s="1441"/>
      <c r="O8" s="1441"/>
      <c r="P8" s="1441"/>
      <c r="Q8" s="1441"/>
      <c r="R8" s="1441"/>
      <c r="S8" s="1441"/>
      <c r="T8" s="1441"/>
      <c r="U8" s="1441"/>
      <c r="V8" s="1441"/>
      <c r="W8" s="1441"/>
      <c r="X8" s="1441"/>
      <c r="Y8" s="1441"/>
      <c r="Z8" s="1441"/>
      <c r="AA8" s="1441"/>
      <c r="AB8" s="1441"/>
      <c r="AC8" s="1441"/>
      <c r="AD8" s="1441"/>
      <c r="AE8" s="1441"/>
      <c r="AF8" s="1441"/>
      <c r="AG8" s="1441"/>
      <c r="AH8" s="1441"/>
      <c r="AI8" s="1441"/>
      <c r="AJ8" s="1441"/>
      <c r="AK8" s="1441"/>
      <c r="AL8" s="1441"/>
      <c r="AM8" s="1441"/>
      <c r="AN8" s="1441"/>
      <c r="AO8" s="1441"/>
      <c r="AP8" s="1441"/>
      <c r="AQ8" s="1441"/>
      <c r="AR8" s="1441"/>
      <c r="AS8" s="1441"/>
      <c r="AT8" s="1441"/>
      <c r="AU8" s="1441"/>
      <c r="AV8" s="1441"/>
      <c r="AW8" s="1441"/>
      <c r="AX8" s="1441"/>
      <c r="AY8" s="1441"/>
      <c r="AZ8" s="1441"/>
      <c r="BA8" s="1441"/>
      <c r="BB8" s="1441"/>
      <c r="BC8" s="1441"/>
      <c r="BD8" s="1441"/>
      <c r="BE8" s="1441"/>
      <c r="BF8" s="1442"/>
    </row>
    <row r="9" spans="2:68" x14ac:dyDescent="0.25">
      <c r="B9" s="729"/>
      <c r="C9" s="298"/>
      <c r="D9" s="298"/>
      <c r="E9" s="298"/>
      <c r="F9" s="298"/>
      <c r="G9" s="298"/>
      <c r="H9" s="298"/>
      <c r="I9" s="298"/>
      <c r="J9" s="298"/>
      <c r="K9" s="298"/>
      <c r="L9" s="298"/>
      <c r="M9" s="298"/>
      <c r="N9" s="298"/>
      <c r="O9" s="298"/>
      <c r="P9" s="298"/>
      <c r="Q9" s="298"/>
      <c r="R9" s="298"/>
      <c r="S9" s="298"/>
      <c r="T9" s="298"/>
      <c r="U9" s="298"/>
      <c r="V9" s="298"/>
      <c r="W9" s="298"/>
      <c r="X9" s="298"/>
      <c r="Y9" s="298"/>
      <c r="Z9" s="298"/>
      <c r="AA9" s="298"/>
      <c r="AB9" s="298"/>
      <c r="AC9" s="298"/>
      <c r="AD9" s="298"/>
      <c r="AE9" s="298"/>
      <c r="AF9" s="298"/>
      <c r="AG9" s="298"/>
      <c r="AH9" s="298"/>
      <c r="AI9" s="298"/>
      <c r="AJ9" s="298"/>
      <c r="AK9" s="298"/>
      <c r="AL9" s="295"/>
      <c r="AM9" s="295"/>
      <c r="AN9" s="295"/>
      <c r="AO9" s="295"/>
      <c r="AP9" s="295"/>
      <c r="AQ9" s="295"/>
      <c r="AR9" s="295"/>
      <c r="AS9" s="295"/>
      <c r="AT9" s="295"/>
      <c r="AU9" s="295"/>
      <c r="AV9" s="295"/>
      <c r="AW9" s="295"/>
      <c r="AX9" s="295"/>
      <c r="AY9" s="295"/>
      <c r="AZ9" s="295"/>
      <c r="BA9" s="295"/>
      <c r="BB9" s="295"/>
      <c r="BC9" s="298"/>
      <c r="BD9" s="298"/>
      <c r="BE9" s="298"/>
      <c r="BF9" s="730"/>
    </row>
    <row r="10" spans="2:68" x14ac:dyDescent="0.25">
      <c r="B10" s="1436" t="s">
        <v>903</v>
      </c>
      <c r="C10" s="1323"/>
      <c r="D10" s="1323"/>
      <c r="E10" s="1323"/>
      <c r="F10" s="1323"/>
      <c r="G10" s="1323"/>
      <c r="H10" s="1323"/>
      <c r="I10" s="1323"/>
      <c r="J10" s="1323"/>
      <c r="K10" s="1432">
        <f>'Tracking &amp; Profitability'!$H$5</f>
        <v>0</v>
      </c>
      <c r="L10" s="1432"/>
      <c r="M10" s="1432"/>
      <c r="N10" s="1432"/>
      <c r="O10" s="1432"/>
      <c r="P10" s="1432"/>
      <c r="Q10" s="1432"/>
      <c r="R10" s="1432"/>
      <c r="S10" s="1432"/>
      <c r="T10" s="1432"/>
      <c r="U10" s="1432"/>
      <c r="V10" s="1432"/>
      <c r="W10" s="1432"/>
      <c r="X10" s="1432"/>
      <c r="Y10" s="1432"/>
      <c r="Z10" s="1432"/>
      <c r="AA10" s="1432"/>
      <c r="AB10" s="1432"/>
      <c r="AC10" s="1432"/>
      <c r="AD10" s="1432"/>
      <c r="AE10" s="1432"/>
      <c r="AI10" s="1323" t="s">
        <v>740</v>
      </c>
      <c r="AJ10" s="1323"/>
      <c r="AK10" s="1323"/>
      <c r="AL10" s="1323"/>
      <c r="AM10" s="1323"/>
      <c r="AN10" s="1323"/>
      <c r="AO10" s="1323"/>
      <c r="AP10" s="1323"/>
      <c r="AQ10" s="1323"/>
      <c r="AR10" s="1323"/>
      <c r="AT10" s="1451"/>
      <c r="AU10" s="1451"/>
      <c r="AV10" s="1451"/>
      <c r="AW10" s="1451"/>
      <c r="AX10" s="1451"/>
      <c r="AY10" s="1451"/>
      <c r="AZ10" s="1451"/>
      <c r="BA10" s="1451"/>
      <c r="BB10" s="1451"/>
      <c r="BC10" s="1451"/>
      <c r="BD10" s="1451"/>
      <c r="BF10" s="144"/>
    </row>
    <row r="11" spans="2:68" x14ac:dyDescent="0.25">
      <c r="B11" s="143"/>
      <c r="AL11" s="2"/>
      <c r="AM11" s="2"/>
      <c r="AN11" s="2"/>
      <c r="AO11" s="2"/>
      <c r="AP11" s="2"/>
      <c r="AQ11" s="2"/>
      <c r="AR11" s="2"/>
      <c r="AS11" s="2"/>
      <c r="AT11" s="2"/>
      <c r="AU11" s="2"/>
      <c r="AV11" s="2"/>
      <c r="BF11" s="144"/>
    </row>
    <row r="12" spans="2:68" x14ac:dyDescent="0.25">
      <c r="B12" s="1435" t="s">
        <v>904</v>
      </c>
      <c r="C12" s="1428"/>
      <c r="D12" s="1428"/>
      <c r="E12" s="1428"/>
      <c r="F12" s="1428"/>
      <c r="G12" s="1428"/>
      <c r="H12" s="1428"/>
      <c r="I12" s="1428"/>
      <c r="J12" s="1428"/>
      <c r="K12" s="1407">
        <f>'Required Info to Submit'!$F$4</f>
        <v>0</v>
      </c>
      <c r="L12" s="1407"/>
      <c r="M12" s="1407"/>
      <c r="N12" s="1407"/>
      <c r="O12" s="1407"/>
      <c r="P12" s="1407"/>
      <c r="Q12" s="1407"/>
      <c r="R12" s="1407"/>
      <c r="S12" s="1407"/>
      <c r="T12" s="1407"/>
      <c r="U12" s="1407"/>
      <c r="V12" s="1407"/>
      <c r="W12" s="1407"/>
      <c r="X12" s="1407"/>
      <c r="Y12" s="1407"/>
      <c r="Z12" s="1407"/>
      <c r="AA12" s="1407"/>
      <c r="AB12" s="1407"/>
      <c r="AC12" s="1407"/>
      <c r="AD12" s="1407"/>
      <c r="AE12" s="1407"/>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435" t="s">
        <v>926</v>
      </c>
      <c r="C14" s="1428"/>
      <c r="D14" s="1428"/>
      <c r="E14" s="1428"/>
      <c r="F14" s="1428"/>
      <c r="G14" s="1428"/>
      <c r="H14" s="1428"/>
      <c r="I14" s="1428"/>
      <c r="J14" s="1428"/>
      <c r="K14" s="1428"/>
      <c r="L14" s="1428"/>
      <c r="M14" s="1428"/>
      <c r="N14" s="1428"/>
      <c r="O14" s="1428"/>
      <c r="P14" s="1428"/>
      <c r="Q14" s="1428"/>
      <c r="R14" s="1446">
        <f>'Required Info to Submit'!$F$6</f>
        <v>0</v>
      </c>
      <c r="S14" s="1446"/>
      <c r="T14" s="1446"/>
      <c r="U14" s="1446"/>
      <c r="V14" s="1446"/>
      <c r="W14" s="1446"/>
      <c r="X14" s="1446"/>
      <c r="Y14" s="1446"/>
      <c r="Z14" s="1446"/>
      <c r="AA14" s="1446"/>
      <c r="AB14" s="1446"/>
      <c r="AC14" s="1446"/>
      <c r="AD14" s="1446"/>
      <c r="AE14" s="1446"/>
      <c r="AF14" s="1446"/>
      <c r="AG14" s="1446"/>
      <c r="AH14" s="1446"/>
      <c r="AI14" s="1446"/>
      <c r="AJ14" s="1446"/>
      <c r="AK14" s="1446"/>
      <c r="AL14" s="1446"/>
      <c r="AM14" s="1446"/>
      <c r="AN14" s="1446"/>
      <c r="AO14" s="1446"/>
      <c r="AP14" s="1446"/>
      <c r="AQ14" s="1446"/>
      <c r="AR14" s="1446"/>
      <c r="AS14" s="1446"/>
      <c r="AT14" s="1446"/>
      <c r="AU14" s="1446"/>
      <c r="AV14" s="1446"/>
      <c r="AW14" s="1446"/>
      <c r="AX14" s="1446"/>
      <c r="AY14" s="1446"/>
      <c r="AZ14" s="1446"/>
      <c r="BA14" s="1446"/>
      <c r="BB14" s="1446"/>
      <c r="BC14" s="1446"/>
      <c r="BD14" s="1446"/>
      <c r="BF14" s="144"/>
    </row>
    <row r="15" spans="2:68" x14ac:dyDescent="0.25">
      <c r="B15" s="674"/>
      <c r="C15" s="140"/>
      <c r="D15" s="140"/>
      <c r="E15" s="140"/>
      <c r="F15" s="140"/>
      <c r="G15" s="140"/>
      <c r="H15" s="140"/>
      <c r="I15" s="140"/>
      <c r="J15" s="140"/>
      <c r="K15" s="140"/>
      <c r="L15" s="140"/>
      <c r="M15" s="140"/>
      <c r="N15" s="140"/>
      <c r="O15" s="140"/>
      <c r="P15" s="140"/>
      <c r="Q15" s="140"/>
      <c r="BF15" s="144"/>
    </row>
    <row r="16" spans="2:68" x14ac:dyDescent="0.25">
      <c r="B16" s="1435" t="s">
        <v>739</v>
      </c>
      <c r="C16" s="1428"/>
      <c r="D16" s="1428"/>
      <c r="E16" s="1428"/>
      <c r="F16" s="1428"/>
      <c r="G16" s="1428"/>
      <c r="H16" s="1428"/>
      <c r="I16" s="1428"/>
      <c r="J16" s="1428"/>
      <c r="K16" s="1428"/>
      <c r="L16" s="1428"/>
      <c r="M16" s="1428"/>
      <c r="N16" s="1428"/>
      <c r="O16" s="1428"/>
      <c r="P16" s="1428"/>
      <c r="Q16" s="1428"/>
      <c r="R16" s="1407" t="s">
        <v>244</v>
      </c>
      <c r="S16" s="1407"/>
      <c r="T16" s="1424" t="s">
        <v>669</v>
      </c>
      <c r="U16" s="1424"/>
      <c r="V16" s="1424"/>
      <c r="W16" s="1424"/>
      <c r="X16" s="1424"/>
      <c r="Y16" s="1424"/>
      <c r="Z16" s="1424"/>
      <c r="AA16" s="1424"/>
      <c r="AB16" s="1424"/>
      <c r="AC16" s="1424"/>
      <c r="AD16" s="1424"/>
      <c r="AE16" s="1424"/>
      <c r="AF16" s="1424"/>
      <c r="AG16" s="1424"/>
      <c r="AH16" s="1424"/>
      <c r="AI16" s="1424"/>
      <c r="AJ16" s="1424"/>
      <c r="AK16" s="1424"/>
      <c r="AL16" s="1424"/>
      <c r="AO16" s="1424"/>
      <c r="AP16" s="1424"/>
      <c r="BF16" s="144"/>
      <c r="BP16" s="300"/>
    </row>
    <row r="17" spans="2:68" x14ac:dyDescent="0.25">
      <c r="B17" s="674"/>
      <c r="C17" s="140"/>
      <c r="D17" s="140"/>
      <c r="E17" s="140"/>
      <c r="F17" s="140"/>
      <c r="G17" s="140"/>
      <c r="H17" s="140"/>
      <c r="I17" s="140"/>
      <c r="J17" s="140"/>
      <c r="K17" s="140"/>
      <c r="L17" s="140"/>
      <c r="M17" s="140"/>
      <c r="N17" s="140"/>
      <c r="O17" s="140"/>
      <c r="P17" s="140"/>
      <c r="Q17" s="140"/>
      <c r="BF17" s="144"/>
    </row>
    <row r="18" spans="2:68" x14ac:dyDescent="0.25">
      <c r="B18" s="1447" t="s">
        <v>897</v>
      </c>
      <c r="C18" s="1448"/>
      <c r="D18" s="1448"/>
      <c r="E18" s="1448"/>
      <c r="F18" s="1448"/>
      <c r="G18" s="1448"/>
      <c r="H18" s="1448"/>
      <c r="I18" s="1448"/>
      <c r="J18" s="1448"/>
      <c r="K18" s="1448"/>
      <c r="L18" s="1448"/>
      <c r="M18" s="1448"/>
      <c r="N18" s="1448"/>
      <c r="O18" s="1448"/>
      <c r="P18" s="1448"/>
      <c r="Q18" s="1448"/>
      <c r="R18" s="1432">
        <f>'Required Info to Submit'!$F$8</f>
        <v>0</v>
      </c>
      <c r="S18" s="1432"/>
      <c r="T18" s="1432"/>
      <c r="U18" s="1432"/>
      <c r="V18" s="1432"/>
      <c r="W18" s="1432"/>
      <c r="X18" s="1432"/>
      <c r="Y18" s="1432"/>
      <c r="Z18" s="1432"/>
      <c r="AA18" s="1432"/>
      <c r="AB18" s="1432"/>
      <c r="AC18" s="1432"/>
      <c r="AD18" s="1432"/>
      <c r="AE18" s="1432"/>
      <c r="AF18" s="1432"/>
      <c r="AG18" s="1432"/>
      <c r="AH18" s="1432"/>
      <c r="AI18" s="1432"/>
      <c r="AJ18" s="1432"/>
      <c r="AK18" s="1432"/>
      <c r="AL18" s="1432"/>
      <c r="AN18" s="1428" t="s">
        <v>899</v>
      </c>
      <c r="AO18" s="1428"/>
      <c r="AP18" s="1428"/>
      <c r="AQ18" s="1428"/>
      <c r="AR18" s="1428"/>
      <c r="AS18" s="1428"/>
      <c r="AT18" s="1428"/>
      <c r="AU18" s="1428"/>
      <c r="AV18" s="1432">
        <f>'Required Info to Submit'!F10</f>
        <v>0</v>
      </c>
      <c r="AW18" s="1432"/>
      <c r="AX18" s="1432"/>
      <c r="AY18" s="1432"/>
      <c r="AZ18" s="1432"/>
      <c r="BA18" s="1432"/>
      <c r="BB18" s="1432"/>
      <c r="BC18" s="1432"/>
      <c r="BD18" s="1432"/>
      <c r="BF18" s="144"/>
      <c r="BP18" s="300"/>
    </row>
    <row r="19" spans="2:68" x14ac:dyDescent="0.25">
      <c r="B19" s="674"/>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435" t="s">
        <v>898</v>
      </c>
      <c r="C20" s="1428"/>
      <c r="D20" s="1428"/>
      <c r="E20" s="1428"/>
      <c r="F20" s="1428"/>
      <c r="G20" s="1428"/>
      <c r="H20" s="1428"/>
      <c r="I20" s="1428"/>
      <c r="J20" s="1428"/>
      <c r="K20" s="1428"/>
      <c r="L20" s="1428"/>
      <c r="M20" s="1428"/>
      <c r="N20" s="1428"/>
      <c r="O20" s="1428"/>
      <c r="P20" s="1428"/>
      <c r="Q20" s="1428"/>
      <c r="R20" s="1432">
        <f>'Required Info to Submit'!F9</f>
        <v>0</v>
      </c>
      <c r="S20" s="1432"/>
      <c r="T20" s="1432"/>
      <c r="U20" s="1432"/>
      <c r="V20" s="1432"/>
      <c r="W20" s="1432"/>
      <c r="X20" s="1432"/>
      <c r="Y20" s="1432"/>
      <c r="Z20" s="1432"/>
      <c r="AA20" s="1432"/>
      <c r="AB20" s="1432"/>
      <c r="AC20" s="1432"/>
      <c r="AD20" s="1432"/>
      <c r="AE20" s="1432"/>
      <c r="AF20" s="1432"/>
      <c r="AG20" s="1432"/>
      <c r="AH20" s="1432"/>
      <c r="AI20" s="1432"/>
      <c r="AJ20" s="1432"/>
      <c r="AK20" s="1432"/>
      <c r="AL20" s="1432"/>
      <c r="AN20" s="1428" t="s">
        <v>851</v>
      </c>
      <c r="AO20" s="1428"/>
      <c r="AP20" s="1428"/>
      <c r="AQ20" s="1428"/>
      <c r="AR20" s="1428"/>
      <c r="AS20" s="1428"/>
      <c r="AT20" s="1428"/>
      <c r="AU20" s="1428"/>
      <c r="AV20" s="1432">
        <f>'Required Info to Submit'!F11</f>
        <v>0</v>
      </c>
      <c r="AW20" s="1432"/>
      <c r="AX20" s="1432"/>
      <c r="AY20" s="1432"/>
      <c r="AZ20" s="1432"/>
      <c r="BA20" s="1432"/>
      <c r="BB20" s="1432"/>
      <c r="BC20" s="1432"/>
      <c r="BD20" s="1432"/>
      <c r="BF20" s="144"/>
      <c r="BP20" s="300"/>
    </row>
    <row r="21" spans="2:68" x14ac:dyDescent="0.25">
      <c r="B21" s="674"/>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435" t="s">
        <v>900</v>
      </c>
      <c r="C22" s="1428"/>
      <c r="D22" s="1428"/>
      <c r="E22" s="1428"/>
      <c r="F22" s="1428"/>
      <c r="G22" s="1428"/>
      <c r="H22" s="1428"/>
      <c r="I22" s="1428"/>
      <c r="J22" s="1428"/>
      <c r="K22" s="1428"/>
      <c r="L22" s="1428"/>
      <c r="M22" s="1428"/>
      <c r="N22" s="1428"/>
      <c r="O22" s="1428"/>
      <c r="P22" s="1428"/>
      <c r="Q22" s="1428"/>
      <c r="R22" s="1432">
        <f>'Required Info to Submit'!F12</f>
        <v>0</v>
      </c>
      <c r="S22" s="1432"/>
      <c r="T22" s="1432"/>
      <c r="U22" s="1432"/>
      <c r="V22" s="1432"/>
      <c r="W22" s="1432"/>
      <c r="X22" s="1432"/>
      <c r="Y22" s="1432"/>
      <c r="Z22" s="1432"/>
      <c r="AA22" s="1432"/>
      <c r="AB22" s="1432"/>
      <c r="AC22" s="1432"/>
      <c r="AD22" s="1432"/>
      <c r="AE22" s="1432"/>
      <c r="AF22" s="1432"/>
      <c r="AG22" s="1432"/>
      <c r="AH22" s="1432"/>
      <c r="AI22" s="1432"/>
      <c r="AJ22" s="1432"/>
      <c r="AK22" s="1432"/>
      <c r="AL22" s="1432"/>
      <c r="AN22" s="1428"/>
      <c r="AO22" s="1428"/>
      <c r="AP22" s="1428"/>
      <c r="AQ22" s="1428"/>
      <c r="AR22" s="1428"/>
      <c r="AS22" s="1428"/>
      <c r="AT22" s="1428"/>
      <c r="AU22" s="1428"/>
      <c r="AV22" s="1449"/>
      <c r="AW22" s="1449"/>
      <c r="AX22" s="1449"/>
      <c r="AY22" s="1449"/>
      <c r="AZ22" s="1449"/>
      <c r="BA22" s="1449"/>
      <c r="BB22" s="1449"/>
      <c r="BC22" s="1449"/>
      <c r="BD22" s="1449"/>
      <c r="BF22" s="144"/>
      <c r="BP22" s="300"/>
    </row>
    <row r="23" spans="2:68" x14ac:dyDescent="0.25">
      <c r="B23" s="674"/>
      <c r="C23" s="140"/>
      <c r="D23" s="140"/>
      <c r="E23" s="140"/>
      <c r="F23" s="140"/>
      <c r="G23" s="140"/>
      <c r="H23" s="140"/>
      <c r="I23" s="140"/>
      <c r="J23" s="140"/>
      <c r="K23" s="140"/>
      <c r="L23" s="140"/>
      <c r="M23" s="140"/>
      <c r="N23" s="140"/>
      <c r="O23" s="140"/>
      <c r="P23" s="140"/>
      <c r="Q23" s="140"/>
      <c r="BF23" s="144"/>
    </row>
    <row r="24" spans="2:68" x14ac:dyDescent="0.25">
      <c r="B24" s="1435" t="s">
        <v>901</v>
      </c>
      <c r="C24" s="1428"/>
      <c r="D24" s="1428"/>
      <c r="E24" s="1428"/>
      <c r="F24" s="1428"/>
      <c r="G24" s="1428"/>
      <c r="H24" s="1428"/>
      <c r="I24" s="1428"/>
      <c r="J24" s="1428"/>
      <c r="K24" s="1428"/>
      <c r="L24" s="1428"/>
      <c r="M24" s="1428"/>
      <c r="N24" s="1428"/>
      <c r="O24" s="1428"/>
      <c r="P24" s="1428"/>
      <c r="Q24" s="1428"/>
      <c r="R24" s="1444">
        <f>'Required Info to Submit'!$F$14</f>
        <v>0</v>
      </c>
      <c r="S24" s="1444"/>
      <c r="T24" s="1444"/>
      <c r="U24" s="1444"/>
      <c r="V24" s="1444"/>
      <c r="W24" s="1444"/>
      <c r="X24" s="1444"/>
      <c r="Y24" s="1444"/>
      <c r="Z24" s="1444"/>
      <c r="AA24" s="1444"/>
      <c r="AB24" s="1444"/>
      <c r="AC24" s="1444"/>
      <c r="AN24" s="1323" t="s">
        <v>905</v>
      </c>
      <c r="AO24" s="1323"/>
      <c r="AP24" s="1323"/>
      <c r="AQ24" s="1323"/>
      <c r="AR24" s="1323"/>
      <c r="AS24" s="1323"/>
      <c r="AT24" s="1323"/>
      <c r="AU24" s="1323"/>
      <c r="AV24" s="1450" t="e">
        <f>'Incentive Setup'!$S$4</f>
        <v>#VALUE!</v>
      </c>
      <c r="AW24" s="1450"/>
      <c r="AX24" s="1450"/>
      <c r="AY24" s="1450"/>
      <c r="AZ24" s="1450"/>
      <c r="BA24" s="1450"/>
      <c r="BB24" s="1450"/>
      <c r="BC24" s="1450"/>
      <c r="BD24" s="1450"/>
      <c r="BF24" s="144"/>
    </row>
    <row r="25" spans="2:68" ht="17.25" x14ac:dyDescent="0.25">
      <c r="B25" s="143"/>
      <c r="C25" s="301"/>
      <c r="D25" s="301"/>
      <c r="E25" s="301"/>
      <c r="F25" s="301"/>
      <c r="G25" s="301"/>
      <c r="H25" s="1443" t="s">
        <v>738</v>
      </c>
      <c r="I25" s="1443"/>
      <c r="J25" s="1443"/>
      <c r="K25" s="1443"/>
      <c r="L25" s="1443"/>
      <c r="M25" s="1443"/>
      <c r="N25" s="1443"/>
      <c r="O25" s="1443"/>
      <c r="P25" s="1443"/>
      <c r="Q25" s="301"/>
      <c r="AN25" s="1443" t="s">
        <v>737</v>
      </c>
      <c r="AO25" s="1443"/>
      <c r="AP25" s="1443"/>
      <c r="AQ25" s="1443"/>
      <c r="AR25" s="1443"/>
      <c r="AS25" s="1443"/>
      <c r="AT25" s="1443"/>
      <c r="BF25" s="144"/>
    </row>
    <row r="26" spans="2:68" ht="18.75" x14ac:dyDescent="0.3">
      <c r="B26" s="1440" t="s">
        <v>674</v>
      </c>
      <c r="C26" s="1441"/>
      <c r="D26" s="1441"/>
      <c r="E26" s="1441"/>
      <c r="F26" s="1441"/>
      <c r="G26" s="1441"/>
      <c r="H26" s="1441"/>
      <c r="I26" s="1441"/>
      <c r="J26" s="1441"/>
      <c r="K26" s="1441"/>
      <c r="L26" s="1441"/>
      <c r="M26" s="1441"/>
      <c r="N26" s="1441"/>
      <c r="O26" s="1441"/>
      <c r="P26" s="1441"/>
      <c r="Q26" s="1441"/>
      <c r="R26" s="1441"/>
      <c r="S26" s="1441"/>
      <c r="T26" s="1441"/>
      <c r="U26" s="1441"/>
      <c r="V26" s="1441"/>
      <c r="W26" s="1441"/>
      <c r="X26" s="1441"/>
      <c r="Y26" s="1441"/>
      <c r="Z26" s="1441"/>
      <c r="AA26" s="1441"/>
      <c r="AB26" s="1441"/>
      <c r="AC26" s="1441"/>
      <c r="AD26" s="1441"/>
      <c r="AE26" s="1441"/>
      <c r="AF26" s="1441"/>
      <c r="AG26" s="1441"/>
      <c r="AH26" s="1441"/>
      <c r="AI26" s="1441"/>
      <c r="AJ26" s="1441"/>
      <c r="AK26" s="1441"/>
      <c r="AL26" s="1441"/>
      <c r="AM26" s="1441"/>
      <c r="AN26" s="1441"/>
      <c r="AO26" s="1441"/>
      <c r="AP26" s="1441"/>
      <c r="AQ26" s="1441"/>
      <c r="AR26" s="1441"/>
      <c r="AS26" s="1441"/>
      <c r="AT26" s="1441"/>
      <c r="AU26" s="1441"/>
      <c r="AV26" s="1441"/>
      <c r="AW26" s="1441"/>
      <c r="AX26" s="1441"/>
      <c r="AY26" s="1441"/>
      <c r="AZ26" s="1441"/>
      <c r="BA26" s="1441"/>
      <c r="BB26" s="1441"/>
      <c r="BC26" s="1441"/>
      <c r="BD26" s="1441"/>
      <c r="BE26" s="1441"/>
      <c r="BF26" s="1442"/>
      <c r="BP26" s="300"/>
    </row>
    <row r="27" spans="2:68" x14ac:dyDescent="0.25">
      <c r="B27" s="667"/>
      <c r="C27" s="295"/>
      <c r="D27" s="295"/>
      <c r="E27" s="295"/>
      <c r="F27" s="295"/>
      <c r="G27" s="295"/>
      <c r="H27" s="295"/>
      <c r="I27" s="295"/>
      <c r="J27" s="295"/>
      <c r="K27" s="295"/>
      <c r="L27" s="295"/>
      <c r="M27" s="295"/>
      <c r="N27" s="295"/>
      <c r="O27" s="295"/>
      <c r="P27" s="295"/>
      <c r="Q27" s="295"/>
      <c r="R27" s="295"/>
      <c r="S27" s="295"/>
      <c r="T27" s="295"/>
      <c r="U27" s="295"/>
      <c r="V27" s="295"/>
      <c r="W27" s="295"/>
      <c r="X27" s="295"/>
      <c r="Y27" s="295"/>
      <c r="Z27" s="295"/>
      <c r="AA27" s="295"/>
      <c r="AB27" s="295"/>
      <c r="AC27" s="295"/>
      <c r="AD27" s="295"/>
      <c r="AE27" s="295"/>
      <c r="AF27" s="295"/>
      <c r="AG27" s="295"/>
      <c r="AH27" s="295"/>
      <c r="AI27" s="295"/>
      <c r="AJ27" s="295"/>
      <c r="AK27" s="295"/>
      <c r="AL27" s="295"/>
      <c r="AM27" s="295"/>
      <c r="AN27" s="295"/>
      <c r="AO27" s="295"/>
      <c r="AP27" s="295"/>
      <c r="AQ27" s="295"/>
      <c r="AR27" s="295"/>
      <c r="AS27" s="295"/>
      <c r="AT27" s="295"/>
      <c r="AU27" s="295"/>
      <c r="AV27" s="295"/>
      <c r="AW27" s="295"/>
      <c r="AX27" s="295"/>
      <c r="AY27" s="295"/>
      <c r="AZ27" s="295"/>
      <c r="BA27" s="295"/>
      <c r="BB27" s="295"/>
      <c r="BC27" s="295"/>
      <c r="BD27" s="295"/>
      <c r="BE27" s="295"/>
      <c r="BF27" s="668"/>
    </row>
    <row r="28" spans="2:68" x14ac:dyDescent="0.25">
      <c r="B28" s="1433" t="s">
        <v>675</v>
      </c>
      <c r="C28" s="1434"/>
      <c r="D28" s="1434"/>
      <c r="E28" s="1434"/>
      <c r="F28" s="1434"/>
      <c r="G28" s="1434"/>
      <c r="H28" s="1434"/>
      <c r="I28" s="1434"/>
      <c r="J28" s="1434"/>
      <c r="K28" s="1434"/>
      <c r="L28" s="1434"/>
      <c r="M28" s="1434"/>
      <c r="N28" s="1434"/>
      <c r="O28" s="1434"/>
      <c r="P28" s="1434"/>
      <c r="Q28" s="1434"/>
      <c r="T28" s="1437">
        <f>'Tracking &amp; Profitability'!$E$6</f>
        <v>0</v>
      </c>
      <c r="U28" s="1437"/>
      <c r="V28" s="1437"/>
      <c r="W28" s="1437"/>
      <c r="X28" s="1437"/>
      <c r="Y28" s="1437"/>
      <c r="Z28" s="1437"/>
      <c r="AA28" s="1437"/>
      <c r="AB28" s="1437"/>
      <c r="AF28" t="s">
        <v>736</v>
      </c>
      <c r="AO28" s="1407">
        <v>5</v>
      </c>
      <c r="AP28" s="1407"/>
      <c r="AQ28" s="1407"/>
      <c r="AR28" s="1424" t="s">
        <v>676</v>
      </c>
      <c r="AS28" s="1424"/>
      <c r="AU28" s="1407">
        <v>5</v>
      </c>
      <c r="AV28" s="1407"/>
      <c r="AW28" s="1407"/>
      <c r="AX28" s="1424" t="s">
        <v>735</v>
      </c>
      <c r="AY28" s="1424"/>
      <c r="BA28" s="1407">
        <v>5</v>
      </c>
      <c r="BB28" s="1407"/>
      <c r="BC28" s="1407"/>
      <c r="BD28" s="1424" t="s">
        <v>677</v>
      </c>
      <c r="BE28" s="1424"/>
      <c r="BF28" s="144"/>
    </row>
    <row r="29" spans="2:68" ht="17.25" x14ac:dyDescent="0.25">
      <c r="B29" s="143"/>
      <c r="T29" s="140"/>
      <c r="U29" s="140"/>
      <c r="V29" s="140"/>
      <c r="W29" s="140"/>
      <c r="X29" s="140"/>
      <c r="Y29" s="140"/>
      <c r="Z29" s="140"/>
      <c r="AA29" s="140"/>
      <c r="AB29" s="140"/>
      <c r="AF29" s="1443" t="s">
        <v>734</v>
      </c>
      <c r="AG29" s="1443"/>
      <c r="AH29" s="1443"/>
      <c r="AI29" s="1443"/>
      <c r="AJ29" s="1443"/>
      <c r="AK29" s="1443"/>
      <c r="AL29" s="1443"/>
      <c r="AM29" s="1443"/>
      <c r="AN29" s="1443"/>
      <c r="AO29" s="1443"/>
      <c r="AP29" s="1443"/>
      <c r="AQ29" s="1443"/>
      <c r="AR29" s="1443"/>
      <c r="AS29" s="1443"/>
      <c r="AT29" s="1443"/>
      <c r="AU29" s="1443"/>
      <c r="AV29" s="1443"/>
      <c r="AW29" s="1443"/>
      <c r="AX29" s="1443"/>
      <c r="AY29" s="1443"/>
      <c r="AZ29" s="1443"/>
      <c r="BA29" s="1443"/>
      <c r="BB29" s="1443"/>
      <c r="BC29" s="1443"/>
      <c r="BD29" s="1443"/>
      <c r="BE29" s="1443"/>
      <c r="BF29" s="144"/>
    </row>
    <row r="30" spans="2:68" x14ac:dyDescent="0.25">
      <c r="B30" s="1436" t="s">
        <v>731</v>
      </c>
      <c r="C30" s="1323"/>
      <c r="D30" s="1323"/>
      <c r="E30" s="1323"/>
      <c r="F30" s="1323"/>
      <c r="G30" s="1323"/>
      <c r="H30" s="1323"/>
      <c r="I30" s="1323"/>
      <c r="J30" s="1323"/>
      <c r="K30" s="1323"/>
      <c r="L30" s="1323"/>
      <c r="M30" s="1323"/>
      <c r="N30" s="1323"/>
      <c r="O30" s="1323"/>
      <c r="P30" s="1323"/>
      <c r="Q30" s="1323"/>
      <c r="T30" s="1439">
        <v>1</v>
      </c>
      <c r="U30" s="1439"/>
      <c r="V30" s="1439"/>
      <c r="W30" s="1439"/>
      <c r="AF30" s="1338" t="s">
        <v>733</v>
      </c>
      <c r="AG30" s="1338"/>
      <c r="AH30" s="1338"/>
      <c r="AI30" s="1338"/>
      <c r="AJ30" s="1338"/>
      <c r="AK30" s="1338"/>
      <c r="AL30" s="1338"/>
      <c r="AM30" s="1338"/>
      <c r="AN30" s="1338"/>
      <c r="AO30" s="1338"/>
      <c r="AP30" s="1407" t="s">
        <v>1075</v>
      </c>
      <c r="AQ30" s="1407"/>
      <c r="AR30" s="1407"/>
      <c r="AT30" s="1338" t="s">
        <v>732</v>
      </c>
      <c r="AU30" s="1338"/>
      <c r="AV30" s="1338"/>
      <c r="AW30" s="1338"/>
      <c r="AX30" s="1338"/>
      <c r="AY30" s="1338"/>
      <c r="AZ30" s="1338"/>
      <c r="BA30" s="1338"/>
      <c r="BB30" s="1338"/>
      <c r="BC30" s="1338"/>
      <c r="BF30" s="144"/>
    </row>
    <row r="31" spans="2:68" x14ac:dyDescent="0.25">
      <c r="B31" s="143"/>
      <c r="BF31" s="144"/>
      <c r="BP31" s="300"/>
    </row>
    <row r="32" spans="2:68" x14ac:dyDescent="0.25">
      <c r="B32" s="1436" t="s">
        <v>728</v>
      </c>
      <c r="C32" s="1323"/>
      <c r="D32" s="1323"/>
      <c r="E32" s="1323"/>
      <c r="F32" s="1323"/>
      <c r="G32" s="1323"/>
      <c r="H32" s="1323"/>
      <c r="I32" s="1323"/>
      <c r="J32" s="1323"/>
      <c r="K32" s="1323"/>
      <c r="L32" s="1323"/>
      <c r="M32" s="1323"/>
      <c r="N32" s="1323"/>
      <c r="O32" s="1323"/>
      <c r="P32" s="1323"/>
      <c r="Q32" s="1323"/>
      <c r="T32" s="1445" t="s">
        <v>1049</v>
      </c>
      <c r="U32" s="1445"/>
      <c r="V32" s="1445"/>
      <c r="W32" s="1445"/>
      <c r="X32" s="1445"/>
      <c r="Y32" s="1445"/>
      <c r="Z32" s="1445"/>
      <c r="AA32" s="1445"/>
      <c r="AB32" s="1445"/>
      <c r="AC32" s="1445"/>
      <c r="AD32" s="1445"/>
      <c r="AE32" s="1445"/>
      <c r="AF32" s="1445"/>
      <c r="AG32" s="1445"/>
      <c r="AH32" s="1445"/>
      <c r="AI32" s="1445"/>
      <c r="AJ32" s="1445"/>
      <c r="AK32" s="1445"/>
      <c r="AL32" s="1445"/>
      <c r="AM32" s="1445"/>
      <c r="AN32" s="1445"/>
      <c r="AO32" s="1445"/>
      <c r="BF32" s="144"/>
    </row>
    <row r="33" spans="2:92" x14ac:dyDescent="0.25">
      <c r="B33" s="143"/>
      <c r="BF33" s="144"/>
    </row>
    <row r="34" spans="2:92" x14ac:dyDescent="0.25">
      <c r="B34" s="143"/>
      <c r="C34" s="88"/>
      <c r="D34" s="88"/>
      <c r="E34" s="88"/>
      <c r="F34" s="88"/>
      <c r="G34" s="88"/>
      <c r="H34" s="88"/>
      <c r="I34" s="1407"/>
      <c r="J34" s="1407"/>
      <c r="K34" s="1424" t="s">
        <v>493</v>
      </c>
      <c r="L34" s="1424"/>
      <c r="M34" s="1424"/>
      <c r="N34" s="1424"/>
      <c r="O34" s="1424"/>
      <c r="P34" s="1424"/>
      <c r="Q34" s="1424"/>
      <c r="R34" s="1407" t="s">
        <v>244</v>
      </c>
      <c r="S34" s="1407"/>
      <c r="T34" s="1424" t="s">
        <v>492</v>
      </c>
      <c r="U34" s="1424"/>
      <c r="V34" s="1424"/>
      <c r="W34" s="1424"/>
      <c r="X34" s="1407"/>
      <c r="Y34" s="1407"/>
      <c r="Z34" s="1424" t="s">
        <v>491</v>
      </c>
      <c r="AA34" s="1424"/>
      <c r="AB34" s="1424"/>
      <c r="AF34" t="s">
        <v>730</v>
      </c>
      <c r="AL34" s="1407">
        <v>5</v>
      </c>
      <c r="AM34" s="1407"/>
      <c r="AN34" s="1407"/>
      <c r="AO34" t="s">
        <v>729</v>
      </c>
      <c r="BF34" s="144"/>
    </row>
    <row r="35" spans="2:92" x14ac:dyDescent="0.25">
      <c r="B35" s="143"/>
      <c r="BF35" s="144"/>
      <c r="BP35" s="302"/>
      <c r="CN35" s="300"/>
    </row>
    <row r="36" spans="2:92" x14ac:dyDescent="0.25">
      <c r="B36" s="1433" t="s">
        <v>727</v>
      </c>
      <c r="C36" s="1434"/>
      <c r="D36" s="1434"/>
      <c r="E36" s="1434"/>
      <c r="F36" s="1434"/>
      <c r="G36" s="1434"/>
      <c r="H36" s="1434"/>
      <c r="I36" s="1434"/>
      <c r="J36" s="1434"/>
      <c r="K36" s="1434"/>
      <c r="L36" s="1434"/>
      <c r="M36" s="1434"/>
      <c r="N36" s="1434"/>
      <c r="O36" s="1434"/>
      <c r="P36" s="1434"/>
      <c r="Q36" s="1434"/>
      <c r="R36" s="1434"/>
      <c r="T36" s="1415" t="str">
        <f>IFERROR($T$28/('Tracking &amp; Profitability'!$E$7*52*Welcome!$D$16),"Error on A La Carte")</f>
        <v>Error on A La Carte</v>
      </c>
      <c r="U36" s="1415"/>
      <c r="V36" s="1415"/>
      <c r="W36" s="1415"/>
      <c r="X36" s="1415"/>
      <c r="Y36" s="1415"/>
      <c r="Z36" s="1415"/>
      <c r="AA36" s="1415"/>
      <c r="AB36" s="1415"/>
      <c r="AF36" s="1434" t="s">
        <v>488</v>
      </c>
      <c r="AG36" s="1434"/>
      <c r="AH36" s="1434"/>
      <c r="AI36" s="1434"/>
      <c r="AJ36" s="1434"/>
      <c r="AK36" s="1434"/>
      <c r="AL36" s="1434"/>
      <c r="AM36" s="1434"/>
      <c r="AN36" s="1434"/>
      <c r="AO36" s="1434"/>
      <c r="AP36" s="1434"/>
      <c r="AQ36" s="1434"/>
      <c r="AR36" s="1434"/>
      <c r="AS36" s="1434"/>
      <c r="AU36" s="1407" t="e">
        <f>ROUND(((1-(('PIM Model'!$G$15+'PIM Model'!$G$17+'PIM Model'!$G$18)/'PIM Model'!$G$31))*100),0)&amp;"%/"&amp;ROUND((('PIM Model'!$G$15+'PIM Model'!$G$17+'PIM Model'!$G$18)/'PIM Model'!$G$31*100),0)&amp;"%"</f>
        <v>#DIV/0!</v>
      </c>
      <c r="AV36" s="1407"/>
      <c r="AW36" s="1407"/>
      <c r="AX36" s="1407"/>
      <c r="AY36" s="1407"/>
      <c r="AZ36" s="1407"/>
      <c r="BF36" s="144"/>
    </row>
    <row r="37" spans="2:92" x14ac:dyDescent="0.25">
      <c r="B37" s="350"/>
      <c r="C37" s="88"/>
      <c r="D37" s="88"/>
      <c r="E37" s="88"/>
      <c r="F37" s="88"/>
      <c r="G37" s="88"/>
      <c r="H37" s="88"/>
      <c r="I37" s="88"/>
      <c r="J37" s="88"/>
      <c r="K37" s="88"/>
      <c r="L37" s="88"/>
      <c r="M37" s="88"/>
      <c r="N37" s="88"/>
      <c r="O37" s="88"/>
      <c r="P37" s="88"/>
      <c r="Q37" s="88"/>
      <c r="T37" s="303"/>
      <c r="U37" s="303"/>
      <c r="V37" s="303"/>
      <c r="W37" s="303"/>
      <c r="X37" s="303"/>
      <c r="Y37" s="303"/>
      <c r="Z37" s="303"/>
      <c r="AA37" s="303"/>
      <c r="AB37" s="303"/>
      <c r="AC37" s="303"/>
      <c r="AD37" s="303"/>
      <c r="AF37" s="2"/>
      <c r="AG37" s="2"/>
      <c r="AH37" s="2"/>
      <c r="AI37" s="2"/>
      <c r="AJ37" s="2"/>
      <c r="AK37" s="2"/>
      <c r="AL37" s="2"/>
      <c r="AM37" s="2"/>
      <c r="AN37" s="2"/>
      <c r="AO37" s="2"/>
      <c r="AP37" s="2"/>
      <c r="AQ37" s="2"/>
      <c r="AR37" s="2"/>
      <c r="AS37" s="2"/>
      <c r="AT37" s="2"/>
      <c r="AU37" s="2"/>
      <c r="AV37" s="2"/>
      <c r="AW37" s="2"/>
      <c r="AX37" s="2"/>
      <c r="AY37" s="2"/>
      <c r="BF37" s="144"/>
      <c r="BP37" s="302"/>
      <c r="CN37" s="300"/>
    </row>
    <row r="38" spans="2:92" x14ac:dyDescent="0.25">
      <c r="B38" s="1433" t="s">
        <v>725</v>
      </c>
      <c r="C38" s="1434"/>
      <c r="D38" s="1434"/>
      <c r="E38" s="1434"/>
      <c r="F38" s="1434"/>
      <c r="G38" s="1434"/>
      <c r="H38" s="1434"/>
      <c r="I38" s="1434"/>
      <c r="J38" s="1434"/>
      <c r="K38" s="1434"/>
      <c r="L38" s="1434"/>
      <c r="M38" s="1434"/>
      <c r="N38" s="1434"/>
      <c r="O38" s="1434"/>
      <c r="P38" s="1434"/>
      <c r="Q38" s="1434"/>
      <c r="R38" s="1434"/>
      <c r="T38" s="1416" t="str">
        <f>IFERROR('PIM Model'!$H$31/('PIM Model'!$E$6*52*Welcome!$D$16),"Error on A La Carte")</f>
        <v>Error on A La Carte</v>
      </c>
      <c r="U38" s="1416"/>
      <c r="V38" s="1416"/>
      <c r="W38" s="1416"/>
      <c r="X38" s="1416"/>
      <c r="Y38" s="1416"/>
      <c r="Z38" s="1416"/>
      <c r="AA38" s="1416"/>
      <c r="AB38" s="1416"/>
      <c r="AC38" s="303"/>
      <c r="AD38" s="303"/>
      <c r="AF38" s="1323" t="s">
        <v>678</v>
      </c>
      <c r="AG38" s="1323"/>
      <c r="AH38" s="1323"/>
      <c r="AI38" s="1323"/>
      <c r="AJ38" s="1323"/>
      <c r="AK38" s="1323"/>
      <c r="AL38" s="1323"/>
      <c r="AM38" s="1323"/>
      <c r="AN38" s="1323"/>
      <c r="AO38" s="1323"/>
      <c r="AP38" s="1323"/>
      <c r="AQ38" s="1323"/>
      <c r="AR38" s="1323"/>
      <c r="AS38" s="1323"/>
      <c r="AU38" s="1407">
        <f>COUNTIF('PIM Model'!$E$10:$E$30,"Include")</f>
        <v>21</v>
      </c>
      <c r="AV38" s="1407"/>
      <c r="AW38" s="1407"/>
      <c r="AX38" s="1407"/>
      <c r="AY38" s="1407"/>
      <c r="AZ38" s="1407"/>
      <c r="BF38" s="144"/>
    </row>
    <row r="39" spans="2:92" x14ac:dyDescent="0.25">
      <c r="B39" s="143"/>
      <c r="BF39" s="144"/>
    </row>
    <row r="40" spans="2:92" x14ac:dyDescent="0.25">
      <c r="B40" s="1433" t="s">
        <v>723</v>
      </c>
      <c r="C40" s="1434"/>
      <c r="D40" s="1434"/>
      <c r="E40" s="1434"/>
      <c r="F40" s="1434"/>
      <c r="G40" s="1434"/>
      <c r="H40" s="1434"/>
      <c r="I40" s="1434"/>
      <c r="J40" s="1434"/>
      <c r="K40" s="1434"/>
      <c r="L40" s="1434"/>
      <c r="M40" s="1434"/>
      <c r="N40" s="1434"/>
      <c r="O40" s="1434"/>
      <c r="P40" s="1434"/>
      <c r="Q40" s="1434"/>
      <c r="R40" s="1434"/>
      <c r="T40" s="1437">
        <f>IFERROR('PIM Model'!$G$31/'PIM Model'!$H$31,0)</f>
        <v>0</v>
      </c>
      <c r="U40" s="1437"/>
      <c r="V40" s="1437"/>
      <c r="W40" s="1437"/>
      <c r="X40" s="1437"/>
      <c r="Y40" s="1437"/>
      <c r="Z40" s="1437"/>
      <c r="AA40" s="1437"/>
      <c r="AB40" s="1437"/>
      <c r="AF40" s="1323" t="s">
        <v>726</v>
      </c>
      <c r="AG40" s="1323"/>
      <c r="AH40" s="1323"/>
      <c r="AI40" s="1323"/>
      <c r="AJ40" s="1323"/>
      <c r="AK40" s="1323"/>
      <c r="AL40" s="1323"/>
      <c r="AM40" s="1323"/>
      <c r="AN40" s="1323"/>
      <c r="AO40" s="1323"/>
      <c r="AP40" s="1323"/>
      <c r="AQ40" s="1323"/>
      <c r="AR40" s="1323"/>
      <c r="AS40" s="1323"/>
      <c r="AU40" s="1407">
        <f>$AO$28+$AU$28+$BA$28</f>
        <v>15</v>
      </c>
      <c r="AV40" s="1407"/>
      <c r="AW40" s="1407"/>
      <c r="BC40" s="1424"/>
      <c r="BD40" s="1424"/>
      <c r="BE40" s="1424"/>
      <c r="BF40" s="144"/>
    </row>
    <row r="41" spans="2:92" x14ac:dyDescent="0.25">
      <c r="B41" s="143"/>
      <c r="BF41" s="144"/>
      <c r="BP41" s="300"/>
      <c r="CN41" s="302"/>
    </row>
    <row r="42" spans="2:92" x14ac:dyDescent="0.25">
      <c r="B42" s="1436" t="s">
        <v>721</v>
      </c>
      <c r="C42" s="1323"/>
      <c r="D42" s="1323"/>
      <c r="E42" s="1323"/>
      <c r="F42" s="1323"/>
      <c r="G42" s="1323"/>
      <c r="H42" s="1323"/>
      <c r="I42" s="1323"/>
      <c r="J42" s="1323"/>
      <c r="K42" s="1323"/>
      <c r="L42" s="1323"/>
      <c r="M42" s="1323"/>
      <c r="N42" s="1323"/>
      <c r="O42" s="1323"/>
      <c r="P42" s="1323"/>
      <c r="Q42" s="1323"/>
      <c r="R42" s="1323"/>
      <c r="T42" s="1437" t="s">
        <v>779</v>
      </c>
      <c r="U42" s="1437"/>
      <c r="V42" s="1437"/>
      <c r="W42" s="1437"/>
      <c r="X42" s="1437"/>
      <c r="Y42" s="1437"/>
      <c r="Z42" s="1437"/>
      <c r="AA42" s="1437"/>
      <c r="AB42" s="1437"/>
      <c r="AF42" s="1323" t="s">
        <v>724</v>
      </c>
      <c r="AG42" s="1323"/>
      <c r="AH42" s="1323"/>
      <c r="AI42" s="1323"/>
      <c r="AJ42" s="1323"/>
      <c r="AK42" s="1323"/>
      <c r="AL42" s="1323"/>
      <c r="AM42" s="1323"/>
      <c r="AN42" s="1323"/>
      <c r="AO42" s="1323"/>
      <c r="AP42" s="1323"/>
      <c r="AQ42" s="1323"/>
      <c r="AR42" s="1323"/>
      <c r="AS42" s="1323"/>
      <c r="AU42" s="1407" t="s">
        <v>670</v>
      </c>
      <c r="AV42" s="1407"/>
      <c r="AW42" s="1407"/>
      <c r="BC42" s="1424"/>
      <c r="BD42" s="1424"/>
      <c r="BE42" s="1424"/>
      <c r="BF42" s="144"/>
    </row>
    <row r="43" spans="2:92" x14ac:dyDescent="0.25">
      <c r="B43" s="143"/>
      <c r="BF43" s="144"/>
      <c r="BP43" s="300"/>
      <c r="CN43" s="302"/>
    </row>
    <row r="44" spans="2:92" x14ac:dyDescent="0.25">
      <c r="B44" s="1433" t="s">
        <v>719</v>
      </c>
      <c r="C44" s="1434"/>
      <c r="D44" s="1434"/>
      <c r="E44" s="1434"/>
      <c r="F44" s="1434"/>
      <c r="G44" s="1434"/>
      <c r="H44" s="1434"/>
      <c r="I44" s="1434"/>
      <c r="J44" s="1434"/>
      <c r="K44" s="1434"/>
      <c r="L44" s="1434"/>
      <c r="M44" s="1434"/>
      <c r="N44" s="1434"/>
      <c r="O44" s="1434"/>
      <c r="P44" s="1434"/>
      <c r="Q44" s="1434"/>
      <c r="R44" s="1434"/>
      <c r="T44" s="1438">
        <f>'Tracking &amp; Profitability'!$E$7</f>
        <v>0</v>
      </c>
      <c r="U44" s="1438"/>
      <c r="V44" s="1438"/>
      <c r="W44" s="1438"/>
      <c r="X44" s="1438"/>
      <c r="Y44" s="1438"/>
      <c r="Z44" s="1438"/>
      <c r="AA44" s="1438"/>
      <c r="AB44" s="1438"/>
      <c r="AF44" s="1323" t="s">
        <v>722</v>
      </c>
      <c r="AG44" s="1323"/>
      <c r="AH44" s="1323"/>
      <c r="AI44" s="1323"/>
      <c r="AJ44" s="1323"/>
      <c r="AK44" s="1323"/>
      <c r="AL44" s="1323"/>
      <c r="AM44" s="1323"/>
      <c r="AN44" s="1323"/>
      <c r="AO44" s="1323"/>
      <c r="AP44" s="1323"/>
      <c r="AQ44" s="1323"/>
      <c r="AR44" s="1323"/>
      <c r="AS44" s="1323"/>
      <c r="AU44" s="1407" t="s">
        <v>670</v>
      </c>
      <c r="AV44" s="1407"/>
      <c r="AW44" s="1407"/>
      <c r="BC44" s="1424"/>
      <c r="BD44" s="1424"/>
      <c r="BE44" s="1424"/>
      <c r="BF44" s="144"/>
    </row>
    <row r="45" spans="2:92" x14ac:dyDescent="0.25">
      <c r="B45" s="143"/>
      <c r="BF45" s="144"/>
      <c r="CN45" s="302"/>
    </row>
    <row r="46" spans="2:92" x14ac:dyDescent="0.25">
      <c r="B46" s="1430" t="s">
        <v>679</v>
      </c>
      <c r="C46" s="1431"/>
      <c r="D46" s="1431"/>
      <c r="E46" s="1431"/>
      <c r="F46" s="1431"/>
      <c r="G46" s="1431"/>
      <c r="H46" s="1431"/>
      <c r="I46" s="1431"/>
      <c r="J46" s="1431"/>
      <c r="K46" s="1431"/>
      <c r="L46" s="1431"/>
      <c r="M46" s="1431"/>
      <c r="N46" s="1431"/>
      <c r="O46" s="1431"/>
      <c r="P46" s="1431"/>
      <c r="Q46" s="1431"/>
      <c r="R46" s="1431"/>
      <c r="T46" s="1432">
        <v>150</v>
      </c>
      <c r="U46" s="1432"/>
      <c r="V46" s="1432"/>
      <c r="W46" s="1432"/>
      <c r="X46" s="1432"/>
      <c r="Y46" s="1432"/>
      <c r="Z46" s="1432"/>
      <c r="AA46" s="1432"/>
      <c r="AB46" s="1432"/>
      <c r="AF46" s="1413" t="s">
        <v>720</v>
      </c>
      <c r="AG46" s="1413"/>
      <c r="AH46" s="1413"/>
      <c r="AI46" s="1413"/>
      <c r="AJ46" s="1413"/>
      <c r="AK46" s="1413"/>
      <c r="AL46" s="1413"/>
      <c r="AM46" s="1413"/>
      <c r="AN46" s="1413"/>
      <c r="AO46" s="1413"/>
      <c r="AP46" s="1413"/>
      <c r="AQ46" s="1413"/>
      <c r="AR46" s="1413"/>
      <c r="AS46" s="1413"/>
      <c r="AU46" s="1420">
        <v>0.3</v>
      </c>
      <c r="AV46" s="1420"/>
      <c r="AW46" s="1420"/>
      <c r="AX46" s="1420"/>
      <c r="AY46" s="1420"/>
      <c r="AZ46" s="1420"/>
      <c r="BF46" s="144"/>
    </row>
    <row r="47" spans="2:92" x14ac:dyDescent="0.25">
      <c r="B47" s="143"/>
      <c r="BF47" s="144"/>
      <c r="CN47" s="302"/>
    </row>
    <row r="48" spans="2:92" x14ac:dyDescent="0.25">
      <c r="B48" s="1433" t="s">
        <v>489</v>
      </c>
      <c r="C48" s="1434"/>
      <c r="D48" s="1434"/>
      <c r="E48" s="1434"/>
      <c r="F48" s="1434"/>
      <c r="G48" s="1434"/>
      <c r="H48" s="1434"/>
      <c r="I48" s="1434"/>
      <c r="J48" s="1434"/>
      <c r="K48" s="1434"/>
      <c r="L48" s="1434"/>
      <c r="M48" s="1434"/>
      <c r="N48" s="1434"/>
      <c r="O48" s="1434"/>
      <c r="P48" s="1434"/>
      <c r="Q48" s="1434"/>
      <c r="R48" s="1434"/>
      <c r="T48" s="1432">
        <f>$K$10</f>
        <v>0</v>
      </c>
      <c r="U48" s="1432"/>
      <c r="V48" s="1432"/>
      <c r="W48" s="1432"/>
      <c r="X48" s="1432"/>
      <c r="Y48" s="1432"/>
      <c r="Z48" s="1432"/>
      <c r="AA48" s="1432"/>
      <c r="AB48" s="1432"/>
      <c r="AF48" s="1413" t="s">
        <v>718</v>
      </c>
      <c r="AG48" s="1413"/>
      <c r="AH48" s="1413"/>
      <c r="AI48" s="1413"/>
      <c r="AJ48" s="1413"/>
      <c r="AK48" s="1413"/>
      <c r="AL48" s="1413"/>
      <c r="AM48" s="1413"/>
      <c r="AN48" s="1413"/>
      <c r="AO48" s="1413"/>
      <c r="AP48" s="1413"/>
      <c r="AQ48" s="1413"/>
      <c r="AR48" s="1413"/>
      <c r="AS48" s="1413"/>
      <c r="AU48" s="1405">
        <v>2.25</v>
      </c>
      <c r="AV48" s="1406"/>
      <c r="AW48" s="1406"/>
      <c r="AX48" s="1406"/>
      <c r="AY48" s="1406"/>
      <c r="AZ48" s="1406"/>
      <c r="BF48" s="144"/>
    </row>
    <row r="49" spans="2:92" x14ac:dyDescent="0.25">
      <c r="B49" s="143"/>
      <c r="BF49" s="144"/>
      <c r="CN49" s="302"/>
    </row>
    <row r="50" spans="2:92" x14ac:dyDescent="0.25">
      <c r="B50" s="1412" t="s">
        <v>717</v>
      </c>
      <c r="C50" s="1413"/>
      <c r="D50" s="1413"/>
      <c r="E50" s="1413"/>
      <c r="F50" s="1413"/>
      <c r="G50" s="1413"/>
      <c r="H50" s="1413"/>
      <c r="I50" s="1413"/>
      <c r="J50" s="1413"/>
      <c r="K50" s="1413"/>
      <c r="L50" s="1413"/>
      <c r="M50" s="1413"/>
      <c r="N50" s="1413"/>
      <c r="O50" s="1413"/>
      <c r="P50" s="1413"/>
      <c r="Q50" s="1413"/>
      <c r="R50" s="1413"/>
      <c r="T50" s="1414">
        <v>500</v>
      </c>
      <c r="U50" s="1414"/>
      <c r="V50" s="1414"/>
      <c r="W50" s="1414"/>
      <c r="X50" s="1414"/>
      <c r="Y50" s="1414"/>
      <c r="Z50" s="1323" t="s">
        <v>716</v>
      </c>
      <c r="AA50" s="1323"/>
      <c r="AB50" s="1323"/>
      <c r="AC50" s="1414">
        <v>35</v>
      </c>
      <c r="AD50" s="1414"/>
      <c r="AE50" s="1414"/>
      <c r="AF50" s="1414"/>
      <c r="AG50" s="1414"/>
      <c r="BF50" s="144"/>
    </row>
    <row r="51" spans="2:92" x14ac:dyDescent="0.25">
      <c r="B51" s="143"/>
      <c r="BF51" s="144"/>
      <c r="BP51" s="300"/>
      <c r="CN51" s="302"/>
    </row>
    <row r="52" spans="2:92" ht="15.75" thickBot="1" x14ac:dyDescent="0.3">
      <c r="B52" s="290"/>
      <c r="C52" s="291"/>
      <c r="D52" s="291"/>
      <c r="E52" s="291"/>
      <c r="F52" s="291"/>
      <c r="G52" s="291"/>
      <c r="H52" s="291"/>
      <c r="I52" s="291"/>
      <c r="J52" s="291"/>
      <c r="K52" s="291"/>
      <c r="L52" s="291"/>
      <c r="M52" s="291"/>
      <c r="N52" s="291"/>
      <c r="O52" s="291"/>
      <c r="P52" s="291"/>
      <c r="Q52" s="291"/>
      <c r="R52" s="291"/>
      <c r="S52" s="291"/>
      <c r="T52" s="291"/>
      <c r="U52" s="291"/>
      <c r="V52" s="291"/>
      <c r="W52" s="291"/>
      <c r="X52" s="291"/>
      <c r="Y52" s="291"/>
      <c r="Z52" s="291"/>
      <c r="AA52" s="291"/>
      <c r="AB52" s="291"/>
      <c r="AC52" s="291"/>
      <c r="AD52" s="291"/>
      <c r="AE52" s="291"/>
      <c r="AF52" s="291"/>
      <c r="AG52" s="291"/>
      <c r="AH52" s="291"/>
      <c r="AI52" s="291"/>
      <c r="AJ52" s="291"/>
      <c r="AK52" s="291"/>
      <c r="AL52" s="291"/>
      <c r="AM52" s="291"/>
      <c r="AN52" s="291"/>
      <c r="AO52" s="291"/>
      <c r="AP52" s="291"/>
      <c r="AQ52" s="291"/>
      <c r="AR52" s="291"/>
      <c r="AS52" s="291"/>
      <c r="AT52" s="291"/>
      <c r="AU52" s="291"/>
      <c r="AV52" s="291"/>
      <c r="AW52" s="291"/>
      <c r="AX52" s="291"/>
      <c r="AY52" s="291"/>
      <c r="AZ52" s="291"/>
      <c r="BA52" s="291"/>
      <c r="BB52" s="291"/>
      <c r="BC52" s="291"/>
      <c r="BD52" s="291"/>
      <c r="BE52" s="291"/>
      <c r="BF52" s="292"/>
    </row>
    <row r="53" spans="2:92" ht="18.75" x14ac:dyDescent="0.3">
      <c r="B53" s="1417" t="s">
        <v>700</v>
      </c>
      <c r="C53" s="1418"/>
      <c r="D53" s="1418"/>
      <c r="E53" s="1418"/>
      <c r="F53" s="1418"/>
      <c r="G53" s="1418"/>
      <c r="H53" s="1418"/>
      <c r="I53" s="1418"/>
      <c r="J53" s="1418"/>
      <c r="K53" s="1418"/>
      <c r="L53" s="1418"/>
      <c r="M53" s="1418"/>
      <c r="N53" s="1418"/>
      <c r="O53" s="1418"/>
      <c r="P53" s="1418"/>
      <c r="Q53" s="1418"/>
      <c r="R53" s="1418"/>
      <c r="S53" s="1418"/>
      <c r="T53" s="1418"/>
      <c r="U53" s="1418"/>
      <c r="V53" s="1418"/>
      <c r="W53" s="1418"/>
      <c r="X53" s="1418"/>
      <c r="Y53" s="1418"/>
      <c r="Z53" s="1418"/>
      <c r="AA53" s="1418"/>
      <c r="AB53" s="1418"/>
      <c r="AC53" s="1418"/>
      <c r="AD53" s="1418"/>
      <c r="AE53" s="1418"/>
      <c r="AF53" s="1418"/>
      <c r="AG53" s="1418"/>
      <c r="AH53" s="1418"/>
      <c r="AI53" s="1418"/>
      <c r="AJ53" s="1418"/>
      <c r="AK53" s="1418"/>
      <c r="AL53" s="1418"/>
      <c r="AM53" s="1418"/>
      <c r="AN53" s="1418"/>
      <c r="AO53" s="1418"/>
      <c r="AP53" s="1418"/>
      <c r="AQ53" s="1418"/>
      <c r="AR53" s="1418"/>
      <c r="AS53" s="1418"/>
      <c r="AT53" s="1418"/>
      <c r="AU53" s="1418"/>
      <c r="AV53" s="1418"/>
      <c r="AW53" s="1418"/>
      <c r="AX53" s="1418"/>
      <c r="AY53" s="1418"/>
      <c r="AZ53" s="1418"/>
      <c r="BA53" s="1418"/>
      <c r="BB53" s="1418"/>
      <c r="BC53" s="1418"/>
      <c r="BD53" s="1418"/>
      <c r="BE53" s="1418"/>
      <c r="BF53" s="1419"/>
    </row>
    <row r="54" spans="2:92" x14ac:dyDescent="0.25">
      <c r="B54" s="1421" t="s">
        <v>715</v>
      </c>
      <c r="C54" s="1422"/>
      <c r="D54" s="1422"/>
      <c r="E54" s="1422"/>
      <c r="F54" s="1422"/>
      <c r="G54" s="1422"/>
      <c r="H54" s="1422"/>
      <c r="I54" s="1422"/>
      <c r="J54" s="1422"/>
      <c r="K54" s="1422"/>
      <c r="L54" s="1422"/>
      <c r="M54" s="1422"/>
      <c r="N54" s="1422"/>
      <c r="O54" s="1422"/>
      <c r="P54" s="1422"/>
      <c r="Q54" s="1422"/>
      <c r="R54" s="1422"/>
      <c r="S54" s="1422"/>
      <c r="T54" s="1422"/>
      <c r="U54" s="1422"/>
      <c r="V54" s="1422"/>
      <c r="W54" s="1422"/>
      <c r="X54" s="1422"/>
      <c r="Y54" s="1422"/>
      <c r="Z54" s="1422"/>
      <c r="AA54" s="1422"/>
      <c r="AB54" s="1422"/>
      <c r="AC54" s="1422"/>
      <c r="AD54" s="1422"/>
      <c r="AE54" s="1422"/>
      <c r="AF54" s="1422"/>
      <c r="AG54" s="1422"/>
      <c r="AH54" s="1422"/>
      <c r="AI54" s="1422"/>
      <c r="AJ54" s="1422"/>
      <c r="AK54" s="1422"/>
      <c r="AL54" s="1422"/>
      <c r="AM54" s="1422"/>
      <c r="AN54" s="1422"/>
      <c r="AO54" s="1422"/>
      <c r="AP54" s="1422"/>
      <c r="AQ54" s="1422"/>
      <c r="AR54" s="1422"/>
      <c r="AS54" s="1422"/>
      <c r="AT54" s="1422"/>
      <c r="AU54" s="1422"/>
      <c r="AV54" s="1422"/>
      <c r="AW54" s="1422"/>
      <c r="AX54" s="1422"/>
      <c r="AY54" s="1422"/>
      <c r="AZ54" s="1422"/>
      <c r="BA54" s="1422"/>
      <c r="BB54" s="1422"/>
      <c r="BC54" s="1422"/>
      <c r="BD54" s="1422"/>
      <c r="BE54" s="1422"/>
      <c r="BF54" s="1423"/>
      <c r="BP54" s="300"/>
    </row>
    <row r="55" spans="2:92" x14ac:dyDescent="0.25">
      <c r="B55" s="143"/>
      <c r="AC55" s="305"/>
      <c r="AD55" s="305"/>
      <c r="AE55" s="305"/>
      <c r="AF55" s="305"/>
      <c r="AG55" s="305"/>
      <c r="AH55" s="305"/>
      <c r="AK55" s="1428"/>
      <c r="AL55" s="1428"/>
      <c r="AM55" s="1428"/>
      <c r="AN55" s="1428"/>
      <c r="AO55" s="1299"/>
      <c r="AP55" s="1299"/>
      <c r="AQ55" s="1299"/>
      <c r="AR55" s="140"/>
      <c r="AS55" s="140"/>
      <c r="AT55" s="1299"/>
      <c r="AU55" s="1299"/>
      <c r="AV55" s="1299"/>
      <c r="AW55" s="140"/>
      <c r="AX55" s="140"/>
      <c r="AY55" s="1299"/>
      <c r="AZ55" s="1299"/>
      <c r="BA55" s="1299"/>
      <c r="BB55" s="140"/>
      <c r="BC55" s="140"/>
      <c r="BD55" s="1299"/>
      <c r="BE55" s="1299"/>
      <c r="BF55" s="1404"/>
      <c r="BP55" s="306"/>
    </row>
    <row r="56" spans="2:92" x14ac:dyDescent="0.25">
      <c r="B56" s="143"/>
      <c r="C56" s="1338" t="s">
        <v>103</v>
      </c>
      <c r="D56" s="1338"/>
      <c r="E56" s="1338"/>
      <c r="F56" s="1338"/>
      <c r="G56" s="1338"/>
      <c r="H56" s="1338"/>
      <c r="I56" s="1338"/>
      <c r="J56" s="1338"/>
      <c r="K56" s="1338"/>
      <c r="L56" s="1338"/>
      <c r="M56" s="1338"/>
      <c r="N56" s="1338"/>
      <c r="O56" s="1338"/>
      <c r="P56" s="1338"/>
      <c r="Q56" s="1338"/>
      <c r="R56" s="1338"/>
      <c r="S56" s="1338"/>
      <c r="T56" s="1338"/>
      <c r="U56" s="1338"/>
      <c r="V56" s="1338"/>
      <c r="W56" s="1338"/>
      <c r="X56" s="1338"/>
      <c r="Y56" s="1338"/>
      <c r="Z56" s="1338"/>
      <c r="AC56" s="1407" t="str">
        <f>'PIM Model'!$AD$11</f>
        <v/>
      </c>
      <c r="AD56" s="1407"/>
      <c r="AE56" s="1407" t="str">
        <f>'PIM Model'!$D$11</f>
        <v>%</v>
      </c>
      <c r="AF56" s="1407"/>
      <c r="AG56" s="1407" t="str">
        <f>'PIM Model'!$D$11</f>
        <v>%</v>
      </c>
      <c r="AH56" s="1407"/>
      <c r="AI56" s="1424" t="str">
        <f>'PIM Model'!$D$11</f>
        <v>%</v>
      </c>
      <c r="AJ56" s="1424"/>
      <c r="AK56" s="140"/>
      <c r="AL56" s="140"/>
      <c r="AM56" s="140"/>
      <c r="AN56" s="140"/>
      <c r="AO56" s="1299"/>
      <c r="AP56" s="1299"/>
      <c r="AQ56" s="1299"/>
      <c r="AR56" s="140"/>
      <c r="AS56" s="140"/>
      <c r="AT56" s="1299"/>
      <c r="AU56" s="1299"/>
      <c r="AV56" s="1299"/>
      <c r="AW56" s="140"/>
      <c r="AX56" s="140"/>
      <c r="AY56" s="1299"/>
      <c r="AZ56" s="1299"/>
      <c r="BA56" s="1299"/>
      <c r="BB56" s="140"/>
      <c r="BC56" s="140"/>
      <c r="BD56" s="1299"/>
      <c r="BE56" s="1299"/>
      <c r="BF56" s="1404"/>
      <c r="BP56" s="300"/>
    </row>
    <row r="57" spans="2:92" x14ac:dyDescent="0.25">
      <c r="B57" s="143"/>
      <c r="C57" s="1338" t="s">
        <v>102</v>
      </c>
      <c r="D57" s="1338"/>
      <c r="E57" s="1338"/>
      <c r="F57" s="1338"/>
      <c r="G57" s="1338"/>
      <c r="H57" s="1338"/>
      <c r="I57" s="1338"/>
      <c r="J57" s="1338"/>
      <c r="K57" s="1338"/>
      <c r="L57" s="1338"/>
      <c r="M57" s="1338"/>
      <c r="N57" s="1338"/>
      <c r="O57" s="1338"/>
      <c r="P57" s="1338"/>
      <c r="Q57" s="1338"/>
      <c r="R57" s="1338"/>
      <c r="S57" s="1338"/>
      <c r="T57" s="1338"/>
      <c r="U57" s="1338"/>
      <c r="V57" s="1338"/>
      <c r="W57" s="1338"/>
      <c r="X57" s="1338"/>
      <c r="Y57" s="1338"/>
      <c r="Z57" s="1338"/>
      <c r="AC57" s="1427" t="str">
        <f>'PIM Model'!$AD$13</f>
        <v/>
      </c>
      <c r="AD57" s="1427"/>
      <c r="AE57" s="1427" t="str">
        <f>'PIM Model'!$D$13</f>
        <v>%</v>
      </c>
      <c r="AF57" s="1427"/>
      <c r="AG57" s="1427" t="str">
        <f>'PIM Model'!$D$13</f>
        <v>%</v>
      </c>
      <c r="AH57" s="1427"/>
      <c r="AI57" s="1424" t="str">
        <f>'PIM Model'!$D$13</f>
        <v>%</v>
      </c>
      <c r="AJ57" s="1424"/>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75"/>
    </row>
    <row r="58" spans="2:92" x14ac:dyDescent="0.25">
      <c r="B58" s="143"/>
      <c r="C58" s="1338" t="s">
        <v>101</v>
      </c>
      <c r="D58" s="1338"/>
      <c r="E58" s="1338"/>
      <c r="F58" s="1338"/>
      <c r="G58" s="1338"/>
      <c r="H58" s="1338"/>
      <c r="I58" s="1338"/>
      <c r="J58" s="1338"/>
      <c r="K58" s="1338"/>
      <c r="L58" s="1338"/>
      <c r="M58" s="1338"/>
      <c r="N58" s="1338"/>
      <c r="O58" s="1338"/>
      <c r="P58" s="1338"/>
      <c r="Q58" s="1338"/>
      <c r="R58" s="1338"/>
      <c r="S58" s="1338"/>
      <c r="T58" s="1338"/>
      <c r="U58" s="1338"/>
      <c r="V58" s="1338"/>
      <c r="W58" s="1338"/>
      <c r="X58" s="1338"/>
      <c r="Y58" s="1338"/>
      <c r="Z58" s="1338"/>
      <c r="AC58" s="1427" t="str">
        <f>'PIM Model'!$AD$19</f>
        <v/>
      </c>
      <c r="AD58" s="1427"/>
      <c r="AE58" s="1427" t="str">
        <f>'PIM Model'!$D$19</f>
        <v>%</v>
      </c>
      <c r="AF58" s="1427"/>
      <c r="AG58" s="1427" t="str">
        <f>'PIM Model'!$D$19</f>
        <v>%</v>
      </c>
      <c r="AH58" s="1427"/>
      <c r="AI58" s="1424" t="str">
        <f>'PIM Model'!$D$19</f>
        <v>%</v>
      </c>
      <c r="AJ58" s="1424"/>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75"/>
      <c r="BP58" s="300"/>
    </row>
    <row r="59" spans="2:92" x14ac:dyDescent="0.25">
      <c r="B59" s="143"/>
      <c r="C59" s="1338" t="s">
        <v>100</v>
      </c>
      <c r="D59" s="1338"/>
      <c r="E59" s="1338"/>
      <c r="F59" s="1338"/>
      <c r="G59" s="1338"/>
      <c r="H59" s="1338"/>
      <c r="I59" s="1338"/>
      <c r="J59" s="1338"/>
      <c r="K59" s="1338"/>
      <c r="L59" s="1338"/>
      <c r="M59" s="1338"/>
      <c r="N59" s="1338"/>
      <c r="O59" s="1338"/>
      <c r="P59" s="1338"/>
      <c r="Q59" s="1338"/>
      <c r="R59" s="1338"/>
      <c r="S59" s="1338"/>
      <c r="T59" s="1338"/>
      <c r="U59" s="1338"/>
      <c r="V59" s="1338"/>
      <c r="W59" s="1338"/>
      <c r="X59" s="1338"/>
      <c r="Y59" s="1338"/>
      <c r="Z59" s="1338"/>
      <c r="AC59" s="1427" t="str">
        <f>'PIM Model'!$AD$14</f>
        <v/>
      </c>
      <c r="AD59" s="1427"/>
      <c r="AE59" s="1427" t="str">
        <f>'PIM Model'!$D$14</f>
        <v>%</v>
      </c>
      <c r="AF59" s="1427"/>
      <c r="AG59" s="1427" t="str">
        <f>'PIM Model'!$D$14</f>
        <v>%</v>
      </c>
      <c r="AH59" s="1427"/>
      <c r="AI59" s="1424" t="str">
        <f>'PIM Model'!$D$14</f>
        <v>%</v>
      </c>
      <c r="AJ59" s="1424"/>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75"/>
    </row>
    <row r="60" spans="2:92" x14ac:dyDescent="0.25">
      <c r="B60" s="143"/>
      <c r="C60" s="1338" t="s">
        <v>104</v>
      </c>
      <c r="D60" s="1338"/>
      <c r="E60" s="1338"/>
      <c r="F60" s="1338"/>
      <c r="G60" s="1338"/>
      <c r="H60" s="1338"/>
      <c r="I60" s="1338"/>
      <c r="J60" s="1338"/>
      <c r="K60" s="1338"/>
      <c r="L60" s="1338"/>
      <c r="M60" s="1338"/>
      <c r="N60" s="1338"/>
      <c r="O60" s="1338"/>
      <c r="P60" s="1338"/>
      <c r="Q60" s="1338"/>
      <c r="R60" s="1338"/>
      <c r="S60" s="1338"/>
      <c r="T60" s="1338"/>
      <c r="U60" s="1338"/>
      <c r="V60" s="1338"/>
      <c r="W60" s="1338"/>
      <c r="X60" s="1338"/>
      <c r="Y60" s="1338"/>
      <c r="Z60" s="1338"/>
      <c r="AC60" s="1427" t="str">
        <f>'PIM Model'!$AD$15</f>
        <v/>
      </c>
      <c r="AD60" s="1427"/>
      <c r="AE60" s="1427" t="str">
        <f>'PIM Model'!$D$15</f>
        <v>%</v>
      </c>
      <c r="AF60" s="1427"/>
      <c r="AG60" s="1427" t="str">
        <f>'PIM Model'!$D$15</f>
        <v>%</v>
      </c>
      <c r="AH60" s="1427"/>
      <c r="AI60" s="1424" t="str">
        <f>'PIM Model'!$D$15</f>
        <v>%</v>
      </c>
      <c r="AJ60" s="1424"/>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75"/>
    </row>
    <row r="61" spans="2:92" x14ac:dyDescent="0.25">
      <c r="B61" s="143"/>
      <c r="C61" s="1338" t="s">
        <v>99</v>
      </c>
      <c r="D61" s="1338"/>
      <c r="E61" s="1338"/>
      <c r="F61" s="1338"/>
      <c r="G61" s="1338"/>
      <c r="H61" s="1338"/>
      <c r="I61" s="1338"/>
      <c r="J61" s="1338"/>
      <c r="K61" s="1338"/>
      <c r="L61" s="1338"/>
      <c r="M61" s="1338"/>
      <c r="N61" s="1338"/>
      <c r="O61" s="1338"/>
      <c r="P61" s="1338"/>
      <c r="Q61" s="1338"/>
      <c r="R61" s="1338"/>
      <c r="S61" s="1338"/>
      <c r="T61" s="1338"/>
      <c r="U61" s="1338"/>
      <c r="V61" s="1338"/>
      <c r="W61" s="1338"/>
      <c r="X61" s="1338"/>
      <c r="Y61" s="1338"/>
      <c r="Z61" s="1338"/>
      <c r="AC61" s="1427" t="str">
        <f>'PIM Model'!$AD$10</f>
        <v/>
      </c>
      <c r="AD61" s="1427"/>
      <c r="AE61" s="1427" t="str">
        <f>'PIM Model'!$D$10</f>
        <v>%</v>
      </c>
      <c r="AF61" s="1427"/>
      <c r="AG61" s="1427" t="str">
        <f>'PIM Model'!$D$10</f>
        <v>%</v>
      </c>
      <c r="AH61" s="1427"/>
      <c r="AI61" s="1424" t="str">
        <f>'PIM Model'!$D$10</f>
        <v>%</v>
      </c>
      <c r="AJ61" s="1424"/>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75"/>
    </row>
    <row r="62" spans="2:92" x14ac:dyDescent="0.25">
      <c r="B62" s="143"/>
      <c r="C62" s="1242" t="s">
        <v>98</v>
      </c>
      <c r="D62" s="1242"/>
      <c r="E62" s="1242"/>
      <c r="F62" s="1242"/>
      <c r="G62" s="1242"/>
      <c r="H62" s="1242"/>
      <c r="I62" s="1242"/>
      <c r="J62" s="1242"/>
      <c r="K62" s="1242"/>
      <c r="L62" s="1242"/>
      <c r="M62" s="1242"/>
      <c r="N62" s="1242"/>
      <c r="O62" s="1242"/>
      <c r="P62" s="1242"/>
      <c r="Q62" s="1242"/>
      <c r="R62" s="1242"/>
      <c r="S62" s="1242"/>
      <c r="T62" s="1242"/>
      <c r="U62" s="1242"/>
      <c r="V62" s="1242"/>
      <c r="W62" s="1242"/>
      <c r="X62" s="1242"/>
      <c r="Y62" s="1242"/>
      <c r="Z62" s="1242"/>
      <c r="AC62" s="1427" t="str">
        <f>'PIM Model'!$AD$16</f>
        <v/>
      </c>
      <c r="AD62" s="1427"/>
      <c r="AE62" s="1427" t="str">
        <f>'PIM Model'!$D$16</f>
        <v>%</v>
      </c>
      <c r="AF62" s="1427"/>
      <c r="AG62" s="1427" t="str">
        <f>'PIM Model'!$D$16</f>
        <v>%</v>
      </c>
      <c r="AH62" s="1427"/>
      <c r="AI62" s="1424" t="str">
        <f>'PIM Model'!$D$16</f>
        <v>%</v>
      </c>
      <c r="AJ62" s="1424"/>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75"/>
    </row>
    <row r="63" spans="2:92" x14ac:dyDescent="0.25">
      <c r="B63" s="143"/>
      <c r="C63" s="1242" t="s">
        <v>97</v>
      </c>
      <c r="D63" s="1242"/>
      <c r="E63" s="1242"/>
      <c r="F63" s="1242"/>
      <c r="G63" s="1242"/>
      <c r="H63" s="1242"/>
      <c r="I63" s="1242"/>
      <c r="J63" s="1242"/>
      <c r="K63" s="1242"/>
      <c r="L63" s="1242"/>
      <c r="M63" s="1242"/>
      <c r="N63" s="1242"/>
      <c r="O63" s="1242"/>
      <c r="P63" s="1242"/>
      <c r="Q63" s="1242"/>
      <c r="R63" s="1242"/>
      <c r="S63" s="1242"/>
      <c r="T63" s="1242"/>
      <c r="U63" s="1242"/>
      <c r="V63" s="1242"/>
      <c r="W63" s="1242"/>
      <c r="X63" s="1242"/>
      <c r="Y63" s="1242"/>
      <c r="Z63" s="1242"/>
      <c r="AC63" s="1427" t="str">
        <f>'PIM Model'!$AD$20</f>
        <v/>
      </c>
      <c r="AD63" s="1427"/>
      <c r="AE63" s="1427" t="str">
        <f>'PIM Model'!$D$20</f>
        <v>%</v>
      </c>
      <c r="AF63" s="1427"/>
      <c r="AG63" s="1427" t="str">
        <f>'PIM Model'!$D$20</f>
        <v>%</v>
      </c>
      <c r="AH63" s="1427"/>
      <c r="AI63" s="1424" t="str">
        <f>'PIM Model'!$D$20</f>
        <v>%</v>
      </c>
      <c r="AJ63" s="1424"/>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75"/>
    </row>
    <row r="64" spans="2:92" x14ac:dyDescent="0.25">
      <c r="B64" s="143"/>
      <c r="C64" s="1242" t="s">
        <v>96</v>
      </c>
      <c r="D64" s="1242"/>
      <c r="E64" s="1242"/>
      <c r="F64" s="1242"/>
      <c r="G64" s="1242"/>
      <c r="H64" s="1242"/>
      <c r="I64" s="1242"/>
      <c r="J64" s="1242"/>
      <c r="K64" s="1242"/>
      <c r="L64" s="1242"/>
      <c r="M64" s="1242"/>
      <c r="N64" s="1242"/>
      <c r="O64" s="1242"/>
      <c r="P64" s="1242"/>
      <c r="Q64" s="1242"/>
      <c r="R64" s="1242"/>
      <c r="S64" s="1242"/>
      <c r="T64" s="1242"/>
      <c r="U64" s="1242"/>
      <c r="V64" s="1242"/>
      <c r="W64" s="1242"/>
      <c r="X64" s="1242"/>
      <c r="Y64" s="1242"/>
      <c r="Z64" s="1242"/>
      <c r="AC64" s="1427" t="str">
        <f>'PIM Model'!$AD$18</f>
        <v/>
      </c>
      <c r="AD64" s="1427"/>
      <c r="AE64" s="1427" t="str">
        <f>'PIM Model'!$D$18</f>
        <v>%</v>
      </c>
      <c r="AF64" s="1427"/>
      <c r="AG64" s="1427" t="str">
        <f>'PIM Model'!$D$18</f>
        <v>%</v>
      </c>
      <c r="AH64" s="1427"/>
      <c r="AI64" s="1424" t="str">
        <f>'PIM Model'!$D$18</f>
        <v>%</v>
      </c>
      <c r="AJ64" s="1424"/>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75"/>
    </row>
    <row r="65" spans="2:70" x14ac:dyDescent="0.25">
      <c r="B65" s="143"/>
      <c r="C65" s="1242" t="s">
        <v>95</v>
      </c>
      <c r="D65" s="1242"/>
      <c r="E65" s="1242"/>
      <c r="F65" s="1242"/>
      <c r="G65" s="1242"/>
      <c r="H65" s="1242"/>
      <c r="I65" s="1242"/>
      <c r="J65" s="1242"/>
      <c r="K65" s="1242"/>
      <c r="L65" s="1242"/>
      <c r="M65" s="1242"/>
      <c r="N65" s="1242"/>
      <c r="O65" s="1242"/>
      <c r="P65" s="1242"/>
      <c r="Q65" s="1242"/>
      <c r="R65" s="1242"/>
      <c r="S65" s="1242"/>
      <c r="T65" s="1242"/>
      <c r="U65" s="1242"/>
      <c r="V65" s="1242"/>
      <c r="W65" s="1242"/>
      <c r="X65" s="1242"/>
      <c r="Y65" s="1242"/>
      <c r="Z65" s="1242"/>
      <c r="AC65" s="1427" t="str">
        <f>'PIM Model'!$AD$17</f>
        <v/>
      </c>
      <c r="AD65" s="1427"/>
      <c r="AE65" s="1427" t="str">
        <f>'PIM Model'!$D$17</f>
        <v>%</v>
      </c>
      <c r="AF65" s="1427"/>
      <c r="AG65" s="1427" t="str">
        <f>'PIM Model'!$D$17</f>
        <v>%</v>
      </c>
      <c r="AH65" s="1427"/>
      <c r="AI65" s="1424" t="str">
        <f>'PIM Model'!$D$17</f>
        <v>%</v>
      </c>
      <c r="AJ65" s="1424"/>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75"/>
    </row>
    <row r="66" spans="2:70" x14ac:dyDescent="0.25">
      <c r="B66" s="143"/>
      <c r="C66" s="1242" t="s">
        <v>94</v>
      </c>
      <c r="D66" s="1242"/>
      <c r="E66" s="1242"/>
      <c r="F66" s="1242"/>
      <c r="G66" s="1242"/>
      <c r="H66" s="1242"/>
      <c r="I66" s="1242"/>
      <c r="J66" s="1242"/>
      <c r="K66" s="1242"/>
      <c r="L66" s="1242"/>
      <c r="M66" s="1242"/>
      <c r="N66" s="1242"/>
      <c r="O66" s="1242"/>
      <c r="P66" s="1242"/>
      <c r="Q66" s="1242"/>
      <c r="R66" s="1242"/>
      <c r="S66" s="1242"/>
      <c r="T66" s="1242"/>
      <c r="U66" s="1242"/>
      <c r="V66" s="1242"/>
      <c r="W66" s="1242"/>
      <c r="X66" s="1242"/>
      <c r="Y66" s="1242"/>
      <c r="Z66" s="1242"/>
      <c r="AC66" s="1427" t="str">
        <f>'PIM Model'!$AD$27</f>
        <v/>
      </c>
      <c r="AD66" s="1427"/>
      <c r="AE66" s="1427" t="str">
        <f>'PIM Model'!$D$27</f>
        <v>%</v>
      </c>
      <c r="AF66" s="1427"/>
      <c r="AG66" s="1427" t="str">
        <f>'PIM Model'!$D$27</f>
        <v>%</v>
      </c>
      <c r="AH66" s="1427"/>
      <c r="AI66" s="1424" t="str">
        <f>'PIM Model'!$D$27</f>
        <v>%</v>
      </c>
      <c r="AJ66" s="1424"/>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75"/>
    </row>
    <row r="67" spans="2:70" x14ac:dyDescent="0.25">
      <c r="B67" s="143"/>
      <c r="E67" s="1424" t="s">
        <v>714</v>
      </c>
      <c r="F67" s="1424"/>
      <c r="G67" s="1424"/>
      <c r="H67" s="1424"/>
      <c r="I67" s="1424"/>
      <c r="J67" s="1424"/>
      <c r="K67" s="1424"/>
      <c r="M67" s="1425" t="s">
        <v>244</v>
      </c>
      <c r="N67" s="1425"/>
      <c r="O67" s="1425"/>
      <c r="P67" t="s">
        <v>670</v>
      </c>
      <c r="S67" s="1426"/>
      <c r="T67" s="1426"/>
      <c r="U67" s="1426"/>
      <c r="V67" s="1424" t="s">
        <v>672</v>
      </c>
      <c r="W67" s="1424"/>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75"/>
    </row>
    <row r="68" spans="2:70" x14ac:dyDescent="0.25">
      <c r="B68" s="143"/>
      <c r="C68" s="1242" t="s">
        <v>93</v>
      </c>
      <c r="D68" s="1242"/>
      <c r="E68" s="1242"/>
      <c r="F68" s="1242"/>
      <c r="G68" s="1242"/>
      <c r="H68" s="1242"/>
      <c r="I68" s="1242"/>
      <c r="J68" s="1242"/>
      <c r="K68" s="1242"/>
      <c r="L68" s="1242"/>
      <c r="M68" s="1242"/>
      <c r="N68" s="1242"/>
      <c r="O68" s="1242"/>
      <c r="P68" s="1242"/>
      <c r="Q68" s="1242"/>
      <c r="R68" s="1242"/>
      <c r="S68" s="1242"/>
      <c r="T68" s="1242"/>
      <c r="U68" s="1242"/>
      <c r="V68" s="1242"/>
      <c r="W68" s="1242"/>
      <c r="X68" s="1242"/>
      <c r="Y68" s="1242"/>
      <c r="Z68" s="1242"/>
      <c r="AC68" s="1427" t="str">
        <f>'PIM Model'!$AD$21</f>
        <v/>
      </c>
      <c r="AD68" s="1427"/>
      <c r="AE68" s="1427" t="str">
        <f>'PIM Model'!$D$21</f>
        <v>%</v>
      </c>
      <c r="AF68" s="1427"/>
      <c r="AG68" s="1427" t="str">
        <f>'PIM Model'!$D$21</f>
        <v>%</v>
      </c>
      <c r="AH68" s="1427"/>
      <c r="AI68" s="1424" t="str">
        <f>'PIM Model'!$D$21</f>
        <v>%</v>
      </c>
      <c r="AJ68" s="1424"/>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75"/>
    </row>
    <row r="69" spans="2:70" x14ac:dyDescent="0.25">
      <c r="B69" s="143"/>
      <c r="C69" s="1242" t="s">
        <v>92</v>
      </c>
      <c r="D69" s="1242"/>
      <c r="E69" s="1242"/>
      <c r="F69" s="1242"/>
      <c r="G69" s="1242"/>
      <c r="H69" s="1242"/>
      <c r="I69" s="1242"/>
      <c r="J69" s="1242"/>
      <c r="K69" s="1242"/>
      <c r="L69" s="1242"/>
      <c r="M69" s="1242"/>
      <c r="N69" s="1242"/>
      <c r="O69" s="1242"/>
      <c r="P69" s="1242"/>
      <c r="Q69" s="1242"/>
      <c r="R69" s="1242"/>
      <c r="S69" s="1242"/>
      <c r="T69" s="1242"/>
      <c r="U69" s="1242"/>
      <c r="V69" s="1242"/>
      <c r="W69" s="1242"/>
      <c r="X69" s="1242"/>
      <c r="Y69" s="1242"/>
      <c r="Z69" s="1242"/>
      <c r="AC69" s="1427" t="str">
        <f>'PIM Model'!$AD$23</f>
        <v/>
      </c>
      <c r="AD69" s="1427"/>
      <c r="AE69" s="1427" t="str">
        <f>'PIM Model'!$D$23</f>
        <v>%</v>
      </c>
      <c r="AF69" s="1427"/>
      <c r="AG69" s="1427" t="str">
        <f>'PIM Model'!$D$23</f>
        <v>%</v>
      </c>
      <c r="AH69" s="1427"/>
      <c r="AI69" s="1424" t="str">
        <f>'PIM Model'!$D$23</f>
        <v>%</v>
      </c>
      <c r="AJ69" s="1424"/>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75"/>
    </row>
    <row r="70" spans="2:70" x14ac:dyDescent="0.25">
      <c r="B70" s="143"/>
      <c r="C70" s="1242" t="s">
        <v>91</v>
      </c>
      <c r="D70" s="1242"/>
      <c r="E70" s="1242"/>
      <c r="F70" s="1242"/>
      <c r="G70" s="1242"/>
      <c r="H70" s="1242"/>
      <c r="I70" s="1242"/>
      <c r="J70" s="1242"/>
      <c r="K70" s="1242"/>
      <c r="L70" s="1242"/>
      <c r="M70" s="1242"/>
      <c r="N70" s="1242"/>
      <c r="O70" s="1242"/>
      <c r="P70" s="1242"/>
      <c r="Q70" s="1242"/>
      <c r="R70" s="1242"/>
      <c r="S70" s="1242"/>
      <c r="T70" s="1242"/>
      <c r="U70" s="1242"/>
      <c r="V70" s="1242"/>
      <c r="W70" s="1242"/>
      <c r="X70" s="1242"/>
      <c r="Y70" s="1242"/>
      <c r="Z70" s="1242"/>
      <c r="AC70" s="1427" t="str">
        <f>'PIM Model'!$AD$24</f>
        <v/>
      </c>
      <c r="AD70" s="1427"/>
      <c r="AE70" s="1427" t="str">
        <f>'PIM Model'!$D$24</f>
        <v>%</v>
      </c>
      <c r="AF70" s="1427"/>
      <c r="AG70" s="1427" t="str">
        <f>'PIM Model'!$D$24</f>
        <v>%</v>
      </c>
      <c r="AH70" s="1427"/>
      <c r="AI70" s="1424" t="str">
        <f>'PIM Model'!$D$24</f>
        <v>%</v>
      </c>
      <c r="AJ70" s="1424"/>
      <c r="AK70" s="140"/>
      <c r="AL70" s="140"/>
      <c r="AM70" s="140"/>
      <c r="AN70" s="140"/>
      <c r="AO70" s="1299"/>
      <c r="AP70" s="1299"/>
      <c r="AQ70" s="1299"/>
      <c r="AR70" s="140"/>
      <c r="AS70" s="140"/>
      <c r="AT70" s="1299"/>
      <c r="AU70" s="1299"/>
      <c r="AV70" s="1299"/>
      <c r="AW70" s="140"/>
      <c r="AX70" s="140"/>
      <c r="AY70" s="1299"/>
      <c r="AZ70" s="1299"/>
      <c r="BA70" s="1299"/>
      <c r="BB70" s="140"/>
      <c r="BC70" s="140"/>
      <c r="BD70" s="1299"/>
      <c r="BE70" s="1299"/>
      <c r="BF70" s="1404"/>
    </row>
    <row r="71" spans="2:70" x14ac:dyDescent="0.25">
      <c r="B71" s="143"/>
      <c r="C71" s="1242" t="s">
        <v>90</v>
      </c>
      <c r="D71" s="1242"/>
      <c r="E71" s="1242"/>
      <c r="F71" s="1242"/>
      <c r="G71" s="1242"/>
      <c r="H71" s="1242"/>
      <c r="I71" s="1242"/>
      <c r="J71" s="1242"/>
      <c r="K71" s="1242"/>
      <c r="L71" s="1242"/>
      <c r="M71" s="1242"/>
      <c r="N71" s="1242"/>
      <c r="O71" s="1242"/>
      <c r="P71" s="1242"/>
      <c r="Q71" s="1242"/>
      <c r="R71" s="1242"/>
      <c r="S71" s="1242"/>
      <c r="T71" s="1242"/>
      <c r="U71" s="1242"/>
      <c r="V71" s="1242"/>
      <c r="W71" s="1242"/>
      <c r="X71" s="1242"/>
      <c r="Y71" s="1242"/>
      <c r="Z71" s="1242"/>
      <c r="AC71" s="1427" t="str">
        <f>'PIM Model'!$AD$25</f>
        <v/>
      </c>
      <c r="AD71" s="1427"/>
      <c r="AE71" s="1427" t="str">
        <f>'PIM Model'!$D$25</f>
        <v>%</v>
      </c>
      <c r="AF71" s="1427"/>
      <c r="AG71" s="1427" t="str">
        <f>'PIM Model'!$D$25</f>
        <v>%</v>
      </c>
      <c r="AH71" s="1427"/>
      <c r="AI71" s="1424" t="str">
        <f>'PIM Model'!$D$25</f>
        <v>%</v>
      </c>
      <c r="AJ71" s="1424"/>
      <c r="AK71" s="140"/>
      <c r="AL71" s="140"/>
      <c r="AM71" s="140"/>
      <c r="AN71" s="140"/>
      <c r="AO71" s="1299"/>
      <c r="AP71" s="1299"/>
      <c r="AQ71" s="1299"/>
      <c r="AR71" s="140"/>
      <c r="AS71" s="140"/>
      <c r="AT71" s="1299"/>
      <c r="AU71" s="1299"/>
      <c r="AV71" s="1299"/>
      <c r="AW71" s="140"/>
      <c r="AX71" s="140"/>
      <c r="AY71" s="1299"/>
      <c r="AZ71" s="1299"/>
      <c r="BA71" s="1299"/>
      <c r="BB71" s="140"/>
      <c r="BC71" s="140"/>
      <c r="BD71" s="1299"/>
      <c r="BE71" s="1299"/>
      <c r="BF71" s="1404"/>
    </row>
    <row r="72" spans="2:70" x14ac:dyDescent="0.25">
      <c r="B72" s="143"/>
      <c r="C72" s="1242" t="s">
        <v>89</v>
      </c>
      <c r="D72" s="1242"/>
      <c r="E72" s="1242"/>
      <c r="F72" s="1242"/>
      <c r="G72" s="1242"/>
      <c r="H72" s="1242"/>
      <c r="I72" s="1242"/>
      <c r="J72" s="1242"/>
      <c r="K72" s="1242"/>
      <c r="L72" s="1242"/>
      <c r="M72" s="1242"/>
      <c r="N72" s="1242"/>
      <c r="O72" s="1242"/>
      <c r="P72" s="1242"/>
      <c r="Q72" s="1242"/>
      <c r="R72" s="1242"/>
      <c r="S72" s="1242"/>
      <c r="T72" s="1242"/>
      <c r="U72" s="1242"/>
      <c r="V72" s="1242"/>
      <c r="W72" s="1242"/>
      <c r="X72" s="1242"/>
      <c r="Y72" s="1242"/>
      <c r="Z72" s="1242"/>
      <c r="AC72" s="1427" t="str">
        <f>'PIM Model'!$AD$26</f>
        <v/>
      </c>
      <c r="AD72" s="1427"/>
      <c r="AE72" s="1427" t="str">
        <f>'PIM Model'!$D$26</f>
        <v>%</v>
      </c>
      <c r="AF72" s="1427"/>
      <c r="AG72" s="1427" t="str">
        <f>'PIM Model'!$D$26</f>
        <v>%</v>
      </c>
      <c r="AH72" s="1427"/>
      <c r="AI72" s="1424" t="str">
        <f>'PIM Model'!$D$26</f>
        <v>%</v>
      </c>
      <c r="AJ72" s="1424"/>
      <c r="AK72" s="140"/>
      <c r="AL72" s="140"/>
      <c r="AM72" s="140"/>
      <c r="AN72" s="140"/>
      <c r="AO72" s="1299"/>
      <c r="AP72" s="1299"/>
      <c r="AQ72" s="1299"/>
      <c r="AR72" s="140"/>
      <c r="AS72" s="140"/>
      <c r="AT72" s="1299"/>
      <c r="AU72" s="1299"/>
      <c r="AV72" s="1299"/>
      <c r="AW72" s="140"/>
      <c r="AX72" s="140"/>
      <c r="AY72" s="1299"/>
      <c r="AZ72" s="1299"/>
      <c r="BA72" s="1299"/>
      <c r="BB72" s="140"/>
      <c r="BC72" s="140"/>
      <c r="BD72" s="1299"/>
      <c r="BE72" s="1299"/>
      <c r="BF72" s="1404"/>
    </row>
    <row r="73" spans="2:70" x14ac:dyDescent="0.25">
      <c r="B73" s="143"/>
      <c r="C73" s="1242" t="s">
        <v>88</v>
      </c>
      <c r="D73" s="1242"/>
      <c r="E73" s="1242"/>
      <c r="F73" s="1242"/>
      <c r="G73" s="1242"/>
      <c r="H73" s="1242"/>
      <c r="I73" s="1242"/>
      <c r="J73" s="1242"/>
      <c r="K73" s="1242"/>
      <c r="L73" s="1242"/>
      <c r="M73" s="1242"/>
      <c r="N73" s="1242"/>
      <c r="O73" s="1242"/>
      <c r="P73" s="1242"/>
      <c r="Q73" s="1242"/>
      <c r="R73" s="1242"/>
      <c r="S73" s="1242"/>
      <c r="T73" s="1242"/>
      <c r="U73" s="1242"/>
      <c r="V73" s="1242"/>
      <c r="W73" s="1242"/>
      <c r="X73" s="1242"/>
      <c r="Y73" s="1242"/>
      <c r="Z73" s="1242"/>
      <c r="AC73" s="1427" t="str">
        <f>'PIM Model'!$AD$29</f>
        <v/>
      </c>
      <c r="AD73" s="1427"/>
      <c r="AE73" s="1427" t="str">
        <f>'PIM Model'!$D$29</f>
        <v>%</v>
      </c>
      <c r="AF73" s="1427"/>
      <c r="AG73" s="1427" t="str">
        <f>'PIM Model'!$D$29</f>
        <v>%</v>
      </c>
      <c r="AH73" s="1427"/>
      <c r="AI73" s="1424" t="str">
        <f>'PIM Model'!$D$29</f>
        <v>%</v>
      </c>
      <c r="AJ73" s="1424"/>
      <c r="AK73" s="140"/>
      <c r="AL73" s="140"/>
      <c r="AM73" s="140"/>
      <c r="AN73" s="140"/>
      <c r="AO73" s="1299"/>
      <c r="AP73" s="1299"/>
      <c r="AQ73" s="1299"/>
      <c r="AR73" s="140"/>
      <c r="AS73" s="140"/>
      <c r="AT73" s="1299"/>
      <c r="AU73" s="1299"/>
      <c r="AV73" s="1299"/>
      <c r="AW73" s="140"/>
      <c r="AX73" s="140"/>
      <c r="AY73" s="1299"/>
      <c r="AZ73" s="1299"/>
      <c r="BA73" s="1299"/>
      <c r="BB73" s="140"/>
      <c r="BC73" s="140"/>
      <c r="BD73" s="1299"/>
      <c r="BE73" s="1299"/>
      <c r="BF73" s="1404"/>
    </row>
    <row r="74" spans="2:70" x14ac:dyDescent="0.25">
      <c r="B74" s="143"/>
      <c r="C74" s="1242" t="s">
        <v>87</v>
      </c>
      <c r="D74" s="1242"/>
      <c r="E74" s="1242"/>
      <c r="F74" s="1242"/>
      <c r="G74" s="1242"/>
      <c r="H74" s="1242"/>
      <c r="I74" s="1242"/>
      <c r="J74" s="1242"/>
      <c r="K74" s="1242"/>
      <c r="L74" s="1242"/>
      <c r="M74" s="1242"/>
      <c r="N74" s="1242"/>
      <c r="O74" s="1242"/>
      <c r="P74" s="1242"/>
      <c r="Q74" s="1242"/>
      <c r="R74" s="1242"/>
      <c r="S74" s="1242"/>
      <c r="T74" s="1242"/>
      <c r="U74" s="1242"/>
      <c r="V74" s="1242"/>
      <c r="W74" s="1242"/>
      <c r="X74" s="1242"/>
      <c r="Y74" s="1242"/>
      <c r="Z74" s="1242"/>
      <c r="AC74" s="1427" t="str">
        <f>'PIM Model'!$AD$30</f>
        <v/>
      </c>
      <c r="AD74" s="1427"/>
      <c r="AE74" s="1427" t="str">
        <f>'PIM Model'!$D$30</f>
        <v>%</v>
      </c>
      <c r="AF74" s="1427"/>
      <c r="AG74" s="1427" t="str">
        <f>'PIM Model'!$D$30</f>
        <v>%</v>
      </c>
      <c r="AH74" s="1427"/>
      <c r="AI74" s="1424" t="str">
        <f>'PIM Model'!$D$30</f>
        <v>%</v>
      </c>
      <c r="AJ74" s="1424"/>
      <c r="AK74" s="140"/>
      <c r="AL74" s="140"/>
      <c r="AM74" s="140"/>
      <c r="AN74" s="140"/>
      <c r="AO74" s="1299"/>
      <c r="AP74" s="1299"/>
      <c r="AQ74" s="1299"/>
      <c r="AR74" s="140"/>
      <c r="AS74" s="140"/>
      <c r="AT74" s="1299"/>
      <c r="AU74" s="1299"/>
      <c r="AV74" s="1299"/>
      <c r="AW74" s="140"/>
      <c r="AX74" s="140"/>
      <c r="AY74" s="1299"/>
      <c r="AZ74" s="1299"/>
      <c r="BA74" s="1299"/>
      <c r="BB74" s="140"/>
      <c r="BC74" s="140"/>
      <c r="BD74" s="1299"/>
      <c r="BE74" s="1299"/>
      <c r="BF74" s="1404"/>
    </row>
    <row r="75" spans="2:70" x14ac:dyDescent="0.25">
      <c r="B75" s="143"/>
      <c r="C75" s="1242" t="s">
        <v>86</v>
      </c>
      <c r="D75" s="1242"/>
      <c r="E75" s="1242"/>
      <c r="F75" s="1242"/>
      <c r="G75" s="1242"/>
      <c r="H75" s="1242"/>
      <c r="I75" s="1242"/>
      <c r="J75" s="1242"/>
      <c r="K75" s="1242"/>
      <c r="L75" s="1242"/>
      <c r="M75" s="1242"/>
      <c r="N75" s="1242"/>
      <c r="O75" s="1242"/>
      <c r="P75" s="1242"/>
      <c r="Q75" s="1242"/>
      <c r="R75" s="1242"/>
      <c r="S75" s="1242"/>
      <c r="T75" s="1242"/>
      <c r="U75" s="1242"/>
      <c r="V75" s="1242"/>
      <c r="W75" s="1242"/>
      <c r="X75" s="1242"/>
      <c r="Y75" s="1242"/>
      <c r="Z75" s="1242"/>
      <c r="AC75" s="1427" t="str">
        <f>'PIM Model'!$AD$28</f>
        <v/>
      </c>
      <c r="AD75" s="1427"/>
      <c r="AE75" s="1427" t="str">
        <f>'PIM Model'!$D$28</f>
        <v>%</v>
      </c>
      <c r="AF75" s="1427"/>
      <c r="AG75" s="1427" t="str">
        <f>'PIM Model'!$D$28</f>
        <v>%</v>
      </c>
      <c r="AH75" s="1427"/>
      <c r="AI75" s="1424" t="str">
        <f>'PIM Model'!$D$28</f>
        <v>%</v>
      </c>
      <c r="AJ75" s="1424"/>
      <c r="BF75" s="144"/>
    </row>
    <row r="76" spans="2:70" x14ac:dyDescent="0.25">
      <c r="B76" s="143"/>
      <c r="C76" s="1242" t="s">
        <v>105</v>
      </c>
      <c r="D76" s="1242"/>
      <c r="E76" s="1242"/>
      <c r="F76" s="1242"/>
      <c r="G76" s="1242"/>
      <c r="H76" s="1242"/>
      <c r="I76" s="1242"/>
      <c r="J76" s="1242"/>
      <c r="K76" s="1242"/>
      <c r="L76" s="1242"/>
      <c r="M76" s="1242"/>
      <c r="N76" s="1242"/>
      <c r="O76" s="1242"/>
      <c r="P76" s="1242"/>
      <c r="Q76" s="1242"/>
      <c r="R76" s="1242"/>
      <c r="S76" s="1242"/>
      <c r="T76" s="1242"/>
      <c r="U76" s="1242"/>
      <c r="V76" s="1242"/>
      <c r="W76" s="1242"/>
      <c r="X76" s="1242"/>
      <c r="Y76" s="1242"/>
      <c r="Z76" s="1242"/>
      <c r="AC76" s="1427" t="str">
        <f>'PIM Model'!$AD$22</f>
        <v/>
      </c>
      <c r="AD76" s="1427"/>
      <c r="AE76" s="1427" t="str">
        <f>'PIM Model'!$D$22</f>
        <v>%</v>
      </c>
      <c r="AF76" s="1427"/>
      <c r="AG76" s="1427" t="str">
        <f>'PIM Model'!$D$22</f>
        <v>%</v>
      </c>
      <c r="AH76" s="1427"/>
      <c r="AI76" s="1424" t="str">
        <f>'PIM Model'!$D$22</f>
        <v>%</v>
      </c>
      <c r="AJ76" s="1424"/>
      <c r="BF76" s="144"/>
    </row>
    <row r="77" spans="2:70" x14ac:dyDescent="0.25">
      <c r="B77" s="731"/>
      <c r="C77" s="1429" t="s">
        <v>747</v>
      </c>
      <c r="D77" s="1429"/>
      <c r="E77" s="1429"/>
      <c r="F77" s="1429"/>
      <c r="G77" s="1429"/>
      <c r="H77" s="1429"/>
      <c r="I77" s="1429"/>
      <c r="J77" s="1429"/>
      <c r="K77" s="1429"/>
      <c r="L77" s="1429"/>
      <c r="M77" s="1429"/>
      <c r="N77" s="1429"/>
      <c r="O77" s="1429"/>
      <c r="P77" s="1429"/>
      <c r="Q77" s="1429"/>
      <c r="R77" s="1429"/>
      <c r="S77" s="1429"/>
      <c r="T77" s="1429"/>
      <c r="U77" s="1429"/>
      <c r="V77" s="1429"/>
      <c r="W77" s="1429"/>
      <c r="X77" s="1429"/>
      <c r="Y77" s="1429"/>
      <c r="Z77" s="1429"/>
      <c r="AC77" s="1427" t="str">
        <f>'PIM Model'!$AD$12</f>
        <v/>
      </c>
      <c r="AD77" s="1427"/>
      <c r="AE77" s="1427" t="str">
        <f>'PIM Model'!$D$12</f>
        <v>%</v>
      </c>
      <c r="AF77" s="1427"/>
      <c r="AG77" s="1427" t="str">
        <f>'PIM Model'!$D$12</f>
        <v>%</v>
      </c>
      <c r="AH77" s="1427"/>
      <c r="AI77" s="1424" t="str">
        <f>'PIM Model'!$D$12</f>
        <v>%</v>
      </c>
      <c r="AJ77" s="1424"/>
      <c r="BF77" s="144"/>
    </row>
    <row r="78" spans="2:70" x14ac:dyDescent="0.25">
      <c r="B78" s="143"/>
      <c r="C78" s="1429" t="s">
        <v>748</v>
      </c>
      <c r="D78" s="1429"/>
      <c r="E78" s="1429"/>
      <c r="F78" s="1429"/>
      <c r="G78" s="1429"/>
      <c r="H78" s="1429"/>
      <c r="I78" s="1429"/>
      <c r="J78" s="1429"/>
      <c r="K78" s="1429"/>
      <c r="L78" s="1429"/>
      <c r="M78" s="1429"/>
      <c r="N78" s="1429"/>
      <c r="O78" s="1429"/>
      <c r="P78" s="1429"/>
      <c r="Q78" s="1429"/>
      <c r="R78" s="1429"/>
      <c r="S78" s="1429"/>
      <c r="T78" s="1429"/>
      <c r="U78" s="1429"/>
      <c r="V78" s="1429"/>
      <c r="W78" s="1429"/>
      <c r="X78" s="1429"/>
      <c r="Y78" s="1429"/>
      <c r="Z78" s="1429"/>
      <c r="AC78" s="714"/>
      <c r="AD78" s="714"/>
      <c r="AE78" s="714"/>
      <c r="AF78" s="714"/>
      <c r="AG78" s="714"/>
      <c r="AH78" s="714"/>
      <c r="BF78" s="144"/>
      <c r="BR78" s="300"/>
    </row>
    <row r="79" spans="2:70" x14ac:dyDescent="0.25">
      <c r="B79" s="143"/>
      <c r="BF79" s="144"/>
    </row>
    <row r="80" spans="2:70" x14ac:dyDescent="0.25">
      <c r="B80" s="143"/>
      <c r="BF80" s="144"/>
    </row>
    <row r="81" spans="1:70" x14ac:dyDescent="0.25">
      <c r="B81" s="143"/>
      <c r="D81" s="1424" t="s">
        <v>713</v>
      </c>
      <c r="E81" s="1424"/>
      <c r="F81" s="1424"/>
      <c r="G81" s="1424"/>
      <c r="H81" s="1424"/>
      <c r="I81" s="1424"/>
      <c r="J81" s="1424"/>
      <c r="K81" s="1424"/>
      <c r="L81" s="1424"/>
      <c r="M81" s="1424"/>
      <c r="N81" s="1424"/>
      <c r="O81" s="1424"/>
      <c r="P81" s="1424"/>
      <c r="Q81" s="1424"/>
      <c r="R81" s="1424"/>
      <c r="S81" s="1424"/>
      <c r="T81" s="1424"/>
      <c r="U81" s="1424"/>
      <c r="V81" s="1424"/>
      <c r="W81" s="1424"/>
      <c r="X81" s="1424"/>
      <c r="Y81" s="1424"/>
      <c r="Z81" s="1424"/>
      <c r="AA81" s="1424"/>
      <c r="AB81" s="1424"/>
      <c r="AC81" s="1424"/>
      <c r="AD81" s="1424"/>
      <c r="AE81" s="1424"/>
      <c r="AF81" s="1424"/>
      <c r="AG81" s="1424"/>
      <c r="AH81" s="1424"/>
      <c r="AI81" s="1424"/>
      <c r="AJ81" s="1424"/>
      <c r="AK81" s="1424"/>
      <c r="AL81" s="1424"/>
      <c r="AM81" s="1424"/>
      <c r="AN81" s="1424"/>
      <c r="AO81" s="1424"/>
      <c r="AP81" s="1424"/>
      <c r="AQ81" s="1424"/>
      <c r="AR81" s="1424"/>
      <c r="AS81" s="1424"/>
      <c r="AT81" s="1424"/>
      <c r="AU81" s="1424"/>
      <c r="AV81" s="1424"/>
      <c r="AW81" s="1424"/>
      <c r="AX81" s="1424"/>
      <c r="AY81" s="1424"/>
      <c r="AZ81" s="1424"/>
      <c r="BA81" s="1424"/>
      <c r="BB81" s="1424"/>
      <c r="BC81" s="1424"/>
      <c r="BD81" s="1424"/>
      <c r="BF81" s="144"/>
    </row>
    <row r="82" spans="1:70" x14ac:dyDescent="0.25">
      <c r="B82" s="143"/>
      <c r="D82" s="1425" t="s">
        <v>244</v>
      </c>
      <c r="E82" s="1425"/>
      <c r="F82" s="1424" t="s">
        <v>712</v>
      </c>
      <c r="G82" s="1424"/>
      <c r="H82" s="1424"/>
      <c r="I82" s="1424"/>
      <c r="J82" s="1424"/>
      <c r="K82" s="1424"/>
      <c r="L82" s="1424"/>
      <c r="M82" s="1424"/>
      <c r="N82" s="1424"/>
      <c r="O82" s="1424"/>
      <c r="P82" s="1424"/>
      <c r="Q82" s="1424"/>
      <c r="R82" s="1424"/>
      <c r="S82" s="1424"/>
      <c r="T82" s="1424"/>
      <c r="U82" s="1424"/>
      <c r="V82" s="1424"/>
      <c r="W82" s="1424"/>
      <c r="X82" s="1424"/>
      <c r="Y82" s="1424"/>
      <c r="Z82" s="1424"/>
      <c r="AA82" s="1424"/>
      <c r="AB82" s="1424"/>
      <c r="AC82" s="1424"/>
      <c r="AD82" s="1424"/>
      <c r="AE82" s="1424"/>
      <c r="AF82" s="1424"/>
      <c r="AG82" s="1424"/>
      <c r="AH82" s="1424"/>
      <c r="AI82" s="1424"/>
      <c r="AJ82" s="1424"/>
      <c r="AK82" s="1424"/>
      <c r="AL82" s="1424"/>
      <c r="AM82" s="1424"/>
      <c r="AN82" s="1424"/>
      <c r="AO82" s="1424"/>
      <c r="AP82" s="1424"/>
      <c r="AQ82" s="1424"/>
      <c r="AR82" s="1424"/>
      <c r="AS82" s="1424"/>
      <c r="AT82" s="1424"/>
      <c r="AU82" s="1424"/>
      <c r="AV82" s="1424"/>
      <c r="AW82" s="1424"/>
      <c r="AX82" s="1424"/>
      <c r="AY82" s="1424"/>
      <c r="AZ82" s="1424"/>
      <c r="BA82" s="1424"/>
      <c r="BB82" s="1424"/>
      <c r="BC82" s="1424"/>
      <c r="BD82" s="1424"/>
      <c r="BF82" s="144"/>
    </row>
    <row r="83" spans="1:70" x14ac:dyDescent="0.25">
      <c r="B83" s="143"/>
      <c r="D83" s="1426"/>
      <c r="E83" s="1426"/>
      <c r="F83" s="1424" t="s">
        <v>711</v>
      </c>
      <c r="G83" s="1424"/>
      <c r="H83" s="1424"/>
      <c r="I83" s="1424"/>
      <c r="J83" s="1424"/>
      <c r="K83" s="1424"/>
      <c r="L83" s="1424"/>
      <c r="M83" s="1424"/>
      <c r="N83" s="1424"/>
      <c r="O83" s="1424"/>
      <c r="P83" s="1424"/>
      <c r="Q83" s="1424"/>
      <c r="R83" s="1424"/>
      <c r="S83" s="1424"/>
      <c r="T83" s="1424"/>
      <c r="U83" s="1424"/>
      <c r="V83" s="1424"/>
      <c r="W83" s="1424"/>
      <c r="X83" s="1424"/>
      <c r="Y83" s="1424"/>
      <c r="Z83" s="1424"/>
      <c r="AA83" s="1424"/>
      <c r="AB83" s="1424"/>
      <c r="AC83" s="1424"/>
      <c r="AD83" s="1424"/>
      <c r="AE83" s="1424"/>
      <c r="AF83" s="1424"/>
      <c r="AG83" s="1424"/>
      <c r="AH83" s="1424"/>
      <c r="AI83" s="1424"/>
      <c r="AJ83" s="1424"/>
      <c r="AK83" s="1424"/>
      <c r="AL83" s="1424"/>
      <c r="AM83" s="1424"/>
      <c r="AN83" s="1424"/>
      <c r="AO83" s="1424"/>
      <c r="AP83" s="1424"/>
      <c r="AQ83" s="1424"/>
      <c r="AR83" s="1424"/>
      <c r="AS83" s="1424"/>
      <c r="AT83" s="1424"/>
      <c r="AU83" s="1424"/>
      <c r="AV83" s="1424"/>
      <c r="AW83" s="1424"/>
      <c r="AX83" s="1424"/>
      <c r="AY83" s="1424"/>
      <c r="AZ83" s="1424"/>
      <c r="BA83" s="1424"/>
      <c r="BB83" s="1424"/>
      <c r="BC83" s="1424"/>
      <c r="BD83" s="1424"/>
      <c r="BF83" s="144"/>
    </row>
    <row r="84" spans="1:70" x14ac:dyDescent="0.25">
      <c r="A84" s="307"/>
      <c r="B84" s="143"/>
      <c r="D84" s="1426"/>
      <c r="E84" s="1426"/>
      <c r="F84" s="1424" t="s">
        <v>710</v>
      </c>
      <c r="G84" s="1424"/>
      <c r="H84" s="1424"/>
      <c r="I84" s="1424"/>
      <c r="J84" s="1424"/>
      <c r="K84" s="1424"/>
      <c r="L84" s="1424"/>
      <c r="M84" s="1424"/>
      <c r="N84" s="1424"/>
      <c r="O84" s="1424"/>
      <c r="P84" s="1424"/>
      <c r="Q84" s="1424"/>
      <c r="R84" s="1424"/>
      <c r="S84" s="1424"/>
      <c r="T84" s="1424"/>
      <c r="U84" s="1424"/>
      <c r="V84" s="1424"/>
      <c r="W84" s="1424"/>
      <c r="X84" s="1424"/>
      <c r="Y84" s="1424"/>
      <c r="Z84" s="1424"/>
      <c r="AA84" s="1424"/>
      <c r="AB84" s="1424"/>
      <c r="AC84" s="1424"/>
      <c r="AD84" s="1424"/>
      <c r="AE84" s="1424"/>
      <c r="AF84" s="1424"/>
      <c r="AG84" s="1424"/>
      <c r="AH84" s="1424"/>
      <c r="AI84" s="1424"/>
      <c r="AJ84" s="1424"/>
      <c r="AK84" s="1424"/>
      <c r="AL84" s="1424"/>
      <c r="AM84" s="1424"/>
      <c r="AN84" s="1424"/>
      <c r="AO84" s="1424"/>
      <c r="AP84" s="1424"/>
      <c r="AQ84" s="1424"/>
      <c r="AR84" s="1424"/>
      <c r="AS84" s="1424"/>
      <c r="AT84" s="1424"/>
      <c r="AU84" s="1424"/>
      <c r="AV84" s="1424"/>
      <c r="AW84" s="1424"/>
      <c r="AX84" s="1424"/>
      <c r="AY84" s="1424"/>
      <c r="AZ84" s="1424"/>
      <c r="BA84" s="1424"/>
      <c r="BB84" s="1424"/>
      <c r="BC84" s="1424"/>
      <c r="BD84" s="1424"/>
      <c r="BF84" s="144"/>
    </row>
    <row r="85" spans="1:70" x14ac:dyDescent="0.25">
      <c r="B85" s="143"/>
      <c r="BF85" s="144"/>
    </row>
    <row r="86" spans="1:70" x14ac:dyDescent="0.25">
      <c r="B86" s="143"/>
      <c r="D86" s="1424" t="s">
        <v>709</v>
      </c>
      <c r="E86" s="1424"/>
      <c r="F86" s="1424"/>
      <c r="G86" s="1424"/>
      <c r="H86" s="1424"/>
      <c r="I86" s="1424"/>
      <c r="J86" s="1424"/>
      <c r="K86" s="1424"/>
      <c r="L86" s="1424"/>
      <c r="M86" s="1424"/>
      <c r="N86" s="1424"/>
      <c r="O86" s="1424"/>
      <c r="P86" s="1424"/>
      <c r="Q86" s="1424"/>
      <c r="R86" s="1424"/>
      <c r="S86" s="1424"/>
      <c r="T86" s="1424"/>
      <c r="U86" s="1424"/>
      <c r="V86" s="1424"/>
      <c r="W86" s="1424"/>
      <c r="X86" s="1424"/>
      <c r="Y86" s="1424"/>
      <c r="Z86" s="1424"/>
      <c r="AA86" s="1424"/>
      <c r="AB86" s="1424"/>
      <c r="AC86" s="1424"/>
      <c r="AD86" s="1424"/>
      <c r="AE86" s="1424"/>
      <c r="AF86" s="1424"/>
      <c r="AG86" s="1424"/>
      <c r="AH86" s="1424"/>
      <c r="AI86" s="1424"/>
      <c r="AJ86" s="1424"/>
      <c r="AK86" s="1424"/>
      <c r="AL86" s="1424"/>
      <c r="AM86" s="1424"/>
      <c r="AN86" s="1424"/>
      <c r="AO86" s="1424"/>
      <c r="AP86" s="1424"/>
      <c r="AQ86" s="1424"/>
      <c r="AR86" s="1424"/>
      <c r="AS86" s="1424"/>
      <c r="AT86" s="1424"/>
      <c r="AU86" s="1424"/>
      <c r="AV86" s="1424"/>
      <c r="AW86" s="1424"/>
      <c r="AX86" s="1424"/>
      <c r="AY86" s="1424"/>
      <c r="AZ86" s="1424"/>
      <c r="BA86" s="1424"/>
      <c r="BB86" s="1424"/>
      <c r="BC86" s="1424"/>
      <c r="BD86" s="1424"/>
      <c r="BF86" s="144"/>
    </row>
    <row r="87" spans="1:70" x14ac:dyDescent="0.25">
      <c r="B87" s="143"/>
      <c r="D87" s="1425" t="s">
        <v>244</v>
      </c>
      <c r="E87" s="1425"/>
      <c r="F87" s="1424" t="s">
        <v>708</v>
      </c>
      <c r="G87" s="1424"/>
      <c r="H87" s="1424"/>
      <c r="I87" s="1424"/>
      <c r="J87" s="1424"/>
      <c r="K87" s="1424"/>
      <c r="L87" s="1424"/>
      <c r="M87" s="1424"/>
      <c r="N87" s="1424"/>
      <c r="O87" s="1424"/>
      <c r="P87" s="1424"/>
      <c r="Q87" s="1424"/>
      <c r="R87" s="1424"/>
      <c r="S87" s="1424"/>
      <c r="T87" s="1424"/>
      <c r="U87" s="1424"/>
      <c r="V87" s="1424"/>
      <c r="W87" s="1424"/>
      <c r="X87" s="1424"/>
      <c r="Y87" s="1424"/>
      <c r="Z87" s="1424"/>
      <c r="AA87" s="1424"/>
      <c r="AB87" s="1424"/>
      <c r="AC87" s="1424"/>
      <c r="AD87" s="1424"/>
      <c r="AE87" s="1424"/>
      <c r="AF87" s="1424"/>
      <c r="AG87" s="1424"/>
      <c r="AH87" s="1424"/>
      <c r="AI87" s="1424"/>
      <c r="AJ87" s="1424"/>
      <c r="AK87" s="1424"/>
      <c r="AL87" s="1424"/>
      <c r="AM87" s="1424"/>
      <c r="AN87" s="1424"/>
      <c r="AO87" s="1424"/>
      <c r="AP87" s="1424"/>
      <c r="AQ87" s="1424"/>
      <c r="AR87" s="1424"/>
      <c r="AS87" s="1424"/>
      <c r="AT87" s="1424"/>
      <c r="AU87" s="1424"/>
      <c r="AV87" s="1424"/>
      <c r="AW87" s="1424"/>
      <c r="AX87" s="1424"/>
      <c r="AY87" s="1424"/>
      <c r="AZ87" s="1424"/>
      <c r="BA87" s="1424"/>
      <c r="BB87" s="1424"/>
      <c r="BC87" s="1424"/>
      <c r="BD87" s="1424"/>
      <c r="BF87" s="144"/>
    </row>
    <row r="88" spans="1:70" x14ac:dyDescent="0.25">
      <c r="B88" s="143"/>
      <c r="D88" s="1426"/>
      <c r="E88" s="1426"/>
      <c r="F88" s="1424" t="s">
        <v>707</v>
      </c>
      <c r="G88" s="1424"/>
      <c r="H88" s="1424"/>
      <c r="I88" s="1424"/>
      <c r="J88" s="1424"/>
      <c r="K88" s="1424"/>
      <c r="L88" s="1424"/>
      <c r="M88" s="1424"/>
      <c r="N88" s="1424"/>
      <c r="O88" s="1424"/>
      <c r="P88" s="1424"/>
      <c r="Q88" s="1424"/>
      <c r="R88" s="1424"/>
      <c r="S88" s="1424"/>
      <c r="T88" s="1424"/>
      <c r="U88" s="1424"/>
      <c r="V88" s="1424"/>
      <c r="W88" s="1424"/>
      <c r="X88" s="1424"/>
      <c r="Y88" s="1424"/>
      <c r="Z88" s="1424"/>
      <c r="AA88" s="1424"/>
      <c r="AB88" s="1424"/>
      <c r="AC88" s="1424"/>
      <c r="AD88" s="1424"/>
      <c r="AE88" s="1424"/>
      <c r="AF88" s="1424"/>
      <c r="AG88" s="1424"/>
      <c r="AH88" s="1424"/>
      <c r="AI88" s="1424"/>
      <c r="AJ88" s="1424"/>
      <c r="AK88" s="1424"/>
      <c r="AL88" s="1424"/>
      <c r="AM88" s="1424"/>
      <c r="AN88" s="1424"/>
      <c r="AO88" s="1424"/>
      <c r="AP88" s="1424"/>
      <c r="AQ88" s="1424"/>
      <c r="AR88" s="1424"/>
      <c r="AS88" s="1424"/>
      <c r="AT88" s="1424"/>
      <c r="AU88" s="1424"/>
      <c r="AV88" s="1424"/>
      <c r="AW88" s="1424"/>
      <c r="AX88" s="1424"/>
      <c r="AY88" s="1424"/>
      <c r="AZ88" s="1424"/>
      <c r="BA88" s="1424"/>
      <c r="BB88" s="1424"/>
      <c r="BC88" s="1424"/>
      <c r="BD88" s="1424"/>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2"/>
      <c r="C90" s="304"/>
      <c r="D90" s="304"/>
      <c r="E90" s="304"/>
      <c r="F90" s="304"/>
      <c r="G90" s="304"/>
      <c r="H90" s="304"/>
      <c r="I90" s="304"/>
      <c r="J90" s="304"/>
      <c r="K90" s="304"/>
      <c r="L90" s="304"/>
      <c r="M90" s="304"/>
      <c r="N90" s="304"/>
      <c r="O90" s="304"/>
      <c r="P90" s="304"/>
      <c r="Q90" s="304"/>
      <c r="R90" s="304"/>
      <c r="S90" s="304"/>
      <c r="T90" s="304"/>
      <c r="U90" s="304"/>
      <c r="V90" s="304"/>
      <c r="W90" s="304"/>
      <c r="X90" s="304"/>
      <c r="Y90" s="304"/>
      <c r="Z90" s="304"/>
      <c r="AA90" s="304"/>
      <c r="AB90" s="304"/>
      <c r="AC90" s="304"/>
      <c r="AD90" s="304"/>
      <c r="AE90" s="304"/>
      <c r="AF90" s="304"/>
      <c r="AG90" s="304"/>
      <c r="AH90" s="304"/>
      <c r="AI90" s="304"/>
      <c r="AJ90" s="304"/>
      <c r="AK90" s="304"/>
      <c r="AL90" s="304"/>
      <c r="AM90" s="304"/>
      <c r="AN90" s="304"/>
      <c r="AO90" s="304"/>
      <c r="AP90" s="304"/>
      <c r="AQ90" s="304"/>
      <c r="AR90" s="304"/>
      <c r="AS90" s="304"/>
      <c r="AT90" s="304"/>
      <c r="AU90" s="304"/>
      <c r="AV90" s="304"/>
      <c r="AW90" s="304"/>
      <c r="AX90" s="304"/>
      <c r="AY90" s="304"/>
      <c r="AZ90" s="304"/>
      <c r="BA90" s="304"/>
      <c r="BB90" s="304"/>
      <c r="BC90" s="304"/>
      <c r="BD90" s="304"/>
      <c r="BE90" s="304"/>
      <c r="BF90" s="713"/>
    </row>
    <row r="91" spans="1:70" x14ac:dyDescent="0.25">
      <c r="B91" s="143"/>
      <c r="BF91" s="144"/>
    </row>
    <row r="92" spans="1:70" ht="18.75" x14ac:dyDescent="0.3">
      <c r="B92" s="1440" t="s">
        <v>1038</v>
      </c>
      <c r="C92" s="1441"/>
      <c r="D92" s="1441"/>
      <c r="E92" s="1441"/>
      <c r="F92" s="1441"/>
      <c r="G92" s="1441"/>
      <c r="H92" s="1441"/>
      <c r="I92" s="1441"/>
      <c r="J92" s="1441"/>
      <c r="K92" s="1441"/>
      <c r="L92" s="1441"/>
      <c r="M92" s="1441"/>
      <c r="N92" s="1441"/>
      <c r="O92" s="1441"/>
      <c r="P92" s="1441"/>
      <c r="Q92" s="1441"/>
      <c r="R92" s="1441"/>
      <c r="S92" s="1441"/>
      <c r="T92" s="1441"/>
      <c r="U92" s="1441"/>
      <c r="V92" s="1441"/>
      <c r="W92" s="1441"/>
      <c r="X92" s="1441"/>
      <c r="Y92" s="1441"/>
      <c r="Z92" s="1441"/>
      <c r="AA92" s="1441"/>
      <c r="AB92" s="1441"/>
      <c r="AC92" s="1441"/>
      <c r="AD92" s="1441"/>
      <c r="AE92" s="1441"/>
      <c r="AF92" s="1441"/>
      <c r="AG92" s="1441"/>
      <c r="AH92" s="1441"/>
      <c r="AI92" s="1441"/>
      <c r="AJ92" s="1441"/>
      <c r="AK92" s="1441"/>
      <c r="AL92" s="1441"/>
      <c r="AM92" s="1441"/>
      <c r="AN92" s="1441"/>
      <c r="AO92" s="1441"/>
      <c r="AP92" s="1441"/>
      <c r="AQ92" s="1441"/>
      <c r="AR92" s="1441"/>
      <c r="AS92" s="1441"/>
      <c r="AT92" s="1441"/>
      <c r="AU92" s="1441"/>
      <c r="AV92" s="1441"/>
      <c r="AW92" s="1441"/>
      <c r="AX92" s="1441"/>
      <c r="AY92" s="1441"/>
      <c r="AZ92" s="1441"/>
      <c r="BA92" s="1441"/>
      <c r="BB92" s="1441"/>
      <c r="BC92" s="1441"/>
      <c r="BD92" s="1441"/>
      <c r="BE92" s="1441"/>
      <c r="BF92" s="1442"/>
    </row>
    <row r="93" spans="1:70" ht="15.75" thickBot="1" x14ac:dyDescent="0.3">
      <c r="B93" s="143"/>
      <c r="BF93" s="144"/>
      <c r="BR93" s="300"/>
    </row>
    <row r="94" spans="1:70" ht="15.75" thickBot="1" x14ac:dyDescent="0.3">
      <c r="B94" s="143"/>
      <c r="D94" s="1454" t="s">
        <v>755</v>
      </c>
      <c r="E94" s="1455"/>
      <c r="F94" s="1455"/>
      <c r="G94" s="1455"/>
      <c r="H94" s="1455"/>
      <c r="I94" s="1455"/>
      <c r="J94" s="1455"/>
      <c r="K94" s="1461" t="s">
        <v>756</v>
      </c>
      <c r="L94" s="1455"/>
      <c r="M94" s="1455"/>
      <c r="N94" s="1455"/>
      <c r="O94" s="1455"/>
      <c r="P94" s="1455"/>
      <c r="Q94" s="1455"/>
      <c r="R94" s="1455"/>
      <c r="S94" s="1455"/>
      <c r="T94" s="1455"/>
      <c r="U94" s="1461" t="s">
        <v>816</v>
      </c>
      <c r="V94" s="1455"/>
      <c r="W94" s="1455"/>
      <c r="X94" s="1455"/>
      <c r="Y94" s="1455"/>
      <c r="Z94" s="1455"/>
      <c r="AA94" s="1455"/>
      <c r="AB94" s="1455"/>
      <c r="AC94" s="1455"/>
      <c r="AD94" s="1455"/>
      <c r="AE94" s="1455"/>
      <c r="AF94" s="1455"/>
      <c r="AG94" s="1455"/>
      <c r="AH94" s="1455"/>
      <c r="AI94" s="1455"/>
      <c r="AJ94" s="1461" t="s">
        <v>821</v>
      </c>
      <c r="AK94" s="1455"/>
      <c r="AL94" s="1455"/>
      <c r="AM94" s="1455"/>
      <c r="AN94" s="1455"/>
      <c r="AO94" s="1455"/>
      <c r="AP94" s="1455"/>
      <c r="AQ94" s="1455"/>
      <c r="AR94" s="1455"/>
      <c r="AS94" s="1455"/>
      <c r="AT94" s="1473"/>
      <c r="AU94" s="1461" t="s">
        <v>822</v>
      </c>
      <c r="AV94" s="1455"/>
      <c r="AW94" s="1455"/>
      <c r="AX94" s="1473"/>
      <c r="AY94" s="1461" t="s">
        <v>867</v>
      </c>
      <c r="AZ94" s="1455"/>
      <c r="BA94" s="1455"/>
      <c r="BB94" s="1455"/>
      <c r="BC94" s="1483"/>
      <c r="BF94" s="144"/>
    </row>
    <row r="95" spans="1:70" x14ac:dyDescent="0.25">
      <c r="B95" s="143"/>
      <c r="C95" s="683">
        <v>1</v>
      </c>
      <c r="D95" s="1453">
        <f>'Customer Inputs'!$B$6</f>
        <v>0</v>
      </c>
      <c r="E95" s="1453"/>
      <c r="F95" s="1453"/>
      <c r="G95" s="1453"/>
      <c r="H95" s="1453"/>
      <c r="I95" s="1453"/>
      <c r="J95" s="1453"/>
      <c r="K95" s="1409" t="str">
        <f>IFERROR(IFERROR('Multi-Customer'!$AU$37,VLOOKUP($D95,'Required Info to Submit'!$E$23:$J$32,2,FALSE)),"")</f>
        <v/>
      </c>
      <c r="L95" s="1409"/>
      <c r="M95" s="1409"/>
      <c r="N95" s="1409"/>
      <c r="O95" s="1409"/>
      <c r="P95" s="1409"/>
      <c r="Q95" s="1409"/>
      <c r="R95" s="1409"/>
      <c r="S95" s="1409"/>
      <c r="T95" s="1409"/>
      <c r="U95" s="1409" t="str">
        <f>IFERROR(IFERROR('Multi-Customer'!$AU$39&amp;" "&amp;'Multi-Customer'!$AU$40,VLOOKUP($D95,'Required Info to Submit'!$E$23:$J$32,3,FALSE)),"")</f>
        <v/>
      </c>
      <c r="V95" s="1409"/>
      <c r="W95" s="1409"/>
      <c r="X95" s="1409"/>
      <c r="Y95" s="1409"/>
      <c r="Z95" s="1409"/>
      <c r="AA95" s="1409"/>
      <c r="AB95" s="1409"/>
      <c r="AC95" s="1409"/>
      <c r="AD95" s="1409"/>
      <c r="AE95" s="1409"/>
      <c r="AF95" s="1409"/>
      <c r="AG95" s="1409"/>
      <c r="AH95" s="1409"/>
      <c r="AI95" s="1409"/>
      <c r="AJ95" s="1470" t="str">
        <f>IFERROR(IFERROR('Multi-Customer'!$AU$41,VLOOKUP($D95,'Required Info to Submit'!$E$23:$J$32,4,FALSE)),"")</f>
        <v/>
      </c>
      <c r="AK95" s="1471"/>
      <c r="AL95" s="1471"/>
      <c r="AM95" s="1471"/>
      <c r="AN95" s="1471"/>
      <c r="AO95" s="1471"/>
      <c r="AP95" s="1471"/>
      <c r="AQ95" s="1471"/>
      <c r="AR95" s="1471"/>
      <c r="AS95" s="1471"/>
      <c r="AT95" s="1472"/>
      <c r="AU95" s="1474" t="str">
        <f>IFERROR(IFERROR('Multi-Customer'!$AU$42,VLOOKUP($D95,'Required Info to Submit'!$E$23:$J$32,5,FALSE)),"")</f>
        <v/>
      </c>
      <c r="AV95" s="1475"/>
      <c r="AW95" s="1475"/>
      <c r="AX95" s="1476"/>
      <c r="AY95" s="1480" t="str">
        <f>IFERROR(IFERROR('Multi-Customer'!$AU$43,VLOOKUP($D95,'Required Info to Submit'!$E$23:$J$32,6,FALSE)),"")</f>
        <v/>
      </c>
      <c r="AZ95" s="1481"/>
      <c r="BA95" s="1481"/>
      <c r="BB95" s="1481"/>
      <c r="BC95" s="1482"/>
      <c r="BF95" s="144"/>
    </row>
    <row r="96" spans="1:70" x14ac:dyDescent="0.25">
      <c r="B96" s="143"/>
      <c r="C96" s="684">
        <v>2</v>
      </c>
      <c r="D96" s="1452">
        <f>'Customer Inputs'!$B$7</f>
        <v>0</v>
      </c>
      <c r="E96" s="1452"/>
      <c r="F96" s="1452"/>
      <c r="G96" s="1452"/>
      <c r="H96" s="1452"/>
      <c r="I96" s="1452"/>
      <c r="J96" s="1452"/>
      <c r="K96" s="1396" t="str">
        <f>IFERROR(IFERROR('Multi-Customer'!$BD$37,VLOOKUP($D96,'Required Info to Submit'!$E$23:$J$32,2,FALSE)),"")</f>
        <v/>
      </c>
      <c r="L96" s="1396"/>
      <c r="M96" s="1396"/>
      <c r="N96" s="1396"/>
      <c r="O96" s="1396"/>
      <c r="P96" s="1396"/>
      <c r="Q96" s="1396"/>
      <c r="R96" s="1396"/>
      <c r="S96" s="1396"/>
      <c r="T96" s="1396"/>
      <c r="U96" s="1396" t="str">
        <f>IFERROR(IFERROR('Multi-Customer'!$BD$39&amp;" "&amp;'Multi-Customer'!$BD$40,VLOOKUP($D96,'Required Info to Submit'!$E$23:$J$32,3,FALSE)),"")</f>
        <v/>
      </c>
      <c r="V96" s="1396"/>
      <c r="W96" s="1396"/>
      <c r="X96" s="1396"/>
      <c r="Y96" s="1396"/>
      <c r="Z96" s="1396"/>
      <c r="AA96" s="1396"/>
      <c r="AB96" s="1396"/>
      <c r="AC96" s="1396"/>
      <c r="AD96" s="1396"/>
      <c r="AE96" s="1396"/>
      <c r="AF96" s="1396"/>
      <c r="AG96" s="1396"/>
      <c r="AH96" s="1396"/>
      <c r="AI96" s="1396"/>
      <c r="AJ96" s="1467" t="str">
        <f>IFERROR(IFERROR('Multi-Customer'!$BD$41,VLOOKUP($D96,'Required Info to Submit'!$E$23:$J$32,4,FALSE)),"")</f>
        <v/>
      </c>
      <c r="AK96" s="1468"/>
      <c r="AL96" s="1468"/>
      <c r="AM96" s="1468"/>
      <c r="AN96" s="1468"/>
      <c r="AO96" s="1468"/>
      <c r="AP96" s="1468"/>
      <c r="AQ96" s="1468"/>
      <c r="AR96" s="1468"/>
      <c r="AS96" s="1468"/>
      <c r="AT96" s="1469"/>
      <c r="AU96" s="1320" t="str">
        <f>IFERROR(IFERROR('Multi-Customer'!$BD$42,VLOOKUP($D96,'Required Info to Submit'!$E$23:$J$32,5,FALSE)),"")</f>
        <v/>
      </c>
      <c r="AV96" s="1321"/>
      <c r="AW96" s="1321"/>
      <c r="AX96" s="1322"/>
      <c r="AY96" s="1387" t="str">
        <f>IFERROR(IFERROR('Multi-Customer'!$BD$43,VLOOKUP($D96,'Required Info to Submit'!$E$23:$J$32,6,FALSE)),"")</f>
        <v/>
      </c>
      <c r="AZ96" s="1388"/>
      <c r="BA96" s="1388"/>
      <c r="BB96" s="1388"/>
      <c r="BC96" s="1389"/>
      <c r="BF96" s="144"/>
    </row>
    <row r="97" spans="2:58" x14ac:dyDescent="0.25">
      <c r="B97" s="143"/>
      <c r="C97" s="684">
        <v>3</v>
      </c>
      <c r="D97" s="1452">
        <f>'Customer Inputs'!$B$8</f>
        <v>0</v>
      </c>
      <c r="E97" s="1452"/>
      <c r="F97" s="1452"/>
      <c r="G97" s="1452"/>
      <c r="H97" s="1452"/>
      <c r="I97" s="1452"/>
      <c r="J97" s="1452"/>
      <c r="K97" s="1396" t="str">
        <f>IFERROR(IFERROR('Multi-Customer'!$BM$37,VLOOKUP($D97,'Required Info to Submit'!$E$23:$J$32,2,FALSE)),"")</f>
        <v/>
      </c>
      <c r="L97" s="1396"/>
      <c r="M97" s="1396"/>
      <c r="N97" s="1396"/>
      <c r="O97" s="1396"/>
      <c r="P97" s="1396"/>
      <c r="Q97" s="1396"/>
      <c r="R97" s="1396"/>
      <c r="S97" s="1396"/>
      <c r="T97" s="1396"/>
      <c r="U97" s="1396" t="str">
        <f>IFERROR(IFERROR('Multi-Customer'!$BM$39&amp;" "&amp;'Multi-Customer'!$BM$40,VLOOKUP($D97,'Required Info to Submit'!$E$23:$J$32,3,FALSE)),"")</f>
        <v/>
      </c>
      <c r="V97" s="1396"/>
      <c r="W97" s="1396"/>
      <c r="X97" s="1396"/>
      <c r="Y97" s="1396"/>
      <c r="Z97" s="1396"/>
      <c r="AA97" s="1396"/>
      <c r="AB97" s="1396"/>
      <c r="AC97" s="1396"/>
      <c r="AD97" s="1396"/>
      <c r="AE97" s="1396"/>
      <c r="AF97" s="1396"/>
      <c r="AG97" s="1396"/>
      <c r="AH97" s="1396"/>
      <c r="AI97" s="1396"/>
      <c r="AJ97" s="1467" t="str">
        <f>IFERROR(IFERROR('Multi-Customer'!$BM$41,VLOOKUP($D97,'Required Info to Submit'!$E$23:$J$32,4,FALSE)),"")</f>
        <v/>
      </c>
      <c r="AK97" s="1468"/>
      <c r="AL97" s="1468"/>
      <c r="AM97" s="1468"/>
      <c r="AN97" s="1468"/>
      <c r="AO97" s="1468"/>
      <c r="AP97" s="1468"/>
      <c r="AQ97" s="1468"/>
      <c r="AR97" s="1468"/>
      <c r="AS97" s="1468"/>
      <c r="AT97" s="1469"/>
      <c r="AU97" s="1320" t="str">
        <f>IFERROR(IFERROR('Multi-Customer'!$BM$42,VLOOKUP($D97,'Required Info to Submit'!$E$23:$J$32,5,FALSE)),"")</f>
        <v/>
      </c>
      <c r="AV97" s="1321"/>
      <c r="AW97" s="1321"/>
      <c r="AX97" s="1322"/>
      <c r="AY97" s="1387" t="str">
        <f>IFERROR(IFERROR('Multi-Customer'!$BM$43,VLOOKUP($D97,'Required Info to Submit'!$E$23:$J$32,6,FALSE)),"")</f>
        <v/>
      </c>
      <c r="AZ97" s="1388"/>
      <c r="BA97" s="1388"/>
      <c r="BB97" s="1388"/>
      <c r="BC97" s="1389"/>
      <c r="BF97" s="144"/>
    </row>
    <row r="98" spans="2:58" x14ac:dyDescent="0.25">
      <c r="B98" s="143"/>
      <c r="C98" s="684">
        <v>4</v>
      </c>
      <c r="D98" s="1452">
        <f>'Customer Inputs'!$B$9</f>
        <v>0</v>
      </c>
      <c r="E98" s="1452"/>
      <c r="F98" s="1452"/>
      <c r="G98" s="1452"/>
      <c r="H98" s="1452"/>
      <c r="I98" s="1452"/>
      <c r="J98" s="1452"/>
      <c r="K98" s="1396" t="str">
        <f>IFERROR(IFERROR('Multi-Customer'!$BV$37,VLOOKUP($D98,'Required Info to Submit'!$E$23:$J$32,2,FALSE)),"")</f>
        <v/>
      </c>
      <c r="L98" s="1396"/>
      <c r="M98" s="1396"/>
      <c r="N98" s="1396"/>
      <c r="O98" s="1396"/>
      <c r="P98" s="1396"/>
      <c r="Q98" s="1396"/>
      <c r="R98" s="1396"/>
      <c r="S98" s="1396"/>
      <c r="T98" s="1396"/>
      <c r="U98" s="1396" t="str">
        <f>IFERROR(IFERROR('Multi-Customer'!$BV$39&amp;" "&amp;'Multi-Customer'!$BV$40,VLOOKUP($D98,'Required Info to Submit'!$E$23:$J$32,3,FALSE)),"")</f>
        <v/>
      </c>
      <c r="V98" s="1396"/>
      <c r="W98" s="1396"/>
      <c r="X98" s="1396"/>
      <c r="Y98" s="1396"/>
      <c r="Z98" s="1396"/>
      <c r="AA98" s="1396"/>
      <c r="AB98" s="1396"/>
      <c r="AC98" s="1396"/>
      <c r="AD98" s="1396"/>
      <c r="AE98" s="1396"/>
      <c r="AF98" s="1396"/>
      <c r="AG98" s="1396"/>
      <c r="AH98" s="1396"/>
      <c r="AI98" s="1396"/>
      <c r="AJ98" s="1467" t="str">
        <f>IFERROR(IFERROR('Multi-Customer'!$BV$41,VLOOKUP($D98,'Required Info to Submit'!$E$23:$J$32,4,FALSE)),"")</f>
        <v/>
      </c>
      <c r="AK98" s="1468"/>
      <c r="AL98" s="1468"/>
      <c r="AM98" s="1468"/>
      <c r="AN98" s="1468"/>
      <c r="AO98" s="1468"/>
      <c r="AP98" s="1468"/>
      <c r="AQ98" s="1468"/>
      <c r="AR98" s="1468"/>
      <c r="AS98" s="1468"/>
      <c r="AT98" s="1469"/>
      <c r="AU98" s="1320" t="str">
        <f>IFERROR(IFERROR('Multi-Customer'!$BV$42,VLOOKUP($D98,'Required Info to Submit'!$E$23:$J$32,5,FALSE)),"")</f>
        <v/>
      </c>
      <c r="AV98" s="1321"/>
      <c r="AW98" s="1321"/>
      <c r="AX98" s="1322"/>
      <c r="AY98" s="1387" t="str">
        <f>IFERROR(IFERROR('Multi-Customer'!$BV$43,VLOOKUP($D98,'Required Info to Submit'!$E$23:$J$32,6,FALSE)),"")</f>
        <v/>
      </c>
      <c r="AZ98" s="1388"/>
      <c r="BA98" s="1388"/>
      <c r="BB98" s="1388"/>
      <c r="BC98" s="1389"/>
      <c r="BF98" s="144"/>
    </row>
    <row r="99" spans="2:58" x14ac:dyDescent="0.25">
      <c r="B99" s="143"/>
      <c r="C99" s="684">
        <v>5</v>
      </c>
      <c r="D99" s="1452">
        <f>'Customer Inputs'!$B$10</f>
        <v>0</v>
      </c>
      <c r="E99" s="1452"/>
      <c r="F99" s="1452"/>
      <c r="G99" s="1452"/>
      <c r="H99" s="1452"/>
      <c r="I99" s="1452"/>
      <c r="J99" s="1452"/>
      <c r="K99" s="1396" t="str">
        <f>IFERROR(IFERROR('Multi-Customer'!$CE$37,VLOOKUP($D99,'Required Info to Submit'!$E$23:$J$32,2,FALSE)),"")</f>
        <v/>
      </c>
      <c r="L99" s="1396"/>
      <c r="M99" s="1396"/>
      <c r="N99" s="1396"/>
      <c r="O99" s="1396"/>
      <c r="P99" s="1396"/>
      <c r="Q99" s="1396"/>
      <c r="R99" s="1396"/>
      <c r="S99" s="1396"/>
      <c r="T99" s="1396"/>
      <c r="U99" s="1396" t="str">
        <f>IFERROR(IFERROR('Multi-Customer'!$CE$39&amp;" "&amp;'Multi-Customer'!$CE$40,VLOOKUP($D99,'Required Info to Submit'!$E$23:$J$32,3,FALSE)),"")</f>
        <v/>
      </c>
      <c r="V99" s="1396"/>
      <c r="W99" s="1396"/>
      <c r="X99" s="1396"/>
      <c r="Y99" s="1396"/>
      <c r="Z99" s="1396"/>
      <c r="AA99" s="1396"/>
      <c r="AB99" s="1396"/>
      <c r="AC99" s="1396"/>
      <c r="AD99" s="1396"/>
      <c r="AE99" s="1396"/>
      <c r="AF99" s="1396"/>
      <c r="AG99" s="1396"/>
      <c r="AH99" s="1396"/>
      <c r="AI99" s="1396"/>
      <c r="AJ99" s="1467" t="str">
        <f>IFERROR(IFERROR('Multi-Customer'!$CE$41,VLOOKUP($D99,'Required Info to Submit'!$E$23:$J$32,4,FALSE)),"")</f>
        <v/>
      </c>
      <c r="AK99" s="1468"/>
      <c r="AL99" s="1468"/>
      <c r="AM99" s="1468"/>
      <c r="AN99" s="1468"/>
      <c r="AO99" s="1468"/>
      <c r="AP99" s="1468"/>
      <c r="AQ99" s="1468"/>
      <c r="AR99" s="1468"/>
      <c r="AS99" s="1468"/>
      <c r="AT99" s="1469"/>
      <c r="AU99" s="1320" t="str">
        <f>IFERROR(IFERROR('Multi-Customer'!$CE$42,VLOOKUP($D99,'Required Info to Submit'!$E$23:$J$32,5,FALSE)),"")</f>
        <v/>
      </c>
      <c r="AV99" s="1321"/>
      <c r="AW99" s="1321"/>
      <c r="AX99" s="1322"/>
      <c r="AY99" s="1387" t="str">
        <f>IFERROR(IFERROR('Multi-Customer'!$CE$43,VLOOKUP($D99,'Required Info to Submit'!$E$23:$J$32,6,FALSE)),"")</f>
        <v/>
      </c>
      <c r="AZ99" s="1388"/>
      <c r="BA99" s="1388"/>
      <c r="BB99" s="1388"/>
      <c r="BC99" s="1389"/>
      <c r="BF99" s="144"/>
    </row>
    <row r="100" spans="2:58" x14ac:dyDescent="0.25">
      <c r="B100" s="143"/>
      <c r="C100" s="684">
        <v>6</v>
      </c>
      <c r="D100" s="1452">
        <f>'Customer Inputs'!$B$11</f>
        <v>0</v>
      </c>
      <c r="E100" s="1452"/>
      <c r="F100" s="1452"/>
      <c r="G100" s="1452"/>
      <c r="H100" s="1452"/>
      <c r="I100" s="1452"/>
      <c r="J100" s="1452"/>
      <c r="K100" s="1396" t="str">
        <f>IFERROR(IFERROR('Multi-Customer'!$CN$37,VLOOKUP($D100,'Required Info to Submit'!$E$23:$J$32,2,FALSE)),"")</f>
        <v/>
      </c>
      <c r="L100" s="1396"/>
      <c r="M100" s="1396"/>
      <c r="N100" s="1396"/>
      <c r="O100" s="1396"/>
      <c r="P100" s="1396"/>
      <c r="Q100" s="1396"/>
      <c r="R100" s="1396"/>
      <c r="S100" s="1396"/>
      <c r="T100" s="1396"/>
      <c r="U100" s="1396" t="str">
        <f>IFERROR(IFERROR('Multi-Customer'!$CN$39&amp;" "&amp;'Multi-Customer'!$CN$40,VLOOKUP($D100,'Required Info to Submit'!$E$23:$J$32,3,FALSE)),"")</f>
        <v/>
      </c>
      <c r="V100" s="1396"/>
      <c r="W100" s="1396"/>
      <c r="X100" s="1396"/>
      <c r="Y100" s="1396"/>
      <c r="Z100" s="1396"/>
      <c r="AA100" s="1396"/>
      <c r="AB100" s="1396"/>
      <c r="AC100" s="1396"/>
      <c r="AD100" s="1396"/>
      <c r="AE100" s="1396"/>
      <c r="AF100" s="1396"/>
      <c r="AG100" s="1396"/>
      <c r="AH100" s="1396"/>
      <c r="AI100" s="1396"/>
      <c r="AJ100" s="1467" t="str">
        <f>IFERROR(IFERROR('Multi-Customer'!$CN$41,VLOOKUP($D100,'Required Info to Submit'!$E$23:$J$32,4,FALSE)),"")</f>
        <v/>
      </c>
      <c r="AK100" s="1468"/>
      <c r="AL100" s="1468"/>
      <c r="AM100" s="1468"/>
      <c r="AN100" s="1468"/>
      <c r="AO100" s="1468"/>
      <c r="AP100" s="1468"/>
      <c r="AQ100" s="1468"/>
      <c r="AR100" s="1468"/>
      <c r="AS100" s="1468"/>
      <c r="AT100" s="1469"/>
      <c r="AU100" s="1320" t="str">
        <f>IFERROR(IFERROR('Multi-Customer'!$CN$42,VLOOKUP($D100,'Required Info to Submit'!$E$23:$J$32,5,FALSE)),"")</f>
        <v/>
      </c>
      <c r="AV100" s="1321"/>
      <c r="AW100" s="1321"/>
      <c r="AX100" s="1322"/>
      <c r="AY100" s="1387" t="str">
        <f>IFERROR(IFERROR('Multi-Customer'!$CN$43,VLOOKUP($D100,'Required Info to Submit'!$E$23:$J$32,6,FALSE)),"")</f>
        <v/>
      </c>
      <c r="AZ100" s="1388"/>
      <c r="BA100" s="1388"/>
      <c r="BB100" s="1388"/>
      <c r="BC100" s="1389"/>
      <c r="BF100" s="144"/>
    </row>
    <row r="101" spans="2:58" x14ac:dyDescent="0.25">
      <c r="B101" s="143"/>
      <c r="C101" s="684">
        <v>7</v>
      </c>
      <c r="D101" s="1452">
        <f>'Customer Inputs'!$B$12</f>
        <v>0</v>
      </c>
      <c r="E101" s="1452"/>
      <c r="F101" s="1452"/>
      <c r="G101" s="1452"/>
      <c r="H101" s="1452"/>
      <c r="I101" s="1452"/>
      <c r="J101" s="1452"/>
      <c r="K101" s="1396" t="str">
        <f>IFERROR(IFERROR('Multi-Customer'!$CW$37,VLOOKUP($D101,'Required Info to Submit'!$E$23:$J$32,2,FALSE)),"")</f>
        <v/>
      </c>
      <c r="L101" s="1396"/>
      <c r="M101" s="1396"/>
      <c r="N101" s="1396"/>
      <c r="O101" s="1396"/>
      <c r="P101" s="1396"/>
      <c r="Q101" s="1396"/>
      <c r="R101" s="1396"/>
      <c r="S101" s="1396"/>
      <c r="T101" s="1396"/>
      <c r="U101" s="1396" t="str">
        <f>IFERROR(IFERROR('Multi-Customer'!$CW$39&amp;" "&amp;'Multi-Customer'!$CW$40,VLOOKUP($D101,'Required Info to Submit'!$E$23:$J$32,3,FALSE)),"")</f>
        <v/>
      </c>
      <c r="V101" s="1396"/>
      <c r="W101" s="1396"/>
      <c r="X101" s="1396"/>
      <c r="Y101" s="1396"/>
      <c r="Z101" s="1396"/>
      <c r="AA101" s="1396"/>
      <c r="AB101" s="1396"/>
      <c r="AC101" s="1396"/>
      <c r="AD101" s="1396"/>
      <c r="AE101" s="1396"/>
      <c r="AF101" s="1396"/>
      <c r="AG101" s="1396"/>
      <c r="AH101" s="1396"/>
      <c r="AI101" s="1396"/>
      <c r="AJ101" s="1467" t="str">
        <f>IFERROR(IFERROR('Multi-Customer'!$CW$41,VLOOKUP($D101,'Required Info to Submit'!$E$23:$J$32,4,FALSE)),"")</f>
        <v/>
      </c>
      <c r="AK101" s="1468"/>
      <c r="AL101" s="1468"/>
      <c r="AM101" s="1468"/>
      <c r="AN101" s="1468"/>
      <c r="AO101" s="1468"/>
      <c r="AP101" s="1468"/>
      <c r="AQ101" s="1468"/>
      <c r="AR101" s="1468"/>
      <c r="AS101" s="1468"/>
      <c r="AT101" s="1469"/>
      <c r="AU101" s="1320" t="str">
        <f>IFERROR(IFERROR('Multi-Customer'!$CW$42,VLOOKUP($D101,'Required Info to Submit'!$E$23:$J$32,5,FALSE)),"")</f>
        <v/>
      </c>
      <c r="AV101" s="1321"/>
      <c r="AW101" s="1321"/>
      <c r="AX101" s="1322"/>
      <c r="AY101" s="1387" t="str">
        <f>IFERROR(IFERROR('Multi-Customer'!$CW$43,VLOOKUP($D101,'Required Info to Submit'!$E$23:$J$32,6,FALSE)),"")</f>
        <v/>
      </c>
      <c r="AZ101" s="1388"/>
      <c r="BA101" s="1388"/>
      <c r="BB101" s="1388"/>
      <c r="BC101" s="1389"/>
      <c r="BF101" s="144"/>
    </row>
    <row r="102" spans="2:58" x14ac:dyDescent="0.25">
      <c r="B102" s="143"/>
      <c r="C102" s="684">
        <v>8</v>
      </c>
      <c r="D102" s="1452">
        <f>'Customer Inputs'!$B$13</f>
        <v>0</v>
      </c>
      <c r="E102" s="1452"/>
      <c r="F102" s="1452"/>
      <c r="G102" s="1452"/>
      <c r="H102" s="1452"/>
      <c r="I102" s="1452"/>
      <c r="J102" s="1452"/>
      <c r="K102" s="1396" t="str">
        <f>IFERROR(IFERROR('Multi-Customer'!$DF$37,VLOOKUP($D102,'Required Info to Submit'!$E$23:$J$32,2,FALSE)),"")</f>
        <v/>
      </c>
      <c r="L102" s="1396"/>
      <c r="M102" s="1396"/>
      <c r="N102" s="1396"/>
      <c r="O102" s="1396"/>
      <c r="P102" s="1396"/>
      <c r="Q102" s="1396"/>
      <c r="R102" s="1396"/>
      <c r="S102" s="1396"/>
      <c r="T102" s="1396"/>
      <c r="U102" s="1396" t="str">
        <f>IFERROR(IFERROR('Multi-Customer'!$DF$39&amp;" "&amp;'Multi-Customer'!$DF$40,VLOOKUP($D102,'Required Info to Submit'!$E$23:$J$32,3,FALSE)),"")</f>
        <v/>
      </c>
      <c r="V102" s="1396"/>
      <c r="W102" s="1396"/>
      <c r="X102" s="1396"/>
      <c r="Y102" s="1396"/>
      <c r="Z102" s="1396"/>
      <c r="AA102" s="1396"/>
      <c r="AB102" s="1396"/>
      <c r="AC102" s="1396"/>
      <c r="AD102" s="1396"/>
      <c r="AE102" s="1396"/>
      <c r="AF102" s="1396"/>
      <c r="AG102" s="1396"/>
      <c r="AH102" s="1396"/>
      <c r="AI102" s="1396"/>
      <c r="AJ102" s="1467" t="str">
        <f>IFERROR(IFERROR('Multi-Customer'!$DF$41,VLOOKUP($D102,'Required Info to Submit'!$E$23:$J$32,4,FALSE)),"")</f>
        <v/>
      </c>
      <c r="AK102" s="1468"/>
      <c r="AL102" s="1468"/>
      <c r="AM102" s="1468"/>
      <c r="AN102" s="1468"/>
      <c r="AO102" s="1468"/>
      <c r="AP102" s="1468"/>
      <c r="AQ102" s="1468"/>
      <c r="AR102" s="1468"/>
      <c r="AS102" s="1468"/>
      <c r="AT102" s="1469"/>
      <c r="AU102" s="1320" t="str">
        <f>IFERROR(IFERROR('Multi-Customer'!$DF$42,VLOOKUP($D102,'Required Info to Submit'!$E$23:$J$32,5,FALSE)),"")</f>
        <v/>
      </c>
      <c r="AV102" s="1321"/>
      <c r="AW102" s="1321"/>
      <c r="AX102" s="1322"/>
      <c r="AY102" s="1387" t="str">
        <f>IFERROR(IFERROR('Multi-Customer'!$DF$43,VLOOKUP($D102,'Required Info to Submit'!$E$23:$J$32,6,FALSE)),"")</f>
        <v/>
      </c>
      <c r="AZ102" s="1388"/>
      <c r="BA102" s="1388"/>
      <c r="BB102" s="1388"/>
      <c r="BC102" s="1389"/>
      <c r="BF102" s="144"/>
    </row>
    <row r="103" spans="2:58" x14ac:dyDescent="0.25">
      <c r="B103" s="143"/>
      <c r="C103" s="684">
        <v>9</v>
      </c>
      <c r="D103" s="1452">
        <f>'Customer Inputs'!$B$14</f>
        <v>0</v>
      </c>
      <c r="E103" s="1452"/>
      <c r="F103" s="1452"/>
      <c r="G103" s="1452"/>
      <c r="H103" s="1452"/>
      <c r="I103" s="1452"/>
      <c r="J103" s="1452"/>
      <c r="K103" s="1396" t="str">
        <f>IFERROR(IFERROR('Multi-Customer'!$DO$37,VLOOKUP($D103,'Required Info to Submit'!$E$23:$J$32,2,FALSE)),"")</f>
        <v/>
      </c>
      <c r="L103" s="1396"/>
      <c r="M103" s="1396"/>
      <c r="N103" s="1396"/>
      <c r="O103" s="1396"/>
      <c r="P103" s="1396"/>
      <c r="Q103" s="1396"/>
      <c r="R103" s="1396"/>
      <c r="S103" s="1396"/>
      <c r="T103" s="1396"/>
      <c r="U103" s="1396" t="str">
        <f>IFERROR(IFERROR('Multi-Customer'!$DO$39&amp;" "&amp;'Multi-Customer'!$DO$40,VLOOKUP($D103,'Required Info to Submit'!$E$23:$J$32,3,FALSE)),"")</f>
        <v/>
      </c>
      <c r="V103" s="1396"/>
      <c r="W103" s="1396"/>
      <c r="X103" s="1396"/>
      <c r="Y103" s="1396"/>
      <c r="Z103" s="1396"/>
      <c r="AA103" s="1396"/>
      <c r="AB103" s="1396"/>
      <c r="AC103" s="1396"/>
      <c r="AD103" s="1396"/>
      <c r="AE103" s="1396"/>
      <c r="AF103" s="1396"/>
      <c r="AG103" s="1396"/>
      <c r="AH103" s="1396"/>
      <c r="AI103" s="1396"/>
      <c r="AJ103" s="1467" t="str">
        <f>IFERROR(IFERROR('Multi-Customer'!$DO$41,VLOOKUP($D103,'Required Info to Submit'!$E$23:$J$32,4,FALSE)),"")</f>
        <v/>
      </c>
      <c r="AK103" s="1468"/>
      <c r="AL103" s="1468"/>
      <c r="AM103" s="1468"/>
      <c r="AN103" s="1468"/>
      <c r="AO103" s="1468"/>
      <c r="AP103" s="1468"/>
      <c r="AQ103" s="1468"/>
      <c r="AR103" s="1468"/>
      <c r="AS103" s="1468"/>
      <c r="AT103" s="1469"/>
      <c r="AU103" s="1320" t="str">
        <f>IFERROR(IFERROR('Multi-Customer'!$DO$42,VLOOKUP($D103,'Required Info to Submit'!$E$23:$J$32,5,FALSE)),"")</f>
        <v/>
      </c>
      <c r="AV103" s="1321"/>
      <c r="AW103" s="1321"/>
      <c r="AX103" s="1322"/>
      <c r="AY103" s="1387" t="str">
        <f>IFERROR(IFERROR('Multi-Customer'!$DO$43,VLOOKUP($D103,'Required Info to Submit'!$E$23:$J$32,6,FALSE)),"")</f>
        <v/>
      </c>
      <c r="AZ103" s="1388"/>
      <c r="BA103" s="1388"/>
      <c r="BB103" s="1388"/>
      <c r="BC103" s="1389"/>
      <c r="BF103" s="144"/>
    </row>
    <row r="104" spans="2:58" ht="15.75" thickBot="1" x14ac:dyDescent="0.3">
      <c r="B104" s="143"/>
      <c r="C104" s="685">
        <v>10</v>
      </c>
      <c r="D104" s="1463">
        <f>'Customer Inputs'!$B$15</f>
        <v>0</v>
      </c>
      <c r="E104" s="1463"/>
      <c r="F104" s="1463"/>
      <c r="G104" s="1463"/>
      <c r="H104" s="1463"/>
      <c r="I104" s="1463"/>
      <c r="J104" s="1463"/>
      <c r="K104" s="1462" t="str">
        <f>IFERROR(IFERROR('Multi-Customer'!$DX$37,VLOOKUP($D104,'Required Info to Submit'!$E$23:$J$32,2,FALSE)),"")</f>
        <v/>
      </c>
      <c r="L104" s="1462"/>
      <c r="M104" s="1462"/>
      <c r="N104" s="1462"/>
      <c r="O104" s="1462"/>
      <c r="P104" s="1462"/>
      <c r="Q104" s="1462"/>
      <c r="R104" s="1462"/>
      <c r="S104" s="1462"/>
      <c r="T104" s="1462"/>
      <c r="U104" s="1462" t="str">
        <f>IFERROR(IFERROR('Multi-Customer'!$DX$39&amp;" "&amp;'Multi-Customer'!$DX$40,VLOOKUP($D104,'Required Info to Submit'!$E$23:$J$32,3,FALSE)),"")</f>
        <v/>
      </c>
      <c r="V104" s="1462"/>
      <c r="W104" s="1462"/>
      <c r="X104" s="1462"/>
      <c r="Y104" s="1462"/>
      <c r="Z104" s="1462"/>
      <c r="AA104" s="1462"/>
      <c r="AB104" s="1462"/>
      <c r="AC104" s="1462"/>
      <c r="AD104" s="1462"/>
      <c r="AE104" s="1462"/>
      <c r="AF104" s="1462"/>
      <c r="AG104" s="1462"/>
      <c r="AH104" s="1462"/>
      <c r="AI104" s="1462"/>
      <c r="AJ104" s="1464" t="str">
        <f>IFERROR(IFERROR('Multi-Customer'!$DX$41,VLOOKUP($D104,'Required Info to Submit'!$E$23:$J$32,4,FALSE)),"")</f>
        <v/>
      </c>
      <c r="AK104" s="1465"/>
      <c r="AL104" s="1465"/>
      <c r="AM104" s="1465"/>
      <c r="AN104" s="1465"/>
      <c r="AO104" s="1465"/>
      <c r="AP104" s="1465"/>
      <c r="AQ104" s="1465"/>
      <c r="AR104" s="1465"/>
      <c r="AS104" s="1465"/>
      <c r="AT104" s="1466"/>
      <c r="AU104" s="1484" t="str">
        <f>IFERROR(IFERROR('Multi-Customer'!$DX$42,VLOOKUP($D104,'Required Info to Submit'!$E$23:$J$32,5,FALSE)),"")</f>
        <v/>
      </c>
      <c r="AV104" s="1485"/>
      <c r="AW104" s="1485"/>
      <c r="AX104" s="1486"/>
      <c r="AY104" s="1477" t="str">
        <f>IFERROR(IFERROR('Multi-Customer'!$DX$43,VLOOKUP($D104,'Required Info to Submit'!$E$23:$J$32,6,FALSE)),"")</f>
        <v/>
      </c>
      <c r="AZ104" s="1478"/>
      <c r="BA104" s="1478"/>
      <c r="BB104" s="1478"/>
      <c r="BC104" s="1479"/>
      <c r="BF104" s="144"/>
    </row>
    <row r="105" spans="2:58" x14ac:dyDescent="0.25">
      <c r="B105" s="143"/>
      <c r="BF105" s="144"/>
    </row>
    <row r="106" spans="2:58" x14ac:dyDescent="0.25">
      <c r="B106" s="143"/>
      <c r="BF106" s="144"/>
    </row>
    <row r="107" spans="2:58" ht="18.75" x14ac:dyDescent="0.3">
      <c r="B107" s="1440" t="s">
        <v>1046</v>
      </c>
      <c r="C107" s="1441"/>
      <c r="D107" s="1441"/>
      <c r="E107" s="1441"/>
      <c r="F107" s="1441"/>
      <c r="G107" s="1441"/>
      <c r="H107" s="1441"/>
      <c r="I107" s="1441"/>
      <c r="J107" s="1441"/>
      <c r="K107" s="1441"/>
      <c r="L107" s="1441"/>
      <c r="M107" s="1441"/>
      <c r="N107" s="1441"/>
      <c r="O107" s="1441"/>
      <c r="P107" s="1441"/>
      <c r="Q107" s="1441"/>
      <c r="R107" s="1441"/>
      <c r="S107" s="1441"/>
      <c r="T107" s="1441"/>
      <c r="U107" s="1441"/>
      <c r="V107" s="1441"/>
      <c r="W107" s="1441"/>
      <c r="X107" s="1441"/>
      <c r="Y107" s="1441"/>
      <c r="Z107" s="1441"/>
      <c r="AA107" s="1441"/>
      <c r="AB107" s="1441"/>
      <c r="AC107" s="1441"/>
      <c r="AD107" s="1441"/>
      <c r="AE107" s="1441"/>
      <c r="AF107" s="1441"/>
      <c r="AG107" s="1441"/>
      <c r="AH107" s="1441"/>
      <c r="AI107" s="1441"/>
      <c r="AJ107" s="1441"/>
      <c r="AK107" s="1441"/>
      <c r="AL107" s="1441"/>
      <c r="AM107" s="1441"/>
      <c r="AN107" s="1441"/>
      <c r="AO107" s="1441"/>
      <c r="AP107" s="1441"/>
      <c r="AQ107" s="1441"/>
      <c r="AR107" s="1441"/>
      <c r="AS107" s="1441"/>
      <c r="AT107" s="1441"/>
      <c r="AU107" s="1441"/>
      <c r="AV107" s="1441"/>
      <c r="AW107" s="1441"/>
      <c r="AX107" s="1441"/>
      <c r="AY107" s="1441"/>
      <c r="AZ107" s="1441"/>
      <c r="BA107" s="1441"/>
      <c r="BB107" s="1441"/>
      <c r="BC107" s="1441"/>
      <c r="BD107" s="1441"/>
      <c r="BE107" s="1441"/>
      <c r="BF107" s="1442"/>
    </row>
    <row r="108" spans="2:58" ht="15.75" thickBot="1" x14ac:dyDescent="0.3">
      <c r="B108" s="143"/>
      <c r="BF108" s="144"/>
    </row>
    <row r="109" spans="2:58" ht="29.45" customHeight="1" thickBot="1" x14ac:dyDescent="0.3">
      <c r="B109" s="733" t="s">
        <v>1039</v>
      </c>
      <c r="D109" s="271"/>
      <c r="E109" s="271"/>
      <c r="F109" s="271"/>
      <c r="G109" s="271"/>
      <c r="H109" s="271"/>
      <c r="I109" s="271"/>
      <c r="J109" s="271"/>
      <c r="K109" s="271"/>
      <c r="L109" s="271"/>
      <c r="M109" s="271"/>
      <c r="N109" s="271"/>
      <c r="O109" s="271"/>
      <c r="P109" s="271"/>
      <c r="Q109" s="271"/>
      <c r="R109" s="271"/>
      <c r="S109" s="271"/>
      <c r="T109" s="271"/>
      <c r="U109" s="1411" t="s">
        <v>1047</v>
      </c>
      <c r="V109" s="1382"/>
      <c r="W109" s="1382"/>
      <c r="X109" s="1382"/>
      <c r="Y109" s="1382"/>
      <c r="Z109" s="1382" t="s">
        <v>1040</v>
      </c>
      <c r="AA109" s="1382"/>
      <c r="AB109" s="1382"/>
      <c r="AC109" s="1382"/>
      <c r="AD109" s="1382"/>
      <c r="AE109" s="1382"/>
      <c r="AF109" s="1382" t="s">
        <v>1041</v>
      </c>
      <c r="AG109" s="1382"/>
      <c r="AH109" s="1382"/>
      <c r="AI109" s="1382"/>
      <c r="AJ109" s="1382"/>
      <c r="AK109" s="1382"/>
      <c r="AL109" s="1382"/>
      <c r="AM109" s="1382" t="s">
        <v>1044</v>
      </c>
      <c r="AN109" s="1382"/>
      <c r="AO109" s="1382"/>
      <c r="AP109" s="1382"/>
      <c r="AQ109" s="1382"/>
      <c r="AR109" s="1382"/>
      <c r="AS109" s="1383"/>
      <c r="AT109" s="271"/>
      <c r="AU109" s="271"/>
      <c r="AV109" s="271"/>
      <c r="AW109" s="271"/>
      <c r="AX109" s="271"/>
      <c r="AY109" s="271"/>
      <c r="AZ109" s="271"/>
      <c r="BA109" s="271"/>
      <c r="BB109" s="271"/>
      <c r="BC109" s="271"/>
      <c r="BD109" s="271"/>
      <c r="BE109" s="271"/>
      <c r="BF109" s="689"/>
    </row>
    <row r="110" spans="2:58" x14ac:dyDescent="0.25">
      <c r="B110" s="143"/>
      <c r="D110" s="1408" t="s">
        <v>99</v>
      </c>
      <c r="E110" s="1409"/>
      <c r="F110" s="1409"/>
      <c r="G110" s="1409"/>
      <c r="H110" s="1409"/>
      <c r="I110" s="1409"/>
      <c r="J110" s="1409"/>
      <c r="K110" s="1409"/>
      <c r="L110" s="1409"/>
      <c r="M110" s="1409"/>
      <c r="N110" s="1409"/>
      <c r="O110" s="1409"/>
      <c r="P110" s="1409"/>
      <c r="Q110" s="1409"/>
      <c r="R110" s="1409"/>
      <c r="S110" s="1409"/>
      <c r="T110" s="1410"/>
      <c r="U110" s="1399" t="str">
        <f>IF('PIM Model'!$B$10=0,"",'PIM Model'!$B$10)</f>
        <v/>
      </c>
      <c r="V110" s="1400"/>
      <c r="W110" s="1400"/>
      <c r="X110" s="1400"/>
      <c r="Y110" s="1400"/>
      <c r="Z110" s="1400" t="str">
        <f>'PIM Model'!$AF$10</f>
        <v/>
      </c>
      <c r="AA110" s="1400"/>
      <c r="AB110" s="1400"/>
      <c r="AC110" s="1400"/>
      <c r="AD110" s="1400"/>
      <c r="AE110" s="1400"/>
      <c r="AF110" s="1384" t="str">
        <f>'PIM Model'!$AG$10</f>
        <v/>
      </c>
      <c r="AG110" s="1385"/>
      <c r="AH110" s="1385"/>
      <c r="AI110" s="1385"/>
      <c r="AJ110" s="1385"/>
      <c r="AK110" s="1385"/>
      <c r="AL110" s="1392"/>
      <c r="AM110" s="1384" t="str">
        <f>'PIM Model'!$AH$10</f>
        <v/>
      </c>
      <c r="AN110" s="1385"/>
      <c r="AO110" s="1385"/>
      <c r="AP110" s="1385"/>
      <c r="AQ110" s="1385"/>
      <c r="AR110" s="1385"/>
      <c r="AS110" s="1386"/>
      <c r="BF110" s="144"/>
    </row>
    <row r="111" spans="2:58" x14ac:dyDescent="0.25">
      <c r="B111" s="143"/>
      <c r="D111" s="1395" t="s">
        <v>520</v>
      </c>
      <c r="E111" s="1396"/>
      <c r="F111" s="1396"/>
      <c r="G111" s="1396"/>
      <c r="H111" s="1396"/>
      <c r="I111" s="1396"/>
      <c r="J111" s="1396"/>
      <c r="K111" s="1396"/>
      <c r="L111" s="1396"/>
      <c r="M111" s="1396"/>
      <c r="N111" s="1396"/>
      <c r="O111" s="1396"/>
      <c r="P111" s="1396"/>
      <c r="Q111" s="1396"/>
      <c r="R111" s="1396"/>
      <c r="S111" s="1396"/>
      <c r="T111" s="1397"/>
      <c r="U111" s="1394" t="str">
        <f>IF('PIM Model'!$B$11=0,"",'PIM Model'!$B$11)</f>
        <v/>
      </c>
      <c r="V111" s="1319"/>
      <c r="W111" s="1319"/>
      <c r="X111" s="1319"/>
      <c r="Y111" s="1319"/>
      <c r="Z111" s="1319" t="str">
        <f>'PIM Model'!$AF$11</f>
        <v/>
      </c>
      <c r="AA111" s="1319"/>
      <c r="AB111" s="1319"/>
      <c r="AC111" s="1319"/>
      <c r="AD111" s="1319"/>
      <c r="AE111" s="1319"/>
      <c r="AF111" s="1387" t="str">
        <f>'PIM Model'!$AG$11</f>
        <v/>
      </c>
      <c r="AG111" s="1388"/>
      <c r="AH111" s="1388"/>
      <c r="AI111" s="1388"/>
      <c r="AJ111" s="1388"/>
      <c r="AK111" s="1388"/>
      <c r="AL111" s="1393"/>
      <c r="AM111" s="1387" t="str">
        <f>'PIM Model'!$AH$11</f>
        <v/>
      </c>
      <c r="AN111" s="1388"/>
      <c r="AO111" s="1388"/>
      <c r="AP111" s="1388"/>
      <c r="AQ111" s="1388"/>
      <c r="AR111" s="1388"/>
      <c r="AS111" s="1389"/>
      <c r="BF111" s="144"/>
    </row>
    <row r="112" spans="2:58" x14ac:dyDescent="0.25">
      <c r="B112" s="143"/>
      <c r="D112" s="1395" t="s">
        <v>521</v>
      </c>
      <c r="E112" s="1396"/>
      <c r="F112" s="1396"/>
      <c r="G112" s="1396"/>
      <c r="H112" s="1396"/>
      <c r="I112" s="1396"/>
      <c r="J112" s="1396"/>
      <c r="K112" s="1396"/>
      <c r="L112" s="1396"/>
      <c r="M112" s="1396"/>
      <c r="N112" s="1396"/>
      <c r="O112" s="1396"/>
      <c r="P112" s="1396"/>
      <c r="Q112" s="1396"/>
      <c r="R112" s="1396"/>
      <c r="S112" s="1396"/>
      <c r="T112" s="1397"/>
      <c r="U112" s="1394" t="str">
        <f>IF('PIM Model'!$B$12=0,"",'PIM Model'!$B$12)</f>
        <v/>
      </c>
      <c r="V112" s="1319"/>
      <c r="W112" s="1319"/>
      <c r="X112" s="1319"/>
      <c r="Y112" s="1319"/>
      <c r="Z112" s="1319" t="str">
        <f>'PIM Model'!$AF$12</f>
        <v/>
      </c>
      <c r="AA112" s="1319"/>
      <c r="AB112" s="1319"/>
      <c r="AC112" s="1319"/>
      <c r="AD112" s="1319"/>
      <c r="AE112" s="1319"/>
      <c r="AF112" s="1387" t="str">
        <f>'PIM Model'!$AG$12</f>
        <v/>
      </c>
      <c r="AG112" s="1388"/>
      <c r="AH112" s="1388"/>
      <c r="AI112" s="1388"/>
      <c r="AJ112" s="1388"/>
      <c r="AK112" s="1388"/>
      <c r="AL112" s="1393"/>
      <c r="AM112" s="1387" t="str">
        <f>'PIM Model'!$AH$12</f>
        <v/>
      </c>
      <c r="AN112" s="1388"/>
      <c r="AO112" s="1388"/>
      <c r="AP112" s="1388"/>
      <c r="AQ112" s="1388"/>
      <c r="AR112" s="1388"/>
      <c r="AS112" s="1389"/>
      <c r="BF112" s="144"/>
    </row>
    <row r="113" spans="2:58" x14ac:dyDescent="0.25">
      <c r="B113" s="143"/>
      <c r="D113" s="1395" t="s">
        <v>102</v>
      </c>
      <c r="E113" s="1396"/>
      <c r="F113" s="1396"/>
      <c r="G113" s="1396"/>
      <c r="H113" s="1396"/>
      <c r="I113" s="1396"/>
      <c r="J113" s="1396"/>
      <c r="K113" s="1396"/>
      <c r="L113" s="1396"/>
      <c r="M113" s="1396"/>
      <c r="N113" s="1396"/>
      <c r="O113" s="1396"/>
      <c r="P113" s="1396"/>
      <c r="Q113" s="1396"/>
      <c r="R113" s="1396"/>
      <c r="S113" s="1396"/>
      <c r="T113" s="1397"/>
      <c r="U113" s="1394" t="str">
        <f>IF('PIM Model'!$B$13=0,"",'PIM Model'!$B$13)</f>
        <v/>
      </c>
      <c r="V113" s="1319"/>
      <c r="W113" s="1319"/>
      <c r="X113" s="1319"/>
      <c r="Y113" s="1319"/>
      <c r="Z113" s="1319" t="str">
        <f>'PIM Model'!$AF$13</f>
        <v/>
      </c>
      <c r="AA113" s="1319"/>
      <c r="AB113" s="1319"/>
      <c r="AC113" s="1319"/>
      <c r="AD113" s="1319"/>
      <c r="AE113" s="1319"/>
      <c r="AF113" s="1387" t="str">
        <f>'PIM Model'!$AG$13</f>
        <v/>
      </c>
      <c r="AG113" s="1388"/>
      <c r="AH113" s="1388"/>
      <c r="AI113" s="1388"/>
      <c r="AJ113" s="1388"/>
      <c r="AK113" s="1388"/>
      <c r="AL113" s="1393"/>
      <c r="AM113" s="1387" t="str">
        <f>'PIM Model'!$AH$13</f>
        <v/>
      </c>
      <c r="AN113" s="1388"/>
      <c r="AO113" s="1388"/>
      <c r="AP113" s="1388"/>
      <c r="AQ113" s="1388"/>
      <c r="AR113" s="1388"/>
      <c r="AS113" s="1389"/>
      <c r="BF113" s="144"/>
    </row>
    <row r="114" spans="2:58" x14ac:dyDescent="0.25">
      <c r="B114" s="143"/>
      <c r="D114" s="1395" t="s">
        <v>100</v>
      </c>
      <c r="E114" s="1396"/>
      <c r="F114" s="1396"/>
      <c r="G114" s="1396"/>
      <c r="H114" s="1396"/>
      <c r="I114" s="1396"/>
      <c r="J114" s="1396"/>
      <c r="K114" s="1396"/>
      <c r="L114" s="1396"/>
      <c r="M114" s="1396"/>
      <c r="N114" s="1396"/>
      <c r="O114" s="1396"/>
      <c r="P114" s="1396"/>
      <c r="Q114" s="1396"/>
      <c r="R114" s="1396"/>
      <c r="S114" s="1396"/>
      <c r="T114" s="1397"/>
      <c r="U114" s="1394" t="str">
        <f>IF('PIM Model'!$B$14=0,"",'PIM Model'!$B$14)</f>
        <v/>
      </c>
      <c r="V114" s="1319"/>
      <c r="W114" s="1319"/>
      <c r="X114" s="1319"/>
      <c r="Y114" s="1319"/>
      <c r="Z114" s="1319" t="str">
        <f>'PIM Model'!$AF$14</f>
        <v/>
      </c>
      <c r="AA114" s="1319"/>
      <c r="AB114" s="1319"/>
      <c r="AC114" s="1319"/>
      <c r="AD114" s="1319"/>
      <c r="AE114" s="1319"/>
      <c r="AF114" s="1387" t="str">
        <f>'PIM Model'!$AG$14</f>
        <v/>
      </c>
      <c r="AG114" s="1388"/>
      <c r="AH114" s="1388"/>
      <c r="AI114" s="1388"/>
      <c r="AJ114" s="1388"/>
      <c r="AK114" s="1388"/>
      <c r="AL114" s="1393"/>
      <c r="AM114" s="1387" t="str">
        <f>'PIM Model'!$AH$14</f>
        <v/>
      </c>
      <c r="AN114" s="1388"/>
      <c r="AO114" s="1388"/>
      <c r="AP114" s="1388"/>
      <c r="AQ114" s="1388"/>
      <c r="AR114" s="1388"/>
      <c r="AS114" s="1389"/>
      <c r="BF114" s="144"/>
    </row>
    <row r="115" spans="2:58" x14ac:dyDescent="0.25">
      <c r="B115" s="143"/>
      <c r="D115" s="1395" t="s">
        <v>104</v>
      </c>
      <c r="E115" s="1396"/>
      <c r="F115" s="1396"/>
      <c r="G115" s="1396"/>
      <c r="H115" s="1396"/>
      <c r="I115" s="1396"/>
      <c r="J115" s="1396"/>
      <c r="K115" s="1396"/>
      <c r="L115" s="1396"/>
      <c r="M115" s="1396"/>
      <c r="N115" s="1396"/>
      <c r="O115" s="1396"/>
      <c r="P115" s="1396"/>
      <c r="Q115" s="1396"/>
      <c r="R115" s="1396"/>
      <c r="S115" s="1396"/>
      <c r="T115" s="1397"/>
      <c r="U115" s="1394" t="str">
        <f>IF('PIM Model'!$B$15=0,"",'PIM Model'!$B$15)</f>
        <v/>
      </c>
      <c r="V115" s="1319"/>
      <c r="W115" s="1319"/>
      <c r="X115" s="1319"/>
      <c r="Y115" s="1319"/>
      <c r="Z115" s="1319" t="str">
        <f>'PIM Model'!$AF$15</f>
        <v/>
      </c>
      <c r="AA115" s="1319"/>
      <c r="AB115" s="1319"/>
      <c r="AC115" s="1319"/>
      <c r="AD115" s="1319"/>
      <c r="AE115" s="1319"/>
      <c r="AF115" s="1387" t="str">
        <f>'PIM Model'!$AG$15</f>
        <v/>
      </c>
      <c r="AG115" s="1388"/>
      <c r="AH115" s="1388"/>
      <c r="AI115" s="1388"/>
      <c r="AJ115" s="1388"/>
      <c r="AK115" s="1388"/>
      <c r="AL115" s="1393"/>
      <c r="AM115" s="1387" t="str">
        <f>'PIM Model'!$AH$15</f>
        <v/>
      </c>
      <c r="AN115" s="1388"/>
      <c r="AO115" s="1388"/>
      <c r="AP115" s="1388"/>
      <c r="AQ115" s="1388"/>
      <c r="AR115" s="1388"/>
      <c r="AS115" s="1389"/>
      <c r="BF115" s="144"/>
    </row>
    <row r="116" spans="2:58" x14ac:dyDescent="0.25">
      <c r="B116" s="143"/>
      <c r="D116" s="1395" t="s">
        <v>98</v>
      </c>
      <c r="E116" s="1396"/>
      <c r="F116" s="1396"/>
      <c r="G116" s="1396"/>
      <c r="H116" s="1396"/>
      <c r="I116" s="1396"/>
      <c r="J116" s="1396"/>
      <c r="K116" s="1396"/>
      <c r="L116" s="1396"/>
      <c r="M116" s="1396"/>
      <c r="N116" s="1396"/>
      <c r="O116" s="1396"/>
      <c r="P116" s="1396"/>
      <c r="Q116" s="1396"/>
      <c r="R116" s="1396"/>
      <c r="S116" s="1396"/>
      <c r="T116" s="1397"/>
      <c r="U116" s="1394" t="str">
        <f>IF('PIM Model'!$B$16=0,"",'PIM Model'!$B$16)</f>
        <v/>
      </c>
      <c r="V116" s="1319"/>
      <c r="W116" s="1319"/>
      <c r="X116" s="1319"/>
      <c r="Y116" s="1319"/>
      <c r="Z116" s="1319" t="str">
        <f>'PIM Model'!$AF$16</f>
        <v/>
      </c>
      <c r="AA116" s="1319"/>
      <c r="AB116" s="1319"/>
      <c r="AC116" s="1319"/>
      <c r="AD116" s="1319"/>
      <c r="AE116" s="1319"/>
      <c r="AF116" s="1387" t="str">
        <f>'PIM Model'!$AG$16</f>
        <v/>
      </c>
      <c r="AG116" s="1388"/>
      <c r="AH116" s="1388"/>
      <c r="AI116" s="1388"/>
      <c r="AJ116" s="1388"/>
      <c r="AK116" s="1388"/>
      <c r="AL116" s="1393"/>
      <c r="AM116" s="1387" t="str">
        <f>'PIM Model'!$AH$16</f>
        <v/>
      </c>
      <c r="AN116" s="1388"/>
      <c r="AO116" s="1388"/>
      <c r="AP116" s="1388"/>
      <c r="AQ116" s="1388"/>
      <c r="AR116" s="1388"/>
      <c r="AS116" s="1389"/>
      <c r="BF116" s="144"/>
    </row>
    <row r="117" spans="2:58" x14ac:dyDescent="0.25">
      <c r="B117" s="143"/>
      <c r="D117" s="1395" t="s">
        <v>95</v>
      </c>
      <c r="E117" s="1396"/>
      <c r="F117" s="1396"/>
      <c r="G117" s="1396"/>
      <c r="H117" s="1396"/>
      <c r="I117" s="1396"/>
      <c r="J117" s="1396"/>
      <c r="K117" s="1396"/>
      <c r="L117" s="1396"/>
      <c r="M117" s="1396"/>
      <c r="N117" s="1396"/>
      <c r="O117" s="1396"/>
      <c r="P117" s="1396"/>
      <c r="Q117" s="1396"/>
      <c r="R117" s="1396"/>
      <c r="S117" s="1396"/>
      <c r="T117" s="1397"/>
      <c r="U117" s="1394" t="str">
        <f>IF('PIM Model'!$B$17=0,"",'PIM Model'!$B$17)</f>
        <v/>
      </c>
      <c r="V117" s="1319"/>
      <c r="W117" s="1319"/>
      <c r="X117" s="1319"/>
      <c r="Y117" s="1319"/>
      <c r="Z117" s="1319" t="str">
        <f>'PIM Model'!$AF$17</f>
        <v/>
      </c>
      <c r="AA117" s="1319"/>
      <c r="AB117" s="1319"/>
      <c r="AC117" s="1319"/>
      <c r="AD117" s="1319"/>
      <c r="AE117" s="1319"/>
      <c r="AF117" s="1387" t="str">
        <f>'PIM Model'!$AG$17</f>
        <v/>
      </c>
      <c r="AG117" s="1388"/>
      <c r="AH117" s="1388"/>
      <c r="AI117" s="1388"/>
      <c r="AJ117" s="1388"/>
      <c r="AK117" s="1388"/>
      <c r="AL117" s="1393"/>
      <c r="AM117" s="1387" t="str">
        <f>'PIM Model'!$AH$17</f>
        <v/>
      </c>
      <c r="AN117" s="1388"/>
      <c r="AO117" s="1388"/>
      <c r="AP117" s="1388"/>
      <c r="AQ117" s="1388"/>
      <c r="AR117" s="1388"/>
      <c r="AS117" s="1389"/>
      <c r="BF117" s="144"/>
    </row>
    <row r="118" spans="2:58" x14ac:dyDescent="0.25">
      <c r="B118" s="143"/>
      <c r="D118" s="1395" t="s">
        <v>96</v>
      </c>
      <c r="E118" s="1396"/>
      <c r="F118" s="1396"/>
      <c r="G118" s="1396"/>
      <c r="H118" s="1396"/>
      <c r="I118" s="1396"/>
      <c r="J118" s="1396"/>
      <c r="K118" s="1396"/>
      <c r="L118" s="1396"/>
      <c r="M118" s="1396"/>
      <c r="N118" s="1396"/>
      <c r="O118" s="1396"/>
      <c r="P118" s="1396"/>
      <c r="Q118" s="1396"/>
      <c r="R118" s="1396"/>
      <c r="S118" s="1396"/>
      <c r="T118" s="1397"/>
      <c r="U118" s="1394" t="str">
        <f>IF('PIM Model'!$B$18=0,"",'PIM Model'!$B$18)</f>
        <v/>
      </c>
      <c r="V118" s="1319"/>
      <c r="W118" s="1319"/>
      <c r="X118" s="1319"/>
      <c r="Y118" s="1319"/>
      <c r="Z118" s="1319" t="str">
        <f>'PIM Model'!$AF$18</f>
        <v/>
      </c>
      <c r="AA118" s="1319"/>
      <c r="AB118" s="1319"/>
      <c r="AC118" s="1319"/>
      <c r="AD118" s="1319"/>
      <c r="AE118" s="1319"/>
      <c r="AF118" s="1387" t="str">
        <f>'PIM Model'!$AG$18</f>
        <v/>
      </c>
      <c r="AG118" s="1388"/>
      <c r="AH118" s="1388"/>
      <c r="AI118" s="1388"/>
      <c r="AJ118" s="1388"/>
      <c r="AK118" s="1388"/>
      <c r="AL118" s="1393"/>
      <c r="AM118" s="1387" t="str">
        <f>'PIM Model'!$AH$18</f>
        <v/>
      </c>
      <c r="AN118" s="1388"/>
      <c r="AO118" s="1388"/>
      <c r="AP118" s="1388"/>
      <c r="AQ118" s="1388"/>
      <c r="AR118" s="1388"/>
      <c r="AS118" s="1389"/>
      <c r="BF118" s="144"/>
    </row>
    <row r="119" spans="2:58" x14ac:dyDescent="0.25">
      <c r="B119" s="143"/>
      <c r="D119" s="1395" t="s">
        <v>101</v>
      </c>
      <c r="E119" s="1396"/>
      <c r="F119" s="1396"/>
      <c r="G119" s="1396"/>
      <c r="H119" s="1396"/>
      <c r="I119" s="1396"/>
      <c r="J119" s="1396"/>
      <c r="K119" s="1396"/>
      <c r="L119" s="1396"/>
      <c r="M119" s="1396"/>
      <c r="N119" s="1396"/>
      <c r="O119" s="1396"/>
      <c r="P119" s="1396"/>
      <c r="Q119" s="1396"/>
      <c r="R119" s="1396"/>
      <c r="S119" s="1396"/>
      <c r="T119" s="1397"/>
      <c r="U119" s="1394" t="str">
        <f>IF('PIM Model'!$B$19=0,"",'PIM Model'!$B$19)</f>
        <v/>
      </c>
      <c r="V119" s="1319"/>
      <c r="W119" s="1319"/>
      <c r="X119" s="1319"/>
      <c r="Y119" s="1319"/>
      <c r="Z119" s="1319" t="str">
        <f>'PIM Model'!$AF$19</f>
        <v/>
      </c>
      <c r="AA119" s="1319"/>
      <c r="AB119" s="1319"/>
      <c r="AC119" s="1319"/>
      <c r="AD119" s="1319"/>
      <c r="AE119" s="1319"/>
      <c r="AF119" s="1387" t="str">
        <f>'PIM Model'!$AG$19</f>
        <v/>
      </c>
      <c r="AG119" s="1388"/>
      <c r="AH119" s="1388"/>
      <c r="AI119" s="1388"/>
      <c r="AJ119" s="1388"/>
      <c r="AK119" s="1388"/>
      <c r="AL119" s="1393"/>
      <c r="AM119" s="1387" t="str">
        <f>'PIM Model'!$AH$19</f>
        <v/>
      </c>
      <c r="AN119" s="1388"/>
      <c r="AO119" s="1388"/>
      <c r="AP119" s="1388"/>
      <c r="AQ119" s="1388"/>
      <c r="AR119" s="1388"/>
      <c r="AS119" s="1389"/>
      <c r="BF119" s="144"/>
    </row>
    <row r="120" spans="2:58" x14ac:dyDescent="0.25">
      <c r="B120" s="143"/>
      <c r="D120" s="1395" t="s">
        <v>97</v>
      </c>
      <c r="E120" s="1396"/>
      <c r="F120" s="1396"/>
      <c r="G120" s="1396"/>
      <c r="H120" s="1396"/>
      <c r="I120" s="1396"/>
      <c r="J120" s="1396"/>
      <c r="K120" s="1396"/>
      <c r="L120" s="1396"/>
      <c r="M120" s="1396"/>
      <c r="N120" s="1396"/>
      <c r="O120" s="1396"/>
      <c r="P120" s="1396"/>
      <c r="Q120" s="1396"/>
      <c r="R120" s="1396"/>
      <c r="S120" s="1396"/>
      <c r="T120" s="1397"/>
      <c r="U120" s="1394" t="str">
        <f>IF('PIM Model'!$B$20=0,"",'PIM Model'!$B$20)</f>
        <v/>
      </c>
      <c r="V120" s="1319"/>
      <c r="W120" s="1319"/>
      <c r="X120" s="1319"/>
      <c r="Y120" s="1319"/>
      <c r="Z120" s="1319" t="str">
        <f>'PIM Model'!$AF$20</f>
        <v/>
      </c>
      <c r="AA120" s="1319"/>
      <c r="AB120" s="1319"/>
      <c r="AC120" s="1319"/>
      <c r="AD120" s="1319"/>
      <c r="AE120" s="1319"/>
      <c r="AF120" s="1387" t="str">
        <f>'PIM Model'!$AG$20</f>
        <v/>
      </c>
      <c r="AG120" s="1388"/>
      <c r="AH120" s="1388"/>
      <c r="AI120" s="1388"/>
      <c r="AJ120" s="1388"/>
      <c r="AK120" s="1388"/>
      <c r="AL120" s="1393"/>
      <c r="AM120" s="1387" t="str">
        <f>'PIM Model'!$AH$20</f>
        <v/>
      </c>
      <c r="AN120" s="1388"/>
      <c r="AO120" s="1388"/>
      <c r="AP120" s="1388"/>
      <c r="AQ120" s="1388"/>
      <c r="AR120" s="1388"/>
      <c r="AS120" s="1389"/>
      <c r="BF120" s="144"/>
    </row>
    <row r="121" spans="2:58" x14ac:dyDescent="0.25">
      <c r="B121" s="143"/>
      <c r="D121" s="1395" t="s">
        <v>93</v>
      </c>
      <c r="E121" s="1396"/>
      <c r="F121" s="1396"/>
      <c r="G121" s="1396"/>
      <c r="H121" s="1396"/>
      <c r="I121" s="1396"/>
      <c r="J121" s="1396"/>
      <c r="K121" s="1396"/>
      <c r="L121" s="1396"/>
      <c r="M121" s="1396"/>
      <c r="N121" s="1396"/>
      <c r="O121" s="1396"/>
      <c r="P121" s="1396"/>
      <c r="Q121" s="1396"/>
      <c r="R121" s="1396"/>
      <c r="S121" s="1396"/>
      <c r="T121" s="1397"/>
      <c r="U121" s="1394" t="str">
        <f>IF('PIM Model'!$B$21=0,"",'PIM Model'!$B$21)</f>
        <v/>
      </c>
      <c r="V121" s="1319"/>
      <c r="W121" s="1319"/>
      <c r="X121" s="1319"/>
      <c r="Y121" s="1319"/>
      <c r="Z121" s="1319" t="str">
        <f>'PIM Model'!$AF$21</f>
        <v/>
      </c>
      <c r="AA121" s="1319"/>
      <c r="AB121" s="1319"/>
      <c r="AC121" s="1319"/>
      <c r="AD121" s="1319"/>
      <c r="AE121" s="1319"/>
      <c r="AF121" s="1387" t="str">
        <f>'PIM Model'!$AG$21</f>
        <v/>
      </c>
      <c r="AG121" s="1388"/>
      <c r="AH121" s="1388"/>
      <c r="AI121" s="1388"/>
      <c r="AJ121" s="1388"/>
      <c r="AK121" s="1388"/>
      <c r="AL121" s="1393"/>
      <c r="AM121" s="1387" t="str">
        <f>'PIM Model'!$AH$21</f>
        <v/>
      </c>
      <c r="AN121" s="1388"/>
      <c r="AO121" s="1388"/>
      <c r="AP121" s="1388"/>
      <c r="AQ121" s="1388"/>
      <c r="AR121" s="1388"/>
      <c r="AS121" s="1389"/>
      <c r="BF121" s="144"/>
    </row>
    <row r="122" spans="2:58" x14ac:dyDescent="0.25">
      <c r="B122" s="143"/>
      <c r="D122" s="1395" t="s">
        <v>105</v>
      </c>
      <c r="E122" s="1396"/>
      <c r="F122" s="1396"/>
      <c r="G122" s="1396"/>
      <c r="H122" s="1396"/>
      <c r="I122" s="1396"/>
      <c r="J122" s="1396"/>
      <c r="K122" s="1396"/>
      <c r="L122" s="1396"/>
      <c r="M122" s="1396"/>
      <c r="N122" s="1396"/>
      <c r="O122" s="1396"/>
      <c r="P122" s="1396"/>
      <c r="Q122" s="1396"/>
      <c r="R122" s="1396"/>
      <c r="S122" s="1396"/>
      <c r="T122" s="1397"/>
      <c r="U122" s="1394" t="str">
        <f>IF('PIM Model'!$B$22=0,"",'PIM Model'!$B$22)</f>
        <v/>
      </c>
      <c r="V122" s="1319"/>
      <c r="W122" s="1319"/>
      <c r="X122" s="1319"/>
      <c r="Y122" s="1319"/>
      <c r="Z122" s="1319" t="str">
        <f>'PIM Model'!$AF$22</f>
        <v/>
      </c>
      <c r="AA122" s="1319"/>
      <c r="AB122" s="1319"/>
      <c r="AC122" s="1319"/>
      <c r="AD122" s="1319"/>
      <c r="AE122" s="1319"/>
      <c r="AF122" s="1387" t="str">
        <f>'PIM Model'!$AG$22</f>
        <v/>
      </c>
      <c r="AG122" s="1388"/>
      <c r="AH122" s="1388"/>
      <c r="AI122" s="1388"/>
      <c r="AJ122" s="1388"/>
      <c r="AK122" s="1388"/>
      <c r="AL122" s="1393"/>
      <c r="AM122" s="1387" t="str">
        <f>'PIM Model'!$AH$22</f>
        <v/>
      </c>
      <c r="AN122" s="1388"/>
      <c r="AO122" s="1388"/>
      <c r="AP122" s="1388"/>
      <c r="AQ122" s="1388"/>
      <c r="AR122" s="1388"/>
      <c r="AS122" s="1389"/>
      <c r="BF122" s="144"/>
    </row>
    <row r="123" spans="2:58" x14ac:dyDescent="0.25">
      <c r="B123" s="143"/>
      <c r="D123" s="1395" t="s">
        <v>92</v>
      </c>
      <c r="E123" s="1396"/>
      <c r="F123" s="1396"/>
      <c r="G123" s="1396"/>
      <c r="H123" s="1396"/>
      <c r="I123" s="1396"/>
      <c r="J123" s="1396"/>
      <c r="K123" s="1396"/>
      <c r="L123" s="1396"/>
      <c r="M123" s="1396"/>
      <c r="N123" s="1396"/>
      <c r="O123" s="1396"/>
      <c r="P123" s="1396"/>
      <c r="Q123" s="1396"/>
      <c r="R123" s="1396"/>
      <c r="S123" s="1396"/>
      <c r="T123" s="1397"/>
      <c r="U123" s="1394" t="str">
        <f>IF('PIM Model'!$B$23=0,"",'PIM Model'!$B$23)</f>
        <v/>
      </c>
      <c r="V123" s="1319"/>
      <c r="W123" s="1319"/>
      <c r="X123" s="1319"/>
      <c r="Y123" s="1319"/>
      <c r="Z123" s="1319" t="str">
        <f>'PIM Model'!$AF$23</f>
        <v/>
      </c>
      <c r="AA123" s="1319"/>
      <c r="AB123" s="1319"/>
      <c r="AC123" s="1319"/>
      <c r="AD123" s="1319"/>
      <c r="AE123" s="1319"/>
      <c r="AF123" s="1387" t="str">
        <f>'PIM Model'!$AG$23</f>
        <v/>
      </c>
      <c r="AG123" s="1388"/>
      <c r="AH123" s="1388"/>
      <c r="AI123" s="1388"/>
      <c r="AJ123" s="1388"/>
      <c r="AK123" s="1388"/>
      <c r="AL123" s="1393"/>
      <c r="AM123" s="1387" t="str">
        <f>'PIM Model'!$AH$23</f>
        <v/>
      </c>
      <c r="AN123" s="1388"/>
      <c r="AO123" s="1388"/>
      <c r="AP123" s="1388"/>
      <c r="AQ123" s="1388"/>
      <c r="AR123" s="1388"/>
      <c r="AS123" s="1389"/>
      <c r="BF123" s="144"/>
    </row>
    <row r="124" spans="2:58" x14ac:dyDescent="0.25">
      <c r="B124" s="143"/>
      <c r="D124" s="1395" t="s">
        <v>91</v>
      </c>
      <c r="E124" s="1396"/>
      <c r="F124" s="1396"/>
      <c r="G124" s="1396"/>
      <c r="H124" s="1396"/>
      <c r="I124" s="1396"/>
      <c r="J124" s="1396"/>
      <c r="K124" s="1396"/>
      <c r="L124" s="1396"/>
      <c r="M124" s="1396"/>
      <c r="N124" s="1396"/>
      <c r="O124" s="1396"/>
      <c r="P124" s="1396"/>
      <c r="Q124" s="1396"/>
      <c r="R124" s="1396"/>
      <c r="S124" s="1396"/>
      <c r="T124" s="1397"/>
      <c r="U124" s="1394" t="str">
        <f>IF('PIM Model'!$B$24=0,"",'PIM Model'!$B$24)</f>
        <v/>
      </c>
      <c r="V124" s="1319"/>
      <c r="W124" s="1319"/>
      <c r="X124" s="1319"/>
      <c r="Y124" s="1319"/>
      <c r="Z124" s="1319" t="str">
        <f>'PIM Model'!$AF$24</f>
        <v/>
      </c>
      <c r="AA124" s="1319"/>
      <c r="AB124" s="1319"/>
      <c r="AC124" s="1319"/>
      <c r="AD124" s="1319"/>
      <c r="AE124" s="1319"/>
      <c r="AF124" s="1387" t="str">
        <f>'PIM Model'!$AG$24</f>
        <v/>
      </c>
      <c r="AG124" s="1388"/>
      <c r="AH124" s="1388"/>
      <c r="AI124" s="1388"/>
      <c r="AJ124" s="1388"/>
      <c r="AK124" s="1388"/>
      <c r="AL124" s="1393"/>
      <c r="AM124" s="1387" t="str">
        <f>'PIM Model'!$AH$24</f>
        <v/>
      </c>
      <c r="AN124" s="1388"/>
      <c r="AO124" s="1388"/>
      <c r="AP124" s="1388"/>
      <c r="AQ124" s="1388"/>
      <c r="AR124" s="1388"/>
      <c r="AS124" s="1389"/>
      <c r="BF124" s="144"/>
    </row>
    <row r="125" spans="2:58" x14ac:dyDescent="0.25">
      <c r="B125" s="143"/>
      <c r="D125" s="1395" t="s">
        <v>90</v>
      </c>
      <c r="E125" s="1396"/>
      <c r="F125" s="1396"/>
      <c r="G125" s="1396"/>
      <c r="H125" s="1396"/>
      <c r="I125" s="1396"/>
      <c r="J125" s="1396"/>
      <c r="K125" s="1396"/>
      <c r="L125" s="1396"/>
      <c r="M125" s="1396"/>
      <c r="N125" s="1396"/>
      <c r="O125" s="1396"/>
      <c r="P125" s="1396"/>
      <c r="Q125" s="1396"/>
      <c r="R125" s="1396"/>
      <c r="S125" s="1396"/>
      <c r="T125" s="1397"/>
      <c r="U125" s="1394" t="str">
        <f>IF('PIM Model'!$B$25=0,"",'PIM Model'!$B$25)</f>
        <v/>
      </c>
      <c r="V125" s="1319"/>
      <c r="W125" s="1319"/>
      <c r="X125" s="1319"/>
      <c r="Y125" s="1319"/>
      <c r="Z125" s="1319" t="str">
        <f>'PIM Model'!$AF$25</f>
        <v/>
      </c>
      <c r="AA125" s="1319"/>
      <c r="AB125" s="1319"/>
      <c r="AC125" s="1319"/>
      <c r="AD125" s="1319"/>
      <c r="AE125" s="1319"/>
      <c r="AF125" s="1387" t="str">
        <f>'PIM Model'!$AG$25</f>
        <v/>
      </c>
      <c r="AG125" s="1388"/>
      <c r="AH125" s="1388"/>
      <c r="AI125" s="1388"/>
      <c r="AJ125" s="1388"/>
      <c r="AK125" s="1388"/>
      <c r="AL125" s="1393"/>
      <c r="AM125" s="1387" t="str">
        <f>'PIM Model'!$AH$25</f>
        <v/>
      </c>
      <c r="AN125" s="1388"/>
      <c r="AO125" s="1388"/>
      <c r="AP125" s="1388"/>
      <c r="AQ125" s="1388"/>
      <c r="AR125" s="1388"/>
      <c r="AS125" s="1389"/>
      <c r="BF125" s="144"/>
    </row>
    <row r="126" spans="2:58" x14ac:dyDescent="0.25">
      <c r="B126" s="143"/>
      <c r="D126" s="1395" t="s">
        <v>89</v>
      </c>
      <c r="E126" s="1396"/>
      <c r="F126" s="1396"/>
      <c r="G126" s="1396"/>
      <c r="H126" s="1396"/>
      <c r="I126" s="1396"/>
      <c r="J126" s="1396"/>
      <c r="K126" s="1396"/>
      <c r="L126" s="1396"/>
      <c r="M126" s="1396"/>
      <c r="N126" s="1396"/>
      <c r="O126" s="1396"/>
      <c r="P126" s="1396"/>
      <c r="Q126" s="1396"/>
      <c r="R126" s="1396"/>
      <c r="S126" s="1396"/>
      <c r="T126" s="1397"/>
      <c r="U126" s="1394" t="str">
        <f>IF('PIM Model'!$B$26=0,"",'PIM Model'!$B$26)</f>
        <v/>
      </c>
      <c r="V126" s="1319"/>
      <c r="W126" s="1319"/>
      <c r="X126" s="1319"/>
      <c r="Y126" s="1319"/>
      <c r="Z126" s="1319" t="str">
        <f>'PIM Model'!$AF$26</f>
        <v/>
      </c>
      <c r="AA126" s="1319"/>
      <c r="AB126" s="1319"/>
      <c r="AC126" s="1319"/>
      <c r="AD126" s="1319"/>
      <c r="AE126" s="1319"/>
      <c r="AF126" s="1387" t="str">
        <f>'PIM Model'!$AG$26</f>
        <v/>
      </c>
      <c r="AG126" s="1388"/>
      <c r="AH126" s="1388"/>
      <c r="AI126" s="1388"/>
      <c r="AJ126" s="1388"/>
      <c r="AK126" s="1388"/>
      <c r="AL126" s="1393"/>
      <c r="AM126" s="1387" t="str">
        <f>'PIM Model'!$AH$26</f>
        <v/>
      </c>
      <c r="AN126" s="1388"/>
      <c r="AO126" s="1388"/>
      <c r="AP126" s="1388"/>
      <c r="AQ126" s="1388"/>
      <c r="AR126" s="1388"/>
      <c r="AS126" s="1389"/>
      <c r="BF126" s="144"/>
    </row>
    <row r="127" spans="2:58" x14ac:dyDescent="0.25">
      <c r="B127" s="143"/>
      <c r="D127" s="1395" t="s">
        <v>94</v>
      </c>
      <c r="E127" s="1396"/>
      <c r="F127" s="1396"/>
      <c r="G127" s="1396"/>
      <c r="H127" s="1396"/>
      <c r="I127" s="1396"/>
      <c r="J127" s="1396"/>
      <c r="K127" s="1396"/>
      <c r="L127" s="1396"/>
      <c r="M127" s="1396"/>
      <c r="N127" s="1396"/>
      <c r="O127" s="1396"/>
      <c r="P127" s="1396"/>
      <c r="Q127" s="1396"/>
      <c r="R127" s="1396"/>
      <c r="S127" s="1396"/>
      <c r="T127" s="1397"/>
      <c r="U127" s="1394" t="str">
        <f>IF('PIM Model'!$B$27=0,"",'PIM Model'!$B$27)</f>
        <v/>
      </c>
      <c r="V127" s="1319"/>
      <c r="W127" s="1319"/>
      <c r="X127" s="1319"/>
      <c r="Y127" s="1319"/>
      <c r="Z127" s="1319" t="str">
        <f>'PIM Model'!$AF$27</f>
        <v/>
      </c>
      <c r="AA127" s="1319"/>
      <c r="AB127" s="1319"/>
      <c r="AC127" s="1319"/>
      <c r="AD127" s="1319"/>
      <c r="AE127" s="1319"/>
      <c r="AF127" s="1387" t="str">
        <f>'PIM Model'!$AG$27</f>
        <v/>
      </c>
      <c r="AG127" s="1388"/>
      <c r="AH127" s="1388"/>
      <c r="AI127" s="1388"/>
      <c r="AJ127" s="1388"/>
      <c r="AK127" s="1388"/>
      <c r="AL127" s="1393"/>
      <c r="AM127" s="1387" t="str">
        <f>'PIM Model'!$AH$27</f>
        <v/>
      </c>
      <c r="AN127" s="1388"/>
      <c r="AO127" s="1388"/>
      <c r="AP127" s="1388"/>
      <c r="AQ127" s="1388"/>
      <c r="AR127" s="1388"/>
      <c r="AS127" s="1389"/>
      <c r="BF127" s="144"/>
    </row>
    <row r="128" spans="2:58" x14ac:dyDescent="0.25">
      <c r="B128" s="143"/>
      <c r="D128" s="1395" t="s">
        <v>86</v>
      </c>
      <c r="E128" s="1396"/>
      <c r="F128" s="1396"/>
      <c r="G128" s="1396"/>
      <c r="H128" s="1396"/>
      <c r="I128" s="1396"/>
      <c r="J128" s="1396"/>
      <c r="K128" s="1396"/>
      <c r="L128" s="1396"/>
      <c r="M128" s="1396"/>
      <c r="N128" s="1396"/>
      <c r="O128" s="1396"/>
      <c r="P128" s="1396"/>
      <c r="Q128" s="1396"/>
      <c r="R128" s="1396"/>
      <c r="S128" s="1396"/>
      <c r="T128" s="1397"/>
      <c r="U128" s="1394" t="str">
        <f>IF('PIM Model'!$B$28=0,"",'PIM Model'!$B$28)</f>
        <v/>
      </c>
      <c r="V128" s="1319"/>
      <c r="W128" s="1319"/>
      <c r="X128" s="1319"/>
      <c r="Y128" s="1319"/>
      <c r="Z128" s="1319" t="str">
        <f>'PIM Model'!$AF$28</f>
        <v/>
      </c>
      <c r="AA128" s="1319"/>
      <c r="AB128" s="1319"/>
      <c r="AC128" s="1319"/>
      <c r="AD128" s="1319"/>
      <c r="AE128" s="1319"/>
      <c r="AF128" s="1387" t="str">
        <f>'PIM Model'!$AG$28</f>
        <v/>
      </c>
      <c r="AG128" s="1388"/>
      <c r="AH128" s="1388"/>
      <c r="AI128" s="1388"/>
      <c r="AJ128" s="1388"/>
      <c r="AK128" s="1388"/>
      <c r="AL128" s="1393"/>
      <c r="AM128" s="1387" t="str">
        <f>'PIM Model'!$AH$28</f>
        <v/>
      </c>
      <c r="AN128" s="1388"/>
      <c r="AO128" s="1388"/>
      <c r="AP128" s="1388"/>
      <c r="AQ128" s="1388"/>
      <c r="AR128" s="1388"/>
      <c r="AS128" s="1389"/>
      <c r="BF128" s="144"/>
    </row>
    <row r="129" spans="2:58" x14ac:dyDescent="0.25">
      <c r="B129" s="143"/>
      <c r="D129" s="1395" t="s">
        <v>88</v>
      </c>
      <c r="E129" s="1396"/>
      <c r="F129" s="1396"/>
      <c r="G129" s="1396"/>
      <c r="H129" s="1396"/>
      <c r="I129" s="1396"/>
      <c r="J129" s="1396"/>
      <c r="K129" s="1396"/>
      <c r="L129" s="1396"/>
      <c r="M129" s="1396"/>
      <c r="N129" s="1396"/>
      <c r="O129" s="1396"/>
      <c r="P129" s="1396"/>
      <c r="Q129" s="1396"/>
      <c r="R129" s="1396"/>
      <c r="S129" s="1396"/>
      <c r="T129" s="1397"/>
      <c r="U129" s="1394" t="str">
        <f>IF('PIM Model'!$B$29=0,"",'PIM Model'!$B$29)</f>
        <v/>
      </c>
      <c r="V129" s="1319"/>
      <c r="W129" s="1319"/>
      <c r="X129" s="1319"/>
      <c r="Y129" s="1319"/>
      <c r="Z129" s="1319" t="str">
        <f>'PIM Model'!$AF$29</f>
        <v/>
      </c>
      <c r="AA129" s="1319"/>
      <c r="AB129" s="1319"/>
      <c r="AC129" s="1319"/>
      <c r="AD129" s="1319"/>
      <c r="AE129" s="1319"/>
      <c r="AF129" s="1387" t="str">
        <f>'PIM Model'!$AG$29</f>
        <v/>
      </c>
      <c r="AG129" s="1388"/>
      <c r="AH129" s="1388"/>
      <c r="AI129" s="1388"/>
      <c r="AJ129" s="1388"/>
      <c r="AK129" s="1388"/>
      <c r="AL129" s="1393"/>
      <c r="AM129" s="1387" t="str">
        <f>'PIM Model'!$AH$29</f>
        <v/>
      </c>
      <c r="AN129" s="1388"/>
      <c r="AO129" s="1388"/>
      <c r="AP129" s="1388"/>
      <c r="AQ129" s="1388"/>
      <c r="AR129" s="1388"/>
      <c r="AS129" s="1389"/>
      <c r="BF129" s="144"/>
    </row>
    <row r="130" spans="2:58" ht="15.75" thickBot="1" x14ac:dyDescent="0.3">
      <c r="B130" s="143"/>
      <c r="D130" s="1401" t="s">
        <v>87</v>
      </c>
      <c r="E130" s="1402"/>
      <c r="F130" s="1402"/>
      <c r="G130" s="1402"/>
      <c r="H130" s="1402"/>
      <c r="I130" s="1402"/>
      <c r="J130" s="1402"/>
      <c r="K130" s="1402"/>
      <c r="L130" s="1402"/>
      <c r="M130" s="1402"/>
      <c r="N130" s="1402"/>
      <c r="O130" s="1402"/>
      <c r="P130" s="1402"/>
      <c r="Q130" s="1402"/>
      <c r="R130" s="1402"/>
      <c r="S130" s="1402"/>
      <c r="T130" s="1403"/>
      <c r="U130" s="1398" t="str">
        <f>IF('PIM Model'!$B$30=0,"",'PIM Model'!$B$30)</f>
        <v/>
      </c>
      <c r="V130" s="1391"/>
      <c r="W130" s="1391"/>
      <c r="X130" s="1391"/>
      <c r="Y130" s="1391"/>
      <c r="Z130" s="1391" t="str">
        <f>'PIM Model'!$AF$30</f>
        <v/>
      </c>
      <c r="AA130" s="1391"/>
      <c r="AB130" s="1391"/>
      <c r="AC130" s="1391"/>
      <c r="AD130" s="1391"/>
      <c r="AE130" s="1391"/>
      <c r="AF130" s="1379" t="str">
        <f>'PIM Model'!$AG$30</f>
        <v/>
      </c>
      <c r="AG130" s="1380"/>
      <c r="AH130" s="1380"/>
      <c r="AI130" s="1380"/>
      <c r="AJ130" s="1380"/>
      <c r="AK130" s="1380"/>
      <c r="AL130" s="1381"/>
      <c r="AM130" s="1379" t="str">
        <f>'PIM Model'!$AH$30</f>
        <v/>
      </c>
      <c r="AN130" s="1380"/>
      <c r="AO130" s="1380"/>
      <c r="AP130" s="1380"/>
      <c r="AQ130" s="1380"/>
      <c r="AR130" s="1380"/>
      <c r="AS130" s="1390"/>
      <c r="BF130" s="144"/>
    </row>
    <row r="131" spans="2:58" ht="16.5" thickTop="1" thickBot="1" x14ac:dyDescent="0.3">
      <c r="B131" s="143"/>
      <c r="D131" s="1370" t="s">
        <v>1045</v>
      </c>
      <c r="E131" s="1371"/>
      <c r="F131" s="1371"/>
      <c r="G131" s="1371"/>
      <c r="H131" s="1371"/>
      <c r="I131" s="1371"/>
      <c r="J131" s="1371"/>
      <c r="K131" s="1371"/>
      <c r="L131" s="1371"/>
      <c r="M131" s="1371"/>
      <c r="N131" s="1371"/>
      <c r="O131" s="1371"/>
      <c r="P131" s="1371"/>
      <c r="Q131" s="1371"/>
      <c r="R131" s="1371"/>
      <c r="S131" s="1371"/>
      <c r="T131" s="1372"/>
      <c r="U131" s="1373">
        <f>COUNT($U$110:$Y$130)</f>
        <v>0</v>
      </c>
      <c r="V131" s="1374"/>
      <c r="W131" s="1374"/>
      <c r="X131" s="1374"/>
      <c r="Y131" s="1374"/>
      <c r="Z131" s="1371">
        <f>COUNTIF($Z$110:$AE$130,"ABOVE")+COUNTIF($Z$110:$AE$130,"BELOW")</f>
        <v>0</v>
      </c>
      <c r="AA131" s="1371"/>
      <c r="AB131" s="1371"/>
      <c r="AC131" s="1371"/>
      <c r="AD131" s="1371"/>
      <c r="AE131" s="1371"/>
      <c r="AF131" s="1375"/>
      <c r="AG131" s="1376"/>
      <c r="AH131" s="1376"/>
      <c r="AI131" s="1376"/>
      <c r="AJ131" s="1376"/>
      <c r="AK131" s="1376"/>
      <c r="AL131" s="1377"/>
      <c r="AM131" s="1375"/>
      <c r="AN131" s="1376"/>
      <c r="AO131" s="1376"/>
      <c r="AP131" s="1376"/>
      <c r="AQ131" s="1376"/>
      <c r="AR131" s="1376"/>
      <c r="AS131" s="1378"/>
      <c r="BF131" s="144"/>
    </row>
    <row r="132" spans="2:58" ht="15.75" thickBot="1" x14ac:dyDescent="0.3">
      <c r="B132" s="290"/>
      <c r="C132" s="291"/>
      <c r="D132" s="291"/>
      <c r="E132" s="291"/>
      <c r="F132" s="291"/>
      <c r="G132" s="291"/>
      <c r="H132" s="291"/>
      <c r="I132" s="291"/>
      <c r="J132" s="291"/>
      <c r="K132" s="291"/>
      <c r="L132" s="291"/>
      <c r="M132" s="291"/>
      <c r="N132" s="291"/>
      <c r="O132" s="291"/>
      <c r="P132" s="291"/>
      <c r="Q132" s="291"/>
      <c r="R132" s="291"/>
      <c r="S132" s="291"/>
      <c r="T132" s="291"/>
      <c r="U132" s="291"/>
      <c r="V132" s="291"/>
      <c r="W132" s="291"/>
      <c r="X132" s="291"/>
      <c r="Y132" s="291"/>
      <c r="Z132" s="291"/>
      <c r="AA132" s="291"/>
      <c r="AB132" s="291"/>
      <c r="AC132" s="291"/>
      <c r="AD132" s="291"/>
      <c r="AE132" s="291"/>
      <c r="AF132" s="291"/>
      <c r="AG132" s="291"/>
      <c r="AH132" s="291"/>
      <c r="AI132" s="291"/>
      <c r="AJ132" s="291"/>
      <c r="AK132" s="291"/>
      <c r="AL132" s="291"/>
      <c r="AM132" s="291"/>
      <c r="AN132" s="291"/>
      <c r="AO132" s="291"/>
      <c r="AP132" s="291"/>
      <c r="AQ132" s="291"/>
      <c r="AR132" s="291"/>
      <c r="AS132" s="291"/>
      <c r="AT132" s="291"/>
      <c r="AU132" s="291"/>
      <c r="AV132" s="291"/>
      <c r="AW132" s="291"/>
      <c r="AX132" s="291"/>
      <c r="AY132" s="291"/>
      <c r="AZ132" s="291"/>
      <c r="BA132" s="291"/>
      <c r="BB132" s="291"/>
      <c r="BC132" s="291"/>
      <c r="BD132" s="291"/>
      <c r="BE132" s="291"/>
      <c r="BF132" s="292"/>
    </row>
  </sheetData>
  <sheetProtection algorithmName="SHA-512" hashValue="BlqaCURj9F6okEBaRKVWx2sw6U1J75l5dAsSg9Q/xUm95BiD0Z+dvL7TrzeehNHNQAwujIjpK+cssE3Z6JvnZw==" saltValue="/LrcUFUgdVj1MDQPp0xbBg==" spinCount="100000"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701</v>
      </c>
      <c r="B1" s="64" t="s">
        <v>700</v>
      </c>
      <c r="C1" s="64" t="s">
        <v>746</v>
      </c>
      <c r="D1" s="64" t="s">
        <v>699</v>
      </c>
      <c r="E1" s="64" t="s">
        <v>698</v>
      </c>
      <c r="F1" s="66" t="s">
        <v>697</v>
      </c>
      <c r="G1" s="66" t="s">
        <v>696</v>
      </c>
      <c r="H1" s="64" t="s">
        <v>695</v>
      </c>
      <c r="I1" s="64" t="s">
        <v>694</v>
      </c>
      <c r="J1" s="64" t="s">
        <v>693</v>
      </c>
      <c r="K1" s="65" t="s">
        <v>692</v>
      </c>
      <c r="L1" s="64" t="s">
        <v>691</v>
      </c>
      <c r="M1" s="64" t="s">
        <v>690</v>
      </c>
      <c r="N1" s="64" t="s">
        <v>689</v>
      </c>
      <c r="O1" s="64" t="s">
        <v>688</v>
      </c>
      <c r="P1" s="64" t="s">
        <v>687</v>
      </c>
    </row>
    <row r="2" spans="1:16" x14ac:dyDescent="0.25">
      <c r="A2" s="63">
        <v>15</v>
      </c>
      <c r="B2" s="63">
        <v>0</v>
      </c>
      <c r="C2" s="63">
        <v>0</v>
      </c>
      <c r="D2" s="63" t="s">
        <v>684</v>
      </c>
      <c r="E2" s="63" t="s">
        <v>683</v>
      </c>
      <c r="F2" s="76" t="str">
        <f>'PIM Model'!$AD$11</f>
        <v/>
      </c>
      <c r="G2" s="69" t="str">
        <f>F2</f>
        <v/>
      </c>
      <c r="H2" s="76" t="str">
        <f>IF('PIM Model'!$D$11="$/LB","#","%")</f>
        <v>%</v>
      </c>
      <c r="I2" s="72" t="s">
        <v>686</v>
      </c>
      <c r="J2">
        <f>'MDA Worksheet'!$AU$48</f>
        <v>2.25</v>
      </c>
      <c r="K2" s="1080">
        <f>'MDA Worksheet'!$AU$46*100</f>
        <v>30</v>
      </c>
      <c r="L2" s="63" t="s">
        <v>490</v>
      </c>
    </row>
    <row r="3" spans="1:16" x14ac:dyDescent="0.25">
      <c r="A3" s="63">
        <v>15</v>
      </c>
      <c r="B3" s="63">
        <v>131</v>
      </c>
      <c r="C3" s="63">
        <v>0</v>
      </c>
      <c r="D3" s="63" t="s">
        <v>684</v>
      </c>
      <c r="E3" s="63" t="s">
        <v>683</v>
      </c>
      <c r="F3" s="76" t="str">
        <f>'PIM Model'!$AD$12</f>
        <v/>
      </c>
      <c r="G3" s="69" t="str">
        <f t="shared" ref="G3:G68" si="0">F3</f>
        <v/>
      </c>
      <c r="H3" s="76" t="str">
        <f>IF('PIM Model'!$D$12="$/LB","#","%")</f>
        <v>%</v>
      </c>
      <c r="I3" s="72" t="s">
        <v>686</v>
      </c>
      <c r="J3" s="1044">
        <f>'MDA Worksheet'!$AU$48</f>
        <v>2.25</v>
      </c>
      <c r="K3" s="1080">
        <f>'MDA Worksheet'!$AU$46*100</f>
        <v>30</v>
      </c>
      <c r="L3" s="63" t="s">
        <v>490</v>
      </c>
    </row>
    <row r="4" spans="1:16" x14ac:dyDescent="0.25">
      <c r="A4" s="63">
        <v>15</v>
      </c>
      <c r="B4" s="63">
        <v>254</v>
      </c>
      <c r="C4" s="63">
        <v>0</v>
      </c>
      <c r="D4" s="63" t="s">
        <v>684</v>
      </c>
      <c r="E4" s="63" t="s">
        <v>683</v>
      </c>
      <c r="F4" s="76" t="str">
        <f>'PIM Model'!$AD$12</f>
        <v/>
      </c>
      <c r="G4" s="69" t="str">
        <f t="shared" si="0"/>
        <v/>
      </c>
      <c r="H4" s="76" t="str">
        <f>IF('PIM Model'!$D$12="$/LB","#","%")</f>
        <v>%</v>
      </c>
      <c r="I4" s="72" t="s">
        <v>686</v>
      </c>
      <c r="J4" s="1044">
        <f>'MDA Worksheet'!$AU$48</f>
        <v>2.25</v>
      </c>
      <c r="K4" s="1080">
        <f>'MDA Worksheet'!$AU$46*100</f>
        <v>30</v>
      </c>
      <c r="L4" s="63" t="s">
        <v>490</v>
      </c>
    </row>
    <row r="5" spans="1:16" x14ac:dyDescent="0.25">
      <c r="A5" s="63">
        <v>15</v>
      </c>
      <c r="B5" s="63">
        <v>373</v>
      </c>
      <c r="C5" s="63">
        <v>0</v>
      </c>
      <c r="D5" s="63" t="s">
        <v>684</v>
      </c>
      <c r="E5" s="63" t="s">
        <v>683</v>
      </c>
      <c r="F5" s="76" t="str">
        <f>'PIM Model'!$AD$12</f>
        <v/>
      </c>
      <c r="G5" s="69" t="str">
        <f t="shared" si="0"/>
        <v/>
      </c>
      <c r="H5" s="76" t="str">
        <f>IF('PIM Model'!$D$12="$/LB","#","%")</f>
        <v>%</v>
      </c>
      <c r="I5" s="72" t="s">
        <v>686</v>
      </c>
      <c r="J5" s="1044">
        <f>'MDA Worksheet'!$AU$48</f>
        <v>2.25</v>
      </c>
      <c r="K5" s="1080">
        <f>'MDA Worksheet'!$AU$46*100</f>
        <v>30</v>
      </c>
      <c r="L5" s="63" t="s">
        <v>490</v>
      </c>
    </row>
    <row r="6" spans="1:16" x14ac:dyDescent="0.25">
      <c r="A6" s="63">
        <v>15</v>
      </c>
      <c r="B6" s="63">
        <v>132</v>
      </c>
      <c r="C6" s="63">
        <v>0</v>
      </c>
      <c r="D6" s="63" t="s">
        <v>684</v>
      </c>
      <c r="E6" s="63" t="s">
        <v>683</v>
      </c>
      <c r="F6" s="76" t="str">
        <f>'PIM Model'!$AD$12</f>
        <v/>
      </c>
      <c r="G6" s="69" t="str">
        <f t="shared" si="0"/>
        <v/>
      </c>
      <c r="H6" s="76" t="str">
        <f>IF('PIM Model'!$D$12="$/LB","#","%")</f>
        <v>%</v>
      </c>
      <c r="I6" s="72" t="s">
        <v>686</v>
      </c>
      <c r="J6" s="1044">
        <f>'MDA Worksheet'!$AU$48</f>
        <v>2.25</v>
      </c>
      <c r="K6" s="1080">
        <f>'MDA Worksheet'!$AU$46*100</f>
        <v>30</v>
      </c>
      <c r="L6" s="63" t="s">
        <v>490</v>
      </c>
    </row>
    <row r="7" spans="1:16" x14ac:dyDescent="0.25">
      <c r="A7" s="63">
        <v>15</v>
      </c>
      <c r="B7" s="63">
        <v>368</v>
      </c>
      <c r="C7" s="63">
        <v>0</v>
      </c>
      <c r="D7" s="63" t="s">
        <v>684</v>
      </c>
      <c r="E7" s="63" t="s">
        <v>683</v>
      </c>
      <c r="F7" s="76" t="str">
        <f>'PIM Model'!$AD$12</f>
        <v/>
      </c>
      <c r="G7" s="69" t="str">
        <f t="shared" si="0"/>
        <v/>
      </c>
      <c r="H7" s="76" t="str">
        <f>IF('PIM Model'!$D$12="$/LB","#","%")</f>
        <v>%</v>
      </c>
      <c r="I7" s="72" t="s">
        <v>686</v>
      </c>
      <c r="J7" s="1044">
        <f>'MDA Worksheet'!$AU$48</f>
        <v>2.25</v>
      </c>
      <c r="K7" s="1080">
        <f>'MDA Worksheet'!$AU$46*100</f>
        <v>30</v>
      </c>
      <c r="L7" s="63" t="s">
        <v>490</v>
      </c>
    </row>
    <row r="8" spans="1:16" x14ac:dyDescent="0.25">
      <c r="A8" s="63">
        <v>15</v>
      </c>
      <c r="B8" s="63">
        <v>369</v>
      </c>
      <c r="C8" s="63">
        <v>0</v>
      </c>
      <c r="D8" s="63" t="s">
        <v>684</v>
      </c>
      <c r="E8" s="63" t="s">
        <v>683</v>
      </c>
      <c r="F8" s="76" t="str">
        <f>'PIM Model'!$AD$12</f>
        <v/>
      </c>
      <c r="G8" s="69" t="str">
        <f t="shared" si="0"/>
        <v/>
      </c>
      <c r="H8" s="76" t="str">
        <f>IF('PIM Model'!$D$12="$/LB","#","%")</f>
        <v>%</v>
      </c>
      <c r="I8" s="72" t="s">
        <v>686</v>
      </c>
      <c r="J8" s="1044">
        <f>'MDA Worksheet'!$AU$48</f>
        <v>2.25</v>
      </c>
      <c r="K8" s="1080">
        <f>'MDA Worksheet'!$AU$46*100</f>
        <v>30</v>
      </c>
      <c r="L8" s="63" t="s">
        <v>490</v>
      </c>
    </row>
    <row r="9" spans="1:16" x14ac:dyDescent="0.25">
      <c r="A9" s="63">
        <v>15</v>
      </c>
      <c r="B9" s="63">
        <v>384</v>
      </c>
      <c r="C9" s="63">
        <v>0</v>
      </c>
      <c r="D9" s="63" t="s">
        <v>684</v>
      </c>
      <c r="E9" s="63" t="s">
        <v>683</v>
      </c>
      <c r="F9" s="76" t="str">
        <f>'PIM Model'!$AD$12</f>
        <v/>
      </c>
      <c r="G9" s="69" t="str">
        <f t="shared" si="0"/>
        <v/>
      </c>
      <c r="H9" s="76" t="str">
        <f>IF('PIM Model'!$D$12="$/LB","#","%")</f>
        <v>%</v>
      </c>
      <c r="I9" s="72" t="s">
        <v>686</v>
      </c>
      <c r="J9" s="1044">
        <f>'MDA Worksheet'!$AU$48</f>
        <v>2.25</v>
      </c>
      <c r="K9" s="1080">
        <f>'MDA Worksheet'!$AU$46*100</f>
        <v>30</v>
      </c>
      <c r="L9" s="63" t="s">
        <v>490</v>
      </c>
    </row>
    <row r="10" spans="1:16" x14ac:dyDescent="0.25">
      <c r="A10" s="63">
        <v>15</v>
      </c>
      <c r="B10" s="63">
        <v>381</v>
      </c>
      <c r="C10" s="63">
        <v>0</v>
      </c>
      <c r="D10" s="63" t="s">
        <v>684</v>
      </c>
      <c r="E10" s="63" t="s">
        <v>683</v>
      </c>
      <c r="F10" s="76" t="str">
        <f>'PIM Model'!$AD$12</f>
        <v/>
      </c>
      <c r="G10" s="69" t="str">
        <f t="shared" si="0"/>
        <v/>
      </c>
      <c r="H10" s="76" t="str">
        <f>IF('PIM Model'!$D$12="$/LB","#","%")</f>
        <v>%</v>
      </c>
      <c r="I10" s="72" t="s">
        <v>686</v>
      </c>
      <c r="J10" s="1044">
        <f>'MDA Worksheet'!$AU$48</f>
        <v>2.25</v>
      </c>
      <c r="K10" s="1080">
        <f>'MDA Worksheet'!$AU$46*100</f>
        <v>30</v>
      </c>
      <c r="L10" s="63" t="s">
        <v>490</v>
      </c>
    </row>
    <row r="11" spans="1:16" x14ac:dyDescent="0.25">
      <c r="A11" s="63">
        <v>15</v>
      </c>
      <c r="B11" s="63">
        <v>377</v>
      </c>
      <c r="C11" s="63">
        <v>0</v>
      </c>
      <c r="D11" s="63" t="s">
        <v>684</v>
      </c>
      <c r="E11" s="63" t="s">
        <v>683</v>
      </c>
      <c r="F11" s="76" t="str">
        <f>'PIM Model'!$AD$12</f>
        <v/>
      </c>
      <c r="G11" s="69" t="str">
        <f t="shared" si="0"/>
        <v/>
      </c>
      <c r="H11" s="76" t="str">
        <f>IF('PIM Model'!$D$12="$/LB","#","%")</f>
        <v>%</v>
      </c>
      <c r="I11" s="72" t="s">
        <v>686</v>
      </c>
      <c r="J11" s="1044">
        <f>'MDA Worksheet'!$AU$48</f>
        <v>2.25</v>
      </c>
      <c r="K11" s="1080">
        <f>'MDA Worksheet'!$AU$46*100</f>
        <v>30</v>
      </c>
      <c r="L11" s="63" t="s">
        <v>490</v>
      </c>
    </row>
    <row r="12" spans="1:16" x14ac:dyDescent="0.25">
      <c r="A12" s="63">
        <v>15</v>
      </c>
      <c r="B12" s="63">
        <v>388</v>
      </c>
      <c r="C12" s="63">
        <v>0</v>
      </c>
      <c r="D12" s="63" t="s">
        <v>684</v>
      </c>
      <c r="E12" s="63" t="s">
        <v>683</v>
      </c>
      <c r="F12" s="76" t="str">
        <f>'PIM Model'!$AD$12</f>
        <v/>
      </c>
      <c r="G12" s="69" t="str">
        <f t="shared" si="0"/>
        <v/>
      </c>
      <c r="H12" s="76" t="str">
        <f>IF('PIM Model'!$D$12="$/LB","#","%")</f>
        <v>%</v>
      </c>
      <c r="I12" s="72" t="s">
        <v>686</v>
      </c>
      <c r="J12" s="1044">
        <f>'MDA Worksheet'!$AU$48</f>
        <v>2.25</v>
      </c>
      <c r="K12" s="1080">
        <f>'MDA Worksheet'!$AU$46*100</f>
        <v>30</v>
      </c>
      <c r="L12" s="63" t="s">
        <v>490</v>
      </c>
    </row>
    <row r="13" spans="1:16" x14ac:dyDescent="0.25">
      <c r="A13" s="63">
        <v>16</v>
      </c>
      <c r="B13" s="63">
        <v>0</v>
      </c>
      <c r="C13" s="63">
        <v>0</v>
      </c>
      <c r="D13" s="63" t="s">
        <v>682</v>
      </c>
      <c r="E13" s="63" t="str">
        <f>IF('PRIME Headers'!$C$20="No","PWW","P07")</f>
        <v>P07</v>
      </c>
      <c r="F13" s="70" t="str">
        <f>'PIM Model'!$AD$13</f>
        <v/>
      </c>
      <c r="G13" s="69" t="str">
        <f t="shared" si="0"/>
        <v/>
      </c>
      <c r="H13" s="76" t="str">
        <f>'PIM Model'!$D$13</f>
        <v>%</v>
      </c>
      <c r="I13" s="72" t="s">
        <v>686</v>
      </c>
      <c r="J13" s="1044">
        <f>'MDA Worksheet'!$AU$48</f>
        <v>2.25</v>
      </c>
      <c r="K13" s="1080">
        <f>'MDA Worksheet'!$AU$46*100</f>
        <v>30</v>
      </c>
      <c r="L13" s="63" t="s">
        <v>490</v>
      </c>
    </row>
    <row r="14" spans="1:16" x14ac:dyDescent="0.25">
      <c r="A14" s="63">
        <v>16</v>
      </c>
      <c r="B14" s="63">
        <v>135</v>
      </c>
      <c r="C14" s="63">
        <v>0</v>
      </c>
      <c r="D14" s="63" t="s">
        <v>684</v>
      </c>
      <c r="E14" s="63" t="s">
        <v>683</v>
      </c>
      <c r="F14" s="70" t="str">
        <f>'PIM Model'!$AD$13</f>
        <v/>
      </c>
      <c r="G14" s="69" t="str">
        <f t="shared" si="0"/>
        <v/>
      </c>
      <c r="H14" s="76" t="str">
        <f>'PIM Model'!$D$13</f>
        <v>%</v>
      </c>
      <c r="I14" s="72" t="s">
        <v>686</v>
      </c>
      <c r="J14" s="1044">
        <f>'MDA Worksheet'!$AU$48</f>
        <v>2.25</v>
      </c>
      <c r="K14" s="1080">
        <f>'MDA Worksheet'!$AU$46*100</f>
        <v>30</v>
      </c>
      <c r="L14" s="63" t="s">
        <v>490</v>
      </c>
    </row>
    <row r="15" spans="1:16" x14ac:dyDescent="0.25">
      <c r="A15" s="63">
        <v>16</v>
      </c>
      <c r="B15" s="63">
        <v>136</v>
      </c>
      <c r="C15" s="63">
        <v>7626</v>
      </c>
      <c r="D15" s="63" t="s">
        <v>684</v>
      </c>
      <c r="E15" s="63" t="s">
        <v>683</v>
      </c>
      <c r="F15" s="70" t="str">
        <f>'PIM Model'!$AD$13</f>
        <v/>
      </c>
      <c r="G15" s="69" t="str">
        <f t="shared" si="0"/>
        <v/>
      </c>
      <c r="H15" s="76" t="str">
        <f>'PIM Model'!$D$13</f>
        <v>%</v>
      </c>
      <c r="I15" s="72" t="s">
        <v>686</v>
      </c>
      <c r="J15" s="1044">
        <f>'MDA Worksheet'!$AU$48</f>
        <v>2.25</v>
      </c>
      <c r="K15" s="1080">
        <f>'MDA Worksheet'!$AU$46*100</f>
        <v>30</v>
      </c>
      <c r="L15" s="63" t="s">
        <v>490</v>
      </c>
    </row>
    <row r="16" spans="1:16" x14ac:dyDescent="0.25">
      <c r="A16" s="63">
        <v>16</v>
      </c>
      <c r="B16" s="63">
        <v>136</v>
      </c>
      <c r="C16" s="63">
        <v>7627</v>
      </c>
      <c r="D16" s="63" t="s">
        <v>684</v>
      </c>
      <c r="E16" s="63" t="s">
        <v>683</v>
      </c>
      <c r="F16" s="70" t="str">
        <f>'PIM Model'!$AD$13</f>
        <v/>
      </c>
      <c r="G16" s="69" t="str">
        <f t="shared" si="0"/>
        <v/>
      </c>
      <c r="H16" s="76" t="str">
        <f>'PIM Model'!$D$13</f>
        <v>%</v>
      </c>
      <c r="I16" s="72" t="s">
        <v>686</v>
      </c>
      <c r="J16" s="1044">
        <f>'MDA Worksheet'!$AU$48</f>
        <v>2.25</v>
      </c>
      <c r="K16" s="1080">
        <f>'MDA Worksheet'!$AU$46*100</f>
        <v>30</v>
      </c>
      <c r="L16" s="63" t="s">
        <v>490</v>
      </c>
    </row>
    <row r="17" spans="1:12" x14ac:dyDescent="0.25">
      <c r="A17" s="63">
        <v>16</v>
      </c>
      <c r="B17" s="63">
        <v>136</v>
      </c>
      <c r="C17" s="63">
        <v>7628</v>
      </c>
      <c r="D17" s="63" t="s">
        <v>684</v>
      </c>
      <c r="E17" s="63" t="s">
        <v>683</v>
      </c>
      <c r="F17" s="70" t="str">
        <f>'PIM Model'!$AD$13</f>
        <v/>
      </c>
      <c r="G17" s="69" t="str">
        <f t="shared" si="0"/>
        <v/>
      </c>
      <c r="H17" s="76" t="str">
        <f>'PIM Model'!$D$13</f>
        <v>%</v>
      </c>
      <c r="I17" s="72" t="s">
        <v>686</v>
      </c>
      <c r="J17" s="1044">
        <f>'MDA Worksheet'!$AU$48</f>
        <v>2.25</v>
      </c>
      <c r="K17" s="1080">
        <f>'MDA Worksheet'!$AU$46*100</f>
        <v>30</v>
      </c>
      <c r="L17" s="63" t="s">
        <v>490</v>
      </c>
    </row>
    <row r="18" spans="1:12" x14ac:dyDescent="0.25">
      <c r="A18" s="63">
        <v>16</v>
      </c>
      <c r="B18" s="63">
        <v>136</v>
      </c>
      <c r="C18" s="63">
        <v>7629</v>
      </c>
      <c r="D18" s="63" t="s">
        <v>684</v>
      </c>
      <c r="E18" s="63" t="s">
        <v>683</v>
      </c>
      <c r="F18" s="70" t="str">
        <f>'PIM Model'!$AD$13</f>
        <v/>
      </c>
      <c r="G18" s="69" t="str">
        <f t="shared" si="0"/>
        <v/>
      </c>
      <c r="H18" s="76" t="str">
        <f>'PIM Model'!$D$13</f>
        <v>%</v>
      </c>
      <c r="I18" s="72" t="s">
        <v>686</v>
      </c>
      <c r="J18" s="1044">
        <f>'MDA Worksheet'!$AU$48</f>
        <v>2.25</v>
      </c>
      <c r="K18" s="1080">
        <f>'MDA Worksheet'!$AU$46*100</f>
        <v>30</v>
      </c>
      <c r="L18" s="63" t="s">
        <v>490</v>
      </c>
    </row>
    <row r="19" spans="1:12" x14ac:dyDescent="0.25">
      <c r="A19" s="63">
        <v>16</v>
      </c>
      <c r="B19" s="63">
        <v>136</v>
      </c>
      <c r="C19" s="63">
        <v>7643</v>
      </c>
      <c r="D19" s="63" t="s">
        <v>684</v>
      </c>
      <c r="E19" s="63" t="s">
        <v>683</v>
      </c>
      <c r="F19" s="70" t="str">
        <f>'PIM Model'!$AD$13</f>
        <v/>
      </c>
      <c r="G19" s="69" t="str">
        <f t="shared" si="0"/>
        <v/>
      </c>
      <c r="H19" s="76" t="str">
        <f>'PIM Model'!$D$13</f>
        <v>%</v>
      </c>
      <c r="I19" s="72" t="s">
        <v>686</v>
      </c>
      <c r="J19" s="1044">
        <f>'MDA Worksheet'!$AU$48</f>
        <v>2.25</v>
      </c>
      <c r="K19" s="1080">
        <f>'MDA Worksheet'!$AU$46*100</f>
        <v>30</v>
      </c>
      <c r="L19" s="63" t="s">
        <v>490</v>
      </c>
    </row>
    <row r="20" spans="1:12" x14ac:dyDescent="0.25">
      <c r="A20" s="63">
        <v>16</v>
      </c>
      <c r="B20" s="63">
        <v>136</v>
      </c>
      <c r="C20" s="63">
        <v>7644</v>
      </c>
      <c r="D20" s="63" t="s">
        <v>684</v>
      </c>
      <c r="E20" s="63" t="s">
        <v>683</v>
      </c>
      <c r="F20" s="70" t="str">
        <f>'PIM Model'!$AD$13</f>
        <v/>
      </c>
      <c r="G20" s="69" t="str">
        <f t="shared" si="0"/>
        <v/>
      </c>
      <c r="H20" s="76" t="str">
        <f>'PIM Model'!$D$13</f>
        <v>%</v>
      </c>
      <c r="I20" s="72" t="s">
        <v>686</v>
      </c>
      <c r="J20" s="1044">
        <f>'MDA Worksheet'!$AU$48</f>
        <v>2.25</v>
      </c>
      <c r="K20" s="1080">
        <f>'MDA Worksheet'!$AU$46*100</f>
        <v>30</v>
      </c>
      <c r="L20" s="63" t="s">
        <v>490</v>
      </c>
    </row>
    <row r="21" spans="1:12" x14ac:dyDescent="0.25">
      <c r="A21" s="63">
        <v>16</v>
      </c>
      <c r="B21" s="63">
        <v>136</v>
      </c>
      <c r="C21" s="63">
        <v>7645</v>
      </c>
      <c r="D21" s="63" t="s">
        <v>684</v>
      </c>
      <c r="E21" s="63" t="s">
        <v>683</v>
      </c>
      <c r="F21" s="70" t="str">
        <f>'PIM Model'!$AD$13</f>
        <v/>
      </c>
      <c r="G21" s="69" t="str">
        <f t="shared" si="0"/>
        <v/>
      </c>
      <c r="H21" s="76" t="str">
        <f>'PIM Model'!$D$13</f>
        <v>%</v>
      </c>
      <c r="I21" s="72" t="s">
        <v>686</v>
      </c>
      <c r="J21" s="1044">
        <f>'MDA Worksheet'!$AU$48</f>
        <v>2.25</v>
      </c>
      <c r="K21" s="1080">
        <f>'MDA Worksheet'!$AU$46*100</f>
        <v>30</v>
      </c>
      <c r="L21" s="63" t="s">
        <v>490</v>
      </c>
    </row>
    <row r="22" spans="1:12" x14ac:dyDescent="0.25">
      <c r="A22" s="63">
        <v>16</v>
      </c>
      <c r="B22" s="63">
        <v>136</v>
      </c>
      <c r="C22" s="63">
        <v>7646</v>
      </c>
      <c r="D22" s="63" t="s">
        <v>684</v>
      </c>
      <c r="E22" s="63" t="s">
        <v>683</v>
      </c>
      <c r="F22" s="70" t="str">
        <f>'PIM Model'!$AD$13</f>
        <v/>
      </c>
      <c r="G22" s="69" t="str">
        <f t="shared" si="0"/>
        <v/>
      </c>
      <c r="H22" s="76" t="str">
        <f>'PIM Model'!$D$13</f>
        <v>%</v>
      </c>
      <c r="I22" s="72" t="s">
        <v>686</v>
      </c>
      <c r="J22" s="1044">
        <f>'MDA Worksheet'!$AU$48</f>
        <v>2.25</v>
      </c>
      <c r="K22" s="1080">
        <f>'MDA Worksheet'!$AU$46*100</f>
        <v>30</v>
      </c>
      <c r="L22" s="63" t="s">
        <v>490</v>
      </c>
    </row>
    <row r="23" spans="1:12" x14ac:dyDescent="0.25">
      <c r="A23" s="63">
        <v>16</v>
      </c>
      <c r="B23" s="63">
        <v>136</v>
      </c>
      <c r="C23" s="63">
        <v>7647</v>
      </c>
      <c r="D23" s="63" t="s">
        <v>684</v>
      </c>
      <c r="E23" s="63" t="s">
        <v>683</v>
      </c>
      <c r="F23" s="70" t="str">
        <f>'PIM Model'!$AD$13</f>
        <v/>
      </c>
      <c r="G23" s="69" t="str">
        <f t="shared" si="0"/>
        <v/>
      </c>
      <c r="H23" s="76" t="str">
        <f>'PIM Model'!$D$13</f>
        <v>%</v>
      </c>
      <c r="I23" s="72" t="s">
        <v>686</v>
      </c>
      <c r="J23" s="1044">
        <f>'MDA Worksheet'!$AU$48</f>
        <v>2.25</v>
      </c>
      <c r="K23" s="1080">
        <f>'MDA Worksheet'!$AU$46*100</f>
        <v>30</v>
      </c>
      <c r="L23" s="63" t="s">
        <v>490</v>
      </c>
    </row>
    <row r="24" spans="1:12" x14ac:dyDescent="0.25">
      <c r="A24" s="63">
        <v>16</v>
      </c>
      <c r="B24" s="63">
        <v>136</v>
      </c>
      <c r="C24" s="63">
        <v>7648</v>
      </c>
      <c r="D24" s="63" t="s">
        <v>684</v>
      </c>
      <c r="E24" s="63" t="s">
        <v>683</v>
      </c>
      <c r="F24" s="70" t="str">
        <f>'PIM Model'!$AD$13</f>
        <v/>
      </c>
      <c r="G24" s="69" t="str">
        <f t="shared" si="0"/>
        <v/>
      </c>
      <c r="H24" s="76" t="str">
        <f>'PIM Model'!$D$13</f>
        <v>%</v>
      </c>
      <c r="I24" s="72" t="s">
        <v>686</v>
      </c>
      <c r="J24" s="1044">
        <f>'MDA Worksheet'!$AU$48</f>
        <v>2.25</v>
      </c>
      <c r="K24" s="1080">
        <f>'MDA Worksheet'!$AU$46*100</f>
        <v>30</v>
      </c>
      <c r="L24" s="63" t="s">
        <v>490</v>
      </c>
    </row>
    <row r="25" spans="1:12" x14ac:dyDescent="0.25">
      <c r="A25" s="63">
        <v>16</v>
      </c>
      <c r="B25" s="63">
        <v>136</v>
      </c>
      <c r="C25" s="63">
        <v>7649</v>
      </c>
      <c r="D25" s="63" t="s">
        <v>684</v>
      </c>
      <c r="E25" s="63" t="s">
        <v>683</v>
      </c>
      <c r="F25" s="70" t="str">
        <f>'PIM Model'!$AD$13</f>
        <v/>
      </c>
      <c r="G25" s="69" t="str">
        <f t="shared" si="0"/>
        <v/>
      </c>
      <c r="H25" s="76" t="str">
        <f>'PIM Model'!$D$13</f>
        <v>%</v>
      </c>
      <c r="I25" s="72" t="s">
        <v>686</v>
      </c>
      <c r="J25" s="1044">
        <f>'MDA Worksheet'!$AU$48</f>
        <v>2.25</v>
      </c>
      <c r="K25" s="1080">
        <f>'MDA Worksheet'!$AU$46*100</f>
        <v>30</v>
      </c>
      <c r="L25" s="63" t="s">
        <v>490</v>
      </c>
    </row>
    <row r="26" spans="1:12" x14ac:dyDescent="0.25">
      <c r="A26" s="63">
        <v>16</v>
      </c>
      <c r="B26" s="63">
        <v>136</v>
      </c>
      <c r="C26" s="63">
        <v>7738</v>
      </c>
      <c r="D26" s="63" t="s">
        <v>684</v>
      </c>
      <c r="E26" s="63" t="s">
        <v>683</v>
      </c>
      <c r="F26" s="70" t="str">
        <f>'PIM Model'!$AD$13</f>
        <v/>
      </c>
      <c r="G26" s="69" t="str">
        <f t="shared" si="0"/>
        <v/>
      </c>
      <c r="H26" s="76" t="str">
        <f>'PIM Model'!$D$13</f>
        <v>%</v>
      </c>
      <c r="I26" s="72" t="s">
        <v>686</v>
      </c>
      <c r="J26" s="1044">
        <f>'MDA Worksheet'!$AU$48</f>
        <v>2.25</v>
      </c>
      <c r="K26" s="1080">
        <f>'MDA Worksheet'!$AU$46*100</f>
        <v>30</v>
      </c>
      <c r="L26" s="63" t="s">
        <v>490</v>
      </c>
    </row>
    <row r="27" spans="1:12" x14ac:dyDescent="0.25">
      <c r="A27" s="63">
        <v>16</v>
      </c>
      <c r="B27" s="63">
        <v>136</v>
      </c>
      <c r="C27" s="63">
        <v>7739</v>
      </c>
      <c r="D27" s="63" t="s">
        <v>684</v>
      </c>
      <c r="E27" s="63" t="s">
        <v>683</v>
      </c>
      <c r="F27" s="70" t="str">
        <f>'PIM Model'!$AD$13</f>
        <v/>
      </c>
      <c r="G27" s="69" t="str">
        <f t="shared" si="0"/>
        <v/>
      </c>
      <c r="H27" s="76" t="str">
        <f>'PIM Model'!$D$13</f>
        <v>%</v>
      </c>
      <c r="I27" s="72" t="s">
        <v>686</v>
      </c>
      <c r="J27" s="1044">
        <f>'MDA Worksheet'!$AU$48</f>
        <v>2.25</v>
      </c>
      <c r="K27" s="1080">
        <f>'MDA Worksheet'!$AU$46*100</f>
        <v>30</v>
      </c>
      <c r="L27" s="63" t="s">
        <v>490</v>
      </c>
    </row>
    <row r="28" spans="1:12" x14ac:dyDescent="0.25">
      <c r="A28" s="63">
        <v>16</v>
      </c>
      <c r="B28" s="63">
        <v>136</v>
      </c>
      <c r="C28" s="63">
        <v>7744</v>
      </c>
      <c r="D28" s="63" t="s">
        <v>684</v>
      </c>
      <c r="E28" s="63" t="s">
        <v>683</v>
      </c>
      <c r="F28" s="70" t="str">
        <f>'PIM Model'!$AD$13</f>
        <v/>
      </c>
      <c r="G28" s="69" t="str">
        <f t="shared" si="0"/>
        <v/>
      </c>
      <c r="H28" s="76" t="str">
        <f>'PIM Model'!$D$13</f>
        <v>%</v>
      </c>
      <c r="I28" s="72" t="s">
        <v>686</v>
      </c>
      <c r="J28" s="1044">
        <f>'MDA Worksheet'!$AU$48</f>
        <v>2.25</v>
      </c>
      <c r="K28" s="1080">
        <f>'MDA Worksheet'!$AU$46*100</f>
        <v>30</v>
      </c>
      <c r="L28" s="63" t="s">
        <v>490</v>
      </c>
    </row>
    <row r="29" spans="1:12" x14ac:dyDescent="0.25">
      <c r="A29" s="63">
        <v>16</v>
      </c>
      <c r="B29" s="63">
        <v>136</v>
      </c>
      <c r="C29" s="63">
        <v>7745</v>
      </c>
      <c r="D29" s="63" t="s">
        <v>684</v>
      </c>
      <c r="E29" s="63" t="s">
        <v>683</v>
      </c>
      <c r="F29" s="70" t="str">
        <f>'PIM Model'!$AD$13</f>
        <v/>
      </c>
      <c r="G29" s="69" t="str">
        <f t="shared" si="0"/>
        <v/>
      </c>
      <c r="H29" s="76" t="str">
        <f>'PIM Model'!$D$13</f>
        <v>%</v>
      </c>
      <c r="I29" s="72" t="s">
        <v>686</v>
      </c>
      <c r="J29" s="1044">
        <f>'MDA Worksheet'!$AU$48</f>
        <v>2.25</v>
      </c>
      <c r="K29" s="1080">
        <f>'MDA Worksheet'!$AU$46*100</f>
        <v>30</v>
      </c>
      <c r="L29" s="63" t="s">
        <v>490</v>
      </c>
    </row>
    <row r="30" spans="1:12" x14ac:dyDescent="0.25">
      <c r="A30" s="63">
        <v>16</v>
      </c>
      <c r="B30" s="63">
        <v>136</v>
      </c>
      <c r="C30" s="63">
        <v>7746</v>
      </c>
      <c r="D30" s="63" t="s">
        <v>684</v>
      </c>
      <c r="E30" s="63" t="s">
        <v>683</v>
      </c>
      <c r="F30" s="70" t="str">
        <f>'PIM Model'!$AD$13</f>
        <v/>
      </c>
      <c r="G30" s="69" t="str">
        <f t="shared" si="0"/>
        <v/>
      </c>
      <c r="H30" s="76" t="str">
        <f>'PIM Model'!$D$13</f>
        <v>%</v>
      </c>
      <c r="I30" s="72" t="s">
        <v>686</v>
      </c>
      <c r="J30" s="1044">
        <f>'MDA Worksheet'!$AU$48</f>
        <v>2.25</v>
      </c>
      <c r="K30" s="1080">
        <f>'MDA Worksheet'!$AU$46*100</f>
        <v>30</v>
      </c>
      <c r="L30" s="63" t="s">
        <v>490</v>
      </c>
    </row>
    <row r="31" spans="1:12" x14ac:dyDescent="0.25">
      <c r="A31" s="63">
        <v>16</v>
      </c>
      <c r="B31" s="63">
        <v>136</v>
      </c>
      <c r="C31" s="63">
        <v>8216</v>
      </c>
      <c r="D31" s="63" t="s">
        <v>684</v>
      </c>
      <c r="E31" s="63" t="s">
        <v>683</v>
      </c>
      <c r="F31" s="70" t="str">
        <f>'PIM Model'!$AD$13</f>
        <v/>
      </c>
      <c r="G31" s="69" t="str">
        <f t="shared" ref="G31:G32" si="1">F31</f>
        <v/>
      </c>
      <c r="H31" s="76" t="str">
        <f>'PIM Model'!$D$13</f>
        <v>%</v>
      </c>
      <c r="I31" s="72" t="s">
        <v>686</v>
      </c>
      <c r="J31" s="1044">
        <f>'MDA Worksheet'!$AU$48</f>
        <v>2.25</v>
      </c>
      <c r="K31" s="1080">
        <f>'MDA Worksheet'!$AU$46*100</f>
        <v>30</v>
      </c>
      <c r="L31" s="63" t="s">
        <v>490</v>
      </c>
    </row>
    <row r="32" spans="1:12" x14ac:dyDescent="0.25">
      <c r="A32" s="63">
        <v>16</v>
      </c>
      <c r="B32" s="63">
        <v>136</v>
      </c>
      <c r="C32" s="63">
        <v>8219</v>
      </c>
      <c r="D32" s="63" t="s">
        <v>684</v>
      </c>
      <c r="E32" s="63" t="s">
        <v>683</v>
      </c>
      <c r="F32" s="70" t="str">
        <f>'PIM Model'!$AD$13</f>
        <v/>
      </c>
      <c r="G32" s="69" t="str">
        <f t="shared" si="1"/>
        <v/>
      </c>
      <c r="H32" s="76" t="str">
        <f>'PIM Model'!$D$13</f>
        <v>%</v>
      </c>
      <c r="I32" s="72" t="s">
        <v>686</v>
      </c>
      <c r="J32" s="1044">
        <f>'MDA Worksheet'!$AU$48</f>
        <v>2.25</v>
      </c>
      <c r="K32" s="1080">
        <f>'MDA Worksheet'!$AU$46*100</f>
        <v>30</v>
      </c>
      <c r="L32" s="63" t="s">
        <v>490</v>
      </c>
    </row>
    <row r="33" spans="1:12" x14ac:dyDescent="0.25">
      <c r="A33" s="63">
        <v>17</v>
      </c>
      <c r="B33" s="63">
        <v>0</v>
      </c>
      <c r="C33" s="63">
        <v>0</v>
      </c>
      <c r="D33" s="63" t="s">
        <v>682</v>
      </c>
      <c r="E33" s="63" t="str">
        <f>IF('PRIME Headers'!$C$20="No","PWW","P07")</f>
        <v>P07</v>
      </c>
      <c r="F33" s="70" t="str">
        <f>'PIM Model'!$AD$19</f>
        <v/>
      </c>
      <c r="G33" s="69" t="str">
        <f t="shared" si="0"/>
        <v/>
      </c>
      <c r="H33" s="76" t="str">
        <f>'PIM Model'!$D$19</f>
        <v>%</v>
      </c>
      <c r="I33" s="72" t="s">
        <v>686</v>
      </c>
      <c r="J33" s="1044">
        <f>'MDA Worksheet'!$AU$48</f>
        <v>2.25</v>
      </c>
      <c r="K33" s="1080">
        <f>'MDA Worksheet'!$AU$46*100</f>
        <v>30</v>
      </c>
      <c r="L33" s="63" t="s">
        <v>490</v>
      </c>
    </row>
    <row r="34" spans="1:12" x14ac:dyDescent="0.25">
      <c r="A34" s="63">
        <v>18</v>
      </c>
      <c r="B34" s="63">
        <v>0</v>
      </c>
      <c r="C34" s="63">
        <v>0</v>
      </c>
      <c r="D34" s="63" t="s">
        <v>684</v>
      </c>
      <c r="E34" s="63" t="s">
        <v>683</v>
      </c>
      <c r="F34" s="70" t="str">
        <f>'PIM Model'!$AD$14</f>
        <v/>
      </c>
      <c r="G34" s="69" t="str">
        <f t="shared" si="0"/>
        <v/>
      </c>
      <c r="H34" s="76" t="str">
        <f>'PIM Model'!$D$14</f>
        <v>%</v>
      </c>
      <c r="I34" s="72" t="s">
        <v>686</v>
      </c>
      <c r="J34" s="1044">
        <f>'MDA Worksheet'!$AU$48</f>
        <v>2.25</v>
      </c>
      <c r="K34" s="1080">
        <f>'MDA Worksheet'!$AU$46*100</f>
        <v>30</v>
      </c>
      <c r="L34" s="63" t="s">
        <v>490</v>
      </c>
    </row>
    <row r="35" spans="1:12" x14ac:dyDescent="0.25">
      <c r="A35" s="63">
        <v>19</v>
      </c>
      <c r="B35" s="63">
        <v>0</v>
      </c>
      <c r="C35" s="63">
        <v>0</v>
      </c>
      <c r="D35" s="63" t="s">
        <v>682</v>
      </c>
      <c r="E35" s="63" t="str">
        <f>IF('PRIME Headers'!$C$20="No","PWW","P07")</f>
        <v>P07</v>
      </c>
      <c r="F35" s="70" t="str">
        <f>'PIM Model'!$AD$15</f>
        <v/>
      </c>
      <c r="G35" s="69" t="str">
        <f t="shared" si="0"/>
        <v/>
      </c>
      <c r="H35" s="76" t="str">
        <f>'PIM Model'!$D$15</f>
        <v>%</v>
      </c>
      <c r="I35" s="72" t="s">
        <v>686</v>
      </c>
      <c r="J35" s="1044">
        <f>'MDA Worksheet'!$AU$48</f>
        <v>2.25</v>
      </c>
      <c r="K35" s="1080">
        <f>'MDA Worksheet'!$AU$46*100</f>
        <v>30</v>
      </c>
      <c r="L35" s="63" t="s">
        <v>490</v>
      </c>
    </row>
    <row r="36" spans="1:12" x14ac:dyDescent="0.25">
      <c r="A36" s="63">
        <v>20</v>
      </c>
      <c r="B36" s="63">
        <v>0</v>
      </c>
      <c r="C36" s="63">
        <v>0</v>
      </c>
      <c r="D36" s="63" t="s">
        <v>682</v>
      </c>
      <c r="E36" s="63" t="str">
        <f>IF('PRIME Headers'!$C$20="No","PWW","P07")</f>
        <v>P07</v>
      </c>
      <c r="F36" s="69" t="str">
        <f>'PIM Model'!$AD$10</f>
        <v/>
      </c>
      <c r="G36" s="69" t="str">
        <f t="shared" si="0"/>
        <v/>
      </c>
      <c r="H36" s="76" t="str">
        <f>'PIM Model'!$D$10</f>
        <v>%</v>
      </c>
      <c r="I36" s="72" t="s">
        <v>686</v>
      </c>
      <c r="J36" s="1044">
        <f>'MDA Worksheet'!$AU$48</f>
        <v>2.25</v>
      </c>
      <c r="K36" s="1080">
        <f>'MDA Worksheet'!$AU$46*100</f>
        <v>30</v>
      </c>
      <c r="L36" s="63" t="s">
        <v>490</v>
      </c>
    </row>
    <row r="37" spans="1:12" x14ac:dyDescent="0.25">
      <c r="A37" s="63">
        <v>21</v>
      </c>
      <c r="B37" s="63">
        <v>0</v>
      </c>
      <c r="C37" s="63">
        <v>0</v>
      </c>
      <c r="D37" s="63" t="s">
        <v>684</v>
      </c>
      <c r="E37" s="63" t="s">
        <v>683</v>
      </c>
      <c r="F37" s="70" t="str">
        <f>'PIM Model'!$AD$16</f>
        <v/>
      </c>
      <c r="G37" s="69" t="str">
        <f>F37</f>
        <v/>
      </c>
      <c r="H37" s="76" t="str">
        <f>'PIM Model'!$D$16</f>
        <v>%</v>
      </c>
      <c r="I37" s="72" t="s">
        <v>686</v>
      </c>
      <c r="J37" s="1044">
        <f>'MDA Worksheet'!$AU$48</f>
        <v>2.25</v>
      </c>
      <c r="K37" s="1080">
        <f>'MDA Worksheet'!$AU$46*100</f>
        <v>30</v>
      </c>
      <c r="L37" s="63" t="s">
        <v>490</v>
      </c>
    </row>
    <row r="38" spans="1:12" x14ac:dyDescent="0.25">
      <c r="A38" s="63">
        <v>21</v>
      </c>
      <c r="B38" s="63">
        <v>158</v>
      </c>
      <c r="C38" s="63">
        <v>1957</v>
      </c>
      <c r="D38" s="63" t="s">
        <v>682</v>
      </c>
      <c r="E38" s="63" t="str">
        <f>IF('PRIME Headers'!$C$20="No","PWW","P07")</f>
        <v>P07</v>
      </c>
      <c r="F38" s="70" t="str">
        <f>'PIM Model'!$AD$16</f>
        <v/>
      </c>
      <c r="G38" s="69" t="str">
        <f t="shared" si="0"/>
        <v/>
      </c>
      <c r="H38" s="76" t="str">
        <f>'PIM Model'!$D$16</f>
        <v>%</v>
      </c>
      <c r="I38" s="72" t="s">
        <v>686</v>
      </c>
      <c r="J38" s="1044">
        <f>'MDA Worksheet'!$AU$48</f>
        <v>2.25</v>
      </c>
      <c r="K38" s="1080">
        <f>'MDA Worksheet'!$AU$46*100</f>
        <v>30</v>
      </c>
      <c r="L38" s="63" t="s">
        <v>490</v>
      </c>
    </row>
    <row r="39" spans="1:12" x14ac:dyDescent="0.25">
      <c r="A39" s="63">
        <v>21</v>
      </c>
      <c r="B39" s="63">
        <v>158</v>
      </c>
      <c r="C39" s="63">
        <v>5800</v>
      </c>
      <c r="D39" s="63" t="s">
        <v>682</v>
      </c>
      <c r="E39" s="63" t="str">
        <f>IF('PRIME Headers'!$C$20="No","PWW","P07")</f>
        <v>P07</v>
      </c>
      <c r="F39" s="70" t="str">
        <f>'PIM Model'!$AD$16</f>
        <v/>
      </c>
      <c r="G39" s="69" t="str">
        <f t="shared" si="0"/>
        <v/>
      </c>
      <c r="H39" s="76" t="str">
        <f>'PIM Model'!$D$16</f>
        <v>%</v>
      </c>
      <c r="I39" s="72" t="s">
        <v>686</v>
      </c>
      <c r="J39" s="1044">
        <f>'MDA Worksheet'!$AU$48</f>
        <v>2.25</v>
      </c>
      <c r="K39" s="1080">
        <f>'MDA Worksheet'!$AU$46*100</f>
        <v>30</v>
      </c>
      <c r="L39" s="63" t="s">
        <v>490</v>
      </c>
    </row>
    <row r="40" spans="1:12" x14ac:dyDescent="0.25">
      <c r="A40" s="63">
        <v>21</v>
      </c>
      <c r="B40" s="63">
        <v>161</v>
      </c>
      <c r="C40" s="63">
        <v>0</v>
      </c>
      <c r="D40" s="63" t="s">
        <v>682</v>
      </c>
      <c r="E40" s="63" t="str">
        <f>IF('PRIME Headers'!$C$20="No","PWW","P07")</f>
        <v>P07</v>
      </c>
      <c r="F40" s="70" t="str">
        <f>'PIM Model'!$AD$16</f>
        <v/>
      </c>
      <c r="G40" s="69" t="str">
        <f t="shared" si="0"/>
        <v/>
      </c>
      <c r="H40" s="76" t="str">
        <f>'PIM Model'!$D$16</f>
        <v>%</v>
      </c>
      <c r="I40" s="72" t="s">
        <v>686</v>
      </c>
      <c r="J40" s="1044">
        <f>'MDA Worksheet'!$AU$48</f>
        <v>2.25</v>
      </c>
      <c r="K40" s="1080">
        <f>'MDA Worksheet'!$AU$46*100</f>
        <v>30</v>
      </c>
      <c r="L40" s="63" t="s">
        <v>490</v>
      </c>
    </row>
    <row r="41" spans="1:12" x14ac:dyDescent="0.25">
      <c r="A41" s="63">
        <v>21</v>
      </c>
      <c r="B41" s="63">
        <v>162</v>
      </c>
      <c r="C41" s="63">
        <v>1622</v>
      </c>
      <c r="D41" s="63" t="s">
        <v>682</v>
      </c>
      <c r="E41" s="63" t="str">
        <f>IF('PRIME Headers'!$C$20="No","PWW","P07")</f>
        <v>P07</v>
      </c>
      <c r="F41" s="70" t="str">
        <f>'PIM Model'!$AD$16</f>
        <v/>
      </c>
      <c r="G41" s="69" t="str">
        <f t="shared" si="0"/>
        <v/>
      </c>
      <c r="H41" s="76" t="str">
        <f>'PIM Model'!$D$16</f>
        <v>%</v>
      </c>
      <c r="I41" s="72" t="s">
        <v>686</v>
      </c>
      <c r="J41" s="1044">
        <f>'MDA Worksheet'!$AU$48</f>
        <v>2.25</v>
      </c>
      <c r="K41" s="1080">
        <f>'MDA Worksheet'!$AU$46*100</f>
        <v>30</v>
      </c>
      <c r="L41" s="63" t="s">
        <v>490</v>
      </c>
    </row>
    <row r="42" spans="1:12" x14ac:dyDescent="0.25">
      <c r="A42" s="63">
        <v>21</v>
      </c>
      <c r="B42" s="63">
        <v>162</v>
      </c>
      <c r="C42" s="63">
        <v>1623</v>
      </c>
      <c r="D42" s="63" t="s">
        <v>682</v>
      </c>
      <c r="E42" s="63" t="str">
        <f>IF('PRIME Headers'!$C$20="No","PWW","P07")</f>
        <v>P07</v>
      </c>
      <c r="F42" s="70" t="str">
        <f>'PIM Model'!$AD$16</f>
        <v/>
      </c>
      <c r="G42" s="69" t="str">
        <f t="shared" si="0"/>
        <v/>
      </c>
      <c r="H42" s="76" t="str">
        <f>'PIM Model'!$D$16</f>
        <v>%</v>
      </c>
      <c r="I42" s="72" t="s">
        <v>686</v>
      </c>
      <c r="J42" s="1044">
        <f>'MDA Worksheet'!$AU$48</f>
        <v>2.25</v>
      </c>
      <c r="K42" s="1080">
        <f>'MDA Worksheet'!$AU$46*100</f>
        <v>30</v>
      </c>
      <c r="L42" s="63" t="s">
        <v>490</v>
      </c>
    </row>
    <row r="43" spans="1:12" x14ac:dyDescent="0.25">
      <c r="A43" s="63">
        <v>21</v>
      </c>
      <c r="B43" s="63">
        <v>162</v>
      </c>
      <c r="C43" s="63">
        <v>3490</v>
      </c>
      <c r="D43" s="63" t="s">
        <v>682</v>
      </c>
      <c r="E43" s="63" t="str">
        <f>IF('PRIME Headers'!$C$20="No","PWW","P07")</f>
        <v>P07</v>
      </c>
      <c r="F43" s="70" t="str">
        <f>'PIM Model'!$AD$16</f>
        <v/>
      </c>
      <c r="G43" s="69" t="str">
        <f t="shared" si="0"/>
        <v/>
      </c>
      <c r="H43" s="76" t="str">
        <f>'PIM Model'!$D$16</f>
        <v>%</v>
      </c>
      <c r="I43" s="72" t="s">
        <v>686</v>
      </c>
      <c r="J43" s="1044">
        <f>'MDA Worksheet'!$AU$48</f>
        <v>2.25</v>
      </c>
      <c r="K43" s="1080">
        <f>'MDA Worksheet'!$AU$46*100</f>
        <v>30</v>
      </c>
      <c r="L43" s="63" t="s">
        <v>490</v>
      </c>
    </row>
    <row r="44" spans="1:12" x14ac:dyDescent="0.25">
      <c r="A44" s="63">
        <v>21</v>
      </c>
      <c r="B44" s="63">
        <v>162</v>
      </c>
      <c r="C44" s="63">
        <v>3500</v>
      </c>
      <c r="D44" s="63" t="s">
        <v>682</v>
      </c>
      <c r="E44" s="63" t="str">
        <f>IF('PRIME Headers'!$C$20="No","PWW","P07")</f>
        <v>P07</v>
      </c>
      <c r="F44" s="70" t="str">
        <f>'PIM Model'!$AD$16</f>
        <v/>
      </c>
      <c r="G44" s="69" t="str">
        <f t="shared" si="0"/>
        <v/>
      </c>
      <c r="H44" s="76" t="str">
        <f>'PIM Model'!$D$16</f>
        <v>%</v>
      </c>
      <c r="I44" s="72" t="s">
        <v>686</v>
      </c>
      <c r="J44" s="1044">
        <f>'MDA Worksheet'!$AU$48</f>
        <v>2.25</v>
      </c>
      <c r="K44" s="1080">
        <f>'MDA Worksheet'!$AU$46*100</f>
        <v>30</v>
      </c>
      <c r="L44" s="63" t="s">
        <v>490</v>
      </c>
    </row>
    <row r="45" spans="1:12" x14ac:dyDescent="0.25">
      <c r="A45" s="63">
        <v>21</v>
      </c>
      <c r="B45" s="63">
        <v>162</v>
      </c>
      <c r="C45" s="63">
        <v>7625</v>
      </c>
      <c r="D45" s="63" t="s">
        <v>682</v>
      </c>
      <c r="E45" s="63" t="str">
        <f>IF('PRIME Headers'!$C$20="No","PWW","P07")</f>
        <v>P07</v>
      </c>
      <c r="F45" s="70" t="str">
        <f>'PIM Model'!$AD$16</f>
        <v/>
      </c>
      <c r="G45" s="69" t="str">
        <f t="shared" si="0"/>
        <v/>
      </c>
      <c r="H45" s="76" t="str">
        <f>'PIM Model'!$D$16</f>
        <v>%</v>
      </c>
      <c r="I45" s="72" t="s">
        <v>686</v>
      </c>
      <c r="J45" s="1044">
        <f>'MDA Worksheet'!$AU$48</f>
        <v>2.25</v>
      </c>
      <c r="K45" s="1080">
        <f>'MDA Worksheet'!$AU$46*100</f>
        <v>30</v>
      </c>
      <c r="L45" s="63" t="s">
        <v>490</v>
      </c>
    </row>
    <row r="46" spans="1:12" x14ac:dyDescent="0.25">
      <c r="A46" s="63">
        <v>21</v>
      </c>
      <c r="B46" s="63">
        <v>162</v>
      </c>
      <c r="C46" s="63">
        <v>7636</v>
      </c>
      <c r="D46" s="63" t="s">
        <v>682</v>
      </c>
      <c r="E46" s="63" t="str">
        <f>IF('PRIME Headers'!$C$20="No","PWW","P07")</f>
        <v>P07</v>
      </c>
      <c r="F46" s="70" t="str">
        <f>'PIM Model'!$AD$16</f>
        <v/>
      </c>
      <c r="G46" s="69" t="str">
        <f t="shared" si="0"/>
        <v/>
      </c>
      <c r="H46" s="76" t="str">
        <f>'PIM Model'!$D$16</f>
        <v>%</v>
      </c>
      <c r="I46" s="72" t="s">
        <v>686</v>
      </c>
      <c r="J46" s="1044">
        <f>'MDA Worksheet'!$AU$48</f>
        <v>2.25</v>
      </c>
      <c r="K46" s="1080">
        <f>'MDA Worksheet'!$AU$46*100</f>
        <v>30</v>
      </c>
      <c r="L46" s="63" t="s">
        <v>490</v>
      </c>
    </row>
    <row r="47" spans="1:12" x14ac:dyDescent="0.25">
      <c r="A47" s="63">
        <v>22</v>
      </c>
      <c r="B47" s="63">
        <v>0</v>
      </c>
      <c r="C47" s="63">
        <v>0</v>
      </c>
      <c r="D47" s="63" t="s">
        <v>682</v>
      </c>
      <c r="E47" s="63" t="str">
        <f>IF('PRIME Headers'!$C$20="No","PWW","P07")</f>
        <v>P07</v>
      </c>
      <c r="F47" s="70" t="str">
        <f>'PIM Model'!$AD$20</f>
        <v/>
      </c>
      <c r="G47" s="69" t="str">
        <f t="shared" si="0"/>
        <v/>
      </c>
      <c r="H47" s="76" t="str">
        <f>'PIM Model'!$D$20</f>
        <v>%</v>
      </c>
      <c r="I47" s="72" t="s">
        <v>686</v>
      </c>
      <c r="J47" s="1044">
        <f>'MDA Worksheet'!$AU$48</f>
        <v>2.25</v>
      </c>
      <c r="K47" s="1080">
        <f>'MDA Worksheet'!$AU$46*100</f>
        <v>30</v>
      </c>
      <c r="L47" s="63" t="s">
        <v>490</v>
      </c>
    </row>
    <row r="48" spans="1:12" x14ac:dyDescent="0.25">
      <c r="A48" s="63">
        <v>22</v>
      </c>
      <c r="B48" s="63">
        <v>171</v>
      </c>
      <c r="C48" s="63">
        <v>1400</v>
      </c>
      <c r="D48" s="63" t="s">
        <v>684</v>
      </c>
      <c r="E48" s="63" t="s">
        <v>683</v>
      </c>
      <c r="F48" s="70" t="str">
        <f>'PIM Model'!$AD$20</f>
        <v/>
      </c>
      <c r="G48" s="69" t="str">
        <f t="shared" si="0"/>
        <v/>
      </c>
      <c r="H48" s="76" t="str">
        <f>'PIM Model'!$D$20</f>
        <v>%</v>
      </c>
      <c r="I48" s="72" t="s">
        <v>686</v>
      </c>
      <c r="J48" s="1044">
        <f>'MDA Worksheet'!$AU$48</f>
        <v>2.25</v>
      </c>
      <c r="K48" s="1080">
        <f>'MDA Worksheet'!$AU$46*100</f>
        <v>30</v>
      </c>
      <c r="L48" s="63" t="s">
        <v>490</v>
      </c>
    </row>
    <row r="49" spans="1:12" x14ac:dyDescent="0.25">
      <c r="A49" s="63">
        <v>22</v>
      </c>
      <c r="B49" s="63">
        <v>174</v>
      </c>
      <c r="C49" s="63">
        <v>1414</v>
      </c>
      <c r="D49" s="63" t="s">
        <v>684</v>
      </c>
      <c r="E49" s="63" t="s">
        <v>683</v>
      </c>
      <c r="F49" s="70" t="str">
        <f>'PIM Model'!$AD$20</f>
        <v/>
      </c>
      <c r="G49" s="69" t="str">
        <f t="shared" si="0"/>
        <v/>
      </c>
      <c r="H49" s="76" t="str">
        <f>'PIM Model'!$D$20</f>
        <v>%</v>
      </c>
      <c r="I49" s="72" t="s">
        <v>686</v>
      </c>
      <c r="J49" s="1044">
        <f>'MDA Worksheet'!$AU$48</f>
        <v>2.25</v>
      </c>
      <c r="K49" s="1080">
        <f>'MDA Worksheet'!$AU$46*100</f>
        <v>30</v>
      </c>
      <c r="L49" s="63" t="s">
        <v>490</v>
      </c>
    </row>
    <row r="50" spans="1:12" x14ac:dyDescent="0.25">
      <c r="A50" s="63">
        <v>22</v>
      </c>
      <c r="B50" s="63">
        <v>176</v>
      </c>
      <c r="C50" s="63">
        <v>0</v>
      </c>
      <c r="D50" s="63" t="s">
        <v>684</v>
      </c>
      <c r="E50" s="63" t="s">
        <v>683</v>
      </c>
      <c r="F50" s="70" t="str">
        <f>'PIM Model'!$AD$20</f>
        <v/>
      </c>
      <c r="G50" s="69" t="str">
        <f t="shared" si="0"/>
        <v/>
      </c>
      <c r="H50" s="76" t="str">
        <f>'PIM Model'!$D$20</f>
        <v>%</v>
      </c>
      <c r="I50" s="72" t="s">
        <v>686</v>
      </c>
      <c r="J50" s="1044">
        <f>'MDA Worksheet'!$AU$48</f>
        <v>2.25</v>
      </c>
      <c r="K50" s="1080">
        <f>'MDA Worksheet'!$AU$46*100</f>
        <v>30</v>
      </c>
      <c r="L50" s="63" t="s">
        <v>490</v>
      </c>
    </row>
    <row r="51" spans="1:12" x14ac:dyDescent="0.25">
      <c r="A51" s="63">
        <v>22</v>
      </c>
      <c r="B51" s="63">
        <v>177</v>
      </c>
      <c r="C51" s="63">
        <v>1886</v>
      </c>
      <c r="D51" s="63" t="s">
        <v>682</v>
      </c>
      <c r="E51" s="63" t="str">
        <f>IF('PRIME Headers'!$C$20="No","PWW","P07")</f>
        <v>P07</v>
      </c>
      <c r="F51" s="70" t="str">
        <f>'PIM Model'!$AD$20</f>
        <v/>
      </c>
      <c r="G51" s="69" t="str">
        <f t="shared" si="0"/>
        <v/>
      </c>
      <c r="H51" s="76" t="str">
        <f>'PIM Model'!$D$20</f>
        <v>%</v>
      </c>
      <c r="I51" s="72" t="s">
        <v>686</v>
      </c>
      <c r="J51" s="1044">
        <f>'MDA Worksheet'!$AU$48</f>
        <v>2.25</v>
      </c>
      <c r="K51" s="75">
        <v>0</v>
      </c>
      <c r="L51" s="75" t="s">
        <v>245</v>
      </c>
    </row>
    <row r="52" spans="1:12" x14ac:dyDescent="0.25">
      <c r="A52" s="63">
        <v>22</v>
      </c>
      <c r="B52" s="63">
        <v>177</v>
      </c>
      <c r="C52" s="63">
        <v>1908</v>
      </c>
      <c r="D52" s="63" t="s">
        <v>682</v>
      </c>
      <c r="E52" s="63" t="str">
        <f>IF('PRIME Headers'!$C$20="No","PWW","P07")</f>
        <v>P07</v>
      </c>
      <c r="F52" s="70" t="str">
        <f>'PIM Model'!$AD$20</f>
        <v/>
      </c>
      <c r="G52" s="69" t="str">
        <f t="shared" si="0"/>
        <v/>
      </c>
      <c r="H52" s="76" t="str">
        <f>'PIM Model'!$D$20</f>
        <v>%</v>
      </c>
      <c r="I52" s="72" t="s">
        <v>686</v>
      </c>
      <c r="J52" s="1044">
        <f>'MDA Worksheet'!$AU$48</f>
        <v>2.25</v>
      </c>
      <c r="K52" s="75">
        <v>0</v>
      </c>
      <c r="L52" s="75" t="s">
        <v>245</v>
      </c>
    </row>
    <row r="53" spans="1:12" x14ac:dyDescent="0.25">
      <c r="A53" s="63">
        <v>22</v>
      </c>
      <c r="B53" s="63">
        <v>177</v>
      </c>
      <c r="C53" s="63">
        <v>3340</v>
      </c>
      <c r="D53" s="63" t="s">
        <v>682</v>
      </c>
      <c r="E53" s="63" t="str">
        <f>IF('PRIME Headers'!$C$20="No","PWW","P07")</f>
        <v>P07</v>
      </c>
      <c r="F53" s="70" t="str">
        <f>'PIM Model'!$AD$20</f>
        <v/>
      </c>
      <c r="G53" s="69" t="str">
        <f t="shared" si="0"/>
        <v/>
      </c>
      <c r="H53" s="76" t="str">
        <f>'PIM Model'!$D$20</f>
        <v>%</v>
      </c>
      <c r="I53" s="72" t="s">
        <v>686</v>
      </c>
      <c r="J53" s="1044">
        <f>'MDA Worksheet'!$AU$48</f>
        <v>2.25</v>
      </c>
      <c r="K53" s="75">
        <v>0</v>
      </c>
      <c r="L53" s="75" t="s">
        <v>245</v>
      </c>
    </row>
    <row r="54" spans="1:12" x14ac:dyDescent="0.25">
      <c r="A54" s="63">
        <v>22</v>
      </c>
      <c r="B54" s="63">
        <v>177</v>
      </c>
      <c r="C54" s="63">
        <v>3820</v>
      </c>
      <c r="D54" s="63" t="s">
        <v>682</v>
      </c>
      <c r="E54" s="63" t="str">
        <f>IF('PRIME Headers'!$C$20="No","PWW","P07")</f>
        <v>P07</v>
      </c>
      <c r="F54" s="70" t="str">
        <f>'PIM Model'!$AD$20</f>
        <v/>
      </c>
      <c r="G54" s="69" t="str">
        <f t="shared" si="0"/>
        <v/>
      </c>
      <c r="H54" s="76" t="str">
        <f>'PIM Model'!$D$20</f>
        <v>%</v>
      </c>
      <c r="I54" s="72" t="s">
        <v>686</v>
      </c>
      <c r="J54" s="1044">
        <f>'MDA Worksheet'!$AU$48</f>
        <v>2.25</v>
      </c>
      <c r="K54" s="75">
        <v>0</v>
      </c>
      <c r="L54" s="75" t="s">
        <v>245</v>
      </c>
    </row>
    <row r="55" spans="1:12" x14ac:dyDescent="0.25">
      <c r="A55" s="63">
        <v>22</v>
      </c>
      <c r="B55" s="63">
        <v>177</v>
      </c>
      <c r="C55" s="63">
        <v>7733</v>
      </c>
      <c r="D55" s="63" t="s">
        <v>682</v>
      </c>
      <c r="E55" s="63" t="str">
        <f>IF('PRIME Headers'!$C$20="No","PWW","P07")</f>
        <v>P07</v>
      </c>
      <c r="F55" s="70" t="str">
        <f>'PIM Model'!$AD$20</f>
        <v/>
      </c>
      <c r="G55" s="69" t="str">
        <f t="shared" si="0"/>
        <v/>
      </c>
      <c r="H55" s="76" t="str">
        <f>'PIM Model'!$D$20</f>
        <v>%</v>
      </c>
      <c r="I55" s="72" t="s">
        <v>686</v>
      </c>
      <c r="J55" s="1044">
        <f>'MDA Worksheet'!$AU$48</f>
        <v>2.25</v>
      </c>
      <c r="K55" s="75">
        <v>0</v>
      </c>
      <c r="L55" s="75" t="s">
        <v>245</v>
      </c>
    </row>
    <row r="56" spans="1:12" x14ac:dyDescent="0.25">
      <c r="A56" s="63">
        <v>22</v>
      </c>
      <c r="B56" s="63">
        <v>180</v>
      </c>
      <c r="C56" s="63">
        <v>0</v>
      </c>
      <c r="D56" s="63" t="s">
        <v>684</v>
      </c>
      <c r="E56" s="63" t="s">
        <v>683</v>
      </c>
      <c r="F56" s="70" t="str">
        <f>'PIM Model'!$AD$20</f>
        <v/>
      </c>
      <c r="G56" s="69" t="str">
        <f t="shared" si="0"/>
        <v/>
      </c>
      <c r="H56" s="76" t="str">
        <f>'PIM Model'!$D$20</f>
        <v>%</v>
      </c>
      <c r="I56" s="72" t="s">
        <v>686</v>
      </c>
      <c r="J56" s="1044">
        <f>'MDA Worksheet'!$AU$48</f>
        <v>2.25</v>
      </c>
      <c r="K56" s="1080">
        <f>'MDA Worksheet'!$AU$46*100</f>
        <v>30</v>
      </c>
      <c r="L56" s="63" t="s">
        <v>490</v>
      </c>
    </row>
    <row r="57" spans="1:12" x14ac:dyDescent="0.25">
      <c r="A57" s="63">
        <v>22</v>
      </c>
      <c r="B57" s="63">
        <v>232</v>
      </c>
      <c r="C57" s="63">
        <v>1727</v>
      </c>
      <c r="D57" s="63" t="s">
        <v>684</v>
      </c>
      <c r="E57" s="63" t="s">
        <v>683</v>
      </c>
      <c r="F57" s="70" t="str">
        <f>'PIM Model'!$AD$20</f>
        <v/>
      </c>
      <c r="G57" s="69" t="str">
        <f t="shared" si="0"/>
        <v/>
      </c>
      <c r="H57" s="76" t="str">
        <f>'PIM Model'!$D$20</f>
        <v>%</v>
      </c>
      <c r="I57" s="72" t="s">
        <v>686</v>
      </c>
      <c r="J57" s="1044">
        <f>'MDA Worksheet'!$AU$48</f>
        <v>2.25</v>
      </c>
      <c r="K57" s="1080">
        <f>'MDA Worksheet'!$AU$46*100</f>
        <v>30</v>
      </c>
      <c r="L57" s="63" t="s">
        <v>490</v>
      </c>
    </row>
    <row r="58" spans="1:12" x14ac:dyDescent="0.25">
      <c r="A58" s="63">
        <v>22</v>
      </c>
      <c r="B58" s="63">
        <v>235</v>
      </c>
      <c r="C58" s="63">
        <v>1728</v>
      </c>
      <c r="D58" s="63" t="s">
        <v>684</v>
      </c>
      <c r="E58" s="63" t="s">
        <v>683</v>
      </c>
      <c r="F58" s="70" t="str">
        <f>'PIM Model'!$AD$20</f>
        <v/>
      </c>
      <c r="G58" s="69" t="str">
        <f t="shared" si="0"/>
        <v/>
      </c>
      <c r="H58" s="76" t="str">
        <f>'PIM Model'!$D$20</f>
        <v>%</v>
      </c>
      <c r="I58" s="72" t="s">
        <v>686</v>
      </c>
      <c r="J58" s="1044">
        <f>'MDA Worksheet'!$AU$48</f>
        <v>2.25</v>
      </c>
      <c r="K58" s="1080">
        <f>'MDA Worksheet'!$AU$46*100</f>
        <v>30</v>
      </c>
      <c r="L58" s="63" t="s">
        <v>490</v>
      </c>
    </row>
    <row r="59" spans="1:12" x14ac:dyDescent="0.25">
      <c r="A59" s="63">
        <v>23</v>
      </c>
      <c r="B59" s="63">
        <v>0</v>
      </c>
      <c r="C59" s="63">
        <v>0</v>
      </c>
      <c r="D59" s="63" t="s">
        <v>682</v>
      </c>
      <c r="E59" s="63" t="str">
        <f>IF('PRIME Headers'!$C$20="No","PWW","P07")</f>
        <v>P07</v>
      </c>
      <c r="F59" s="70" t="str">
        <f>'PIM Model'!$AD$18</f>
        <v/>
      </c>
      <c r="G59" s="69" t="str">
        <f>F59</f>
        <v/>
      </c>
      <c r="H59" s="76" t="str">
        <f>'PIM Model'!$D$18</f>
        <v>%</v>
      </c>
      <c r="I59" s="72" t="s">
        <v>686</v>
      </c>
      <c r="J59" s="1044">
        <f>'MDA Worksheet'!$AU$48</f>
        <v>2.25</v>
      </c>
      <c r="K59" s="1080">
        <f>'MDA Worksheet'!$AU$46*100</f>
        <v>30</v>
      </c>
      <c r="L59" s="63" t="s">
        <v>490</v>
      </c>
    </row>
    <row r="60" spans="1:12" x14ac:dyDescent="0.25">
      <c r="A60" s="63">
        <v>24</v>
      </c>
      <c r="B60" s="63">
        <v>0</v>
      </c>
      <c r="C60" s="63">
        <v>0</v>
      </c>
      <c r="D60" s="63" t="s">
        <v>682</v>
      </c>
      <c r="E60" s="63" t="str">
        <f>IF('PRIME Headers'!$C$20="No","PWW","P07")</f>
        <v>P07</v>
      </c>
      <c r="F60" s="70" t="str">
        <f>'PIM Model'!$AD$17</f>
        <v/>
      </c>
      <c r="G60" s="69" t="str">
        <f t="shared" si="0"/>
        <v/>
      </c>
      <c r="H60" s="76" t="str">
        <f>'PIM Model'!$D$17</f>
        <v>%</v>
      </c>
      <c r="I60" s="72" t="s">
        <v>686</v>
      </c>
      <c r="J60" s="1044">
        <f>'MDA Worksheet'!$AU$48</f>
        <v>2.25</v>
      </c>
      <c r="K60" s="1080">
        <f>'MDA Worksheet'!$AU$46*100</f>
        <v>30</v>
      </c>
      <c r="L60" s="63" t="s">
        <v>490</v>
      </c>
    </row>
    <row r="61" spans="1:12" x14ac:dyDescent="0.25">
      <c r="A61" s="63">
        <v>25</v>
      </c>
      <c r="B61" s="63">
        <v>0</v>
      </c>
      <c r="C61" s="63">
        <v>0</v>
      </c>
      <c r="D61" s="63" t="s">
        <v>684</v>
      </c>
      <c r="E61" s="63" t="s">
        <v>685</v>
      </c>
      <c r="F61" s="70" t="str">
        <f>'PIM Model'!$AD$27</f>
        <v/>
      </c>
      <c r="G61" s="69" t="str">
        <f t="shared" si="0"/>
        <v/>
      </c>
      <c r="H61" s="76" t="str">
        <f>IF('PIM Model'!$D$27="$/CS","$","%")</f>
        <v>%</v>
      </c>
      <c r="I61" s="72" t="s">
        <v>686</v>
      </c>
      <c r="J61" s="1044">
        <f>'MDA Worksheet'!$AU$48</f>
        <v>2.25</v>
      </c>
      <c r="K61" s="1080">
        <f>'MDA Worksheet'!$AU$46*100</f>
        <v>30</v>
      </c>
      <c r="L61" s="63" t="s">
        <v>490</v>
      </c>
    </row>
    <row r="62" spans="1:12" x14ac:dyDescent="0.25">
      <c r="A62" s="63">
        <v>26</v>
      </c>
      <c r="B62" s="63">
        <v>0</v>
      </c>
      <c r="C62" s="63">
        <v>0</v>
      </c>
      <c r="D62" s="63" t="s">
        <v>682</v>
      </c>
      <c r="E62" s="63" t="str">
        <f>IF('PRIME Headers'!$C$20="No","PWW","P07")</f>
        <v>P07</v>
      </c>
      <c r="F62" s="70" t="str">
        <f>'PIM Model'!$AD$21</f>
        <v/>
      </c>
      <c r="G62" s="69" t="str">
        <f t="shared" si="0"/>
        <v/>
      </c>
      <c r="H62" s="76" t="str">
        <f>'PIM Model'!$D$21</f>
        <v>%</v>
      </c>
      <c r="I62" s="72" t="s">
        <v>686</v>
      </c>
      <c r="J62" s="1044">
        <f>'MDA Worksheet'!$AU$48</f>
        <v>2.25</v>
      </c>
      <c r="K62" s="1080">
        <f>'MDA Worksheet'!$AU$46*100</f>
        <v>30</v>
      </c>
      <c r="L62" s="63" t="s">
        <v>490</v>
      </c>
    </row>
    <row r="63" spans="1:12" x14ac:dyDescent="0.25">
      <c r="A63" s="63">
        <v>26</v>
      </c>
      <c r="B63" s="63">
        <v>310</v>
      </c>
      <c r="C63" s="63">
        <v>5390</v>
      </c>
      <c r="D63" s="63" t="s">
        <v>684</v>
      </c>
      <c r="E63" s="63" t="s">
        <v>683</v>
      </c>
      <c r="F63" s="70" t="str">
        <f>'PIM Model'!$AD$21</f>
        <v/>
      </c>
      <c r="G63" s="69" t="str">
        <f t="shared" si="0"/>
        <v/>
      </c>
      <c r="H63" s="76" t="str">
        <f>'PIM Model'!$D$22</f>
        <v>%</v>
      </c>
      <c r="I63" s="72" t="s">
        <v>686</v>
      </c>
      <c r="J63" s="1044">
        <f>'MDA Worksheet'!$AU$48</f>
        <v>2.25</v>
      </c>
      <c r="K63" s="1080">
        <f>'MDA Worksheet'!$AU$46*100</f>
        <v>30</v>
      </c>
      <c r="L63" s="63" t="s">
        <v>490</v>
      </c>
    </row>
    <row r="64" spans="1:12" x14ac:dyDescent="0.25">
      <c r="A64" s="63">
        <v>29</v>
      </c>
      <c r="B64" s="63">
        <v>0</v>
      </c>
      <c r="C64" s="63">
        <v>0</v>
      </c>
      <c r="D64" s="63" t="s">
        <v>684</v>
      </c>
      <c r="E64" s="63" t="s">
        <v>683</v>
      </c>
      <c r="F64" s="70" t="str">
        <f>'PIM Model'!$AD$23</f>
        <v/>
      </c>
      <c r="G64" s="69" t="str">
        <f t="shared" si="0"/>
        <v/>
      </c>
      <c r="H64" s="76" t="str">
        <f>'PIM Model'!$D$23</f>
        <v>%</v>
      </c>
      <c r="I64" s="72" t="s">
        <v>686</v>
      </c>
      <c r="J64" s="1044">
        <f>'MDA Worksheet'!$AU$48</f>
        <v>2.25</v>
      </c>
      <c r="K64" s="1080">
        <f>'MDA Worksheet'!$AU$46*100</f>
        <v>30</v>
      </c>
      <c r="L64" s="63" t="s">
        <v>490</v>
      </c>
    </row>
    <row r="65" spans="1:12" x14ac:dyDescent="0.25">
      <c r="A65" s="63">
        <v>30</v>
      </c>
      <c r="B65" s="63">
        <v>0</v>
      </c>
      <c r="C65" s="63">
        <v>0</v>
      </c>
      <c r="D65" s="63" t="s">
        <v>684</v>
      </c>
      <c r="E65" s="63" t="s">
        <v>683</v>
      </c>
      <c r="F65" s="70" t="str">
        <f>'PIM Model'!$AD$24</f>
        <v/>
      </c>
      <c r="G65" s="69" t="str">
        <f t="shared" si="0"/>
        <v/>
      </c>
      <c r="H65" s="76" t="str">
        <f>IF('PIM Model'!$D$24="$/LB","#","%")</f>
        <v>%</v>
      </c>
      <c r="I65" s="72" t="s">
        <v>686</v>
      </c>
      <c r="J65" s="1044">
        <f>'MDA Worksheet'!$AU$48</f>
        <v>2.25</v>
      </c>
      <c r="K65" s="1080">
        <f>'MDA Worksheet'!$AU$46*100</f>
        <v>30</v>
      </c>
      <c r="L65" s="63" t="s">
        <v>490</v>
      </c>
    </row>
    <row r="66" spans="1:12" x14ac:dyDescent="0.25">
      <c r="A66" s="63">
        <v>31</v>
      </c>
      <c r="B66" s="63">
        <v>0</v>
      </c>
      <c r="C66" s="63">
        <v>0</v>
      </c>
      <c r="D66" s="63" t="s">
        <v>684</v>
      </c>
      <c r="E66" s="63" t="s">
        <v>683</v>
      </c>
      <c r="F66" s="70" t="str">
        <f>'PIM Model'!$AD$25</f>
        <v/>
      </c>
      <c r="G66" s="69" t="str">
        <f t="shared" si="0"/>
        <v/>
      </c>
      <c r="H66" s="76" t="str">
        <f>IF('PIM Model'!$D$25="$/LB","#","%")</f>
        <v>%</v>
      </c>
      <c r="I66" s="72" t="s">
        <v>686</v>
      </c>
      <c r="J66" s="1044">
        <f>'MDA Worksheet'!$AU$48</f>
        <v>2.25</v>
      </c>
      <c r="K66" s="1080">
        <f>'MDA Worksheet'!$AU$46*100</f>
        <v>30</v>
      </c>
      <c r="L66" s="63" t="s">
        <v>490</v>
      </c>
    </row>
    <row r="67" spans="1:12" x14ac:dyDescent="0.25">
      <c r="A67" s="63">
        <v>32</v>
      </c>
      <c r="B67" s="63">
        <v>0</v>
      </c>
      <c r="C67" s="63">
        <v>0</v>
      </c>
      <c r="D67" s="63" t="s">
        <v>684</v>
      </c>
      <c r="E67" s="63" t="s">
        <v>683</v>
      </c>
      <c r="F67" s="70" t="str">
        <f>'PIM Model'!$AD$26</f>
        <v/>
      </c>
      <c r="G67" s="69" t="str">
        <f t="shared" si="0"/>
        <v/>
      </c>
      <c r="H67" s="76" t="str">
        <f>IF('PIM Model'!$D$26="$/LB","#","%")</f>
        <v>%</v>
      </c>
      <c r="I67" s="72" t="s">
        <v>686</v>
      </c>
      <c r="J67" s="1044">
        <f>'MDA Worksheet'!$AU$48</f>
        <v>2.25</v>
      </c>
      <c r="K67" s="1080">
        <f>'MDA Worksheet'!$AU$46*100</f>
        <v>30</v>
      </c>
      <c r="L67" s="63" t="s">
        <v>490</v>
      </c>
    </row>
    <row r="68" spans="1:12" x14ac:dyDescent="0.25">
      <c r="A68" s="63">
        <v>33</v>
      </c>
      <c r="B68" s="63">
        <v>0</v>
      </c>
      <c r="C68" s="63">
        <v>0</v>
      </c>
      <c r="D68" s="63" t="s">
        <v>684</v>
      </c>
      <c r="E68" s="63" t="s">
        <v>683</v>
      </c>
      <c r="F68" s="70" t="str">
        <f>'PIM Model'!$AD$29</f>
        <v/>
      </c>
      <c r="G68" s="69" t="str">
        <f t="shared" si="0"/>
        <v/>
      </c>
      <c r="H68" s="76" t="str">
        <f>IF('PIM Model'!$D$29="$/LB","#","%")</f>
        <v>%</v>
      </c>
      <c r="I68" s="72" t="s">
        <v>686</v>
      </c>
      <c r="J68" s="1044">
        <f>'MDA Worksheet'!$AU$48</f>
        <v>2.25</v>
      </c>
      <c r="K68" s="1080">
        <f>'MDA Worksheet'!$AU$46*100</f>
        <v>30</v>
      </c>
      <c r="L68" s="63" t="s">
        <v>490</v>
      </c>
    </row>
    <row r="69" spans="1:12" x14ac:dyDescent="0.25">
      <c r="A69" s="63">
        <v>34</v>
      </c>
      <c r="B69" s="63">
        <v>0</v>
      </c>
      <c r="C69" s="63">
        <v>0</v>
      </c>
      <c r="D69" s="63" t="s">
        <v>684</v>
      </c>
      <c r="E69" s="63" t="s">
        <v>683</v>
      </c>
      <c r="F69" s="70" t="str">
        <f>'PIM Model'!$AD$30</f>
        <v/>
      </c>
      <c r="G69" s="69" t="str">
        <f t="shared" ref="G69:G72" si="2">F69</f>
        <v/>
      </c>
      <c r="H69" s="76" t="str">
        <f>IF('PIM Model'!$D$30="$/LB","#","%")</f>
        <v>%</v>
      </c>
      <c r="I69" s="72" t="s">
        <v>686</v>
      </c>
      <c r="J69" s="1044">
        <f>'MDA Worksheet'!$AU$48</f>
        <v>2.25</v>
      </c>
      <c r="K69" s="1080">
        <f>'MDA Worksheet'!$AU$46*100</f>
        <v>30</v>
      </c>
      <c r="L69" s="63" t="s">
        <v>490</v>
      </c>
    </row>
    <row r="70" spans="1:12" x14ac:dyDescent="0.25">
      <c r="A70" s="63">
        <v>35</v>
      </c>
      <c r="B70" s="63">
        <v>0</v>
      </c>
      <c r="C70" s="63">
        <v>0</v>
      </c>
      <c r="D70" s="63" t="s">
        <v>684</v>
      </c>
      <c r="E70" s="63" t="s">
        <v>683</v>
      </c>
      <c r="F70" s="70" t="str">
        <f>'PIM Model'!$AD$28</f>
        <v/>
      </c>
      <c r="G70" s="69" t="str">
        <f t="shared" si="2"/>
        <v/>
      </c>
      <c r="H70" s="76" t="str">
        <f>'PIM Model'!$D$28</f>
        <v>%</v>
      </c>
      <c r="I70" s="72" t="s">
        <v>686</v>
      </c>
      <c r="J70" s="1044">
        <f>'MDA Worksheet'!$AU$48</f>
        <v>2.25</v>
      </c>
      <c r="K70" s="1080">
        <f>'MDA Worksheet'!$AU$46*100</f>
        <v>30</v>
      </c>
      <c r="L70" s="63" t="s">
        <v>490</v>
      </c>
    </row>
    <row r="71" spans="1:12" x14ac:dyDescent="0.25">
      <c r="A71" s="63">
        <v>35</v>
      </c>
      <c r="B71" s="63">
        <v>272</v>
      </c>
      <c r="C71" s="63">
        <v>3470</v>
      </c>
      <c r="D71" s="63" t="s">
        <v>682</v>
      </c>
      <c r="E71" s="63" t="str">
        <f>IF('PRIME Headers'!$C$20="No","PWW","P07")</f>
        <v>P07</v>
      </c>
      <c r="F71" s="70" t="str">
        <f>'PIM Model'!$AD$28</f>
        <v/>
      </c>
      <c r="G71" s="69" t="str">
        <f t="shared" ref="G71" si="3">F71</f>
        <v/>
      </c>
      <c r="H71" s="76" t="str">
        <f>'PIM Model'!$D$28</f>
        <v>%</v>
      </c>
      <c r="I71" s="72" t="s">
        <v>686</v>
      </c>
      <c r="J71" s="1044">
        <f>'MDA Worksheet'!$AU$48</f>
        <v>2.25</v>
      </c>
      <c r="K71" s="1080">
        <f>'MDA Worksheet'!$AU$46*100</f>
        <v>30</v>
      </c>
      <c r="L71" s="63" t="s">
        <v>490</v>
      </c>
    </row>
    <row r="72" spans="1:12" x14ac:dyDescent="0.25">
      <c r="A72" s="63">
        <v>37</v>
      </c>
      <c r="B72" s="63">
        <v>0</v>
      </c>
      <c r="C72" s="63">
        <v>0</v>
      </c>
      <c r="D72" s="63" t="s">
        <v>682</v>
      </c>
      <c r="E72" s="63" t="str">
        <f>IF('PRIME Headers'!$C$20="No","PWW","P07")</f>
        <v>P07</v>
      </c>
      <c r="F72" s="70" t="str">
        <f>'PIM Model'!$AD$22</f>
        <v/>
      </c>
      <c r="G72" s="69" t="str">
        <f t="shared" si="2"/>
        <v/>
      </c>
      <c r="H72" s="76" t="str">
        <f>IF('PIM Model'!$D$22="$/LB","#","%")</f>
        <v>%</v>
      </c>
      <c r="I72" s="72" t="s">
        <v>686</v>
      </c>
      <c r="J72" s="1044">
        <f>'MDA Worksheet'!$AU$48</f>
        <v>2.25</v>
      </c>
      <c r="K72" s="1080">
        <f>'MDA Worksheet'!$AU$46*100</f>
        <v>30</v>
      </c>
      <c r="L72" s="63" t="s">
        <v>490</v>
      </c>
    </row>
    <row r="73" spans="1:12" x14ac:dyDescent="0.25">
      <c r="A73" s="63">
        <v>996</v>
      </c>
      <c r="B73" s="63">
        <v>0</v>
      </c>
      <c r="C73" s="63">
        <v>0</v>
      </c>
      <c r="D73" s="63" t="s">
        <v>682</v>
      </c>
      <c r="E73" s="63" t="str">
        <f>IF('PRIME Headers'!$C$20="No","PWW","P07")</f>
        <v>P07</v>
      </c>
      <c r="F73" s="70" t="str">
        <f>IF(COUNTIF('PIM Model'!$E$10:$E$30,"Exclude"),"",'PIM Model'!$AD$20)</f>
        <v/>
      </c>
      <c r="G73" s="69" t="str">
        <f>F73</f>
        <v/>
      </c>
      <c r="H73" s="76" t="str">
        <f>'PIM Model'!$D$20</f>
        <v>%</v>
      </c>
      <c r="I73" s="72" t="s">
        <v>686</v>
      </c>
      <c r="J73" s="1044">
        <f>'MDA Worksheet'!$AU$48</f>
        <v>2.25</v>
      </c>
      <c r="K73" s="1080">
        <f>'MDA Worksheet'!$AU$46*100</f>
        <v>30</v>
      </c>
      <c r="L73" s="63" t="s">
        <v>490</v>
      </c>
    </row>
    <row r="74" spans="1:12" x14ac:dyDescent="0.25">
      <c r="A74" s="63">
        <v>997</v>
      </c>
      <c r="B74" s="63">
        <v>0</v>
      </c>
      <c r="C74" s="63">
        <v>0</v>
      </c>
      <c r="D74" s="63" t="s">
        <v>682</v>
      </c>
      <c r="E74" s="63" t="str">
        <f>IF('PRIME Headers'!$C$20="No","PWW","P07")</f>
        <v>P07</v>
      </c>
      <c r="F74" s="70" t="str">
        <f>IF(COUNTIF('PIM Model'!$E$10:$E$30,"Exclude"),"",'PIM Model'!$AD$21)</f>
        <v/>
      </c>
      <c r="G74" s="69" t="str">
        <f t="shared" ref="G74:G76" si="4">F74</f>
        <v/>
      </c>
      <c r="H74" s="76" t="str">
        <f>'PIM Model'!$D$21</f>
        <v>%</v>
      </c>
      <c r="I74" s="72" t="s">
        <v>686</v>
      </c>
      <c r="J74" s="1044">
        <f>'MDA Worksheet'!$AU$48</f>
        <v>2.25</v>
      </c>
      <c r="K74" s="1080">
        <f>'MDA Worksheet'!$AU$46*100</f>
        <v>30</v>
      </c>
      <c r="L74" s="63" t="s">
        <v>490</v>
      </c>
    </row>
    <row r="75" spans="1:12" x14ac:dyDescent="0.25">
      <c r="A75" s="63">
        <v>998</v>
      </c>
      <c r="B75" s="63">
        <v>0</v>
      </c>
      <c r="C75" s="63">
        <v>0</v>
      </c>
      <c r="D75" s="63" t="s">
        <v>682</v>
      </c>
      <c r="E75" s="63" t="str">
        <f>IF('PRIME Headers'!$C$20="No","PWW","P07")</f>
        <v>P07</v>
      </c>
      <c r="F75" s="70" t="str">
        <f>IF(COUNTIF('PIM Model'!$E$10:$E$30,"Exclude"),"",'PIM Model'!$AD$21)</f>
        <v/>
      </c>
      <c r="G75" s="69" t="str">
        <f t="shared" si="4"/>
        <v/>
      </c>
      <c r="H75" s="76" t="str">
        <f>'PIM Model'!$D$21</f>
        <v>%</v>
      </c>
      <c r="I75" s="72" t="s">
        <v>686</v>
      </c>
      <c r="J75" s="1044">
        <f>'MDA Worksheet'!$AU$48</f>
        <v>2.25</v>
      </c>
      <c r="K75" s="1080">
        <f>'MDA Worksheet'!$AU$46*100</f>
        <v>30</v>
      </c>
      <c r="L75" s="63" t="s">
        <v>490</v>
      </c>
    </row>
    <row r="76" spans="1:12" x14ac:dyDescent="0.25">
      <c r="A76" s="63">
        <v>999</v>
      </c>
      <c r="B76" s="63">
        <v>0</v>
      </c>
      <c r="C76" s="63">
        <v>0</v>
      </c>
      <c r="D76" s="63" t="s">
        <v>681</v>
      </c>
      <c r="E76" s="63" t="s">
        <v>680</v>
      </c>
      <c r="F76" s="70" t="str">
        <f>IF(COUNTIF('PIM Model'!$E$10:$E$30,"Exclude"),"",'PIM Model'!$AD$20)</f>
        <v/>
      </c>
      <c r="G76" s="69" t="str">
        <f t="shared" si="4"/>
        <v/>
      </c>
      <c r="H76" s="76" t="str">
        <f>'PIM Model'!$D$20</f>
        <v>%</v>
      </c>
      <c r="I76" s="72" t="s">
        <v>686</v>
      </c>
      <c r="J76" s="1044">
        <f>'MDA Worksheet'!$AU$48</f>
        <v>2.25</v>
      </c>
      <c r="K76" s="1080">
        <f>'MDA Worksheet'!$AU$46*100</f>
        <v>30</v>
      </c>
      <c r="L76" s="63" t="s">
        <v>490</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259</v>
      </c>
      <c r="B2" s="1"/>
      <c r="C2" s="381" t="s">
        <v>99</v>
      </c>
      <c r="D2" s="381" t="s">
        <v>520</v>
      </c>
      <c r="E2" s="381" t="s">
        <v>521</v>
      </c>
      <c r="F2" s="381" t="s">
        <v>102</v>
      </c>
      <c r="G2" s="381" t="s">
        <v>100</v>
      </c>
      <c r="H2" s="381" t="s">
        <v>104</v>
      </c>
      <c r="I2" s="381" t="s">
        <v>98</v>
      </c>
      <c r="J2" s="381" t="s">
        <v>95</v>
      </c>
      <c r="K2" s="381" t="s">
        <v>96</v>
      </c>
      <c r="L2" s="381" t="s">
        <v>101</v>
      </c>
      <c r="M2" s="381" t="s">
        <v>97</v>
      </c>
      <c r="N2" s="381" t="s">
        <v>93</v>
      </c>
      <c r="O2" s="381" t="s">
        <v>105</v>
      </c>
      <c r="P2" s="381" t="s">
        <v>92</v>
      </c>
      <c r="Q2" s="381" t="s">
        <v>91</v>
      </c>
      <c r="R2" s="381" t="s">
        <v>90</v>
      </c>
      <c r="S2" s="381" t="s">
        <v>89</v>
      </c>
      <c r="T2" s="381" t="s">
        <v>94</v>
      </c>
      <c r="U2" s="381" t="s">
        <v>86</v>
      </c>
      <c r="V2" s="381" t="s">
        <v>88</v>
      </c>
      <c r="W2" s="381" t="s">
        <v>87</v>
      </c>
      <c r="X2" s="381" t="s">
        <v>269</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260</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261</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262</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263</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264</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265</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266</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267</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268</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511</v>
      </c>
    </row>
    <row r="33" spans="1:23" ht="45" x14ac:dyDescent="0.25">
      <c r="A33" t="s">
        <v>259</v>
      </c>
      <c r="C33" t="s">
        <v>99</v>
      </c>
      <c r="D33" s="21" t="s">
        <v>520</v>
      </c>
      <c r="E33" s="21" t="s">
        <v>521</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260</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261</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262</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263</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264</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265</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266</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267</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268</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510</v>
      </c>
    </row>
    <row r="64" spans="1:23" ht="60" x14ac:dyDescent="0.25">
      <c r="A64" t="s">
        <v>259</v>
      </c>
      <c r="C64" s="21" t="s">
        <v>99</v>
      </c>
      <c r="D64" s="21" t="s">
        <v>520</v>
      </c>
      <c r="E64" s="21" t="s">
        <v>521</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260</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261</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262</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263</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264</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265</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266</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267</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268</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34"/>
      <c r="D1" s="140"/>
      <c r="E1" s="140"/>
      <c r="F1" s="140"/>
    </row>
    <row r="2" spans="1:6" ht="15.75" x14ac:dyDescent="0.25">
      <c r="A2" s="140"/>
      <c r="B2" s="1489" t="s">
        <v>1069</v>
      </c>
      <c r="C2" s="1490"/>
      <c r="D2" s="140"/>
      <c r="E2" s="140"/>
      <c r="F2" s="140"/>
    </row>
    <row r="3" spans="1:6" x14ac:dyDescent="0.25">
      <c r="A3" s="140"/>
      <c r="B3" s="674" t="s">
        <v>868</v>
      </c>
      <c r="C3" s="735" t="str">
        <f>IF(OR(Welcome!$D$10="PON Only",Welcome!$D$10="PON with Existing CIA",Welcome!$D$10="PON with New CIA"),"ALC PON "&amp;'MDA Worksheet'!$R$14,"ALCM "&amp;'MDA Worksheet'!$R$14)</f>
        <v>ALCM 0</v>
      </c>
      <c r="D3" s="140"/>
      <c r="E3" s="735"/>
      <c r="F3" s="140"/>
    </row>
    <row r="4" spans="1:6" x14ac:dyDescent="0.25">
      <c r="A4" s="140"/>
      <c r="B4" s="674" t="s">
        <v>871</v>
      </c>
      <c r="C4" s="736">
        <f>'Required Info to Submit'!$F$14</f>
        <v>0</v>
      </c>
      <c r="D4" s="140"/>
      <c r="E4" s="140"/>
      <c r="F4" s="140"/>
    </row>
    <row r="5" spans="1:6" x14ac:dyDescent="0.25">
      <c r="A5" s="140"/>
      <c r="B5" s="674" t="s">
        <v>872</v>
      </c>
      <c r="C5" s="735" t="s">
        <v>873</v>
      </c>
      <c r="D5" s="140"/>
      <c r="E5" s="140"/>
      <c r="F5" s="140"/>
    </row>
    <row r="6" spans="1:6" x14ac:dyDescent="0.25">
      <c r="A6" s="140"/>
      <c r="B6" s="1487" t="s">
        <v>876</v>
      </c>
      <c r="C6" s="1488"/>
      <c r="D6" s="140"/>
      <c r="E6" s="140"/>
      <c r="F6" s="140"/>
    </row>
    <row r="7" spans="1:6" x14ac:dyDescent="0.25">
      <c r="A7" s="140"/>
      <c r="B7" s="674" t="s">
        <v>869</v>
      </c>
      <c r="C7" s="735" t="s">
        <v>1226</v>
      </c>
      <c r="D7" s="140"/>
      <c r="E7" s="140"/>
      <c r="F7" s="140"/>
    </row>
    <row r="8" spans="1:6" x14ac:dyDescent="0.25">
      <c r="A8" s="140"/>
      <c r="B8" s="674" t="s">
        <v>870</v>
      </c>
      <c r="C8" s="735" t="s">
        <v>672</v>
      </c>
      <c r="D8" s="140"/>
      <c r="E8" s="140"/>
      <c r="F8" s="140"/>
    </row>
    <row r="9" spans="1:6" x14ac:dyDescent="0.25">
      <c r="A9" s="140"/>
      <c r="B9" s="674" t="s">
        <v>874</v>
      </c>
      <c r="C9" s="735">
        <f>'MDA Worksheet'!$K$10</f>
        <v>0</v>
      </c>
      <c r="D9" s="140"/>
      <c r="E9" s="140"/>
      <c r="F9" s="140"/>
    </row>
    <row r="10" spans="1:6" x14ac:dyDescent="0.25">
      <c r="A10" s="140"/>
      <c r="B10" s="674" t="s">
        <v>791</v>
      </c>
      <c r="C10" s="736">
        <f>'Required Info to Submit'!$F$14</f>
        <v>0</v>
      </c>
      <c r="D10" s="140"/>
      <c r="E10" s="140"/>
      <c r="F10" s="140"/>
    </row>
    <row r="11" spans="1:6" x14ac:dyDescent="0.25">
      <c r="A11" s="140"/>
      <c r="B11" s="674" t="s">
        <v>792</v>
      </c>
      <c r="C11" s="736" t="e">
        <f>IF(C20="NO",C10+370,'MDA Worksheet'!$AV$24)</f>
        <v>#VALUE!</v>
      </c>
      <c r="D11" s="140"/>
      <c r="E11" s="140"/>
      <c r="F11" s="140"/>
    </row>
    <row r="12" spans="1:6" x14ac:dyDescent="0.25">
      <c r="A12" s="140"/>
      <c r="B12" s="674" t="s">
        <v>875</v>
      </c>
      <c r="C12" s="735" t="s">
        <v>698</v>
      </c>
      <c r="D12" s="140"/>
      <c r="E12" s="140"/>
      <c r="F12" s="140"/>
    </row>
    <row r="13" spans="1:6" x14ac:dyDescent="0.25">
      <c r="A13" s="140"/>
      <c r="B13" s="1487" t="s">
        <v>877</v>
      </c>
      <c r="C13" s="1488"/>
      <c r="D13" s="140"/>
      <c r="E13" s="140"/>
      <c r="F13" s="140"/>
    </row>
    <row r="14" spans="1:6" x14ac:dyDescent="0.25">
      <c r="A14" s="140"/>
      <c r="B14" s="737" t="s">
        <v>878</v>
      </c>
      <c r="C14" s="735">
        <f>'MDA Worksheet'!$AU$48</f>
        <v>2.25</v>
      </c>
      <c r="D14" s="140"/>
      <c r="E14" s="140"/>
      <c r="F14" s="140"/>
    </row>
    <row r="15" spans="1:6" x14ac:dyDescent="0.25">
      <c r="A15" s="140"/>
      <c r="B15" s="737" t="s">
        <v>879</v>
      </c>
      <c r="C15" s="735" t="s">
        <v>880</v>
      </c>
      <c r="D15" s="140"/>
      <c r="E15" s="140"/>
      <c r="F15" s="140"/>
    </row>
    <row r="16" spans="1:6" x14ac:dyDescent="0.25">
      <c r="A16" s="140"/>
      <c r="B16" s="737" t="s">
        <v>881</v>
      </c>
      <c r="C16" s="735" t="s">
        <v>683</v>
      </c>
      <c r="D16" s="140"/>
      <c r="E16" s="140"/>
      <c r="F16" s="140"/>
    </row>
    <row r="17" spans="1:6" x14ac:dyDescent="0.25">
      <c r="A17" s="140"/>
      <c r="B17" s="737" t="s">
        <v>882</v>
      </c>
      <c r="C17" s="735" t="s">
        <v>883</v>
      </c>
      <c r="D17" s="140"/>
      <c r="E17" s="140"/>
      <c r="F17" s="140"/>
    </row>
    <row r="18" spans="1:6" x14ac:dyDescent="0.25">
      <c r="A18" s="140"/>
      <c r="B18" s="737" t="s">
        <v>884</v>
      </c>
      <c r="C18" s="1081">
        <f>'MDA Worksheet'!AU46</f>
        <v>0.3</v>
      </c>
      <c r="D18" s="140"/>
      <c r="E18" s="140"/>
      <c r="F18" s="140"/>
    </row>
    <row r="19" spans="1:6" x14ac:dyDescent="0.25">
      <c r="A19" s="140"/>
      <c r="B19" s="737" t="s">
        <v>885</v>
      </c>
      <c r="C19" s="735" t="s">
        <v>490</v>
      </c>
      <c r="D19" s="140"/>
      <c r="E19" s="140"/>
      <c r="F19" s="140"/>
    </row>
    <row r="20" spans="1:6" x14ac:dyDescent="0.25">
      <c r="A20" s="140"/>
      <c r="B20" s="737" t="s">
        <v>886</v>
      </c>
      <c r="C20" s="735" t="str">
        <f>IF(OR(Welcome!$D$10="PON Only",Welcome!$D$10="PON with New CIA",Welcome!$D$10="PON with Existing CIA"),"NO","YES")</f>
        <v>YES</v>
      </c>
      <c r="D20" s="140"/>
      <c r="E20" s="140"/>
      <c r="F20" s="140"/>
    </row>
    <row r="21" spans="1:6" x14ac:dyDescent="0.25">
      <c r="A21" s="140"/>
      <c r="B21" s="737" t="s">
        <v>887</v>
      </c>
      <c r="C21" s="735" t="str">
        <f>IF($C$20="No","","Semi-Annually")</f>
        <v>Semi-Annually</v>
      </c>
      <c r="D21" s="140"/>
      <c r="E21" s="140"/>
      <c r="F21" s="140"/>
    </row>
    <row r="22" spans="1:6" x14ac:dyDescent="0.25">
      <c r="A22" s="140"/>
      <c r="B22" s="737" t="s">
        <v>888</v>
      </c>
      <c r="C22" s="738" t="str">
        <f>'MDA Worksheet'!$T$38</f>
        <v>Error on A La Carte</v>
      </c>
      <c r="D22" s="140"/>
      <c r="E22" s="140"/>
      <c r="F22" s="140"/>
    </row>
    <row r="23" spans="1:6" x14ac:dyDescent="0.25">
      <c r="A23" s="140"/>
      <c r="B23" s="737" t="s">
        <v>889</v>
      </c>
      <c r="C23" s="739" t="str">
        <f>'MDA Worksheet'!$T$36</f>
        <v>Error on A La Carte</v>
      </c>
      <c r="D23" s="140"/>
      <c r="E23" s="140"/>
      <c r="F23" s="140"/>
    </row>
    <row r="24" spans="1:6" ht="15.75" thickBot="1" x14ac:dyDescent="0.3">
      <c r="A24" s="140"/>
      <c r="B24" s="740" t="s">
        <v>890</v>
      </c>
      <c r="C24" s="741">
        <v>2</v>
      </c>
      <c r="D24" s="140"/>
      <c r="E24" s="140"/>
      <c r="F24" s="140"/>
    </row>
    <row r="25" spans="1:6" x14ac:dyDescent="0.25">
      <c r="A25" s="140"/>
      <c r="B25" s="140"/>
      <c r="C25" s="734"/>
      <c r="D25" s="140"/>
      <c r="E25" s="140"/>
      <c r="F25" s="140"/>
    </row>
    <row r="26" spans="1:6" x14ac:dyDescent="0.25">
      <c r="A26" s="140"/>
      <c r="B26" s="140"/>
      <c r="C26" s="734"/>
      <c r="D26" s="140"/>
      <c r="E26" s="140"/>
      <c r="F26" s="140"/>
    </row>
    <row r="27" spans="1:6" x14ac:dyDescent="0.25">
      <c r="A27" s="140"/>
      <c r="B27" s="140"/>
      <c r="C27" s="734"/>
      <c r="D27" s="140"/>
      <c r="E27" s="140"/>
      <c r="F27" s="140"/>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850" bestFit="1" customWidth="1"/>
    <col min="3" max="3" width="28" style="850" bestFit="1" customWidth="1"/>
    <col min="4" max="4" width="10.85546875" bestFit="1" customWidth="1"/>
    <col min="5" max="5" width="15.85546875" bestFit="1" customWidth="1"/>
  </cols>
  <sheetData>
    <row r="1" spans="1:5" x14ac:dyDescent="0.25">
      <c r="A1" s="850" t="s">
        <v>1208</v>
      </c>
      <c r="B1" s="850" t="s">
        <v>1211</v>
      </c>
      <c r="C1" s="850" t="s">
        <v>1212</v>
      </c>
      <c r="D1" s="22" t="s">
        <v>1209</v>
      </c>
      <c r="E1" s="22" t="s">
        <v>1210</v>
      </c>
    </row>
    <row r="2" spans="1:5" x14ac:dyDescent="0.25">
      <c r="A2" s="850" t="s">
        <v>192</v>
      </c>
      <c r="B2" s="850">
        <v>2020</v>
      </c>
      <c r="C2" s="850" t="s">
        <v>916</v>
      </c>
      <c r="D2" s="22">
        <v>2.7739631938930701E-2</v>
      </c>
      <c r="E2" s="22">
        <v>2.7125016276518699E-2</v>
      </c>
    </row>
    <row r="3" spans="1:5" x14ac:dyDescent="0.25">
      <c r="A3" s="850" t="s">
        <v>191</v>
      </c>
      <c r="B3" s="850">
        <v>2180</v>
      </c>
      <c r="C3" s="850" t="s">
        <v>79</v>
      </c>
      <c r="D3" s="22">
        <v>2.8536064274713099E-2</v>
      </c>
      <c r="E3" s="22">
        <v>2.7125016276518699E-2</v>
      </c>
    </row>
    <row r="4" spans="1:5" x14ac:dyDescent="0.25">
      <c r="A4" s="850" t="s">
        <v>190</v>
      </c>
      <c r="B4" s="850">
        <v>2160</v>
      </c>
      <c r="C4" s="850" t="s">
        <v>28</v>
      </c>
      <c r="D4" s="22">
        <v>3.1885529773458002E-2</v>
      </c>
      <c r="E4" s="22">
        <v>2.7125016276518699E-2</v>
      </c>
    </row>
    <row r="5" spans="1:5" x14ac:dyDescent="0.25">
      <c r="A5" s="850" t="s">
        <v>189</v>
      </c>
      <c r="B5" s="850">
        <v>2110</v>
      </c>
      <c r="C5" s="850" t="s">
        <v>33</v>
      </c>
      <c r="D5" s="22">
        <v>2.82674148233787E-2</v>
      </c>
      <c r="E5" s="22">
        <v>2.7125016276518699E-2</v>
      </c>
    </row>
    <row r="6" spans="1:5" x14ac:dyDescent="0.25">
      <c r="A6" s="850" t="s">
        <v>188</v>
      </c>
      <c r="B6" s="850">
        <v>2165</v>
      </c>
      <c r="C6" s="850" t="s">
        <v>81</v>
      </c>
      <c r="D6" s="22">
        <v>2.7125016276518699E-2</v>
      </c>
      <c r="E6" s="22">
        <v>2.7125016276518699E-2</v>
      </c>
    </row>
    <row r="7" spans="1:5" x14ac:dyDescent="0.25">
      <c r="A7" s="850" t="s">
        <v>187</v>
      </c>
      <c r="B7" s="850">
        <v>2170</v>
      </c>
      <c r="C7" s="850" t="s">
        <v>122</v>
      </c>
      <c r="D7" s="22">
        <v>2.59925926894349E-2</v>
      </c>
      <c r="E7" s="22">
        <v>2.7125016276518699E-2</v>
      </c>
    </row>
    <row r="8" spans="1:5" x14ac:dyDescent="0.25">
      <c r="A8" s="850" t="s">
        <v>186</v>
      </c>
      <c r="B8" s="850">
        <v>2148</v>
      </c>
      <c r="C8" s="850" t="s">
        <v>64</v>
      </c>
      <c r="D8" s="22">
        <v>2.6095112304206601E-2</v>
      </c>
      <c r="E8" s="22">
        <v>2.7125016276518699E-2</v>
      </c>
    </row>
    <row r="9" spans="1:5" x14ac:dyDescent="0.25">
      <c r="A9" s="850" t="s">
        <v>185</v>
      </c>
      <c r="B9" s="850">
        <v>2190</v>
      </c>
      <c r="C9" s="850" t="s">
        <v>19</v>
      </c>
      <c r="D9" s="22">
        <v>2.81140048372523E-2</v>
      </c>
      <c r="E9" s="22">
        <v>2.7125016276518699E-2</v>
      </c>
    </row>
    <row r="10" spans="1:5" x14ac:dyDescent="0.25">
      <c r="A10" s="850" t="s">
        <v>184</v>
      </c>
      <c r="B10" s="850">
        <v>2116</v>
      </c>
      <c r="C10" s="850" t="s">
        <v>59</v>
      </c>
      <c r="D10" s="22">
        <v>2.9944763320575302E-2</v>
      </c>
      <c r="E10" s="22">
        <v>2.7125016276518699E-2</v>
      </c>
    </row>
    <row r="11" spans="1:5" x14ac:dyDescent="0.25">
      <c r="A11" s="850" t="s">
        <v>183</v>
      </c>
      <c r="B11" s="850">
        <v>248</v>
      </c>
      <c r="C11" s="850" t="s">
        <v>1093</v>
      </c>
      <c r="D11" s="22">
        <v>2.6464657930859201E-2</v>
      </c>
      <c r="E11" s="22">
        <v>2.7125016276518699E-2</v>
      </c>
    </row>
    <row r="12" spans="1:5" x14ac:dyDescent="0.25">
      <c r="A12" s="850" t="s">
        <v>181</v>
      </c>
      <c r="B12" s="850">
        <v>2350</v>
      </c>
      <c r="C12" s="850" t="s">
        <v>39</v>
      </c>
      <c r="D12" s="22">
        <v>2.9415639585766401E-2</v>
      </c>
      <c r="E12" s="22">
        <v>2.7125016276518699E-2</v>
      </c>
    </row>
    <row r="13" spans="1:5" x14ac:dyDescent="0.25">
      <c r="A13" s="850" t="s">
        <v>180</v>
      </c>
      <c r="B13" s="850">
        <v>2345</v>
      </c>
      <c r="C13" s="850" t="s">
        <v>917</v>
      </c>
      <c r="D13" s="22">
        <v>2.6962706679612598E-2</v>
      </c>
      <c r="E13" s="22">
        <v>2.7125016276518699E-2</v>
      </c>
    </row>
    <row r="14" spans="1:5" x14ac:dyDescent="0.25">
      <c r="A14" s="850" t="s">
        <v>179</v>
      </c>
      <c r="B14" s="850">
        <v>2330</v>
      </c>
      <c r="C14" s="850" t="s">
        <v>31</v>
      </c>
      <c r="D14" s="22">
        <v>2.6792509343913602E-2</v>
      </c>
      <c r="E14" s="22">
        <v>2.7125016276518699E-2</v>
      </c>
    </row>
    <row r="15" spans="1:5" x14ac:dyDescent="0.25">
      <c r="A15" s="850" t="s">
        <v>178</v>
      </c>
      <c r="B15" s="850">
        <v>2340</v>
      </c>
      <c r="C15" s="850" t="s">
        <v>918</v>
      </c>
      <c r="D15" s="22">
        <v>2.53908115053765E-2</v>
      </c>
      <c r="E15" s="22">
        <v>2.7125016276518699E-2</v>
      </c>
    </row>
    <row r="16" spans="1:5" x14ac:dyDescent="0.25">
      <c r="A16" s="850" t="s">
        <v>177</v>
      </c>
      <c r="B16" s="850">
        <v>4100</v>
      </c>
      <c r="C16" s="850" t="s">
        <v>52</v>
      </c>
      <c r="D16" s="22">
        <v>2.9901342297929501E-2</v>
      </c>
      <c r="E16" s="22">
        <v>2.7125016276518699E-2</v>
      </c>
    </row>
    <row r="17" spans="1:5" x14ac:dyDescent="0.25">
      <c r="A17" s="850" t="s">
        <v>1108</v>
      </c>
      <c r="B17" s="850">
        <v>2355</v>
      </c>
      <c r="C17" s="850" t="s">
        <v>1109</v>
      </c>
      <c r="D17" s="22">
        <v>3.4605844000615303E-2</v>
      </c>
      <c r="E17" s="22">
        <v>2.7125016276518699E-2</v>
      </c>
    </row>
    <row r="18" spans="1:5" x14ac:dyDescent="0.25">
      <c r="A18" s="850" t="s">
        <v>176</v>
      </c>
      <c r="B18" s="850">
        <v>1054</v>
      </c>
      <c r="C18" s="850" t="s">
        <v>46</v>
      </c>
      <c r="D18" s="22">
        <v>2.8511953382644999E-2</v>
      </c>
      <c r="E18" s="22">
        <v>2.7125016276518699E-2</v>
      </c>
    </row>
    <row r="19" spans="1:5" x14ac:dyDescent="0.25">
      <c r="A19" s="850" t="s">
        <v>175</v>
      </c>
      <c r="B19" s="850">
        <v>1103</v>
      </c>
      <c r="C19" s="850" t="s">
        <v>22</v>
      </c>
      <c r="D19" s="22">
        <v>3.0860519002866901E-2</v>
      </c>
      <c r="E19" s="22">
        <v>2.7125016276518699E-2</v>
      </c>
    </row>
    <row r="20" spans="1:5" x14ac:dyDescent="0.25">
      <c r="A20" s="850" t="s">
        <v>174</v>
      </c>
      <c r="B20" s="850">
        <v>2099</v>
      </c>
      <c r="C20" s="850" t="s">
        <v>58</v>
      </c>
      <c r="D20" s="22">
        <v>2.5143112075853E-2</v>
      </c>
      <c r="E20" s="22">
        <v>2.7125016276518699E-2</v>
      </c>
    </row>
    <row r="21" spans="1:5" x14ac:dyDescent="0.25">
      <c r="A21" s="850" t="s">
        <v>173</v>
      </c>
      <c r="B21" s="850">
        <v>1104</v>
      </c>
      <c r="C21" s="850" t="s">
        <v>43</v>
      </c>
      <c r="D21" s="22">
        <v>2.9510551954597099E-2</v>
      </c>
      <c r="E21" s="22">
        <v>2.7125016276518699E-2</v>
      </c>
    </row>
    <row r="22" spans="1:5" x14ac:dyDescent="0.25">
      <c r="A22" s="850" t="s">
        <v>172</v>
      </c>
      <c r="B22" s="850">
        <v>4120</v>
      </c>
      <c r="C22" s="850" t="s">
        <v>63</v>
      </c>
      <c r="D22" s="22">
        <v>2.78821251138664E-2</v>
      </c>
      <c r="E22" s="22">
        <v>2.7125016276518699E-2</v>
      </c>
    </row>
    <row r="23" spans="1:5" x14ac:dyDescent="0.25">
      <c r="A23" s="850" t="s">
        <v>171</v>
      </c>
      <c r="B23" s="850">
        <v>4118</v>
      </c>
      <c r="C23" s="850" t="s">
        <v>30</v>
      </c>
      <c r="D23" s="22">
        <v>2.7490429003036599E-2</v>
      </c>
      <c r="E23" s="22">
        <v>2.7125016276518699E-2</v>
      </c>
    </row>
    <row r="24" spans="1:5" x14ac:dyDescent="0.25">
      <c r="A24" s="850" t="s">
        <v>170</v>
      </c>
      <c r="B24" s="850">
        <v>4146</v>
      </c>
      <c r="C24" s="850" t="s">
        <v>54</v>
      </c>
      <c r="D24" s="22">
        <v>2.6943630265373199E-2</v>
      </c>
      <c r="E24" s="22">
        <v>2.7125016276518699E-2</v>
      </c>
    </row>
    <row r="25" spans="1:5" x14ac:dyDescent="0.25">
      <c r="A25" s="850" t="s">
        <v>169</v>
      </c>
      <c r="B25" s="850">
        <v>4140</v>
      </c>
      <c r="C25" s="850" t="s">
        <v>40</v>
      </c>
      <c r="D25" s="22">
        <v>2.67651154233217E-2</v>
      </c>
      <c r="E25" s="22">
        <v>2.7125016276518699E-2</v>
      </c>
    </row>
    <row r="26" spans="1:5" x14ac:dyDescent="0.25">
      <c r="A26" s="850" t="s">
        <v>168</v>
      </c>
      <c r="B26" s="850">
        <v>4117</v>
      </c>
      <c r="C26" s="850" t="s">
        <v>17</v>
      </c>
      <c r="D26" s="22">
        <v>2.6616857866198201E-2</v>
      </c>
      <c r="E26" s="22">
        <v>2.7125016276518699E-2</v>
      </c>
    </row>
    <row r="27" spans="1:5" x14ac:dyDescent="0.25">
      <c r="A27" s="850" t="s">
        <v>167</v>
      </c>
      <c r="B27" s="850">
        <v>4147</v>
      </c>
      <c r="C27" s="850" t="s">
        <v>1247</v>
      </c>
      <c r="D27" s="22">
        <v>2.9100000000000001E-2</v>
      </c>
      <c r="E27" s="22">
        <v>2.7125016276518699E-2</v>
      </c>
    </row>
    <row r="28" spans="1:5" x14ac:dyDescent="0.25">
      <c r="A28" s="850" t="s">
        <v>166</v>
      </c>
      <c r="B28" s="850">
        <v>4110</v>
      </c>
      <c r="C28" s="850" t="s">
        <v>73</v>
      </c>
      <c r="D28" s="22">
        <v>2.65128206477999E-2</v>
      </c>
      <c r="E28" s="22">
        <v>2.7125016276518699E-2</v>
      </c>
    </row>
    <row r="29" spans="1:5" x14ac:dyDescent="0.25">
      <c r="A29" s="850" t="s">
        <v>165</v>
      </c>
      <c r="B29" s="850">
        <v>4150</v>
      </c>
      <c r="C29" s="850" t="s">
        <v>55</v>
      </c>
      <c r="D29" s="22">
        <v>2.3355361617324301E-2</v>
      </c>
      <c r="E29" s="22">
        <v>2.7125016276518699E-2</v>
      </c>
    </row>
    <row r="30" spans="1:5" x14ac:dyDescent="0.25">
      <c r="A30" s="850" t="s">
        <v>164</v>
      </c>
      <c r="B30" s="850">
        <v>3190</v>
      </c>
      <c r="C30" s="850" t="s">
        <v>27</v>
      </c>
      <c r="D30" s="22">
        <v>2.8324561503501499E-2</v>
      </c>
      <c r="E30" s="22">
        <v>2.7125016276518699E-2</v>
      </c>
    </row>
    <row r="31" spans="1:5" x14ac:dyDescent="0.25">
      <c r="A31" s="850" t="s">
        <v>163</v>
      </c>
      <c r="B31" s="850">
        <v>2260</v>
      </c>
      <c r="C31" s="850" t="s">
        <v>10</v>
      </c>
      <c r="D31" s="22">
        <v>2.59598075038967E-2</v>
      </c>
      <c r="E31" s="22">
        <v>2.7125016276518699E-2</v>
      </c>
    </row>
    <row r="32" spans="1:5" x14ac:dyDescent="0.25">
      <c r="A32" s="850" t="s">
        <v>162</v>
      </c>
      <c r="B32" s="850">
        <v>2210</v>
      </c>
      <c r="C32" s="850" t="s">
        <v>121</v>
      </c>
      <c r="D32" s="22">
        <v>2.3893251208070801E-2</v>
      </c>
      <c r="E32" s="22">
        <v>2.7125016276518699E-2</v>
      </c>
    </row>
    <row r="33" spans="1:5" x14ac:dyDescent="0.25">
      <c r="A33" s="850" t="s">
        <v>161</v>
      </c>
      <c r="B33" s="850">
        <v>2240</v>
      </c>
      <c r="C33" s="850" t="s">
        <v>16</v>
      </c>
      <c r="D33" s="22">
        <v>2.74803575467139E-2</v>
      </c>
      <c r="E33" s="22">
        <v>2.7125016276518699E-2</v>
      </c>
    </row>
    <row r="34" spans="1:5" x14ac:dyDescent="0.25">
      <c r="A34" s="850" t="s">
        <v>160</v>
      </c>
      <c r="B34" s="850">
        <v>2220</v>
      </c>
      <c r="C34" s="850" t="s">
        <v>5</v>
      </c>
      <c r="D34" s="22">
        <v>2.5343147655549899E-2</v>
      </c>
      <c r="E34" s="22">
        <v>2.7125016276518699E-2</v>
      </c>
    </row>
    <row r="35" spans="1:5" x14ac:dyDescent="0.25">
      <c r="A35" s="850" t="s">
        <v>159</v>
      </c>
      <c r="B35" s="850">
        <v>2125</v>
      </c>
      <c r="C35" s="850" t="s">
        <v>21</v>
      </c>
      <c r="D35" s="22">
        <v>2.6682633749483799E-2</v>
      </c>
      <c r="E35" s="22">
        <v>2.7125016276518699E-2</v>
      </c>
    </row>
    <row r="36" spans="1:5" x14ac:dyDescent="0.25">
      <c r="A36" s="850" t="s">
        <v>158</v>
      </c>
      <c r="B36" s="850">
        <v>2230</v>
      </c>
      <c r="C36" s="850" t="s">
        <v>49</v>
      </c>
      <c r="D36" s="22">
        <v>2.67508594907159E-2</v>
      </c>
      <c r="E36" s="22">
        <v>2.7125016276518699E-2</v>
      </c>
    </row>
    <row r="37" spans="1:5" x14ac:dyDescent="0.25">
      <c r="A37" s="850" t="s">
        <v>157</v>
      </c>
      <c r="B37" s="850">
        <v>3055</v>
      </c>
      <c r="C37" s="850" t="s">
        <v>7</v>
      </c>
      <c r="D37" s="22">
        <v>2.2915815988E-2</v>
      </c>
      <c r="E37" s="22">
        <v>2.7125016276518699E-2</v>
      </c>
    </row>
    <row r="38" spans="1:5" x14ac:dyDescent="0.25">
      <c r="A38" s="850" t="s">
        <v>1110</v>
      </c>
      <c r="B38" s="850">
        <v>2365</v>
      </c>
      <c r="C38" s="850" t="s">
        <v>1111</v>
      </c>
      <c r="D38" s="22">
        <v>2.87892046246566E-2</v>
      </c>
      <c r="E38" s="22">
        <v>2.7125016276518699E-2</v>
      </c>
    </row>
    <row r="39" spans="1:5" x14ac:dyDescent="0.25">
      <c r="A39" s="850" t="s">
        <v>156</v>
      </c>
      <c r="B39" s="850">
        <v>2250</v>
      </c>
      <c r="C39" s="850" t="s">
        <v>32</v>
      </c>
      <c r="D39" s="22">
        <v>2.5661957357599401E-2</v>
      </c>
      <c r="E39" s="22">
        <v>2.7125016276518699E-2</v>
      </c>
    </row>
    <row r="40" spans="1:5" x14ac:dyDescent="0.25">
      <c r="A40" s="850" t="s">
        <v>155</v>
      </c>
      <c r="B40" s="850">
        <v>3051</v>
      </c>
      <c r="C40" s="850" t="s">
        <v>76</v>
      </c>
      <c r="D40" s="22">
        <v>2.9814972600597098E-2</v>
      </c>
      <c r="E40" s="22">
        <v>2.7125016276518699E-2</v>
      </c>
    </row>
    <row r="41" spans="1:5" x14ac:dyDescent="0.25">
      <c r="A41" s="850" t="s">
        <v>154</v>
      </c>
      <c r="B41" s="850">
        <v>2370</v>
      </c>
      <c r="C41" s="850" t="s">
        <v>77</v>
      </c>
      <c r="D41" s="22">
        <v>2.35030648067363E-2</v>
      </c>
      <c r="E41" s="22">
        <v>2.7125016276518699E-2</v>
      </c>
    </row>
    <row r="42" spans="1:5" x14ac:dyDescent="0.25">
      <c r="A42" s="850" t="s">
        <v>153</v>
      </c>
      <c r="B42" s="850">
        <v>2135</v>
      </c>
      <c r="C42" s="850" t="s">
        <v>25</v>
      </c>
      <c r="D42" s="22">
        <v>2.6421829910205499E-2</v>
      </c>
      <c r="E42" s="22">
        <v>2.7125016276518699E-2</v>
      </c>
    </row>
    <row r="43" spans="1:5" x14ac:dyDescent="0.25">
      <c r="A43" s="850" t="s">
        <v>152</v>
      </c>
      <c r="B43" s="850">
        <v>2270</v>
      </c>
      <c r="C43" s="850" t="s">
        <v>2</v>
      </c>
      <c r="D43" s="22">
        <v>2.3666354884089899E-2</v>
      </c>
      <c r="E43" s="22">
        <v>2.7125016276518699E-2</v>
      </c>
    </row>
    <row r="44" spans="1:5" x14ac:dyDescent="0.25">
      <c r="A44" s="850" t="s">
        <v>151</v>
      </c>
      <c r="B44" s="850">
        <v>3230</v>
      </c>
      <c r="C44" s="850" t="s">
        <v>37</v>
      </c>
      <c r="D44" s="22">
        <v>2.6730080332460899E-2</v>
      </c>
      <c r="E44" s="22">
        <v>2.7125016276518699E-2</v>
      </c>
    </row>
    <row r="45" spans="1:5" x14ac:dyDescent="0.25">
      <c r="A45" s="850" t="s">
        <v>150</v>
      </c>
      <c r="B45" s="850">
        <v>3170</v>
      </c>
      <c r="C45" s="850" t="s">
        <v>24</v>
      </c>
      <c r="D45" s="22">
        <v>2.7054357310372E-2</v>
      </c>
      <c r="E45" s="22">
        <v>2.7125016276518699E-2</v>
      </c>
    </row>
    <row r="46" spans="1:5" x14ac:dyDescent="0.25">
      <c r="A46" s="850" t="s">
        <v>149</v>
      </c>
      <c r="B46" s="850">
        <v>3120</v>
      </c>
      <c r="C46" s="850" t="s">
        <v>68</v>
      </c>
      <c r="D46" s="22">
        <v>2.6123399008142499E-2</v>
      </c>
      <c r="E46" s="22">
        <v>2.7125016276518699E-2</v>
      </c>
    </row>
    <row r="47" spans="1:5" x14ac:dyDescent="0.25">
      <c r="A47" s="850" t="s">
        <v>148</v>
      </c>
      <c r="B47" s="850">
        <v>3186</v>
      </c>
      <c r="C47" s="850" t="s">
        <v>65</v>
      </c>
      <c r="D47" s="22">
        <v>2.8135776475119102E-2</v>
      </c>
      <c r="E47" s="22">
        <v>2.7125016276518699E-2</v>
      </c>
    </row>
    <row r="48" spans="1:5" x14ac:dyDescent="0.25">
      <c r="A48" s="850" t="s">
        <v>147</v>
      </c>
      <c r="B48" s="850">
        <v>3160</v>
      </c>
      <c r="C48" s="850" t="s">
        <v>50</v>
      </c>
      <c r="D48" s="22">
        <v>2.8067018330258899E-2</v>
      </c>
      <c r="E48" s="22">
        <v>2.7125016276518699E-2</v>
      </c>
    </row>
    <row r="49" spans="1:5" x14ac:dyDescent="0.25">
      <c r="A49" s="850" t="s">
        <v>146</v>
      </c>
      <c r="B49" s="850">
        <v>3150</v>
      </c>
      <c r="C49" s="850" t="s">
        <v>26</v>
      </c>
      <c r="D49" s="22">
        <v>2.6046662387047999E-2</v>
      </c>
      <c r="E49" s="22">
        <v>2.7125016276518699E-2</v>
      </c>
    </row>
    <row r="50" spans="1:5" x14ac:dyDescent="0.25">
      <c r="A50" s="850" t="s">
        <v>145</v>
      </c>
      <c r="B50" s="850">
        <v>3126</v>
      </c>
      <c r="C50" s="850" t="s">
        <v>80</v>
      </c>
      <c r="D50" s="22">
        <v>2.4500408399063801E-2</v>
      </c>
      <c r="E50" s="22">
        <v>2.7125016276518699E-2</v>
      </c>
    </row>
    <row r="51" spans="1:5" x14ac:dyDescent="0.25">
      <c r="A51" s="850" t="s">
        <v>144</v>
      </c>
      <c r="B51" s="850">
        <v>3023</v>
      </c>
      <c r="C51" s="850" t="s">
        <v>42</v>
      </c>
      <c r="D51" s="22">
        <v>2.72264414110285E-2</v>
      </c>
      <c r="E51" s="22">
        <v>2.7125016276518699E-2</v>
      </c>
    </row>
    <row r="52" spans="1:5" x14ac:dyDescent="0.25">
      <c r="A52" s="850" t="s">
        <v>143</v>
      </c>
      <c r="B52" s="850">
        <v>2185</v>
      </c>
      <c r="C52" s="850" t="s">
        <v>53</v>
      </c>
      <c r="D52" s="22">
        <v>2.59344882196802E-2</v>
      </c>
      <c r="E52" s="22">
        <v>2.7125016276518699E-2</v>
      </c>
    </row>
    <row r="53" spans="1:5" x14ac:dyDescent="0.25">
      <c r="A53" s="850" t="s">
        <v>142</v>
      </c>
      <c r="B53" s="850">
        <v>1106</v>
      </c>
      <c r="C53" s="850" t="s">
        <v>67</v>
      </c>
      <c r="D53" s="22">
        <v>2.8050323067163201E-2</v>
      </c>
      <c r="E53" s="22">
        <v>2.7125016276518699E-2</v>
      </c>
    </row>
    <row r="54" spans="1:5" x14ac:dyDescent="0.25">
      <c r="A54" s="850" t="s">
        <v>141</v>
      </c>
      <c r="B54" s="850">
        <v>3135</v>
      </c>
      <c r="C54" s="850" t="s">
        <v>29</v>
      </c>
      <c r="D54" s="22">
        <v>2.16945751008298E-2</v>
      </c>
      <c r="E54" s="22">
        <v>2.7125016276518699E-2</v>
      </c>
    </row>
    <row r="55" spans="1:5" x14ac:dyDescent="0.25">
      <c r="A55" s="850" t="s">
        <v>380</v>
      </c>
      <c r="B55" s="850">
        <v>3139</v>
      </c>
      <c r="C55" s="850" t="s">
        <v>246</v>
      </c>
      <c r="D55" s="22">
        <v>2.8207940601015499E-2</v>
      </c>
      <c r="E55" s="22">
        <v>2.7125016276518699E-2</v>
      </c>
    </row>
    <row r="56" spans="1:5" x14ac:dyDescent="0.25">
      <c r="A56" s="850" t="s">
        <v>140</v>
      </c>
      <c r="B56" s="850">
        <v>3147</v>
      </c>
      <c r="C56" s="850" t="s">
        <v>51</v>
      </c>
      <c r="D56" s="22">
        <v>2.5867145176892099E-2</v>
      </c>
      <c r="E56" s="22">
        <v>2.7125016276518699E-2</v>
      </c>
    </row>
    <row r="57" spans="1:5" x14ac:dyDescent="0.25">
      <c r="A57" s="850" t="s">
        <v>139</v>
      </c>
      <c r="B57" s="850">
        <v>3210</v>
      </c>
      <c r="C57" s="850" t="s">
        <v>47</v>
      </c>
      <c r="D57" s="22">
        <v>2.74445239361195E-2</v>
      </c>
      <c r="E57" s="22">
        <v>2.7125016276518699E-2</v>
      </c>
    </row>
    <row r="58" spans="1:5" x14ac:dyDescent="0.25">
      <c r="A58" s="850" t="s">
        <v>138</v>
      </c>
      <c r="B58" s="850">
        <v>1933</v>
      </c>
      <c r="C58" s="850" t="s">
        <v>56</v>
      </c>
      <c r="D58" s="22">
        <v>2.4213377365114599E-2</v>
      </c>
      <c r="E58" s="22">
        <v>2.7125016276518699E-2</v>
      </c>
    </row>
    <row r="59" spans="1:5" x14ac:dyDescent="0.25">
      <c r="A59" s="850" t="s">
        <v>137</v>
      </c>
      <c r="B59" s="850">
        <v>2140</v>
      </c>
      <c r="C59" s="850" t="s">
        <v>12</v>
      </c>
      <c r="D59" s="22">
        <v>2.7858540698883199E-2</v>
      </c>
      <c r="E59" s="22">
        <v>2.7125016276518699E-2</v>
      </c>
    </row>
    <row r="60" spans="1:5" x14ac:dyDescent="0.25">
      <c r="A60" s="850" t="s">
        <v>136</v>
      </c>
      <c r="B60" s="850">
        <v>3103</v>
      </c>
      <c r="C60" s="850" t="s">
        <v>57</v>
      </c>
      <c r="D60" s="22">
        <v>2.4165289961531701E-2</v>
      </c>
      <c r="E60" s="22">
        <v>2.7125016276518699E-2</v>
      </c>
    </row>
    <row r="61" spans="1:5" x14ac:dyDescent="0.25">
      <c r="A61" s="850" t="s">
        <v>135</v>
      </c>
      <c r="B61" s="850">
        <v>2360</v>
      </c>
      <c r="C61" s="850" t="s">
        <v>72</v>
      </c>
      <c r="D61" s="22">
        <v>2.4943884894722299E-2</v>
      </c>
      <c r="E61" s="22">
        <v>2.7125016276518699E-2</v>
      </c>
    </row>
    <row r="62" spans="1:5" s="928" customFormat="1" x14ac:dyDescent="0.25">
      <c r="A62" s="928" t="s">
        <v>1245</v>
      </c>
      <c r="B62" s="928">
        <v>4170</v>
      </c>
      <c r="C62" s="928" t="s">
        <v>1246</v>
      </c>
      <c r="D62" s="22">
        <v>2.8799999999999999E-2</v>
      </c>
      <c r="E62" s="22">
        <v>2.7125016276518699E-2</v>
      </c>
    </row>
    <row r="63" spans="1:5" x14ac:dyDescent="0.25">
      <c r="A63" s="850" t="s">
        <v>133</v>
      </c>
      <c r="B63" s="850">
        <v>3220</v>
      </c>
      <c r="C63" s="850"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F11" sqref="F11"/>
    </sheetView>
  </sheetViews>
  <sheetFormatPr defaultColWidth="9.140625" defaultRowHeight="15" x14ac:dyDescent="0.25"/>
  <cols>
    <col min="1" max="1" width="10.28515625" style="792" bestFit="1" customWidth="1"/>
    <col min="2" max="2" width="31.42578125" style="792" bestFit="1" customWidth="1"/>
    <col min="3" max="16384" width="9.140625" style="792"/>
  </cols>
  <sheetData>
    <row r="1" spans="1:2" x14ac:dyDescent="0.25">
      <c r="A1" s="794" t="s">
        <v>1100</v>
      </c>
      <c r="B1" s="794" t="s">
        <v>1099</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96" bestFit="1" customWidth="1"/>
    <col min="2" max="2" width="31.42578125" style="796" bestFit="1" customWidth="1"/>
    <col min="3" max="16384" width="9.140625" style="796"/>
  </cols>
  <sheetData>
    <row r="1" spans="1:4" x14ac:dyDescent="0.25">
      <c r="A1" s="794" t="s">
        <v>1100</v>
      </c>
      <c r="B1" s="794" t="s">
        <v>1099</v>
      </c>
      <c r="C1" s="796" t="s">
        <v>1095</v>
      </c>
      <c r="D1" s="796" t="s">
        <v>1096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C1"/>
  <sheetViews>
    <sheetView workbookViewId="0">
      <selection activeCell="A2" sqref="A2"/>
    </sheetView>
  </sheetViews>
  <sheetFormatPr defaultColWidth="9.140625" defaultRowHeight="15" x14ac:dyDescent="0.25"/>
  <cols>
    <col min="1" max="1" width="10.28515625" style="1008" bestFit="1" customWidth="1"/>
    <col min="2" max="2" width="31.85546875" style="1008" bestFit="1" customWidth="1"/>
    <col min="3" max="3" width="31.7109375" style="1008" bestFit="1" customWidth="1"/>
    <col min="4" max="4" width="29.140625" style="1008" bestFit="1" customWidth="1"/>
    <col min="5" max="5" width="16" style="1008" bestFit="1" customWidth="1"/>
    <col min="6" max="7" width="53.28515625" style="1008" bestFit="1" customWidth="1"/>
    <col min="8" max="8" width="42.42578125" style="1008" bestFit="1" customWidth="1"/>
    <col min="9" max="9" width="10" style="1008" bestFit="1" customWidth="1"/>
    <col min="10" max="10" width="6.7109375" style="1008" bestFit="1" customWidth="1"/>
    <col min="11" max="11" width="14.7109375" style="1008" bestFit="1" customWidth="1"/>
    <col min="12" max="12" width="15.85546875" style="1008" bestFit="1" customWidth="1"/>
    <col min="13" max="13" width="18.85546875" style="1008" bestFit="1" customWidth="1"/>
    <col min="14" max="14" width="24.42578125" style="1008" bestFit="1" customWidth="1"/>
    <col min="15" max="15" width="10" style="1008" bestFit="1" customWidth="1"/>
    <col min="16" max="16" width="27" style="1008" bestFit="1" customWidth="1"/>
    <col min="17" max="17" width="29.140625" style="1008" bestFit="1" customWidth="1"/>
    <col min="18" max="18" width="17" style="1008" bestFit="1" customWidth="1"/>
    <col min="19" max="19" width="24.5703125" style="1008" bestFit="1" customWidth="1"/>
    <col min="20" max="20" width="36.28515625" style="1008" bestFit="1" customWidth="1"/>
    <col min="21" max="21" width="37.42578125" style="1008" bestFit="1" customWidth="1"/>
    <col min="22" max="22" width="9" style="1008" bestFit="1" customWidth="1"/>
    <col min="23" max="23" width="24.140625" style="1008" bestFit="1" customWidth="1"/>
    <col min="24" max="24" width="6.28515625" style="1008" bestFit="1" customWidth="1"/>
    <col min="25" max="25" width="28.5703125" style="1008" bestFit="1" customWidth="1"/>
    <col min="26" max="26" width="23.85546875" style="1008" bestFit="1" customWidth="1"/>
    <col min="27" max="27" width="16.42578125" style="1008" bestFit="1" customWidth="1"/>
    <col min="28" max="28" width="10.5703125" style="1008" bestFit="1" customWidth="1"/>
    <col min="29" max="29" width="27" style="1008" bestFit="1" customWidth="1"/>
    <col min="30" max="16384" width="9.140625" style="1008"/>
  </cols>
  <sheetData>
    <row r="1" spans="1:29" x14ac:dyDescent="0.25">
      <c r="A1" s="794" t="s">
        <v>1100</v>
      </c>
      <c r="B1" s="794" t="s">
        <v>1099</v>
      </c>
      <c r="C1" s="794" t="s">
        <v>1123</v>
      </c>
      <c r="D1" s="794" t="s">
        <v>1124</v>
      </c>
      <c r="E1" s="794" t="s">
        <v>1125</v>
      </c>
      <c r="F1" s="794" t="s">
        <v>1126</v>
      </c>
      <c r="G1" s="794" t="s">
        <v>1127</v>
      </c>
      <c r="H1" s="794" t="s">
        <v>1128</v>
      </c>
      <c r="I1" s="794" t="s">
        <v>1122</v>
      </c>
      <c r="J1" s="794" t="s">
        <v>1129</v>
      </c>
      <c r="K1" s="794" t="s">
        <v>1130</v>
      </c>
      <c r="L1" s="794" t="s">
        <v>1131</v>
      </c>
      <c r="M1" s="794" t="s">
        <v>1132</v>
      </c>
      <c r="N1" s="794" t="s">
        <v>1133</v>
      </c>
      <c r="O1" s="794" t="s">
        <v>1134</v>
      </c>
      <c r="P1" s="794" t="s">
        <v>1135</v>
      </c>
      <c r="Q1" s="794" t="s">
        <v>1136</v>
      </c>
      <c r="R1" s="794" t="s">
        <v>1137</v>
      </c>
      <c r="S1" s="794" t="s">
        <v>1138</v>
      </c>
      <c r="T1" s="794" t="s">
        <v>1139</v>
      </c>
      <c r="U1" s="794" t="s">
        <v>1140</v>
      </c>
      <c r="V1" s="794" t="s">
        <v>406</v>
      </c>
      <c r="W1" s="794" t="s">
        <v>1120</v>
      </c>
      <c r="X1" s="794" t="s">
        <v>1141</v>
      </c>
      <c r="Y1" s="794" t="s">
        <v>1142</v>
      </c>
      <c r="Z1" s="794" t="s">
        <v>1143</v>
      </c>
      <c r="AA1" s="794" t="s">
        <v>1144</v>
      </c>
      <c r="AB1" s="794" t="s">
        <v>1094</v>
      </c>
      <c r="AC1" s="794"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
  <sheetViews>
    <sheetView topLeftCell="E1" workbookViewId="0">
      <selection activeCell="H1" sqref="H1"/>
    </sheetView>
  </sheetViews>
  <sheetFormatPr defaultColWidth="9.140625" defaultRowHeight="15" x14ac:dyDescent="0.25"/>
  <cols>
    <col min="1" max="1" width="31.42578125" style="792" bestFit="1" customWidth="1"/>
    <col min="2" max="2" width="10.28515625" style="792" bestFit="1" customWidth="1"/>
    <col min="3" max="3" width="33.42578125" style="792" bestFit="1" customWidth="1"/>
    <col min="4" max="4" width="32.28515625" style="792" bestFit="1" customWidth="1"/>
    <col min="5" max="5" width="36.85546875" style="792" bestFit="1" customWidth="1"/>
    <col min="6" max="6" width="14.5703125" style="792" bestFit="1" customWidth="1"/>
    <col min="7" max="16384" width="9.140625" style="792"/>
  </cols>
  <sheetData>
    <row r="1" spans="1:6" x14ac:dyDescent="0.25">
      <c r="A1" s="794" t="s">
        <v>1099</v>
      </c>
      <c r="B1" s="794" t="s">
        <v>1100</v>
      </c>
      <c r="C1" s="794" t="s">
        <v>1161</v>
      </c>
      <c r="D1" s="794" t="s">
        <v>1162</v>
      </c>
      <c r="E1" s="794" t="s">
        <v>1163</v>
      </c>
      <c r="F1" s="794" t="s">
        <v>1164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92" bestFit="1" customWidth="1"/>
    <col min="2" max="2" width="31.85546875" style="792" bestFit="1" customWidth="1"/>
    <col min="3" max="3" width="30" style="792" bestFit="1" customWidth="1"/>
    <col min="4" max="4" width="19.85546875" style="792" bestFit="1" customWidth="1"/>
    <col min="5" max="5" width="4.140625" style="792" bestFit="1" customWidth="1"/>
    <col min="6" max="6" width="9.5703125" style="792" bestFit="1" customWidth="1"/>
    <col min="7" max="16384" width="9.140625" style="792"/>
  </cols>
  <sheetData>
    <row r="1" spans="1:6" x14ac:dyDescent="0.25">
      <c r="A1" s="794" t="s">
        <v>1100</v>
      </c>
      <c r="B1" s="794" t="s">
        <v>1099</v>
      </c>
      <c r="C1" s="794" t="s">
        <v>1119</v>
      </c>
      <c r="D1" s="794" t="s">
        <v>1120</v>
      </c>
      <c r="E1" s="794" t="s">
        <v>1121</v>
      </c>
      <c r="F1" s="794" t="s">
        <v>1122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92" bestFit="1" customWidth="1"/>
    <col min="2" max="2" width="40.28515625" style="792" bestFit="1" customWidth="1"/>
    <col min="3" max="3" width="15.140625" style="792" bestFit="1" customWidth="1"/>
    <col min="4" max="4" width="8.85546875" style="792" bestFit="1" customWidth="1"/>
    <col min="5" max="5" width="29.140625" style="792" bestFit="1" customWidth="1"/>
    <col min="6" max="6" width="18.85546875" style="792" bestFit="1" customWidth="1"/>
    <col min="7" max="7" width="18" style="792" bestFit="1" customWidth="1"/>
    <col min="8" max="8" width="31" style="792" bestFit="1" customWidth="1"/>
    <col min="9" max="9" width="32.5703125" style="792" bestFit="1" customWidth="1"/>
    <col min="10" max="10" width="27.140625" style="792" bestFit="1" customWidth="1"/>
    <col min="11" max="11" width="29.7109375" style="792" bestFit="1" customWidth="1"/>
    <col min="12" max="12" width="20.140625" style="792" bestFit="1" customWidth="1"/>
    <col min="13" max="13" width="20.5703125" style="792" bestFit="1" customWidth="1"/>
    <col min="14" max="15" width="22.140625" style="792" bestFit="1" customWidth="1"/>
    <col min="16" max="16384" width="9.140625" style="792"/>
  </cols>
  <sheetData>
    <row r="1" spans="1:15" x14ac:dyDescent="0.25">
      <c r="A1" s="794" t="s">
        <v>1094</v>
      </c>
      <c r="B1" s="794" t="s">
        <v>247</v>
      </c>
      <c r="C1" s="794" t="s">
        <v>1145</v>
      </c>
      <c r="D1" s="794" t="s">
        <v>1095</v>
      </c>
      <c r="E1" s="794" t="s">
        <v>1096</v>
      </c>
      <c r="F1" s="794" t="s">
        <v>1097</v>
      </c>
      <c r="G1" s="794" t="s">
        <v>1098</v>
      </c>
      <c r="H1" s="794" t="s">
        <v>1146</v>
      </c>
      <c r="I1" s="794" t="s">
        <v>1147</v>
      </c>
      <c r="J1" s="794" t="s">
        <v>1148</v>
      </c>
      <c r="K1" s="794" t="s">
        <v>1149</v>
      </c>
      <c r="L1" s="794" t="s">
        <v>1150</v>
      </c>
      <c r="M1" s="794" t="s">
        <v>1151</v>
      </c>
      <c r="N1" s="794" t="s">
        <v>1152</v>
      </c>
      <c r="O1" s="794" t="s">
        <v>1152</v>
      </c>
    </row>
    <row r="2" spans="1:15" x14ac:dyDescent="0.25">
      <c r="A2" s="992"/>
      <c r="B2" s="992"/>
      <c r="C2" s="992"/>
      <c r="D2" s="992"/>
      <c r="E2" s="992"/>
      <c r="F2" s="992"/>
      <c r="G2" s="992"/>
      <c r="H2" s="992"/>
      <c r="I2" s="992"/>
      <c r="J2" s="992"/>
      <c r="K2" s="992"/>
      <c r="L2" s="992"/>
      <c r="M2" s="992"/>
      <c r="N2" s="992"/>
      <c r="O2" s="992"/>
    </row>
    <row r="3" spans="1:15" x14ac:dyDescent="0.25">
      <c r="A3" s="992"/>
      <c r="B3" s="992"/>
      <c r="C3" s="992"/>
      <c r="D3" s="992"/>
      <c r="E3" s="992"/>
      <c r="F3" s="992"/>
      <c r="G3" s="992"/>
      <c r="H3" s="992"/>
      <c r="I3" s="992"/>
      <c r="J3" s="992"/>
      <c r="K3" s="992"/>
      <c r="L3" s="992"/>
      <c r="M3" s="992"/>
      <c r="N3" s="992"/>
      <c r="O3" s="992"/>
    </row>
    <row r="4" spans="1:15" x14ac:dyDescent="0.25">
      <c r="A4" s="992"/>
      <c r="B4" s="992"/>
      <c r="C4" s="992"/>
      <c r="D4" s="992"/>
      <c r="E4" s="992"/>
      <c r="F4" s="992"/>
      <c r="G4" s="992"/>
      <c r="H4" s="992"/>
      <c r="I4" s="992"/>
      <c r="J4" s="992"/>
      <c r="K4" s="992"/>
      <c r="L4" s="992"/>
      <c r="M4" s="992"/>
      <c r="N4" s="992"/>
      <c r="O4" s="992"/>
    </row>
    <row r="5" spans="1:15" x14ac:dyDescent="0.25">
      <c r="A5" s="992"/>
      <c r="B5" s="992"/>
      <c r="C5" s="992"/>
      <c r="D5" s="992"/>
      <c r="E5" s="992"/>
      <c r="F5" s="992"/>
      <c r="G5" s="992"/>
      <c r="H5" s="992"/>
      <c r="I5" s="992"/>
      <c r="J5" s="992"/>
      <c r="K5" s="992"/>
      <c r="L5" s="992"/>
      <c r="M5" s="992"/>
      <c r="N5" s="992"/>
      <c r="O5" s="992"/>
    </row>
    <row r="6" spans="1:15" x14ac:dyDescent="0.25">
      <c r="A6" s="992"/>
      <c r="B6" s="992"/>
      <c r="C6" s="992"/>
      <c r="D6" s="992"/>
      <c r="E6" s="992"/>
      <c r="F6" s="992"/>
      <c r="G6" s="992"/>
      <c r="H6" s="992"/>
      <c r="I6" s="992"/>
      <c r="J6" s="992"/>
      <c r="K6" s="992"/>
      <c r="L6" s="992"/>
      <c r="M6" s="992"/>
      <c r="N6" s="992"/>
      <c r="O6" s="992"/>
    </row>
    <row r="7" spans="1:15" x14ac:dyDescent="0.25">
      <c r="A7" s="992"/>
      <c r="B7" s="992"/>
      <c r="C7" s="992"/>
      <c r="D7" s="992"/>
      <c r="E7" s="992"/>
      <c r="F7" s="992"/>
      <c r="G7" s="992"/>
      <c r="H7" s="992"/>
      <c r="I7" s="992"/>
      <c r="J7" s="992"/>
      <c r="K7" s="992"/>
      <c r="L7" s="992"/>
      <c r="M7" s="992"/>
      <c r="N7" s="992"/>
      <c r="O7" s="992"/>
    </row>
    <row r="8" spans="1:15" x14ac:dyDescent="0.25">
      <c r="A8" s="992"/>
      <c r="B8" s="992"/>
      <c r="C8" s="992"/>
      <c r="D8" s="992"/>
      <c r="E8" s="992"/>
      <c r="F8" s="992"/>
      <c r="G8" s="992"/>
      <c r="H8" s="992"/>
      <c r="I8" s="992"/>
      <c r="J8" s="992"/>
      <c r="K8" s="992"/>
      <c r="L8" s="992"/>
      <c r="M8" s="992"/>
      <c r="N8" s="992"/>
      <c r="O8" s="992"/>
    </row>
    <row r="9" spans="1:15" x14ac:dyDescent="0.25">
      <c r="A9" s="992"/>
      <c r="B9" s="992"/>
      <c r="C9" s="992"/>
      <c r="D9" s="992"/>
      <c r="E9" s="992"/>
      <c r="F9" s="992"/>
      <c r="G9" s="992"/>
      <c r="H9" s="992"/>
      <c r="I9" s="992"/>
      <c r="J9" s="992"/>
      <c r="K9" s="992"/>
      <c r="L9" s="992"/>
      <c r="M9" s="992"/>
      <c r="N9" s="992"/>
      <c r="O9" s="992"/>
    </row>
    <row r="10" spans="1:15" x14ac:dyDescent="0.25">
      <c r="A10" s="992"/>
      <c r="B10" s="992"/>
      <c r="C10" s="992"/>
      <c r="D10" s="992"/>
      <c r="E10" s="992"/>
      <c r="F10" s="992"/>
      <c r="G10" s="992"/>
      <c r="H10" s="992"/>
      <c r="I10" s="992"/>
      <c r="J10" s="992"/>
      <c r="K10" s="992"/>
      <c r="L10" s="992"/>
      <c r="M10" s="992"/>
      <c r="N10" s="992"/>
      <c r="O10" s="992"/>
    </row>
    <row r="11" spans="1:15" x14ac:dyDescent="0.25">
      <c r="A11" s="992"/>
      <c r="B11" s="992"/>
      <c r="C11" s="992"/>
      <c r="D11" s="992"/>
      <c r="E11" s="992"/>
      <c r="F11" s="992"/>
      <c r="G11" s="992"/>
      <c r="H11" s="992"/>
      <c r="I11" s="992"/>
      <c r="J11" s="992"/>
      <c r="K11" s="992"/>
      <c r="L11" s="992"/>
      <c r="M11" s="992"/>
      <c r="N11" s="992"/>
      <c r="O11" s="992"/>
    </row>
    <row r="12" spans="1:15" x14ac:dyDescent="0.25">
      <c r="A12" s="992"/>
      <c r="B12" s="992"/>
      <c r="C12" s="992"/>
      <c r="D12" s="992"/>
      <c r="E12" s="992"/>
      <c r="F12" s="992"/>
      <c r="G12" s="992"/>
      <c r="H12" s="992"/>
      <c r="I12" s="992"/>
      <c r="J12" s="992"/>
      <c r="K12" s="992"/>
      <c r="L12" s="992"/>
      <c r="M12" s="992"/>
      <c r="N12" s="992"/>
      <c r="O12" s="992"/>
    </row>
    <row r="13" spans="1:15" x14ac:dyDescent="0.25">
      <c r="A13" s="992"/>
      <c r="B13" s="992"/>
      <c r="C13" s="992"/>
      <c r="D13" s="992"/>
      <c r="E13" s="992"/>
      <c r="F13" s="992"/>
      <c r="G13" s="992"/>
      <c r="H13" s="992"/>
      <c r="I13" s="992"/>
      <c r="J13" s="992"/>
      <c r="K13" s="992"/>
      <c r="L13" s="992"/>
      <c r="M13" s="992"/>
      <c r="N13" s="992"/>
      <c r="O13" s="992"/>
    </row>
    <row r="14" spans="1:15" x14ac:dyDescent="0.25">
      <c r="A14" s="992"/>
      <c r="B14" s="992"/>
      <c r="C14" s="992"/>
      <c r="D14" s="992"/>
      <c r="E14" s="992"/>
      <c r="F14" s="992"/>
      <c r="G14" s="992"/>
      <c r="H14" s="992"/>
      <c r="I14" s="992"/>
      <c r="J14" s="992"/>
      <c r="K14" s="992"/>
      <c r="L14" s="992"/>
      <c r="M14" s="992"/>
      <c r="N14" s="992"/>
      <c r="O14" s="992"/>
    </row>
    <row r="15" spans="1:15" x14ac:dyDescent="0.25">
      <c r="A15" s="992"/>
      <c r="B15" s="992"/>
      <c r="C15" s="992"/>
      <c r="D15" s="992"/>
      <c r="E15" s="992"/>
      <c r="F15" s="992"/>
      <c r="G15" s="992"/>
      <c r="H15" s="992"/>
      <c r="I15" s="992"/>
      <c r="J15" s="992"/>
      <c r="K15" s="992"/>
      <c r="L15" s="992"/>
      <c r="M15" s="992"/>
      <c r="N15" s="992"/>
      <c r="O15" s="992"/>
    </row>
    <row r="16" spans="1:15" x14ac:dyDescent="0.25">
      <c r="A16" s="992"/>
      <c r="B16" s="992"/>
      <c r="C16" s="992"/>
      <c r="D16" s="992"/>
      <c r="E16" s="992"/>
      <c r="F16" s="992"/>
      <c r="G16" s="992"/>
      <c r="H16" s="992"/>
      <c r="I16" s="992"/>
      <c r="J16" s="992"/>
      <c r="K16" s="992"/>
      <c r="L16" s="992"/>
      <c r="M16" s="992"/>
      <c r="N16" s="992"/>
      <c r="O16" s="992"/>
    </row>
    <row r="17" spans="1:15" x14ac:dyDescent="0.25">
      <c r="A17" s="992"/>
      <c r="B17" s="992"/>
      <c r="C17" s="992"/>
      <c r="D17" s="992"/>
      <c r="E17" s="992"/>
      <c r="F17" s="992"/>
      <c r="G17" s="992"/>
      <c r="H17" s="992"/>
      <c r="I17" s="992"/>
      <c r="J17" s="992"/>
      <c r="K17" s="992"/>
      <c r="L17" s="992"/>
      <c r="M17" s="992"/>
      <c r="N17" s="992"/>
      <c r="O17" s="992"/>
    </row>
    <row r="18" spans="1:15" x14ac:dyDescent="0.25">
      <c r="A18" s="992"/>
      <c r="B18" s="992"/>
      <c r="C18" s="992"/>
      <c r="D18" s="992"/>
      <c r="E18" s="992"/>
      <c r="F18" s="992"/>
      <c r="G18" s="992"/>
      <c r="H18" s="992"/>
      <c r="I18" s="992"/>
      <c r="J18" s="992"/>
      <c r="K18" s="992"/>
      <c r="L18" s="992"/>
      <c r="M18" s="992"/>
      <c r="N18" s="992"/>
      <c r="O18" s="992"/>
    </row>
    <row r="19" spans="1:15" x14ac:dyDescent="0.25">
      <c r="A19" s="992"/>
      <c r="B19" s="992"/>
      <c r="C19" s="992"/>
      <c r="D19" s="992"/>
      <c r="E19" s="992"/>
      <c r="F19" s="992"/>
      <c r="G19" s="992"/>
      <c r="H19" s="992"/>
      <c r="I19" s="992"/>
      <c r="J19" s="992"/>
      <c r="K19" s="992"/>
      <c r="L19" s="992"/>
      <c r="M19" s="992"/>
      <c r="N19" s="992"/>
      <c r="O19" s="992"/>
    </row>
    <row r="20" spans="1:15" x14ac:dyDescent="0.25">
      <c r="A20" s="992"/>
      <c r="B20" s="992"/>
      <c r="C20" s="992"/>
      <c r="D20" s="992"/>
      <c r="E20" s="992"/>
      <c r="F20" s="992"/>
      <c r="G20" s="992"/>
      <c r="H20" s="992"/>
      <c r="I20" s="992"/>
      <c r="J20" s="992"/>
      <c r="K20" s="992"/>
      <c r="L20" s="992"/>
      <c r="M20" s="992"/>
      <c r="N20" s="992"/>
      <c r="O20" s="992"/>
    </row>
    <row r="21" spans="1:15" x14ac:dyDescent="0.25">
      <c r="A21" s="992"/>
      <c r="B21" s="992"/>
      <c r="C21" s="992"/>
      <c r="D21" s="992"/>
      <c r="E21" s="992"/>
      <c r="F21" s="992"/>
      <c r="G21" s="992"/>
      <c r="H21" s="992"/>
      <c r="I21" s="992"/>
      <c r="J21" s="992"/>
      <c r="K21" s="992"/>
      <c r="L21" s="992"/>
      <c r="M21" s="992"/>
      <c r="N21" s="992"/>
      <c r="O21" s="992"/>
    </row>
    <row r="22" spans="1:15" x14ac:dyDescent="0.25">
      <c r="A22" s="992"/>
      <c r="B22" s="992"/>
      <c r="C22" s="992"/>
      <c r="D22" s="992"/>
      <c r="E22" s="992"/>
      <c r="F22" s="992"/>
      <c r="G22" s="992"/>
      <c r="H22" s="992"/>
      <c r="I22" s="992"/>
      <c r="J22" s="992"/>
      <c r="K22" s="992"/>
      <c r="L22" s="992"/>
      <c r="M22" s="992"/>
      <c r="N22" s="992"/>
      <c r="O22" s="992"/>
    </row>
    <row r="23" spans="1:15" x14ac:dyDescent="0.25">
      <c r="A23" s="992"/>
      <c r="B23" s="992"/>
      <c r="C23" s="992"/>
      <c r="D23" s="992"/>
      <c r="E23" s="992"/>
      <c r="F23" s="992"/>
      <c r="G23" s="992"/>
      <c r="H23" s="992"/>
      <c r="I23" s="992"/>
      <c r="J23" s="992"/>
      <c r="K23" s="992"/>
      <c r="L23" s="992"/>
      <c r="M23" s="992"/>
      <c r="N23" s="992"/>
      <c r="O23" s="992"/>
    </row>
    <row r="24" spans="1:15" x14ac:dyDescent="0.25">
      <c r="A24" s="992"/>
      <c r="B24" s="992"/>
      <c r="C24" s="992"/>
      <c r="D24" s="992"/>
      <c r="E24" s="992"/>
      <c r="F24" s="992"/>
      <c r="G24" s="992"/>
      <c r="H24" s="992"/>
      <c r="I24" s="992"/>
      <c r="J24" s="992"/>
      <c r="K24" s="992"/>
      <c r="L24" s="992"/>
      <c r="M24" s="992"/>
      <c r="N24" s="992"/>
      <c r="O24" s="992"/>
    </row>
    <row r="25" spans="1:15" x14ac:dyDescent="0.25">
      <c r="A25" s="992"/>
      <c r="B25" s="992"/>
      <c r="C25" s="992"/>
      <c r="D25" s="992"/>
      <c r="E25" s="992"/>
      <c r="F25" s="992"/>
      <c r="G25" s="992"/>
      <c r="H25" s="992"/>
      <c r="I25" s="992"/>
      <c r="J25" s="992"/>
      <c r="K25" s="992"/>
      <c r="L25" s="992"/>
      <c r="M25" s="992"/>
      <c r="N25" s="992"/>
      <c r="O25" s="992"/>
    </row>
    <row r="26" spans="1:15" x14ac:dyDescent="0.25">
      <c r="A26" s="992"/>
      <c r="B26" s="992"/>
      <c r="C26" s="992"/>
      <c r="D26" s="992"/>
      <c r="E26" s="992"/>
      <c r="F26" s="992"/>
      <c r="G26" s="992"/>
      <c r="H26" s="992"/>
      <c r="I26" s="992"/>
      <c r="J26" s="992"/>
      <c r="K26" s="992"/>
      <c r="L26" s="992"/>
      <c r="M26" s="992"/>
      <c r="N26" s="992"/>
      <c r="O26" s="992"/>
    </row>
    <row r="27" spans="1:15" x14ac:dyDescent="0.25">
      <c r="A27" s="992"/>
      <c r="B27" s="992"/>
      <c r="C27" s="992"/>
      <c r="D27" s="992"/>
      <c r="E27" s="992"/>
      <c r="F27" s="992"/>
      <c r="G27" s="992"/>
      <c r="H27" s="992"/>
      <c r="I27" s="992"/>
      <c r="J27" s="992"/>
      <c r="K27" s="992"/>
      <c r="L27" s="992"/>
      <c r="M27" s="992"/>
      <c r="N27" s="992"/>
      <c r="O27" s="992"/>
    </row>
    <row r="28" spans="1:15" x14ac:dyDescent="0.25">
      <c r="A28" s="992"/>
      <c r="B28" s="992"/>
      <c r="C28" s="992"/>
      <c r="D28" s="992"/>
      <c r="E28" s="992"/>
      <c r="F28" s="992"/>
      <c r="G28" s="992"/>
      <c r="H28" s="992"/>
      <c r="I28" s="992"/>
      <c r="J28" s="992"/>
      <c r="K28" s="992"/>
      <c r="L28" s="992"/>
      <c r="M28" s="992"/>
      <c r="N28" s="992"/>
      <c r="O28" s="99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92" bestFit="1" customWidth="1"/>
    <col min="2" max="2" width="10.5703125" style="792" bestFit="1" customWidth="1"/>
    <col min="3" max="3" width="8.85546875" style="792" bestFit="1" customWidth="1"/>
    <col min="4" max="4" width="9.140625" style="792"/>
    <col min="5" max="5" width="29.7109375" style="792" bestFit="1" customWidth="1"/>
    <col min="6" max="6" width="16.42578125" style="792" bestFit="1" customWidth="1"/>
    <col min="7" max="7" width="27.140625" style="792" bestFit="1" customWidth="1"/>
    <col min="8" max="8" width="35" style="792" bestFit="1" customWidth="1"/>
    <col min="9" max="9" width="38.42578125" style="792" bestFit="1" customWidth="1"/>
    <col min="10" max="10" width="33.85546875" style="792" bestFit="1" customWidth="1"/>
    <col min="11" max="11" width="26.140625" style="792" bestFit="1" customWidth="1"/>
    <col min="12" max="12" width="17.42578125" style="792" bestFit="1" customWidth="1"/>
    <col min="13" max="13" width="12" style="792" bestFit="1" customWidth="1"/>
    <col min="14" max="16384" width="9.140625" style="792"/>
  </cols>
  <sheetData>
    <row r="1" spans="1:13" x14ac:dyDescent="0.25">
      <c r="A1" s="794" t="s">
        <v>1097</v>
      </c>
      <c r="B1" s="794" t="s">
        <v>1094</v>
      </c>
      <c r="C1" s="794" t="s">
        <v>1095</v>
      </c>
      <c r="D1" s="794" t="s">
        <v>1101</v>
      </c>
      <c r="E1" s="794" t="s">
        <v>1149</v>
      </c>
      <c r="F1" s="794" t="s">
        <v>1153</v>
      </c>
      <c r="G1" s="794" t="s">
        <v>1148</v>
      </c>
      <c r="H1" s="794" t="s">
        <v>1165</v>
      </c>
      <c r="I1" s="794" t="s">
        <v>1166</v>
      </c>
      <c r="J1" s="794" t="s">
        <v>1167</v>
      </c>
      <c r="K1" s="794" t="s">
        <v>1102</v>
      </c>
      <c r="L1" s="794" t="s">
        <v>1103</v>
      </c>
      <c r="M1" s="794" t="s">
        <v>1104</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92" bestFit="1" customWidth="1"/>
    <col min="2" max="2" width="12.85546875" style="792" bestFit="1" customWidth="1"/>
    <col min="3" max="3" width="10.5703125" style="792" bestFit="1" customWidth="1"/>
    <col min="4" max="4" width="21.5703125" style="792" bestFit="1" customWidth="1"/>
    <col min="5" max="5" width="12.7109375" style="792" bestFit="1" customWidth="1"/>
    <col min="6" max="6" width="25.7109375" style="792" bestFit="1" customWidth="1"/>
    <col min="7" max="16384" width="9.140625" style="792"/>
  </cols>
  <sheetData>
    <row r="1" spans="1:6" x14ac:dyDescent="0.25">
      <c r="A1" s="794" t="s">
        <v>247</v>
      </c>
      <c r="B1" s="794" t="s">
        <v>1159</v>
      </c>
      <c r="C1" s="794" t="s">
        <v>1094</v>
      </c>
      <c r="D1" s="794" t="s">
        <v>1155</v>
      </c>
      <c r="E1" s="794" t="s">
        <v>1156</v>
      </c>
      <c r="F1" s="794" t="s">
        <v>1157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92" bestFit="1" customWidth="1"/>
    <col min="2" max="2" width="12.85546875" style="792" bestFit="1" customWidth="1"/>
    <col min="3" max="3" width="10.5703125" style="792" bestFit="1" customWidth="1"/>
    <col min="4" max="4" width="21.5703125" style="792" bestFit="1" customWidth="1"/>
    <col min="5" max="5" width="12.7109375" style="792" bestFit="1" customWidth="1"/>
    <col min="6" max="6" width="25.7109375" style="792" bestFit="1" customWidth="1"/>
    <col min="7" max="16384" width="9.140625" style="792"/>
  </cols>
  <sheetData>
    <row r="1" spans="1:6" x14ac:dyDescent="0.25">
      <c r="A1" s="794" t="s">
        <v>247</v>
      </c>
      <c r="B1" s="794" t="s">
        <v>1158</v>
      </c>
      <c r="C1" s="794" t="s">
        <v>1094</v>
      </c>
      <c r="D1" s="794" t="s">
        <v>1155</v>
      </c>
      <c r="E1" s="794" t="s">
        <v>1156</v>
      </c>
      <c r="F1" s="794" t="s">
        <v>1157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92" bestFit="1" customWidth="1"/>
    <col min="2" max="2" width="12.85546875" style="792" bestFit="1" customWidth="1"/>
    <col min="3" max="3" width="10.5703125" style="792" bestFit="1" customWidth="1"/>
    <col min="4" max="4" width="21.5703125" style="792" bestFit="1" customWidth="1"/>
    <col min="5" max="5" width="12.7109375" style="792" bestFit="1" customWidth="1"/>
    <col min="6" max="6" width="25.7109375" style="792" bestFit="1" customWidth="1"/>
    <col min="7" max="16384" width="9.140625" style="792"/>
  </cols>
  <sheetData>
    <row r="1" spans="1:6" x14ac:dyDescent="0.25">
      <c r="A1" s="794" t="s">
        <v>247</v>
      </c>
      <c r="B1" s="794" t="s">
        <v>1154</v>
      </c>
      <c r="C1" s="794" t="s">
        <v>1094</v>
      </c>
      <c r="D1" s="794" t="s">
        <v>1155</v>
      </c>
      <c r="E1" s="794" t="s">
        <v>1156</v>
      </c>
      <c r="F1" s="794" t="s">
        <v>1157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257</v>
      </c>
      <c r="C1" s="2" t="s">
        <v>994</v>
      </c>
      <c r="D1" s="2" t="s">
        <v>218</v>
      </c>
      <c r="E1" s="2"/>
      <c r="F1" s="2" t="s">
        <v>217</v>
      </c>
      <c r="G1" s="2"/>
      <c r="H1" s="2" t="s">
        <v>203</v>
      </c>
    </row>
    <row r="2" spans="1:14" x14ac:dyDescent="0.25">
      <c r="A2" t="s">
        <v>272</v>
      </c>
      <c r="B2" t="s">
        <v>99</v>
      </c>
      <c r="C2" s="2" t="s">
        <v>214</v>
      </c>
      <c r="D2" s="24">
        <v>0.03</v>
      </c>
      <c r="E2" s="24">
        <v>0.08</v>
      </c>
      <c r="F2" s="24">
        <v>0.09</v>
      </c>
      <c r="G2" s="24">
        <v>0.11</v>
      </c>
      <c r="H2" s="24">
        <v>0.16</v>
      </c>
      <c r="J2" s="24"/>
      <c r="K2" s="24"/>
      <c r="L2" s="24"/>
      <c r="M2" s="24"/>
      <c r="N2" s="24"/>
    </row>
    <row r="3" spans="1:14" x14ac:dyDescent="0.25">
      <c r="A3" t="s">
        <v>273</v>
      </c>
      <c r="B3" t="s">
        <v>99</v>
      </c>
      <c r="C3" s="2" t="s">
        <v>215</v>
      </c>
      <c r="D3" s="24">
        <v>0.04</v>
      </c>
      <c r="E3" s="24">
        <v>0.08</v>
      </c>
      <c r="F3" s="24">
        <v>0.09</v>
      </c>
      <c r="G3" s="24">
        <v>0.11</v>
      </c>
      <c r="H3" s="24">
        <v>0.16</v>
      </c>
      <c r="J3" s="24"/>
      <c r="K3" s="24"/>
      <c r="L3" s="24"/>
      <c r="M3" s="24"/>
      <c r="N3" s="24"/>
    </row>
    <row r="4" spans="1:14" x14ac:dyDescent="0.25">
      <c r="A4" t="s">
        <v>274</v>
      </c>
      <c r="B4" t="s">
        <v>99</v>
      </c>
      <c r="C4" s="2" t="s">
        <v>216</v>
      </c>
      <c r="D4" s="24">
        <v>0.03</v>
      </c>
      <c r="E4" s="24">
        <v>7.0000000000000007E-2</v>
      </c>
      <c r="F4" s="24">
        <v>0.09</v>
      </c>
      <c r="G4" s="24">
        <v>0.1</v>
      </c>
      <c r="H4" s="24">
        <v>0.16</v>
      </c>
      <c r="J4" s="24"/>
      <c r="K4" s="24"/>
      <c r="L4" s="24"/>
      <c r="M4" s="24"/>
      <c r="N4" s="24"/>
    </row>
    <row r="5" spans="1:14" x14ac:dyDescent="0.25">
      <c r="A5" t="s">
        <v>275</v>
      </c>
      <c r="B5" t="s">
        <v>99</v>
      </c>
      <c r="C5" s="2" t="s">
        <v>270</v>
      </c>
      <c r="D5" s="24">
        <v>0.01</v>
      </c>
      <c r="E5" s="24">
        <v>7.0000000000000007E-2</v>
      </c>
      <c r="F5" s="24">
        <v>0.08</v>
      </c>
      <c r="G5" s="24">
        <v>0.11</v>
      </c>
      <c r="H5" s="24">
        <v>0.15</v>
      </c>
      <c r="J5" s="24"/>
      <c r="K5" s="24"/>
      <c r="L5" s="24"/>
      <c r="M5" s="24"/>
      <c r="N5" s="24"/>
    </row>
    <row r="6" spans="1:14" x14ac:dyDescent="0.25">
      <c r="A6" t="s">
        <v>276</v>
      </c>
      <c r="B6" t="s">
        <v>99</v>
      </c>
      <c r="C6" s="2" t="s">
        <v>271</v>
      </c>
      <c r="D6" s="24">
        <v>0.02</v>
      </c>
      <c r="E6" s="24">
        <v>0.06</v>
      </c>
      <c r="F6" s="24">
        <v>0.08</v>
      </c>
      <c r="G6" s="24">
        <v>0.09</v>
      </c>
      <c r="H6" s="24">
        <v>0.14000000000000001</v>
      </c>
      <c r="J6" s="24"/>
      <c r="K6" s="24"/>
      <c r="L6" s="24"/>
      <c r="M6" s="24"/>
      <c r="N6" s="24"/>
    </row>
    <row r="7" spans="1:14" x14ac:dyDescent="0.25">
      <c r="A7" t="s">
        <v>522</v>
      </c>
      <c r="B7" t="s">
        <v>520</v>
      </c>
      <c r="C7" s="2" t="s">
        <v>214</v>
      </c>
      <c r="D7" s="24">
        <v>0</v>
      </c>
      <c r="E7" s="24">
        <v>0.04</v>
      </c>
      <c r="F7" s="24">
        <v>7.0000000000000007E-2</v>
      </c>
      <c r="G7" s="24">
        <v>0.09</v>
      </c>
      <c r="H7" s="24">
        <v>0.16</v>
      </c>
      <c r="J7" s="24"/>
      <c r="K7" s="24"/>
      <c r="L7" s="24"/>
      <c r="M7" s="24"/>
      <c r="N7" s="24"/>
    </row>
    <row r="8" spans="1:14" x14ac:dyDescent="0.25">
      <c r="A8" t="s">
        <v>523</v>
      </c>
      <c r="B8" t="s">
        <v>520</v>
      </c>
      <c r="C8" s="2" t="s">
        <v>215</v>
      </c>
      <c r="D8" s="24">
        <v>0</v>
      </c>
      <c r="E8" s="24">
        <v>0.04</v>
      </c>
      <c r="F8" s="24">
        <v>0.06</v>
      </c>
      <c r="G8" s="24">
        <v>0.08</v>
      </c>
      <c r="H8" s="24">
        <v>0.15</v>
      </c>
      <c r="J8" s="24"/>
      <c r="K8" s="24"/>
      <c r="L8" s="24"/>
      <c r="M8" s="24"/>
      <c r="N8" s="24"/>
    </row>
    <row r="9" spans="1:14" x14ac:dyDescent="0.25">
      <c r="A9" t="s">
        <v>524</v>
      </c>
      <c r="B9" t="s">
        <v>520</v>
      </c>
      <c r="C9" s="2" t="s">
        <v>216</v>
      </c>
      <c r="D9" s="24">
        <v>0</v>
      </c>
      <c r="E9" s="24">
        <v>0.04</v>
      </c>
      <c r="F9" s="24">
        <v>0.06</v>
      </c>
      <c r="G9" s="24">
        <v>0.08</v>
      </c>
      <c r="H9" s="24">
        <v>0.14000000000000001</v>
      </c>
      <c r="J9" s="24"/>
      <c r="K9" s="24"/>
      <c r="L9" s="24"/>
      <c r="M9" s="24"/>
      <c r="N9" s="24"/>
    </row>
    <row r="10" spans="1:14" x14ac:dyDescent="0.25">
      <c r="A10" t="s">
        <v>525</v>
      </c>
      <c r="B10" t="s">
        <v>520</v>
      </c>
      <c r="C10" s="2" t="s">
        <v>270</v>
      </c>
      <c r="D10" s="24">
        <v>0</v>
      </c>
      <c r="E10" s="24">
        <v>0.04</v>
      </c>
      <c r="F10" s="24">
        <v>0.05</v>
      </c>
      <c r="G10" s="24">
        <v>7.0000000000000007E-2</v>
      </c>
      <c r="H10" s="24">
        <v>0.12</v>
      </c>
      <c r="J10" s="24"/>
      <c r="K10" s="24"/>
      <c r="L10" s="24"/>
      <c r="M10" s="24"/>
      <c r="N10" s="24"/>
    </row>
    <row r="11" spans="1:14" x14ac:dyDescent="0.25">
      <c r="A11" t="s">
        <v>526</v>
      </c>
      <c r="B11" t="s">
        <v>520</v>
      </c>
      <c r="C11" s="2" t="s">
        <v>271</v>
      </c>
      <c r="D11" s="24">
        <v>0</v>
      </c>
      <c r="E11" s="24">
        <v>0.03</v>
      </c>
      <c r="F11" s="24">
        <v>0.04</v>
      </c>
      <c r="G11" s="24">
        <v>0.06</v>
      </c>
      <c r="H11" s="24">
        <v>0.1</v>
      </c>
      <c r="J11" s="24"/>
      <c r="K11" s="24"/>
      <c r="L11" s="24"/>
      <c r="M11" s="24"/>
      <c r="N11" s="24"/>
    </row>
    <row r="12" spans="1:14" x14ac:dyDescent="0.25">
      <c r="A12" t="s">
        <v>527</v>
      </c>
      <c r="B12" t="s">
        <v>521</v>
      </c>
      <c r="C12" s="2" t="s">
        <v>214</v>
      </c>
      <c r="D12" s="24">
        <v>0</v>
      </c>
      <c r="E12" s="24">
        <v>0.05</v>
      </c>
      <c r="F12" s="24">
        <v>0.08</v>
      </c>
      <c r="G12" s="24">
        <v>0.09</v>
      </c>
      <c r="H12" s="24">
        <v>0.14000000000000001</v>
      </c>
      <c r="J12" s="24"/>
      <c r="K12" s="24"/>
      <c r="L12" s="24"/>
      <c r="M12" s="24"/>
      <c r="N12" s="24"/>
    </row>
    <row r="13" spans="1:14" x14ac:dyDescent="0.25">
      <c r="A13" t="s">
        <v>528</v>
      </c>
      <c r="B13" t="s">
        <v>521</v>
      </c>
      <c r="C13" s="2" t="s">
        <v>215</v>
      </c>
      <c r="D13" s="24">
        <v>0</v>
      </c>
      <c r="E13" s="24">
        <v>0.05</v>
      </c>
      <c r="F13" s="24">
        <v>7.0000000000000007E-2</v>
      </c>
      <c r="G13" s="24">
        <v>0.09</v>
      </c>
      <c r="H13" s="24">
        <v>0.14000000000000001</v>
      </c>
      <c r="J13" s="24"/>
      <c r="K13" s="24"/>
      <c r="L13" s="24"/>
      <c r="M13" s="24"/>
      <c r="N13" s="24"/>
    </row>
    <row r="14" spans="1:14" x14ac:dyDescent="0.25">
      <c r="A14" t="s">
        <v>529</v>
      </c>
      <c r="B14" t="s">
        <v>521</v>
      </c>
      <c r="C14" s="2" t="s">
        <v>216</v>
      </c>
      <c r="D14" s="24">
        <v>0</v>
      </c>
      <c r="E14" s="24">
        <v>0.05</v>
      </c>
      <c r="F14" s="24">
        <v>0.06</v>
      </c>
      <c r="G14" s="24">
        <v>0.08</v>
      </c>
      <c r="H14" s="24">
        <v>0.13</v>
      </c>
      <c r="J14" s="24"/>
      <c r="K14" s="24"/>
      <c r="L14" s="24"/>
      <c r="M14" s="24"/>
      <c r="N14" s="24"/>
    </row>
    <row r="15" spans="1:14" x14ac:dyDescent="0.25">
      <c r="A15" t="s">
        <v>530</v>
      </c>
      <c r="B15" t="s">
        <v>521</v>
      </c>
      <c r="C15" s="2" t="s">
        <v>270</v>
      </c>
      <c r="D15" s="59">
        <v>0</v>
      </c>
      <c r="E15" s="59">
        <v>0.04</v>
      </c>
      <c r="F15" s="59">
        <v>0.05</v>
      </c>
      <c r="G15" s="59">
        <v>7.0000000000000007E-2</v>
      </c>
      <c r="H15" s="59">
        <v>0.11</v>
      </c>
      <c r="J15" s="59"/>
      <c r="K15" s="59"/>
      <c r="L15" s="59"/>
      <c r="M15" s="59"/>
      <c r="N15" s="59"/>
    </row>
    <row r="16" spans="1:14" x14ac:dyDescent="0.25">
      <c r="A16" t="s">
        <v>531</v>
      </c>
      <c r="B16" t="s">
        <v>521</v>
      </c>
      <c r="C16" s="2" t="s">
        <v>271</v>
      </c>
      <c r="D16" s="59">
        <v>0</v>
      </c>
      <c r="E16" s="59">
        <v>0.04</v>
      </c>
      <c r="F16" s="59">
        <v>0.05</v>
      </c>
      <c r="G16" s="59">
        <v>7.0000000000000007E-2</v>
      </c>
      <c r="H16" s="59">
        <v>0.09</v>
      </c>
      <c r="J16" s="59"/>
      <c r="K16" s="59"/>
      <c r="L16" s="59"/>
      <c r="M16" s="59"/>
      <c r="N16" s="59"/>
    </row>
    <row r="17" spans="1:14" x14ac:dyDescent="0.25">
      <c r="A17" t="s">
        <v>277</v>
      </c>
      <c r="B17" t="s">
        <v>102</v>
      </c>
      <c r="C17" s="2" t="s">
        <v>214</v>
      </c>
      <c r="D17" s="24">
        <v>0.03</v>
      </c>
      <c r="E17" s="24">
        <v>0.09</v>
      </c>
      <c r="F17" s="24">
        <v>0.11</v>
      </c>
      <c r="G17" s="24">
        <v>0.13</v>
      </c>
      <c r="H17" s="24">
        <v>0.2</v>
      </c>
      <c r="J17" s="24"/>
      <c r="K17" s="24"/>
      <c r="L17" s="24"/>
      <c r="M17" s="24"/>
      <c r="N17" s="24"/>
    </row>
    <row r="18" spans="1:14" x14ac:dyDescent="0.25">
      <c r="A18" t="s">
        <v>278</v>
      </c>
      <c r="B18" t="s">
        <v>102</v>
      </c>
      <c r="C18" s="2" t="s">
        <v>215</v>
      </c>
      <c r="D18" s="24">
        <v>0.03</v>
      </c>
      <c r="E18" s="24">
        <v>0.08</v>
      </c>
      <c r="F18" s="24">
        <v>0.1</v>
      </c>
      <c r="G18" s="24">
        <v>0.12</v>
      </c>
      <c r="H18" s="24">
        <v>0.19</v>
      </c>
      <c r="J18" s="24"/>
      <c r="K18" s="24"/>
      <c r="L18" s="24"/>
      <c r="M18" s="24"/>
      <c r="N18" s="24"/>
    </row>
    <row r="19" spans="1:14" x14ac:dyDescent="0.25">
      <c r="A19" t="s">
        <v>279</v>
      </c>
      <c r="B19" t="s">
        <v>102</v>
      </c>
      <c r="C19" s="2" t="s">
        <v>216</v>
      </c>
      <c r="D19" s="24">
        <v>0.02</v>
      </c>
      <c r="E19" s="24">
        <v>7.0000000000000007E-2</v>
      </c>
      <c r="F19" s="24">
        <v>0.09</v>
      </c>
      <c r="G19" s="24">
        <v>0.11</v>
      </c>
      <c r="H19" s="24">
        <v>0.18</v>
      </c>
      <c r="J19" s="24"/>
      <c r="K19" s="24"/>
      <c r="L19" s="24"/>
      <c r="M19" s="24"/>
      <c r="N19" s="24"/>
    </row>
    <row r="20" spans="1:14" x14ac:dyDescent="0.25">
      <c r="A20" t="s">
        <v>280</v>
      </c>
      <c r="B20" t="s">
        <v>102</v>
      </c>
      <c r="C20" s="2" t="s">
        <v>270</v>
      </c>
      <c r="D20" s="24">
        <v>0.02</v>
      </c>
      <c r="E20" s="24">
        <v>0.06</v>
      </c>
      <c r="F20" s="24">
        <v>0.08</v>
      </c>
      <c r="G20" s="24">
        <v>0.1</v>
      </c>
      <c r="H20" s="24">
        <v>0.16</v>
      </c>
      <c r="J20" s="24"/>
      <c r="K20" s="24"/>
      <c r="L20" s="24"/>
      <c r="M20" s="24"/>
      <c r="N20" s="24"/>
    </row>
    <row r="21" spans="1:14" x14ac:dyDescent="0.25">
      <c r="A21" t="s">
        <v>281</v>
      </c>
      <c r="B21" t="s">
        <v>102</v>
      </c>
      <c r="C21" s="2" t="s">
        <v>271</v>
      </c>
      <c r="D21" s="24">
        <v>0.02</v>
      </c>
      <c r="E21" s="24">
        <v>0.05</v>
      </c>
      <c r="F21" s="24">
        <v>0.06</v>
      </c>
      <c r="G21" s="24">
        <v>0.09</v>
      </c>
      <c r="H21" s="24">
        <v>0.13</v>
      </c>
      <c r="J21" s="24"/>
      <c r="K21" s="24"/>
      <c r="L21" s="24"/>
      <c r="M21" s="24"/>
      <c r="N21" s="24"/>
    </row>
    <row r="22" spans="1:14" x14ac:dyDescent="0.25">
      <c r="A22" t="s">
        <v>282</v>
      </c>
      <c r="B22" t="s">
        <v>100</v>
      </c>
      <c r="C22" s="2" t="s">
        <v>214</v>
      </c>
      <c r="D22" s="24">
        <v>0.03</v>
      </c>
      <c r="E22" s="24">
        <v>0.09</v>
      </c>
      <c r="F22" s="24">
        <v>0.11</v>
      </c>
      <c r="G22" s="24">
        <v>0.14000000000000001</v>
      </c>
      <c r="H22" s="24">
        <v>0.21</v>
      </c>
      <c r="J22" s="24"/>
      <c r="K22" s="24"/>
      <c r="L22" s="24"/>
      <c r="M22" s="24"/>
      <c r="N22" s="24"/>
    </row>
    <row r="23" spans="1:14" x14ac:dyDescent="0.25">
      <c r="A23" t="s">
        <v>283</v>
      </c>
      <c r="B23" t="s">
        <v>100</v>
      </c>
      <c r="C23" s="2" t="s">
        <v>215</v>
      </c>
      <c r="D23" s="24">
        <v>0.03</v>
      </c>
      <c r="E23" s="24">
        <v>0.08</v>
      </c>
      <c r="F23" s="24">
        <v>0.1</v>
      </c>
      <c r="G23" s="24">
        <v>0.12</v>
      </c>
      <c r="H23" s="24">
        <v>0.17</v>
      </c>
      <c r="J23" s="24"/>
      <c r="K23" s="24"/>
      <c r="L23" s="24"/>
      <c r="M23" s="24"/>
      <c r="N23" s="24"/>
    </row>
    <row r="24" spans="1:14" x14ac:dyDescent="0.25">
      <c r="A24" t="s">
        <v>284</v>
      </c>
      <c r="B24" t="s">
        <v>100</v>
      </c>
      <c r="C24" s="2" t="s">
        <v>216</v>
      </c>
      <c r="D24" s="24">
        <v>0.03</v>
      </c>
      <c r="E24" s="24">
        <v>7.0000000000000007E-2</v>
      </c>
      <c r="F24" s="24">
        <v>0.09</v>
      </c>
      <c r="G24" s="24">
        <v>0.11</v>
      </c>
      <c r="H24" s="24">
        <v>0.16</v>
      </c>
      <c r="J24" s="24"/>
      <c r="K24" s="24"/>
      <c r="L24" s="24"/>
      <c r="M24" s="24"/>
      <c r="N24" s="24"/>
    </row>
    <row r="25" spans="1:14" x14ac:dyDescent="0.25">
      <c r="A25" t="s">
        <v>285</v>
      </c>
      <c r="B25" t="s">
        <v>100</v>
      </c>
      <c r="C25" s="2" t="s">
        <v>270</v>
      </c>
      <c r="D25" s="24">
        <v>0.02</v>
      </c>
      <c r="E25" s="24">
        <v>7.0000000000000007E-2</v>
      </c>
      <c r="F25" s="24">
        <v>0.08</v>
      </c>
      <c r="G25" s="24">
        <v>0.1</v>
      </c>
      <c r="H25" s="24">
        <v>0.15</v>
      </c>
      <c r="J25" s="24"/>
      <c r="K25" s="24"/>
      <c r="L25" s="24"/>
      <c r="M25" s="24"/>
      <c r="N25" s="24"/>
    </row>
    <row r="26" spans="1:14" x14ac:dyDescent="0.25">
      <c r="A26" t="s">
        <v>286</v>
      </c>
      <c r="B26" t="s">
        <v>100</v>
      </c>
      <c r="C26" s="2" t="s">
        <v>271</v>
      </c>
      <c r="D26" s="24">
        <v>0</v>
      </c>
      <c r="E26" s="24">
        <v>0.05</v>
      </c>
      <c r="F26" s="24">
        <v>7.0000000000000007E-2</v>
      </c>
      <c r="G26" s="24">
        <v>0.1</v>
      </c>
      <c r="H26" s="24">
        <v>0.16</v>
      </c>
      <c r="J26" s="24"/>
      <c r="K26" s="24"/>
      <c r="L26" s="24"/>
      <c r="M26" s="24"/>
      <c r="N26" s="24"/>
    </row>
    <row r="27" spans="1:14" x14ac:dyDescent="0.25">
      <c r="A27" t="s">
        <v>287</v>
      </c>
      <c r="B27" t="s">
        <v>104</v>
      </c>
      <c r="C27" s="2" t="s">
        <v>214</v>
      </c>
      <c r="D27" s="24">
        <v>0.04</v>
      </c>
      <c r="E27" s="24">
        <v>0.1</v>
      </c>
      <c r="F27" s="24">
        <v>0.12</v>
      </c>
      <c r="G27" s="24">
        <v>0.14000000000000001</v>
      </c>
      <c r="H27" s="24">
        <v>0.19</v>
      </c>
      <c r="J27" s="24"/>
      <c r="K27" s="24"/>
      <c r="L27" s="24"/>
      <c r="M27" s="24"/>
      <c r="N27" s="24"/>
    </row>
    <row r="28" spans="1:14" x14ac:dyDescent="0.25">
      <c r="A28" t="s">
        <v>288</v>
      </c>
      <c r="B28" t="s">
        <v>104</v>
      </c>
      <c r="C28" s="2" t="s">
        <v>215</v>
      </c>
      <c r="D28" s="24">
        <v>0.04</v>
      </c>
      <c r="E28" s="24">
        <v>0.1</v>
      </c>
      <c r="F28" s="24">
        <v>0.11</v>
      </c>
      <c r="G28" s="24">
        <v>0.14000000000000001</v>
      </c>
      <c r="H28" s="24">
        <v>0.2</v>
      </c>
      <c r="J28" s="24"/>
      <c r="K28" s="24"/>
      <c r="L28" s="24"/>
      <c r="M28" s="24"/>
      <c r="N28" s="24"/>
    </row>
    <row r="29" spans="1:14" x14ac:dyDescent="0.25">
      <c r="A29" t="s">
        <v>289</v>
      </c>
      <c r="B29" t="s">
        <v>104</v>
      </c>
      <c r="C29" s="2" t="s">
        <v>216</v>
      </c>
      <c r="D29" s="24">
        <v>0.05</v>
      </c>
      <c r="E29" s="24">
        <v>0.1</v>
      </c>
      <c r="F29" s="24">
        <v>0.11</v>
      </c>
      <c r="G29" s="24">
        <v>0.13</v>
      </c>
      <c r="H29" s="24">
        <v>0.17</v>
      </c>
      <c r="J29" s="24"/>
      <c r="K29" s="24"/>
      <c r="L29" s="24"/>
      <c r="M29" s="24"/>
      <c r="N29" s="24"/>
    </row>
    <row r="30" spans="1:14" x14ac:dyDescent="0.25">
      <c r="A30" t="s">
        <v>290</v>
      </c>
      <c r="B30" t="s">
        <v>104</v>
      </c>
      <c r="C30" s="2" t="s">
        <v>270</v>
      </c>
      <c r="D30" s="24">
        <v>0.06</v>
      </c>
      <c r="E30" s="24">
        <v>0.09</v>
      </c>
      <c r="F30" s="24">
        <v>0.11</v>
      </c>
      <c r="G30" s="24">
        <v>0.12</v>
      </c>
      <c r="H30" s="24">
        <v>0.16</v>
      </c>
      <c r="J30" s="24"/>
      <c r="K30" s="24"/>
      <c r="L30" s="24"/>
      <c r="M30" s="24"/>
      <c r="N30" s="24"/>
    </row>
    <row r="31" spans="1:14" x14ac:dyDescent="0.25">
      <c r="A31" t="s">
        <v>291</v>
      </c>
      <c r="B31" t="s">
        <v>104</v>
      </c>
      <c r="C31" s="2" t="s">
        <v>271</v>
      </c>
      <c r="D31" s="24">
        <v>7.0000000000000007E-2</v>
      </c>
      <c r="E31" s="24">
        <v>0.1</v>
      </c>
      <c r="F31" s="24">
        <v>0.11</v>
      </c>
      <c r="G31" s="24">
        <v>0.11</v>
      </c>
      <c r="H31" s="24">
        <v>0.14000000000000001</v>
      </c>
      <c r="J31" s="24"/>
      <c r="K31" s="24"/>
      <c r="L31" s="24"/>
      <c r="M31" s="24"/>
      <c r="N31" s="24"/>
    </row>
    <row r="32" spans="1:14" x14ac:dyDescent="0.25">
      <c r="A32" t="s">
        <v>292</v>
      </c>
      <c r="B32" t="s">
        <v>98</v>
      </c>
      <c r="C32" s="2" t="s">
        <v>214</v>
      </c>
      <c r="D32" s="24">
        <v>0.05</v>
      </c>
      <c r="E32" s="24">
        <v>0.08</v>
      </c>
      <c r="F32" s="24">
        <v>0.1</v>
      </c>
      <c r="G32" s="24">
        <v>0.12</v>
      </c>
      <c r="H32" s="24">
        <v>0.18</v>
      </c>
      <c r="J32" s="24"/>
      <c r="K32" s="24"/>
      <c r="L32" s="24"/>
      <c r="M32" s="24"/>
      <c r="N32" s="24"/>
    </row>
    <row r="33" spans="1:14" x14ac:dyDescent="0.25">
      <c r="A33" t="s">
        <v>293</v>
      </c>
      <c r="B33" t="s">
        <v>98</v>
      </c>
      <c r="C33" s="2" t="s">
        <v>215</v>
      </c>
      <c r="D33" s="24">
        <v>0.04</v>
      </c>
      <c r="E33" s="24">
        <v>0.08</v>
      </c>
      <c r="F33" s="24">
        <v>0.1</v>
      </c>
      <c r="G33" s="24">
        <v>0.11</v>
      </c>
      <c r="H33" s="24">
        <v>0.16</v>
      </c>
      <c r="J33" s="24"/>
      <c r="K33" s="24"/>
      <c r="L33" s="24"/>
      <c r="M33" s="24"/>
      <c r="N33" s="24"/>
    </row>
    <row r="34" spans="1:14" x14ac:dyDescent="0.25">
      <c r="A34" t="s">
        <v>294</v>
      </c>
      <c r="B34" t="s">
        <v>98</v>
      </c>
      <c r="C34" s="2" t="s">
        <v>216</v>
      </c>
      <c r="D34" s="24">
        <v>0.04</v>
      </c>
      <c r="E34" s="24">
        <v>0.08</v>
      </c>
      <c r="F34" s="24">
        <v>0.09</v>
      </c>
      <c r="G34" s="24">
        <v>0.11</v>
      </c>
      <c r="H34" s="24">
        <v>0.15</v>
      </c>
      <c r="J34" s="24"/>
      <c r="K34" s="24"/>
      <c r="L34" s="24"/>
      <c r="M34" s="24"/>
      <c r="N34" s="24"/>
    </row>
    <row r="35" spans="1:14" x14ac:dyDescent="0.25">
      <c r="A35" t="s">
        <v>295</v>
      </c>
      <c r="B35" t="s">
        <v>98</v>
      </c>
      <c r="C35" s="2" t="s">
        <v>270</v>
      </c>
      <c r="D35" s="24">
        <v>0.04</v>
      </c>
      <c r="E35" s="24">
        <v>0.08</v>
      </c>
      <c r="F35" s="24">
        <v>0.09</v>
      </c>
      <c r="G35" s="24">
        <v>0.11</v>
      </c>
      <c r="H35" s="24">
        <v>0.16</v>
      </c>
      <c r="J35" s="24"/>
      <c r="K35" s="24"/>
      <c r="L35" s="24"/>
      <c r="M35" s="24"/>
      <c r="N35" s="24"/>
    </row>
    <row r="36" spans="1:14" x14ac:dyDescent="0.25">
      <c r="A36" t="s">
        <v>296</v>
      </c>
      <c r="B36" t="s">
        <v>98</v>
      </c>
      <c r="C36" s="2" t="s">
        <v>271</v>
      </c>
      <c r="D36" s="24">
        <v>0.02</v>
      </c>
      <c r="E36" s="24">
        <v>0.06</v>
      </c>
      <c r="F36" s="24">
        <v>0.08</v>
      </c>
      <c r="G36" s="24">
        <v>0.1</v>
      </c>
      <c r="H36" s="24">
        <v>0.15</v>
      </c>
      <c r="J36" s="24"/>
      <c r="K36" s="24"/>
      <c r="L36" s="24"/>
      <c r="M36" s="24"/>
      <c r="N36" s="24"/>
    </row>
    <row r="37" spans="1:14" x14ac:dyDescent="0.25">
      <c r="A37" t="s">
        <v>297</v>
      </c>
      <c r="B37" t="s">
        <v>95</v>
      </c>
      <c r="C37" s="2" t="s">
        <v>214</v>
      </c>
      <c r="D37" s="24">
        <v>0.02</v>
      </c>
      <c r="E37" s="24">
        <v>0.08</v>
      </c>
      <c r="F37" s="24">
        <v>0.1</v>
      </c>
      <c r="G37" s="24">
        <v>0.13</v>
      </c>
      <c r="H37" s="24">
        <v>0.18</v>
      </c>
      <c r="J37" s="24"/>
      <c r="K37" s="24"/>
      <c r="L37" s="24"/>
      <c r="M37" s="24"/>
      <c r="N37" s="24"/>
    </row>
    <row r="38" spans="1:14" x14ac:dyDescent="0.25">
      <c r="A38" t="s">
        <v>298</v>
      </c>
      <c r="B38" t="s">
        <v>95</v>
      </c>
      <c r="C38" s="2" t="s">
        <v>215</v>
      </c>
      <c r="D38" s="24">
        <v>0.04</v>
      </c>
      <c r="E38" s="24">
        <v>0.08</v>
      </c>
      <c r="F38" s="24">
        <v>0.1</v>
      </c>
      <c r="G38" s="24">
        <v>0.12</v>
      </c>
      <c r="H38" s="24">
        <v>0.18</v>
      </c>
      <c r="J38" s="24"/>
      <c r="K38" s="24"/>
      <c r="L38" s="24"/>
      <c r="M38" s="24"/>
      <c r="N38" s="24"/>
    </row>
    <row r="39" spans="1:14" x14ac:dyDescent="0.25">
      <c r="A39" t="s">
        <v>299</v>
      </c>
      <c r="B39" t="s">
        <v>95</v>
      </c>
      <c r="C39" s="2" t="s">
        <v>216</v>
      </c>
      <c r="D39" s="24">
        <v>0.02</v>
      </c>
      <c r="E39" s="24">
        <v>0.08</v>
      </c>
      <c r="F39" s="24">
        <v>0.09</v>
      </c>
      <c r="G39" s="24">
        <v>0.12</v>
      </c>
      <c r="H39" s="24">
        <v>0.18</v>
      </c>
      <c r="J39" s="24"/>
      <c r="K39" s="24"/>
      <c r="L39" s="24"/>
      <c r="M39" s="24"/>
      <c r="N39" s="24"/>
    </row>
    <row r="40" spans="1:14" x14ac:dyDescent="0.25">
      <c r="A40" t="s">
        <v>300</v>
      </c>
      <c r="B40" t="s">
        <v>95</v>
      </c>
      <c r="C40" s="2" t="s">
        <v>270</v>
      </c>
      <c r="D40" s="24">
        <v>0.01</v>
      </c>
      <c r="E40" s="24">
        <v>7.0000000000000007E-2</v>
      </c>
      <c r="F40" s="24">
        <v>0.09</v>
      </c>
      <c r="G40" s="24">
        <v>0.11</v>
      </c>
      <c r="H40" s="24">
        <v>0.17</v>
      </c>
      <c r="J40" s="24"/>
      <c r="K40" s="24"/>
      <c r="L40" s="24"/>
      <c r="M40" s="24"/>
      <c r="N40" s="24"/>
    </row>
    <row r="41" spans="1:14" x14ac:dyDescent="0.25">
      <c r="A41" t="s">
        <v>301</v>
      </c>
      <c r="B41" t="s">
        <v>95</v>
      </c>
      <c r="C41" s="2" t="s">
        <v>271</v>
      </c>
      <c r="D41" s="24">
        <v>0.03</v>
      </c>
      <c r="E41" s="24">
        <v>7.0000000000000007E-2</v>
      </c>
      <c r="F41" s="24">
        <v>0.09</v>
      </c>
      <c r="G41" s="24">
        <v>0.11</v>
      </c>
      <c r="H41" s="24">
        <v>0.16</v>
      </c>
      <c r="J41" s="24"/>
      <c r="K41" s="24"/>
      <c r="L41" s="24"/>
      <c r="M41" s="24"/>
      <c r="N41" s="24"/>
    </row>
    <row r="42" spans="1:14" x14ac:dyDescent="0.25">
      <c r="A42" t="s">
        <v>302</v>
      </c>
      <c r="B42" t="s">
        <v>96</v>
      </c>
      <c r="C42" s="2" t="s">
        <v>214</v>
      </c>
      <c r="D42" s="24">
        <v>0.04</v>
      </c>
      <c r="E42" s="24">
        <v>0.1</v>
      </c>
      <c r="F42" s="24">
        <v>0.13</v>
      </c>
      <c r="G42" s="24">
        <v>0.16</v>
      </c>
      <c r="H42" s="24">
        <v>0.25</v>
      </c>
      <c r="J42" s="24"/>
      <c r="K42" s="24"/>
      <c r="L42" s="24"/>
      <c r="M42" s="24"/>
      <c r="N42" s="24"/>
    </row>
    <row r="43" spans="1:14" x14ac:dyDescent="0.25">
      <c r="A43" t="s">
        <v>303</v>
      </c>
      <c r="B43" t="s">
        <v>96</v>
      </c>
      <c r="C43" s="2" t="s">
        <v>215</v>
      </c>
      <c r="D43" s="24">
        <v>0.03</v>
      </c>
      <c r="E43" s="24">
        <v>0.11</v>
      </c>
      <c r="F43" s="24">
        <v>0.13</v>
      </c>
      <c r="G43" s="24">
        <v>0.16</v>
      </c>
      <c r="H43" s="24">
        <v>0.23</v>
      </c>
      <c r="J43" s="24"/>
      <c r="K43" s="24"/>
      <c r="L43" s="24"/>
      <c r="M43" s="24"/>
      <c r="N43" s="24"/>
    </row>
    <row r="44" spans="1:14" x14ac:dyDescent="0.25">
      <c r="A44" t="s">
        <v>304</v>
      </c>
      <c r="B44" t="s">
        <v>96</v>
      </c>
      <c r="C44" s="2" t="s">
        <v>216</v>
      </c>
      <c r="D44" s="24">
        <v>0.02</v>
      </c>
      <c r="E44" s="24">
        <v>0.09</v>
      </c>
      <c r="F44" s="24">
        <v>0.11</v>
      </c>
      <c r="G44" s="24">
        <v>0.14000000000000001</v>
      </c>
      <c r="H44" s="24">
        <v>0.2</v>
      </c>
      <c r="J44" s="24"/>
      <c r="K44" s="24"/>
      <c r="L44" s="24"/>
      <c r="M44" s="24"/>
      <c r="N44" s="24"/>
    </row>
    <row r="45" spans="1:14" x14ac:dyDescent="0.25">
      <c r="A45" t="s">
        <v>305</v>
      </c>
      <c r="B45" t="s">
        <v>96</v>
      </c>
      <c r="C45" s="2" t="s">
        <v>270</v>
      </c>
      <c r="D45" s="24">
        <v>0.03</v>
      </c>
      <c r="E45" s="24">
        <v>0.08</v>
      </c>
      <c r="F45" s="24">
        <v>0.11</v>
      </c>
      <c r="G45" s="24">
        <v>0.13</v>
      </c>
      <c r="H45" s="24">
        <v>0.2</v>
      </c>
      <c r="J45" s="24"/>
      <c r="K45" s="24"/>
      <c r="L45" s="24"/>
      <c r="M45" s="24"/>
      <c r="N45" s="24"/>
    </row>
    <row r="46" spans="1:14" x14ac:dyDescent="0.25">
      <c r="A46" t="s">
        <v>306</v>
      </c>
      <c r="B46" t="s">
        <v>96</v>
      </c>
      <c r="C46" s="2" t="s">
        <v>271</v>
      </c>
      <c r="D46" s="24">
        <v>0.03</v>
      </c>
      <c r="E46" s="24">
        <v>0.08</v>
      </c>
      <c r="F46" s="24">
        <v>0.11</v>
      </c>
      <c r="G46" s="24">
        <v>0.12</v>
      </c>
      <c r="H46" s="24">
        <v>0.19</v>
      </c>
      <c r="J46" s="24"/>
      <c r="K46" s="24"/>
      <c r="L46" s="24"/>
      <c r="M46" s="24"/>
      <c r="N46" s="24"/>
    </row>
    <row r="47" spans="1:14" x14ac:dyDescent="0.25">
      <c r="A47" t="s">
        <v>307</v>
      </c>
      <c r="B47" t="s">
        <v>101</v>
      </c>
      <c r="C47" s="2" t="s">
        <v>214</v>
      </c>
      <c r="D47" s="24">
        <v>0.04</v>
      </c>
      <c r="E47" s="24">
        <v>0.09</v>
      </c>
      <c r="F47" s="24">
        <v>0.1</v>
      </c>
      <c r="G47" s="24">
        <v>0.13</v>
      </c>
      <c r="H47" s="24">
        <v>0.18</v>
      </c>
      <c r="J47" s="24"/>
      <c r="K47" s="24"/>
      <c r="L47" s="24"/>
      <c r="M47" s="24"/>
      <c r="N47" s="24"/>
    </row>
    <row r="48" spans="1:14" x14ac:dyDescent="0.25">
      <c r="A48" t="s">
        <v>308</v>
      </c>
      <c r="B48" t="s">
        <v>101</v>
      </c>
      <c r="C48" s="2" t="s">
        <v>215</v>
      </c>
      <c r="D48" s="24">
        <v>0.04</v>
      </c>
      <c r="E48" s="24">
        <v>0.08</v>
      </c>
      <c r="F48" s="24">
        <v>0.1</v>
      </c>
      <c r="G48" s="24">
        <v>0.12</v>
      </c>
      <c r="H48" s="24">
        <v>0.18</v>
      </c>
      <c r="J48" s="24"/>
      <c r="K48" s="24"/>
      <c r="L48" s="24"/>
      <c r="M48" s="24"/>
      <c r="N48" s="24"/>
    </row>
    <row r="49" spans="1:14" x14ac:dyDescent="0.25">
      <c r="A49" t="s">
        <v>309</v>
      </c>
      <c r="B49" t="s">
        <v>101</v>
      </c>
      <c r="C49" s="2" t="s">
        <v>216</v>
      </c>
      <c r="D49" s="24">
        <v>0.04</v>
      </c>
      <c r="E49" s="24">
        <v>0.08</v>
      </c>
      <c r="F49" s="24">
        <v>0.09</v>
      </c>
      <c r="G49" s="24">
        <v>0.11</v>
      </c>
      <c r="H49" s="24">
        <v>0.15</v>
      </c>
      <c r="J49" s="24"/>
      <c r="K49" s="24"/>
      <c r="L49" s="24"/>
      <c r="M49" s="24"/>
      <c r="N49" s="24"/>
    </row>
    <row r="50" spans="1:14" x14ac:dyDescent="0.25">
      <c r="A50" t="s">
        <v>310</v>
      </c>
      <c r="B50" t="s">
        <v>101</v>
      </c>
      <c r="C50" s="2" t="s">
        <v>270</v>
      </c>
      <c r="D50" s="24">
        <v>0.04</v>
      </c>
      <c r="E50" s="24">
        <v>0.08</v>
      </c>
      <c r="F50" s="24">
        <v>0.09</v>
      </c>
      <c r="G50" s="24">
        <v>0.1</v>
      </c>
      <c r="H50" s="24">
        <v>0.15</v>
      </c>
      <c r="J50" s="24"/>
      <c r="K50" s="24"/>
      <c r="L50" s="24"/>
      <c r="M50" s="24"/>
      <c r="N50" s="24"/>
    </row>
    <row r="51" spans="1:14" x14ac:dyDescent="0.25">
      <c r="A51" t="s">
        <v>311</v>
      </c>
      <c r="B51" t="s">
        <v>101</v>
      </c>
      <c r="C51" s="2" t="s">
        <v>271</v>
      </c>
      <c r="D51" s="24">
        <v>0.03</v>
      </c>
      <c r="E51" s="24">
        <v>7.0000000000000007E-2</v>
      </c>
      <c r="F51" s="24">
        <v>0.08</v>
      </c>
      <c r="G51" s="24">
        <v>0.09</v>
      </c>
      <c r="H51" s="24">
        <v>0.13</v>
      </c>
      <c r="J51" s="24"/>
      <c r="K51" s="24"/>
      <c r="L51" s="24"/>
      <c r="M51" s="24"/>
      <c r="N51" s="24"/>
    </row>
    <row r="52" spans="1:14" x14ac:dyDescent="0.25">
      <c r="A52" t="s">
        <v>312</v>
      </c>
      <c r="B52" t="s">
        <v>97</v>
      </c>
      <c r="C52" s="2" t="s">
        <v>214</v>
      </c>
      <c r="D52" s="24">
        <v>0.04</v>
      </c>
      <c r="E52" s="24">
        <v>0.09</v>
      </c>
      <c r="F52" s="24">
        <v>0.1</v>
      </c>
      <c r="G52" s="24">
        <v>0.13</v>
      </c>
      <c r="H52" s="24">
        <v>0.17</v>
      </c>
      <c r="J52" s="24"/>
      <c r="K52" s="24"/>
      <c r="L52" s="24"/>
      <c r="M52" s="24"/>
      <c r="N52" s="24"/>
    </row>
    <row r="53" spans="1:14" x14ac:dyDescent="0.25">
      <c r="A53" t="s">
        <v>313</v>
      </c>
      <c r="B53" t="s">
        <v>97</v>
      </c>
      <c r="C53" s="2" t="s">
        <v>215</v>
      </c>
      <c r="D53" s="24">
        <v>0.05</v>
      </c>
      <c r="E53" s="24">
        <v>0.09</v>
      </c>
      <c r="F53" s="24">
        <v>0.1</v>
      </c>
      <c r="G53" s="24">
        <v>0.12</v>
      </c>
      <c r="H53" s="24">
        <v>0.16</v>
      </c>
      <c r="J53" s="24"/>
      <c r="K53" s="24"/>
      <c r="L53" s="24"/>
      <c r="M53" s="24"/>
      <c r="N53" s="24"/>
    </row>
    <row r="54" spans="1:14" x14ac:dyDescent="0.25">
      <c r="A54" t="s">
        <v>314</v>
      </c>
      <c r="B54" t="s">
        <v>97</v>
      </c>
      <c r="C54" s="2" t="s">
        <v>216</v>
      </c>
      <c r="D54" s="24">
        <v>0.04</v>
      </c>
      <c r="E54" s="24">
        <v>0.08</v>
      </c>
      <c r="F54" s="24">
        <v>0.1</v>
      </c>
      <c r="G54" s="24">
        <v>0.11</v>
      </c>
      <c r="H54" s="24">
        <v>0.16</v>
      </c>
      <c r="J54" s="24"/>
      <c r="K54" s="24"/>
      <c r="L54" s="24"/>
      <c r="M54" s="24"/>
      <c r="N54" s="24"/>
    </row>
    <row r="55" spans="1:14" x14ac:dyDescent="0.25">
      <c r="A55" t="s">
        <v>315</v>
      </c>
      <c r="B55" t="s">
        <v>97</v>
      </c>
      <c r="C55" s="2" t="s">
        <v>270</v>
      </c>
      <c r="D55" s="24">
        <v>0.02</v>
      </c>
      <c r="E55" s="24">
        <v>7.0000000000000007E-2</v>
      </c>
      <c r="F55" s="24">
        <v>0.09</v>
      </c>
      <c r="G55" s="24">
        <v>0.11</v>
      </c>
      <c r="H55" s="24">
        <v>0.16</v>
      </c>
      <c r="J55" s="24"/>
      <c r="K55" s="24"/>
      <c r="L55" s="24"/>
      <c r="M55" s="24"/>
      <c r="N55" s="24"/>
    </row>
    <row r="56" spans="1:14" x14ac:dyDescent="0.25">
      <c r="A56" t="s">
        <v>316</v>
      </c>
      <c r="B56" t="s">
        <v>97</v>
      </c>
      <c r="C56" s="2" t="s">
        <v>271</v>
      </c>
      <c r="D56" s="24">
        <v>0.03</v>
      </c>
      <c r="E56" s="24">
        <v>7.0000000000000007E-2</v>
      </c>
      <c r="F56" s="24">
        <v>0.08</v>
      </c>
      <c r="G56" s="24">
        <v>0.1</v>
      </c>
      <c r="H56" s="24">
        <v>0.15</v>
      </c>
      <c r="J56" s="24"/>
      <c r="K56" s="24"/>
      <c r="L56" s="24"/>
      <c r="M56" s="24"/>
      <c r="N56" s="24"/>
    </row>
    <row r="57" spans="1:14" x14ac:dyDescent="0.25">
      <c r="A57" t="s">
        <v>317</v>
      </c>
      <c r="B57" t="s">
        <v>93</v>
      </c>
      <c r="C57" s="2" t="s">
        <v>214</v>
      </c>
      <c r="D57" s="24">
        <v>0.04</v>
      </c>
      <c r="E57" s="24">
        <v>0.08</v>
      </c>
      <c r="F57" s="24">
        <v>0.1</v>
      </c>
      <c r="G57" s="24">
        <v>0.12</v>
      </c>
      <c r="H57" s="24">
        <v>0.17</v>
      </c>
      <c r="J57" s="24"/>
      <c r="K57" s="24"/>
      <c r="L57" s="24"/>
      <c r="M57" s="24"/>
      <c r="N57" s="24"/>
    </row>
    <row r="58" spans="1:14" x14ac:dyDescent="0.25">
      <c r="A58" t="s">
        <v>318</v>
      </c>
      <c r="B58" t="s">
        <v>93</v>
      </c>
      <c r="C58" s="2" t="s">
        <v>215</v>
      </c>
      <c r="D58" s="24">
        <v>0.04</v>
      </c>
      <c r="E58" s="24">
        <v>0.08</v>
      </c>
      <c r="F58" s="24">
        <v>0.1</v>
      </c>
      <c r="G58" s="24">
        <v>0.11</v>
      </c>
      <c r="H58" s="24">
        <v>0.15</v>
      </c>
      <c r="J58" s="24"/>
      <c r="K58" s="24"/>
      <c r="L58" s="24"/>
      <c r="M58" s="24"/>
      <c r="N58" s="24"/>
    </row>
    <row r="59" spans="1:14" x14ac:dyDescent="0.25">
      <c r="A59" t="s">
        <v>319</v>
      </c>
      <c r="B59" t="s">
        <v>93</v>
      </c>
      <c r="C59" s="2" t="s">
        <v>216</v>
      </c>
      <c r="D59" s="24">
        <v>0.05</v>
      </c>
      <c r="E59" s="24">
        <v>0.08</v>
      </c>
      <c r="F59" s="24">
        <v>0.09</v>
      </c>
      <c r="G59" s="24">
        <v>0.1</v>
      </c>
      <c r="H59" s="24">
        <v>0.14000000000000001</v>
      </c>
      <c r="J59" s="24"/>
      <c r="K59" s="24"/>
      <c r="L59" s="24"/>
      <c r="M59" s="24"/>
      <c r="N59" s="24"/>
    </row>
    <row r="60" spans="1:14" x14ac:dyDescent="0.25">
      <c r="A60" t="s">
        <v>320</v>
      </c>
      <c r="B60" t="s">
        <v>93</v>
      </c>
      <c r="C60" s="2" t="s">
        <v>270</v>
      </c>
      <c r="D60" s="24">
        <v>0.03</v>
      </c>
      <c r="E60" s="24">
        <v>7.0000000000000007E-2</v>
      </c>
      <c r="F60" s="24">
        <v>0.08</v>
      </c>
      <c r="G60" s="24">
        <v>0.1</v>
      </c>
      <c r="H60" s="24">
        <v>0.14000000000000001</v>
      </c>
      <c r="J60" s="24"/>
      <c r="K60" s="24"/>
      <c r="L60" s="24"/>
      <c r="M60" s="24"/>
      <c r="N60" s="24"/>
    </row>
    <row r="61" spans="1:14" x14ac:dyDescent="0.25">
      <c r="A61" t="s">
        <v>321</v>
      </c>
      <c r="B61" t="s">
        <v>93</v>
      </c>
      <c r="C61" s="2" t="s">
        <v>271</v>
      </c>
      <c r="D61" s="24">
        <v>0.02</v>
      </c>
      <c r="E61" s="24">
        <v>0.06</v>
      </c>
      <c r="F61" s="24">
        <v>0.08</v>
      </c>
      <c r="G61" s="24">
        <v>0.09</v>
      </c>
      <c r="H61" s="24">
        <v>0.14000000000000001</v>
      </c>
      <c r="J61" s="24"/>
      <c r="K61" s="24"/>
      <c r="L61" s="24"/>
      <c r="M61" s="24"/>
      <c r="N61" s="24"/>
    </row>
    <row r="62" spans="1:14" x14ac:dyDescent="0.25">
      <c r="A62" t="s">
        <v>322</v>
      </c>
      <c r="B62" t="s">
        <v>105</v>
      </c>
      <c r="C62" s="2" t="s">
        <v>214</v>
      </c>
      <c r="D62" s="24">
        <v>0.03</v>
      </c>
      <c r="E62" s="24">
        <v>7.0000000000000007E-2</v>
      </c>
      <c r="F62" s="24">
        <v>0.08</v>
      </c>
      <c r="G62" s="24">
        <v>0.11</v>
      </c>
      <c r="H62" s="24">
        <v>0.17</v>
      </c>
      <c r="J62" s="24"/>
      <c r="K62" s="24"/>
      <c r="L62" s="24"/>
      <c r="M62" s="24"/>
      <c r="N62" s="24"/>
    </row>
    <row r="63" spans="1:14" x14ac:dyDescent="0.25">
      <c r="A63" t="s">
        <v>323</v>
      </c>
      <c r="B63" t="s">
        <v>105</v>
      </c>
      <c r="C63" s="2" t="s">
        <v>215</v>
      </c>
      <c r="D63" s="24">
        <v>0.03</v>
      </c>
      <c r="E63" s="24">
        <v>0.06</v>
      </c>
      <c r="F63" s="24">
        <v>0.08</v>
      </c>
      <c r="G63" s="24">
        <v>0.1</v>
      </c>
      <c r="H63" s="24">
        <v>0.15</v>
      </c>
      <c r="J63" s="24"/>
      <c r="K63" s="24"/>
      <c r="L63" s="24"/>
      <c r="M63" s="24"/>
      <c r="N63" s="24"/>
    </row>
    <row r="64" spans="1:14" x14ac:dyDescent="0.25">
      <c r="A64" t="s">
        <v>324</v>
      </c>
      <c r="B64" t="s">
        <v>105</v>
      </c>
      <c r="C64" s="2" t="s">
        <v>216</v>
      </c>
      <c r="D64" s="24">
        <v>0.02</v>
      </c>
      <c r="E64" s="24">
        <v>0.06</v>
      </c>
      <c r="F64" s="24">
        <v>0.08</v>
      </c>
      <c r="G64" s="24">
        <v>0.1</v>
      </c>
      <c r="H64" s="24">
        <v>0.16</v>
      </c>
      <c r="J64" s="24"/>
      <c r="K64" s="24"/>
      <c r="L64" s="24"/>
      <c r="M64" s="24"/>
      <c r="N64" s="24"/>
    </row>
    <row r="65" spans="1:14" x14ac:dyDescent="0.25">
      <c r="A65" t="s">
        <v>325</v>
      </c>
      <c r="B65" t="s">
        <v>105</v>
      </c>
      <c r="C65" s="2" t="s">
        <v>270</v>
      </c>
      <c r="D65" s="24">
        <v>0.02</v>
      </c>
      <c r="E65" s="24">
        <v>0.05</v>
      </c>
      <c r="F65" s="24">
        <v>0.09</v>
      </c>
      <c r="G65" s="24">
        <v>0.1</v>
      </c>
      <c r="H65" s="24">
        <v>0.17</v>
      </c>
      <c r="J65" s="24"/>
      <c r="K65" s="24"/>
      <c r="L65" s="24"/>
      <c r="M65" s="24"/>
      <c r="N65" s="24"/>
    </row>
    <row r="66" spans="1:14" x14ac:dyDescent="0.25">
      <c r="A66" t="s">
        <v>326</v>
      </c>
      <c r="B66" t="s">
        <v>105</v>
      </c>
      <c r="C66" s="2" t="s">
        <v>271</v>
      </c>
      <c r="D66" s="24">
        <v>0.01</v>
      </c>
      <c r="E66" s="24">
        <v>0.06</v>
      </c>
      <c r="F66" s="24">
        <v>0.08</v>
      </c>
      <c r="G66" s="24">
        <v>0.1</v>
      </c>
      <c r="H66" s="24">
        <v>0.15</v>
      </c>
      <c r="J66" s="24"/>
      <c r="K66" s="24"/>
      <c r="L66" s="24"/>
      <c r="M66" s="24"/>
      <c r="N66" s="24"/>
    </row>
    <row r="67" spans="1:14" x14ac:dyDescent="0.25">
      <c r="A67" t="s">
        <v>327</v>
      </c>
      <c r="B67" t="s">
        <v>92</v>
      </c>
      <c r="C67" s="2" t="s">
        <v>214</v>
      </c>
      <c r="D67" s="24">
        <v>0.04</v>
      </c>
      <c r="E67" s="24">
        <v>0.08</v>
      </c>
      <c r="F67" s="24">
        <v>0.1</v>
      </c>
      <c r="G67" s="24">
        <v>0.12</v>
      </c>
      <c r="H67" s="24">
        <v>0.17</v>
      </c>
      <c r="J67" s="24"/>
      <c r="K67" s="24"/>
      <c r="L67" s="24"/>
      <c r="M67" s="24"/>
      <c r="N67" s="24"/>
    </row>
    <row r="68" spans="1:14" x14ac:dyDescent="0.25">
      <c r="A68" t="s">
        <v>328</v>
      </c>
      <c r="B68" t="s">
        <v>92</v>
      </c>
      <c r="C68" s="2" t="s">
        <v>215</v>
      </c>
      <c r="D68" s="24">
        <v>0.04</v>
      </c>
      <c r="E68" s="24">
        <v>0.08</v>
      </c>
      <c r="F68" s="24">
        <v>0.09</v>
      </c>
      <c r="G68" s="24">
        <v>0.11</v>
      </c>
      <c r="H68" s="24">
        <v>0.15</v>
      </c>
      <c r="J68" s="24"/>
      <c r="K68" s="24"/>
      <c r="L68" s="24"/>
      <c r="M68" s="24"/>
      <c r="N68" s="24"/>
    </row>
    <row r="69" spans="1:14" x14ac:dyDescent="0.25">
      <c r="A69" t="s">
        <v>329</v>
      </c>
      <c r="B69" t="s">
        <v>92</v>
      </c>
      <c r="C69" s="2" t="s">
        <v>216</v>
      </c>
      <c r="D69" s="24">
        <v>0.03</v>
      </c>
      <c r="E69" s="24">
        <v>7.0000000000000007E-2</v>
      </c>
      <c r="F69" s="24">
        <v>0.09</v>
      </c>
      <c r="G69" s="24">
        <v>0.1</v>
      </c>
      <c r="H69" s="24">
        <v>0.15</v>
      </c>
      <c r="J69" s="24"/>
      <c r="K69" s="24"/>
      <c r="L69" s="24"/>
      <c r="M69" s="24"/>
      <c r="N69" s="24"/>
    </row>
    <row r="70" spans="1:14" x14ac:dyDescent="0.25">
      <c r="A70" t="s">
        <v>330</v>
      </c>
      <c r="B70" t="s">
        <v>92</v>
      </c>
      <c r="C70" s="2" t="s">
        <v>270</v>
      </c>
      <c r="D70" s="24">
        <v>0.03</v>
      </c>
      <c r="E70" s="24">
        <v>0.08</v>
      </c>
      <c r="F70" s="24">
        <v>0.09</v>
      </c>
      <c r="G70" s="24">
        <v>0.1</v>
      </c>
      <c r="H70" s="24">
        <v>0.15</v>
      </c>
      <c r="J70" s="24"/>
      <c r="K70" s="24"/>
      <c r="L70" s="24"/>
      <c r="M70" s="24"/>
      <c r="N70" s="24"/>
    </row>
    <row r="71" spans="1:14" x14ac:dyDescent="0.25">
      <c r="A71" t="s">
        <v>331</v>
      </c>
      <c r="B71" t="s">
        <v>92</v>
      </c>
      <c r="C71" s="2" t="s">
        <v>271</v>
      </c>
      <c r="D71" s="24">
        <v>0.02</v>
      </c>
      <c r="E71" s="24">
        <v>0.06</v>
      </c>
      <c r="F71" s="24">
        <v>0.08</v>
      </c>
      <c r="G71" s="24">
        <v>0.09</v>
      </c>
      <c r="H71" s="24">
        <v>0.14000000000000001</v>
      </c>
      <c r="J71" s="24"/>
      <c r="K71" s="24"/>
      <c r="L71" s="24"/>
      <c r="M71" s="24"/>
      <c r="N71" s="24"/>
    </row>
    <row r="72" spans="1:14" x14ac:dyDescent="0.25">
      <c r="A72" t="s">
        <v>332</v>
      </c>
      <c r="B72" t="s">
        <v>91</v>
      </c>
      <c r="C72" s="2" t="s">
        <v>214</v>
      </c>
      <c r="D72" s="24">
        <v>0.01</v>
      </c>
      <c r="E72" s="24">
        <v>7.0000000000000007E-2</v>
      </c>
      <c r="F72" s="24">
        <v>0.08</v>
      </c>
      <c r="G72" s="24">
        <v>0.11</v>
      </c>
      <c r="H72" s="24">
        <v>0.17</v>
      </c>
      <c r="J72" s="24"/>
      <c r="K72" s="24"/>
      <c r="L72" s="24"/>
      <c r="M72" s="24"/>
      <c r="N72" s="24"/>
    </row>
    <row r="73" spans="1:14" x14ac:dyDescent="0.25">
      <c r="A73" t="s">
        <v>333</v>
      </c>
      <c r="B73" t="s">
        <v>91</v>
      </c>
      <c r="C73" s="2" t="s">
        <v>215</v>
      </c>
      <c r="D73" s="24">
        <v>0.03</v>
      </c>
      <c r="E73" s="24">
        <v>7.0000000000000007E-2</v>
      </c>
      <c r="F73" s="24">
        <v>0.09</v>
      </c>
      <c r="G73" s="24">
        <v>0.11</v>
      </c>
      <c r="H73" s="24">
        <v>0.15</v>
      </c>
      <c r="J73" s="24"/>
      <c r="K73" s="24"/>
      <c r="L73" s="24"/>
      <c r="M73" s="24"/>
      <c r="N73" s="24"/>
    </row>
    <row r="74" spans="1:14" x14ac:dyDescent="0.25">
      <c r="A74" t="s">
        <v>334</v>
      </c>
      <c r="B74" t="s">
        <v>91</v>
      </c>
      <c r="C74" s="2" t="s">
        <v>216</v>
      </c>
      <c r="D74" s="24">
        <v>0.03</v>
      </c>
      <c r="E74" s="24">
        <v>0.06</v>
      </c>
      <c r="F74" s="24">
        <v>0.08</v>
      </c>
      <c r="G74" s="24">
        <v>0.1</v>
      </c>
      <c r="H74" s="24">
        <v>0.15</v>
      </c>
      <c r="J74" s="24"/>
      <c r="K74" s="24"/>
      <c r="L74" s="24"/>
      <c r="M74" s="24"/>
      <c r="N74" s="24"/>
    </row>
    <row r="75" spans="1:14" x14ac:dyDescent="0.25">
      <c r="A75" t="s">
        <v>335</v>
      </c>
      <c r="B75" t="s">
        <v>91</v>
      </c>
      <c r="C75" s="2" t="s">
        <v>270</v>
      </c>
      <c r="D75" s="24">
        <v>0.02</v>
      </c>
      <c r="E75" s="24">
        <v>0.06</v>
      </c>
      <c r="F75" s="24">
        <v>7.0000000000000007E-2</v>
      </c>
      <c r="G75" s="24">
        <v>0.09</v>
      </c>
      <c r="H75" s="24">
        <v>0.14000000000000001</v>
      </c>
      <c r="J75" s="24"/>
      <c r="K75" s="24"/>
      <c r="L75" s="24"/>
      <c r="M75" s="24"/>
      <c r="N75" s="24"/>
    </row>
    <row r="76" spans="1:14" x14ac:dyDescent="0.25">
      <c r="A76" t="s">
        <v>336</v>
      </c>
      <c r="B76" t="s">
        <v>91</v>
      </c>
      <c r="C76" s="2" t="s">
        <v>271</v>
      </c>
      <c r="D76" s="24">
        <v>0.01</v>
      </c>
      <c r="E76" s="24">
        <v>0.04</v>
      </c>
      <c r="F76" s="24">
        <v>0.06</v>
      </c>
      <c r="G76" s="24">
        <v>0.08</v>
      </c>
      <c r="H76" s="24">
        <v>0.13</v>
      </c>
      <c r="J76" s="24"/>
      <c r="K76" s="24"/>
      <c r="L76" s="24"/>
      <c r="M76" s="24"/>
      <c r="N76" s="24"/>
    </row>
    <row r="77" spans="1:14" x14ac:dyDescent="0.25">
      <c r="A77" t="s">
        <v>337</v>
      </c>
      <c r="B77" t="s">
        <v>90</v>
      </c>
      <c r="C77" s="2" t="s">
        <v>214</v>
      </c>
      <c r="D77" s="24">
        <v>0.02</v>
      </c>
      <c r="E77" s="24">
        <v>0.06</v>
      </c>
      <c r="F77" s="24">
        <v>7.0000000000000007E-2</v>
      </c>
      <c r="G77" s="24">
        <v>0.09</v>
      </c>
      <c r="H77" s="24">
        <v>0.13</v>
      </c>
      <c r="J77" s="24"/>
      <c r="K77" s="24"/>
      <c r="L77" s="24"/>
      <c r="M77" s="24"/>
      <c r="N77" s="24"/>
    </row>
    <row r="78" spans="1:14" x14ac:dyDescent="0.25">
      <c r="A78" t="s">
        <v>338</v>
      </c>
      <c r="B78" t="s">
        <v>90</v>
      </c>
      <c r="C78" s="2" t="s">
        <v>215</v>
      </c>
      <c r="D78" s="24">
        <v>0.01</v>
      </c>
      <c r="E78" s="24">
        <v>0.05</v>
      </c>
      <c r="F78" s="24">
        <v>7.0000000000000007E-2</v>
      </c>
      <c r="G78" s="24">
        <v>0.08</v>
      </c>
      <c r="H78" s="24">
        <v>0.13</v>
      </c>
      <c r="J78" s="24"/>
      <c r="K78" s="24"/>
      <c r="L78" s="24"/>
      <c r="M78" s="24"/>
      <c r="N78" s="24"/>
    </row>
    <row r="79" spans="1:14" x14ac:dyDescent="0.25">
      <c r="A79" t="s">
        <v>339</v>
      </c>
      <c r="B79" t="s">
        <v>90</v>
      </c>
      <c r="C79" s="2" t="s">
        <v>216</v>
      </c>
      <c r="D79" s="24">
        <v>0.01</v>
      </c>
      <c r="E79" s="24">
        <v>0.05</v>
      </c>
      <c r="F79" s="24">
        <v>7.0000000000000007E-2</v>
      </c>
      <c r="G79" s="24">
        <v>0.08</v>
      </c>
      <c r="H79" s="24">
        <v>0.12</v>
      </c>
      <c r="J79" s="24"/>
      <c r="K79" s="24"/>
      <c r="L79" s="24"/>
      <c r="M79" s="24"/>
      <c r="N79" s="24"/>
    </row>
    <row r="80" spans="1:14" x14ac:dyDescent="0.25">
      <c r="A80" t="s">
        <v>340</v>
      </c>
      <c r="B80" t="s">
        <v>90</v>
      </c>
      <c r="C80" s="2" t="s">
        <v>270</v>
      </c>
      <c r="D80" s="24">
        <v>0.01</v>
      </c>
      <c r="E80" s="24">
        <v>0.04</v>
      </c>
      <c r="F80" s="24">
        <v>0.06</v>
      </c>
      <c r="G80" s="24">
        <v>7.0000000000000007E-2</v>
      </c>
      <c r="H80" s="24">
        <v>0.11</v>
      </c>
      <c r="J80" s="24"/>
      <c r="K80" s="24"/>
      <c r="L80" s="24"/>
      <c r="M80" s="24"/>
      <c r="N80" s="24"/>
    </row>
    <row r="81" spans="1:14" x14ac:dyDescent="0.25">
      <c r="A81" t="s">
        <v>341</v>
      </c>
      <c r="B81" t="s">
        <v>90</v>
      </c>
      <c r="C81" s="2" t="s">
        <v>271</v>
      </c>
      <c r="D81" s="24">
        <v>0</v>
      </c>
      <c r="E81" s="24">
        <v>0.04</v>
      </c>
      <c r="F81" s="24">
        <v>0.05</v>
      </c>
      <c r="G81" s="24">
        <v>7.0000000000000007E-2</v>
      </c>
      <c r="H81" s="24">
        <v>0.1</v>
      </c>
      <c r="J81" s="24"/>
      <c r="K81" s="24"/>
      <c r="L81" s="24"/>
      <c r="M81" s="24"/>
      <c r="N81" s="24"/>
    </row>
    <row r="82" spans="1:14" x14ac:dyDescent="0.25">
      <c r="A82" t="s">
        <v>342</v>
      </c>
      <c r="B82" t="s">
        <v>89</v>
      </c>
      <c r="C82" s="2" t="s">
        <v>214</v>
      </c>
      <c r="D82" s="24">
        <v>0.02</v>
      </c>
      <c r="E82" s="24">
        <v>7.0000000000000007E-2</v>
      </c>
      <c r="F82" s="24">
        <v>0.09</v>
      </c>
      <c r="G82" s="24">
        <v>0.11</v>
      </c>
      <c r="H82" s="24">
        <v>0.17</v>
      </c>
      <c r="J82" s="24"/>
      <c r="K82" s="24"/>
      <c r="L82" s="24"/>
      <c r="M82" s="24"/>
      <c r="N82" s="24"/>
    </row>
    <row r="83" spans="1:14" x14ac:dyDescent="0.25">
      <c r="A83" t="s">
        <v>343</v>
      </c>
      <c r="B83" t="s">
        <v>89</v>
      </c>
      <c r="C83" s="2" t="s">
        <v>215</v>
      </c>
      <c r="D83" s="24">
        <v>0.03</v>
      </c>
      <c r="E83" s="24">
        <v>7.0000000000000007E-2</v>
      </c>
      <c r="F83" s="24">
        <v>0.09</v>
      </c>
      <c r="G83" s="24">
        <v>0.1</v>
      </c>
      <c r="H83" s="24">
        <v>0.15</v>
      </c>
      <c r="J83" s="24"/>
      <c r="K83" s="24"/>
      <c r="L83" s="24"/>
      <c r="M83" s="24"/>
      <c r="N83" s="24"/>
    </row>
    <row r="84" spans="1:14" x14ac:dyDescent="0.25">
      <c r="A84" t="s">
        <v>344</v>
      </c>
      <c r="B84" t="s">
        <v>89</v>
      </c>
      <c r="C84" s="2" t="s">
        <v>216</v>
      </c>
      <c r="D84" s="24">
        <v>0.03</v>
      </c>
      <c r="E84" s="24">
        <v>0.06</v>
      </c>
      <c r="F84" s="24">
        <v>0.08</v>
      </c>
      <c r="G84" s="24">
        <v>0.1</v>
      </c>
      <c r="H84" s="24">
        <v>0.16</v>
      </c>
      <c r="J84" s="24"/>
      <c r="K84" s="24"/>
      <c r="L84" s="24"/>
      <c r="M84" s="24"/>
      <c r="N84" s="24"/>
    </row>
    <row r="85" spans="1:14" x14ac:dyDescent="0.25">
      <c r="A85" t="s">
        <v>345</v>
      </c>
      <c r="B85" t="s">
        <v>89</v>
      </c>
      <c r="C85" s="2" t="s">
        <v>270</v>
      </c>
      <c r="D85" s="24">
        <v>0.01</v>
      </c>
      <c r="E85" s="24">
        <v>0.06</v>
      </c>
      <c r="F85" s="24">
        <v>0.08</v>
      </c>
      <c r="G85" s="24">
        <v>0.09</v>
      </c>
      <c r="H85" s="24">
        <v>0.14000000000000001</v>
      </c>
      <c r="J85" s="24"/>
      <c r="K85" s="24"/>
      <c r="L85" s="24"/>
      <c r="M85" s="24"/>
      <c r="N85" s="24"/>
    </row>
    <row r="86" spans="1:14" x14ac:dyDescent="0.25">
      <c r="A86" t="s">
        <v>346</v>
      </c>
      <c r="B86" t="s">
        <v>89</v>
      </c>
      <c r="C86" s="2" t="s">
        <v>271</v>
      </c>
      <c r="D86" s="24">
        <v>0.01</v>
      </c>
      <c r="E86" s="24">
        <v>0.05</v>
      </c>
      <c r="F86" s="24">
        <v>7.0000000000000007E-2</v>
      </c>
      <c r="G86" s="24">
        <v>0.09</v>
      </c>
      <c r="H86" s="24">
        <v>0.14000000000000001</v>
      </c>
      <c r="J86" s="24"/>
      <c r="K86" s="24"/>
      <c r="L86" s="24"/>
      <c r="M86" s="24"/>
      <c r="N86" s="24"/>
    </row>
    <row r="87" spans="1:14" x14ac:dyDescent="0.25">
      <c r="A87" t="s">
        <v>347</v>
      </c>
      <c r="B87" t="s">
        <v>94</v>
      </c>
      <c r="C87" s="2" t="s">
        <v>214</v>
      </c>
      <c r="D87" s="24">
        <v>0.01</v>
      </c>
      <c r="E87" s="24">
        <v>0.09</v>
      </c>
      <c r="F87" s="24">
        <v>0.12</v>
      </c>
      <c r="G87" s="24">
        <v>0.15</v>
      </c>
      <c r="H87" s="24">
        <v>0.24</v>
      </c>
      <c r="J87" s="24"/>
      <c r="K87" s="24"/>
      <c r="L87" s="24"/>
      <c r="M87" s="24"/>
      <c r="N87" s="24"/>
    </row>
    <row r="88" spans="1:14" x14ac:dyDescent="0.25">
      <c r="A88" t="s">
        <v>348</v>
      </c>
      <c r="B88" t="s">
        <v>94</v>
      </c>
      <c r="C88" s="2" t="s">
        <v>215</v>
      </c>
      <c r="D88" s="24">
        <v>0.05</v>
      </c>
      <c r="E88" s="24">
        <v>0.11</v>
      </c>
      <c r="F88" s="24">
        <v>0.13</v>
      </c>
      <c r="G88" s="24">
        <v>0.15</v>
      </c>
      <c r="H88" s="24">
        <v>0.21</v>
      </c>
      <c r="J88" s="24"/>
      <c r="K88" s="24"/>
      <c r="L88" s="24"/>
      <c r="M88" s="24"/>
      <c r="N88" s="24"/>
    </row>
    <row r="89" spans="1:14" x14ac:dyDescent="0.25">
      <c r="A89" t="s">
        <v>349</v>
      </c>
      <c r="B89" t="s">
        <v>94</v>
      </c>
      <c r="C89" s="2" t="s">
        <v>216</v>
      </c>
      <c r="D89" s="24">
        <v>0.04</v>
      </c>
      <c r="E89" s="24">
        <v>0.1</v>
      </c>
      <c r="F89" s="24">
        <v>0.12</v>
      </c>
      <c r="G89" s="24">
        <v>0.15</v>
      </c>
      <c r="H89" s="24">
        <v>0.21</v>
      </c>
      <c r="J89" s="24"/>
      <c r="K89" s="24"/>
      <c r="L89" s="24"/>
      <c r="M89" s="24"/>
      <c r="N89" s="24"/>
    </row>
    <row r="90" spans="1:14" x14ac:dyDescent="0.25">
      <c r="A90" t="s">
        <v>350</v>
      </c>
      <c r="B90" t="s">
        <v>94</v>
      </c>
      <c r="C90" s="2" t="s">
        <v>270</v>
      </c>
      <c r="D90" s="24">
        <v>0.05</v>
      </c>
      <c r="E90" s="24">
        <v>0.1</v>
      </c>
      <c r="F90" s="24">
        <v>0.12</v>
      </c>
      <c r="G90" s="24">
        <v>0.14000000000000001</v>
      </c>
      <c r="H90" s="24">
        <v>0.2</v>
      </c>
      <c r="J90" s="24"/>
      <c r="K90" s="24"/>
      <c r="L90" s="24"/>
      <c r="M90" s="24"/>
      <c r="N90" s="24"/>
    </row>
    <row r="91" spans="1:14" x14ac:dyDescent="0.25">
      <c r="A91" t="s">
        <v>351</v>
      </c>
      <c r="B91" t="s">
        <v>94</v>
      </c>
      <c r="C91" s="2" t="s">
        <v>271</v>
      </c>
      <c r="D91" s="24">
        <v>0.02</v>
      </c>
      <c r="E91" s="24">
        <v>7.0000000000000007E-2</v>
      </c>
      <c r="F91" s="24">
        <v>0.08</v>
      </c>
      <c r="G91" s="24">
        <v>0.1</v>
      </c>
      <c r="H91" s="24">
        <v>0.13</v>
      </c>
      <c r="J91" s="24"/>
      <c r="K91" s="24"/>
      <c r="L91" s="24"/>
      <c r="M91" s="24"/>
      <c r="N91" s="24"/>
    </row>
    <row r="92" spans="1:14" x14ac:dyDescent="0.25">
      <c r="A92" t="s">
        <v>352</v>
      </c>
      <c r="B92" t="s">
        <v>86</v>
      </c>
      <c r="C92" s="2" t="s">
        <v>214</v>
      </c>
      <c r="D92" s="24">
        <v>0.05</v>
      </c>
      <c r="E92" s="24">
        <v>0.08</v>
      </c>
      <c r="F92" s="24">
        <v>0.1</v>
      </c>
      <c r="G92" s="24">
        <v>0.12</v>
      </c>
      <c r="H92" s="24">
        <v>0.17</v>
      </c>
      <c r="J92" s="24"/>
      <c r="K92" s="24"/>
      <c r="L92" s="24"/>
      <c r="M92" s="24"/>
      <c r="N92" s="24"/>
    </row>
    <row r="93" spans="1:14" x14ac:dyDescent="0.25">
      <c r="A93" t="s">
        <v>353</v>
      </c>
      <c r="B93" t="s">
        <v>86</v>
      </c>
      <c r="C93" s="2" t="s">
        <v>215</v>
      </c>
      <c r="D93" s="24">
        <v>0.03</v>
      </c>
      <c r="E93" s="24">
        <v>0.08</v>
      </c>
      <c r="F93" s="24">
        <v>0.1</v>
      </c>
      <c r="G93" s="24">
        <v>0.12</v>
      </c>
      <c r="H93" s="24">
        <v>0.17</v>
      </c>
      <c r="J93" s="24"/>
      <c r="K93" s="24"/>
      <c r="L93" s="24"/>
      <c r="M93" s="24"/>
      <c r="N93" s="24"/>
    </row>
    <row r="94" spans="1:14" x14ac:dyDescent="0.25">
      <c r="A94" t="s">
        <v>354</v>
      </c>
      <c r="B94" t="s">
        <v>86</v>
      </c>
      <c r="C94" s="2" t="s">
        <v>216</v>
      </c>
      <c r="D94" s="24">
        <v>0.03</v>
      </c>
      <c r="E94" s="24">
        <v>0.08</v>
      </c>
      <c r="F94" s="24">
        <v>0.1</v>
      </c>
      <c r="G94" s="24">
        <v>0.11</v>
      </c>
      <c r="H94" s="24">
        <v>0.16</v>
      </c>
      <c r="J94" s="24"/>
      <c r="K94" s="24"/>
      <c r="L94" s="24"/>
      <c r="M94" s="24"/>
      <c r="N94" s="24"/>
    </row>
    <row r="95" spans="1:14" x14ac:dyDescent="0.25">
      <c r="A95" t="s">
        <v>355</v>
      </c>
      <c r="B95" t="s">
        <v>86</v>
      </c>
      <c r="C95" s="2" t="s">
        <v>270</v>
      </c>
      <c r="D95" s="24">
        <v>0.02</v>
      </c>
      <c r="E95" s="24">
        <v>0.06</v>
      </c>
      <c r="F95" s="24">
        <v>0.08</v>
      </c>
      <c r="G95" s="24">
        <v>0.11</v>
      </c>
      <c r="H95" s="24">
        <v>0.18</v>
      </c>
      <c r="J95" s="24"/>
      <c r="K95" s="24"/>
      <c r="L95" s="24"/>
      <c r="M95" s="24"/>
      <c r="N95" s="24"/>
    </row>
    <row r="96" spans="1:14" x14ac:dyDescent="0.25">
      <c r="A96" t="s">
        <v>356</v>
      </c>
      <c r="B96" t="s">
        <v>86</v>
      </c>
      <c r="C96" s="2" t="s">
        <v>271</v>
      </c>
      <c r="D96" s="24">
        <v>0.02</v>
      </c>
      <c r="E96" s="24">
        <v>7.0000000000000007E-2</v>
      </c>
      <c r="F96" s="24">
        <v>0.08</v>
      </c>
      <c r="G96" s="24">
        <v>0.1</v>
      </c>
      <c r="H96" s="24">
        <v>0.13</v>
      </c>
      <c r="J96" s="24"/>
      <c r="K96" s="24"/>
      <c r="L96" s="24"/>
      <c r="M96" s="24"/>
      <c r="N96" s="24"/>
    </row>
    <row r="97" spans="1:14" x14ac:dyDescent="0.25">
      <c r="A97" t="s">
        <v>357</v>
      </c>
      <c r="B97" t="s">
        <v>88</v>
      </c>
      <c r="C97" s="2" t="s">
        <v>214</v>
      </c>
      <c r="D97" s="24">
        <v>0.01</v>
      </c>
      <c r="E97" s="24">
        <v>0.06</v>
      </c>
      <c r="F97" s="24">
        <v>0.08</v>
      </c>
      <c r="G97" s="24">
        <v>0.1</v>
      </c>
      <c r="H97" s="24">
        <v>0.15</v>
      </c>
      <c r="J97" s="24"/>
      <c r="K97" s="24"/>
      <c r="L97" s="24"/>
      <c r="M97" s="24"/>
      <c r="N97" s="24"/>
    </row>
    <row r="98" spans="1:14" x14ac:dyDescent="0.25">
      <c r="A98" t="s">
        <v>358</v>
      </c>
      <c r="B98" t="s">
        <v>88</v>
      </c>
      <c r="C98" s="2" t="s">
        <v>215</v>
      </c>
      <c r="D98" s="24">
        <v>0.01</v>
      </c>
      <c r="E98" s="24">
        <v>0.05</v>
      </c>
      <c r="F98" s="24">
        <v>7.0000000000000007E-2</v>
      </c>
      <c r="G98" s="24">
        <v>0.09</v>
      </c>
      <c r="H98" s="24">
        <v>0.14000000000000001</v>
      </c>
      <c r="J98" s="24"/>
      <c r="K98" s="24"/>
      <c r="L98" s="24"/>
      <c r="M98" s="24"/>
      <c r="N98" s="24"/>
    </row>
    <row r="99" spans="1:14" x14ac:dyDescent="0.25">
      <c r="A99" t="s">
        <v>359</v>
      </c>
      <c r="B99" t="s">
        <v>88</v>
      </c>
      <c r="C99" s="2" t="s">
        <v>216</v>
      </c>
      <c r="D99" s="24">
        <v>0.01</v>
      </c>
      <c r="E99" s="24">
        <v>0.05</v>
      </c>
      <c r="F99" s="24">
        <v>7.0000000000000007E-2</v>
      </c>
      <c r="G99" s="24">
        <v>0.08</v>
      </c>
      <c r="H99" s="24">
        <v>0.12</v>
      </c>
      <c r="J99" s="24"/>
      <c r="K99" s="24"/>
      <c r="L99" s="24"/>
      <c r="M99" s="24"/>
      <c r="N99" s="24"/>
    </row>
    <row r="100" spans="1:14" x14ac:dyDescent="0.25">
      <c r="A100" t="s">
        <v>360</v>
      </c>
      <c r="B100" t="s">
        <v>88</v>
      </c>
      <c r="C100" s="2" t="s">
        <v>270</v>
      </c>
      <c r="D100" s="24">
        <v>0.01</v>
      </c>
      <c r="E100" s="24">
        <v>0.05</v>
      </c>
      <c r="F100" s="24">
        <v>0.06</v>
      </c>
      <c r="G100" s="24">
        <v>0.08</v>
      </c>
      <c r="H100" s="24">
        <v>0.13</v>
      </c>
      <c r="J100" s="24"/>
      <c r="K100" s="24"/>
      <c r="L100" s="24"/>
      <c r="M100" s="24"/>
      <c r="N100" s="24"/>
    </row>
    <row r="101" spans="1:14" x14ac:dyDescent="0.25">
      <c r="A101" t="s">
        <v>361</v>
      </c>
      <c r="B101" t="s">
        <v>88</v>
      </c>
      <c r="C101" s="2" t="s">
        <v>271</v>
      </c>
      <c r="D101" s="24">
        <v>0</v>
      </c>
      <c r="E101" s="24">
        <v>0.03</v>
      </c>
      <c r="F101" s="24">
        <v>0.05</v>
      </c>
      <c r="G101" s="24">
        <v>7.0000000000000007E-2</v>
      </c>
      <c r="H101" s="24">
        <v>0.12</v>
      </c>
      <c r="J101" s="24"/>
      <c r="K101" s="24"/>
      <c r="L101" s="24"/>
      <c r="M101" s="24"/>
      <c r="N101" s="24"/>
    </row>
    <row r="102" spans="1:14" x14ac:dyDescent="0.25">
      <c r="A102" t="s">
        <v>362</v>
      </c>
      <c r="B102" t="s">
        <v>87</v>
      </c>
      <c r="C102" s="2" t="s">
        <v>214</v>
      </c>
      <c r="D102" s="24">
        <v>0</v>
      </c>
      <c r="E102" s="24">
        <v>0.06</v>
      </c>
      <c r="F102" s="24">
        <v>0.09</v>
      </c>
      <c r="G102" s="24">
        <v>0.1</v>
      </c>
      <c r="H102" s="24">
        <v>0.16</v>
      </c>
      <c r="J102" s="24"/>
      <c r="K102" s="24"/>
      <c r="L102" s="24"/>
      <c r="M102" s="24"/>
      <c r="N102" s="24"/>
    </row>
    <row r="103" spans="1:14" x14ac:dyDescent="0.25">
      <c r="A103" t="s">
        <v>363</v>
      </c>
      <c r="B103" t="s">
        <v>87</v>
      </c>
      <c r="C103" s="2" t="s">
        <v>215</v>
      </c>
      <c r="D103" s="24">
        <v>0.01</v>
      </c>
      <c r="E103" s="24">
        <v>0.06</v>
      </c>
      <c r="F103" s="24">
        <v>0.08</v>
      </c>
      <c r="G103" s="24">
        <v>0.1</v>
      </c>
      <c r="H103" s="24">
        <v>0.16</v>
      </c>
      <c r="J103" s="24"/>
      <c r="K103" s="24"/>
      <c r="L103" s="24"/>
      <c r="M103" s="24"/>
      <c r="N103" s="24"/>
    </row>
    <row r="104" spans="1:14" x14ac:dyDescent="0.25">
      <c r="A104" t="s">
        <v>364</v>
      </c>
      <c r="B104" t="s">
        <v>87</v>
      </c>
      <c r="C104" s="2" t="s">
        <v>216</v>
      </c>
      <c r="D104" s="24">
        <v>0.01</v>
      </c>
      <c r="E104" s="24">
        <v>0.05</v>
      </c>
      <c r="F104" s="24">
        <v>0.08</v>
      </c>
      <c r="G104" s="24">
        <v>0.1</v>
      </c>
      <c r="H104" s="24">
        <v>0.14000000000000001</v>
      </c>
      <c r="J104" s="24"/>
      <c r="K104" s="24"/>
      <c r="L104" s="24"/>
      <c r="M104" s="24"/>
      <c r="N104" s="24"/>
    </row>
    <row r="105" spans="1:14" x14ac:dyDescent="0.25">
      <c r="A105" t="s">
        <v>365</v>
      </c>
      <c r="B105" t="s">
        <v>87</v>
      </c>
      <c r="C105" s="2" t="s">
        <v>270</v>
      </c>
      <c r="D105" s="24">
        <v>0.01</v>
      </c>
      <c r="E105" s="24">
        <v>0.05</v>
      </c>
      <c r="F105" s="24">
        <v>7.0000000000000007E-2</v>
      </c>
      <c r="G105" s="24">
        <v>0.1</v>
      </c>
      <c r="H105" s="24">
        <v>0.15</v>
      </c>
      <c r="J105" s="24"/>
      <c r="K105" s="24"/>
      <c r="L105" s="24"/>
      <c r="M105" s="24"/>
      <c r="N105" s="24"/>
    </row>
    <row r="106" spans="1:14" x14ac:dyDescent="0.25">
      <c r="A106" t="s">
        <v>366</v>
      </c>
      <c r="B106" t="s">
        <v>87</v>
      </c>
      <c r="C106" s="2" t="s">
        <v>271</v>
      </c>
      <c r="D106" s="24">
        <v>0.01</v>
      </c>
      <c r="E106" s="24">
        <v>0.03</v>
      </c>
      <c r="F106" s="24">
        <v>7.0000000000000007E-2</v>
      </c>
      <c r="G106" s="24">
        <v>0.09</v>
      </c>
      <c r="H106" s="24">
        <v>0.17</v>
      </c>
      <c r="J106" s="24"/>
      <c r="K106" s="24"/>
      <c r="L106" s="24"/>
      <c r="M106" s="24"/>
      <c r="N106" s="24"/>
    </row>
    <row r="107" spans="1:14" x14ac:dyDescent="0.25">
      <c r="A107" t="s">
        <v>367</v>
      </c>
      <c r="B107" t="s">
        <v>258</v>
      </c>
      <c r="C107" s="2" t="s">
        <v>214</v>
      </c>
      <c r="D107" s="24"/>
      <c r="E107" s="24"/>
      <c r="F107" s="24"/>
      <c r="G107" s="24"/>
      <c r="H107" s="24"/>
    </row>
    <row r="108" spans="1:14" x14ac:dyDescent="0.25">
      <c r="A108" t="s">
        <v>368</v>
      </c>
      <c r="B108" t="s">
        <v>258</v>
      </c>
      <c r="C108" s="2" t="s">
        <v>215</v>
      </c>
      <c r="D108" s="24"/>
      <c r="E108" s="24"/>
      <c r="F108" s="24"/>
      <c r="G108" s="24"/>
      <c r="H108" s="24"/>
    </row>
    <row r="109" spans="1:14" x14ac:dyDescent="0.25">
      <c r="A109" t="s">
        <v>369</v>
      </c>
      <c r="B109" t="s">
        <v>258</v>
      </c>
      <c r="C109" s="2" t="s">
        <v>216</v>
      </c>
      <c r="D109" s="24"/>
      <c r="E109" s="24"/>
      <c r="F109" s="24"/>
      <c r="G109" s="24"/>
      <c r="H109" s="24"/>
    </row>
    <row r="110" spans="1:14" x14ac:dyDescent="0.25">
      <c r="A110" t="s">
        <v>370</v>
      </c>
      <c r="B110" t="s">
        <v>258</v>
      </c>
      <c r="C110" s="2" t="s">
        <v>270</v>
      </c>
      <c r="D110" s="24"/>
      <c r="E110" s="24"/>
      <c r="F110" s="24"/>
      <c r="G110" s="24"/>
      <c r="H110" s="24"/>
    </row>
    <row r="111" spans="1:14" x14ac:dyDescent="0.25">
      <c r="A111" t="s">
        <v>371</v>
      </c>
      <c r="B111" t="s">
        <v>258</v>
      </c>
      <c r="C111" s="2" t="s">
        <v>271</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247</v>
      </c>
      <c r="B1" t="s">
        <v>257</v>
      </c>
      <c r="C1" s="2" t="s">
        <v>994</v>
      </c>
      <c r="D1" s="2" t="s">
        <v>218</v>
      </c>
      <c r="E1" s="2"/>
      <c r="F1" s="2" t="s">
        <v>217</v>
      </c>
    </row>
    <row r="2" spans="1:14" x14ac:dyDescent="0.25">
      <c r="A2" t="s">
        <v>272</v>
      </c>
      <c r="B2" t="s">
        <v>99</v>
      </c>
      <c r="C2" s="2" t="s">
        <v>214</v>
      </c>
      <c r="D2" s="24">
        <v>0</v>
      </c>
      <c r="E2" s="24">
        <v>0.1</v>
      </c>
      <c r="F2" s="24">
        <v>0.14000000000000001</v>
      </c>
      <c r="G2" s="24"/>
      <c r="H2" s="24"/>
      <c r="I2" s="24"/>
      <c r="J2" s="24"/>
      <c r="L2" s="24"/>
      <c r="M2" s="24"/>
      <c r="N2" s="24"/>
    </row>
    <row r="3" spans="1:14" x14ac:dyDescent="0.25">
      <c r="A3" t="s">
        <v>273</v>
      </c>
      <c r="B3" t="s">
        <v>99</v>
      </c>
      <c r="C3" s="2" t="s">
        <v>215</v>
      </c>
      <c r="D3" s="24">
        <v>0</v>
      </c>
      <c r="E3" s="24">
        <v>0.08</v>
      </c>
      <c r="F3" s="24">
        <v>0.13</v>
      </c>
      <c r="G3" s="24"/>
      <c r="H3" s="24"/>
      <c r="I3" s="24"/>
      <c r="J3" s="24"/>
      <c r="L3" s="24"/>
      <c r="M3" s="24"/>
      <c r="N3" s="24"/>
    </row>
    <row r="4" spans="1:14" x14ac:dyDescent="0.25">
      <c r="A4" t="s">
        <v>274</v>
      </c>
      <c r="B4" t="s">
        <v>99</v>
      </c>
      <c r="C4" s="2" t="s">
        <v>216</v>
      </c>
      <c r="D4" s="24">
        <v>0</v>
      </c>
      <c r="E4" s="24">
        <v>0.08</v>
      </c>
      <c r="F4" s="24">
        <v>0.11</v>
      </c>
      <c r="G4" s="24"/>
      <c r="H4" s="24"/>
      <c r="I4" s="24"/>
      <c r="J4" s="24"/>
      <c r="L4" s="24"/>
      <c r="M4" s="24"/>
      <c r="N4" s="24"/>
    </row>
    <row r="5" spans="1:14" x14ac:dyDescent="0.25">
      <c r="A5" t="s">
        <v>275</v>
      </c>
      <c r="B5" t="s">
        <v>99</v>
      </c>
      <c r="C5" s="2" t="s">
        <v>270</v>
      </c>
      <c r="D5" s="24">
        <v>0</v>
      </c>
      <c r="E5" s="24">
        <v>7.0000000000000007E-2</v>
      </c>
      <c r="F5" s="24">
        <v>0.1</v>
      </c>
      <c r="G5" s="24"/>
      <c r="H5" s="24"/>
      <c r="I5" s="24"/>
      <c r="J5" s="24"/>
      <c r="L5" s="24"/>
      <c r="M5" s="24"/>
      <c r="N5" s="24"/>
    </row>
    <row r="6" spans="1:14" x14ac:dyDescent="0.25">
      <c r="A6" t="s">
        <v>276</v>
      </c>
      <c r="B6" t="s">
        <v>99</v>
      </c>
      <c r="C6" s="2" t="s">
        <v>271</v>
      </c>
      <c r="D6" s="24">
        <v>0</v>
      </c>
      <c r="E6" s="24">
        <v>0.06</v>
      </c>
      <c r="F6" s="24">
        <v>0.09</v>
      </c>
      <c r="G6" s="24"/>
      <c r="H6" s="24"/>
      <c r="I6" s="24"/>
      <c r="J6" s="24"/>
      <c r="L6" s="24"/>
      <c r="M6" s="24"/>
      <c r="N6" s="24"/>
    </row>
    <row r="7" spans="1:14" x14ac:dyDescent="0.25">
      <c r="A7" t="s">
        <v>522</v>
      </c>
      <c r="B7" t="s">
        <v>520</v>
      </c>
      <c r="C7" s="2" t="s">
        <v>214</v>
      </c>
      <c r="D7" s="24">
        <v>0</v>
      </c>
      <c r="E7" s="24">
        <v>7.0000000000000007E-2</v>
      </c>
      <c r="F7" s="24">
        <v>0.1</v>
      </c>
      <c r="G7" s="24"/>
      <c r="H7" s="24"/>
      <c r="I7" s="24"/>
      <c r="J7" s="24"/>
      <c r="L7" s="24"/>
      <c r="M7" s="24"/>
      <c r="N7" s="24"/>
    </row>
    <row r="8" spans="1:14" x14ac:dyDescent="0.25">
      <c r="A8" t="s">
        <v>523</v>
      </c>
      <c r="B8" t="s">
        <v>520</v>
      </c>
      <c r="C8" s="2" t="s">
        <v>215</v>
      </c>
      <c r="D8" s="24">
        <v>0</v>
      </c>
      <c r="E8" s="24">
        <v>7.0000000000000007E-2</v>
      </c>
      <c r="F8" s="24">
        <v>0.09</v>
      </c>
      <c r="G8" s="24"/>
      <c r="H8" s="24"/>
      <c r="I8" s="24"/>
      <c r="J8" s="24"/>
      <c r="L8" s="24"/>
      <c r="M8" s="24"/>
      <c r="N8" s="24"/>
    </row>
    <row r="9" spans="1:14" x14ac:dyDescent="0.25">
      <c r="A9" t="s">
        <v>524</v>
      </c>
      <c r="B9" t="s">
        <v>520</v>
      </c>
      <c r="C9" s="2" t="s">
        <v>216</v>
      </c>
      <c r="D9" s="24">
        <v>0</v>
      </c>
      <c r="E9" s="24">
        <v>0.06</v>
      </c>
      <c r="F9" s="24">
        <v>0.08</v>
      </c>
      <c r="G9" s="24"/>
      <c r="H9" s="24"/>
      <c r="I9" s="24"/>
      <c r="J9" s="24"/>
      <c r="L9" s="24"/>
      <c r="M9" s="24"/>
      <c r="N9" s="24"/>
    </row>
    <row r="10" spans="1:14" x14ac:dyDescent="0.25">
      <c r="A10" t="s">
        <v>525</v>
      </c>
      <c r="B10" t="s">
        <v>520</v>
      </c>
      <c r="C10" s="2" t="s">
        <v>270</v>
      </c>
      <c r="D10" s="24">
        <v>0</v>
      </c>
      <c r="E10" s="24">
        <v>0.05</v>
      </c>
      <c r="F10" s="24">
        <v>7.0000000000000007E-2</v>
      </c>
      <c r="G10" s="24"/>
      <c r="H10" s="24"/>
      <c r="I10" s="24"/>
      <c r="J10" s="24"/>
      <c r="L10" s="24"/>
      <c r="M10" s="24"/>
      <c r="N10" s="24"/>
    </row>
    <row r="11" spans="1:14" x14ac:dyDescent="0.25">
      <c r="A11" t="s">
        <v>526</v>
      </c>
      <c r="B11" t="s">
        <v>520</v>
      </c>
      <c r="C11" s="2" t="s">
        <v>271</v>
      </c>
      <c r="D11" s="24">
        <v>0</v>
      </c>
      <c r="E11" s="24">
        <v>0.04</v>
      </c>
      <c r="F11" s="24">
        <v>0.06</v>
      </c>
      <c r="G11" s="24"/>
      <c r="H11" s="24"/>
      <c r="I11" s="24"/>
      <c r="J11" s="24"/>
      <c r="L11" s="24"/>
      <c r="M11" s="24"/>
      <c r="N11" s="24"/>
    </row>
    <row r="12" spans="1:14" x14ac:dyDescent="0.25">
      <c r="A12" t="s">
        <v>527</v>
      </c>
      <c r="B12" t="s">
        <v>521</v>
      </c>
      <c r="C12" s="2" t="s">
        <v>214</v>
      </c>
      <c r="D12" s="24">
        <v>0</v>
      </c>
      <c r="E12" s="24">
        <v>7.0000000000000007E-2</v>
      </c>
      <c r="F12" s="24">
        <v>0.09</v>
      </c>
      <c r="G12" s="24"/>
      <c r="H12" s="24"/>
      <c r="I12" s="24"/>
      <c r="J12" s="24"/>
      <c r="L12" s="24"/>
      <c r="M12" s="24"/>
      <c r="N12" s="24"/>
    </row>
    <row r="13" spans="1:14" x14ac:dyDescent="0.25">
      <c r="A13" t="s">
        <v>528</v>
      </c>
      <c r="B13" t="s">
        <v>521</v>
      </c>
      <c r="C13" s="2" t="s">
        <v>215</v>
      </c>
      <c r="D13" s="24">
        <v>0</v>
      </c>
      <c r="E13" s="24">
        <v>7.0000000000000007E-2</v>
      </c>
      <c r="F13" s="24">
        <v>0.08</v>
      </c>
      <c r="G13" s="24"/>
      <c r="H13" s="24"/>
      <c r="I13" s="24"/>
      <c r="J13" s="24"/>
      <c r="L13" s="24"/>
      <c r="M13" s="24"/>
      <c r="N13" s="24"/>
    </row>
    <row r="14" spans="1:14" x14ac:dyDescent="0.25">
      <c r="A14" t="s">
        <v>529</v>
      </c>
      <c r="B14" t="s">
        <v>521</v>
      </c>
      <c r="C14" s="2" t="s">
        <v>216</v>
      </c>
      <c r="D14" s="24">
        <v>0</v>
      </c>
      <c r="E14" s="24">
        <v>0.06</v>
      </c>
      <c r="F14" s="24">
        <v>7.0000000000000007E-2</v>
      </c>
      <c r="G14" s="24"/>
      <c r="H14" s="24"/>
      <c r="I14" s="24"/>
      <c r="J14" s="24"/>
      <c r="L14" s="24"/>
      <c r="M14" s="24"/>
      <c r="N14" s="24"/>
    </row>
    <row r="15" spans="1:14" x14ac:dyDescent="0.25">
      <c r="A15" t="s">
        <v>530</v>
      </c>
      <c r="B15" t="s">
        <v>521</v>
      </c>
      <c r="C15" s="2" t="s">
        <v>270</v>
      </c>
      <c r="D15" s="24">
        <v>0</v>
      </c>
      <c r="E15" s="24">
        <v>0.05</v>
      </c>
      <c r="F15" s="24">
        <v>0.06</v>
      </c>
      <c r="G15" s="24"/>
      <c r="H15" s="24"/>
      <c r="I15" s="24"/>
      <c r="J15" s="24"/>
      <c r="L15" s="24"/>
      <c r="M15" s="24"/>
      <c r="N15" s="24"/>
    </row>
    <row r="16" spans="1:14" x14ac:dyDescent="0.25">
      <c r="A16" t="s">
        <v>531</v>
      </c>
      <c r="B16" t="s">
        <v>521</v>
      </c>
      <c r="C16" s="2" t="s">
        <v>271</v>
      </c>
      <c r="D16" s="24">
        <v>0</v>
      </c>
      <c r="E16" s="24">
        <v>0.05</v>
      </c>
      <c r="F16" s="24">
        <v>0.05</v>
      </c>
      <c r="G16" s="24"/>
      <c r="H16" s="24"/>
      <c r="I16" s="24"/>
      <c r="J16" s="24"/>
      <c r="L16" s="24"/>
      <c r="M16" s="24"/>
      <c r="N16" s="24"/>
    </row>
    <row r="17" spans="1:14" x14ac:dyDescent="0.25">
      <c r="A17" t="s">
        <v>277</v>
      </c>
      <c r="B17" t="s">
        <v>102</v>
      </c>
      <c r="C17" s="2" t="s">
        <v>214</v>
      </c>
      <c r="D17" s="24">
        <v>0</v>
      </c>
      <c r="E17" s="24">
        <v>0.13</v>
      </c>
      <c r="F17" s="24">
        <v>0.18</v>
      </c>
      <c r="G17" s="24"/>
      <c r="H17" s="24"/>
      <c r="I17" s="24"/>
      <c r="J17" s="24"/>
      <c r="L17" s="24"/>
      <c r="M17" s="24"/>
      <c r="N17" s="24"/>
    </row>
    <row r="18" spans="1:14" x14ac:dyDescent="0.25">
      <c r="A18" t="s">
        <v>278</v>
      </c>
      <c r="B18" t="s">
        <v>102</v>
      </c>
      <c r="C18" s="2" t="s">
        <v>215</v>
      </c>
      <c r="D18" s="24">
        <v>0</v>
      </c>
      <c r="E18" s="24">
        <v>0.12</v>
      </c>
      <c r="F18" s="24">
        <v>0.17</v>
      </c>
      <c r="G18" s="24"/>
      <c r="H18" s="24"/>
      <c r="I18" s="24"/>
      <c r="J18" s="24"/>
      <c r="L18" s="24"/>
      <c r="M18" s="24"/>
      <c r="N18" s="24"/>
    </row>
    <row r="19" spans="1:14" x14ac:dyDescent="0.25">
      <c r="A19" t="s">
        <v>279</v>
      </c>
      <c r="B19" t="s">
        <v>102</v>
      </c>
      <c r="C19" s="2" t="s">
        <v>216</v>
      </c>
      <c r="D19" s="24">
        <v>0</v>
      </c>
      <c r="E19" s="24">
        <v>0.09</v>
      </c>
      <c r="F19" s="24">
        <v>0.13</v>
      </c>
      <c r="G19" s="24"/>
      <c r="H19" s="24"/>
      <c r="I19" s="24"/>
      <c r="J19" s="24"/>
      <c r="L19" s="24"/>
      <c r="M19" s="24"/>
      <c r="N19" s="24"/>
    </row>
    <row r="20" spans="1:14" x14ac:dyDescent="0.25">
      <c r="A20" t="s">
        <v>280</v>
      </c>
      <c r="B20" t="s">
        <v>102</v>
      </c>
      <c r="C20" s="2" t="s">
        <v>270</v>
      </c>
      <c r="D20" s="24">
        <v>0</v>
      </c>
      <c r="E20" s="24">
        <v>7.0000000000000007E-2</v>
      </c>
      <c r="F20" s="24">
        <v>0.11</v>
      </c>
      <c r="G20" s="24"/>
      <c r="H20" s="24"/>
      <c r="I20" s="24"/>
      <c r="J20" s="24"/>
      <c r="L20" s="24"/>
      <c r="M20" s="24"/>
      <c r="N20" s="24"/>
    </row>
    <row r="21" spans="1:14" x14ac:dyDescent="0.25">
      <c r="A21" t="s">
        <v>281</v>
      </c>
      <c r="B21" t="s">
        <v>102</v>
      </c>
      <c r="C21" s="2" t="s">
        <v>271</v>
      </c>
      <c r="D21" s="24">
        <v>0</v>
      </c>
      <c r="E21" s="24">
        <v>0.06</v>
      </c>
      <c r="F21" s="24">
        <v>0.09</v>
      </c>
      <c r="G21" s="24"/>
      <c r="H21" s="24"/>
      <c r="I21" s="24"/>
      <c r="J21" s="24"/>
      <c r="L21" s="24"/>
      <c r="M21" s="24"/>
      <c r="N21" s="24"/>
    </row>
    <row r="22" spans="1:14" x14ac:dyDescent="0.25">
      <c r="A22" t="s">
        <v>282</v>
      </c>
      <c r="B22" t="s">
        <v>100</v>
      </c>
      <c r="C22" s="2" t="s">
        <v>214</v>
      </c>
      <c r="D22" s="24">
        <v>0</v>
      </c>
      <c r="E22" s="24">
        <v>0.13</v>
      </c>
      <c r="F22" s="24">
        <v>0.18</v>
      </c>
      <c r="G22" s="24"/>
      <c r="H22" s="24"/>
      <c r="I22" s="24"/>
      <c r="J22" s="24"/>
      <c r="L22" s="24"/>
      <c r="M22" s="24"/>
      <c r="N22" s="24"/>
    </row>
    <row r="23" spans="1:14" x14ac:dyDescent="0.25">
      <c r="A23" t="s">
        <v>283</v>
      </c>
      <c r="B23" t="s">
        <v>100</v>
      </c>
      <c r="C23" s="2" t="s">
        <v>215</v>
      </c>
      <c r="D23" s="24">
        <v>0</v>
      </c>
      <c r="E23" s="24">
        <v>0.12</v>
      </c>
      <c r="F23" s="24">
        <v>0.17</v>
      </c>
      <c r="G23" s="24"/>
      <c r="H23" s="24"/>
      <c r="I23" s="24"/>
      <c r="J23" s="24"/>
      <c r="L23" s="24"/>
      <c r="M23" s="24"/>
      <c r="N23" s="24"/>
    </row>
    <row r="24" spans="1:14" x14ac:dyDescent="0.25">
      <c r="A24" t="s">
        <v>284</v>
      </c>
      <c r="B24" t="s">
        <v>100</v>
      </c>
      <c r="C24" s="2" t="s">
        <v>216</v>
      </c>
      <c r="D24" s="24">
        <v>0</v>
      </c>
      <c r="E24" s="24">
        <v>0.1</v>
      </c>
      <c r="F24" s="24">
        <v>0.16</v>
      </c>
      <c r="G24" s="24"/>
      <c r="H24" s="24"/>
      <c r="I24" s="24"/>
      <c r="J24" s="24"/>
      <c r="L24" s="24"/>
      <c r="M24" s="24"/>
      <c r="N24" s="24"/>
    </row>
    <row r="25" spans="1:14" x14ac:dyDescent="0.25">
      <c r="A25" t="s">
        <v>285</v>
      </c>
      <c r="B25" t="s">
        <v>100</v>
      </c>
      <c r="C25" s="2" t="s">
        <v>270</v>
      </c>
      <c r="D25" s="24">
        <v>0</v>
      </c>
      <c r="E25" s="24">
        <v>7.0000000000000007E-2</v>
      </c>
      <c r="F25" s="24">
        <v>0.11</v>
      </c>
      <c r="G25" s="24"/>
      <c r="H25" s="24"/>
      <c r="I25" s="24"/>
      <c r="J25" s="24"/>
      <c r="L25" s="24"/>
      <c r="M25" s="24"/>
      <c r="N25" s="24"/>
    </row>
    <row r="26" spans="1:14" x14ac:dyDescent="0.25">
      <c r="A26" t="s">
        <v>286</v>
      </c>
      <c r="B26" t="s">
        <v>100</v>
      </c>
      <c r="C26" s="2" t="s">
        <v>271</v>
      </c>
      <c r="D26" s="24">
        <v>0</v>
      </c>
      <c r="E26" s="24">
        <v>0.06</v>
      </c>
      <c r="F26" s="24">
        <v>0.08</v>
      </c>
      <c r="G26" s="24"/>
      <c r="H26" s="24"/>
      <c r="I26" s="24"/>
      <c r="J26" s="24"/>
      <c r="L26" s="24"/>
      <c r="M26" s="24"/>
      <c r="N26" s="24"/>
    </row>
    <row r="27" spans="1:14" x14ac:dyDescent="0.25">
      <c r="A27" t="s">
        <v>287</v>
      </c>
      <c r="B27" t="s">
        <v>104</v>
      </c>
      <c r="C27" s="2" t="s">
        <v>214</v>
      </c>
      <c r="D27" s="24">
        <v>0</v>
      </c>
      <c r="E27" s="24">
        <v>0.15</v>
      </c>
      <c r="F27" s="24">
        <v>0.18</v>
      </c>
      <c r="G27" s="24"/>
      <c r="H27" s="24"/>
      <c r="I27" s="24"/>
      <c r="J27" s="24"/>
      <c r="L27" s="24"/>
      <c r="M27" s="24"/>
      <c r="N27" s="24"/>
    </row>
    <row r="28" spans="1:14" x14ac:dyDescent="0.25">
      <c r="A28" t="s">
        <v>288</v>
      </c>
      <c r="B28" t="s">
        <v>104</v>
      </c>
      <c r="C28" s="2" t="s">
        <v>215</v>
      </c>
      <c r="D28" s="24">
        <v>0</v>
      </c>
      <c r="E28" s="24">
        <v>0.13</v>
      </c>
      <c r="F28" s="24">
        <v>0.18</v>
      </c>
      <c r="G28" s="24"/>
      <c r="H28" s="24"/>
      <c r="I28" s="24"/>
      <c r="J28" s="24"/>
      <c r="L28" s="24"/>
      <c r="M28" s="24"/>
      <c r="N28" s="24"/>
    </row>
    <row r="29" spans="1:14" x14ac:dyDescent="0.25">
      <c r="A29" t="s">
        <v>289</v>
      </c>
      <c r="B29" t="s">
        <v>104</v>
      </c>
      <c r="C29" s="2" t="s">
        <v>216</v>
      </c>
      <c r="D29" s="24">
        <v>0</v>
      </c>
      <c r="E29" s="24">
        <v>0.12</v>
      </c>
      <c r="F29" s="24">
        <v>0.16</v>
      </c>
      <c r="G29" s="24"/>
      <c r="H29" s="24"/>
      <c r="I29" s="24"/>
      <c r="J29" s="24"/>
      <c r="L29" s="24"/>
      <c r="M29" s="24"/>
      <c r="N29" s="24"/>
    </row>
    <row r="30" spans="1:14" x14ac:dyDescent="0.25">
      <c r="A30" t="s">
        <v>290</v>
      </c>
      <c r="B30" t="s">
        <v>104</v>
      </c>
      <c r="C30" s="2" t="s">
        <v>270</v>
      </c>
      <c r="D30" s="24">
        <v>0</v>
      </c>
      <c r="E30" s="24">
        <v>0.12</v>
      </c>
      <c r="F30" s="24">
        <v>0.15</v>
      </c>
      <c r="G30" s="24"/>
      <c r="H30" s="24"/>
      <c r="I30" s="24"/>
      <c r="J30" s="24"/>
      <c r="L30" s="24"/>
      <c r="M30" s="24"/>
      <c r="N30" s="24"/>
    </row>
    <row r="31" spans="1:14" x14ac:dyDescent="0.25">
      <c r="A31" t="s">
        <v>291</v>
      </c>
      <c r="B31" t="s">
        <v>104</v>
      </c>
      <c r="C31" s="2" t="s">
        <v>271</v>
      </c>
      <c r="D31" s="24">
        <v>0</v>
      </c>
      <c r="E31" s="24">
        <v>0.11</v>
      </c>
      <c r="F31" s="24">
        <v>0.12</v>
      </c>
      <c r="G31" s="24"/>
      <c r="H31" s="24"/>
      <c r="I31" s="24"/>
      <c r="J31" s="24"/>
      <c r="L31" s="24"/>
      <c r="M31" s="24"/>
      <c r="N31" s="24"/>
    </row>
    <row r="32" spans="1:14" x14ac:dyDescent="0.25">
      <c r="A32" t="s">
        <v>292</v>
      </c>
      <c r="B32" t="s">
        <v>98</v>
      </c>
      <c r="C32" s="2" t="s">
        <v>214</v>
      </c>
      <c r="D32" s="24">
        <v>0</v>
      </c>
      <c r="E32" s="24">
        <v>0.11</v>
      </c>
      <c r="F32" s="24">
        <v>0.17</v>
      </c>
      <c r="G32" s="24"/>
      <c r="H32" s="24"/>
      <c r="I32" s="24"/>
      <c r="J32" s="24"/>
      <c r="L32" s="24"/>
      <c r="M32" s="24"/>
      <c r="N32" s="24"/>
    </row>
    <row r="33" spans="1:14" x14ac:dyDescent="0.25">
      <c r="A33" t="s">
        <v>293</v>
      </c>
      <c r="B33" t="s">
        <v>98</v>
      </c>
      <c r="C33" s="2" t="s">
        <v>215</v>
      </c>
      <c r="D33" s="24">
        <v>0</v>
      </c>
      <c r="E33" s="24">
        <v>0.09</v>
      </c>
      <c r="F33" s="24">
        <v>0.14000000000000001</v>
      </c>
      <c r="G33" s="24"/>
      <c r="H33" s="24"/>
      <c r="I33" s="24"/>
      <c r="J33" s="24"/>
      <c r="L33" s="24"/>
      <c r="M33" s="24"/>
      <c r="N33" s="24"/>
    </row>
    <row r="34" spans="1:14" x14ac:dyDescent="0.25">
      <c r="A34" t="s">
        <v>294</v>
      </c>
      <c r="B34" t="s">
        <v>98</v>
      </c>
      <c r="C34" s="2" t="s">
        <v>216</v>
      </c>
      <c r="D34" s="24">
        <v>0</v>
      </c>
      <c r="E34" s="24">
        <v>0.09</v>
      </c>
      <c r="F34" s="24">
        <v>0.13</v>
      </c>
      <c r="G34" s="24"/>
      <c r="H34" s="24"/>
      <c r="I34" s="24"/>
      <c r="J34" s="24"/>
      <c r="L34" s="24"/>
      <c r="M34" s="24"/>
      <c r="N34" s="24"/>
    </row>
    <row r="35" spans="1:14" x14ac:dyDescent="0.25">
      <c r="A35" t="s">
        <v>295</v>
      </c>
      <c r="B35" t="s">
        <v>98</v>
      </c>
      <c r="C35" s="2" t="s">
        <v>270</v>
      </c>
      <c r="D35" s="24">
        <v>0</v>
      </c>
      <c r="E35" s="24">
        <v>0.08</v>
      </c>
      <c r="F35" s="24">
        <v>0.12</v>
      </c>
      <c r="G35" s="24"/>
      <c r="H35" s="24"/>
      <c r="I35" s="24"/>
      <c r="J35" s="24"/>
      <c r="L35" s="24"/>
      <c r="M35" s="24"/>
      <c r="N35" s="24"/>
    </row>
    <row r="36" spans="1:14" x14ac:dyDescent="0.25">
      <c r="A36" t="s">
        <v>296</v>
      </c>
      <c r="B36" t="s">
        <v>98</v>
      </c>
      <c r="C36" s="2" t="s">
        <v>271</v>
      </c>
      <c r="D36" s="24">
        <v>0</v>
      </c>
      <c r="E36" s="24">
        <v>0.08</v>
      </c>
      <c r="F36" s="24">
        <v>0.11</v>
      </c>
      <c r="G36" s="24"/>
      <c r="H36" s="24"/>
      <c r="I36" s="24"/>
      <c r="J36" s="24"/>
      <c r="L36" s="24"/>
      <c r="M36" s="24"/>
      <c r="N36" s="24"/>
    </row>
    <row r="37" spans="1:14" x14ac:dyDescent="0.25">
      <c r="A37" t="s">
        <v>297</v>
      </c>
      <c r="B37" t="s">
        <v>95</v>
      </c>
      <c r="C37" s="2" t="s">
        <v>214</v>
      </c>
      <c r="D37" s="24">
        <v>0</v>
      </c>
      <c r="E37" s="24">
        <v>7.0000000000000007E-2</v>
      </c>
      <c r="F37" s="24">
        <v>0.12</v>
      </c>
      <c r="G37" s="24"/>
      <c r="H37" s="24"/>
      <c r="I37" s="24"/>
      <c r="J37" s="24"/>
      <c r="L37" s="24"/>
      <c r="M37" s="24"/>
      <c r="N37" s="24"/>
    </row>
    <row r="38" spans="1:14" x14ac:dyDescent="0.25">
      <c r="A38" t="s">
        <v>298</v>
      </c>
      <c r="B38" t="s">
        <v>95</v>
      </c>
      <c r="C38" s="2" t="s">
        <v>215</v>
      </c>
      <c r="D38" s="24">
        <v>0</v>
      </c>
      <c r="E38" s="24">
        <v>0.06</v>
      </c>
      <c r="F38" s="24">
        <v>0.12</v>
      </c>
      <c r="G38" s="24"/>
      <c r="H38" s="24"/>
      <c r="I38" s="24"/>
      <c r="J38" s="24"/>
      <c r="L38" s="24"/>
      <c r="M38" s="24"/>
      <c r="N38" s="24"/>
    </row>
    <row r="39" spans="1:14" x14ac:dyDescent="0.25">
      <c r="A39" t="s">
        <v>299</v>
      </c>
      <c r="B39" t="s">
        <v>95</v>
      </c>
      <c r="C39" s="2" t="s">
        <v>216</v>
      </c>
      <c r="D39" s="24">
        <v>0</v>
      </c>
      <c r="E39" s="24">
        <v>0.06</v>
      </c>
      <c r="F39" s="24">
        <v>0.11</v>
      </c>
      <c r="G39" s="24"/>
      <c r="H39" s="24"/>
      <c r="I39" s="24"/>
      <c r="J39" s="24"/>
      <c r="L39" s="24"/>
      <c r="M39" s="24"/>
      <c r="N39" s="24"/>
    </row>
    <row r="40" spans="1:14" x14ac:dyDescent="0.25">
      <c r="A40" t="s">
        <v>300</v>
      </c>
      <c r="B40" t="s">
        <v>95</v>
      </c>
      <c r="C40" s="2" t="s">
        <v>270</v>
      </c>
      <c r="D40" s="24">
        <v>0</v>
      </c>
      <c r="E40" s="24">
        <v>0.06</v>
      </c>
      <c r="F40" s="24">
        <v>0.11</v>
      </c>
      <c r="G40" s="24"/>
      <c r="H40" s="24"/>
      <c r="I40" s="24"/>
      <c r="J40" s="24"/>
      <c r="L40" s="24"/>
      <c r="M40" s="24"/>
      <c r="N40" s="24"/>
    </row>
    <row r="41" spans="1:14" x14ac:dyDescent="0.25">
      <c r="A41" t="s">
        <v>301</v>
      </c>
      <c r="B41" t="s">
        <v>95</v>
      </c>
      <c r="C41" s="2" t="s">
        <v>271</v>
      </c>
      <c r="D41" s="24">
        <v>0</v>
      </c>
      <c r="E41" s="24">
        <v>0.06</v>
      </c>
      <c r="F41" s="24">
        <v>0.1</v>
      </c>
      <c r="G41" s="24"/>
      <c r="H41" s="24"/>
      <c r="I41" s="24"/>
      <c r="J41" s="24"/>
      <c r="L41" s="24"/>
      <c r="M41" s="24"/>
      <c r="N41" s="24"/>
    </row>
    <row r="42" spans="1:14" x14ac:dyDescent="0.25">
      <c r="A42" t="s">
        <v>302</v>
      </c>
      <c r="B42" t="s">
        <v>96</v>
      </c>
      <c r="C42" s="2" t="s">
        <v>214</v>
      </c>
      <c r="D42" s="24">
        <v>0</v>
      </c>
      <c r="E42" s="24">
        <v>0.13</v>
      </c>
      <c r="F42" s="24">
        <v>0.18</v>
      </c>
      <c r="G42" s="24"/>
      <c r="H42" s="24"/>
      <c r="I42" s="24"/>
      <c r="J42" s="24"/>
      <c r="L42" s="24"/>
      <c r="M42" s="24"/>
      <c r="N42" s="24"/>
    </row>
    <row r="43" spans="1:14" x14ac:dyDescent="0.25">
      <c r="A43" t="s">
        <v>303</v>
      </c>
      <c r="B43" t="s">
        <v>96</v>
      </c>
      <c r="C43" s="2" t="s">
        <v>215</v>
      </c>
      <c r="D43" s="24">
        <v>0</v>
      </c>
      <c r="E43" s="24">
        <v>0.12</v>
      </c>
      <c r="F43" s="24">
        <v>0.17</v>
      </c>
      <c r="G43" s="24"/>
      <c r="H43" s="24"/>
      <c r="I43" s="24"/>
      <c r="J43" s="24"/>
      <c r="L43" s="24"/>
      <c r="M43" s="24"/>
      <c r="N43" s="24"/>
    </row>
    <row r="44" spans="1:14" x14ac:dyDescent="0.25">
      <c r="A44" t="s">
        <v>304</v>
      </c>
      <c r="B44" t="s">
        <v>96</v>
      </c>
      <c r="C44" s="2" t="s">
        <v>216</v>
      </c>
      <c r="D44" s="24">
        <v>0</v>
      </c>
      <c r="E44" s="24">
        <v>0.12</v>
      </c>
      <c r="F44" s="24">
        <v>0.16</v>
      </c>
      <c r="G44" s="24"/>
      <c r="H44" s="24"/>
      <c r="I44" s="24"/>
      <c r="J44" s="24"/>
      <c r="L44" s="24"/>
      <c r="M44" s="24"/>
      <c r="N44" s="24"/>
    </row>
    <row r="45" spans="1:14" x14ac:dyDescent="0.25">
      <c r="A45" t="s">
        <v>305</v>
      </c>
      <c r="B45" t="s">
        <v>96</v>
      </c>
      <c r="C45" s="2" t="s">
        <v>270</v>
      </c>
      <c r="D45" s="24">
        <v>0</v>
      </c>
      <c r="E45" s="24">
        <v>0.11</v>
      </c>
      <c r="F45" s="24">
        <v>0.14000000000000001</v>
      </c>
      <c r="G45" s="24"/>
      <c r="H45" s="24"/>
      <c r="I45" s="24"/>
      <c r="J45" s="24"/>
      <c r="L45" s="24"/>
      <c r="M45" s="24"/>
      <c r="N45" s="24"/>
    </row>
    <row r="46" spans="1:14" x14ac:dyDescent="0.25">
      <c r="A46" t="s">
        <v>306</v>
      </c>
      <c r="B46" t="s">
        <v>96</v>
      </c>
      <c r="C46" s="2" t="s">
        <v>271</v>
      </c>
      <c r="D46" s="24">
        <v>0</v>
      </c>
      <c r="E46" s="24">
        <v>0.09</v>
      </c>
      <c r="F46" s="24">
        <v>0.13</v>
      </c>
      <c r="G46" s="24"/>
      <c r="H46" s="24"/>
      <c r="I46" s="24"/>
      <c r="J46" s="24"/>
      <c r="L46" s="24"/>
      <c r="M46" s="24"/>
      <c r="N46" s="24"/>
    </row>
    <row r="47" spans="1:14" x14ac:dyDescent="0.25">
      <c r="A47" t="s">
        <v>307</v>
      </c>
      <c r="B47" t="s">
        <v>101</v>
      </c>
      <c r="C47" s="2" t="s">
        <v>214</v>
      </c>
      <c r="D47" s="24">
        <v>0</v>
      </c>
      <c r="E47" s="24">
        <v>0.12</v>
      </c>
      <c r="F47" s="24">
        <v>0.18</v>
      </c>
      <c r="G47" s="24"/>
      <c r="H47" s="24"/>
      <c r="I47" s="24"/>
      <c r="J47" s="24"/>
      <c r="L47" s="24"/>
      <c r="M47" s="24"/>
      <c r="N47" s="24"/>
    </row>
    <row r="48" spans="1:14" x14ac:dyDescent="0.25">
      <c r="A48" t="s">
        <v>308</v>
      </c>
      <c r="B48" t="s">
        <v>101</v>
      </c>
      <c r="C48" s="2" t="s">
        <v>215</v>
      </c>
      <c r="D48" s="24">
        <v>0</v>
      </c>
      <c r="E48" s="24">
        <v>0.12</v>
      </c>
      <c r="F48" s="24">
        <v>0.17</v>
      </c>
      <c r="G48" s="24"/>
      <c r="H48" s="24"/>
      <c r="I48" s="24"/>
      <c r="J48" s="24"/>
      <c r="L48" s="24"/>
      <c r="M48" s="24"/>
      <c r="N48" s="24"/>
    </row>
    <row r="49" spans="1:14" x14ac:dyDescent="0.25">
      <c r="A49" t="s">
        <v>309</v>
      </c>
      <c r="B49" t="s">
        <v>101</v>
      </c>
      <c r="C49" s="2" t="s">
        <v>216</v>
      </c>
      <c r="D49" s="24">
        <v>0</v>
      </c>
      <c r="E49" s="24">
        <v>0.1</v>
      </c>
      <c r="F49" s="24">
        <v>0.15</v>
      </c>
      <c r="G49" s="24"/>
      <c r="H49" s="24"/>
      <c r="I49" s="24"/>
      <c r="J49" s="24"/>
      <c r="L49" s="24"/>
      <c r="M49" s="24"/>
      <c r="N49" s="24"/>
    </row>
    <row r="50" spans="1:14" x14ac:dyDescent="0.25">
      <c r="A50" t="s">
        <v>310</v>
      </c>
      <c r="B50" t="s">
        <v>101</v>
      </c>
      <c r="C50" s="2" t="s">
        <v>270</v>
      </c>
      <c r="D50" s="24">
        <v>0</v>
      </c>
      <c r="E50" s="24">
        <v>0.08</v>
      </c>
      <c r="F50" s="24">
        <v>0.12</v>
      </c>
      <c r="G50" s="24"/>
      <c r="H50" s="24"/>
      <c r="I50" s="24"/>
      <c r="J50" s="24"/>
      <c r="L50" s="24"/>
      <c r="M50" s="24"/>
      <c r="N50" s="24"/>
    </row>
    <row r="51" spans="1:14" x14ac:dyDescent="0.25">
      <c r="A51" t="s">
        <v>311</v>
      </c>
      <c r="B51" t="s">
        <v>101</v>
      </c>
      <c r="C51" s="2" t="s">
        <v>271</v>
      </c>
      <c r="D51" s="24">
        <v>0</v>
      </c>
      <c r="E51" s="24">
        <v>0.06</v>
      </c>
      <c r="F51" s="24">
        <v>0.09</v>
      </c>
      <c r="G51" s="24"/>
      <c r="H51" s="24"/>
      <c r="I51" s="24"/>
      <c r="J51" s="24"/>
      <c r="L51" s="24"/>
      <c r="M51" s="24"/>
      <c r="N51" s="24"/>
    </row>
    <row r="52" spans="1:14" x14ac:dyDescent="0.25">
      <c r="A52" t="s">
        <v>312</v>
      </c>
      <c r="B52" t="s">
        <v>97</v>
      </c>
      <c r="C52" s="2" t="s">
        <v>214</v>
      </c>
      <c r="D52" s="24">
        <v>0</v>
      </c>
      <c r="E52" s="24">
        <v>0.13</v>
      </c>
      <c r="F52" s="24">
        <v>0.17</v>
      </c>
      <c r="G52" s="24"/>
      <c r="H52" s="24"/>
      <c r="I52" s="24"/>
      <c r="J52" s="24"/>
      <c r="L52" s="24"/>
      <c r="M52" s="24"/>
      <c r="N52" s="24"/>
    </row>
    <row r="53" spans="1:14" x14ac:dyDescent="0.25">
      <c r="A53" t="s">
        <v>313</v>
      </c>
      <c r="B53" t="s">
        <v>97</v>
      </c>
      <c r="C53" s="2" t="s">
        <v>215</v>
      </c>
      <c r="D53" s="24">
        <v>0</v>
      </c>
      <c r="E53" s="24">
        <v>0.13</v>
      </c>
      <c r="F53" s="24">
        <v>0.17</v>
      </c>
      <c r="G53" s="24"/>
      <c r="H53" s="24"/>
      <c r="I53" s="24"/>
      <c r="J53" s="24"/>
      <c r="L53" s="24"/>
      <c r="M53" s="24"/>
      <c r="N53" s="24"/>
    </row>
    <row r="54" spans="1:14" x14ac:dyDescent="0.25">
      <c r="A54" t="s">
        <v>314</v>
      </c>
      <c r="B54" t="s">
        <v>97</v>
      </c>
      <c r="C54" s="2" t="s">
        <v>216</v>
      </c>
      <c r="D54" s="24">
        <v>0</v>
      </c>
      <c r="E54" s="24">
        <v>0.12</v>
      </c>
      <c r="F54" s="24">
        <v>0.16</v>
      </c>
      <c r="G54" s="24"/>
      <c r="H54" s="24"/>
      <c r="I54" s="24"/>
      <c r="J54" s="24"/>
      <c r="L54" s="24"/>
      <c r="M54" s="24"/>
      <c r="N54" s="24"/>
    </row>
    <row r="55" spans="1:14" x14ac:dyDescent="0.25">
      <c r="A55" t="s">
        <v>315</v>
      </c>
      <c r="B55" t="s">
        <v>97</v>
      </c>
      <c r="C55" s="2" t="s">
        <v>270</v>
      </c>
      <c r="D55" s="24">
        <v>0</v>
      </c>
      <c r="E55" s="24">
        <v>0.11</v>
      </c>
      <c r="F55" s="24">
        <v>0.15</v>
      </c>
      <c r="G55" s="24"/>
      <c r="H55" s="24"/>
      <c r="I55" s="24"/>
      <c r="J55" s="24"/>
      <c r="L55" s="24"/>
      <c r="M55" s="24"/>
      <c r="N55" s="24"/>
    </row>
    <row r="56" spans="1:14" x14ac:dyDescent="0.25">
      <c r="A56" t="s">
        <v>316</v>
      </c>
      <c r="B56" t="s">
        <v>97</v>
      </c>
      <c r="C56" s="2" t="s">
        <v>271</v>
      </c>
      <c r="D56" s="24">
        <v>0</v>
      </c>
      <c r="E56" s="24">
        <v>0.1</v>
      </c>
      <c r="F56" s="24">
        <v>0.13</v>
      </c>
      <c r="G56" s="24"/>
      <c r="H56" s="24"/>
      <c r="I56" s="24"/>
      <c r="J56" s="24"/>
      <c r="L56" s="24"/>
      <c r="M56" s="24"/>
      <c r="N56" s="24"/>
    </row>
    <row r="57" spans="1:14" x14ac:dyDescent="0.25">
      <c r="A57" t="s">
        <v>317</v>
      </c>
      <c r="B57" t="s">
        <v>93</v>
      </c>
      <c r="C57" s="2" t="s">
        <v>214</v>
      </c>
      <c r="D57" s="24">
        <v>0</v>
      </c>
      <c r="E57" s="24">
        <v>0.14000000000000001</v>
      </c>
      <c r="F57" s="24">
        <v>0.18</v>
      </c>
      <c r="G57" s="24"/>
      <c r="H57" s="24"/>
      <c r="I57" s="24"/>
      <c r="J57" s="24"/>
      <c r="L57" s="24"/>
      <c r="M57" s="24"/>
      <c r="N57" s="24"/>
    </row>
    <row r="58" spans="1:14" x14ac:dyDescent="0.25">
      <c r="A58" t="s">
        <v>318</v>
      </c>
      <c r="B58" t="s">
        <v>93</v>
      </c>
      <c r="C58" s="2" t="s">
        <v>215</v>
      </c>
      <c r="D58" s="24">
        <v>0</v>
      </c>
      <c r="E58" s="24">
        <v>0.13</v>
      </c>
      <c r="F58" s="24">
        <v>0.16</v>
      </c>
      <c r="G58" s="24"/>
      <c r="H58" s="24"/>
      <c r="I58" s="24"/>
      <c r="J58" s="24"/>
      <c r="L58" s="24"/>
      <c r="M58" s="24"/>
      <c r="N58" s="24"/>
    </row>
    <row r="59" spans="1:14" x14ac:dyDescent="0.25">
      <c r="A59" t="s">
        <v>319</v>
      </c>
      <c r="B59" t="s">
        <v>93</v>
      </c>
      <c r="C59" s="2" t="s">
        <v>216</v>
      </c>
      <c r="D59" s="24">
        <v>0</v>
      </c>
      <c r="E59" s="24">
        <v>0.12</v>
      </c>
      <c r="F59" s="24">
        <v>0.16</v>
      </c>
      <c r="G59" s="24"/>
      <c r="H59" s="24"/>
      <c r="I59" s="24"/>
      <c r="J59" s="24"/>
      <c r="L59" s="24"/>
      <c r="M59" s="24"/>
      <c r="N59" s="24"/>
    </row>
    <row r="60" spans="1:14" x14ac:dyDescent="0.25">
      <c r="A60" t="s">
        <v>320</v>
      </c>
      <c r="B60" t="s">
        <v>93</v>
      </c>
      <c r="C60" s="2" t="s">
        <v>270</v>
      </c>
      <c r="D60" s="24">
        <v>0</v>
      </c>
      <c r="E60" s="24">
        <v>0.11</v>
      </c>
      <c r="F60" s="24">
        <v>0.15</v>
      </c>
      <c r="G60" s="24"/>
      <c r="H60" s="24"/>
      <c r="I60" s="24"/>
      <c r="J60" s="24"/>
      <c r="L60" s="24"/>
      <c r="M60" s="24"/>
      <c r="N60" s="24"/>
    </row>
    <row r="61" spans="1:14" x14ac:dyDescent="0.25">
      <c r="A61" t="s">
        <v>321</v>
      </c>
      <c r="B61" t="s">
        <v>93</v>
      </c>
      <c r="C61" s="2" t="s">
        <v>271</v>
      </c>
      <c r="D61" s="24">
        <v>0</v>
      </c>
      <c r="E61" s="24">
        <v>0.09</v>
      </c>
      <c r="F61" s="24">
        <v>0.13</v>
      </c>
      <c r="G61" s="24"/>
      <c r="H61" s="24"/>
      <c r="I61" s="24"/>
      <c r="J61" s="24"/>
      <c r="L61" s="24"/>
      <c r="M61" s="24"/>
      <c r="N61" s="24"/>
    </row>
    <row r="62" spans="1:14" x14ac:dyDescent="0.25">
      <c r="A62" t="s">
        <v>322</v>
      </c>
      <c r="B62" t="s">
        <v>105</v>
      </c>
      <c r="C62" s="2" t="s">
        <v>214</v>
      </c>
      <c r="D62" s="24">
        <v>0</v>
      </c>
      <c r="E62" s="24">
        <v>0.13</v>
      </c>
      <c r="F62" s="24">
        <v>0.18</v>
      </c>
      <c r="G62" s="24"/>
      <c r="H62" s="24"/>
      <c r="I62" s="24"/>
      <c r="J62" s="24"/>
      <c r="L62" s="24"/>
      <c r="M62" s="24"/>
      <c r="N62" s="24"/>
    </row>
    <row r="63" spans="1:14" x14ac:dyDescent="0.25">
      <c r="A63" t="s">
        <v>323</v>
      </c>
      <c r="B63" t="s">
        <v>105</v>
      </c>
      <c r="C63" s="2" t="s">
        <v>215</v>
      </c>
      <c r="D63" s="24">
        <v>0</v>
      </c>
      <c r="E63" s="24">
        <v>0.12</v>
      </c>
      <c r="F63" s="24">
        <v>0.17</v>
      </c>
      <c r="G63" s="24"/>
      <c r="H63" s="24"/>
      <c r="I63" s="24"/>
      <c r="J63" s="24"/>
      <c r="L63" s="24"/>
      <c r="M63" s="24"/>
      <c r="N63" s="24"/>
    </row>
    <row r="64" spans="1:14" x14ac:dyDescent="0.25">
      <c r="A64" t="s">
        <v>324</v>
      </c>
      <c r="B64" t="s">
        <v>105</v>
      </c>
      <c r="C64" s="2" t="s">
        <v>216</v>
      </c>
      <c r="D64" s="24">
        <v>0</v>
      </c>
      <c r="E64" s="24">
        <v>0.11</v>
      </c>
      <c r="F64" s="24">
        <v>0.16</v>
      </c>
      <c r="G64" s="24"/>
      <c r="H64" s="24"/>
      <c r="I64" s="24"/>
      <c r="J64" s="24"/>
      <c r="L64" s="24"/>
      <c r="M64" s="24"/>
      <c r="N64" s="24"/>
    </row>
    <row r="65" spans="1:14" x14ac:dyDescent="0.25">
      <c r="A65" t="s">
        <v>325</v>
      </c>
      <c r="B65" t="s">
        <v>105</v>
      </c>
      <c r="C65" s="2" t="s">
        <v>270</v>
      </c>
      <c r="D65" s="24">
        <v>0</v>
      </c>
      <c r="E65" s="24">
        <v>0.1</v>
      </c>
      <c r="F65" s="24">
        <v>0.16</v>
      </c>
      <c r="G65" s="24"/>
      <c r="H65" s="24"/>
      <c r="I65" s="24"/>
      <c r="J65" s="24"/>
      <c r="L65" s="24"/>
      <c r="M65" s="24"/>
      <c r="N65" s="24"/>
    </row>
    <row r="66" spans="1:14" x14ac:dyDescent="0.25">
      <c r="A66" t="s">
        <v>326</v>
      </c>
      <c r="B66" t="s">
        <v>105</v>
      </c>
      <c r="C66" s="2" t="s">
        <v>271</v>
      </c>
      <c r="D66" s="24">
        <v>0</v>
      </c>
      <c r="E66" s="24">
        <v>0.09</v>
      </c>
      <c r="F66" s="24">
        <v>0.14000000000000001</v>
      </c>
      <c r="G66" s="24"/>
      <c r="H66" s="24"/>
      <c r="I66" s="24"/>
      <c r="J66" s="24"/>
      <c r="L66" s="24"/>
      <c r="M66" s="24"/>
      <c r="N66" s="24"/>
    </row>
    <row r="67" spans="1:14" x14ac:dyDescent="0.25">
      <c r="A67" t="s">
        <v>327</v>
      </c>
      <c r="B67" t="s">
        <v>92</v>
      </c>
      <c r="C67" s="2" t="s">
        <v>214</v>
      </c>
      <c r="D67" s="24">
        <v>0</v>
      </c>
      <c r="E67" s="24">
        <v>0.09</v>
      </c>
      <c r="F67" s="24">
        <v>0.13</v>
      </c>
      <c r="G67" s="24"/>
      <c r="H67" s="24"/>
      <c r="I67" s="24"/>
      <c r="J67" s="24"/>
      <c r="L67" s="24"/>
      <c r="M67" s="24"/>
      <c r="N67" s="24"/>
    </row>
    <row r="68" spans="1:14" x14ac:dyDescent="0.25">
      <c r="A68" t="s">
        <v>328</v>
      </c>
      <c r="B68" t="s">
        <v>92</v>
      </c>
      <c r="C68" s="2" t="s">
        <v>215</v>
      </c>
      <c r="D68" s="24">
        <v>0</v>
      </c>
      <c r="E68" s="24">
        <v>7.0000000000000007E-2</v>
      </c>
      <c r="F68" s="24">
        <v>0.12</v>
      </c>
      <c r="G68" s="24"/>
      <c r="H68" s="24"/>
      <c r="I68" s="24"/>
      <c r="J68" s="24"/>
      <c r="L68" s="24"/>
      <c r="M68" s="24"/>
      <c r="N68" s="24"/>
    </row>
    <row r="69" spans="1:14" x14ac:dyDescent="0.25">
      <c r="A69" t="s">
        <v>329</v>
      </c>
      <c r="B69" t="s">
        <v>92</v>
      </c>
      <c r="C69" s="2" t="s">
        <v>216</v>
      </c>
      <c r="D69" s="24">
        <v>0</v>
      </c>
      <c r="E69" s="24">
        <v>7.0000000000000007E-2</v>
      </c>
      <c r="F69" s="24">
        <v>0.11</v>
      </c>
      <c r="G69" s="24"/>
      <c r="H69" s="24"/>
      <c r="I69" s="24"/>
      <c r="J69" s="24"/>
      <c r="L69" s="24"/>
      <c r="M69" s="24"/>
      <c r="N69" s="24"/>
    </row>
    <row r="70" spans="1:14" x14ac:dyDescent="0.25">
      <c r="A70" t="s">
        <v>330</v>
      </c>
      <c r="B70" t="s">
        <v>92</v>
      </c>
      <c r="C70" s="2" t="s">
        <v>270</v>
      </c>
      <c r="D70" s="24">
        <v>0</v>
      </c>
      <c r="E70" s="24">
        <v>0.06</v>
      </c>
      <c r="F70" s="24">
        <v>0.11</v>
      </c>
      <c r="G70" s="24"/>
      <c r="H70" s="24"/>
      <c r="I70" s="24"/>
      <c r="J70" s="24"/>
      <c r="L70" s="24"/>
      <c r="M70" s="24"/>
      <c r="N70" s="24"/>
    </row>
    <row r="71" spans="1:14" x14ac:dyDescent="0.25">
      <c r="A71" t="s">
        <v>331</v>
      </c>
      <c r="B71" t="s">
        <v>92</v>
      </c>
      <c r="C71" s="2" t="s">
        <v>271</v>
      </c>
      <c r="D71" s="24">
        <v>0</v>
      </c>
      <c r="E71" s="24">
        <v>0.06</v>
      </c>
      <c r="F71" s="24">
        <v>0.1</v>
      </c>
      <c r="G71" s="24"/>
      <c r="H71" s="24"/>
      <c r="I71" s="24"/>
      <c r="J71" s="24"/>
      <c r="L71" s="24"/>
      <c r="M71" s="24"/>
      <c r="N71" s="24"/>
    </row>
    <row r="72" spans="1:14" x14ac:dyDescent="0.25">
      <c r="A72" t="s">
        <v>332</v>
      </c>
      <c r="B72" t="s">
        <v>91</v>
      </c>
      <c r="C72" s="2" t="s">
        <v>214</v>
      </c>
      <c r="D72" s="24">
        <v>0</v>
      </c>
      <c r="E72" s="24">
        <v>0.11</v>
      </c>
      <c r="F72" s="24">
        <v>0.16</v>
      </c>
      <c r="G72" s="24"/>
      <c r="H72" s="24"/>
      <c r="I72" s="24"/>
      <c r="J72" s="24"/>
      <c r="L72" s="24"/>
      <c r="M72" s="24"/>
      <c r="N72" s="24"/>
    </row>
    <row r="73" spans="1:14" x14ac:dyDescent="0.25">
      <c r="A73" t="s">
        <v>333</v>
      </c>
      <c r="B73" t="s">
        <v>91</v>
      </c>
      <c r="C73" s="2" t="s">
        <v>215</v>
      </c>
      <c r="D73" s="24">
        <v>0</v>
      </c>
      <c r="E73" s="24">
        <v>0.1</v>
      </c>
      <c r="F73" s="24">
        <v>0.15</v>
      </c>
      <c r="G73" s="24"/>
      <c r="H73" s="24"/>
      <c r="I73" s="24"/>
      <c r="J73" s="24"/>
      <c r="L73" s="24"/>
      <c r="M73" s="24"/>
      <c r="N73" s="24"/>
    </row>
    <row r="74" spans="1:14" x14ac:dyDescent="0.25">
      <c r="A74" t="s">
        <v>334</v>
      </c>
      <c r="B74" t="s">
        <v>91</v>
      </c>
      <c r="C74" s="2" t="s">
        <v>216</v>
      </c>
      <c r="D74" s="24">
        <v>0</v>
      </c>
      <c r="E74" s="24">
        <v>0.09</v>
      </c>
      <c r="F74" s="24">
        <v>0.14000000000000001</v>
      </c>
      <c r="G74" s="24"/>
      <c r="H74" s="24"/>
      <c r="I74" s="24"/>
      <c r="J74" s="24"/>
      <c r="L74" s="24"/>
      <c r="M74" s="24"/>
      <c r="N74" s="24"/>
    </row>
    <row r="75" spans="1:14" x14ac:dyDescent="0.25">
      <c r="A75" t="s">
        <v>335</v>
      </c>
      <c r="B75" t="s">
        <v>91</v>
      </c>
      <c r="C75" s="2" t="s">
        <v>270</v>
      </c>
      <c r="D75" s="24">
        <v>0</v>
      </c>
      <c r="E75" s="24">
        <v>0.09</v>
      </c>
      <c r="F75" s="24">
        <v>0.13</v>
      </c>
      <c r="G75" s="24"/>
      <c r="H75" s="24"/>
      <c r="I75" s="24"/>
      <c r="J75" s="24"/>
      <c r="L75" s="24"/>
      <c r="M75" s="24"/>
      <c r="N75" s="24"/>
    </row>
    <row r="76" spans="1:14" x14ac:dyDescent="0.25">
      <c r="A76" t="s">
        <v>336</v>
      </c>
      <c r="B76" t="s">
        <v>91</v>
      </c>
      <c r="C76" s="2" t="s">
        <v>271</v>
      </c>
      <c r="D76" s="24">
        <v>0</v>
      </c>
      <c r="E76" s="24">
        <v>7.0000000000000007E-2</v>
      </c>
      <c r="F76" s="24">
        <v>0.09</v>
      </c>
      <c r="G76" s="24"/>
      <c r="H76" s="24"/>
      <c r="I76" s="24"/>
      <c r="J76" s="24"/>
      <c r="L76" s="24"/>
      <c r="M76" s="24"/>
      <c r="N76" s="24"/>
    </row>
    <row r="77" spans="1:14" x14ac:dyDescent="0.25">
      <c r="A77" t="s">
        <v>337</v>
      </c>
      <c r="B77" t="s">
        <v>90</v>
      </c>
      <c r="C77" s="2" t="s">
        <v>214</v>
      </c>
      <c r="D77" s="24">
        <v>0</v>
      </c>
      <c r="E77" s="24">
        <v>0.08</v>
      </c>
      <c r="F77" s="24">
        <v>0.11</v>
      </c>
      <c r="G77" s="24"/>
      <c r="H77" s="24"/>
      <c r="I77" s="24"/>
      <c r="J77" s="24"/>
      <c r="L77" s="24"/>
      <c r="M77" s="24"/>
      <c r="N77" s="24"/>
    </row>
    <row r="78" spans="1:14" x14ac:dyDescent="0.25">
      <c r="A78" t="s">
        <v>338</v>
      </c>
      <c r="B78" t="s">
        <v>90</v>
      </c>
      <c r="C78" s="2" t="s">
        <v>215</v>
      </c>
      <c r="D78" s="24">
        <v>0</v>
      </c>
      <c r="E78" s="24">
        <v>7.0000000000000007E-2</v>
      </c>
      <c r="F78" s="24">
        <v>0.11</v>
      </c>
      <c r="G78" s="24"/>
      <c r="H78" s="24"/>
      <c r="I78" s="24"/>
      <c r="J78" s="24"/>
      <c r="L78" s="24"/>
      <c r="M78" s="24"/>
      <c r="N78" s="24"/>
    </row>
    <row r="79" spans="1:14" x14ac:dyDescent="0.25">
      <c r="A79" t="s">
        <v>339</v>
      </c>
      <c r="B79" t="s">
        <v>90</v>
      </c>
      <c r="C79" s="2" t="s">
        <v>216</v>
      </c>
      <c r="D79" s="24">
        <v>0</v>
      </c>
      <c r="E79" s="24">
        <v>7.0000000000000007E-2</v>
      </c>
      <c r="F79" s="24">
        <v>0.09</v>
      </c>
      <c r="G79" s="24"/>
      <c r="H79" s="24"/>
      <c r="I79" s="24"/>
      <c r="J79" s="24"/>
      <c r="L79" s="24"/>
      <c r="M79" s="24"/>
      <c r="N79" s="24"/>
    </row>
    <row r="80" spans="1:14" x14ac:dyDescent="0.25">
      <c r="A80" t="s">
        <v>340</v>
      </c>
      <c r="B80" t="s">
        <v>90</v>
      </c>
      <c r="C80" s="2" t="s">
        <v>270</v>
      </c>
      <c r="D80" s="24">
        <v>0</v>
      </c>
      <c r="E80" s="24">
        <v>0.06</v>
      </c>
      <c r="F80" s="24">
        <v>0.08</v>
      </c>
      <c r="G80" s="24"/>
      <c r="H80" s="24"/>
      <c r="I80" s="24"/>
      <c r="J80" s="24"/>
      <c r="L80" s="24"/>
      <c r="M80" s="24"/>
      <c r="N80" s="24"/>
    </row>
    <row r="81" spans="1:14" x14ac:dyDescent="0.25">
      <c r="A81" t="s">
        <v>341</v>
      </c>
      <c r="B81" t="s">
        <v>90</v>
      </c>
      <c r="C81" s="2" t="s">
        <v>271</v>
      </c>
      <c r="D81" s="24">
        <v>0</v>
      </c>
      <c r="E81" s="24">
        <v>0.04</v>
      </c>
      <c r="F81" s="24">
        <v>0.06</v>
      </c>
      <c r="G81" s="24"/>
      <c r="H81" s="24"/>
      <c r="I81" s="24"/>
      <c r="J81" s="24"/>
      <c r="L81" s="24"/>
      <c r="M81" s="24"/>
      <c r="N81" s="24"/>
    </row>
    <row r="82" spans="1:14" x14ac:dyDescent="0.25">
      <c r="A82" t="s">
        <v>342</v>
      </c>
      <c r="B82" t="s">
        <v>89</v>
      </c>
      <c r="C82" s="2" t="s">
        <v>214</v>
      </c>
      <c r="D82" s="24">
        <v>0</v>
      </c>
      <c r="E82" s="24">
        <v>0.12</v>
      </c>
      <c r="F82" s="24">
        <v>0.17</v>
      </c>
      <c r="G82" s="24"/>
      <c r="H82" s="24"/>
      <c r="I82" s="24"/>
      <c r="J82" s="24"/>
      <c r="L82" s="24"/>
      <c r="M82" s="24"/>
      <c r="N82" s="24"/>
    </row>
    <row r="83" spans="1:14" x14ac:dyDescent="0.25">
      <c r="A83" t="s">
        <v>343</v>
      </c>
      <c r="B83" t="s">
        <v>89</v>
      </c>
      <c r="C83" s="2" t="s">
        <v>215</v>
      </c>
      <c r="D83" s="24">
        <v>0</v>
      </c>
      <c r="E83" s="24">
        <v>0.12</v>
      </c>
      <c r="F83" s="24">
        <v>0.16</v>
      </c>
      <c r="G83" s="24"/>
      <c r="H83" s="24"/>
      <c r="I83" s="24"/>
      <c r="J83" s="24"/>
      <c r="L83" s="24"/>
      <c r="M83" s="24"/>
      <c r="N83" s="24"/>
    </row>
    <row r="84" spans="1:14" x14ac:dyDescent="0.25">
      <c r="A84" t="s">
        <v>344</v>
      </c>
      <c r="B84" t="s">
        <v>89</v>
      </c>
      <c r="C84" s="2" t="s">
        <v>216</v>
      </c>
      <c r="D84" s="24">
        <v>0</v>
      </c>
      <c r="E84" s="24">
        <v>0.11</v>
      </c>
      <c r="F84" s="24">
        <v>0.16</v>
      </c>
      <c r="G84" s="24"/>
      <c r="H84" s="24"/>
      <c r="I84" s="24"/>
      <c r="J84" s="24"/>
      <c r="L84" s="24"/>
      <c r="M84" s="24"/>
      <c r="N84" s="24"/>
    </row>
    <row r="85" spans="1:14" x14ac:dyDescent="0.25">
      <c r="A85" t="s">
        <v>345</v>
      </c>
      <c r="B85" t="s">
        <v>89</v>
      </c>
      <c r="C85" s="2" t="s">
        <v>270</v>
      </c>
      <c r="D85" s="24">
        <v>0</v>
      </c>
      <c r="E85" s="24">
        <v>0.11</v>
      </c>
      <c r="F85" s="24">
        <v>0.15</v>
      </c>
      <c r="G85" s="24"/>
      <c r="H85" s="24"/>
      <c r="I85" s="24"/>
      <c r="J85" s="24"/>
      <c r="L85" s="24"/>
      <c r="M85" s="24"/>
      <c r="N85" s="24"/>
    </row>
    <row r="86" spans="1:14" x14ac:dyDescent="0.25">
      <c r="A86" t="s">
        <v>346</v>
      </c>
      <c r="B86" t="s">
        <v>89</v>
      </c>
      <c r="C86" s="2" t="s">
        <v>271</v>
      </c>
      <c r="D86" s="24">
        <v>0</v>
      </c>
      <c r="E86" s="24">
        <v>0.1</v>
      </c>
      <c r="F86" s="24">
        <v>0.14000000000000001</v>
      </c>
      <c r="G86" s="24"/>
      <c r="H86" s="24"/>
      <c r="I86" s="24"/>
      <c r="J86" s="24"/>
      <c r="L86" s="24"/>
      <c r="M86" s="24"/>
      <c r="N86" s="24"/>
    </row>
    <row r="87" spans="1:14" x14ac:dyDescent="0.25">
      <c r="A87" t="s">
        <v>347</v>
      </c>
      <c r="B87" t="s">
        <v>94</v>
      </c>
      <c r="C87" s="2" t="s">
        <v>214</v>
      </c>
      <c r="D87" s="24">
        <v>0</v>
      </c>
      <c r="E87" s="24">
        <v>0.13</v>
      </c>
      <c r="F87" s="24">
        <v>0.16</v>
      </c>
      <c r="G87" s="24"/>
      <c r="H87" s="24"/>
      <c r="I87" s="24"/>
      <c r="J87" s="24"/>
      <c r="L87" s="24"/>
      <c r="M87" s="24"/>
      <c r="N87" s="24"/>
    </row>
    <row r="88" spans="1:14" x14ac:dyDescent="0.25">
      <c r="A88" t="s">
        <v>348</v>
      </c>
      <c r="B88" t="s">
        <v>94</v>
      </c>
      <c r="C88" s="2" t="s">
        <v>215</v>
      </c>
      <c r="D88" s="24">
        <v>0</v>
      </c>
      <c r="E88" s="24">
        <v>0.12</v>
      </c>
      <c r="F88" s="24">
        <v>0.15</v>
      </c>
      <c r="G88" s="24"/>
      <c r="H88" s="24"/>
      <c r="I88" s="24"/>
      <c r="J88" s="24"/>
      <c r="L88" s="24"/>
      <c r="M88" s="24"/>
      <c r="N88" s="24"/>
    </row>
    <row r="89" spans="1:14" x14ac:dyDescent="0.25">
      <c r="A89" t="s">
        <v>349</v>
      </c>
      <c r="B89" t="s">
        <v>94</v>
      </c>
      <c r="C89" s="2" t="s">
        <v>216</v>
      </c>
      <c r="D89" s="24">
        <v>0</v>
      </c>
      <c r="E89" s="24">
        <v>0.11</v>
      </c>
      <c r="F89" s="24">
        <v>0.13</v>
      </c>
      <c r="G89" s="24"/>
      <c r="H89" s="24"/>
      <c r="I89" s="24"/>
      <c r="J89" s="24"/>
      <c r="L89" s="24"/>
      <c r="M89" s="24"/>
      <c r="N89" s="24"/>
    </row>
    <row r="90" spans="1:14" x14ac:dyDescent="0.25">
      <c r="A90" t="s">
        <v>350</v>
      </c>
      <c r="B90" t="s">
        <v>94</v>
      </c>
      <c r="C90" s="2" t="s">
        <v>270</v>
      </c>
      <c r="D90" s="24">
        <v>0</v>
      </c>
      <c r="E90" s="24">
        <v>0.11</v>
      </c>
      <c r="F90" s="24">
        <v>0.13</v>
      </c>
      <c r="G90" s="24"/>
      <c r="H90" s="24"/>
      <c r="I90" s="24"/>
      <c r="J90" s="24"/>
      <c r="L90" s="24"/>
      <c r="M90" s="24"/>
      <c r="N90" s="24"/>
    </row>
    <row r="91" spans="1:14" x14ac:dyDescent="0.25">
      <c r="A91" t="s">
        <v>351</v>
      </c>
      <c r="B91" t="s">
        <v>94</v>
      </c>
      <c r="C91" s="2" t="s">
        <v>271</v>
      </c>
      <c r="D91" s="24">
        <v>0</v>
      </c>
      <c r="E91" s="24">
        <v>0.09</v>
      </c>
      <c r="F91" s="24">
        <v>0.12</v>
      </c>
      <c r="G91" s="24"/>
      <c r="H91" s="24"/>
      <c r="I91" s="24"/>
      <c r="J91" s="24"/>
      <c r="L91" s="24"/>
      <c r="M91" s="24"/>
      <c r="N91" s="24"/>
    </row>
    <row r="92" spans="1:14" x14ac:dyDescent="0.25">
      <c r="A92" t="s">
        <v>352</v>
      </c>
      <c r="B92" t="s">
        <v>86</v>
      </c>
      <c r="C92" s="2" t="s">
        <v>214</v>
      </c>
      <c r="D92" s="24">
        <v>0</v>
      </c>
      <c r="E92" s="24">
        <v>0.12</v>
      </c>
      <c r="F92" s="24">
        <v>0.17</v>
      </c>
      <c r="G92" s="24"/>
      <c r="H92" s="24"/>
      <c r="I92" s="24"/>
      <c r="J92" s="24"/>
      <c r="L92" s="24"/>
      <c r="M92" s="24"/>
      <c r="N92" s="24"/>
    </row>
    <row r="93" spans="1:14" x14ac:dyDescent="0.25">
      <c r="A93" t="s">
        <v>353</v>
      </c>
      <c r="B93" t="s">
        <v>86</v>
      </c>
      <c r="C93" s="2" t="s">
        <v>215</v>
      </c>
      <c r="D93" s="24">
        <v>0</v>
      </c>
      <c r="E93" s="24">
        <v>0.12</v>
      </c>
      <c r="F93" s="24">
        <v>0.16</v>
      </c>
      <c r="G93" s="24"/>
      <c r="H93" s="24"/>
      <c r="I93" s="24"/>
      <c r="J93" s="24"/>
      <c r="L93" s="24"/>
      <c r="M93" s="24"/>
      <c r="N93" s="24"/>
    </row>
    <row r="94" spans="1:14" x14ac:dyDescent="0.25">
      <c r="A94" t="s">
        <v>354</v>
      </c>
      <c r="B94" t="s">
        <v>86</v>
      </c>
      <c r="C94" s="2" t="s">
        <v>216</v>
      </c>
      <c r="D94" s="24">
        <v>0</v>
      </c>
      <c r="E94" s="24">
        <v>0.11</v>
      </c>
      <c r="F94" s="24">
        <v>0.16</v>
      </c>
      <c r="G94" s="24"/>
      <c r="H94" s="24"/>
      <c r="I94" s="24"/>
      <c r="J94" s="24"/>
      <c r="L94" s="24"/>
      <c r="M94" s="24"/>
      <c r="N94" s="24"/>
    </row>
    <row r="95" spans="1:14" x14ac:dyDescent="0.25">
      <c r="A95" t="s">
        <v>355</v>
      </c>
      <c r="B95" t="s">
        <v>86</v>
      </c>
      <c r="C95" s="2" t="s">
        <v>270</v>
      </c>
      <c r="D95" s="24">
        <v>0</v>
      </c>
      <c r="E95" s="24">
        <v>0.1</v>
      </c>
      <c r="F95" s="24">
        <v>0.15</v>
      </c>
      <c r="G95" s="24"/>
      <c r="H95" s="24"/>
      <c r="I95" s="24"/>
      <c r="J95" s="24"/>
      <c r="L95" s="24"/>
      <c r="M95" s="24"/>
      <c r="N95" s="24"/>
    </row>
    <row r="96" spans="1:14" x14ac:dyDescent="0.25">
      <c r="A96" t="s">
        <v>356</v>
      </c>
      <c r="B96" t="s">
        <v>86</v>
      </c>
      <c r="C96" s="2" t="s">
        <v>271</v>
      </c>
      <c r="D96" s="24">
        <v>0</v>
      </c>
      <c r="E96" s="24">
        <v>0.08</v>
      </c>
      <c r="F96" s="24">
        <v>0.13</v>
      </c>
      <c r="G96" s="24"/>
      <c r="H96" s="24"/>
      <c r="I96" s="24"/>
      <c r="J96" s="24"/>
      <c r="L96" s="24"/>
      <c r="M96" s="24"/>
      <c r="N96" s="24"/>
    </row>
    <row r="97" spans="1:14" x14ac:dyDescent="0.25">
      <c r="A97" t="s">
        <v>357</v>
      </c>
      <c r="B97" t="s">
        <v>88</v>
      </c>
      <c r="C97" s="2" t="s">
        <v>214</v>
      </c>
      <c r="D97" s="24">
        <v>0</v>
      </c>
      <c r="E97" s="24">
        <v>0.09</v>
      </c>
      <c r="F97" s="24">
        <v>0.13</v>
      </c>
      <c r="G97" s="24"/>
      <c r="H97" s="24"/>
      <c r="I97" s="24"/>
      <c r="J97" s="24"/>
      <c r="L97" s="24"/>
      <c r="M97" s="24"/>
      <c r="N97" s="24"/>
    </row>
    <row r="98" spans="1:14" x14ac:dyDescent="0.25">
      <c r="A98" t="s">
        <v>358</v>
      </c>
      <c r="B98" t="s">
        <v>88</v>
      </c>
      <c r="C98" s="2" t="s">
        <v>215</v>
      </c>
      <c r="D98" s="24">
        <v>0</v>
      </c>
      <c r="E98" s="24">
        <v>0.08</v>
      </c>
      <c r="F98" s="24">
        <v>0.11</v>
      </c>
      <c r="G98" s="24"/>
      <c r="H98" s="24"/>
      <c r="I98" s="24"/>
      <c r="J98" s="24"/>
      <c r="L98" s="24"/>
      <c r="M98" s="24"/>
      <c r="N98" s="24"/>
    </row>
    <row r="99" spans="1:14" x14ac:dyDescent="0.25">
      <c r="A99" t="s">
        <v>359</v>
      </c>
      <c r="B99" t="s">
        <v>88</v>
      </c>
      <c r="C99" s="2" t="s">
        <v>216</v>
      </c>
      <c r="D99" s="24">
        <v>0</v>
      </c>
      <c r="E99" s="24">
        <v>0.08</v>
      </c>
      <c r="F99" s="24">
        <v>0.11</v>
      </c>
      <c r="G99" s="24"/>
      <c r="H99" s="24"/>
      <c r="I99" s="24"/>
      <c r="J99" s="24"/>
      <c r="L99" s="24"/>
      <c r="M99" s="24"/>
      <c r="N99" s="24"/>
    </row>
    <row r="100" spans="1:14" x14ac:dyDescent="0.25">
      <c r="A100" t="s">
        <v>360</v>
      </c>
      <c r="B100" t="s">
        <v>88</v>
      </c>
      <c r="C100" s="2" t="s">
        <v>270</v>
      </c>
      <c r="D100" s="24">
        <v>0</v>
      </c>
      <c r="E100" s="24">
        <v>7.0000000000000007E-2</v>
      </c>
      <c r="F100" s="24">
        <v>0.09</v>
      </c>
      <c r="G100" s="24"/>
      <c r="H100" s="24"/>
      <c r="I100" s="24"/>
      <c r="J100" s="24"/>
      <c r="L100" s="24"/>
      <c r="M100" s="24"/>
      <c r="N100" s="24"/>
    </row>
    <row r="101" spans="1:14" x14ac:dyDescent="0.25">
      <c r="A101" t="s">
        <v>361</v>
      </c>
      <c r="B101" t="s">
        <v>88</v>
      </c>
      <c r="C101" s="2" t="s">
        <v>271</v>
      </c>
      <c r="D101" s="24">
        <v>0</v>
      </c>
      <c r="E101" s="24">
        <v>0.05</v>
      </c>
      <c r="F101" s="24">
        <v>7.0000000000000007E-2</v>
      </c>
      <c r="G101" s="24"/>
      <c r="H101" s="24"/>
      <c r="I101" s="24"/>
      <c r="J101" s="24"/>
      <c r="L101" s="24"/>
      <c r="M101" s="24"/>
      <c r="N101" s="24"/>
    </row>
    <row r="102" spans="1:14" x14ac:dyDescent="0.25">
      <c r="A102" t="s">
        <v>362</v>
      </c>
      <c r="B102" t="s">
        <v>87</v>
      </c>
      <c r="C102" s="2" t="s">
        <v>214</v>
      </c>
      <c r="D102" s="24">
        <v>0</v>
      </c>
      <c r="E102" s="24">
        <v>0.1</v>
      </c>
      <c r="F102" s="24">
        <v>0.11</v>
      </c>
      <c r="G102" s="24"/>
      <c r="H102" s="24"/>
      <c r="I102" s="24"/>
      <c r="J102" s="24"/>
      <c r="L102" s="24"/>
      <c r="M102" s="24"/>
      <c r="N102" s="24"/>
    </row>
    <row r="103" spans="1:14" x14ac:dyDescent="0.25">
      <c r="A103" t="s">
        <v>363</v>
      </c>
      <c r="B103" t="s">
        <v>87</v>
      </c>
      <c r="C103" s="2" t="s">
        <v>215</v>
      </c>
      <c r="D103" s="24">
        <v>0</v>
      </c>
      <c r="E103" s="24">
        <v>0.09</v>
      </c>
      <c r="F103" s="24">
        <v>0.11</v>
      </c>
      <c r="G103" s="24"/>
      <c r="H103" s="24"/>
      <c r="I103" s="24"/>
      <c r="J103" s="24"/>
      <c r="L103" s="24"/>
      <c r="M103" s="24"/>
      <c r="N103" s="24"/>
    </row>
    <row r="104" spans="1:14" x14ac:dyDescent="0.25">
      <c r="A104" t="s">
        <v>364</v>
      </c>
      <c r="B104" t="s">
        <v>87</v>
      </c>
      <c r="C104" s="2" t="s">
        <v>216</v>
      </c>
      <c r="D104" s="24">
        <v>0</v>
      </c>
      <c r="E104" s="24">
        <v>0.08</v>
      </c>
      <c r="F104" s="24">
        <v>0.1</v>
      </c>
      <c r="G104" s="24"/>
      <c r="H104" s="24"/>
      <c r="I104" s="24"/>
      <c r="J104" s="24"/>
      <c r="L104" s="24"/>
      <c r="M104" s="24"/>
      <c r="N104" s="24"/>
    </row>
    <row r="105" spans="1:14" x14ac:dyDescent="0.25">
      <c r="A105" t="s">
        <v>365</v>
      </c>
      <c r="B105" t="s">
        <v>87</v>
      </c>
      <c r="C105" s="2" t="s">
        <v>270</v>
      </c>
      <c r="D105" s="24">
        <v>0</v>
      </c>
      <c r="E105" s="24">
        <v>7.0000000000000007E-2</v>
      </c>
      <c r="F105" s="24">
        <v>0.09</v>
      </c>
      <c r="G105" s="24"/>
      <c r="H105" s="24"/>
      <c r="I105" s="24"/>
      <c r="J105" s="24"/>
      <c r="L105" s="24"/>
      <c r="M105" s="24"/>
      <c r="N105" s="24"/>
    </row>
    <row r="106" spans="1:14" x14ac:dyDescent="0.25">
      <c r="A106" t="s">
        <v>366</v>
      </c>
      <c r="B106" t="s">
        <v>87</v>
      </c>
      <c r="C106" s="2" t="s">
        <v>271</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460</v>
      </c>
      <c r="B1" t="s">
        <v>123</v>
      </c>
      <c r="C1" t="s">
        <v>124</v>
      </c>
      <c r="D1" t="s">
        <v>465</v>
      </c>
      <c r="E1" s="3" t="s">
        <v>462</v>
      </c>
      <c r="F1" s="3" t="e">
        <f>IF(#REF!="NEW CUSTOMER","Select Drops/Wk","")</f>
        <v>#REF!</v>
      </c>
      <c r="G1" s="14" t="s">
        <v>204</v>
      </c>
      <c r="H1" s="14" t="str">
        <f>""</f>
        <v/>
      </c>
      <c r="I1" s="14" t="s">
        <v>204</v>
      </c>
      <c r="J1" s="14" t="str">
        <f>""</f>
        <v/>
      </c>
      <c r="K1" s="14" t="str">
        <f>""</f>
        <v/>
      </c>
      <c r="L1" t="s">
        <v>202</v>
      </c>
      <c r="M1" s="14" t="s">
        <v>213</v>
      </c>
      <c r="N1" s="14" t="s">
        <v>995</v>
      </c>
      <c r="O1" s="14" t="s">
        <v>545</v>
      </c>
      <c r="P1" t="s">
        <v>243</v>
      </c>
      <c r="Q1" t="s">
        <v>235</v>
      </c>
      <c r="R1" t="s">
        <v>466</v>
      </c>
      <c r="S1" t="s">
        <v>253</v>
      </c>
      <c r="T1" t="s">
        <v>254</v>
      </c>
      <c r="U1" t="s">
        <v>255</v>
      </c>
      <c r="V1" t="s">
        <v>256</v>
      </c>
      <c r="W1" t="s">
        <v>254</v>
      </c>
      <c r="X1" t="s">
        <v>255</v>
      </c>
      <c r="Z1" t="s">
        <v>461</v>
      </c>
      <c r="AA1" t="s">
        <v>464</v>
      </c>
      <c r="AB1" t="s">
        <v>463</v>
      </c>
      <c r="AD1" t="s">
        <v>507</v>
      </c>
      <c r="AE1" t="s">
        <v>508</v>
      </c>
      <c r="AF1" t="s">
        <v>532</v>
      </c>
      <c r="AH1" s="2"/>
      <c r="AI1" t="s">
        <v>1076</v>
      </c>
      <c r="AJ1" t="s">
        <v>1172</v>
      </c>
      <c r="AK1" t="s">
        <v>1346</v>
      </c>
    </row>
    <row r="2" spans="1:37" x14ac:dyDescent="0.25">
      <c r="A2" t="s">
        <v>439</v>
      </c>
      <c r="B2" t="s">
        <v>106</v>
      </c>
      <c r="C2" t="s">
        <v>1</v>
      </c>
      <c r="E2" t="s">
        <v>58</v>
      </c>
      <c r="F2" s="3">
        <v>1</v>
      </c>
      <c r="G2" s="14" t="s">
        <v>130</v>
      </c>
      <c r="H2" s="14" t="s">
        <v>222</v>
      </c>
      <c r="I2" s="14" t="s">
        <v>519</v>
      </c>
      <c r="J2" s="14">
        <v>0.01</v>
      </c>
      <c r="K2" s="14">
        <v>1.4999999999999999E-2</v>
      </c>
      <c r="L2" t="s">
        <v>207</v>
      </c>
      <c r="M2">
        <v>2</v>
      </c>
      <c r="N2" t="s">
        <v>1030</v>
      </c>
      <c r="O2" s="2" t="s">
        <v>547</v>
      </c>
      <c r="P2" t="s">
        <v>236</v>
      </c>
      <c r="Q2">
        <v>0</v>
      </c>
      <c r="R2" t="s">
        <v>249</v>
      </c>
      <c r="S2" s="18">
        <v>4.3999999999999997E-2</v>
      </c>
      <c r="T2" s="18">
        <v>6.6000000000000003E-2</v>
      </c>
      <c r="U2" s="18">
        <v>0.14799999999999999</v>
      </c>
      <c r="V2" s="19">
        <v>0</v>
      </c>
      <c r="W2" s="19">
        <v>6.2E-4</v>
      </c>
      <c r="X2" s="19">
        <v>1.4030000000000001E-2</v>
      </c>
      <c r="Z2" t="s">
        <v>373</v>
      </c>
      <c r="AA2" s="26">
        <v>1</v>
      </c>
      <c r="AB2" s="1004" t="s">
        <v>378</v>
      </c>
      <c r="AC2" t="s">
        <v>472</v>
      </c>
      <c r="AD2" t="s">
        <v>490</v>
      </c>
      <c r="AE2" t="s">
        <v>490</v>
      </c>
      <c r="AF2" s="42">
        <v>0.08</v>
      </c>
      <c r="AG2" t="s">
        <v>244</v>
      </c>
      <c r="AH2" s="2" t="s">
        <v>1023</v>
      </c>
      <c r="AI2" t="s">
        <v>493</v>
      </c>
      <c r="AJ2" t="s">
        <v>672</v>
      </c>
      <c r="AK2" t="s">
        <v>1347</v>
      </c>
    </row>
    <row r="3" spans="1:37" x14ac:dyDescent="0.25">
      <c r="A3" t="s">
        <v>428</v>
      </c>
      <c r="B3" t="s">
        <v>23</v>
      </c>
      <c r="C3" t="s">
        <v>112</v>
      </c>
      <c r="D3" t="s">
        <v>14</v>
      </c>
      <c r="E3" t="s">
        <v>22</v>
      </c>
      <c r="F3" s="3">
        <v>2</v>
      </c>
      <c r="G3" s="14" t="s">
        <v>477</v>
      </c>
      <c r="H3" s="14" t="s">
        <v>477</v>
      </c>
      <c r="I3" s="14" t="s">
        <v>481</v>
      </c>
      <c r="J3" s="14">
        <v>0.01</v>
      </c>
      <c r="K3" s="14">
        <v>1.4999999999999999E-2</v>
      </c>
      <c r="L3" t="s">
        <v>208</v>
      </c>
      <c r="M3">
        <v>3</v>
      </c>
      <c r="P3" t="s">
        <v>237</v>
      </c>
      <c r="Q3">
        <v>4</v>
      </c>
      <c r="R3" t="s">
        <v>250</v>
      </c>
      <c r="S3" s="18">
        <v>7.9000000000000001E-2</v>
      </c>
      <c r="T3" s="18">
        <v>9.6000000000000002E-2</v>
      </c>
      <c r="U3" s="18">
        <v>0.161</v>
      </c>
      <c r="V3" s="19">
        <v>0</v>
      </c>
      <c r="W3" s="19">
        <v>2.3000000000000001E-4</v>
      </c>
      <c r="X3" s="19">
        <v>1.2120000000000001E-2</v>
      </c>
      <c r="Z3" t="s">
        <v>374</v>
      </c>
      <c r="AA3" s="26">
        <v>2</v>
      </c>
      <c r="AB3" s="1005" t="s">
        <v>1022</v>
      </c>
      <c r="AC3" t="s">
        <v>469</v>
      </c>
      <c r="AD3" t="s">
        <v>505</v>
      </c>
      <c r="AE3" t="s">
        <v>506</v>
      </c>
      <c r="AF3" s="62">
        <v>0.09</v>
      </c>
      <c r="AI3" t="s">
        <v>492</v>
      </c>
      <c r="AJ3" t="s">
        <v>670</v>
      </c>
      <c r="AK3" t="s">
        <v>1348</v>
      </c>
    </row>
    <row r="4" spans="1:37" x14ac:dyDescent="0.25">
      <c r="A4" t="s">
        <v>453</v>
      </c>
      <c r="B4" t="s">
        <v>13</v>
      </c>
      <c r="C4" t="s">
        <v>113</v>
      </c>
      <c r="D4" t="s">
        <v>62</v>
      </c>
      <c r="E4" t="s">
        <v>32</v>
      </c>
      <c r="F4" s="3">
        <v>3</v>
      </c>
      <c r="G4" s="14" t="s">
        <v>479</v>
      </c>
      <c r="H4" s="14" t="s">
        <v>477</v>
      </c>
      <c r="I4" s="14"/>
      <c r="J4" s="14"/>
      <c r="K4" s="14"/>
      <c r="M4">
        <v>4</v>
      </c>
      <c r="P4" t="s">
        <v>238</v>
      </c>
      <c r="Q4">
        <v>5</v>
      </c>
      <c r="R4" t="s">
        <v>251</v>
      </c>
      <c r="S4" s="18">
        <v>8.8999999999999996E-2</v>
      </c>
      <c r="T4" s="18">
        <v>0.106</v>
      </c>
      <c r="U4" s="18">
        <v>0.17299999999999999</v>
      </c>
      <c r="V4" s="19">
        <v>0</v>
      </c>
      <c r="W4" s="19">
        <v>0</v>
      </c>
      <c r="X4" s="19">
        <v>1.15E-2</v>
      </c>
      <c r="Z4" t="s">
        <v>375</v>
      </c>
      <c r="AA4" s="26">
        <v>3</v>
      </c>
      <c r="AB4" s="1004" t="s">
        <v>1215</v>
      </c>
      <c r="AF4" s="62">
        <v>0.1</v>
      </c>
      <c r="AI4" t="s">
        <v>1301</v>
      </c>
      <c r="AK4" t="s">
        <v>1349</v>
      </c>
    </row>
    <row r="5" spans="1:37" x14ac:dyDescent="0.25">
      <c r="A5" t="s">
        <v>408</v>
      </c>
      <c r="B5" t="s">
        <v>3</v>
      </c>
      <c r="C5" t="s">
        <v>111</v>
      </c>
      <c r="D5" t="s">
        <v>74</v>
      </c>
      <c r="E5" t="s">
        <v>65</v>
      </c>
      <c r="F5" s="3">
        <v>4</v>
      </c>
      <c r="G5" s="14" t="s">
        <v>478</v>
      </c>
      <c r="H5" s="14" t="s">
        <v>477</v>
      </c>
      <c r="J5" s="14"/>
      <c r="K5" s="14"/>
      <c r="M5">
        <v>5</v>
      </c>
      <c r="P5" t="s">
        <v>239</v>
      </c>
      <c r="Q5">
        <v>6</v>
      </c>
      <c r="R5" t="s">
        <v>252</v>
      </c>
      <c r="S5" s="18">
        <v>9.2999999999999999E-2</v>
      </c>
      <c r="T5" s="18">
        <v>0.115</v>
      </c>
      <c r="U5" s="18">
        <v>0.191</v>
      </c>
      <c r="V5" s="19">
        <v>0</v>
      </c>
      <c r="W5" s="19">
        <v>0</v>
      </c>
      <c r="X5" s="19">
        <v>4.8500000000000001E-3</v>
      </c>
      <c r="Z5" t="s">
        <v>376</v>
      </c>
      <c r="AA5" s="26">
        <v>4</v>
      </c>
      <c r="AB5" s="1004" t="s">
        <v>1302</v>
      </c>
      <c r="AF5" s="62">
        <v>0.11</v>
      </c>
      <c r="AK5" t="s">
        <v>1350</v>
      </c>
    </row>
    <row r="6" spans="1:37" x14ac:dyDescent="0.25">
      <c r="A6" t="s">
        <v>432</v>
      </c>
      <c r="B6" t="s">
        <v>8</v>
      </c>
      <c r="C6" t="s">
        <v>115</v>
      </c>
      <c r="D6" t="s">
        <v>34</v>
      </c>
      <c r="E6" t="s">
        <v>37</v>
      </c>
      <c r="F6" s="3">
        <v>5</v>
      </c>
      <c r="G6" s="14" t="s">
        <v>480</v>
      </c>
      <c r="H6" s="14" t="s">
        <v>477</v>
      </c>
      <c r="I6" s="14">
        <v>5</v>
      </c>
      <c r="J6" s="14"/>
      <c r="K6" s="14"/>
      <c r="P6" t="s">
        <v>240</v>
      </c>
      <c r="Q6">
        <v>7</v>
      </c>
      <c r="AA6" s="26">
        <v>5</v>
      </c>
      <c r="AB6" s="1004" t="s">
        <v>1303</v>
      </c>
      <c r="AF6" s="62">
        <v>0.12</v>
      </c>
      <c r="AK6" t="s">
        <v>1351</v>
      </c>
    </row>
    <row r="7" spans="1:37" x14ac:dyDescent="0.25">
      <c r="A7" t="s">
        <v>423</v>
      </c>
      <c r="B7" t="s">
        <v>18</v>
      </c>
      <c r="D7" t="s">
        <v>0</v>
      </c>
      <c r="E7"/>
      <c r="G7" s="14" t="s">
        <v>132</v>
      </c>
      <c r="H7" s="14"/>
      <c r="I7" s="14">
        <v>6</v>
      </c>
      <c r="J7" s="14"/>
      <c r="K7" s="14"/>
      <c r="P7" t="s">
        <v>241</v>
      </c>
      <c r="Q7">
        <v>8</v>
      </c>
      <c r="AA7" s="26">
        <v>6</v>
      </c>
      <c r="AB7" s="1007"/>
    </row>
    <row r="8" spans="1:37" x14ac:dyDescent="0.25">
      <c r="A8" t="s">
        <v>426</v>
      </c>
      <c r="D8" t="s">
        <v>69</v>
      </c>
      <c r="E8"/>
      <c r="G8" s="14"/>
      <c r="H8" s="14"/>
      <c r="I8" s="14">
        <v>7</v>
      </c>
      <c r="J8" s="14"/>
      <c r="K8" s="14"/>
      <c r="P8" t="s">
        <v>242</v>
      </c>
      <c r="Q8">
        <v>9</v>
      </c>
      <c r="AA8" s="26">
        <v>7</v>
      </c>
    </row>
    <row r="9" spans="1:37" x14ac:dyDescent="0.25">
      <c r="A9" t="s">
        <v>419</v>
      </c>
      <c r="D9" t="s">
        <v>4</v>
      </c>
      <c r="E9"/>
      <c r="I9" s="14">
        <v>8</v>
      </c>
      <c r="J9" s="14"/>
      <c r="K9" s="14"/>
      <c r="AA9" s="26">
        <v>8</v>
      </c>
    </row>
    <row r="10" spans="1:37" x14ac:dyDescent="0.25">
      <c r="A10" t="s">
        <v>458</v>
      </c>
      <c r="D10" t="s">
        <v>35</v>
      </c>
      <c r="E10"/>
      <c r="I10" s="14">
        <v>8</v>
      </c>
      <c r="J10" s="14"/>
      <c r="K10" s="14"/>
      <c r="AA10" s="26">
        <v>9</v>
      </c>
    </row>
    <row r="11" spans="1:37" x14ac:dyDescent="0.25">
      <c r="A11" t="s">
        <v>430</v>
      </c>
      <c r="D11" t="s">
        <v>6</v>
      </c>
      <c r="E11"/>
      <c r="I11" s="14">
        <v>9</v>
      </c>
      <c r="J11" s="46" t="s">
        <v>484</v>
      </c>
      <c r="K11" s="48">
        <f>'EB_CM (Back)'!$B$7</f>
        <v>0</v>
      </c>
      <c r="L11" s="46" t="s">
        <v>482</v>
      </c>
      <c r="M11" s="1" t="s">
        <v>483</v>
      </c>
      <c r="AA11" s="26">
        <v>10</v>
      </c>
    </row>
    <row r="12" spans="1:37" x14ac:dyDescent="0.25">
      <c r="A12" t="s">
        <v>443</v>
      </c>
      <c r="D12" t="s">
        <v>15</v>
      </c>
      <c r="E12"/>
      <c r="G12" s="14"/>
      <c r="H12" s="14"/>
      <c r="I12" s="14">
        <v>10</v>
      </c>
      <c r="J12" s="46"/>
      <c r="K12" s="50">
        <f>IF($K$11&lt;$L$17,$M$17,IF($K$11&lt;$L$16,$M$16,IF($K$11&lt;$L$15,$M$15,IF($K$11&lt;$L$14,$M$14,IF($K$11&lt;$L$13,$M$13,$M$12)))))</f>
        <v>2.5000000000000001E-3</v>
      </c>
      <c r="L12" s="46">
        <v>0.69099999999999995</v>
      </c>
      <c r="M12" s="49">
        <v>0.02</v>
      </c>
      <c r="AA12" s="26">
        <v>11</v>
      </c>
    </row>
    <row r="13" spans="1:37" x14ac:dyDescent="0.25">
      <c r="A13" t="s">
        <v>457</v>
      </c>
      <c r="C13" t="s">
        <v>114</v>
      </c>
      <c r="D13" t="s">
        <v>45</v>
      </c>
      <c r="E13"/>
      <c r="G13" s="14"/>
      <c r="H13" s="14"/>
      <c r="I13" s="14"/>
      <c r="J13" s="14"/>
      <c r="L13" s="46">
        <v>0.55000000000000004</v>
      </c>
      <c r="M13" s="49">
        <v>1.4999999999999999E-2</v>
      </c>
    </row>
    <row r="14" spans="1:37" x14ac:dyDescent="0.25">
      <c r="A14" t="s">
        <v>412</v>
      </c>
      <c r="C14" t="s">
        <v>116</v>
      </c>
      <c r="D14" t="s">
        <v>48</v>
      </c>
      <c r="E14" t="s">
        <v>42</v>
      </c>
      <c r="G14" s="14"/>
      <c r="H14" s="14"/>
      <c r="I14" s="14"/>
      <c r="J14" s="14" t="s">
        <v>494</v>
      </c>
      <c r="L14" s="46">
        <v>0.5</v>
      </c>
      <c r="M14" s="49">
        <v>1.2500000000000001E-2</v>
      </c>
    </row>
    <row r="15" spans="1:37" x14ac:dyDescent="0.25">
      <c r="A15" t="s">
        <v>454</v>
      </c>
      <c r="C15" t="s">
        <v>118</v>
      </c>
      <c r="D15" t="s">
        <v>60</v>
      </c>
      <c r="E15" t="s">
        <v>29</v>
      </c>
      <c r="G15" s="9"/>
      <c r="H15" s="9"/>
      <c r="I15" s="9"/>
      <c r="J15" s="9"/>
      <c r="L15" s="47">
        <v>0.43009999999999998</v>
      </c>
      <c r="M15" s="49">
        <v>0.01</v>
      </c>
    </row>
    <row r="16" spans="1:37" x14ac:dyDescent="0.25">
      <c r="A16" t="s">
        <v>418</v>
      </c>
      <c r="C16" t="s">
        <v>117</v>
      </c>
      <c r="D16" t="s">
        <v>20</v>
      </c>
      <c r="E16" t="s">
        <v>64</v>
      </c>
      <c r="G16" s="9"/>
      <c r="H16" s="9"/>
      <c r="I16" s="9"/>
      <c r="J16" s="9"/>
      <c r="L16" s="47">
        <v>0.30010000000000003</v>
      </c>
      <c r="M16" s="49">
        <v>5.0000000000000001E-3</v>
      </c>
    </row>
    <row r="17" spans="1:13" x14ac:dyDescent="0.25">
      <c r="A17" t="s">
        <v>421</v>
      </c>
      <c r="D17" t="s">
        <v>36</v>
      </c>
      <c r="E17" t="s">
        <v>19</v>
      </c>
      <c r="G17" s="9"/>
      <c r="H17" s="9"/>
      <c r="I17" s="9"/>
      <c r="J17" s="9"/>
      <c r="L17" s="47">
        <v>0.1</v>
      </c>
      <c r="M17" s="49">
        <v>2.5000000000000001E-3</v>
      </c>
    </row>
    <row r="18" spans="1:13" x14ac:dyDescent="0.25">
      <c r="A18" t="s">
        <v>411</v>
      </c>
      <c r="D18" t="s">
        <v>71</v>
      </c>
      <c r="E18" t="s">
        <v>121</v>
      </c>
      <c r="G18" s="9"/>
      <c r="H18" s="9"/>
      <c r="I18" s="9"/>
      <c r="J18" s="9"/>
      <c r="K18" s="9"/>
    </row>
    <row r="19" spans="1:13" x14ac:dyDescent="0.25">
      <c r="A19" t="s">
        <v>450</v>
      </c>
      <c r="D19" t="s">
        <v>11</v>
      </c>
      <c r="E19" t="s">
        <v>58</v>
      </c>
      <c r="G19" s="9"/>
      <c r="H19" s="9"/>
      <c r="I19" s="9"/>
      <c r="J19" s="47" t="s">
        <v>219</v>
      </c>
      <c r="K19" s="47" t="e">
        <f>#REF!/(#REF!*52)</f>
        <v>#REF!</v>
      </c>
      <c r="L19" s="1" t="s">
        <v>485</v>
      </c>
      <c r="M19" s="1" t="s">
        <v>486</v>
      </c>
    </row>
    <row r="20" spans="1:13" x14ac:dyDescent="0.25">
      <c r="A20" t="s">
        <v>434</v>
      </c>
      <c r="D20" t="s">
        <v>9</v>
      </c>
      <c r="E20" t="s">
        <v>22</v>
      </c>
      <c r="G20" s="9"/>
      <c r="H20" s="9"/>
      <c r="I20" s="9"/>
      <c r="J20" s="47"/>
      <c r="K20" s="47" t="e">
        <f>IF($K$19&lt;$L$24,$M$24,IF($K$19&lt;$L$23,$M$23,IF($K$19&lt;$L$22,$M$22,IF($K$19&lt;$L$21,$M$21,$M$20))))</f>
        <v>#REF!</v>
      </c>
      <c r="L20" s="1"/>
      <c r="M20" s="49">
        <v>1.4999999999999999E-2</v>
      </c>
    </row>
    <row r="21" spans="1:13" x14ac:dyDescent="0.25">
      <c r="A21" t="s">
        <v>446</v>
      </c>
      <c r="D21" t="s">
        <v>38</v>
      </c>
      <c r="E21" t="s">
        <v>43</v>
      </c>
      <c r="G21" s="9"/>
      <c r="H21" s="9"/>
      <c r="I21" s="9"/>
      <c r="J21" s="9"/>
      <c r="K21" s="9"/>
      <c r="L21" s="1">
        <v>3133.9311044776123</v>
      </c>
      <c r="M21" s="49">
        <v>0.01</v>
      </c>
    </row>
    <row r="22" spans="1:13" x14ac:dyDescent="0.25">
      <c r="A22" t="s">
        <v>416</v>
      </c>
      <c r="D22" t="s">
        <v>264</v>
      </c>
      <c r="E22" t="s">
        <v>10</v>
      </c>
      <c r="L22" s="1">
        <v>2118.2275862069</v>
      </c>
      <c r="M22" s="49">
        <v>7.4999999999999997E-3</v>
      </c>
    </row>
    <row r="23" spans="1:13" x14ac:dyDescent="0.25">
      <c r="A23" t="s">
        <v>436</v>
      </c>
      <c r="D23" t="s">
        <v>260</v>
      </c>
      <c r="E23" t="s">
        <v>55</v>
      </c>
      <c r="L23" s="1">
        <v>1484.5700242718401</v>
      </c>
      <c r="M23" s="49">
        <v>5.0000000000000001E-3</v>
      </c>
    </row>
    <row r="24" spans="1:13" x14ac:dyDescent="0.25">
      <c r="A24" t="s">
        <v>427</v>
      </c>
      <c r="D24" t="s">
        <v>261</v>
      </c>
      <c r="E24" t="s">
        <v>26</v>
      </c>
      <c r="L24" s="1">
        <v>968.90328358209001</v>
      </c>
      <c r="M24" s="49">
        <v>0</v>
      </c>
    </row>
    <row r="25" spans="1:13" ht="18.75" x14ac:dyDescent="0.3">
      <c r="A25" t="s">
        <v>452</v>
      </c>
      <c r="D25" t="s">
        <v>262</v>
      </c>
      <c r="E25" t="s">
        <v>50</v>
      </c>
      <c r="G25" s="11"/>
      <c r="H25" s="11"/>
      <c r="I25" s="11"/>
      <c r="J25" s="11"/>
      <c r="K25" s="11"/>
    </row>
    <row r="26" spans="1:13" x14ac:dyDescent="0.25">
      <c r="A26" t="s">
        <v>441</v>
      </c>
      <c r="D26" t="s">
        <v>263</v>
      </c>
      <c r="E26" t="s">
        <v>67</v>
      </c>
    </row>
    <row r="27" spans="1:13" x14ac:dyDescent="0.25">
      <c r="A27" t="s">
        <v>407</v>
      </c>
      <c r="D27" t="s">
        <v>265</v>
      </c>
      <c r="E27" t="s">
        <v>32</v>
      </c>
    </row>
    <row r="28" spans="1:13" x14ac:dyDescent="0.25">
      <c r="A28" t="s">
        <v>410</v>
      </c>
      <c r="D28" t="s">
        <v>266</v>
      </c>
      <c r="E28" t="s">
        <v>80</v>
      </c>
    </row>
    <row r="29" spans="1:13" x14ac:dyDescent="0.25">
      <c r="A29" t="s">
        <v>455</v>
      </c>
      <c r="D29" t="s">
        <v>267</v>
      </c>
      <c r="E29" t="s">
        <v>46</v>
      </c>
    </row>
    <row r="30" spans="1:13" x14ac:dyDescent="0.25">
      <c r="A30" t="s">
        <v>440</v>
      </c>
      <c r="D30" t="s">
        <v>268</v>
      </c>
      <c r="E30" t="s">
        <v>77</v>
      </c>
    </row>
    <row r="31" spans="1:13" x14ac:dyDescent="0.25">
      <c r="A31" t="s">
        <v>445</v>
      </c>
      <c r="E31" t="s">
        <v>65</v>
      </c>
    </row>
    <row r="32" spans="1:13" x14ac:dyDescent="0.25">
      <c r="A32" t="s">
        <v>435</v>
      </c>
      <c r="E32" t="s">
        <v>37</v>
      </c>
    </row>
    <row r="33" spans="1:5" x14ac:dyDescent="0.25">
      <c r="A33" t="s">
        <v>429</v>
      </c>
      <c r="D33" t="s">
        <v>264</v>
      </c>
      <c r="E33" t="s">
        <v>2</v>
      </c>
    </row>
    <row r="34" spans="1:5" x14ac:dyDescent="0.25">
      <c r="A34" t="s">
        <v>448</v>
      </c>
      <c r="D34" t="s">
        <v>260</v>
      </c>
      <c r="E34" t="s">
        <v>52</v>
      </c>
    </row>
    <row r="35" spans="1:5" x14ac:dyDescent="0.25">
      <c r="A35" t="s">
        <v>415</v>
      </c>
      <c r="D35" t="s">
        <v>261</v>
      </c>
      <c r="E35" t="s">
        <v>76</v>
      </c>
    </row>
    <row r="36" spans="1:5" x14ac:dyDescent="0.25">
      <c r="A36" t="s">
        <v>437</v>
      </c>
      <c r="D36" t="s">
        <v>262</v>
      </c>
      <c r="E36" t="s">
        <v>63</v>
      </c>
    </row>
    <row r="37" spans="1:5" x14ac:dyDescent="0.25">
      <c r="A37" t="s">
        <v>433</v>
      </c>
      <c r="D37" t="s">
        <v>263</v>
      </c>
      <c r="E37" t="s">
        <v>68</v>
      </c>
    </row>
    <row r="38" spans="1:5" x14ac:dyDescent="0.25">
      <c r="A38" t="s">
        <v>449</v>
      </c>
      <c r="D38" t="s">
        <v>265</v>
      </c>
      <c r="E38" t="s">
        <v>21</v>
      </c>
    </row>
    <row r="39" spans="1:5" x14ac:dyDescent="0.25">
      <c r="A39" t="s">
        <v>438</v>
      </c>
      <c r="D39" t="s">
        <v>266</v>
      </c>
      <c r="E39" t="s">
        <v>51</v>
      </c>
    </row>
    <row r="40" spans="1:5" x14ac:dyDescent="0.25">
      <c r="A40" t="s">
        <v>413</v>
      </c>
      <c r="D40" t="s">
        <v>267</v>
      </c>
      <c r="E40" t="s">
        <v>41</v>
      </c>
    </row>
    <row r="41" spans="1:5" x14ac:dyDescent="0.25">
      <c r="A41" t="s">
        <v>414</v>
      </c>
      <c r="D41" t="s">
        <v>268</v>
      </c>
      <c r="E41" t="s">
        <v>28</v>
      </c>
    </row>
    <row r="42" spans="1:5" x14ac:dyDescent="0.25">
      <c r="A42" t="s">
        <v>425</v>
      </c>
      <c r="E42" t="s">
        <v>39</v>
      </c>
    </row>
    <row r="43" spans="1:5" x14ac:dyDescent="0.25">
      <c r="A43" t="s">
        <v>444</v>
      </c>
      <c r="E43" t="s">
        <v>49</v>
      </c>
    </row>
    <row r="44" spans="1:5" x14ac:dyDescent="0.25">
      <c r="A44" t="s">
        <v>424</v>
      </c>
      <c r="E44" t="s">
        <v>246</v>
      </c>
    </row>
    <row r="45" spans="1:5" x14ac:dyDescent="0.25">
      <c r="A45" t="s">
        <v>420</v>
      </c>
      <c r="E45" t="s">
        <v>66</v>
      </c>
    </row>
    <row r="46" spans="1:5" x14ac:dyDescent="0.25">
      <c r="A46" t="s">
        <v>409</v>
      </c>
      <c r="E46" t="s">
        <v>70</v>
      </c>
    </row>
    <row r="47" spans="1:5" x14ac:dyDescent="0.25">
      <c r="A47" t="s">
        <v>459</v>
      </c>
      <c r="E47" t="s">
        <v>24</v>
      </c>
    </row>
    <row r="48" spans="1:5" x14ac:dyDescent="0.25">
      <c r="A48" t="s">
        <v>447</v>
      </c>
      <c r="E48" t="s">
        <v>72</v>
      </c>
    </row>
    <row r="49" spans="1:5" x14ac:dyDescent="0.25">
      <c r="A49" t="s">
        <v>451</v>
      </c>
      <c r="E49" t="s">
        <v>27</v>
      </c>
    </row>
    <row r="50" spans="1:5" x14ac:dyDescent="0.25">
      <c r="A50" t="s">
        <v>431</v>
      </c>
      <c r="E50" t="s">
        <v>59</v>
      </c>
    </row>
    <row r="51" spans="1:5" x14ac:dyDescent="0.25">
      <c r="A51" t="s">
        <v>422</v>
      </c>
      <c r="E51" t="s">
        <v>54</v>
      </c>
    </row>
    <row r="52" spans="1:5" x14ac:dyDescent="0.25">
      <c r="A52" t="s">
        <v>417</v>
      </c>
      <c r="E52" t="s">
        <v>122</v>
      </c>
    </row>
    <row r="53" spans="1:5" x14ac:dyDescent="0.25">
      <c r="A53" t="s">
        <v>442</v>
      </c>
      <c r="E53" t="s">
        <v>7</v>
      </c>
    </row>
    <row r="54" spans="1:5" x14ac:dyDescent="0.25">
      <c r="A54" t="s">
        <v>456</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29" workbookViewId="0">
      <selection activeCell="D46" sqref="D46"/>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381</v>
      </c>
      <c r="B1" s="29" t="s">
        <v>85</v>
      </c>
      <c r="C1" s="28" t="s">
        <v>193</v>
      </c>
      <c r="D1" s="28" t="s">
        <v>84</v>
      </c>
      <c r="E1" s="28" t="s">
        <v>382</v>
      </c>
      <c r="F1" s="28" t="s">
        <v>381</v>
      </c>
      <c r="G1" s="29" t="s">
        <v>85</v>
      </c>
    </row>
    <row r="2" spans="1:7" x14ac:dyDescent="0.25">
      <c r="A2" s="30" t="s">
        <v>180</v>
      </c>
      <c r="B2" s="31" t="s">
        <v>23</v>
      </c>
      <c r="C2" s="32" t="s">
        <v>1105</v>
      </c>
      <c r="D2" s="32" t="s">
        <v>917</v>
      </c>
      <c r="E2" s="30">
        <v>2345</v>
      </c>
      <c r="F2" s="30" t="s">
        <v>180</v>
      </c>
      <c r="G2" s="31" t="s">
        <v>23</v>
      </c>
    </row>
    <row r="3" spans="1:7" x14ac:dyDescent="0.25">
      <c r="A3" s="15" t="s">
        <v>174</v>
      </c>
      <c r="B3" s="33" t="s">
        <v>23</v>
      </c>
      <c r="C3" s="1" t="s">
        <v>194</v>
      </c>
      <c r="D3" s="1" t="s">
        <v>58</v>
      </c>
      <c r="E3" s="15">
        <v>2099</v>
      </c>
      <c r="F3" s="15" t="s">
        <v>174</v>
      </c>
      <c r="G3" s="33" t="s">
        <v>23</v>
      </c>
    </row>
    <row r="4" spans="1:7" x14ac:dyDescent="0.25">
      <c r="A4" s="15" t="s">
        <v>175</v>
      </c>
      <c r="B4" s="33" t="s">
        <v>23</v>
      </c>
      <c r="C4" s="1" t="s">
        <v>195</v>
      </c>
      <c r="D4" s="1" t="s">
        <v>22</v>
      </c>
      <c r="E4" s="15">
        <v>1103</v>
      </c>
      <c r="F4" s="15" t="s">
        <v>175</v>
      </c>
      <c r="G4" s="33" t="s">
        <v>23</v>
      </c>
    </row>
    <row r="5" spans="1:7" x14ac:dyDescent="0.25">
      <c r="A5" s="15" t="s">
        <v>178</v>
      </c>
      <c r="B5" s="33" t="s">
        <v>23</v>
      </c>
      <c r="C5" s="1" t="s">
        <v>1105</v>
      </c>
      <c r="D5" s="1" t="s">
        <v>918</v>
      </c>
      <c r="E5" s="15">
        <v>2340</v>
      </c>
      <c r="F5" s="15" t="s">
        <v>178</v>
      </c>
      <c r="G5" s="33" t="s">
        <v>23</v>
      </c>
    </row>
    <row r="6" spans="1:7" x14ac:dyDescent="0.25">
      <c r="A6" s="15" t="s">
        <v>1110</v>
      </c>
      <c r="B6" s="33" t="s">
        <v>23</v>
      </c>
      <c r="C6" s="1" t="s">
        <v>198</v>
      </c>
      <c r="D6" s="1" t="s">
        <v>1111</v>
      </c>
      <c r="E6" s="15">
        <v>2365</v>
      </c>
      <c r="F6" s="15" t="s">
        <v>1110</v>
      </c>
      <c r="G6" s="33" t="s">
        <v>23</v>
      </c>
    </row>
    <row r="7" spans="1:7" x14ac:dyDescent="0.25">
      <c r="A7" s="15" t="s">
        <v>176</v>
      </c>
      <c r="B7" s="33" t="s">
        <v>23</v>
      </c>
      <c r="C7" s="1" t="s">
        <v>195</v>
      </c>
      <c r="D7" s="1" t="s">
        <v>46</v>
      </c>
      <c r="E7" s="15">
        <v>1054</v>
      </c>
      <c r="F7" s="15" t="s">
        <v>176</v>
      </c>
      <c r="G7" s="33" t="s">
        <v>23</v>
      </c>
    </row>
    <row r="8" spans="1:7" x14ac:dyDescent="0.25">
      <c r="A8" s="15" t="s">
        <v>154</v>
      </c>
      <c r="B8" s="33" t="s">
        <v>23</v>
      </c>
      <c r="C8" s="1" t="s">
        <v>199</v>
      </c>
      <c r="D8" s="1" t="s">
        <v>77</v>
      </c>
      <c r="E8" s="15">
        <v>2370</v>
      </c>
      <c r="F8" s="15" t="s">
        <v>154</v>
      </c>
      <c r="G8" s="33" t="s">
        <v>23</v>
      </c>
    </row>
    <row r="9" spans="1:7" x14ac:dyDescent="0.25">
      <c r="A9" s="15" t="s">
        <v>151</v>
      </c>
      <c r="B9" s="33" t="s">
        <v>23</v>
      </c>
      <c r="C9" s="1" t="s">
        <v>198</v>
      </c>
      <c r="D9" s="1" t="s">
        <v>37</v>
      </c>
      <c r="E9" s="15">
        <v>3230</v>
      </c>
      <c r="F9" s="15" t="s">
        <v>151</v>
      </c>
      <c r="G9" s="33" t="s">
        <v>23</v>
      </c>
    </row>
    <row r="10" spans="1:7" x14ac:dyDescent="0.25">
      <c r="A10" s="15" t="s">
        <v>181</v>
      </c>
      <c r="B10" s="33" t="s">
        <v>23</v>
      </c>
      <c r="C10" s="1" t="s">
        <v>199</v>
      </c>
      <c r="D10" s="1" t="s">
        <v>39</v>
      </c>
      <c r="E10" s="15">
        <v>2350</v>
      </c>
      <c r="F10" s="15" t="s">
        <v>181</v>
      </c>
      <c r="G10" s="33" t="s">
        <v>23</v>
      </c>
    </row>
    <row r="11" spans="1:7" x14ac:dyDescent="0.25">
      <c r="A11" s="15" t="s">
        <v>135</v>
      </c>
      <c r="B11" s="33" t="s">
        <v>23</v>
      </c>
      <c r="C11" s="1" t="s">
        <v>198</v>
      </c>
      <c r="D11" s="1" t="s">
        <v>72</v>
      </c>
      <c r="E11" s="15">
        <v>2360</v>
      </c>
      <c r="F11" s="15" t="s">
        <v>135</v>
      </c>
      <c r="G11" s="33" t="s">
        <v>23</v>
      </c>
    </row>
    <row r="12" spans="1:7" x14ac:dyDescent="0.25">
      <c r="A12" s="15" t="s">
        <v>139</v>
      </c>
      <c r="B12" s="33" t="s">
        <v>23</v>
      </c>
      <c r="C12" s="1" t="s">
        <v>197</v>
      </c>
      <c r="D12" s="1" t="s">
        <v>47</v>
      </c>
      <c r="E12" s="15">
        <v>3210</v>
      </c>
      <c r="F12" s="15" t="s">
        <v>139</v>
      </c>
      <c r="G12" s="33" t="s">
        <v>23</v>
      </c>
    </row>
    <row r="13" spans="1:7" x14ac:dyDescent="0.25">
      <c r="A13" s="15" t="s">
        <v>1106</v>
      </c>
      <c r="B13" s="33" t="s">
        <v>23</v>
      </c>
      <c r="C13" s="1" t="s">
        <v>1105</v>
      </c>
      <c r="D13" s="1" t="s">
        <v>1107</v>
      </c>
      <c r="E13" s="15">
        <v>2375</v>
      </c>
      <c r="F13" s="15" t="s">
        <v>1106</v>
      </c>
      <c r="G13" s="33" t="s">
        <v>23</v>
      </c>
    </row>
    <row r="14" spans="1:7" x14ac:dyDescent="0.25">
      <c r="A14" s="15" t="s">
        <v>1108</v>
      </c>
      <c r="B14" s="33" t="s">
        <v>23</v>
      </c>
      <c r="C14" s="1" t="s">
        <v>1105</v>
      </c>
      <c r="D14" s="1" t="s">
        <v>1109</v>
      </c>
      <c r="E14" s="15">
        <v>2355</v>
      </c>
      <c r="F14" s="15" t="s">
        <v>1108</v>
      </c>
      <c r="G14" s="33" t="s">
        <v>23</v>
      </c>
    </row>
    <row r="15" spans="1:7" x14ac:dyDescent="0.25">
      <c r="A15" s="15" t="s">
        <v>133</v>
      </c>
      <c r="B15" s="33" t="s">
        <v>23</v>
      </c>
      <c r="C15" s="1" t="s">
        <v>197</v>
      </c>
      <c r="D15" s="1" t="s">
        <v>44</v>
      </c>
      <c r="E15" s="15">
        <v>3220</v>
      </c>
      <c r="F15" s="15" t="s">
        <v>133</v>
      </c>
      <c r="G15" s="33" t="s">
        <v>23</v>
      </c>
    </row>
    <row r="16" spans="1:7" x14ac:dyDescent="0.25">
      <c r="A16" s="15" t="s">
        <v>179</v>
      </c>
      <c r="B16" s="33" t="s">
        <v>23</v>
      </c>
      <c r="C16" s="1" t="s">
        <v>194</v>
      </c>
      <c r="D16" s="1" t="s">
        <v>31</v>
      </c>
      <c r="E16" s="15">
        <v>2330</v>
      </c>
      <c r="F16" s="15" t="s">
        <v>179</v>
      </c>
      <c r="G16" s="33" t="s">
        <v>23</v>
      </c>
    </row>
    <row r="17" spans="1:7" x14ac:dyDescent="0.25">
      <c r="A17" s="15" t="s">
        <v>182</v>
      </c>
      <c r="B17" s="33" t="s">
        <v>23</v>
      </c>
      <c r="C17" s="1" t="s">
        <v>194</v>
      </c>
      <c r="D17" s="1" t="s">
        <v>78</v>
      </c>
      <c r="E17" s="15">
        <v>2310</v>
      </c>
      <c r="F17" s="15" t="s">
        <v>182</v>
      </c>
      <c r="G17" s="33" t="s">
        <v>23</v>
      </c>
    </row>
    <row r="18" spans="1:7" x14ac:dyDescent="0.25">
      <c r="A18" s="15" t="s">
        <v>183</v>
      </c>
      <c r="B18" s="33" t="s">
        <v>23</v>
      </c>
      <c r="C18" s="1" t="s">
        <v>194</v>
      </c>
      <c r="D18" s="1" t="s">
        <v>1093</v>
      </c>
      <c r="E18" s="15">
        <v>248</v>
      </c>
      <c r="F18" s="15" t="s">
        <v>183</v>
      </c>
      <c r="G18" s="33" t="s">
        <v>23</v>
      </c>
    </row>
    <row r="19" spans="1:7" x14ac:dyDescent="0.25">
      <c r="A19" s="15" t="s">
        <v>137</v>
      </c>
      <c r="B19" s="33" t="s">
        <v>13</v>
      </c>
      <c r="C19" s="1" t="s">
        <v>387</v>
      </c>
      <c r="D19" s="1" t="s">
        <v>12</v>
      </c>
      <c r="E19" s="15">
        <v>2140</v>
      </c>
      <c r="F19" s="15" t="s">
        <v>137</v>
      </c>
      <c r="G19" s="33" t="s">
        <v>13</v>
      </c>
    </row>
    <row r="20" spans="1:7" x14ac:dyDescent="0.25">
      <c r="A20" s="15" t="s">
        <v>189</v>
      </c>
      <c r="B20" s="33" t="s">
        <v>13</v>
      </c>
      <c r="C20" s="1" t="s">
        <v>383</v>
      </c>
      <c r="D20" s="1" t="s">
        <v>33</v>
      </c>
      <c r="E20" s="15">
        <v>2110</v>
      </c>
      <c r="F20" s="15" t="s">
        <v>189</v>
      </c>
      <c r="G20" s="33" t="s">
        <v>13</v>
      </c>
    </row>
    <row r="21" spans="1:7" x14ac:dyDescent="0.25">
      <c r="A21" s="15" t="s">
        <v>186</v>
      </c>
      <c r="B21" s="33" t="s">
        <v>13</v>
      </c>
      <c r="C21" s="1" t="s">
        <v>1112</v>
      </c>
      <c r="D21" s="1" t="s">
        <v>64</v>
      </c>
      <c r="E21" s="15">
        <v>2148</v>
      </c>
      <c r="F21" s="15" t="s">
        <v>186</v>
      </c>
      <c r="G21" s="33" t="s">
        <v>13</v>
      </c>
    </row>
    <row r="22" spans="1:7" x14ac:dyDescent="0.25">
      <c r="A22" s="15" t="s">
        <v>185</v>
      </c>
      <c r="B22" s="33" t="s">
        <v>13</v>
      </c>
      <c r="C22" s="1" t="s">
        <v>387</v>
      </c>
      <c r="D22" s="1" t="s">
        <v>19</v>
      </c>
      <c r="E22" s="15">
        <v>2190</v>
      </c>
      <c r="F22" s="15" t="s">
        <v>185</v>
      </c>
      <c r="G22" s="33" t="s">
        <v>13</v>
      </c>
    </row>
    <row r="23" spans="1:7" x14ac:dyDescent="0.25">
      <c r="A23" s="15" t="s">
        <v>173</v>
      </c>
      <c r="B23" s="33" t="s">
        <v>13</v>
      </c>
      <c r="C23" s="1" t="s">
        <v>196</v>
      </c>
      <c r="D23" s="1" t="s">
        <v>43</v>
      </c>
      <c r="E23" s="15">
        <v>1104</v>
      </c>
      <c r="F23" s="15" t="s">
        <v>173</v>
      </c>
      <c r="G23" s="33" t="s">
        <v>13</v>
      </c>
    </row>
    <row r="24" spans="1:7" x14ac:dyDescent="0.25">
      <c r="A24" s="15" t="s">
        <v>192</v>
      </c>
      <c r="B24" s="33" t="s">
        <v>13</v>
      </c>
      <c r="C24" s="1" t="s">
        <v>61</v>
      </c>
      <c r="D24" s="1" t="s">
        <v>916</v>
      </c>
      <c r="E24" s="15">
        <v>2020</v>
      </c>
      <c r="F24" s="15" t="s">
        <v>192</v>
      </c>
      <c r="G24" s="33" t="s">
        <v>13</v>
      </c>
    </row>
    <row r="25" spans="1:7" x14ac:dyDescent="0.25">
      <c r="A25" s="15" t="s">
        <v>142</v>
      </c>
      <c r="B25" s="33" t="s">
        <v>13</v>
      </c>
      <c r="C25" s="1" t="s">
        <v>196</v>
      </c>
      <c r="D25" s="1" t="s">
        <v>67</v>
      </c>
      <c r="E25" s="15">
        <v>1106</v>
      </c>
      <c r="F25" s="15" t="s">
        <v>142</v>
      </c>
      <c r="G25" s="33" t="s">
        <v>13</v>
      </c>
    </row>
    <row r="26" spans="1:7" x14ac:dyDescent="0.25">
      <c r="A26" s="15" t="s">
        <v>190</v>
      </c>
      <c r="B26" s="33" t="s">
        <v>13</v>
      </c>
      <c r="C26" s="1" t="s">
        <v>384</v>
      </c>
      <c r="D26" s="1" t="s">
        <v>28</v>
      </c>
      <c r="E26" s="15">
        <v>2160</v>
      </c>
      <c r="F26" s="15" t="s">
        <v>190</v>
      </c>
      <c r="G26" s="33" t="s">
        <v>13</v>
      </c>
    </row>
    <row r="27" spans="1:7" x14ac:dyDescent="0.25">
      <c r="A27" s="15" t="s">
        <v>164</v>
      </c>
      <c r="B27" s="33" t="s">
        <v>13</v>
      </c>
      <c r="C27" s="1" t="s">
        <v>383</v>
      </c>
      <c r="D27" s="1" t="s">
        <v>27</v>
      </c>
      <c r="E27" s="15">
        <v>3190</v>
      </c>
      <c r="F27" s="15" t="s">
        <v>164</v>
      </c>
      <c r="G27" s="33" t="s">
        <v>13</v>
      </c>
    </row>
    <row r="28" spans="1:7" x14ac:dyDescent="0.25">
      <c r="A28" s="15" t="s">
        <v>184</v>
      </c>
      <c r="B28" s="33" t="s">
        <v>13</v>
      </c>
      <c r="C28" s="1" t="s">
        <v>383</v>
      </c>
      <c r="D28" s="1" t="s">
        <v>59</v>
      </c>
      <c r="E28" s="15">
        <v>2116</v>
      </c>
      <c r="F28" s="15" t="s">
        <v>184</v>
      </c>
      <c r="G28" s="33" t="s">
        <v>13</v>
      </c>
    </row>
    <row r="29" spans="1:7" x14ac:dyDescent="0.25">
      <c r="A29" s="15" t="s">
        <v>187</v>
      </c>
      <c r="B29" s="33" t="s">
        <v>13</v>
      </c>
      <c r="C29" s="1" t="s">
        <v>384</v>
      </c>
      <c r="D29" s="1" t="s">
        <v>122</v>
      </c>
      <c r="E29" s="15">
        <v>2170</v>
      </c>
      <c r="F29" s="15" t="s">
        <v>187</v>
      </c>
      <c r="G29" s="33" t="s">
        <v>13</v>
      </c>
    </row>
    <row r="30" spans="1:7" x14ac:dyDescent="0.25">
      <c r="A30" s="15" t="s">
        <v>385</v>
      </c>
      <c r="B30" s="33" t="s">
        <v>13</v>
      </c>
      <c r="C30" s="1" t="s">
        <v>61</v>
      </c>
      <c r="D30" s="1" t="s">
        <v>386</v>
      </c>
      <c r="E30" s="15">
        <v>2030</v>
      </c>
      <c r="F30" s="15" t="s">
        <v>385</v>
      </c>
      <c r="G30" s="33" t="s">
        <v>13</v>
      </c>
    </row>
    <row r="31" spans="1:7" x14ac:dyDescent="0.25">
      <c r="A31" s="15" t="s">
        <v>191</v>
      </c>
      <c r="B31" s="33" t="s">
        <v>13</v>
      </c>
      <c r="C31" s="1" t="s">
        <v>1113</v>
      </c>
      <c r="D31" s="1" t="s">
        <v>79</v>
      </c>
      <c r="E31" s="15">
        <v>2180</v>
      </c>
      <c r="F31" s="15" t="s">
        <v>191</v>
      </c>
      <c r="G31" s="33" t="s">
        <v>13</v>
      </c>
    </row>
    <row r="32" spans="1:7" x14ac:dyDescent="0.25">
      <c r="A32" s="15" t="s">
        <v>143</v>
      </c>
      <c r="B32" s="33" t="s">
        <v>13</v>
      </c>
      <c r="C32" s="1" t="s">
        <v>1113</v>
      </c>
      <c r="D32" s="1" t="s">
        <v>53</v>
      </c>
      <c r="E32" s="15">
        <v>2185</v>
      </c>
      <c r="F32" s="15" t="s">
        <v>143</v>
      </c>
      <c r="G32" s="33" t="s">
        <v>13</v>
      </c>
    </row>
    <row r="33" spans="1:7" x14ac:dyDescent="0.25">
      <c r="A33" s="15" t="s">
        <v>1234</v>
      </c>
      <c r="B33" s="33" t="s">
        <v>1235</v>
      </c>
      <c r="C33" s="1" t="s">
        <v>1236</v>
      </c>
      <c r="D33" s="1" t="s">
        <v>1236</v>
      </c>
      <c r="E33" s="15">
        <v>4190</v>
      </c>
      <c r="F33" s="15" t="s">
        <v>1234</v>
      </c>
      <c r="G33" s="33" t="s">
        <v>1235</v>
      </c>
    </row>
    <row r="34" spans="1:7" x14ac:dyDescent="0.25">
      <c r="A34" s="15" t="s">
        <v>1237</v>
      </c>
      <c r="B34" s="33" t="s">
        <v>1235</v>
      </c>
      <c r="C34" s="1" t="s">
        <v>398</v>
      </c>
      <c r="D34" s="1" t="s">
        <v>1238</v>
      </c>
      <c r="E34" s="15">
        <v>3310</v>
      </c>
      <c r="F34" s="15" t="s">
        <v>1237</v>
      </c>
      <c r="G34" s="33" t="s">
        <v>1235</v>
      </c>
    </row>
    <row r="35" spans="1:7" x14ac:dyDescent="0.25">
      <c r="A35" s="15" t="s">
        <v>1239</v>
      </c>
      <c r="B35" s="33" t="s">
        <v>1235</v>
      </c>
      <c r="C35" s="1" t="s">
        <v>400</v>
      </c>
      <c r="D35" s="1" t="s">
        <v>1240</v>
      </c>
      <c r="E35" s="15">
        <v>3340</v>
      </c>
      <c r="F35" s="15" t="s">
        <v>1239</v>
      </c>
      <c r="G35" s="33" t="s">
        <v>1235</v>
      </c>
    </row>
    <row r="36" spans="1:7" x14ac:dyDescent="0.25">
      <c r="A36" s="15" t="s">
        <v>147</v>
      </c>
      <c r="B36" s="33" t="s">
        <v>1235</v>
      </c>
      <c r="C36" s="1" t="s">
        <v>400</v>
      </c>
      <c r="D36" s="1" t="s">
        <v>1241</v>
      </c>
      <c r="E36" s="15">
        <v>3160</v>
      </c>
      <c r="F36" s="15" t="s">
        <v>147</v>
      </c>
      <c r="G36" s="33" t="s">
        <v>1235</v>
      </c>
    </row>
    <row r="37" spans="1:7" x14ac:dyDescent="0.25">
      <c r="A37" s="15" t="s">
        <v>1242</v>
      </c>
      <c r="B37" s="33" t="s">
        <v>1235</v>
      </c>
      <c r="C37" s="1" t="s">
        <v>1243</v>
      </c>
      <c r="D37" s="1" t="s">
        <v>1244</v>
      </c>
      <c r="E37" s="15">
        <v>4210</v>
      </c>
      <c r="F37" s="15" t="s">
        <v>1242</v>
      </c>
      <c r="G37" s="33" t="s">
        <v>1235</v>
      </c>
    </row>
    <row r="38" spans="1:7" x14ac:dyDescent="0.25">
      <c r="A38" s="15" t="s">
        <v>171</v>
      </c>
      <c r="B38" s="33" t="s">
        <v>1235</v>
      </c>
      <c r="C38" s="1" t="s">
        <v>398</v>
      </c>
      <c r="D38" s="1" t="s">
        <v>30</v>
      </c>
      <c r="E38" s="15">
        <v>4118</v>
      </c>
      <c r="F38" s="15" t="s">
        <v>171</v>
      </c>
      <c r="G38" s="33" t="s">
        <v>1235</v>
      </c>
    </row>
    <row r="39" spans="1:7" x14ac:dyDescent="0.25">
      <c r="A39" s="15" t="s">
        <v>1245</v>
      </c>
      <c r="B39" s="33" t="s">
        <v>1235</v>
      </c>
      <c r="C39" s="1" t="s">
        <v>75</v>
      </c>
      <c r="D39" s="1" t="s">
        <v>1246</v>
      </c>
      <c r="E39" s="15">
        <v>4170</v>
      </c>
      <c r="F39" s="15" t="s">
        <v>1245</v>
      </c>
      <c r="G39" s="33" t="s">
        <v>1235</v>
      </c>
    </row>
    <row r="40" spans="1:7" x14ac:dyDescent="0.25">
      <c r="A40" s="15" t="s">
        <v>167</v>
      </c>
      <c r="B40" s="33" t="s">
        <v>1235</v>
      </c>
      <c r="C40" s="1" t="s">
        <v>75</v>
      </c>
      <c r="D40" s="1" t="s">
        <v>1247</v>
      </c>
      <c r="E40" s="15">
        <v>4147</v>
      </c>
      <c r="F40" s="15" t="s">
        <v>167</v>
      </c>
      <c r="G40" s="33" t="s">
        <v>1235</v>
      </c>
    </row>
    <row r="41" spans="1:7" x14ac:dyDescent="0.25">
      <c r="A41" s="15" t="s">
        <v>1248</v>
      </c>
      <c r="B41" s="33" t="s">
        <v>1235</v>
      </c>
      <c r="C41" s="1" t="s">
        <v>1243</v>
      </c>
      <c r="D41" s="1" t="s">
        <v>1249</v>
      </c>
      <c r="E41" s="15">
        <v>4220</v>
      </c>
      <c r="F41" s="15" t="s">
        <v>1248</v>
      </c>
      <c r="G41" s="33" t="s">
        <v>1235</v>
      </c>
    </row>
    <row r="42" spans="1:7" x14ac:dyDescent="0.25">
      <c r="A42" s="15" t="s">
        <v>160</v>
      </c>
      <c r="B42" s="33" t="s">
        <v>3</v>
      </c>
      <c r="C42" s="1" t="s">
        <v>389</v>
      </c>
      <c r="D42" s="1" t="s">
        <v>5</v>
      </c>
      <c r="E42" s="15">
        <v>2220</v>
      </c>
      <c r="F42" s="15" t="s">
        <v>160</v>
      </c>
      <c r="G42" s="33" t="s">
        <v>3</v>
      </c>
    </row>
    <row r="43" spans="1:7" x14ac:dyDescent="0.25">
      <c r="A43" s="15" t="s">
        <v>144</v>
      </c>
      <c r="B43" s="33" t="s">
        <v>3</v>
      </c>
      <c r="C43" s="1" t="s">
        <v>390</v>
      </c>
      <c r="D43" s="1" t="s">
        <v>42</v>
      </c>
      <c r="E43" s="15">
        <v>3023</v>
      </c>
      <c r="F43" s="15" t="s">
        <v>144</v>
      </c>
      <c r="G43" s="33" t="s">
        <v>3</v>
      </c>
    </row>
    <row r="44" spans="1:7" x14ac:dyDescent="0.25">
      <c r="A44" s="15" t="s">
        <v>146</v>
      </c>
      <c r="B44" s="33" t="s">
        <v>3</v>
      </c>
      <c r="C44" s="1" t="s">
        <v>391</v>
      </c>
      <c r="D44" s="1" t="s">
        <v>26</v>
      </c>
      <c r="E44" s="15">
        <v>3150</v>
      </c>
      <c r="F44" s="15" t="s">
        <v>146</v>
      </c>
      <c r="G44" s="33" t="s">
        <v>3</v>
      </c>
    </row>
    <row r="45" spans="1:7" x14ac:dyDescent="0.25">
      <c r="A45" s="15" t="s">
        <v>1115</v>
      </c>
      <c r="B45" s="33" t="s">
        <v>3</v>
      </c>
      <c r="C45" s="1" t="s">
        <v>1116</v>
      </c>
      <c r="D45" s="1" t="s">
        <v>1456</v>
      </c>
      <c r="E45" s="15">
        <v>3040</v>
      </c>
      <c r="F45" s="15" t="s">
        <v>1115</v>
      </c>
      <c r="G45" s="33" t="s">
        <v>3</v>
      </c>
    </row>
    <row r="46" spans="1:7" x14ac:dyDescent="0.25">
      <c r="A46" s="15" t="s">
        <v>145</v>
      </c>
      <c r="B46" s="33" t="s">
        <v>3</v>
      </c>
      <c r="C46" s="1" t="s">
        <v>390</v>
      </c>
      <c r="D46" s="1" t="s">
        <v>80</v>
      </c>
      <c r="E46" s="15">
        <v>3126</v>
      </c>
      <c r="F46" s="15" t="s">
        <v>145</v>
      </c>
      <c r="G46" s="33" t="s">
        <v>3</v>
      </c>
    </row>
    <row r="47" spans="1:7" x14ac:dyDescent="0.25">
      <c r="A47" s="15" t="s">
        <v>148</v>
      </c>
      <c r="B47" s="33" t="s">
        <v>3</v>
      </c>
      <c r="C47" s="1" t="s">
        <v>388</v>
      </c>
      <c r="D47" s="1" t="s">
        <v>65</v>
      </c>
      <c r="E47" s="15">
        <v>3186</v>
      </c>
      <c r="F47" s="15" t="s">
        <v>148</v>
      </c>
      <c r="G47" s="33" t="s">
        <v>3</v>
      </c>
    </row>
    <row r="48" spans="1:7" x14ac:dyDescent="0.25">
      <c r="A48" s="15" t="s">
        <v>152</v>
      </c>
      <c r="B48" s="33" t="s">
        <v>3</v>
      </c>
      <c r="C48" s="1" t="s">
        <v>389</v>
      </c>
      <c r="D48" s="1" t="s">
        <v>2</v>
      </c>
      <c r="E48" s="15">
        <v>2270</v>
      </c>
      <c r="F48" s="15" t="s">
        <v>152</v>
      </c>
      <c r="G48" s="33" t="s">
        <v>3</v>
      </c>
    </row>
    <row r="49" spans="1:7" x14ac:dyDescent="0.25">
      <c r="A49" s="15" t="s">
        <v>155</v>
      </c>
      <c r="B49" s="33" t="s">
        <v>3</v>
      </c>
      <c r="C49" s="1" t="s">
        <v>1114</v>
      </c>
      <c r="D49" s="1" t="s">
        <v>76</v>
      </c>
      <c r="E49" s="15">
        <v>3051</v>
      </c>
      <c r="F49" s="15" t="s">
        <v>155</v>
      </c>
      <c r="G49" s="33" t="s">
        <v>3</v>
      </c>
    </row>
    <row r="50" spans="1:7" x14ac:dyDescent="0.25">
      <c r="A50" s="15" t="s">
        <v>140</v>
      </c>
      <c r="B50" s="33" t="s">
        <v>3</v>
      </c>
      <c r="C50" s="1" t="s">
        <v>1114</v>
      </c>
      <c r="D50" s="1" t="s">
        <v>51</v>
      </c>
      <c r="E50" s="15">
        <v>3147</v>
      </c>
      <c r="F50" s="15" t="s">
        <v>140</v>
      </c>
      <c r="G50" s="33" t="s">
        <v>3</v>
      </c>
    </row>
    <row r="51" spans="1:7" x14ac:dyDescent="0.25">
      <c r="A51" s="15" t="s">
        <v>158</v>
      </c>
      <c r="B51" s="33" t="s">
        <v>3</v>
      </c>
      <c r="C51" s="1" t="s">
        <v>388</v>
      </c>
      <c r="D51" s="1" t="s">
        <v>49</v>
      </c>
      <c r="E51" s="15">
        <v>2230</v>
      </c>
      <c r="F51" s="15" t="s">
        <v>158</v>
      </c>
      <c r="G51" s="33" t="s">
        <v>3</v>
      </c>
    </row>
    <row r="52" spans="1:7" x14ac:dyDescent="0.25">
      <c r="A52" s="15" t="s">
        <v>380</v>
      </c>
      <c r="B52" s="33" t="s">
        <v>3</v>
      </c>
      <c r="C52" s="1" t="s">
        <v>389</v>
      </c>
      <c r="D52" s="1" t="s">
        <v>246</v>
      </c>
      <c r="E52" s="15">
        <v>3139</v>
      </c>
      <c r="F52" s="15" t="s">
        <v>380</v>
      </c>
      <c r="G52" s="33" t="s">
        <v>3</v>
      </c>
    </row>
    <row r="53" spans="1:7" x14ac:dyDescent="0.25">
      <c r="A53" s="15" t="s">
        <v>150</v>
      </c>
      <c r="B53" s="33" t="s">
        <v>3</v>
      </c>
      <c r="C53" s="1" t="s">
        <v>391</v>
      </c>
      <c r="D53" s="1" t="s">
        <v>24</v>
      </c>
      <c r="E53" s="15">
        <v>3170</v>
      </c>
      <c r="F53" s="15" t="s">
        <v>150</v>
      </c>
      <c r="G53" s="33" t="s">
        <v>3</v>
      </c>
    </row>
    <row r="54" spans="1:7" x14ac:dyDescent="0.25">
      <c r="A54" s="15" t="s">
        <v>1117</v>
      </c>
      <c r="B54" s="33" t="s">
        <v>8</v>
      </c>
      <c r="C54" s="1" t="s">
        <v>393</v>
      </c>
      <c r="D54" s="1" t="s">
        <v>1118</v>
      </c>
      <c r="E54" s="15">
        <v>2010</v>
      </c>
      <c r="F54" s="15" t="s">
        <v>1117</v>
      </c>
      <c r="G54" s="33" t="s">
        <v>8</v>
      </c>
    </row>
    <row r="55" spans="1:7" x14ac:dyDescent="0.25">
      <c r="A55" s="15" t="s">
        <v>141</v>
      </c>
      <c r="B55" s="33" t="s">
        <v>8</v>
      </c>
      <c r="C55" s="1" t="s">
        <v>396</v>
      </c>
      <c r="D55" s="1" t="s">
        <v>29</v>
      </c>
      <c r="E55" s="15">
        <v>3135</v>
      </c>
      <c r="F55" s="15" t="s">
        <v>141</v>
      </c>
      <c r="G55" s="33" t="s">
        <v>8</v>
      </c>
    </row>
    <row r="56" spans="1:7" x14ac:dyDescent="0.25">
      <c r="A56" s="15" t="s">
        <v>162</v>
      </c>
      <c r="B56" s="33" t="s">
        <v>8</v>
      </c>
      <c r="C56" s="1" t="s">
        <v>397</v>
      </c>
      <c r="D56" s="1" t="s">
        <v>121</v>
      </c>
      <c r="E56" s="15">
        <v>2210</v>
      </c>
      <c r="F56" s="15" t="s">
        <v>162</v>
      </c>
      <c r="G56" s="33" t="s">
        <v>8</v>
      </c>
    </row>
    <row r="57" spans="1:7" x14ac:dyDescent="0.25">
      <c r="A57" s="15" t="s">
        <v>163</v>
      </c>
      <c r="B57" s="33" t="s">
        <v>8</v>
      </c>
      <c r="C57" s="1" t="s">
        <v>395</v>
      </c>
      <c r="D57" s="1" t="s">
        <v>10</v>
      </c>
      <c r="E57" s="15">
        <v>2260</v>
      </c>
      <c r="F57" s="15" t="s">
        <v>163</v>
      </c>
      <c r="G57" s="33" t="s">
        <v>8</v>
      </c>
    </row>
    <row r="58" spans="1:7" x14ac:dyDescent="0.25">
      <c r="A58" s="15" t="s">
        <v>156</v>
      </c>
      <c r="B58" s="33" t="s">
        <v>8</v>
      </c>
      <c r="C58" s="1" t="s">
        <v>397</v>
      </c>
      <c r="D58" s="1" t="s">
        <v>32</v>
      </c>
      <c r="E58" s="15">
        <v>2250</v>
      </c>
      <c r="F58" s="15" t="s">
        <v>156</v>
      </c>
      <c r="G58" s="33" t="s">
        <v>8</v>
      </c>
    </row>
    <row r="59" spans="1:7" x14ac:dyDescent="0.25">
      <c r="A59" s="15" t="s">
        <v>159</v>
      </c>
      <c r="B59" s="33" t="s">
        <v>8</v>
      </c>
      <c r="C59" s="1" t="s">
        <v>393</v>
      </c>
      <c r="D59" s="1" t="s">
        <v>21</v>
      </c>
      <c r="E59" s="15">
        <v>2125</v>
      </c>
      <c r="F59" s="15" t="s">
        <v>159</v>
      </c>
      <c r="G59" s="33" t="s">
        <v>8</v>
      </c>
    </row>
    <row r="60" spans="1:7" x14ac:dyDescent="0.25">
      <c r="A60" s="15" t="s">
        <v>157</v>
      </c>
      <c r="B60" s="33" t="s">
        <v>8</v>
      </c>
      <c r="C60" s="1" t="s">
        <v>394</v>
      </c>
      <c r="D60" s="1" t="s">
        <v>7</v>
      </c>
      <c r="E60" s="15">
        <v>3055</v>
      </c>
      <c r="F60" s="15" t="s">
        <v>157</v>
      </c>
      <c r="G60" s="33" t="s">
        <v>8</v>
      </c>
    </row>
    <row r="61" spans="1:7" x14ac:dyDescent="0.25">
      <c r="A61" s="15" t="s">
        <v>161</v>
      </c>
      <c r="B61" s="33" t="s">
        <v>8</v>
      </c>
      <c r="C61" s="1" t="s">
        <v>392</v>
      </c>
      <c r="D61" s="1" t="s">
        <v>16</v>
      </c>
      <c r="E61" s="15">
        <v>2240</v>
      </c>
      <c r="F61" s="15" t="s">
        <v>161</v>
      </c>
      <c r="G61" s="33" t="s">
        <v>8</v>
      </c>
    </row>
    <row r="62" spans="1:7" x14ac:dyDescent="0.25">
      <c r="A62" s="15" t="s">
        <v>153</v>
      </c>
      <c r="B62" s="33" t="s">
        <v>8</v>
      </c>
      <c r="C62" s="1" t="s">
        <v>393</v>
      </c>
      <c r="D62" s="1" t="s">
        <v>25</v>
      </c>
      <c r="E62" s="15">
        <v>2135</v>
      </c>
      <c r="F62" s="15" t="s">
        <v>153</v>
      </c>
      <c r="G62" s="33" t="s">
        <v>8</v>
      </c>
    </row>
    <row r="63" spans="1:7" ht="15.75" thickBot="1" x14ac:dyDescent="0.3">
      <c r="A63" s="34" t="s">
        <v>136</v>
      </c>
      <c r="B63" s="35" t="s">
        <v>8</v>
      </c>
      <c r="C63" s="36" t="s">
        <v>396</v>
      </c>
      <c r="D63" s="36" t="s">
        <v>57</v>
      </c>
      <c r="E63" s="34">
        <v>3103</v>
      </c>
      <c r="F63" s="34" t="s">
        <v>136</v>
      </c>
      <c r="G63" s="35" t="s">
        <v>8</v>
      </c>
    </row>
    <row r="64" spans="1:7" x14ac:dyDescent="0.25">
      <c r="A64" t="s">
        <v>188</v>
      </c>
      <c r="B64" t="s">
        <v>8</v>
      </c>
      <c r="C64" t="s">
        <v>393</v>
      </c>
      <c r="D64" t="s">
        <v>81</v>
      </c>
      <c r="E64">
        <v>2165</v>
      </c>
      <c r="F64" t="s">
        <v>188</v>
      </c>
      <c r="G64" t="s">
        <v>8</v>
      </c>
    </row>
    <row r="65" spans="1:7" x14ac:dyDescent="0.25">
      <c r="A65" t="s">
        <v>138</v>
      </c>
      <c r="B65" t="s">
        <v>18</v>
      </c>
      <c r="C65" t="s">
        <v>1250</v>
      </c>
      <c r="D65" t="s">
        <v>56</v>
      </c>
      <c r="E65">
        <v>1933</v>
      </c>
      <c r="F65" t="s">
        <v>138</v>
      </c>
      <c r="G65" t="s">
        <v>18</v>
      </c>
    </row>
    <row r="66" spans="1:7" x14ac:dyDescent="0.25">
      <c r="A66" t="s">
        <v>165</v>
      </c>
      <c r="B66" t="s">
        <v>18</v>
      </c>
      <c r="C66" t="s">
        <v>401</v>
      </c>
      <c r="D66" t="s">
        <v>55</v>
      </c>
      <c r="E66">
        <v>4150</v>
      </c>
      <c r="F66" t="s">
        <v>165</v>
      </c>
      <c r="G66" t="s">
        <v>18</v>
      </c>
    </row>
    <row r="67" spans="1:7" x14ac:dyDescent="0.25">
      <c r="A67" t="s">
        <v>1251</v>
      </c>
      <c r="B67" t="s">
        <v>18</v>
      </c>
      <c r="C67" t="s">
        <v>1252</v>
      </c>
      <c r="D67" t="s">
        <v>1253</v>
      </c>
      <c r="E67">
        <v>4175</v>
      </c>
      <c r="F67" t="s">
        <v>1251</v>
      </c>
      <c r="G67" t="s">
        <v>18</v>
      </c>
    </row>
    <row r="68" spans="1:7" x14ac:dyDescent="0.25">
      <c r="A68" t="s">
        <v>177</v>
      </c>
      <c r="B68" t="s">
        <v>18</v>
      </c>
      <c r="C68" t="s">
        <v>402</v>
      </c>
      <c r="D68" t="s">
        <v>52</v>
      </c>
      <c r="E68">
        <v>4100</v>
      </c>
      <c r="F68" t="s">
        <v>177</v>
      </c>
      <c r="G68" t="s">
        <v>18</v>
      </c>
    </row>
    <row r="69" spans="1:7" x14ac:dyDescent="0.25">
      <c r="A69" t="s">
        <v>172</v>
      </c>
      <c r="B69" t="s">
        <v>18</v>
      </c>
      <c r="C69" t="s">
        <v>401</v>
      </c>
      <c r="D69" t="s">
        <v>63</v>
      </c>
      <c r="E69">
        <v>4120</v>
      </c>
      <c r="F69" t="s">
        <v>172</v>
      </c>
      <c r="G69" t="s">
        <v>18</v>
      </c>
    </row>
    <row r="70" spans="1:7" x14ac:dyDescent="0.25">
      <c r="A70" t="s">
        <v>149</v>
      </c>
      <c r="B70" t="s">
        <v>18</v>
      </c>
      <c r="C70" t="s">
        <v>1250</v>
      </c>
      <c r="D70" t="s">
        <v>68</v>
      </c>
      <c r="E70">
        <v>3120</v>
      </c>
      <c r="F70" t="s">
        <v>149</v>
      </c>
      <c r="G70" t="s">
        <v>18</v>
      </c>
    </row>
    <row r="71" spans="1:7" x14ac:dyDescent="0.25">
      <c r="A71" t="s">
        <v>170</v>
      </c>
      <c r="B71" t="s">
        <v>18</v>
      </c>
      <c r="C71" t="s">
        <v>402</v>
      </c>
      <c r="D71" t="s">
        <v>54</v>
      </c>
      <c r="E71">
        <v>4146</v>
      </c>
      <c r="F71" t="s">
        <v>170</v>
      </c>
      <c r="G71" t="s">
        <v>18</v>
      </c>
    </row>
    <row r="72" spans="1:7" x14ac:dyDescent="0.25">
      <c r="A72" t="s">
        <v>1254</v>
      </c>
      <c r="B72" t="s">
        <v>18</v>
      </c>
      <c r="C72" t="s">
        <v>1252</v>
      </c>
      <c r="D72" t="s">
        <v>1255</v>
      </c>
      <c r="E72">
        <v>4135</v>
      </c>
      <c r="F72" t="s">
        <v>1254</v>
      </c>
      <c r="G72" t="s">
        <v>18</v>
      </c>
    </row>
    <row r="73" spans="1:7" x14ac:dyDescent="0.25">
      <c r="A73" t="s">
        <v>166</v>
      </c>
      <c r="B73" t="s">
        <v>18</v>
      </c>
      <c r="C73" t="s">
        <v>399</v>
      </c>
      <c r="D73" t="s">
        <v>73</v>
      </c>
      <c r="E73">
        <v>4110</v>
      </c>
      <c r="F73" t="s">
        <v>166</v>
      </c>
      <c r="G73" t="s">
        <v>18</v>
      </c>
    </row>
    <row r="74" spans="1:7" x14ac:dyDescent="0.25">
      <c r="A74" t="s">
        <v>169</v>
      </c>
      <c r="B74" t="s">
        <v>18</v>
      </c>
      <c r="C74" t="s">
        <v>401</v>
      </c>
      <c r="D74" t="s">
        <v>40</v>
      </c>
      <c r="E74">
        <v>4140</v>
      </c>
      <c r="F74" t="s">
        <v>169</v>
      </c>
      <c r="G74" t="s">
        <v>18</v>
      </c>
    </row>
    <row r="75" spans="1:7" x14ac:dyDescent="0.25">
      <c r="A75" t="s">
        <v>168</v>
      </c>
      <c r="B75" t="s">
        <v>18</v>
      </c>
      <c r="C75" t="s">
        <v>399</v>
      </c>
      <c r="D75" t="s">
        <v>17</v>
      </c>
      <c r="E75">
        <v>4117</v>
      </c>
      <c r="F75" t="s">
        <v>168</v>
      </c>
      <c r="G75" t="s">
        <v>18</v>
      </c>
    </row>
    <row r="76" spans="1:7" x14ac:dyDescent="0.25">
      <c r="A76" t="s">
        <v>1256</v>
      </c>
      <c r="B76" t="s">
        <v>18</v>
      </c>
      <c r="C76" t="s">
        <v>1252</v>
      </c>
      <c r="D76" t="s">
        <v>1257</v>
      </c>
      <c r="E76">
        <v>4125</v>
      </c>
      <c r="F76" t="s">
        <v>1256</v>
      </c>
      <c r="G76" t="s">
        <v>18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28</vt:i4>
      </vt:variant>
    </vt:vector>
  </HeadingPairs>
  <TitlesOfParts>
    <vt:vector size="52"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2021-12-02T11:46:58Z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b203ee61-c9a3-4750-85b3-2dd74176b9a3</vt:lpwstr>
  </property>
  <property fmtid="{D5CDD505-2E9C-101B-9397-08002B2CF9AE}" pid="4" name="Classification">
    <vt:lpwstr>LV_R3STR1CT3D</vt:lpwstr>
  </property>
  <property fmtid="{D5CDD505-2E9C-101B-9397-08002B2CF9AE}" pid="5" name="ContainsPII">
    <vt:lpwstr>No</vt:lpwstr>
  </property>
</Properties>
</file>