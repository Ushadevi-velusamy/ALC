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7A200EC-6AE7-4252-88BA-4D58C66F7EB4}" xr6:coauthVersionLast="46" xr6:coauthVersionMax="46" xr10:uidLastSave="{00000000-0000-0000-0000-000000000000}"/>
  <workbookProtection workbookAlgorithmName="SHA-512" workbookHashValue="OFaQ1e2jlqu8LSx1bONx6NzJcw+KyDq5NgrvPJMUgMRLT4Ykz+sI45ymyVoEPmba8F0BkqYdEIMDS9xt0DpX1g==" workbookSaltValue="sMclcL8rb6481BwVc2Tkf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 r:id="rId42"/>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Z33" i="97" l="1"/>
  <c r="Z32" i="97"/>
  <c r="Z31" i="97"/>
  <c r="Z30" i="97"/>
  <c r="Z29" i="97"/>
  <c r="Z28" i="97"/>
  <c r="Z27" i="97"/>
  <c r="Z25" i="97"/>
  <c r="Z26" i="97"/>
  <c r="E19" i="11"/>
  <c r="E17" i="11"/>
  <c r="E15" i="11"/>
  <c r="E11" i="11"/>
  <c r="C271" i="92"/>
  <c r="B271" i="92"/>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17" i="92"/>
  <c r="B17" i="92"/>
  <c r="C13" i="92"/>
  <c r="B13" i="92"/>
  <c r="S16" i="75" l="1" a="1"/>
  <c r="S16" i="75" s="1"/>
  <c r="W6" i="75"/>
  <c r="W7" i="75"/>
  <c r="W8" i="75"/>
  <c r="W9" i="75"/>
  <c r="W10" i="75"/>
  <c r="W11" i="75"/>
  <c r="W12" i="75"/>
  <c r="W13" i="75"/>
  <c r="W14" i="75"/>
  <c r="W15" i="75"/>
  <c r="E190" i="94"/>
  <c r="E189" i="94"/>
  <c r="E178" i="94"/>
  <c r="E177"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P3" i="75" l="1"/>
  <c r="P4" i="75"/>
  <c r="R17" i="75"/>
  <c r="Z24" i="97"/>
  <c r="C1076" i="92"/>
  <c r="C1060" i="92"/>
  <c r="C996" i="92"/>
  <c r="C932" i="92"/>
  <c r="C868" i="92"/>
  <c r="C804" i="92"/>
  <c r="C740" i="92"/>
  <c r="B1048" i="92"/>
  <c r="B984" i="92"/>
  <c r="B920" i="92"/>
  <c r="B856" i="92"/>
  <c r="B792" i="92"/>
  <c r="B728" i="92"/>
  <c r="C1079" i="92"/>
  <c r="C1015" i="92"/>
  <c r="C951" i="92"/>
  <c r="C887" i="92"/>
  <c r="C823" i="92"/>
  <c r="C759" i="92"/>
  <c r="B1055" i="92"/>
  <c r="B991" i="92"/>
  <c r="B927" i="92"/>
  <c r="B863" i="92"/>
  <c r="B799" i="92"/>
  <c r="B735" i="92"/>
  <c r="B671" i="92"/>
  <c r="B607" i="92"/>
  <c r="C1050" i="92"/>
  <c r="C986" i="92"/>
  <c r="C1056" i="92"/>
  <c r="C992" i="92"/>
  <c r="C928" i="92"/>
  <c r="C864" i="92"/>
  <c r="C800" i="92"/>
  <c r="C736" i="92"/>
  <c r="B1044" i="92"/>
  <c r="B980" i="92"/>
  <c r="B916" i="92"/>
  <c r="B852" i="92"/>
  <c r="B788" i="92"/>
  <c r="B724" i="92"/>
  <c r="C1075" i="92"/>
  <c r="C1011" i="92"/>
  <c r="C947" i="92"/>
  <c r="C883" i="92"/>
  <c r="C819" i="92"/>
  <c r="C755" i="92"/>
  <c r="B1051" i="92"/>
  <c r="B987" i="92"/>
  <c r="B923" i="92"/>
  <c r="B859" i="92"/>
  <c r="B795" i="92"/>
  <c r="B731" i="92"/>
  <c r="B667" i="92"/>
  <c r="B603" i="92"/>
  <c r="C1046" i="92"/>
  <c r="C982" i="92"/>
  <c r="C918" i="92"/>
  <c r="C854" i="92"/>
  <c r="C1052" i="92"/>
  <c r="C988" i="92"/>
  <c r="C924" i="92"/>
  <c r="C860" i="92"/>
  <c r="C796" i="92"/>
  <c r="C732" i="92"/>
  <c r="B1040" i="92"/>
  <c r="B976" i="92"/>
  <c r="B912" i="92"/>
  <c r="B848" i="92"/>
  <c r="B784" i="92"/>
  <c r="B720" i="92"/>
  <c r="C1071" i="92"/>
  <c r="C1007" i="92"/>
  <c r="C943" i="92"/>
  <c r="C879" i="92"/>
  <c r="C815" i="92"/>
  <c r="C751" i="92"/>
  <c r="B1047" i="92"/>
  <c r="B983" i="92"/>
  <c r="B919" i="92"/>
  <c r="B855" i="92"/>
  <c r="B791" i="92"/>
  <c r="B727" i="92"/>
  <c r="B663" i="92"/>
  <c r="B599" i="92"/>
  <c r="C1042" i="92"/>
  <c r="C978" i="92"/>
  <c r="C914" i="92"/>
  <c r="C850" i="92"/>
  <c r="C786" i="92"/>
  <c r="C722" i="92"/>
  <c r="C904" i="92"/>
  <c r="B1020" i="92"/>
  <c r="B764" i="92"/>
  <c r="C923" i="92"/>
  <c r="B1027" i="92"/>
  <c r="B771" i="92"/>
  <c r="C1022" i="92"/>
  <c r="C862" i="92"/>
  <c r="C766" i="92"/>
  <c r="C690" i="92"/>
  <c r="C626" i="92"/>
  <c r="C1045" i="92"/>
  <c r="C981" i="92"/>
  <c r="C917" i="92"/>
  <c r="C853" i="92"/>
  <c r="C789" i="92"/>
  <c r="C725" i="92"/>
  <c r="C661" i="92"/>
  <c r="C597" i="92"/>
  <c r="B886" i="92"/>
  <c r="B681" i="92"/>
  <c r="C585" i="92"/>
  <c r="C521" i="92"/>
  <c r="C457" i="92"/>
  <c r="B917" i="92"/>
  <c r="C696" i="92"/>
  <c r="C594" i="92"/>
  <c r="B529" i="92"/>
  <c r="B465" i="92"/>
  <c r="B401" i="92"/>
  <c r="B946" i="92"/>
  <c r="C1080" i="92"/>
  <c r="C824" i="92"/>
  <c r="B940" i="92"/>
  <c r="B684" i="92"/>
  <c r="C843" i="92"/>
  <c r="B947" i="92"/>
  <c r="C1044" i="92"/>
  <c r="C1092" i="92"/>
  <c r="C1028" i="92"/>
  <c r="C964" i="92"/>
  <c r="C900" i="92"/>
  <c r="C836" i="92"/>
  <c r="C772" i="92"/>
  <c r="B1080" i="92"/>
  <c r="B1016" i="92"/>
  <c r="B952" i="92"/>
  <c r="B888" i="92"/>
  <c r="B824" i="92"/>
  <c r="B760" i="92"/>
  <c r="B696" i="92"/>
  <c r="C1047" i="92"/>
  <c r="C983" i="92"/>
  <c r="C919" i="92"/>
  <c r="C855" i="92"/>
  <c r="C791" i="92"/>
  <c r="B1087" i="92"/>
  <c r="B1023" i="92"/>
  <c r="B959" i="92"/>
  <c r="B895" i="92"/>
  <c r="B831" i="92"/>
  <c r="B767" i="92"/>
  <c r="B703" i="92"/>
  <c r="B639" i="92"/>
  <c r="C1082" i="92"/>
  <c r="C1018" i="92"/>
  <c r="C1088" i="92"/>
  <c r="C1024" i="92"/>
  <c r="C960" i="92"/>
  <c r="C896" i="92"/>
  <c r="C832" i="92"/>
  <c r="C768" i="92"/>
  <c r="B1076" i="92"/>
  <c r="B1012" i="92"/>
  <c r="B948" i="92"/>
  <c r="B884" i="92"/>
  <c r="B820" i="92"/>
  <c r="B756" i="92"/>
  <c r="B692" i="92"/>
  <c r="C1043" i="92"/>
  <c r="C979" i="92"/>
  <c r="C915" i="92"/>
  <c r="C851" i="92"/>
  <c r="C787" i="92"/>
  <c r="B1083" i="92"/>
  <c r="B1019" i="92"/>
  <c r="B955" i="92"/>
  <c r="B891" i="92"/>
  <c r="B827" i="92"/>
  <c r="B763" i="92"/>
  <c r="B699" i="92"/>
  <c r="B635" i="92"/>
  <c r="C1078" i="92"/>
  <c r="C1014" i="92"/>
  <c r="C950" i="92"/>
  <c r="C886" i="92"/>
  <c r="C1084" i="92"/>
  <c r="C1020" i="92"/>
  <c r="C956" i="92"/>
  <c r="C892" i="92"/>
  <c r="C828" i="92"/>
  <c r="C764" i="92"/>
  <c r="B1072" i="92"/>
  <c r="B1008" i="92"/>
  <c r="B944" i="92"/>
  <c r="B880" i="92"/>
  <c r="B816" i="92"/>
  <c r="B752" i="92"/>
  <c r="B688" i="92"/>
  <c r="C1039" i="92"/>
  <c r="C975" i="92"/>
  <c r="C911" i="92"/>
  <c r="C847" i="92"/>
  <c r="C783" i="92"/>
  <c r="B1079" i="92"/>
  <c r="B1015" i="92"/>
  <c r="B951" i="92"/>
  <c r="B887" i="92"/>
  <c r="B823" i="92"/>
  <c r="B759" i="92"/>
  <c r="B695" i="92"/>
  <c r="B631" i="92"/>
  <c r="C1074" i="92"/>
  <c r="C1010" i="92"/>
  <c r="C946" i="92"/>
  <c r="C882" i="92"/>
  <c r="C818" i="92"/>
  <c r="C754" i="92"/>
  <c r="C1032" i="92"/>
  <c r="C776" i="92"/>
  <c r="B892" i="92"/>
  <c r="C1051" i="92"/>
  <c r="C795" i="92"/>
  <c r="B899" i="92"/>
  <c r="B643" i="92"/>
  <c r="C926" i="92"/>
  <c r="C810" i="92"/>
  <c r="C726" i="92"/>
  <c r="C658" i="92"/>
  <c r="C1077" i="92"/>
  <c r="C1013" i="92"/>
  <c r="C949" i="92"/>
  <c r="C885" i="92"/>
  <c r="C821" i="92"/>
  <c r="C757" i="92"/>
  <c r="C693" i="92"/>
  <c r="C629" i="92"/>
  <c r="B1014" i="92"/>
  <c r="B758" i="92"/>
  <c r="B630" i="92"/>
  <c r="C553" i="92"/>
  <c r="C489" i="92"/>
  <c r="B1045" i="92"/>
  <c r="B789" i="92"/>
  <c r="B642" i="92"/>
  <c r="B561" i="92"/>
  <c r="B497" i="92"/>
  <c r="B433" i="92"/>
  <c r="B1074" i="92"/>
  <c r="B818" i="92"/>
  <c r="C952" i="92"/>
  <c r="B1068" i="92"/>
  <c r="B812" i="92"/>
  <c r="C971" i="92"/>
  <c r="B1075" i="92"/>
  <c r="C1012" i="92"/>
  <c r="C884" i="92"/>
  <c r="C756" i="92"/>
  <c r="B1000" i="92"/>
  <c r="B872" i="92"/>
  <c r="B744" i="92"/>
  <c r="C1031" i="92"/>
  <c r="C903" i="92"/>
  <c r="C775" i="92"/>
  <c r="B1007" i="92"/>
  <c r="B879" i="92"/>
  <c r="B751" i="92"/>
  <c r="B623" i="92"/>
  <c r="C1002" i="92"/>
  <c r="C1008" i="92"/>
  <c r="C880" i="92"/>
  <c r="C752" i="92"/>
  <c r="B996" i="92"/>
  <c r="B868" i="92"/>
  <c r="B740" i="92"/>
  <c r="C1027" i="92"/>
  <c r="C899" i="92"/>
  <c r="C771" i="92"/>
  <c r="B1003" i="92"/>
  <c r="B875" i="92"/>
  <c r="B747" i="92"/>
  <c r="B619" i="92"/>
  <c r="C998" i="92"/>
  <c r="C870" i="92"/>
  <c r="C1004" i="92"/>
  <c r="C876" i="92"/>
  <c r="C748" i="92"/>
  <c r="B992" i="92"/>
  <c r="B864" i="92"/>
  <c r="B736" i="92"/>
  <c r="C1023" i="92"/>
  <c r="C895" i="92"/>
  <c r="C767" i="92"/>
  <c r="B999" i="92"/>
  <c r="B871" i="92"/>
  <c r="B743" i="92"/>
  <c r="B615" i="92"/>
  <c r="C994" i="92"/>
  <c r="C866" i="92"/>
  <c r="C738" i="92"/>
  <c r="B1084" i="92"/>
  <c r="C987" i="92"/>
  <c r="B835" i="92"/>
  <c r="C894" i="92"/>
  <c r="C706" i="92"/>
  <c r="C1061" i="92"/>
  <c r="C933" i="92"/>
  <c r="C805" i="92"/>
  <c r="C677" i="92"/>
  <c r="B950" i="92"/>
  <c r="B606" i="92"/>
  <c r="C473" i="92"/>
  <c r="B729" i="92"/>
  <c r="B545" i="92"/>
  <c r="B417" i="92"/>
  <c r="B754" i="92"/>
  <c r="B1004" i="92"/>
  <c r="C907" i="92"/>
  <c r="B819" i="92"/>
  <c r="C1070" i="92"/>
  <c r="C890" i="92"/>
  <c r="C782" i="92"/>
  <c r="C702" i="92"/>
  <c r="C638" i="92"/>
  <c r="C1057" i="92"/>
  <c r="C993" i="92"/>
  <c r="C929" i="92"/>
  <c r="C865" i="92"/>
  <c r="C801" i="92"/>
  <c r="C737" i="92"/>
  <c r="C673" i="92"/>
  <c r="C609" i="92"/>
  <c r="B934" i="92"/>
  <c r="C980" i="92"/>
  <c r="C852" i="92"/>
  <c r="B1096" i="92"/>
  <c r="B968" i="92"/>
  <c r="B840" i="92"/>
  <c r="B712" i="92"/>
  <c r="C999" i="92"/>
  <c r="C871" i="92"/>
  <c r="C743" i="92"/>
  <c r="B975" i="92"/>
  <c r="B847" i="92"/>
  <c r="B719" i="92"/>
  <c r="B591" i="92"/>
  <c r="C970" i="92"/>
  <c r="C976" i="92"/>
  <c r="C848" i="92"/>
  <c r="B1092" i="92"/>
  <c r="B964" i="92"/>
  <c r="B836" i="92"/>
  <c r="B708" i="92"/>
  <c r="C995" i="92"/>
  <c r="C867" i="92"/>
  <c r="C739" i="92"/>
  <c r="B971" i="92"/>
  <c r="B843" i="92"/>
  <c r="B715" i="92"/>
  <c r="C1094" i="92"/>
  <c r="C966" i="92"/>
  <c r="C838" i="92"/>
  <c r="C972" i="92"/>
  <c r="C844" i="92"/>
  <c r="B1088" i="92"/>
  <c r="B960" i="92"/>
  <c r="B832" i="92"/>
  <c r="B704" i="92"/>
  <c r="C991" i="92"/>
  <c r="C863" i="92"/>
  <c r="B1095" i="92"/>
  <c r="B967" i="92"/>
  <c r="B839" i="92"/>
  <c r="B711" i="92"/>
  <c r="C1090" i="92"/>
  <c r="C962" i="92"/>
  <c r="C834" i="92"/>
  <c r="C1096" i="92"/>
  <c r="B956" i="92"/>
  <c r="C859" i="92"/>
  <c r="B707" i="92"/>
  <c r="C830" i="92"/>
  <c r="C674" i="92"/>
  <c r="C1029" i="92"/>
  <c r="C901" i="92"/>
  <c r="C773" i="92"/>
  <c r="C645" i="92"/>
  <c r="B822" i="92"/>
  <c r="C569" i="92"/>
  <c r="C441" i="92"/>
  <c r="B668" i="92"/>
  <c r="B513" i="92"/>
  <c r="B385" i="92"/>
  <c r="C1016" i="92"/>
  <c r="B876" i="92"/>
  <c r="C779" i="92"/>
  <c r="B755" i="92"/>
  <c r="C1006" i="92"/>
  <c r="C858" i="92"/>
  <c r="C762" i="92"/>
  <c r="C686" i="92"/>
  <c r="C622" i="92"/>
  <c r="C1041" i="92"/>
  <c r="C977" i="92"/>
  <c r="C913" i="92"/>
  <c r="C849" i="92"/>
  <c r="C785" i="92"/>
  <c r="C721" i="92"/>
  <c r="C657" i="92"/>
  <c r="C593" i="92"/>
  <c r="B870" i="92"/>
  <c r="C675" i="92"/>
  <c r="C581" i="92"/>
  <c r="C517" i="92"/>
  <c r="C453" i="92"/>
  <c r="B901" i="92"/>
  <c r="C872" i="92"/>
  <c r="B988" i="92"/>
  <c r="B732" i="92"/>
  <c r="C891" i="92"/>
  <c r="B995" i="92"/>
  <c r="B739" i="92"/>
  <c r="C990" i="92"/>
  <c r="C846" i="92"/>
  <c r="C758" i="92"/>
  <c r="C682" i="92"/>
  <c r="C618" i="92"/>
  <c r="C1037" i="92"/>
  <c r="C973" i="92"/>
  <c r="C909" i="92"/>
  <c r="C845" i="92"/>
  <c r="C781" i="92"/>
  <c r="C717" i="92"/>
  <c r="C653" i="92"/>
  <c r="C589" i="92"/>
  <c r="B854" i="92"/>
  <c r="C668" i="92"/>
  <c r="C577" i="92"/>
  <c r="C513" i="92"/>
  <c r="C449" i="92"/>
  <c r="B885" i="92"/>
  <c r="C680" i="92"/>
  <c r="B585" i="92"/>
  <c r="B521" i="92"/>
  <c r="B457" i="92"/>
  <c r="B393" i="92"/>
  <c r="B914" i="92"/>
  <c r="B716" i="92"/>
  <c r="C974" i="92"/>
  <c r="C614" i="92"/>
  <c r="C841" i="92"/>
  <c r="B1094" i="92"/>
  <c r="C509" i="92"/>
  <c r="B674" i="92"/>
  <c r="B517" i="92"/>
  <c r="B389" i="92"/>
  <c r="C719" i="92"/>
  <c r="B610" i="92"/>
  <c r="C540" i="92"/>
  <c r="C476" i="92"/>
  <c r="C948" i="92"/>
  <c r="B1064" i="92"/>
  <c r="B808" i="92"/>
  <c r="C967" i="92"/>
  <c r="B1071" i="92"/>
  <c r="B815" i="92"/>
  <c r="C1066" i="92"/>
  <c r="C944" i="92"/>
  <c r="B1060" i="92"/>
  <c r="B804" i="92"/>
  <c r="C963" i="92"/>
  <c r="B1067" i="92"/>
  <c r="B811" i="92"/>
  <c r="C1062" i="92"/>
  <c r="C1068" i="92"/>
  <c r="C812" i="92"/>
  <c r="B928" i="92"/>
  <c r="C1087" i="92"/>
  <c r="C831" i="92"/>
  <c r="B935" i="92"/>
  <c r="B679" i="92"/>
  <c r="C930" i="92"/>
  <c r="C968" i="92"/>
  <c r="B1091" i="92"/>
  <c r="C790" i="92"/>
  <c r="C997" i="92"/>
  <c r="C741" i="92"/>
  <c r="B713" i="92"/>
  <c r="B981" i="92"/>
  <c r="B481" i="92"/>
  <c r="C888" i="92"/>
  <c r="B1011" i="92"/>
  <c r="C954" i="92"/>
  <c r="C742" i="92"/>
  <c r="C1089" i="92"/>
  <c r="C961" i="92"/>
  <c r="C833" i="92"/>
  <c r="C705" i="92"/>
  <c r="B1062" i="92"/>
  <c r="B705" i="92"/>
  <c r="C565" i="92"/>
  <c r="C485" i="92"/>
  <c r="B965" i="92"/>
  <c r="C808" i="92"/>
  <c r="B860" i="92"/>
  <c r="C955" i="92"/>
  <c r="B931" i="92"/>
  <c r="B611" i="92"/>
  <c r="C878" i="92"/>
  <c r="C734" i="92"/>
  <c r="C650" i="92"/>
  <c r="C1053" i="92"/>
  <c r="C957" i="92"/>
  <c r="C877" i="92"/>
  <c r="C797" i="92"/>
  <c r="C701" i="92"/>
  <c r="C621" i="92"/>
  <c r="B918" i="92"/>
  <c r="C643" i="92"/>
  <c r="C545" i="92"/>
  <c r="C465" i="92"/>
  <c r="B821" i="92"/>
  <c r="B629" i="92"/>
  <c r="B537" i="92"/>
  <c r="B441" i="92"/>
  <c r="B1042" i="92"/>
  <c r="B972" i="92"/>
  <c r="C842" i="92"/>
  <c r="C969" i="92"/>
  <c r="C649" i="92"/>
  <c r="C445" i="92"/>
  <c r="B581" i="92"/>
  <c r="B421" i="92"/>
  <c r="C687" i="92"/>
  <c r="C572" i="92"/>
  <c r="C492" i="92"/>
  <c r="C412" i="92"/>
  <c r="C348" i="92"/>
  <c r="B913" i="92"/>
  <c r="B694" i="92"/>
  <c r="B593" i="92"/>
  <c r="B528" i="92"/>
  <c r="B464" i="92"/>
  <c r="B400" i="92"/>
  <c r="B336" i="92"/>
  <c r="B272" i="92"/>
  <c r="B894" i="92"/>
  <c r="B685" i="92"/>
  <c r="C587" i="92"/>
  <c r="C523" i="92"/>
  <c r="C459" i="92"/>
  <c r="C395" i="92"/>
  <c r="C331" i="92"/>
  <c r="B1050" i="92"/>
  <c r="B794" i="92"/>
  <c r="C644" i="92"/>
  <c r="C562" i="92"/>
  <c r="C498" i="92"/>
  <c r="C434" i="92"/>
  <c r="C370" i="92"/>
  <c r="C306" i="92"/>
  <c r="B957" i="92"/>
  <c r="B475" i="92"/>
  <c r="B317" i="92"/>
  <c r="C232" i="92"/>
  <c r="C168" i="92"/>
  <c r="C92" i="92"/>
  <c r="C24" i="92"/>
  <c r="B16" i="92"/>
  <c r="C1067" i="92"/>
  <c r="C938" i="92"/>
  <c r="C1081" i="92"/>
  <c r="C825" i="92"/>
  <c r="B1030" i="92"/>
  <c r="C493" i="92"/>
  <c r="B661" i="92"/>
  <c r="B509" i="92"/>
  <c r="C1003" i="92"/>
  <c r="C906" i="92"/>
  <c r="C1065" i="92"/>
  <c r="C809" i="92"/>
  <c r="B966" i="92"/>
  <c r="C477" i="92"/>
  <c r="C648" i="92"/>
  <c r="C916" i="92"/>
  <c r="B1032" i="92"/>
  <c r="B776" i="92"/>
  <c r="C935" i="92"/>
  <c r="B1039" i="92"/>
  <c r="B783" i="92"/>
  <c r="C1034" i="92"/>
  <c r="C912" i="92"/>
  <c r="B1028" i="92"/>
  <c r="B772" i="92"/>
  <c r="C931" i="92"/>
  <c r="B1035" i="92"/>
  <c r="B779" i="92"/>
  <c r="C1030" i="92"/>
  <c r="C1036" i="92"/>
  <c r="C780" i="92"/>
  <c r="B896" i="92"/>
  <c r="C1055" i="92"/>
  <c r="C799" i="92"/>
  <c r="B903" i="92"/>
  <c r="B647" i="92"/>
  <c r="C898" i="92"/>
  <c r="C840" i="92"/>
  <c r="B963" i="92"/>
  <c r="C746" i="92"/>
  <c r="C965" i="92"/>
  <c r="C709" i="92"/>
  <c r="B656" i="92"/>
  <c r="B853" i="92"/>
  <c r="B449" i="92"/>
  <c r="C760" i="92"/>
  <c r="C820" i="92"/>
  <c r="B936" i="92"/>
  <c r="C1095" i="92"/>
  <c r="C839" i="92"/>
  <c r="B943" i="92"/>
  <c r="B687" i="92"/>
  <c r="C1072" i="92"/>
  <c r="C816" i="92"/>
  <c r="B932" i="92"/>
  <c r="C1091" i="92"/>
  <c r="C835" i="92"/>
  <c r="B939" i="92"/>
  <c r="B683" i="92"/>
  <c r="C934" i="92"/>
  <c r="C940" i="92"/>
  <c r="B1056" i="92"/>
  <c r="B800" i="92"/>
  <c r="C959" i="92"/>
  <c r="B1063" i="92"/>
  <c r="B807" i="92"/>
  <c r="C1058" i="92"/>
  <c r="C802" i="92"/>
  <c r="B828" i="92"/>
  <c r="C1086" i="92"/>
  <c r="C642" i="92"/>
  <c r="C869" i="92"/>
  <c r="C613" i="92"/>
  <c r="C537" i="92"/>
  <c r="C616" i="92"/>
  <c r="B1010" i="92"/>
  <c r="B748" i="92"/>
  <c r="B691" i="92"/>
  <c r="C826" i="92"/>
  <c r="C670" i="92"/>
  <c r="C1025" i="92"/>
  <c r="C897" i="92"/>
  <c r="C769" i="92"/>
  <c r="C641" i="92"/>
  <c r="B806" i="92"/>
  <c r="B624" i="92"/>
  <c r="C533" i="92"/>
  <c r="B1093" i="92"/>
  <c r="C1000" i="92"/>
  <c r="B1052" i="92"/>
  <c r="C1083" i="92"/>
  <c r="C763" i="92"/>
  <c r="B803" i="92"/>
  <c r="C942" i="92"/>
  <c r="C798" i="92"/>
  <c r="C698" i="92"/>
  <c r="C1085" i="92"/>
  <c r="C1005" i="92"/>
  <c r="C925" i="92"/>
  <c r="C829" i="92"/>
  <c r="C749" i="92"/>
  <c r="C669" i="92"/>
  <c r="B1046" i="92"/>
  <c r="B730" i="92"/>
  <c r="C595" i="92"/>
  <c r="C497" i="92"/>
  <c r="B1013" i="92"/>
  <c r="C712" i="92"/>
  <c r="B569" i="92"/>
  <c r="B489" i="92"/>
  <c r="B409" i="92"/>
  <c r="B850" i="92"/>
  <c r="B979" i="92"/>
  <c r="C678" i="92"/>
  <c r="C777" i="92"/>
  <c r="B662" i="92"/>
  <c r="B741" i="92"/>
  <c r="B485" i="92"/>
  <c r="B898" i="92"/>
  <c r="C635" i="92"/>
  <c r="C524" i="92"/>
  <c r="C444" i="92"/>
  <c r="C380" i="92"/>
  <c r="B1041" i="92"/>
  <c r="B785" i="92"/>
  <c r="C640" i="92"/>
  <c r="B560" i="92"/>
  <c r="B496" i="92"/>
  <c r="B432" i="92"/>
  <c r="B368" i="92"/>
  <c r="B304" i="92"/>
  <c r="B1022" i="92"/>
  <c r="B766" i="92"/>
  <c r="B633" i="92"/>
  <c r="C555" i="92"/>
  <c r="C491" i="92"/>
  <c r="C427" i="92"/>
  <c r="C363" i="92"/>
  <c r="C299" i="92"/>
  <c r="B922" i="92"/>
  <c r="C699" i="92"/>
  <c r="C596" i="92"/>
  <c r="C530" i="92"/>
  <c r="C466" i="92"/>
  <c r="C402" i="92"/>
  <c r="C338" i="92"/>
  <c r="C274" i="92"/>
  <c r="B608" i="92"/>
  <c r="B378" i="92"/>
  <c r="C267" i="92"/>
  <c r="C200" i="92"/>
  <c r="C124" i="92"/>
  <c r="C60" i="92"/>
  <c r="B80" i="92"/>
  <c r="C792" i="92"/>
  <c r="B915" i="92"/>
  <c r="C730" i="92"/>
  <c r="C953" i="92"/>
  <c r="C697" i="92"/>
  <c r="C636" i="92"/>
  <c r="B837" i="92"/>
  <c r="B573" i="92"/>
  <c r="C728" i="92"/>
  <c r="B851" i="92"/>
  <c r="C710" i="92"/>
  <c r="C937" i="92"/>
  <c r="C681" i="92"/>
  <c r="C611" i="92"/>
  <c r="B805" i="92"/>
  <c r="B565" i="92"/>
  <c r="B437" i="92"/>
  <c r="B834" i="92"/>
  <c r="B648" i="92"/>
  <c r="C788" i="92"/>
  <c r="B904" i="92"/>
  <c r="C1063" i="92"/>
  <c r="C807" i="92"/>
  <c r="B911" i="92"/>
  <c r="B655" i="92"/>
  <c r="C1040" i="92"/>
  <c r="C784" i="92"/>
  <c r="B900" i="92"/>
  <c r="C1059" i="92"/>
  <c r="C803" i="92"/>
  <c r="B907" i="92"/>
  <c r="B651" i="92"/>
  <c r="C902" i="92"/>
  <c r="C908" i="92"/>
  <c r="B1024" i="92"/>
  <c r="B768" i="92"/>
  <c r="C927" i="92"/>
  <c r="B1031" i="92"/>
  <c r="B775" i="92"/>
  <c r="C1026" i="92"/>
  <c r="C770" i="92"/>
  <c r="B700" i="92"/>
  <c r="C958" i="92"/>
  <c r="C1093" i="92"/>
  <c r="C837" i="92"/>
  <c r="B1078" i="92"/>
  <c r="C505" i="92"/>
  <c r="B577" i="92"/>
  <c r="B882" i="92"/>
  <c r="C1035" i="92"/>
  <c r="B627" i="92"/>
  <c r="C806" i="92"/>
  <c r="C654" i="92"/>
  <c r="C1009" i="92"/>
  <c r="C881" i="92"/>
  <c r="C753" i="92"/>
  <c r="C625" i="92"/>
  <c r="B742" i="92"/>
  <c r="C600" i="92"/>
  <c r="C501" i="92"/>
  <c r="B1029" i="92"/>
  <c r="C936" i="92"/>
  <c r="B924" i="92"/>
  <c r="C1019" i="92"/>
  <c r="B1059" i="92"/>
  <c r="B675" i="92"/>
  <c r="C910" i="92"/>
  <c r="C778" i="92"/>
  <c r="C666" i="92"/>
  <c r="C1069" i="92"/>
  <c r="C989" i="92"/>
  <c r="C893" i="92"/>
  <c r="C813" i="92"/>
  <c r="C733" i="92"/>
  <c r="C637" i="92"/>
  <c r="B982" i="92"/>
  <c r="B697" i="92"/>
  <c r="C561" i="92"/>
  <c r="C481" i="92"/>
  <c r="B949" i="92"/>
  <c r="C655" i="92"/>
  <c r="B553" i="92"/>
  <c r="B473" i="92"/>
  <c r="B377" i="92"/>
  <c r="C856" i="92"/>
  <c r="B723" i="92"/>
  <c r="C1033" i="92"/>
  <c r="C713" i="92"/>
  <c r="C573" i="92"/>
  <c r="C623" i="92"/>
  <c r="B453" i="92"/>
  <c r="B786" i="92"/>
  <c r="C588" i="92"/>
  <c r="C508" i="92"/>
  <c r="C428" i="92"/>
  <c r="C364" i="92"/>
  <c r="B977" i="92"/>
  <c r="B726" i="92"/>
  <c r="C615" i="92"/>
  <c r="B544" i="92"/>
  <c r="B480" i="92"/>
  <c r="B416" i="92"/>
  <c r="B352" i="92"/>
  <c r="B288" i="92"/>
  <c r="B958" i="92"/>
  <c r="B717" i="92"/>
  <c r="C608" i="92"/>
  <c r="C539" i="92"/>
  <c r="C475" i="92"/>
  <c r="C411" i="92"/>
  <c r="C347" i="92"/>
  <c r="C283" i="92"/>
  <c r="B858" i="92"/>
  <c r="B670" i="92"/>
  <c r="C578" i="92"/>
  <c r="C514" i="92"/>
  <c r="C450" i="92"/>
  <c r="C386" i="92"/>
  <c r="C322" i="92"/>
  <c r="C258" i="92"/>
  <c r="B539" i="92"/>
  <c r="C345" i="92"/>
  <c r="C248" i="92"/>
  <c r="C184" i="92"/>
  <c r="C108" i="92"/>
  <c r="C44" i="92"/>
  <c r="B52" i="92"/>
  <c r="B908" i="92"/>
  <c r="B659" i="92"/>
  <c r="B883" i="92"/>
  <c r="C945" i="92"/>
  <c r="B649" i="92"/>
  <c r="C744" i="92"/>
  <c r="C1054" i="92"/>
  <c r="C1021" i="92"/>
  <c r="C685" i="92"/>
  <c r="C529" i="92"/>
  <c r="B505" i="92"/>
  <c r="C750" i="92"/>
  <c r="B549" i="92"/>
  <c r="C460" i="92"/>
  <c r="B666" i="92"/>
  <c r="B384" i="92"/>
  <c r="C659" i="92"/>
  <c r="C379" i="92"/>
  <c r="C619" i="92"/>
  <c r="C354" i="92"/>
  <c r="B291" i="92"/>
  <c r="C8" i="92"/>
  <c r="C662" i="92"/>
  <c r="C633" i="92"/>
  <c r="C720" i="92"/>
  <c r="B844" i="92"/>
  <c r="C646" i="92"/>
  <c r="C617" i="92"/>
  <c r="C704" i="92"/>
  <c r="B469" i="92"/>
  <c r="B738" i="92"/>
  <c r="C599" i="92"/>
  <c r="C532" i="92"/>
  <c r="C468" i="92"/>
  <c r="C404" i="92"/>
  <c r="C340" i="92"/>
  <c r="B881" i="92"/>
  <c r="C679" i="92"/>
  <c r="B584" i="92"/>
  <c r="B520" i="92"/>
  <c r="B456" i="92"/>
  <c r="B392" i="92"/>
  <c r="B328" i="92"/>
  <c r="B264" i="92"/>
  <c r="B862" i="92"/>
  <c r="B672" i="92"/>
  <c r="C579" i="92"/>
  <c r="C515" i="92"/>
  <c r="C451" i="92"/>
  <c r="C387" i="92"/>
  <c r="C323" i="92"/>
  <c r="B1018" i="92"/>
  <c r="B780" i="92"/>
  <c r="C601" i="92"/>
  <c r="B445" i="92"/>
  <c r="B654" i="92"/>
  <c r="C504" i="92"/>
  <c r="C376" i="92"/>
  <c r="B769" i="92"/>
  <c r="B556" i="92"/>
  <c r="B428" i="92"/>
  <c r="B300" i="92"/>
  <c r="B750" i="92"/>
  <c r="C551" i="92"/>
  <c r="C423" i="92"/>
  <c r="C295" i="92"/>
  <c r="C715" i="92"/>
  <c r="C582" i="92"/>
  <c r="C494" i="92"/>
  <c r="C410" i="92"/>
  <c r="C326" i="92"/>
  <c r="B893" i="92"/>
  <c r="B399" i="92"/>
  <c r="C252" i="92"/>
  <c r="C164" i="92"/>
  <c r="C68" i="92"/>
  <c r="B60" i="92"/>
  <c r="B1081" i="92"/>
  <c r="B506" i="92"/>
  <c r="B329" i="92"/>
  <c r="B240" i="92"/>
  <c r="B176" i="92"/>
  <c r="B100" i="92"/>
  <c r="B1005" i="92"/>
  <c r="C1049" i="92"/>
  <c r="B636" i="92"/>
  <c r="B802" i="92"/>
  <c r="C560" i="92"/>
  <c r="C432" i="92"/>
  <c r="B993" i="92"/>
  <c r="B621" i="92"/>
  <c r="B484" i="92"/>
  <c r="B356" i="92"/>
  <c r="B974" i="92"/>
  <c r="B614" i="92"/>
  <c r="C479" i="92"/>
  <c r="C351" i="92"/>
  <c r="B874" i="92"/>
  <c r="B632" i="92"/>
  <c r="C534" i="92"/>
  <c r="C446" i="92"/>
  <c r="C362" i="92"/>
  <c r="C278" i="92"/>
  <c r="B523" i="92"/>
  <c r="C304" i="92"/>
  <c r="C204" i="92"/>
  <c r="C104" i="92"/>
  <c r="C16" i="92"/>
  <c r="B618" i="92"/>
  <c r="C631" i="92"/>
  <c r="B387" i="92"/>
  <c r="C272" i="92"/>
  <c r="B204" i="92"/>
  <c r="B128" i="92"/>
  <c r="B20" i="92"/>
  <c r="C602" i="92"/>
  <c r="C985" i="92"/>
  <c r="B589" i="92"/>
  <c r="B770" i="92"/>
  <c r="C552" i="92"/>
  <c r="C424" i="92"/>
  <c r="B961" i="92"/>
  <c r="B609" i="92"/>
  <c r="B476" i="92"/>
  <c r="B348" i="92"/>
  <c r="B942" i="92"/>
  <c r="C603" i="92"/>
  <c r="C471" i="92"/>
  <c r="C343" i="92"/>
  <c r="C922" i="92"/>
  <c r="C817" i="92"/>
  <c r="C549" i="92"/>
  <c r="B796" i="92"/>
  <c r="C822" i="92"/>
  <c r="C941" i="92"/>
  <c r="C605" i="92"/>
  <c r="B1077" i="92"/>
  <c r="B425" i="92"/>
  <c r="C905" i="92"/>
  <c r="B1026" i="92"/>
  <c r="C396" i="92"/>
  <c r="B576" i="92"/>
  <c r="B320" i="92"/>
  <c r="C571" i="92"/>
  <c r="C315" i="92"/>
  <c r="C546" i="92"/>
  <c r="C718" i="92"/>
  <c r="C689" i="92"/>
  <c r="C469" i="92"/>
  <c r="C827" i="92"/>
  <c r="C714" i="92"/>
  <c r="C861" i="92"/>
  <c r="B790" i="92"/>
  <c r="B757" i="92"/>
  <c r="B978" i="92"/>
  <c r="B838" i="92"/>
  <c r="C660" i="92"/>
  <c r="C332" i="92"/>
  <c r="B512" i="92"/>
  <c r="B1086" i="92"/>
  <c r="C507" i="92"/>
  <c r="B986" i="92"/>
  <c r="C482" i="92"/>
  <c r="C716" i="92"/>
  <c r="C140" i="92"/>
  <c r="C811" i="92"/>
  <c r="C889" i="92"/>
  <c r="C557" i="92"/>
  <c r="B541" i="92"/>
  <c r="B595" i="92"/>
  <c r="C873" i="92"/>
  <c r="C541" i="92"/>
  <c r="B533" i="92"/>
  <c r="B1090" i="92"/>
  <c r="B673" i="92"/>
  <c r="C564" i="92"/>
  <c r="C500" i="92"/>
  <c r="C436" i="92"/>
  <c r="C372" i="92"/>
  <c r="B1009" i="92"/>
  <c r="B753" i="92"/>
  <c r="B628" i="92"/>
  <c r="B552" i="92"/>
  <c r="B488" i="92"/>
  <c r="B424" i="92"/>
  <c r="B360" i="92"/>
  <c r="B296" i="92"/>
  <c r="B990" i="92"/>
  <c r="C735" i="92"/>
  <c r="C620" i="92"/>
  <c r="C547" i="92"/>
  <c r="C483" i="92"/>
  <c r="C419" i="92"/>
  <c r="C355" i="92"/>
  <c r="C291" i="92"/>
  <c r="B890" i="92"/>
  <c r="C630" i="92"/>
  <c r="C688" i="92"/>
  <c r="B866" i="92"/>
  <c r="C568" i="92"/>
  <c r="C440" i="92"/>
  <c r="B1025" i="92"/>
  <c r="B634" i="92"/>
  <c r="B492" i="92"/>
  <c r="B364" i="92"/>
  <c r="B1006" i="92"/>
  <c r="C627" i="92"/>
  <c r="C487" i="92"/>
  <c r="C359" i="92"/>
  <c r="B906" i="92"/>
  <c r="B638" i="92"/>
  <c r="C538" i="92"/>
  <c r="C454" i="92"/>
  <c r="C366" i="92"/>
  <c r="C282" i="92"/>
  <c r="B555" i="92"/>
  <c r="B310" i="92"/>
  <c r="C208" i="92"/>
  <c r="C112" i="92"/>
  <c r="C20" i="92"/>
  <c r="B669" i="92"/>
  <c r="C656" i="92"/>
  <c r="B398" i="92"/>
  <c r="C277" i="92"/>
  <c r="B208" i="92"/>
  <c r="B132" i="92"/>
  <c r="B32" i="92"/>
  <c r="C939" i="92"/>
  <c r="B902" i="92"/>
  <c r="B429" i="92"/>
  <c r="B641" i="92"/>
  <c r="C496" i="92"/>
  <c r="C368" i="92"/>
  <c r="B737" i="92"/>
  <c r="B548" i="92"/>
  <c r="B420" i="92"/>
  <c r="B292" i="92"/>
  <c r="B725" i="92"/>
  <c r="C543" i="92"/>
  <c r="C415" i="92"/>
  <c r="C287" i="92"/>
  <c r="C707" i="92"/>
  <c r="C574" i="92"/>
  <c r="C490" i="92"/>
  <c r="C406" i="92"/>
  <c r="C318" i="92"/>
  <c r="B829" i="92"/>
  <c r="C389" i="92"/>
  <c r="C244" i="92"/>
  <c r="C148" i="92"/>
  <c r="C64" i="92"/>
  <c r="B44" i="92"/>
  <c r="B1017" i="92"/>
  <c r="B490" i="92"/>
  <c r="B322" i="92"/>
  <c r="B236" i="92"/>
  <c r="B172" i="92"/>
  <c r="B96" i="92"/>
  <c r="B941" i="92"/>
  <c r="B1043" i="92"/>
  <c r="B689" i="92"/>
  <c r="B413" i="92"/>
  <c r="C628" i="92"/>
  <c r="C488" i="92"/>
  <c r="C360" i="92"/>
  <c r="B718" i="92"/>
  <c r="B540" i="92"/>
  <c r="B412" i="92"/>
  <c r="B284" i="92"/>
  <c r="B709" i="92"/>
  <c r="C535" i="92"/>
  <c r="C407" i="92"/>
  <c r="C279" i="92"/>
  <c r="C1073" i="92"/>
  <c r="B998" i="92"/>
  <c r="C1064" i="92"/>
  <c r="B867" i="92"/>
  <c r="C634" i="92"/>
  <c r="C765" i="92"/>
  <c r="B617" i="92"/>
  <c r="B605" i="92"/>
  <c r="C875" i="92"/>
  <c r="B869" i="92"/>
  <c r="C556" i="92"/>
  <c r="B849" i="92"/>
  <c r="B448" i="92"/>
  <c r="B830" i="92"/>
  <c r="C443" i="92"/>
  <c r="B733" i="92"/>
  <c r="C418" i="92"/>
  <c r="C421" i="92"/>
  <c r="C76" i="92"/>
  <c r="C814" i="92"/>
  <c r="C761" i="92"/>
  <c r="B1061" i="92"/>
  <c r="C984" i="92"/>
  <c r="C794" i="92"/>
  <c r="C745" i="92"/>
  <c r="B997" i="92"/>
  <c r="B501" i="92"/>
  <c r="B962" i="92"/>
  <c r="B622" i="92"/>
  <c r="C548" i="92"/>
  <c r="C484" i="92"/>
  <c r="C420" i="92"/>
  <c r="C356" i="92"/>
  <c r="B945" i="92"/>
  <c r="B710" i="92"/>
  <c r="B604" i="92"/>
  <c r="B536" i="92"/>
  <c r="B472" i="92"/>
  <c r="B408" i="92"/>
  <c r="B344" i="92"/>
  <c r="B280" i="92"/>
  <c r="B926" i="92"/>
  <c r="B701" i="92"/>
  <c r="B598" i="92"/>
  <c r="C531" i="92"/>
  <c r="C467" i="92"/>
  <c r="C403" i="92"/>
  <c r="C339" i="92"/>
  <c r="B1082" i="92"/>
  <c r="B826" i="92"/>
  <c r="C857" i="92"/>
  <c r="B525" i="92"/>
  <c r="C711" i="92"/>
  <c r="C536" i="92"/>
  <c r="C408" i="92"/>
  <c r="B897" i="92"/>
  <c r="B588" i="92"/>
  <c r="B460" i="92"/>
  <c r="B332" i="92"/>
  <c r="B878" i="92"/>
  <c r="C583" i="92"/>
  <c r="C455" i="92"/>
  <c r="C327" i="92"/>
  <c r="B778" i="92"/>
  <c r="C607" i="92"/>
  <c r="C518" i="92"/>
  <c r="C430" i="92"/>
  <c r="C346" i="92"/>
  <c r="C262" i="92"/>
  <c r="B459" i="92"/>
  <c r="B278" i="92"/>
  <c r="C188" i="92"/>
  <c r="C88" i="92"/>
  <c r="B92" i="92"/>
  <c r="B450" i="92"/>
  <c r="B570" i="92"/>
  <c r="B361" i="92"/>
  <c r="C256" i="92"/>
  <c r="B192" i="92"/>
  <c r="B116" i="92"/>
  <c r="B530" i="92"/>
  <c r="C874" i="92"/>
  <c r="C461" i="92"/>
  <c r="B1058" i="92"/>
  <c r="B594" i="92"/>
  <c r="C464" i="92"/>
  <c r="C336" i="92"/>
  <c r="C672" i="92"/>
  <c r="B516" i="92"/>
  <c r="B388" i="92"/>
  <c r="B260" i="92"/>
  <c r="B665" i="92"/>
  <c r="C511" i="92"/>
  <c r="C383" i="92"/>
  <c r="B1002" i="92"/>
  <c r="B664" i="92"/>
  <c r="C554" i="92"/>
  <c r="C290" i="92"/>
  <c r="B774" i="92"/>
  <c r="B721" i="92"/>
  <c r="C580" i="92"/>
  <c r="B1073" i="92"/>
  <c r="B504" i="92"/>
  <c r="B1054" i="92"/>
  <c r="C499" i="92"/>
  <c r="B954" i="92"/>
  <c r="C604" i="92"/>
  <c r="B524" i="92"/>
  <c r="C519" i="92"/>
  <c r="C558" i="92"/>
  <c r="B658" i="92"/>
  <c r="C48" i="92"/>
  <c r="B303" i="92"/>
  <c r="B749" i="92"/>
  <c r="C528" i="92"/>
  <c r="B452" i="92"/>
  <c r="C447" i="92"/>
  <c r="C510" i="92"/>
  <c r="C342" i="92"/>
  <c r="B443" i="92"/>
  <c r="C180" i="92"/>
  <c r="B84" i="92"/>
  <c r="B554" i="92"/>
  <c r="B252" i="92"/>
  <c r="B112" i="92"/>
  <c r="C920" i="92"/>
  <c r="B477" i="92"/>
  <c r="C520" i="92"/>
  <c r="B833" i="92"/>
  <c r="B444" i="92"/>
  <c r="B814" i="92"/>
  <c r="C439" i="92"/>
  <c r="B842" i="92"/>
  <c r="B625" i="92"/>
  <c r="C526" i="92"/>
  <c r="C442" i="92"/>
  <c r="C358" i="92"/>
  <c r="C270" i="92"/>
  <c r="B507" i="92"/>
  <c r="C297" i="92"/>
  <c r="C196" i="92"/>
  <c r="C100" i="92"/>
  <c r="C12" i="92"/>
  <c r="B562" i="92"/>
  <c r="C606" i="92"/>
  <c r="C377" i="92"/>
  <c r="B267" i="92"/>
  <c r="C921" i="92"/>
  <c r="B557" i="92"/>
  <c r="C727" i="92"/>
  <c r="C544" i="92"/>
  <c r="C416" i="92"/>
  <c r="B929" i="92"/>
  <c r="B308" i="92"/>
  <c r="C303" i="92"/>
  <c r="C414" i="92"/>
  <c r="B257" i="92"/>
  <c r="B349" i="92"/>
  <c r="B216" i="92"/>
  <c r="B48" i="92"/>
  <c r="B503" i="92"/>
  <c r="C328" i="92"/>
  <c r="C235" i="92"/>
  <c r="C171" i="92"/>
  <c r="C99" i="92"/>
  <c r="C27" i="92"/>
  <c r="B745" i="92"/>
  <c r="B427" i="92"/>
  <c r="B295" i="92"/>
  <c r="B215" i="92"/>
  <c r="B143" i="92"/>
  <c r="B79" i="92"/>
  <c r="C106" i="92"/>
  <c r="B578" i="92"/>
  <c r="B620" i="92"/>
  <c r="B383" i="92"/>
  <c r="B276" i="92"/>
  <c r="B1066" i="92"/>
  <c r="C394" i="92"/>
  <c r="C236" i="92"/>
  <c r="B889" i="92"/>
  <c r="B212" i="92"/>
  <c r="B36" i="92"/>
  <c r="B487" i="92"/>
  <c r="C321" i="92"/>
  <c r="C231" i="92"/>
  <c r="C167" i="92"/>
  <c r="C95" i="92"/>
  <c r="C23" i="92"/>
  <c r="B706" i="92"/>
  <c r="C417" i="92"/>
  <c r="B289" i="92"/>
  <c r="B211" i="92"/>
  <c r="B139" i="92"/>
  <c r="B75" i="92"/>
  <c r="C94" i="92"/>
  <c r="B546" i="92"/>
  <c r="B597" i="92"/>
  <c r="C373" i="92"/>
  <c r="B265" i="92"/>
  <c r="C198" i="92"/>
  <c r="C126" i="92"/>
  <c r="B857" i="92"/>
  <c r="B592" i="92"/>
  <c r="B371" i="92"/>
  <c r="C263" i="92"/>
  <c r="C197" i="92"/>
  <c r="C125" i="92"/>
  <c r="C61" i="92"/>
  <c r="B275" i="92"/>
  <c r="B141" i="92"/>
  <c r="C324" i="92"/>
  <c r="B18" i="92"/>
  <c r="B90" i="92"/>
  <c r="C317" i="92"/>
  <c r="B422" i="92"/>
  <c r="B287" i="92"/>
  <c r="B25" i="92"/>
  <c r="B166" i="92"/>
  <c r="B279" i="92"/>
  <c r="B283" i="92"/>
  <c r="C71" i="92"/>
  <c r="B358" i="92"/>
  <c r="B131" i="92"/>
  <c r="B644" i="92"/>
  <c r="B301" i="92"/>
  <c r="C118" i="92"/>
  <c r="B434" i="92"/>
  <c r="C173" i="92"/>
  <c r="B1033" i="92"/>
  <c r="B209" i="92"/>
  <c r="B446" i="92"/>
  <c r="B54" i="92"/>
  <c r="B181" i="92"/>
  <c r="C170" i="92"/>
  <c r="B543" i="92"/>
  <c r="C185" i="92"/>
  <c r="C300" i="92"/>
  <c r="B45" i="92"/>
  <c r="C647" i="92"/>
  <c r="B640" i="92"/>
  <c r="C651" i="92"/>
  <c r="C286" i="92"/>
  <c r="C116" i="92"/>
  <c r="C409" i="92"/>
  <c r="B168" i="92"/>
  <c r="B877" i="92"/>
  <c r="B418" i="92"/>
  <c r="C289" i="92"/>
  <c r="C211" i="92"/>
  <c r="C139" i="92"/>
  <c r="C75" i="92"/>
  <c r="C3" i="92"/>
  <c r="B582" i="92"/>
  <c r="B366" i="92"/>
  <c r="C255" i="92"/>
  <c r="B191" i="92"/>
  <c r="B119" i="92"/>
  <c r="B55" i="92"/>
  <c r="C58" i="92"/>
  <c r="B341" i="92"/>
  <c r="B515" i="92"/>
  <c r="C333" i="92"/>
  <c r="C242" i="92"/>
  <c r="C178" i="92"/>
  <c r="C102" i="92"/>
  <c r="B333" i="92"/>
  <c r="B511" i="92"/>
  <c r="B331" i="92"/>
  <c r="C241" i="92"/>
  <c r="C177" i="92"/>
  <c r="C105" i="92"/>
  <c r="C37" i="92"/>
  <c r="B194" i="92"/>
  <c r="B30" i="92"/>
  <c r="B225" i="92"/>
  <c r="B319" i="92"/>
  <c r="B5" i="92"/>
  <c r="B205" i="92"/>
  <c r="B133" i="92"/>
  <c r="B202" i="92"/>
  <c r="B526" i="92"/>
  <c r="B82" i="92"/>
  <c r="B197" i="92"/>
  <c r="C191" i="92"/>
  <c r="B809" i="92"/>
  <c r="B251" i="92"/>
  <c r="B51" i="92"/>
  <c r="B563" i="92"/>
  <c r="C190" i="92"/>
  <c r="B781" i="92"/>
  <c r="C237" i="92"/>
  <c r="C33" i="92"/>
  <c r="B478" i="92"/>
  <c r="B542" i="92"/>
  <c r="B354" i="92"/>
  <c r="B66" i="92"/>
  <c r="C218" i="92"/>
  <c r="B973" i="92"/>
  <c r="C201" i="92"/>
  <c r="B226" i="92"/>
  <c r="B193" i="92"/>
  <c r="C598" i="92"/>
  <c r="C592" i="92"/>
  <c r="C612" i="92"/>
  <c r="C266" i="92"/>
  <c r="C96" i="92"/>
  <c r="B369" i="92"/>
  <c r="B164" i="92"/>
  <c r="B813" i="92"/>
  <c r="B335" i="92"/>
  <c r="C103" i="92"/>
  <c r="B395" i="92"/>
  <c r="B115" i="92"/>
  <c r="B645" i="92"/>
  <c r="C150" i="92"/>
  <c r="B274" i="92"/>
  <c r="B242" i="92"/>
  <c r="B113" i="92"/>
  <c r="C264" i="92"/>
  <c r="C186" i="92"/>
  <c r="B479" i="92"/>
  <c r="C169" i="92"/>
  <c r="B6" i="92"/>
  <c r="B249" i="92"/>
  <c r="B170" i="92"/>
  <c r="B234" i="92"/>
  <c r="B102" i="92"/>
  <c r="B49" i="92"/>
  <c r="B182" i="92"/>
  <c r="B1021" i="92"/>
  <c r="B140" i="92"/>
  <c r="C397" i="92"/>
  <c r="C203" i="92"/>
  <c r="C67" i="92"/>
  <c r="B550" i="92"/>
  <c r="B247" i="92"/>
  <c r="B111" i="92"/>
  <c r="C34" i="92"/>
  <c r="B483" i="92"/>
  <c r="C566" i="92"/>
  <c r="C52" i="92"/>
  <c r="C309" i="92"/>
  <c r="B652" i="92"/>
  <c r="B266" i="92"/>
  <c r="C127" i="92"/>
  <c r="B793" i="92"/>
  <c r="B342" i="92"/>
  <c r="B243" i="92"/>
  <c r="B107" i="92"/>
  <c r="C30" i="92"/>
  <c r="B467" i="92"/>
  <c r="C216" i="92"/>
  <c r="C610" i="92"/>
  <c r="B600" i="92"/>
  <c r="C516" i="92"/>
  <c r="B817" i="92"/>
  <c r="B440" i="92"/>
  <c r="B798" i="92"/>
  <c r="C435" i="92"/>
  <c r="C1038" i="92"/>
  <c r="C472" i="92"/>
  <c r="B396" i="92"/>
  <c r="C391" i="92"/>
  <c r="C474" i="92"/>
  <c r="C353" i="92"/>
  <c r="B8" i="92"/>
  <c r="B224" i="92"/>
  <c r="C793" i="92"/>
  <c r="C400" i="92"/>
  <c r="B324" i="92"/>
  <c r="C319" i="92"/>
  <c r="C470" i="92"/>
  <c r="C298" i="92"/>
  <c r="C337" i="92"/>
  <c r="C128" i="92"/>
  <c r="B4" i="92"/>
  <c r="B430" i="92"/>
  <c r="B220" i="92"/>
  <c r="B56" i="92"/>
  <c r="C774" i="92"/>
  <c r="B994" i="92"/>
  <c r="C456" i="92"/>
  <c r="B660" i="92"/>
  <c r="B380" i="92"/>
  <c r="C652" i="92"/>
  <c r="C375" i="92"/>
  <c r="B746" i="92"/>
  <c r="C591" i="92"/>
  <c r="C506" i="92"/>
  <c r="C422" i="92"/>
  <c r="C334" i="92"/>
  <c r="B1085" i="92"/>
  <c r="B431" i="92"/>
  <c r="B262" i="92"/>
  <c r="C176" i="92"/>
  <c r="C80" i="92"/>
  <c r="B72" i="92"/>
  <c r="B373" i="92"/>
  <c r="B538" i="92"/>
  <c r="B345" i="92"/>
  <c r="B1036" i="92"/>
  <c r="C665" i="92"/>
  <c r="B461" i="92"/>
  <c r="C667" i="92"/>
  <c r="C512" i="92"/>
  <c r="C384" i="92"/>
  <c r="B801" i="92"/>
  <c r="B782" i="92"/>
  <c r="C723" i="92"/>
  <c r="C330" i="92"/>
  <c r="C172" i="92"/>
  <c r="B522" i="92"/>
  <c r="B184" i="92"/>
  <c r="B357" i="92"/>
  <c r="B439" i="92"/>
  <c r="B302" i="92"/>
  <c r="C219" i="92"/>
  <c r="C147" i="92"/>
  <c r="C83" i="92"/>
  <c r="C11" i="92"/>
  <c r="C624" i="92"/>
  <c r="C385" i="92"/>
  <c r="C265" i="92"/>
  <c r="B199" i="92"/>
  <c r="B127" i="92"/>
  <c r="B63" i="92"/>
  <c r="C74" i="92"/>
  <c r="B403" i="92"/>
  <c r="B547" i="92"/>
  <c r="B702" i="92"/>
  <c r="B693" i="92"/>
  <c r="C683" i="92"/>
  <c r="C310" i="92"/>
  <c r="C136" i="92"/>
  <c r="B458" i="92"/>
  <c r="B180" i="92"/>
  <c r="B1069" i="92"/>
  <c r="C429" i="92"/>
  <c r="C296" i="92"/>
  <c r="C215" i="92"/>
  <c r="C143" i="92"/>
  <c r="C79" i="92"/>
  <c r="C7" i="92"/>
  <c r="B601" i="92"/>
  <c r="B374" i="92"/>
  <c r="C260" i="92"/>
  <c r="B195" i="92"/>
  <c r="B123" i="92"/>
  <c r="B59" i="92"/>
  <c r="C62" i="92"/>
  <c r="B365" i="92"/>
  <c r="B531" i="92"/>
  <c r="C341" i="92"/>
  <c r="C246" i="92"/>
  <c r="C182" i="92"/>
  <c r="C110" i="92"/>
  <c r="B382" i="92"/>
  <c r="B527" i="92"/>
  <c r="B339" i="92"/>
  <c r="C245" i="92"/>
  <c r="C181" i="92"/>
  <c r="C109" i="92"/>
  <c r="C45" i="92"/>
  <c r="B210" i="92"/>
  <c r="B61" i="92"/>
  <c r="B241" i="92"/>
  <c r="B370" i="92"/>
  <c r="B14" i="92"/>
  <c r="B221" i="92"/>
  <c r="B185" i="92"/>
  <c r="B218" i="92"/>
  <c r="B690" i="92"/>
  <c r="B98" i="92"/>
  <c r="B213" i="92"/>
  <c r="C239" i="92"/>
  <c r="C35" i="92"/>
  <c r="C301" i="92"/>
  <c r="B99" i="92"/>
  <c r="B797" i="92"/>
  <c r="B255" i="92"/>
  <c r="C10" i="92"/>
  <c r="B325" i="92"/>
  <c r="C133" i="92"/>
  <c r="B178" i="92"/>
  <c r="B149" i="92"/>
  <c r="B26" i="92"/>
  <c r="B411" i="92"/>
  <c r="B294" i="92"/>
  <c r="C114" i="92"/>
  <c r="C381" i="92"/>
  <c r="C129" i="92"/>
  <c r="B94" i="92"/>
  <c r="B254" i="92"/>
  <c r="B500" i="92"/>
  <c r="C495" i="92"/>
  <c r="C542" i="92"/>
  <c r="B571" i="92"/>
  <c r="C28" i="92"/>
  <c r="C284" i="92"/>
  <c r="B124" i="92"/>
  <c r="B626" i="92"/>
  <c r="B375" i="92"/>
  <c r="B261" i="92"/>
  <c r="C195" i="92"/>
  <c r="C123" i="92"/>
  <c r="C59" i="92"/>
  <c r="C393" i="92"/>
  <c r="B518" i="92"/>
  <c r="B334" i="92"/>
  <c r="B239" i="92"/>
  <c r="B175" i="92"/>
  <c r="B103" i="92"/>
  <c r="B27" i="92"/>
  <c r="C26" i="92"/>
  <c r="B861" i="92"/>
  <c r="B451" i="92"/>
  <c r="B307" i="92"/>
  <c r="C226" i="92"/>
  <c r="C162" i="92"/>
  <c r="C70" i="92"/>
  <c r="B845" i="92"/>
  <c r="B447" i="92"/>
  <c r="C305" i="92"/>
  <c r="C225" i="92"/>
  <c r="C161" i="92"/>
  <c r="C89" i="92"/>
  <c r="C21" i="92"/>
  <c r="B126" i="92"/>
  <c r="B169" i="92"/>
  <c r="B161" i="92"/>
  <c r="B222" i="92"/>
  <c r="B22" i="92"/>
  <c r="B121" i="92"/>
  <c r="B129" i="92"/>
  <c r="B134" i="92"/>
  <c r="B281" i="92"/>
  <c r="B21" i="92"/>
  <c r="B519" i="92"/>
  <c r="C135" i="92"/>
  <c r="B566" i="92"/>
  <c r="B203" i="92"/>
  <c r="B7" i="92"/>
  <c r="C357" i="92"/>
  <c r="C134" i="92"/>
  <c r="B495" i="92"/>
  <c r="C189" i="92"/>
  <c r="C325" i="92"/>
  <c r="B93" i="92"/>
  <c r="B253" i="92"/>
  <c r="B186" i="92"/>
  <c r="B245" i="92"/>
  <c r="C146" i="92"/>
  <c r="B423" i="92"/>
  <c r="C145" i="92"/>
  <c r="B162" i="92"/>
  <c r="B462" i="92"/>
  <c r="B468" i="92"/>
  <c r="C463" i="92"/>
  <c r="C522" i="92"/>
  <c r="B491" i="92"/>
  <c r="C4" i="92"/>
  <c r="C261" i="92"/>
  <c r="B120" i="92"/>
  <c r="B583" i="92"/>
  <c r="B256" i="92"/>
  <c r="C55" i="92"/>
  <c r="C276" i="92"/>
  <c r="B67" i="92"/>
  <c r="C437" i="92"/>
  <c r="C66" i="92"/>
  <c r="C205" i="92"/>
  <c r="C5" i="92"/>
  <c r="B105" i="92"/>
  <c r="C9" i="92"/>
  <c r="C130" i="92"/>
  <c r="B347" i="92"/>
  <c r="C113" i="92"/>
  <c r="B34" i="92"/>
  <c r="B237" i="92"/>
  <c r="B338" i="92"/>
  <c r="B229" i="92"/>
  <c r="B246" i="92"/>
  <c r="B722" i="92"/>
  <c r="B217" i="92"/>
  <c r="C72" i="92"/>
  <c r="B337" i="92"/>
  <c r="B677" i="92"/>
  <c r="B277" i="92"/>
  <c r="C131" i="92"/>
  <c r="B3" i="92"/>
  <c r="B350" i="92"/>
  <c r="B183" i="92"/>
  <c r="B47" i="92"/>
  <c r="B989" i="92"/>
  <c r="B532" i="92"/>
  <c r="C527" i="92"/>
  <c r="C684" i="92"/>
  <c r="B136" i="92"/>
  <c r="B386" i="92"/>
  <c r="C199" i="92"/>
  <c r="C63" i="92"/>
  <c r="B534" i="92"/>
  <c r="B179" i="92"/>
  <c r="B43" i="92"/>
  <c r="B925" i="92"/>
  <c r="C313" i="92"/>
  <c r="C1048" i="92"/>
  <c r="C747" i="92"/>
  <c r="B405" i="92"/>
  <c r="C452" i="92"/>
  <c r="B653" i="92"/>
  <c r="B376" i="92"/>
  <c r="B646" i="92"/>
  <c r="C371" i="92"/>
  <c r="C525" i="92"/>
  <c r="C344" i="92"/>
  <c r="B268" i="92"/>
  <c r="B1034" i="92"/>
  <c r="C390" i="92"/>
  <c r="C228" i="92"/>
  <c r="B825" i="92"/>
  <c r="B148" i="92"/>
  <c r="B493" i="92"/>
  <c r="B865" i="92"/>
  <c r="B846" i="92"/>
  <c r="B762" i="92"/>
  <c r="C426" i="92"/>
  <c r="C254" i="92"/>
  <c r="B273" i="92"/>
  <c r="C84" i="92"/>
  <c r="B414" i="92"/>
  <c r="B353" i="92"/>
  <c r="B188" i="92"/>
  <c r="C425" i="92"/>
  <c r="C729" i="92"/>
  <c r="B680" i="92"/>
  <c r="C392" i="92"/>
  <c r="B572" i="92"/>
  <c r="B316" i="92"/>
  <c r="C567" i="92"/>
  <c r="C311" i="92"/>
  <c r="C691" i="92"/>
  <c r="C570" i="92"/>
  <c r="C486" i="92"/>
  <c r="C398" i="92"/>
  <c r="C314" i="92"/>
  <c r="B765" i="92"/>
  <c r="C369" i="92"/>
  <c r="C240" i="92"/>
  <c r="C144" i="92"/>
  <c r="C56" i="92"/>
  <c r="B28" i="92"/>
  <c r="B953" i="92"/>
  <c r="B474" i="92"/>
  <c r="C316" i="92"/>
  <c r="B787" i="92"/>
  <c r="B590" i="92"/>
  <c r="B397" i="92"/>
  <c r="B616" i="92"/>
  <c r="C480" i="92"/>
  <c r="C352" i="92"/>
  <c r="B564" i="92"/>
  <c r="C559" i="92"/>
  <c r="C586" i="92"/>
  <c r="C1017" i="92"/>
  <c r="C1001" i="92"/>
  <c r="C703" i="92"/>
  <c r="C388" i="92"/>
  <c r="B568" i="92"/>
  <c r="B312" i="92"/>
  <c r="C563" i="92"/>
  <c r="C307" i="92"/>
  <c r="B381" i="92"/>
  <c r="B686" i="92"/>
  <c r="B678" i="92"/>
  <c r="C676" i="92"/>
  <c r="C302" i="92"/>
  <c r="C132" i="92"/>
  <c r="B442" i="92"/>
  <c r="B64" i="92"/>
  <c r="C695" i="92"/>
  <c r="B580" i="92"/>
  <c r="C575" i="92"/>
  <c r="B602" i="92"/>
  <c r="C382" i="92"/>
  <c r="C632" i="92"/>
  <c r="C224" i="92"/>
  <c r="C36" i="92"/>
  <c r="B761" i="92"/>
  <c r="B297" i="92"/>
  <c r="B144" i="92"/>
  <c r="C708" i="92"/>
  <c r="B933" i="92"/>
  <c r="C584" i="92"/>
  <c r="B1089" i="92"/>
  <c r="B508" i="92"/>
  <c r="B1070" i="92"/>
  <c r="C503" i="92"/>
  <c r="B970" i="92"/>
  <c r="B657" i="92"/>
  <c r="C550" i="92"/>
  <c r="C462" i="92"/>
  <c r="C378" i="92"/>
  <c r="C294" i="92"/>
  <c r="B587" i="92"/>
  <c r="C329" i="92"/>
  <c r="C220" i="92"/>
  <c r="C120" i="92"/>
  <c r="C32" i="92"/>
  <c r="B921" i="92"/>
  <c r="B714" i="92"/>
  <c r="B419" i="92"/>
  <c r="B290" i="92"/>
  <c r="C694" i="92"/>
  <c r="B773" i="92"/>
  <c r="B930" i="92"/>
  <c r="C576" i="92"/>
  <c r="C448" i="92"/>
  <c r="B1057" i="92"/>
  <c r="B436" i="92"/>
  <c r="C431" i="92"/>
  <c r="C502" i="92"/>
  <c r="B410" i="92"/>
  <c r="B68" i="92"/>
  <c r="B248" i="92"/>
  <c r="B108" i="92"/>
  <c r="B567" i="92"/>
  <c r="B359" i="92"/>
  <c r="C251" i="92"/>
  <c r="C187" i="92"/>
  <c r="C115" i="92"/>
  <c r="C51" i="92"/>
  <c r="B1001" i="92"/>
  <c r="B486" i="92"/>
  <c r="B321" i="92"/>
  <c r="B231" i="92"/>
  <c r="B167" i="92"/>
  <c r="B95" i="92"/>
  <c r="B19" i="92"/>
  <c r="C14" i="92"/>
  <c r="B734" i="92"/>
  <c r="B426" i="92"/>
  <c r="B404" i="92"/>
  <c r="C399" i="92"/>
  <c r="C478" i="92"/>
  <c r="C361" i="92"/>
  <c r="B24" i="92"/>
  <c r="B244" i="92"/>
  <c r="B104" i="92"/>
  <c r="B551" i="92"/>
  <c r="B351" i="92"/>
  <c r="C247" i="92"/>
  <c r="C183" i="92"/>
  <c r="C111" i="92"/>
  <c r="C47" i="92"/>
  <c r="B937" i="92"/>
  <c r="B470" i="92"/>
  <c r="B314" i="92"/>
  <c r="B227" i="92"/>
  <c r="B163" i="92"/>
  <c r="B91" i="92"/>
  <c r="B15" i="92"/>
  <c r="B985" i="92"/>
  <c r="C700" i="92"/>
  <c r="B415" i="92"/>
  <c r="C288" i="92"/>
  <c r="C214" i="92"/>
  <c r="C142" i="92"/>
  <c r="C46" i="92"/>
  <c r="C692" i="92"/>
  <c r="C413" i="92"/>
  <c r="B286" i="92"/>
  <c r="C213" i="92"/>
  <c r="C141" i="92"/>
  <c r="C77" i="92"/>
  <c r="B494" i="92"/>
  <c r="B78" i="92"/>
  <c r="B969" i="92"/>
  <c r="C285" i="92"/>
  <c r="B174" i="92"/>
  <c r="B841" i="92"/>
  <c r="C230" i="92"/>
  <c r="B463" i="92"/>
  <c r="C93" i="92"/>
  <c r="B177" i="92"/>
  <c r="B73" i="92"/>
  <c r="B86" i="92"/>
  <c r="B510" i="92"/>
  <c r="C119" i="92"/>
  <c r="B187" i="92"/>
  <c r="B394" i="92"/>
  <c r="B559" i="92"/>
  <c r="C53" i="92"/>
  <c r="B58" i="92"/>
  <c r="B330" i="92"/>
  <c r="B613" i="92"/>
  <c r="C29" i="92"/>
  <c r="B97" i="92"/>
  <c r="B938" i="92"/>
  <c r="C212" i="92"/>
  <c r="B200" i="92"/>
  <c r="B471" i="92"/>
  <c r="C227" i="92"/>
  <c r="C91" i="92"/>
  <c r="B676" i="92"/>
  <c r="B282" i="92"/>
  <c r="B135" i="92"/>
  <c r="C86" i="92"/>
  <c r="B579" i="92"/>
  <c r="C259" i="92"/>
  <c r="C122" i="92"/>
  <c r="B575" i="92"/>
  <c r="B258" i="92"/>
  <c r="C121" i="92"/>
  <c r="B259" i="92"/>
  <c r="B298" i="92"/>
  <c r="B74" i="92"/>
  <c r="B311" i="92"/>
  <c r="B53" i="92"/>
  <c r="B263" i="92"/>
  <c r="C15" i="92"/>
  <c r="B83" i="92"/>
  <c r="C238" i="92"/>
  <c r="B299" i="92"/>
  <c r="B109" i="92"/>
  <c r="C268" i="92"/>
  <c r="C249" i="92"/>
  <c r="B1049" i="92"/>
  <c r="C222" i="92"/>
  <c r="B118" i="92"/>
  <c r="B69" i="92"/>
  <c r="B37" i="92"/>
  <c r="C202" i="92"/>
  <c r="B682" i="92"/>
  <c r="C163" i="92"/>
  <c r="B207" i="92"/>
  <c r="C365" i="92"/>
  <c r="C193" i="92"/>
  <c r="B905" i="92"/>
  <c r="B327" i="92"/>
  <c r="C85" i="92"/>
  <c r="C6" i="92"/>
  <c r="B810" i="92"/>
  <c r="B466" i="92"/>
  <c r="C234" i="92"/>
  <c r="B165" i="92"/>
  <c r="C166" i="92"/>
  <c r="C312" i="92"/>
  <c r="C25" i="92"/>
  <c r="B238" i="92"/>
  <c r="B10" i="92"/>
  <c r="B306" i="92"/>
  <c r="B9" i="92"/>
  <c r="B1065" i="92"/>
  <c r="B23" i="92"/>
  <c r="C206" i="92"/>
  <c r="C253" i="92"/>
  <c r="B46" i="92"/>
  <c r="B85" i="92"/>
  <c r="B270" i="92"/>
  <c r="B293" i="92"/>
  <c r="B346" i="92"/>
  <c r="B372" i="92"/>
  <c r="C458" i="92"/>
  <c r="B698" i="92"/>
  <c r="B88" i="92"/>
  <c r="B343" i="92"/>
  <c r="C179" i="92"/>
  <c r="C43" i="92"/>
  <c r="B454" i="92"/>
  <c r="B223" i="92"/>
  <c r="B87" i="92"/>
  <c r="C731" i="92"/>
  <c r="C405" i="92"/>
  <c r="C210" i="92"/>
  <c r="C22" i="92"/>
  <c r="B402" i="92"/>
  <c r="C209" i="92"/>
  <c r="C73" i="92"/>
  <c r="B62" i="92"/>
  <c r="B201" i="92"/>
  <c r="B574" i="92"/>
  <c r="C433" i="92"/>
  <c r="B214" i="92"/>
  <c r="B309" i="92"/>
  <c r="B438" i="92"/>
  <c r="C18" i="92"/>
  <c r="C98" i="92"/>
  <c r="C149" i="92"/>
  <c r="C590" i="92"/>
  <c r="B145" i="92"/>
  <c r="C90" i="92"/>
  <c r="C81" i="92"/>
  <c r="B29" i="92"/>
  <c r="C335" i="92"/>
  <c r="B285" i="92"/>
  <c r="B228" i="92"/>
  <c r="B407" i="92"/>
  <c r="B35" i="92"/>
  <c r="C50" i="92"/>
  <c r="C639" i="92"/>
  <c r="C273" i="92"/>
  <c r="C320" i="92"/>
  <c r="B269" i="92"/>
  <c r="B81" i="92"/>
  <c r="B50" i="92"/>
  <c r="C663" i="92"/>
  <c r="B114" i="92"/>
  <c r="C229" i="92"/>
  <c r="B142" i="92"/>
  <c r="B101" i="92"/>
  <c r="B558" i="92"/>
  <c r="B230" i="92"/>
  <c r="B455" i="92"/>
  <c r="B502" i="92"/>
  <c r="C78" i="92"/>
  <c r="C174" i="92"/>
  <c r="C221" i="92"/>
  <c r="B117" i="92"/>
  <c r="B250" i="92"/>
  <c r="B379" i="92"/>
  <c r="B1038" i="92"/>
  <c r="B12" i="92"/>
  <c r="C19" i="92"/>
  <c r="B71" i="92"/>
  <c r="C194" i="92"/>
  <c r="B363" i="92"/>
  <c r="B125" i="92"/>
  <c r="C269" i="92"/>
  <c r="B146" i="92"/>
  <c r="B1053" i="92"/>
  <c r="B122" i="92"/>
  <c r="C49" i="92"/>
  <c r="C192" i="92"/>
  <c r="B367" i="92"/>
  <c r="C293" i="92"/>
  <c r="B190" i="92"/>
  <c r="C82" i="92"/>
  <c r="B909" i="92"/>
  <c r="C165" i="92"/>
  <c r="B233" i="92"/>
  <c r="B137" i="92"/>
  <c r="B150" i="92"/>
  <c r="B33" i="92"/>
  <c r="C175" i="92"/>
  <c r="B235" i="92"/>
  <c r="B499" i="92"/>
  <c r="B1037" i="92"/>
  <c r="C101" i="92"/>
  <c r="B206" i="92"/>
  <c r="B130" i="92"/>
  <c r="B435" i="92"/>
  <c r="C97" i="92"/>
  <c r="B106" i="92"/>
  <c r="C367" i="92"/>
  <c r="B323" i="92"/>
  <c r="B232" i="92"/>
  <c r="B535" i="92"/>
  <c r="C243" i="92"/>
  <c r="C107" i="92"/>
  <c r="B873" i="92"/>
  <c r="C308" i="92"/>
  <c r="B151" i="92"/>
  <c r="B11" i="92"/>
  <c r="C671" i="92"/>
  <c r="C281" i="92"/>
  <c r="C138" i="92"/>
  <c r="C664" i="92"/>
  <c r="C280" i="92"/>
  <c r="C137" i="92"/>
  <c r="B390" i="92"/>
  <c r="B612" i="92"/>
  <c r="B138" i="92"/>
  <c r="B57" i="92"/>
  <c r="B70" i="92"/>
  <c r="C401" i="92"/>
  <c r="C87" i="92"/>
  <c r="B147" i="92"/>
  <c r="C275" i="92"/>
  <c r="B355" i="92"/>
  <c r="B110" i="92"/>
  <c r="B189" i="92"/>
  <c r="C349" i="92"/>
  <c r="B318" i="92"/>
  <c r="B77" i="92"/>
  <c r="B340" i="92"/>
  <c r="C438" i="92"/>
  <c r="B482" i="92"/>
  <c r="B76" i="92"/>
  <c r="C207" i="92"/>
  <c r="B219" i="92"/>
  <c r="B326" i="92"/>
  <c r="C117" i="92"/>
  <c r="B65" i="92"/>
  <c r="C54" i="92"/>
  <c r="C65" i="92"/>
  <c r="B173" i="92"/>
  <c r="B89" i="92"/>
  <c r="B313" i="92"/>
  <c r="C250" i="92"/>
  <c r="C257" i="92"/>
  <c r="B910" i="92"/>
  <c r="C350" i="92"/>
  <c r="B586" i="92"/>
  <c r="C151" i="92"/>
  <c r="B171" i="92"/>
  <c r="C69" i="92"/>
  <c r="C724" i="92"/>
  <c r="B637" i="92"/>
  <c r="B777" i="92"/>
  <c r="C233" i="92"/>
  <c r="C374" i="92"/>
  <c r="B315" i="92"/>
  <c r="B406" i="92"/>
  <c r="B498" i="92"/>
  <c r="B596" i="92"/>
  <c r="C57" i="92"/>
  <c r="C292" i="92"/>
  <c r="C223" i="92"/>
  <c r="B514" i="92"/>
  <c r="B198" i="92"/>
  <c r="B362" i="92"/>
  <c r="B196" i="92"/>
  <c r="B650" i="92"/>
  <c r="B391" i="92"/>
  <c r="C217" i="92"/>
  <c r="B305" i="92"/>
  <c r="Z23" i="97" l="1"/>
  <c r="Z22" i="97"/>
  <c r="Z21" i="97"/>
  <c r="T15" i="94" l="1"/>
  <c r="N161" i="94"/>
  <c r="N173" i="94"/>
  <c r="O115" i="94"/>
  <c r="T13" i="94"/>
  <c r="T14" i="94"/>
  <c r="T12" i="94"/>
  <c r="I90" i="94"/>
  <c r="I91" i="94" s="1"/>
  <c r="I92" i="94" s="1"/>
  <c r="I107" i="94"/>
  <c r="I106" i="94"/>
  <c r="I105" i="94"/>
  <c r="I104" i="94"/>
  <c r="I103" i="94"/>
  <c r="I89" i="94"/>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93" i="94" s="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2" i="12" l="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<sst xmlns="http://schemas.openxmlformats.org/spreadsheetml/2006/main" count="15197" uniqueCount="1840">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</sst>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69"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80" fillId="36" borderId="8" xfId="0" applyFont="1" applyFill="1" applyBorder="1" applyAlignment="1" applyProtection="1">
      <alignment horizontal="center" vertical="center" wrapText="1"/>
      <protection locked="0"/>
    </xf>
    <xf numFmtId="0" fontId="94" fillId="45" borderId="9" xfId="0" applyFont="1" applyFill="1" applyBorder="1" applyAlignment="1" applyProtection="1">
      <alignment horizontal="center" vertical="center" wrapText="1"/>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9B%20ALC%20-%20Audit%20la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2">
          <cell r="C2" t="str">
            <v>A La Carte - Local Contracting</v>
          </cell>
        </row>
        <row r="3">
          <cell r="C3" t="str">
            <v>Q1 2021 v2</v>
          </cell>
        </row>
        <row r="4">
          <cell r="C4" t="str">
            <v>Market Name:</v>
          </cell>
        </row>
        <row r="6">
          <cell r="C6" t="str">
            <v>Agreement Option:</v>
          </cell>
        </row>
        <row r="8">
          <cell r="C8" t="str">
            <v>Agreement Classification:</v>
          </cell>
        </row>
        <row r="10">
          <cell r="C10" t="str">
            <v>Is this a MDA Renewal?</v>
          </cell>
        </row>
        <row r="12">
          <cell r="C12" t="str">
            <v>Initial Agreement Terms:</v>
          </cell>
        </row>
        <row r="14">
          <cell r="C14" t="str">
            <v># of Locations:</v>
          </cell>
        </row>
        <row r="16">
          <cell r="C16" t="str">
            <v>Credit Card Payment:</v>
          </cell>
        </row>
        <row r="18">
          <cell r="C18" t="str">
            <v>Proprietary Slots Included Flag:</v>
          </cell>
        </row>
        <row r="20">
          <cell r="C20" t="str">
            <v>Proprietary Slots Additional Markup:</v>
          </cell>
        </row>
        <row r="25">
          <cell r="C25" t="str">
            <v>Market</v>
          </cell>
        </row>
        <row r="26">
          <cell r="C26" t="str">
            <v>ALBANY</v>
          </cell>
        </row>
      </sheetData>
      <sheetData sheetId="2"/>
      <sheetData sheetId="3"/>
      <sheetData sheetId="4"/>
      <sheetData sheetId="5"/>
      <sheetData sheetId="6"/>
      <sheetData sheetId="7">
        <row r="2">
          <cell r="C2" t="str">
            <v>Tracking &amp; Profitability</v>
          </cell>
        </row>
        <row r="4">
          <cell r="C4" t="str">
            <v xml:space="preserve">Agreement Classification: </v>
          </cell>
        </row>
        <row r="5">
          <cell r="C5" t="str">
            <v xml:space="preserve">Initial Agreement Terms: </v>
          </cell>
        </row>
        <row r="6">
          <cell r="C6" t="str">
            <v xml:space="preserve">Annual Purchase Commitment: </v>
          </cell>
        </row>
        <row r="7">
          <cell r="C7" t="str">
            <v xml:space="preserve">Deliveries Per Customer Unit Per Week: </v>
          </cell>
        </row>
        <row r="8">
          <cell r="C8" t="str">
            <v xml:space="preserve">EB Percentage: </v>
          </cell>
        </row>
        <row r="12">
          <cell r="D12" t="str">
            <v xml:space="preserve">Gross Sales: </v>
          </cell>
        </row>
        <row r="13">
          <cell r="D13" t="str">
            <v xml:space="preserve">Gross Margin: </v>
          </cell>
        </row>
        <row r="16">
          <cell r="D16" t="str">
            <v xml:space="preserve">Increase Investment Spend: </v>
          </cell>
        </row>
        <row r="17">
          <cell r="D17" t="str">
            <v xml:space="preserve">Self Funded: </v>
          </cell>
        </row>
        <row r="20">
          <cell r="D20" t="str">
            <v xml:space="preserve">Gross TGP: </v>
          </cell>
        </row>
        <row r="22">
          <cell r="D22" t="str">
            <v xml:space="preserve">Rebates: </v>
          </cell>
        </row>
        <row r="23">
          <cell r="D23" t="str">
            <v xml:space="preserve">Net TGP: </v>
          </cell>
        </row>
        <row r="25">
          <cell r="D25" t="str">
            <v xml:space="preserve">Variable Selling Expenses: </v>
          </cell>
        </row>
        <row r="26">
          <cell r="D26" t="str">
            <v xml:space="preserve">Credit Card Expense: </v>
          </cell>
        </row>
        <row r="27">
          <cell r="D27" t="str">
            <v xml:space="preserve">Variable Warehouse Expenses: </v>
          </cell>
        </row>
        <row r="28">
          <cell r="D28" t="str">
            <v xml:space="preserve">Variable Delivery Expense: </v>
          </cell>
        </row>
        <row r="30">
          <cell r="D30" t="str">
            <v xml:space="preserve">Purchase Allowance: </v>
          </cell>
        </row>
        <row r="31">
          <cell r="D31" t="str">
            <v xml:space="preserve">Other GP: </v>
          </cell>
        </row>
        <row r="32">
          <cell r="D32" t="str">
            <v>Inv. Cost Change + Freight Income + Cash Disc. + Inv. Adjustments / Cases</v>
          </cell>
        </row>
        <row r="34">
          <cell r="D34" t="str">
            <v xml:space="preserve">Contribution Margin: </v>
          </cell>
        </row>
        <row r="36">
          <cell r="D36" t="str">
            <v xml:space="preserve">Rent Charge: </v>
          </cell>
        </row>
        <row r="38">
          <cell r="D38" t="str">
            <v xml:space="preserve">Contribution Margin Less Rent: </v>
          </cell>
        </row>
      </sheetData>
      <sheetData sheetId="8">
        <row r="4">
          <cell r="E4" t="str">
            <v xml:space="preserve">Market Contact: </v>
          </cell>
        </row>
        <row r="6">
          <cell r="E6" t="str">
            <v xml:space="preserve">Legal Entity: </v>
          </cell>
        </row>
        <row r="8">
          <cell r="E8" t="str">
            <v xml:space="preserve">DBA Name: </v>
          </cell>
        </row>
        <row r="9">
          <cell r="E9" t="str">
            <v xml:space="preserve">Legal Entity Address: </v>
          </cell>
        </row>
        <row r="10">
          <cell r="E10" t="str">
            <v xml:space="preserve">Attention: </v>
          </cell>
        </row>
        <row r="11">
          <cell r="E11" t="str">
            <v xml:space="preserve">Phone Number: </v>
          </cell>
        </row>
        <row r="12">
          <cell r="E12" t="str">
            <v xml:space="preserve">Legal Entity City, State, Zip: </v>
          </cell>
        </row>
        <row r="14">
          <cell r="E14" t="str">
            <v xml:space="preserve">Agreement Effective Date: </v>
          </cell>
        </row>
        <row r="17">
          <cell r="E17" t="str">
            <v>Agreement Expiration Date:</v>
          </cell>
        </row>
        <row r="19">
          <cell r="E19" t="str">
            <v>Agreement Classification:</v>
          </cell>
        </row>
      </sheetData>
      <sheetData sheetId="9"/>
      <sheetData sheetId="10">
        <row r="5">
          <cell r="K5" t="str">
            <v>No</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3">
          <cell r="A3" t="str">
            <v>Branch Code</v>
          </cell>
        </row>
        <row r="4">
          <cell r="A4" t="str">
            <v>Lead Market</v>
          </cell>
        </row>
        <row r="12">
          <cell r="A12" t="str">
            <v>Minimum Percentage of Purchases to be Directed to USF</v>
          </cell>
        </row>
        <row r="14">
          <cell r="A14" t="str">
            <v>Average Cases Per Delivery</v>
          </cell>
        </row>
        <row r="15">
          <cell r="A15" t="str">
            <v>Average Purchases Per Delivery</v>
          </cell>
        </row>
        <row r="16">
          <cell r="A16" t="str">
            <v>Average Cost Per Case</v>
          </cell>
        </row>
        <row r="18">
          <cell r="A18" t="str">
            <v>Maximum Distance From USF DC to Shipping Locations (miles)</v>
          </cell>
        </row>
        <row r="19">
          <cell r="A19" t="str">
            <v>Minimum Delivery Size Requirement</v>
          </cell>
        </row>
        <row r="20">
          <cell r="A20" t="str">
            <v>Minimum Delivery Fee</v>
          </cell>
        </row>
        <row r="21">
          <cell r="A21" t="str">
            <v>Split Case Surcharge Amount</v>
          </cell>
        </row>
        <row r="22">
          <cell r="A22" t="str">
            <v>Split Case Per</v>
          </cell>
        </row>
        <row r="23">
          <cell r="A23" t="str">
            <v>Minimum per Case Markup</v>
          </cell>
        </row>
        <row r="24">
          <cell r="A24" t="str">
            <v>Special Order Product Surcharge Amount</v>
          </cell>
        </row>
        <row r="25">
          <cell r="A25" t="str">
            <v>Special Order Products Surcharge Amount Type Code</v>
          </cell>
        </row>
        <row r="26">
          <cell r="A26" t="str">
            <v>Primary Form of Payment</v>
          </cell>
        </row>
        <row r="27">
          <cell r="A27" t="str">
            <v>Max Credit Terms</v>
          </cell>
        </row>
        <row r="32">
          <cell r="A32" t="str">
            <v>Market</v>
          </cell>
        </row>
        <row r="33">
          <cell r="A33" t="str">
            <v>Total</v>
          </cell>
        </row>
        <row r="34">
          <cell r="A34" t="str">
            <v>Dry</v>
          </cell>
        </row>
        <row r="35">
          <cell r="A35" t="str">
            <v>Frozen</v>
          </cell>
        </row>
        <row r="36">
          <cell r="A36" t="str">
            <v>Refrigerated</v>
          </cell>
        </row>
        <row r="37">
          <cell r="A37" t="str">
            <v>Proprietary Inventory Turn</v>
          </cell>
        </row>
        <row r="143">
          <cell r="A143" t="str">
            <v>Minimum Delivery Selection</v>
          </cell>
        </row>
        <row r="144">
          <cell r="A144" t="str">
            <v>Fuel Surcharge Included</v>
          </cell>
        </row>
        <row r="145">
          <cell r="A145" t="str">
            <v>Fuel Surcharge Per</v>
          </cell>
        </row>
        <row r="146">
          <cell r="A146" t="str">
            <v>Audit Age of Invoices</v>
          </cell>
        </row>
        <row r="147">
          <cell r="A147" t="str">
            <v>Audit Frequency Code</v>
          </cell>
        </row>
        <row r="148">
          <cell r="A148" t="str">
            <v>Audit Nbr of Invoice Line Items</v>
          </cell>
        </row>
        <row r="149">
          <cell r="A149" t="str">
            <v>CPI ECI</v>
          </cell>
        </row>
        <row r="150">
          <cell r="A150" t="str">
            <v>Margin Erosion Rate</v>
          </cell>
        </row>
        <row r="151">
          <cell r="A151" t="str">
            <v>Standard Agreement</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2" t="s">
        <v>759</v>
      </c>
      <c r="B1" s="1342"/>
      <c r="C1" s="1342"/>
      <c r="D1" s="1342"/>
      <c r="E1" s="1342"/>
    </row>
    <row r="2" spans="1:5" x14ac:dyDescent="0.25">
      <c r="A2" s="1342" t="s">
        <v>760</v>
      </c>
      <c r="B2" s="1342"/>
      <c r="C2" s="1342"/>
      <c r="D2" s="1342"/>
      <c r="E2" s="1342"/>
    </row>
    <row r="3" spans="1:5" x14ac:dyDescent="0.25">
      <c r="A3" s="71"/>
    </row>
    <row r="4" spans="1:5" ht="78" customHeight="1" x14ac:dyDescent="0.25">
      <c r="A4" s="1363" t="s">
        <v>761</v>
      </c>
      <c r="B4" s="1363"/>
      <c r="C4" s="1363"/>
      <c r="D4" s="1363"/>
      <c r="E4" s="1363"/>
    </row>
    <row r="5" spans="1:5" x14ac:dyDescent="0.25">
      <c r="A5" s="71"/>
    </row>
    <row r="6" spans="1:5" ht="31.5" customHeight="1" x14ac:dyDescent="0.25">
      <c r="A6" s="1362" t="s">
        <v>762</v>
      </c>
      <c r="B6" s="1362"/>
      <c r="C6" s="1362"/>
      <c r="D6" s="1362"/>
      <c r="E6" s="1362"/>
    </row>
    <row r="7" spans="1:5" ht="15.75" thickBot="1" x14ac:dyDescent="0.3">
      <c r="A7" s="72"/>
    </row>
    <row r="8" spans="1:5" ht="15" customHeight="1" x14ac:dyDescent="0.25">
      <c r="A8" s="1356" t="s">
        <v>763</v>
      </c>
      <c r="B8" s="1357"/>
      <c r="C8" s="1357"/>
      <c r="D8" s="1357"/>
      <c r="E8" s="1358"/>
    </row>
    <row r="9" spans="1:5" ht="15" customHeight="1" thickBot="1" x14ac:dyDescent="0.3">
      <c r="A9" s="1359" t="s">
        <v>764</v>
      </c>
      <c r="B9" s="1360"/>
      <c r="C9" s="1360"/>
      <c r="D9" s="1360"/>
      <c r="E9" s="1361"/>
    </row>
    <row r="10" spans="1:5" x14ac:dyDescent="0.25">
      <c r="A10" s="73"/>
      <c r="B10" s="1353"/>
      <c r="C10" s="1353"/>
      <c r="D10" s="77"/>
    </row>
    <row r="11" spans="1:5" ht="31.5" customHeight="1" thickBot="1" x14ac:dyDescent="0.3">
      <c r="A11" s="75" t="s">
        <v>765</v>
      </c>
      <c r="B11" s="1354" t="s">
        <v>766</v>
      </c>
      <c r="C11" s="1354"/>
      <c r="D11" s="77">
        <f>Welcome!$D$4</f>
        <v>0</v>
      </c>
    </row>
    <row r="12" spans="1:5" ht="15.75" thickBot="1" x14ac:dyDescent="0.3">
      <c r="A12" s="75" t="s">
        <v>767</v>
      </c>
      <c r="B12" s="1355">
        <f>'MDA Worksheet'!$R$18</f>
        <v>0</v>
      </c>
      <c r="C12" s="135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2"/>
      <c r="C17" s="1352"/>
      <c r="D17" s="1352"/>
      <c r="E17" s="1352"/>
    </row>
    <row r="18" spans="1:5" x14ac:dyDescent="0.25">
      <c r="A18" s="73"/>
      <c r="B18" s="116"/>
      <c r="C18" s="73"/>
      <c r="D18" s="116"/>
    </row>
    <row r="19" spans="1:5" ht="15.75" thickBot="1" x14ac:dyDescent="0.3">
      <c r="A19" s="75" t="s">
        <v>843</v>
      </c>
      <c r="B19" s="1352">
        <f>Welcome!$D$8</f>
        <v>0</v>
      </c>
      <c r="C19" s="1352"/>
      <c r="D19" s="1352"/>
      <c r="E19" s="135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4" t="s">
        <v>1235</v>
      </c>
      <c r="B42" s="1365"/>
      <c r="C42" s="1365"/>
      <c r="D42" s="1365"/>
      <c r="E42" s="1366"/>
    </row>
    <row r="43" spans="1:5" s="809" customFormat="1" x14ac:dyDescent="0.25">
      <c r="A43" s="1373"/>
      <c r="B43" s="1374"/>
      <c r="C43" s="1374"/>
      <c r="D43" s="1374"/>
      <c r="E43" s="1375"/>
    </row>
    <row r="44" spans="1:5" s="809" customFormat="1" ht="15.75" thickBot="1" x14ac:dyDescent="0.3">
      <c r="A44" s="1376"/>
      <c r="B44" s="1377"/>
      <c r="C44" s="1377"/>
      <c r="D44" s="1377"/>
      <c r="E44" s="1378"/>
    </row>
    <row r="45" spans="1:5" s="809" customFormat="1" ht="15.75" thickBot="1" x14ac:dyDescent="0.3">
      <c r="A45" s="842"/>
    </row>
    <row r="46" spans="1:5" s="809" customFormat="1" ht="15.75" thickBot="1" x14ac:dyDescent="0.3">
      <c r="A46" s="1364" t="s">
        <v>1224</v>
      </c>
      <c r="B46" s="1365"/>
      <c r="C46" s="1365"/>
      <c r="D46" s="1365"/>
      <c r="E46" s="1366"/>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7"/>
      <c r="B53" s="1368"/>
      <c r="C53" s="1368"/>
      <c r="D53" s="1368"/>
      <c r="E53" s="1369"/>
    </row>
    <row r="54" spans="1:5" s="809" customFormat="1" ht="15.75" thickBot="1" x14ac:dyDescent="0.3">
      <c r="A54" s="1370"/>
      <c r="B54" s="1371"/>
      <c r="C54" s="1371"/>
      <c r="D54" s="1371"/>
      <c r="E54" s="1372"/>
    </row>
    <row r="55" spans="1:5" ht="15.75" thickBot="1" x14ac:dyDescent="0.3">
      <c r="A55" s="842"/>
      <c r="B55" s="809"/>
      <c r="C55" s="809"/>
      <c r="D55" s="809"/>
      <c r="E55" s="809"/>
    </row>
    <row r="56" spans="1:5" ht="30.75" customHeight="1" thickBot="1" x14ac:dyDescent="0.3">
      <c r="A56" s="1343" t="s">
        <v>775</v>
      </c>
      <c r="B56" s="1344"/>
      <c r="C56" s="1344"/>
      <c r="D56" s="1344"/>
      <c r="E56" s="134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6" t="s">
        <v>787</v>
      </c>
      <c r="B67" s="1347"/>
      <c r="C67" s="1347"/>
      <c r="D67" s="1347"/>
      <c r="E67" s="134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9" t="s">
        <v>1236</v>
      </c>
      <c r="B74" s="1380"/>
      <c r="C74" s="1380"/>
      <c r="D74" s="1380"/>
      <c r="E74" s="1381"/>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9" t="s">
        <v>790</v>
      </c>
      <c r="B78" s="1350"/>
      <c r="C78" s="1350"/>
      <c r="D78" s="1350"/>
      <c r="E78" s="135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9" t="s">
        <v>792</v>
      </c>
      <c r="B83" s="1350"/>
      <c r="C83" s="1350"/>
      <c r="D83" s="1350"/>
      <c r="E83" s="135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2" t="s">
        <v>1208</v>
      </c>
      <c r="D3" s="138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3" t="s">
        <v>1251</v>
      </c>
      <c r="C29" s="1394"/>
      <c r="D29" s="1394"/>
      <c r="E29" s="1394"/>
      <c r="F29" s="1394"/>
      <c r="G29" s="1394"/>
      <c r="H29" s="1394"/>
      <c r="I29" s="139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4"/>
      <c r="C30" s="1385"/>
      <c r="D30" s="1385"/>
      <c r="E30" s="1385"/>
      <c r="F30" s="1385"/>
      <c r="G30" s="1385"/>
      <c r="H30" s="1385"/>
      <c r="I30" s="138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7"/>
      <c r="C31" s="1388"/>
      <c r="D31" s="1388"/>
      <c r="E31" s="1388"/>
      <c r="F31" s="1388"/>
      <c r="G31" s="1388"/>
      <c r="H31" s="1388"/>
      <c r="I31" s="138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7"/>
      <c r="C32" s="1388"/>
      <c r="D32" s="1388"/>
      <c r="E32" s="1388"/>
      <c r="F32" s="1388"/>
      <c r="G32" s="1388"/>
      <c r="H32" s="1388"/>
      <c r="I32" s="138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7"/>
      <c r="C33" s="1388"/>
      <c r="D33" s="1388"/>
      <c r="E33" s="1388"/>
      <c r="F33" s="1388"/>
      <c r="G33" s="1388"/>
      <c r="H33" s="1388"/>
      <c r="I33" s="138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7"/>
      <c r="C34" s="1388"/>
      <c r="D34" s="1388"/>
      <c r="E34" s="1388"/>
      <c r="F34" s="1388"/>
      <c r="G34" s="1388"/>
      <c r="H34" s="1388"/>
      <c r="I34" s="138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0"/>
      <c r="C35" s="1391"/>
      <c r="D35" s="1391"/>
      <c r="E35" s="1391"/>
      <c r="F35" s="1391"/>
      <c r="G35" s="1391"/>
      <c r="H35" s="1391"/>
      <c r="I35" s="139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6" t="s">
        <v>1165</v>
      </c>
      <c r="C37" s="1397"/>
      <c r="D37" s="1397"/>
      <c r="E37" s="1397"/>
      <c r="F37" s="1397"/>
      <c r="G37" s="1397"/>
      <c r="H37" s="1397"/>
      <c r="I37" s="139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4"/>
      <c r="C38" s="1385"/>
      <c r="D38" s="1385"/>
      <c r="E38" s="1385"/>
      <c r="F38" s="1385"/>
      <c r="G38" s="1385"/>
      <c r="H38" s="1385"/>
      <c r="I38" s="138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7"/>
      <c r="C39" s="1388"/>
      <c r="D39" s="1388"/>
      <c r="E39" s="1388"/>
      <c r="F39" s="1388"/>
      <c r="G39" s="1388"/>
      <c r="H39" s="1388"/>
      <c r="I39" s="138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7"/>
      <c r="C40" s="1388"/>
      <c r="D40" s="1388"/>
      <c r="E40" s="1388"/>
      <c r="F40" s="1388"/>
      <c r="G40" s="1388"/>
      <c r="H40" s="1388"/>
      <c r="I40" s="138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7"/>
      <c r="C41" s="1388"/>
      <c r="D41" s="1388"/>
      <c r="E41" s="1388"/>
      <c r="F41" s="1388"/>
      <c r="G41" s="1388"/>
      <c r="H41" s="1388"/>
      <c r="I41" s="138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7"/>
      <c r="C42" s="1388"/>
      <c r="D42" s="1388"/>
      <c r="E42" s="1388"/>
      <c r="F42" s="1388"/>
      <c r="G42" s="1388"/>
      <c r="H42" s="1388"/>
      <c r="I42" s="138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0"/>
      <c r="C43" s="1391"/>
      <c r="D43" s="1391"/>
      <c r="E43" s="1391"/>
      <c r="F43" s="1391"/>
      <c r="G43" s="1391"/>
      <c r="H43" s="1391"/>
      <c r="I43" s="139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2" t="s">
        <v>917</v>
      </c>
      <c r="G2" s="1402"/>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8"/>
      <c r="M3" s="1318"/>
      <c r="N3" s="1318"/>
      <c r="O3" s="741"/>
      <c r="P3" s="1317" t="str">
        <f>IF(COUNTIFS($P$6:$P$15,"&gt;0")&lt;$C$4,"Must Enter Expected Sales for All Locations","")</f>
        <v/>
      </c>
      <c r="Q3" s="1316"/>
      <c r="R3" s="131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4"/>
      <c r="P4" s="1315" t="str">
        <f>IF(COUNTIFS($P$6:$P$15,"&gt;0")&lt;$C$4,"VVVVV","")</f>
        <v/>
      </c>
      <c r="Q4" s="131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22" t="s">
        <v>1274</v>
      </c>
      <c r="I5" s="940" t="s">
        <v>1356</v>
      </c>
      <c r="J5" s="642" t="s">
        <v>1357</v>
      </c>
      <c r="K5" s="894" t="s">
        <v>915</v>
      </c>
      <c r="L5" s="643" t="s">
        <v>1275</v>
      </c>
      <c r="M5" s="643" t="s">
        <v>1282</v>
      </c>
      <c r="N5" s="643" t="s">
        <v>913</v>
      </c>
      <c r="O5" s="644" t="s">
        <v>1276</v>
      </c>
      <c r="P5" s="747" t="s">
        <v>1277</v>
      </c>
      <c r="Q5" s="748" t="s">
        <v>1278</v>
      </c>
      <c r="R5" s="1324" t="s">
        <v>1279</v>
      </c>
      <c r="S5" s="1324" t="s">
        <v>204</v>
      </c>
      <c r="T5" s="898" t="s">
        <v>1280</v>
      </c>
      <c r="U5" s="132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3">
        <f>SUM($I$6:$I$15)</f>
        <v>0</v>
      </c>
      <c r="J17" s="1405" t="s">
        <v>1387</v>
      </c>
      <c r="K17" s="1407">
        <f>SUM($K$6:$K$15)</f>
        <v>0</v>
      </c>
      <c r="L17" s="1405" t="s">
        <v>1388</v>
      </c>
      <c r="M17" s="740"/>
      <c r="N17" s="740"/>
      <c r="O17" s="740"/>
      <c r="P17" s="1403">
        <f>SUMIF($F$6:$F$15,"&gt;0",$P$6:$P$15)</f>
        <v>0</v>
      </c>
      <c r="Q17" s="1399" t="s">
        <v>1389</v>
      </c>
      <c r="R17" s="140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4"/>
      <c r="J18" s="1406"/>
      <c r="K18" s="1408"/>
      <c r="L18" s="1406"/>
      <c r="M18" s="740"/>
      <c r="N18" s="740"/>
      <c r="O18" s="740"/>
      <c r="P18" s="1404"/>
      <c r="Q18" s="1400"/>
      <c r="R18" s="1401"/>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0" t="str">
        <f>IFERROR(VLOOKUP($H$4,'Market Geography'!$D:$G,4,FALSE),"Select Market")</f>
        <v>Select Market</v>
      </c>
      <c r="I3" s="1421"/>
      <c r="J3" s="1421"/>
      <c r="K3" s="142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7">
        <f>Welcome!$D$4</f>
        <v>0</v>
      </c>
      <c r="I4" s="1418"/>
      <c r="J4" s="1418"/>
      <c r="K4" s="141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7" t="str">
        <f>'Multi-Customer'!$S$49</f>
        <v>Enter Customer(s)</v>
      </c>
      <c r="I5" s="1418"/>
      <c r="J5" s="1418"/>
      <c r="K5" s="141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7" t="str">
        <f>'Multi-Customer'!$AH$40</f>
        <v>MULTIPLE TYPES</v>
      </c>
      <c r="I6" s="1418"/>
      <c r="J6" s="1418"/>
      <c r="K6" s="141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3" t="s">
        <v>206</v>
      </c>
      <c r="I7" s="1424"/>
      <c r="J7" s="1424"/>
      <c r="K7" s="1425"/>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4" t="s">
        <v>119</v>
      </c>
      <c r="H33" s="1415"/>
      <c r="I33" s="468">
        <f>IF($E$3="MDA",'PIM Ranges'!$AX$7,'PIM Ranges'!$BJ$7)</f>
        <v>8.8999999999999996E-2</v>
      </c>
      <c r="J33" s="134"/>
      <c r="K33" s="1416" t="str">
        <f>IF(COUNTIF($AB$10:$AB$30,"ERROR")&lt;1,"",IF(COUNTIF($AB$10:$AB$30,"ERROR")&lt;2,(COUNTIF($AB$10:$AB$30,"ERROR")&amp;" Margin Missing Above"),(COUNTIF($AB$10:$AB$30,"ERROR")&amp;" Margins Missing Above")))</f>
        <v/>
      </c>
      <c r="L33" s="141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9" t="s">
        <v>491</v>
      </c>
      <c r="H34" s="1410"/>
      <c r="I34" s="464">
        <f>J31</f>
        <v>0</v>
      </c>
      <c r="J34" s="134"/>
      <c r="K34" s="1416" t="str">
        <f>IF(COUNTIFS($L$10:$L$30,"X",$AF$10:$AF$30,"BELOW")&lt;1,"",IF(COUNTIFS($L$10:$L$30,"X",$AF$10:$AF$30,"BELOW")&lt;2,(COUNTIFS($L$10:$L$30,"X",$AF$10:$AF$30,"BELOW")&amp;" Margin Below Minimum"),(COUNTIFS($L$10:$L$30,"X",$AF$10:$AF$30,"BELOW")&amp;" Margins Below Minimum")))</f>
        <v/>
      </c>
      <c r="L34" s="14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9" t="s">
        <v>1342</v>
      </c>
      <c r="H35" s="1410"/>
      <c r="I35" s="465" t="str">
        <f>IFERROR(I34/G31,"")</f>
        <v/>
      </c>
      <c r="K35" s="1416" t="str">
        <f>IF(COUNTIFS($L$10:$L$30,"X",$AF$10:$AF$30,"ABOVE")&lt;1,"",IF(COUNTIFS($L$10:$L$30,"X",$AF$10:$AF$30,"ABOVE")&lt;2,(COUNTIFS($L$10:$L$30,"X",$AF$10:$AF$30,"ABOVE")&amp;" Margin Above Maximum"),(COUNTIFS($L$10:$L$30,"X",$AF$10:$AF$30,"ABOVE")&amp;" Margins Above Maximum")))</f>
        <v/>
      </c>
      <c r="L35" s="14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9"/>
      <c r="H36" s="141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9" t="str">
        <f>IFERROR(IF(I35&gt;I33,"","Below Recommended TAGP: "),"")</f>
        <v/>
      </c>
      <c r="H37" s="141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9"/>
      <c r="H38" s="141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9" t="s">
        <v>1343</v>
      </c>
      <c r="H39" s="141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1" t="s">
        <v>492</v>
      </c>
      <c r="H40" s="1412"/>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3"/>
      <c r="G52" s="14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3"/>
      <c r="G53" s="14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3"/>
      <c r="G54" s="14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1" sqref="E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9">
        <v>0</v>
      </c>
    </row>
    <row r="2" spans="1:31" s="1056" customFormat="1" ht="22.5" customHeight="1" thickBot="1" x14ac:dyDescent="0.4">
      <c r="A2" s="1058"/>
      <c r="B2" s="502"/>
      <c r="C2" s="1058"/>
      <c r="D2" s="1220" t="s">
        <v>1487</v>
      </c>
      <c r="E2" s="1058"/>
      <c r="F2" s="173"/>
      <c r="G2" s="174"/>
      <c r="H2" s="1058"/>
      <c r="I2" s="502"/>
      <c r="J2" s="1058"/>
      <c r="K2" s="1058"/>
      <c r="L2" s="1058"/>
      <c r="M2" s="1058"/>
      <c r="N2" s="1058"/>
      <c r="O2" s="1058"/>
      <c r="P2" s="1058"/>
      <c r="Q2" s="503"/>
      <c r="R2" s="1259">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4">
        <f>Welcome!$D$8</f>
        <v>0</v>
      </c>
      <c r="I3" s="1445"/>
      <c r="J3" s="1055"/>
      <c r="K3" s="1185" t="s">
        <v>110</v>
      </c>
      <c r="L3" s="1446" t="str">
        <f>IFERROR(VLOOKUP($L$4,'Market Geography'!$D:$G,4,FALSE),"Select Market")</f>
        <v>Select Market</v>
      </c>
      <c r="M3" s="1447"/>
      <c r="N3" s="733"/>
      <c r="O3" s="733"/>
      <c r="P3" s="733"/>
      <c r="Q3" s="179"/>
      <c r="R3" s="1258">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8" t="str">
        <f>Welcome!$D$12</f>
        <v>Select Term</v>
      </c>
      <c r="I4" s="1449"/>
      <c r="J4" s="181"/>
      <c r="K4" s="1186" t="s">
        <v>881</v>
      </c>
      <c r="L4" s="1450">
        <f>Welcome!$D$4</f>
        <v>0</v>
      </c>
      <c r="M4" s="1451"/>
      <c r="N4" s="733"/>
      <c r="O4" s="733"/>
      <c r="P4" s="733"/>
      <c r="Q4" s="179"/>
      <c r="R4" s="1258">
        <v>0</v>
      </c>
      <c r="S4" s="180"/>
      <c r="T4" s="177"/>
      <c r="U4" s="177"/>
      <c r="V4" s="177"/>
      <c r="W4" s="177"/>
      <c r="X4" s="177"/>
      <c r="Y4" s="177"/>
      <c r="Z4" s="177"/>
      <c r="AA4" s="177"/>
      <c r="AB4" s="177"/>
      <c r="AC4" s="177"/>
      <c r="AD4" s="177"/>
      <c r="AE4" s="177"/>
    </row>
    <row r="5" spans="1:31" s="1056" customFormat="1" ht="18" customHeight="1" thickBot="1" x14ac:dyDescent="0.3">
      <c r="D5" s="1210"/>
      <c r="E5" s="77"/>
      <c r="G5" s="1186" t="s">
        <v>1252</v>
      </c>
      <c r="H5" s="1452">
        <f>'PIM Model'!$G$31</f>
        <v>0</v>
      </c>
      <c r="I5" s="1453"/>
      <c r="J5" s="1055"/>
      <c r="K5" s="1186" t="s">
        <v>107</v>
      </c>
      <c r="L5" s="1450" t="str">
        <f>'Multi-Customer'!$S$49</f>
        <v>Enter Customer(s)</v>
      </c>
      <c r="M5" s="1451"/>
      <c r="N5" s="733"/>
      <c r="O5" s="733"/>
      <c r="P5" s="733"/>
      <c r="Q5" s="179"/>
      <c r="R5" s="1258">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4">
        <f>'Variable Costs (Back)'!$K$26</f>
        <v>0</v>
      </c>
      <c r="I6" s="1455"/>
      <c r="J6" s="1055"/>
      <c r="K6" s="1186" t="s">
        <v>1262</v>
      </c>
      <c r="L6" s="1450" t="str">
        <f>'Multi-Customer'!$AH$40</f>
        <v>MULTIPLE TYPES</v>
      </c>
      <c r="M6" s="1451"/>
      <c r="N6" s="733"/>
      <c r="O6" s="733"/>
      <c r="P6" s="733"/>
      <c r="Q6" s="179"/>
      <c r="R6" s="1258">
        <v>0</v>
      </c>
      <c r="S6" s="180"/>
      <c r="T6" s="177"/>
      <c r="U6" s="177"/>
      <c r="V6" s="177"/>
      <c r="W6" s="177"/>
      <c r="X6" s="177"/>
      <c r="Y6" s="177"/>
      <c r="Z6" s="177"/>
      <c r="AA6" s="177"/>
      <c r="AB6" s="177"/>
      <c r="AC6" s="177"/>
      <c r="AD6" s="177"/>
      <c r="AE6" s="177"/>
    </row>
    <row r="7" spans="1:31" s="1056" customFormat="1" ht="15.75" thickBot="1" x14ac:dyDescent="0.3">
      <c r="D7" s="536"/>
      <c r="G7" s="1187" t="s">
        <v>1254</v>
      </c>
      <c r="H7" s="1456">
        <f>IFERROR('PIM Ranges'!$AU$3,0)</f>
        <v>0</v>
      </c>
      <c r="I7" s="1457"/>
      <c r="J7" s="1055"/>
      <c r="K7" s="1187" t="s">
        <v>1255</v>
      </c>
      <c r="L7" s="1458" t="s">
        <v>206</v>
      </c>
      <c r="M7" s="1459"/>
      <c r="N7" s="1073"/>
      <c r="O7" s="1073"/>
      <c r="P7" s="1073"/>
      <c r="Q7" s="179"/>
      <c r="R7" s="1258">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8">
        <v>0</v>
      </c>
      <c r="S8" s="180"/>
      <c r="T8" s="177"/>
      <c r="U8" s="177"/>
      <c r="V8" s="177"/>
      <c r="W8" s="177"/>
      <c r="X8" s="177"/>
      <c r="Y8" s="177"/>
      <c r="Z8" s="177"/>
      <c r="AA8" s="177"/>
      <c r="AB8" s="177"/>
      <c r="AC8" s="177"/>
      <c r="AD8" s="177"/>
      <c r="AE8" s="177"/>
    </row>
    <row r="9" spans="1:31" s="1056" customFormat="1" ht="16.5" customHeight="1" x14ac:dyDescent="0.25">
      <c r="D9" s="1211"/>
      <c r="F9" s="136"/>
      <c r="G9" s="1188" t="s">
        <v>896</v>
      </c>
      <c r="H9" s="1460">
        <f>IFERROR('PIM Model'!$G$31,0)</f>
        <v>0</v>
      </c>
      <c r="I9" s="1461"/>
      <c r="L9" s="177"/>
      <c r="M9" s="177"/>
      <c r="N9" s="177"/>
      <c r="O9" s="177"/>
      <c r="P9" s="177"/>
      <c r="Q9" s="182"/>
      <c r="R9" s="1258">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42">
        <f>IFERROR('PIM Model'!$G$32,0)</f>
        <v>0</v>
      </c>
      <c r="I10" s="1443"/>
      <c r="L10" s="177"/>
      <c r="M10" s="177"/>
      <c r="N10" s="177"/>
      <c r="O10" s="177"/>
      <c r="P10" s="177"/>
      <c r="Q10" s="182"/>
      <c r="R10" s="1258">
        <v>0</v>
      </c>
      <c r="S10" s="1426" t="s">
        <v>1632</v>
      </c>
      <c r="T10" s="1426"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8"/>
      <c r="S11" s="1426"/>
      <c r="T11" s="1426"/>
      <c r="U11" s="177"/>
      <c r="V11" s="177"/>
      <c r="W11" s="177"/>
      <c r="X11" s="177"/>
      <c r="Y11" s="177"/>
      <c r="Z11" s="177"/>
      <c r="AA11" s="177"/>
      <c r="AB11" s="177"/>
      <c r="AC11" s="177"/>
      <c r="AD11" s="177"/>
      <c r="AE11" s="177"/>
    </row>
    <row r="12" spans="1:31" s="1056" customFormat="1" ht="21.75" customHeight="1" thickBot="1" x14ac:dyDescent="0.3">
      <c r="A12" s="1074"/>
      <c r="B12" s="249"/>
      <c r="C12" s="184"/>
      <c r="D12" s="1438" t="s">
        <v>898</v>
      </c>
      <c r="E12" s="1438"/>
      <c r="F12" s="185"/>
      <c r="G12" s="1439"/>
      <c r="H12" s="1440"/>
      <c r="I12" s="186"/>
      <c r="J12" s="1441"/>
      <c r="K12" s="1441"/>
      <c r="L12" s="184"/>
      <c r="M12" s="184"/>
      <c r="N12" s="184"/>
      <c r="O12" s="184"/>
      <c r="P12" s="187"/>
      <c r="Q12" s="179"/>
      <c r="R12" s="1258"/>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8" t="s">
        <v>528</v>
      </c>
      <c r="E13" s="1105" t="s">
        <v>653</v>
      </c>
      <c r="F13" s="343"/>
      <c r="G13" s="229" t="s">
        <v>1488</v>
      </c>
      <c r="H13" s="646"/>
      <c r="I13" s="229" t="s">
        <v>1489</v>
      </c>
      <c r="J13" s="41"/>
      <c r="K13" s="229" t="s">
        <v>871</v>
      </c>
      <c r="L13" s="145"/>
      <c r="M13" s="194" t="s">
        <v>1490</v>
      </c>
      <c r="N13" s="145"/>
      <c r="O13" s="145"/>
      <c r="P13" s="190"/>
      <c r="Q13" s="179"/>
      <c r="R13" s="1258"/>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71" t="s">
        <v>1492</v>
      </c>
      <c r="F14" s="189"/>
      <c r="G14" s="1272"/>
      <c r="H14" s="735"/>
      <c r="I14" s="1272"/>
      <c r="J14" s="145"/>
      <c r="K14" s="1272"/>
      <c r="L14" s="145"/>
      <c r="M14" s="1283"/>
      <c r="N14" s="145"/>
      <c r="O14" s="145"/>
      <c r="P14" s="190"/>
      <c r="Q14" s="179"/>
      <c r="R14" s="1258"/>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9"/>
      <c r="E15" s="191"/>
      <c r="F15" s="191"/>
      <c r="G15" s="647"/>
      <c r="H15" s="646"/>
      <c r="I15" s="145"/>
      <c r="J15" s="145"/>
      <c r="K15" s="145"/>
      <c r="L15" s="145"/>
      <c r="M15" s="145"/>
      <c r="N15" s="145"/>
      <c r="O15" s="145"/>
      <c r="P15" s="190"/>
      <c r="Q15" s="179"/>
      <c r="R15" s="1258"/>
      <c r="S15" s="1300" t="s">
        <v>1756</v>
      </c>
      <c r="T15" s="1299"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8"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8" t="str">
        <f>IF(E13="Yes",IF(Welcome!$D$6="New",IF('Required Info to Submit'!F$17="","",'Required Info to Submit'!F$17),""),"")</f>
        <v/>
      </c>
      <c r="F17" s="191"/>
      <c r="G17" s="1191">
        <f>$H$9/52</f>
        <v>0</v>
      </c>
      <c r="H17" s="646"/>
      <c r="I17" s="1223"/>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9"/>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6" t="s">
        <v>525</v>
      </c>
      <c r="E19" s="1207">
        <f>IFERROR(IF(G19="",0,(G19-$G$17)/$G$17),"")</f>
        <v>0</v>
      </c>
      <c r="F19" s="1077" t="s">
        <v>1048</v>
      </c>
      <c r="G19" s="1273"/>
      <c r="H19" s="1281"/>
      <c r="I19" s="1276" t="str">
        <f>IF(E$13="Yes",IF(G20="",999999999.99,G20-0.01),"")</f>
        <v/>
      </c>
      <c r="J19" s="1270"/>
      <c r="K19" s="1274"/>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6" t="s">
        <v>526</v>
      </c>
      <c r="E20" s="1207">
        <f>IFERROR(IF(G20="",0,(G20-$G$17)/$G$17),"")</f>
        <v>0</v>
      </c>
      <c r="F20" s="1077" t="s">
        <v>1498</v>
      </c>
      <c r="G20" s="1273"/>
      <c r="H20" s="1281"/>
      <c r="I20" s="1276" t="str">
        <f>IF(E$13="Yes",IF(I19="","",IF(I19&lt;&gt;999999999.99,IF(G21="",999999999.99,G21-0.01),"")),"")</f>
        <v/>
      </c>
      <c r="J20" s="1282" t="str">
        <f>IF($E$15="YES","**Tier 1 used for modeling purposes**","")</f>
        <v/>
      </c>
      <c r="K20" s="1274"/>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6" t="s">
        <v>527</v>
      </c>
      <c r="E21" s="1207">
        <f>IFERROR(IF(G21="",0,(G21-$G$17)/$G$17),"")</f>
        <v>0</v>
      </c>
      <c r="F21" s="1077" t="s">
        <v>1499</v>
      </c>
      <c r="G21" s="1273"/>
      <c r="H21" s="1281"/>
      <c r="I21" s="1276" t="str">
        <f>IF(E$13="Yes",IF(I20="","",IF(I20&lt;&gt;999999999.99,IF(G22="",999999999.99,G22-0.01),"")),"")</f>
        <v/>
      </c>
      <c r="J21" s="1270"/>
      <c r="K21" s="1274"/>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6" t="s">
        <v>1500</v>
      </c>
      <c r="E22" s="1207">
        <f>IFERROR(IF(G22="",0,(G22-$G$17)/$G$17),"")</f>
        <v>0</v>
      </c>
      <c r="F22" s="1077" t="s">
        <v>1501</v>
      </c>
      <c r="G22" s="1273"/>
      <c r="H22" s="1281"/>
      <c r="I22" s="1276" t="str">
        <f t="shared" ref="I22:I23" si="1">IF(E$13="Yes",IF(I21="","",IF(I21&lt;&gt;999999999.99,IF(G23="",999999999.99,G23-0.01),"")),"")</f>
        <v/>
      </c>
      <c r="J22" s="1270"/>
      <c r="K22" s="1274"/>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6" t="s">
        <v>1502</v>
      </c>
      <c r="E23" s="1207">
        <f>IFERROR(IF(G23="",0,(G23-$G$17)/$G$17),"")</f>
        <v>0</v>
      </c>
      <c r="F23" s="1077" t="s">
        <v>1503</v>
      </c>
      <c r="G23" s="1273"/>
      <c r="H23" s="1281"/>
      <c r="I23" s="1276" t="str">
        <f t="shared" si="1"/>
        <v/>
      </c>
      <c r="J23" s="1270"/>
      <c r="K23" s="1274"/>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2"/>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8" t="s">
        <v>898</v>
      </c>
      <c r="E26" s="1438"/>
      <c r="F26" s="185"/>
      <c r="G26" s="1439"/>
      <c r="H26" s="1440"/>
      <c r="I26" s="186"/>
      <c r="J26" s="1441"/>
      <c r="K26" s="1441"/>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8"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190"/>
      <c r="H28" s="735"/>
      <c r="I28" s="1190"/>
      <c r="J28" s="145"/>
      <c r="K28" s="1190"/>
      <c r="L28" s="145"/>
      <c r="M28" s="1266"/>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8"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8"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9"/>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6" t="s">
        <v>525</v>
      </c>
      <c r="E33" s="1207">
        <f>IFERROR(IF(G33="",0,(G33-$G$31)/$G$31),"")</f>
        <v>0</v>
      </c>
      <c r="F33" s="1077" t="s">
        <v>1048</v>
      </c>
      <c r="G33" s="1273"/>
      <c r="H33" s="646"/>
      <c r="I33" s="1192" t="str">
        <f>IF(E$27="Yes",IF(G34="",999999999.99,G34-0.01),"")</f>
        <v/>
      </c>
      <c r="J33" s="145"/>
      <c r="K33" s="1274"/>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6" t="s">
        <v>526</v>
      </c>
      <c r="E34" s="1207">
        <f>IFERROR(IF(G34="",0,(G34-$G$31)/$G$31),"")</f>
        <v>0</v>
      </c>
      <c r="F34" s="1077" t="s">
        <v>1498</v>
      </c>
      <c r="G34" s="1273"/>
      <c r="H34" s="646"/>
      <c r="I34" s="1192" t="str">
        <f>IF(E$27="Yes",IF(I33="","",IF(I33&lt;&gt;999999999.99,IF(G35="",999999999.99,G35-0.01),"")),"")</f>
        <v/>
      </c>
      <c r="J34" s="1078" t="str">
        <f>IF($E$15="YES","**Tier 1 used for modeling purposes**","")</f>
        <v/>
      </c>
      <c r="K34" s="1274"/>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6" t="s">
        <v>527</v>
      </c>
      <c r="E35" s="1207">
        <f>IFERROR(IF(G35="",0,(G35-$G$31)/$G$31),"")</f>
        <v>0</v>
      </c>
      <c r="F35" s="1077" t="s">
        <v>1499</v>
      </c>
      <c r="G35" s="1273"/>
      <c r="H35" s="646"/>
      <c r="I35" s="1192" t="str">
        <f t="shared" ref="I35:I37" si="2">IF(E$27="Yes",IF(I34="","",IF(I34&lt;&gt;999999999.99,IF(G36="",999999999.99,G36-0.01),"")),"")</f>
        <v/>
      </c>
      <c r="J35" s="145"/>
      <c r="K35" s="1274"/>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6" t="s">
        <v>1500</v>
      </c>
      <c r="E36" s="1207">
        <f>IFERROR(IF(G36="",0,(G36-$G$31)/$G$31),"")</f>
        <v>0</v>
      </c>
      <c r="F36" s="1077" t="s">
        <v>1501</v>
      </c>
      <c r="G36" s="1273"/>
      <c r="H36" s="646"/>
      <c r="I36" s="1192" t="str">
        <f t="shared" si="2"/>
        <v/>
      </c>
      <c r="J36" s="145"/>
      <c r="K36" s="1274"/>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6" t="s">
        <v>1502</v>
      </c>
      <c r="E37" s="1207">
        <f t="shared" ref="E37" si="3">IF(G37="",0,(G37-$G$31)/$G$31)</f>
        <v>0</v>
      </c>
      <c r="F37" s="1077" t="s">
        <v>1503</v>
      </c>
      <c r="G37" s="1273"/>
      <c r="H37" s="646"/>
      <c r="I37" s="1192" t="str">
        <f t="shared" si="2"/>
        <v/>
      </c>
      <c r="J37" s="145"/>
      <c r="K37" s="1274"/>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8" t="s">
        <v>898</v>
      </c>
      <c r="E40" s="1438"/>
      <c r="F40" s="185"/>
      <c r="G40" s="1439"/>
      <c r="H40" s="1440"/>
      <c r="I40" s="186"/>
      <c r="J40" s="1441"/>
      <c r="K40" s="1441"/>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8"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190"/>
      <c r="H42" s="735"/>
      <c r="I42" s="1190"/>
      <c r="J42" s="145"/>
      <c r="K42" s="1190"/>
      <c r="L42" s="145"/>
      <c r="M42" s="1265"/>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8"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8"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9"/>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6" t="s">
        <v>525</v>
      </c>
      <c r="E47" s="1207">
        <f>IFERROR(IF(G47="",0,(G47-$G$45)/$G$45),"")</f>
        <v>0</v>
      </c>
      <c r="F47" s="1077" t="s">
        <v>1048</v>
      </c>
      <c r="G47" s="1273"/>
      <c r="H47" s="646"/>
      <c r="I47" s="1192" t="str">
        <f>IF(E$41="Yes",IF(G48="",999999999.99,G48-0.01),"")</f>
        <v/>
      </c>
      <c r="J47" s="145"/>
      <c r="K47" s="1274"/>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6" t="s">
        <v>526</v>
      </c>
      <c r="E48" s="1207">
        <f>IFERROR(IF(G48="",0,(G48-$G$45)/$G$45),"")</f>
        <v>0</v>
      </c>
      <c r="F48" s="1077" t="s">
        <v>1498</v>
      </c>
      <c r="G48" s="1273"/>
      <c r="H48" s="646"/>
      <c r="I48" s="1192" t="str">
        <f>IF(E$41="Yes",IF(I47="","",IF(I47&lt;&gt;999999999.99,IF(G49="",999999999.99,G49-0.01),"")),"")</f>
        <v/>
      </c>
      <c r="J48" s="1078" t="str">
        <f>IF($E$15="YES","**Tier 1 used for modeling purposes**","")</f>
        <v/>
      </c>
      <c r="K48" s="1274"/>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6" t="s">
        <v>527</v>
      </c>
      <c r="E49" s="1207">
        <f>IFERROR(IF(G49="",0,(G49-$G$45)/$G$45),"")</f>
        <v>0</v>
      </c>
      <c r="F49" s="1077" t="s">
        <v>1499</v>
      </c>
      <c r="G49" s="1273"/>
      <c r="H49" s="646"/>
      <c r="I49" s="1192" t="str">
        <f t="shared" ref="I49:I51" si="4">IF(E$41="Yes",IF(I48="","",IF(I48&lt;&gt;999999999.99,IF(G50="",999999999.99,G50-0.01),"")),"")</f>
        <v/>
      </c>
      <c r="J49" s="145"/>
      <c r="K49" s="1274"/>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6" t="s">
        <v>1500</v>
      </c>
      <c r="E50" s="1207">
        <f>IFERROR(IF(G50="",0,(G50-$G$45)/$G$45),"")</f>
        <v>0</v>
      </c>
      <c r="F50" s="1077" t="s">
        <v>1501</v>
      </c>
      <c r="G50" s="1273"/>
      <c r="H50" s="646"/>
      <c r="I50" s="1192" t="str">
        <f t="shared" si="4"/>
        <v/>
      </c>
      <c r="J50" s="145"/>
      <c r="K50" s="1274"/>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6" t="s">
        <v>1502</v>
      </c>
      <c r="E51" s="1207">
        <f>IFERROR(IF(G51="",0,(G51-$G$45)/$G$45),"")</f>
        <v>0</v>
      </c>
      <c r="F51" s="1077" t="s">
        <v>1503</v>
      </c>
      <c r="G51" s="1273"/>
      <c r="H51" s="646"/>
      <c r="I51" s="1192" t="str">
        <f t="shared" si="4"/>
        <v/>
      </c>
      <c r="J51" s="145"/>
      <c r="K51" s="1274"/>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4" t="s">
        <v>524</v>
      </c>
      <c r="E54" s="1434"/>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8"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190"/>
      <c r="H56" s="646"/>
      <c r="I56" s="1190"/>
      <c r="J56" s="145"/>
      <c r="K56" s="1190"/>
      <c r="L56" s="145"/>
      <c r="M56" s="1265"/>
      <c r="N56" s="218"/>
      <c r="O56" s="218"/>
      <c r="P56" s="190"/>
      <c r="Q56" s="179"/>
      <c r="R56" s="1258"/>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8"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8"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4"/>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6" t="s">
        <v>525</v>
      </c>
      <c r="E61" s="1207">
        <f>IFERROR(IF(G61="",0,(G61-$G$59)/$G$59),"")</f>
        <v>0</v>
      </c>
      <c r="F61" s="1077" t="s">
        <v>1048</v>
      </c>
      <c r="G61" s="1273"/>
      <c r="H61" s="646"/>
      <c r="I61" s="1192" t="str">
        <f>IF(E$55="Yes",IF(G62="",999999999.99,G62-0.01),"")</f>
        <v/>
      </c>
      <c r="J61" s="1078" t="str">
        <f>IF($E$57="YES","**Tier 1 used for modeling purposes**","")</f>
        <v/>
      </c>
      <c r="K61" s="1274"/>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6" t="s">
        <v>526</v>
      </c>
      <c r="E62" s="1207">
        <f t="shared" ref="E62:E65" si="5">IFERROR(IF(G62="",0,(G62-$G$59)/$G$59),"")</f>
        <v>0</v>
      </c>
      <c r="F62" s="1077" t="s">
        <v>1498</v>
      </c>
      <c r="G62" s="1273"/>
      <c r="H62" s="646"/>
      <c r="I62" s="1192" t="str">
        <f>IF(E$55="Yes",IF(I61="","",IF(I61&lt;&gt;999999999.99,IF(G63="",999999999.99,G63-0.01),"")),"")</f>
        <v/>
      </c>
      <c r="J62" s="145"/>
      <c r="K62" s="127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6" t="s">
        <v>527</v>
      </c>
      <c r="E63" s="1207">
        <f t="shared" si="5"/>
        <v>0</v>
      </c>
      <c r="F63" s="1077" t="s">
        <v>1499</v>
      </c>
      <c r="G63" s="1273"/>
      <c r="H63" s="646"/>
      <c r="I63" s="1192" t="str">
        <f t="shared" ref="I63:I65" si="6">IF(E$55="Yes",IF(I62="","",IF(I62&lt;&gt;999999999.99,IF(G64="",999999999.99,G64-0.01),"")),"")</f>
        <v/>
      </c>
      <c r="J63" s="145"/>
      <c r="K63" s="1274"/>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6" t="s">
        <v>1500</v>
      </c>
      <c r="E64" s="1207">
        <f t="shared" si="5"/>
        <v>0</v>
      </c>
      <c r="F64" s="1077" t="s">
        <v>1501</v>
      </c>
      <c r="G64" s="1273"/>
      <c r="H64" s="646"/>
      <c r="I64" s="1192" t="str">
        <f t="shared" si="6"/>
        <v/>
      </c>
      <c r="J64" s="145"/>
      <c r="K64" s="1274"/>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6" t="s">
        <v>1502</v>
      </c>
      <c r="E65" s="1207">
        <f t="shared" si="5"/>
        <v>0</v>
      </c>
      <c r="F65" s="1077" t="s">
        <v>1503</v>
      </c>
      <c r="G65" s="1273"/>
      <c r="H65" s="646"/>
      <c r="I65" s="1192" t="str">
        <f t="shared" si="6"/>
        <v/>
      </c>
      <c r="J65" s="41"/>
      <c r="K65" s="127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2"/>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3"/>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4" t="s">
        <v>524</v>
      </c>
      <c r="E68" s="1434"/>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8"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190"/>
      <c r="H70" s="646"/>
      <c r="I70" s="1190"/>
      <c r="J70" s="145"/>
      <c r="K70" s="1190"/>
      <c r="L70" s="145"/>
      <c r="M70" s="1265"/>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8"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8"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4"/>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6" t="s">
        <v>525</v>
      </c>
      <c r="E75" s="1207">
        <f>IFERROR(IF(G75="",0,(G75-$G$59)/$G$59),"")</f>
        <v>0</v>
      </c>
      <c r="F75" s="1077" t="s">
        <v>1048</v>
      </c>
      <c r="G75" s="1273"/>
      <c r="H75" s="646"/>
      <c r="I75" s="1192" t="str">
        <f>IF(E$69="Yes",IF(G76="",999999999.99,G76-0.01),"")</f>
        <v/>
      </c>
      <c r="J75" s="1078" t="str">
        <f>IF($E$57="YES","**Tier 1 used for modeling purposes**","")</f>
        <v/>
      </c>
      <c r="K75" s="1274"/>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6" t="s">
        <v>526</v>
      </c>
      <c r="E76" s="1207">
        <f t="shared" ref="E76:E79" si="7">IFERROR(IF(G76="",0,(G76-$G$59)/$G$59),"")</f>
        <v>0</v>
      </c>
      <c r="F76" s="1077" t="s">
        <v>1498</v>
      </c>
      <c r="G76" s="1273"/>
      <c r="H76" s="646"/>
      <c r="I76" s="1192" t="str">
        <f>IF(E$69="Yes",IF(I75="","",IF(I75&lt;&gt;999999999.99,IF(G77="",999999999.99,G77-0.01),"")),"")</f>
        <v/>
      </c>
      <c r="J76" s="145"/>
      <c r="K76" s="1274"/>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6" t="s">
        <v>527</v>
      </c>
      <c r="E77" s="1207">
        <f t="shared" si="7"/>
        <v>0</v>
      </c>
      <c r="F77" s="1077" t="s">
        <v>1499</v>
      </c>
      <c r="G77" s="1273"/>
      <c r="H77" s="646"/>
      <c r="I77" s="1192" t="str">
        <f t="shared" ref="I77:I79" si="8">IF(E$69="Yes",IF(I76="","",IF(I76&lt;&gt;999999999.99,IF(G78="",999999999.99,G78-0.01),"")),"")</f>
        <v/>
      </c>
      <c r="J77" s="145"/>
      <c r="K77" s="1274"/>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6" t="s">
        <v>1500</v>
      </c>
      <c r="E78" s="1207">
        <f t="shared" si="7"/>
        <v>0</v>
      </c>
      <c r="F78" s="1077" t="s">
        <v>1501</v>
      </c>
      <c r="G78" s="1273"/>
      <c r="H78" s="646"/>
      <c r="I78" s="1192" t="str">
        <f t="shared" si="8"/>
        <v/>
      </c>
      <c r="J78" s="145"/>
      <c r="K78" s="127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6" t="s">
        <v>1502</v>
      </c>
      <c r="E79" s="1207">
        <f t="shared" si="7"/>
        <v>0</v>
      </c>
      <c r="F79" s="1077" t="s">
        <v>1503</v>
      </c>
      <c r="G79" s="1273"/>
      <c r="H79" s="646"/>
      <c r="I79" s="1192" t="str">
        <f t="shared" si="8"/>
        <v/>
      </c>
      <c r="J79" s="41"/>
      <c r="K79" s="127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3"/>
      <c r="E81" s="1084"/>
      <c r="F81" s="207"/>
      <c r="G81" s="1085"/>
      <c r="H81" s="209"/>
      <c r="I81" s="1086"/>
      <c r="K81" s="1087"/>
      <c r="M81" s="1088"/>
      <c r="N81" s="1088"/>
      <c r="O81" s="1088"/>
      <c r="P81" s="141"/>
      <c r="Q81" s="619"/>
      <c r="S81" s="693"/>
    </row>
    <row r="82" spans="1:29" ht="21" customHeight="1" thickBot="1" x14ac:dyDescent="0.3">
      <c r="A82" s="1083"/>
      <c r="B82" s="249"/>
      <c r="C82" s="226"/>
      <c r="D82" s="1434" t="s">
        <v>530</v>
      </c>
      <c r="E82" s="1434"/>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8"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72"/>
      <c r="H84" s="646"/>
      <c r="I84" s="1272"/>
      <c r="J84" s="145"/>
      <c r="K84" s="1272"/>
      <c r="L84" s="145"/>
      <c r="M84" s="1265"/>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8"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8"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5"/>
      <c r="H89" s="188"/>
      <c r="I89" s="1193">
        <f>IF(E$83="Yes",IF(G90=0,1,G90-0.0001),0)</f>
        <v>0</v>
      </c>
      <c r="J89" s="1078" t="str">
        <f>IF($E$85="YES","**Tier 1 payout used for modeling purposes**","")</f>
        <v/>
      </c>
      <c r="K89" s="1274"/>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5"/>
      <c r="H90" s="188"/>
      <c r="I90" s="1193">
        <f>IF(E$83="Yes",IF(I89=0,0,IF(I89&lt;&gt;1,IF(G91=0,1,G91-0.0001),0)),0)</f>
        <v>0</v>
      </c>
      <c r="J90" s="230"/>
      <c r="K90" s="127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5"/>
      <c r="H91" s="188"/>
      <c r="I91" s="1193">
        <f>IF(E$83="Yes",IF(I90=0,0,IF(I90&lt;&gt;1,IF(G92=0,1,G92-0.0001),0)),0)</f>
        <v>0</v>
      </c>
      <c r="J91" s="230"/>
      <c r="K91" s="1274"/>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5"/>
      <c r="H92" s="188"/>
      <c r="I92" s="1193">
        <f>IF(E$83="Yes",IF(I91=0,0,IF(I91&lt;&gt;1,IF(G93=0,1,G93-0.0001),0)),0)</f>
        <v>0</v>
      </c>
      <c r="J92" s="230"/>
      <c r="K92" s="1274"/>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5"/>
      <c r="H93" s="188"/>
      <c r="I93" s="1193">
        <f>IF(E$83="Yes",IF(I92=0,0,IF(I92&lt;&gt;1,IF(G94="",1,G94-0.0001),0)),0)</f>
        <v>0</v>
      </c>
      <c r="J93" s="230"/>
      <c r="K93" s="127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5"/>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4" t="s">
        <v>530</v>
      </c>
      <c r="E96" s="1434"/>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8"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72"/>
      <c r="H98" s="646"/>
      <c r="I98" s="1272"/>
      <c r="J98" s="145"/>
      <c r="K98" s="1272"/>
      <c r="L98" s="145"/>
      <c r="M98" s="126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8"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8"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5"/>
      <c r="H103" s="188"/>
      <c r="I103" s="1274">
        <f>IF(E$97="Yes",IF(G104=0,1,G104-0.0001),0)</f>
        <v>0</v>
      </c>
      <c r="J103" s="1078" t="str">
        <f>IF($E$85="YES","**Tier 1 payout used for modeling purposes**","")</f>
        <v/>
      </c>
      <c r="K103" s="1274"/>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5"/>
      <c r="H104" s="188"/>
      <c r="I104" s="1257">
        <f>IF(E$97="Yes",IF(I103=0,0,IF(I103&lt;&gt;1,IF(G105=0,1,G105-0.0001),0)),0)</f>
        <v>0</v>
      </c>
      <c r="J104" s="230"/>
      <c r="K104" s="127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5"/>
      <c r="H105" s="188"/>
      <c r="I105" s="1257">
        <f>IF(E$97="Yes",IF(I104=0,0,IF(I104&lt;&gt;1,IF(G106=0,1,G106-0.0001),0)),0)</f>
        <v>0</v>
      </c>
      <c r="J105" s="230"/>
      <c r="K105" s="127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5"/>
      <c r="H106" s="188"/>
      <c r="I106" s="1257">
        <f>IF(E$97="Yes",IF(I105=0,0,IF(I105&lt;&gt;1,IF(G107=0,1,G107-0.0001),0)),0)</f>
        <v>0</v>
      </c>
      <c r="J106" s="230"/>
      <c r="K106" s="127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5"/>
      <c r="H107" s="188"/>
      <c r="I107" s="1257">
        <f>IF(E$97="Yes",IF(I106=0,0,IF(I106&lt;&gt;1,IF(G108="",1,G108-0.0001),0)),0)</f>
        <v>0</v>
      </c>
      <c r="J107" s="230"/>
      <c r="K107" s="127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4" t="s">
        <v>1177</v>
      </c>
      <c r="E110" s="1434"/>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8"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190"/>
      <c r="H112" s="646"/>
      <c r="I112" s="1190"/>
      <c r="J112" s="145"/>
      <c r="K112" s="1190"/>
      <c r="L112" s="145"/>
      <c r="M112" s="1265"/>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8"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8" t="str">
        <f>IF(E111="Yes",IF(Welcome!$D$6="New",IF('Required Info to Submit'!F$17="","",'Required Info to Submit'!F$17),""),"")</f>
        <v/>
      </c>
      <c r="F115" s="1077" t="s">
        <v>1048</v>
      </c>
      <c r="G115" s="1277"/>
      <c r="H115" s="188"/>
      <c r="I115" s="1197" t="str">
        <f>IF(E111="Yes",999999999.99,"")</f>
        <v/>
      </c>
      <c r="J115" s="230"/>
      <c r="K115" s="1274"/>
      <c r="L115" s="188"/>
      <c r="M115" s="195"/>
      <c r="N115" s="197"/>
      <c r="O115" s="1194">
        <f>IF(E111="No",0,IF(((H10-(G115*52))*K115)&lt;0,0,((H10-(G115*52))*K115)))</f>
        <v>0</v>
      </c>
      <c r="P115" s="221"/>
      <c r="Q115" s="138"/>
      <c r="R115" s="1055"/>
      <c r="S115" s="694"/>
    </row>
    <row r="116" spans="2:29" ht="21" customHeight="1" x14ac:dyDescent="0.25">
      <c r="B116" s="246"/>
      <c r="C116" s="223"/>
      <c r="D116" s="1215"/>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4" t="s">
        <v>724</v>
      </c>
      <c r="E118" s="1434"/>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8"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72"/>
      <c r="H120" s="646"/>
      <c r="I120" s="1272"/>
      <c r="J120" s="145"/>
      <c r="K120" s="1272"/>
      <c r="L120" s="145"/>
      <c r="M120" s="1265"/>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8"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8" t="str">
        <f>IF(E119="Yes",IF(Welcome!$D$6="New",IF('Required Info to Submit'!F$17="","",'Required Info to Submit'!F$17),""),"")</f>
        <v/>
      </c>
      <c r="F123" s="1077" t="s">
        <v>1048</v>
      </c>
      <c r="G123" s="1275"/>
      <c r="H123" s="188"/>
      <c r="I123" s="1193" t="str">
        <f>IF(E119="Yes",1,"")</f>
        <v/>
      </c>
      <c r="J123" s="230"/>
      <c r="K123" s="1274"/>
      <c r="L123" s="188"/>
      <c r="M123" s="218"/>
      <c r="N123" s="218"/>
      <c r="O123" s="1194">
        <f>IF($E$119="Yes",K123*$H$10,0)</f>
        <v>0</v>
      </c>
      <c r="P123" s="221"/>
      <c r="Q123" s="138"/>
      <c r="R123" s="1055"/>
      <c r="S123" s="694"/>
    </row>
    <row r="124" spans="2:29" ht="20.25" customHeight="1" x14ac:dyDescent="0.25">
      <c r="B124" s="246"/>
      <c r="C124" s="223"/>
      <c r="D124" s="1215"/>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4" t="s">
        <v>1158</v>
      </c>
      <c r="E126" s="1434"/>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8"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72"/>
      <c r="H128" s="646"/>
      <c r="I128" s="1272"/>
      <c r="J128" s="145"/>
      <c r="K128" s="1272"/>
      <c r="L128" s="145"/>
      <c r="M128" s="1283"/>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8"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8" t="str">
        <f>IF(E127="Yes",IF(Welcome!$D$6="New",IF('Required Info to Submit'!F$17="","",'Required Info to Submit'!F$17),""),"")</f>
        <v/>
      </c>
      <c r="F131" s="806" t="s">
        <v>1158</v>
      </c>
      <c r="G131" s="1277"/>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10"/>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4" t="s">
        <v>1158</v>
      </c>
      <c r="E134" s="1434"/>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8"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19" t="s">
        <v>1722</v>
      </c>
      <c r="F136" s="806" t="s">
        <v>1158</v>
      </c>
      <c r="G136" s="1272" t="s">
        <v>1723</v>
      </c>
      <c r="H136" s="646"/>
      <c r="I136" s="1320" t="s">
        <v>485</v>
      </c>
      <c r="J136" s="145"/>
      <c r="K136" s="1272" t="s">
        <v>1724</v>
      </c>
      <c r="L136" s="145"/>
      <c r="M136" s="1266"/>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8"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8" t="str">
        <f>IF(E135="Yes",IF(Welcome!$D$6="New",IF('Required Info to Submit'!F$17="","",'Required Info to Submit'!F$17),""),"")</f>
        <v/>
      </c>
      <c r="F139" s="806" t="s">
        <v>1158</v>
      </c>
      <c r="G139" s="1321"/>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1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4" t="s">
        <v>1057</v>
      </c>
      <c r="E142" s="1434"/>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8"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190"/>
      <c r="H144" s="646"/>
      <c r="I144" s="1190"/>
      <c r="J144" s="145"/>
      <c r="K144" s="1190"/>
      <c r="L144" s="145"/>
      <c r="M144" s="1267"/>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8"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8" t="str">
        <f>IF(E143="Yes",IF(Welcome!$D$6="New",IF('Required Info to Submit'!F$17="","",'Required Info to Submit'!F$17),""),"")</f>
        <v/>
      </c>
      <c r="F147" s="196"/>
      <c r="G147" s="1270"/>
      <c r="H147" s="145"/>
      <c r="I147" s="145"/>
      <c r="J147" s="145"/>
      <c r="K147" s="1274"/>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10"/>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4" t="s">
        <v>1584</v>
      </c>
      <c r="E150" s="1434"/>
      <c r="F150" s="213"/>
      <c r="G150" s="236"/>
      <c r="H150" s="183"/>
      <c r="I150" s="237"/>
      <c r="J150" s="216"/>
      <c r="K150" s="217"/>
      <c r="L150" s="183"/>
      <c r="M150" s="217"/>
      <c r="N150" s="1427"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7"/>
      <c r="P150" s="1428"/>
      <c r="Q150" s="179"/>
      <c r="S150" s="695"/>
    </row>
    <row r="151" spans="2:19" s="1153" customFormat="1" ht="17.25" customHeight="1" thickBot="1" x14ac:dyDescent="0.3">
      <c r="B151" s="244"/>
      <c r="C151" s="188"/>
      <c r="D151" s="1208" t="s">
        <v>528</v>
      </c>
      <c r="E151" s="1222" t="s">
        <v>653</v>
      </c>
      <c r="F151" s="805"/>
      <c r="G151" s="229" t="s">
        <v>1488</v>
      </c>
      <c r="H151" s="646"/>
      <c r="I151" s="229" t="s">
        <v>1489</v>
      </c>
      <c r="J151" s="41"/>
      <c r="K151" s="229" t="s">
        <v>871</v>
      </c>
      <c r="L151" s="145"/>
      <c r="M151" s="194" t="s">
        <v>1490</v>
      </c>
      <c r="N151" s="1429"/>
      <c r="O151" s="1429"/>
      <c r="P151" s="1430"/>
      <c r="Q151" s="179"/>
      <c r="S151" s="695"/>
    </row>
    <row r="152" spans="2:19" s="1153" customFormat="1" ht="18" customHeight="1" thickBot="1" x14ac:dyDescent="0.3">
      <c r="B152" s="244"/>
      <c r="C152" s="188"/>
      <c r="D152" s="1075" t="s">
        <v>1491</v>
      </c>
      <c r="E152" s="1161" t="s">
        <v>1492</v>
      </c>
      <c r="F152" s="806" t="s">
        <v>1158</v>
      </c>
      <c r="G152" s="1272"/>
      <c r="H152" s="646"/>
      <c r="I152" s="1272"/>
      <c r="J152" s="145"/>
      <c r="K152" s="1272"/>
      <c r="L152" s="145"/>
      <c r="M152" s="1265"/>
      <c r="N152" s="1429"/>
      <c r="O152" s="1429"/>
      <c r="P152" s="1430"/>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9"/>
      <c r="O153" s="1429"/>
      <c r="P153" s="1430"/>
      <c r="Q153" s="179"/>
      <c r="S153" s="695"/>
    </row>
    <row r="154" spans="2:19" s="1153" customFormat="1" ht="18" customHeight="1" thickBot="1" x14ac:dyDescent="0.3">
      <c r="B154" s="244"/>
      <c r="C154" s="188"/>
      <c r="D154" s="1082" t="s">
        <v>1493</v>
      </c>
      <c r="E154" s="1288"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8"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2" t="s">
        <v>1587</v>
      </c>
      <c r="E157" s="1463"/>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4" t="s">
        <v>1588</v>
      </c>
      <c r="E158" s="1465"/>
      <c r="F158" s="806"/>
      <c r="G158" s="1200"/>
      <c r="H158" s="145"/>
      <c r="I158" s="1289"/>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10"/>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4" t="s">
        <v>1209</v>
      </c>
      <c r="E161" s="1434"/>
      <c r="F161" s="213"/>
      <c r="G161" s="236"/>
      <c r="H161" s="183"/>
      <c r="I161" s="237"/>
      <c r="J161" s="216"/>
      <c r="K161" s="217"/>
      <c r="L161" s="183"/>
      <c r="M161" s="217"/>
      <c r="N161" s="1427"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7"/>
      <c r="P161" s="1428"/>
      <c r="Q161" s="179"/>
      <c r="S161" s="695"/>
    </row>
    <row r="162" spans="2:19" s="1056" customFormat="1" ht="18" customHeight="1" thickBot="1" x14ac:dyDescent="0.3">
      <c r="B162" s="244"/>
      <c r="C162" s="188"/>
      <c r="D162" s="1208" t="s">
        <v>528</v>
      </c>
      <c r="E162" s="1105" t="s">
        <v>653</v>
      </c>
      <c r="F162" s="805"/>
      <c r="G162" s="194" t="s">
        <v>1488</v>
      </c>
      <c r="H162" s="188"/>
      <c r="I162" s="194" t="s">
        <v>1489</v>
      </c>
      <c r="J162" s="41"/>
      <c r="K162" s="194" t="s">
        <v>1505</v>
      </c>
      <c r="L162" s="188"/>
      <c r="M162" s="194" t="s">
        <v>1490</v>
      </c>
      <c r="N162" s="1429"/>
      <c r="O162" s="1429"/>
      <c r="P162" s="1430"/>
      <c r="Q162" s="179"/>
      <c r="S162" s="695"/>
    </row>
    <row r="163" spans="2:19" s="1056" customFormat="1" ht="18" customHeight="1" thickBot="1" x14ac:dyDescent="0.3">
      <c r="B163" s="244"/>
      <c r="C163" s="188"/>
      <c r="D163" s="1075" t="s">
        <v>1491</v>
      </c>
      <c r="E163" s="1171" t="s">
        <v>1492</v>
      </c>
      <c r="F163" s="1159"/>
      <c r="G163" s="1278"/>
      <c r="H163" s="188"/>
      <c r="I163" s="1272"/>
      <c r="J163" s="1159"/>
      <c r="K163" s="1272"/>
      <c r="L163" s="188"/>
      <c r="M163" s="1313"/>
      <c r="N163" s="1429"/>
      <c r="O163" s="1429"/>
      <c r="P163" s="1430"/>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9"/>
      <c r="O164" s="1429"/>
      <c r="P164" s="1430"/>
      <c r="Q164" s="179"/>
      <c r="S164" s="692" t="str">
        <f>IF($E164="NO","",IF($I163="Select Payment Method","X",""))</f>
        <v/>
      </c>
    </row>
    <row r="165" spans="2:19" s="1056" customFormat="1" ht="18" customHeight="1" thickBot="1" x14ac:dyDescent="0.3">
      <c r="B165" s="244"/>
      <c r="C165" s="188"/>
      <c r="D165" s="1082" t="s">
        <v>1493</v>
      </c>
      <c r="E165" s="1288" t="str">
        <f>IF(E162="Yes",IF(Welcome!$D$6="New",IF('Required Info to Submit'!F$14="","",'Required Info to Submit'!F$14),""),"")</f>
        <v/>
      </c>
      <c r="F165" s="805"/>
      <c r="G165" s="229" t="s">
        <v>1504</v>
      </c>
      <c r="H165" s="188"/>
      <c r="I165" s="194" t="s">
        <v>1592</v>
      </c>
      <c r="J165" s="1435"/>
      <c r="K165" s="194" t="s">
        <v>751</v>
      </c>
      <c r="L165" s="1435"/>
      <c r="M165" s="194" t="s">
        <v>1593</v>
      </c>
      <c r="N165" s="145"/>
      <c r="O165" s="6" t="s">
        <v>493</v>
      </c>
      <c r="P165" s="245"/>
      <c r="Q165" s="179"/>
      <c r="S165" s="695"/>
    </row>
    <row r="166" spans="2:19" s="1056" customFormat="1" ht="18" customHeight="1" thickBot="1" x14ac:dyDescent="0.3">
      <c r="B166" s="244"/>
      <c r="C166" s="188"/>
      <c r="D166" s="1082" t="s">
        <v>1494</v>
      </c>
      <c r="E166" s="1288" t="str">
        <f>IF(E162="Yes",IF(Welcome!$D$6="New",IF('Required Info to Submit'!F$17="","",'Required Info to Submit'!F$17),""),"")</f>
        <v/>
      </c>
      <c r="F166" s="806" t="s">
        <v>924</v>
      </c>
      <c r="G166" s="1273">
        <v>0</v>
      </c>
      <c r="H166" s="188"/>
      <c r="I166" s="1204">
        <v>1</v>
      </c>
      <c r="J166" s="1436"/>
      <c r="K166" s="1198"/>
      <c r="L166" s="1437"/>
      <c r="M166" s="1273"/>
      <c r="N166" s="145"/>
      <c r="O166" s="1194">
        <f>IFERROR(IF($E$162="Yes",G166/$H$4,0),0)</f>
        <v>0</v>
      </c>
      <c r="P166" s="245"/>
      <c r="Q166" s="179"/>
      <c r="S166" s="799"/>
    </row>
    <row r="167" spans="2:19" s="1154" customFormat="1" ht="18" customHeight="1" x14ac:dyDescent="0.25">
      <c r="B167" s="244"/>
      <c r="C167" s="188"/>
      <c r="D167" s="1221"/>
      <c r="E167" s="808"/>
      <c r="F167" s="806"/>
      <c r="G167" s="647"/>
      <c r="H167" s="646"/>
      <c r="I167" s="1204">
        <v>2</v>
      </c>
      <c r="J167" s="1164"/>
      <c r="K167" s="1198"/>
      <c r="L167" s="1165"/>
      <c r="M167" s="1273"/>
      <c r="N167" s="1159"/>
      <c r="O167" s="1156"/>
      <c r="P167" s="245"/>
      <c r="Q167" s="179"/>
      <c r="S167" s="799"/>
    </row>
    <row r="168" spans="2:19" s="1154" customFormat="1" ht="18" customHeight="1" x14ac:dyDescent="0.25">
      <c r="B168" s="244"/>
      <c r="C168" s="188"/>
      <c r="D168" s="1221"/>
      <c r="E168" s="808"/>
      <c r="F168" s="806"/>
      <c r="G168" s="194" t="s">
        <v>1497</v>
      </c>
      <c r="H168" s="646"/>
      <c r="I168" s="1204">
        <v>3</v>
      </c>
      <c r="J168" s="1164"/>
      <c r="K168" s="1198"/>
      <c r="L168" s="1165"/>
      <c r="M168" s="1273"/>
      <c r="N168" s="1159"/>
      <c r="O168" s="1156"/>
      <c r="P168" s="245"/>
      <c r="Q168" s="179"/>
      <c r="S168" s="799"/>
    </row>
    <row r="169" spans="2:19" s="1154" customFormat="1" ht="18" customHeight="1" x14ac:dyDescent="0.25">
      <c r="B169" s="244"/>
      <c r="C169" s="188"/>
      <c r="D169" s="1221"/>
      <c r="E169" s="808"/>
      <c r="F169" s="806"/>
      <c r="G169" s="1290">
        <f>IFERROR(IF(Welcome!$D$6="New",Incentives!G166/(Incentives!H5*Incentives!H4),Incentives!G166/(Incentives!H5*(Incentives!E166-Incentives!E165)/365)),0)</f>
        <v>0</v>
      </c>
      <c r="H169" s="646"/>
      <c r="I169" s="1204">
        <v>4</v>
      </c>
      <c r="J169" s="1164"/>
      <c r="K169" s="1273"/>
      <c r="L169" s="1165"/>
      <c r="M169" s="1273"/>
      <c r="N169" s="1159"/>
      <c r="O169" s="1156"/>
      <c r="P169" s="245"/>
      <c r="Q169" s="179"/>
      <c r="S169" s="799"/>
    </row>
    <row r="170" spans="2:19" s="1154" customFormat="1" ht="18" customHeight="1" x14ac:dyDescent="0.25">
      <c r="B170" s="244"/>
      <c r="C170" s="188"/>
      <c r="D170" s="1221"/>
      <c r="E170" s="808"/>
      <c r="F170" s="806"/>
      <c r="G170" s="647"/>
      <c r="H170" s="646"/>
      <c r="I170" s="1204">
        <v>5</v>
      </c>
      <c r="J170" s="1164"/>
      <c r="K170" s="1273"/>
      <c r="L170" s="1165"/>
      <c r="M170" s="1273"/>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10"/>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4" t="s">
        <v>1209</v>
      </c>
      <c r="E173" s="1434"/>
      <c r="F173" s="213"/>
      <c r="G173" s="236"/>
      <c r="H173" s="183"/>
      <c r="I173" s="237"/>
      <c r="J173" s="216"/>
      <c r="K173" s="217"/>
      <c r="L173" s="183"/>
      <c r="M173" s="217"/>
      <c r="N173" s="1427"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7"/>
      <c r="P173" s="1428"/>
      <c r="Q173" s="179"/>
      <c r="S173" s="695"/>
    </row>
    <row r="174" spans="2:19" s="1056" customFormat="1" ht="18" hidden="1" customHeight="1" thickBot="1" x14ac:dyDescent="0.3">
      <c r="B174" s="244"/>
      <c r="C174" s="188"/>
      <c r="D174" s="1208" t="s">
        <v>528</v>
      </c>
      <c r="E174" s="1105" t="s">
        <v>653</v>
      </c>
      <c r="F174" s="805"/>
      <c r="G174" s="194" t="s">
        <v>1488</v>
      </c>
      <c r="H174" s="188"/>
      <c r="I174" s="194" t="s">
        <v>1489</v>
      </c>
      <c r="J174" s="41"/>
      <c r="K174" s="194" t="s">
        <v>1505</v>
      </c>
      <c r="L174" s="188"/>
      <c r="M174" s="194" t="s">
        <v>1490</v>
      </c>
      <c r="N174" s="1429"/>
      <c r="O174" s="1429"/>
      <c r="P174" s="1430"/>
      <c r="Q174" s="179"/>
      <c r="S174" s="695"/>
    </row>
    <row r="175" spans="2:19" s="1056" customFormat="1" ht="18" hidden="1" customHeight="1" thickBot="1" x14ac:dyDescent="0.3">
      <c r="B175" s="244"/>
      <c r="C175" s="188"/>
      <c r="D175" s="1075" t="s">
        <v>1491</v>
      </c>
      <c r="E175" s="1171" t="s">
        <v>1492</v>
      </c>
      <c r="F175" s="806" t="s">
        <v>924</v>
      </c>
      <c r="G175" s="1278"/>
      <c r="H175" s="188"/>
      <c r="I175" s="1272"/>
      <c r="J175" s="1159"/>
      <c r="K175" s="1272"/>
      <c r="L175" s="188"/>
      <c r="M175" s="1265"/>
      <c r="N175" s="1429"/>
      <c r="O175" s="1429"/>
      <c r="P175" s="1430"/>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9"/>
      <c r="O176" s="1429"/>
      <c r="P176" s="1430"/>
      <c r="Q176" s="179"/>
      <c r="S176" s="695"/>
    </row>
    <row r="177" spans="2:20" s="1056" customFormat="1" ht="18" hidden="1" customHeight="1" thickBot="1" x14ac:dyDescent="0.3">
      <c r="B177" s="244"/>
      <c r="C177" s="188"/>
      <c r="D177" s="1082" t="s">
        <v>1493</v>
      </c>
      <c r="E177" s="1288" t="str">
        <f>IF(E174="Yes",IF(Welcome!$D$6="New",IF('Required Info to Submit'!F$14="","",'Required Info to Submit'!F$14),""),"")</f>
        <v/>
      </c>
      <c r="F177" s="805"/>
      <c r="G177" s="229" t="s">
        <v>1504</v>
      </c>
      <c r="H177" s="188"/>
      <c r="I177" s="194" t="s">
        <v>1592</v>
      </c>
      <c r="J177" s="1435"/>
      <c r="K177" s="194" t="s">
        <v>751</v>
      </c>
      <c r="L177" s="1435"/>
      <c r="M177" s="194" t="s">
        <v>1593</v>
      </c>
      <c r="N177" s="1159"/>
      <c r="O177" s="6" t="s">
        <v>493</v>
      </c>
      <c r="P177" s="245"/>
      <c r="Q177" s="179"/>
      <c r="S177" s="695"/>
    </row>
    <row r="178" spans="2:20" s="1056" customFormat="1" ht="18" hidden="1" customHeight="1" thickBot="1" x14ac:dyDescent="0.3">
      <c r="B178" s="244"/>
      <c r="C178" s="188"/>
      <c r="D178" s="1082" t="s">
        <v>1494</v>
      </c>
      <c r="E178" s="1288" t="str">
        <f>IF(E174="Yes",IF(Welcome!$D$6="New",IF('Required Info to Submit'!F$17="","",'Required Info to Submit'!F$17),""),"")</f>
        <v/>
      </c>
      <c r="F178" s="806" t="s">
        <v>924</v>
      </c>
      <c r="G178" s="1273">
        <v>0</v>
      </c>
      <c r="H178" s="188"/>
      <c r="I178" s="1204">
        <v>1</v>
      </c>
      <c r="J178" s="1436"/>
      <c r="K178" s="1198"/>
      <c r="L178" s="1437"/>
      <c r="M178" s="1273"/>
      <c r="N178" s="1159"/>
      <c r="O178" s="1194">
        <f>IFERROR(IF($E$162="Yes",G178/$H$4,0),0)</f>
        <v>0</v>
      </c>
      <c r="P178" s="245"/>
      <c r="Q178" s="179"/>
      <c r="S178" s="695"/>
    </row>
    <row r="179" spans="2:20" s="1056" customFormat="1" ht="18" hidden="1" customHeight="1" x14ac:dyDescent="0.25">
      <c r="B179" s="244"/>
      <c r="C179" s="188"/>
      <c r="D179" s="1221"/>
      <c r="E179" s="808"/>
      <c r="F179" s="806"/>
      <c r="G179" s="647"/>
      <c r="H179" s="646"/>
      <c r="I179" s="1204">
        <v>2</v>
      </c>
      <c r="J179" s="1164"/>
      <c r="K179" s="1198"/>
      <c r="L179" s="1165"/>
      <c r="M179" s="1273"/>
      <c r="N179" s="1159"/>
      <c r="O179" s="1156"/>
      <c r="P179" s="245"/>
      <c r="Q179" s="179"/>
    </row>
    <row r="180" spans="2:20" s="1154" customFormat="1" ht="18" hidden="1" customHeight="1" x14ac:dyDescent="0.25">
      <c r="B180" s="244"/>
      <c r="C180" s="188"/>
      <c r="D180" s="1221"/>
      <c r="E180" s="808"/>
      <c r="F180" s="806"/>
      <c r="G180" s="194" t="s">
        <v>1497</v>
      </c>
      <c r="H180" s="646"/>
      <c r="I180" s="1204">
        <v>3</v>
      </c>
      <c r="J180" s="1164"/>
      <c r="K180" s="1198"/>
      <c r="L180" s="1165"/>
      <c r="M180" s="1273"/>
      <c r="N180" s="1159"/>
      <c r="O180" s="1156"/>
      <c r="P180" s="245"/>
      <c r="Q180" s="179"/>
    </row>
    <row r="181" spans="2:20" s="1154" customFormat="1" ht="18" hidden="1" customHeight="1" x14ac:dyDescent="0.25">
      <c r="B181" s="244"/>
      <c r="C181" s="188"/>
      <c r="D181" s="1221"/>
      <c r="E181" s="808"/>
      <c r="F181" s="806"/>
      <c r="G181" s="1290">
        <f>IFERROR(G178/(H5*H9),0)</f>
        <v>0</v>
      </c>
      <c r="H181" s="646"/>
      <c r="I181" s="1204">
        <v>4</v>
      </c>
      <c r="J181" s="1164"/>
      <c r="K181" s="1273"/>
      <c r="L181" s="1165"/>
      <c r="M181" s="1273"/>
      <c r="N181" s="1159"/>
      <c r="O181" s="1156"/>
      <c r="P181" s="245"/>
      <c r="Q181" s="179"/>
    </row>
    <row r="182" spans="2:20" s="1154" customFormat="1" ht="18" hidden="1" customHeight="1" x14ac:dyDescent="0.25">
      <c r="B182" s="244"/>
      <c r="C182" s="188"/>
      <c r="D182" s="1221"/>
      <c r="E182" s="808"/>
      <c r="F182" s="806"/>
      <c r="G182" s="647"/>
      <c r="H182" s="646"/>
      <c r="I182" s="1204">
        <v>5</v>
      </c>
      <c r="J182" s="1164"/>
      <c r="K182" s="1273"/>
      <c r="L182" s="1165"/>
      <c r="M182" s="1273"/>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10"/>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1" t="s">
        <v>1594</v>
      </c>
      <c r="E185" s="1431"/>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8"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9"/>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8"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8" t="str">
        <f>IF(E186="Yes",IF(Welcome!$D$6="New",IF('Required Info to Submit'!F$17="","",'Required Info to Submit'!F$17),""),"")</f>
        <v/>
      </c>
      <c r="F190" s="196"/>
      <c r="G190" s="1159"/>
      <c r="H190" s="145"/>
      <c r="I190" s="1159"/>
      <c r="J190" s="1159"/>
      <c r="K190" s="1205">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7">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8"/>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9"/>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2"/>
      <c r="D197" s="1432"/>
      <c r="I197" s="657"/>
      <c r="L197" s="1056"/>
      <c r="M197" s="1433"/>
      <c r="N197" s="1433"/>
      <c r="O197" s="1433"/>
      <c r="P197" s="1433"/>
      <c r="R197" s="1055"/>
    </row>
  </sheetData>
  <sheetProtection algorithmName="SHA-512" hashValue="sFXBKzBukUVN0DMiYXVNnI7WsI+b1oXME1UX4Y2A4FdIuGIyASJEsFpzkZSuLRn/E0SgNzcGNn4kTAfu0GDOPg==" saltValue="/kp2XaCI9hxTYNU843qhRg==" spinCount="100000" sheet="1" objects="1" scenarios="1"/>
  <mergeCells count="47">
    <mergeCell ref="D157:E157"/>
    <mergeCell ref="D158:E158"/>
    <mergeCell ref="N150:P153"/>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9" t="s">
        <v>210</v>
      </c>
      <c r="D2" s="1479"/>
      <c r="E2" s="1479"/>
      <c r="F2" s="504"/>
      <c r="G2" s="172"/>
      <c r="H2" s="172"/>
      <c r="I2" s="172"/>
      <c r="J2" s="172"/>
      <c r="K2" s="172"/>
      <c r="L2" s="175"/>
    </row>
    <row r="3" spans="2:23" x14ac:dyDescent="0.25">
      <c r="B3" s="178"/>
      <c r="C3" s="1484" t="s">
        <v>1246</v>
      </c>
      <c r="D3" s="1485"/>
      <c r="E3" s="387">
        <f>Welcome!$D$8</f>
        <v>0</v>
      </c>
      <c r="F3" s="390"/>
      <c r="G3" s="474" t="s">
        <v>110</v>
      </c>
      <c r="H3" s="1482" t="str">
        <f>IFERROR(VLOOKUP($H$4,'Market Geography'!$D:$G,4,FALSE),"Select Market")</f>
        <v>Select Market</v>
      </c>
      <c r="I3" s="1482"/>
      <c r="J3" s="1482"/>
      <c r="K3" s="1483"/>
      <c r="L3" s="179"/>
    </row>
    <row r="4" spans="2:23" x14ac:dyDescent="0.25">
      <c r="B4" s="178"/>
      <c r="C4" s="1471" t="s">
        <v>1247</v>
      </c>
      <c r="D4" s="1472"/>
      <c r="E4" s="356" t="str">
        <f>Welcome!$D$12</f>
        <v>Select Term</v>
      </c>
      <c r="F4" s="505"/>
      <c r="G4" s="475" t="s">
        <v>881</v>
      </c>
      <c r="H4" s="1467">
        <f>Welcome!$D$4</f>
        <v>0</v>
      </c>
      <c r="I4" s="1467"/>
      <c r="J4" s="1467"/>
      <c r="K4" s="1468"/>
      <c r="L4" s="179"/>
    </row>
    <row r="5" spans="2:23" x14ac:dyDescent="0.25">
      <c r="B5" s="178"/>
      <c r="C5" s="1471" t="s">
        <v>1252</v>
      </c>
      <c r="D5" s="1472"/>
      <c r="E5" s="143">
        <f>'PIM Model'!$G$31</f>
        <v>0</v>
      </c>
      <c r="F5" s="506"/>
      <c r="G5" s="475" t="s">
        <v>107</v>
      </c>
      <c r="H5" s="1467" t="str">
        <f>'Multi-Customer'!$S$49</f>
        <v>Enter Customer(s)</v>
      </c>
      <c r="I5" s="1467"/>
      <c r="J5" s="1467"/>
      <c r="K5" s="1468"/>
      <c r="L5" s="179"/>
    </row>
    <row r="6" spans="2:23" x14ac:dyDescent="0.25">
      <c r="B6" s="178"/>
      <c r="C6" s="1471" t="s">
        <v>1253</v>
      </c>
      <c r="D6" s="1472"/>
      <c r="E6" s="144">
        <f>'PIM Model'!$E$6</f>
        <v>0</v>
      </c>
      <c r="F6" s="390"/>
      <c r="G6" s="475" t="s">
        <v>1262</v>
      </c>
      <c r="H6" s="1467" t="str">
        <f>IF('Multi-Customer'!$AH$40 = "MULTIPLE MENU TYPES","MULTIPLE TYPES",'Multi-Customer'!$AH$40)</f>
        <v>MULTIPLE TYPES</v>
      </c>
      <c r="I6" s="1467"/>
      <c r="J6" s="1467"/>
      <c r="K6" s="1468"/>
      <c r="L6" s="179"/>
      <c r="R6" s="507"/>
    </row>
    <row r="7" spans="2:23" ht="15.75" thickBot="1" x14ac:dyDescent="0.3">
      <c r="B7" s="178"/>
      <c r="C7" s="1473" t="s">
        <v>1254</v>
      </c>
      <c r="D7" s="1474"/>
      <c r="E7" s="388">
        <f>IFERROR('PIM Ranges'!$AU$3,0)</f>
        <v>0</v>
      </c>
      <c r="F7" s="177"/>
      <c r="G7" s="476" t="s">
        <v>1255</v>
      </c>
      <c r="H7" s="1469" t="s">
        <v>206</v>
      </c>
      <c r="I7" s="1469"/>
      <c r="J7" s="1469"/>
      <c r="K7" s="1470"/>
      <c r="L7" s="179"/>
      <c r="P7" s="177"/>
      <c r="Q7" s="153"/>
      <c r="R7" s="508"/>
      <c r="S7" s="134"/>
      <c r="T7" s="153"/>
      <c r="U7" s="177"/>
      <c r="V7" s="153"/>
      <c r="W7" s="177"/>
    </row>
    <row r="8" spans="2:23" ht="13.9" customHeight="1" x14ac:dyDescent="0.25">
      <c r="B8" s="178"/>
      <c r="D8" s="136"/>
      <c r="E8" s="1413"/>
      <c r="F8" s="1413"/>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5" t="s">
        <v>886</v>
      </c>
      <c r="J10" s="1475"/>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6" t="str">
        <f>IFERROR($E11/$E$5,"")</f>
        <v/>
      </c>
      <c r="J11" s="1476"/>
      <c r="K11" s="245"/>
      <c r="L11" s="179"/>
      <c r="R11" s="507"/>
    </row>
    <row r="12" spans="2:23" ht="36" customHeight="1" x14ac:dyDescent="0.25">
      <c r="B12" s="178"/>
      <c r="C12" s="244"/>
      <c r="D12" s="1477" t="s">
        <v>684</v>
      </c>
      <c r="E12" s="1477"/>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6" t="str">
        <f>IFERROR(E13/E5,"")</f>
        <v/>
      </c>
      <c r="J13" s="1476"/>
      <c r="K13" s="245"/>
      <c r="L13" s="179"/>
    </row>
    <row r="14" spans="2:23" s="775" customFormat="1" ht="36.6" customHeight="1" x14ac:dyDescent="0.25">
      <c r="B14" s="178"/>
      <c r="C14" s="244"/>
      <c r="D14" s="1477" t="s">
        <v>1167</v>
      </c>
      <c r="E14" s="1477"/>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6" t="str">
        <f>IFERROR($E15/$E$5,"")</f>
        <v/>
      </c>
      <c r="J15" s="1476"/>
      <c r="K15" s="245"/>
      <c r="L15" s="179"/>
    </row>
    <row r="16" spans="2:23" ht="26.45" customHeight="1" x14ac:dyDescent="0.25">
      <c r="B16" s="178"/>
      <c r="C16" s="244"/>
      <c r="D16" s="1466" t="s">
        <v>686</v>
      </c>
      <c r="E16" s="1466"/>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6" t="str">
        <f>IFERROR($E17/$E$5,"")</f>
        <v/>
      </c>
      <c r="J17" s="1476"/>
      <c r="K17" s="245"/>
      <c r="L17" s="179"/>
    </row>
    <row r="18" spans="2:12" ht="25.9" customHeight="1" x14ac:dyDescent="0.25">
      <c r="B18" s="178"/>
      <c r="C18" s="244"/>
      <c r="D18" s="1466" t="s">
        <v>685</v>
      </c>
      <c r="E18" s="1478"/>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0" t="str">
        <f>IFERROR($E19/$E$5,"")</f>
        <v/>
      </c>
      <c r="J19" s="148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6" t="str">
        <f>IFERROR($E23/$E$5,"")</f>
        <v/>
      </c>
      <c r="J23" s="1476"/>
      <c r="K23" s="245"/>
      <c r="L23" s="179"/>
    </row>
    <row r="24" spans="2:12" ht="16.149999999999999" customHeight="1" x14ac:dyDescent="0.25">
      <c r="B24" s="178"/>
      <c r="C24" s="244"/>
      <c r="D24" s="1481" t="s">
        <v>928</v>
      </c>
      <c r="E24" s="148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5" t="s">
        <v>886</v>
      </c>
      <c r="J28" s="1475"/>
      <c r="K28" s="245"/>
      <c r="L28" s="179"/>
    </row>
    <row r="29" spans="2:12" ht="25.15" customHeight="1" x14ac:dyDescent="0.25">
      <c r="B29" s="178"/>
      <c r="C29" s="244"/>
      <c r="D29" s="528" t="s">
        <v>221</v>
      </c>
      <c r="E29" s="529">
        <f>IFERROR('EB_CM (Back)'!$F$47,0)</f>
        <v>0</v>
      </c>
      <c r="F29" s="188"/>
      <c r="G29" s="516">
        <f>IFERROR(E29/'PIM Model'!$H$31,0)</f>
        <v>0</v>
      </c>
      <c r="H29" s="188"/>
      <c r="I29" s="1476" t="str">
        <f>IFERROR($E29/$E$5,"")</f>
        <v/>
      </c>
      <c r="J29" s="147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6" t="str">
        <f>IFERROR($E30/$E$5,"")</f>
        <v/>
      </c>
      <c r="J30" s="1476"/>
      <c r="K30" s="245"/>
      <c r="L30" s="179"/>
    </row>
    <row r="31" spans="2:12" ht="27.6" customHeight="1" x14ac:dyDescent="0.25">
      <c r="B31" s="178"/>
      <c r="C31" s="534"/>
      <c r="D31" s="1466" t="s">
        <v>230</v>
      </c>
      <c r="E31" s="1466"/>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6"/>
      <c r="E37" s="146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4" t="s">
        <v>1246</v>
      </c>
      <c r="D4" s="1485"/>
      <c r="E4" s="650">
        <f>Welcome!$D$8</f>
        <v>0</v>
      </c>
      <c r="F4" s="139"/>
      <c r="G4" s="474" t="s">
        <v>110</v>
      </c>
      <c r="H4" s="1420" t="str">
        <f>IFERROR(VLOOKUP($H$5,'Market Geography'!$D:$G,4,FALSE),"Select Market")</f>
        <v>Select Market</v>
      </c>
      <c r="I4" s="1421"/>
      <c r="J4" s="1422"/>
      <c r="K4" s="927"/>
      <c r="L4" s="927"/>
      <c r="M4" s="927"/>
      <c r="N4" s="927"/>
      <c r="O4" s="927"/>
      <c r="P4" s="800"/>
      <c r="Q4" s="802"/>
      <c r="R4" s="741"/>
      <c r="S4" s="540"/>
    </row>
    <row r="5" spans="1:31" x14ac:dyDescent="0.25">
      <c r="B5" s="178"/>
      <c r="C5" s="1471" t="s">
        <v>1247</v>
      </c>
      <c r="D5" s="1472"/>
      <c r="E5" s="356" t="str">
        <f>Welcome!$D$12</f>
        <v>Select Term</v>
      </c>
      <c r="F5" s="139"/>
      <c r="G5" s="475" t="s">
        <v>881</v>
      </c>
      <c r="H5" s="1417">
        <f>Welcome!$D$4</f>
        <v>0</v>
      </c>
      <c r="I5" s="1418"/>
      <c r="J5" s="1419"/>
      <c r="K5" s="927"/>
      <c r="L5" s="927"/>
      <c r="M5" s="927"/>
      <c r="N5" s="927"/>
      <c r="O5" s="927"/>
      <c r="P5" s="800"/>
      <c r="Q5" s="802"/>
      <c r="R5" s="741"/>
      <c r="S5" s="540"/>
    </row>
    <row r="6" spans="1:31" x14ac:dyDescent="0.25">
      <c r="B6" s="178"/>
      <c r="C6" s="1471" t="s">
        <v>1252</v>
      </c>
      <c r="D6" s="1472"/>
      <c r="E6" s="357">
        <f>IFERROR('PIM Model'!$G$31,0)</f>
        <v>0</v>
      </c>
      <c r="F6" s="389"/>
      <c r="G6" s="475" t="s">
        <v>107</v>
      </c>
      <c r="H6" s="1417" t="str">
        <f>'Multi-Customer'!$S$49</f>
        <v>Enter Customer(s)</v>
      </c>
      <c r="I6" s="1418"/>
      <c r="J6" s="1419"/>
      <c r="K6" s="927"/>
      <c r="L6" s="927"/>
      <c r="M6" s="927"/>
      <c r="N6" s="927"/>
      <c r="O6" s="927"/>
      <c r="P6" s="800"/>
      <c r="Q6" s="802"/>
      <c r="R6" s="741"/>
      <c r="S6" s="540"/>
    </row>
    <row r="7" spans="1:31" x14ac:dyDescent="0.25">
      <c r="B7" s="178"/>
      <c r="C7" s="1471" t="s">
        <v>1253</v>
      </c>
      <c r="D7" s="1472"/>
      <c r="E7" s="541">
        <f>IFERROR('Variable Costs (Back)'!$K$26,0)</f>
        <v>0</v>
      </c>
      <c r="F7" s="177"/>
      <c r="G7" s="475" t="s">
        <v>1262</v>
      </c>
      <c r="H7" s="1417" t="str">
        <f>'Multi-Customer'!$AH$40</f>
        <v>MULTIPLE TYPES</v>
      </c>
      <c r="I7" s="1418"/>
      <c r="J7" s="1419"/>
      <c r="K7" s="927"/>
      <c r="L7" s="927"/>
      <c r="M7" s="927"/>
      <c r="N7" s="927"/>
      <c r="O7" s="927"/>
      <c r="P7" s="800"/>
      <c r="Q7" s="802"/>
      <c r="R7" s="741"/>
      <c r="S7" s="540"/>
    </row>
    <row r="8" spans="1:31" ht="15.75" thickBot="1" x14ac:dyDescent="0.3">
      <c r="B8" s="178"/>
      <c r="C8" s="1473" t="s">
        <v>1254</v>
      </c>
      <c r="D8" s="1474"/>
      <c r="E8" s="388">
        <f>IFERROR('PIM Ranges'!$AU$3,0)</f>
        <v>0</v>
      </c>
      <c r="F8" s="390"/>
      <c r="G8" s="476" t="s">
        <v>1255</v>
      </c>
      <c r="H8" s="1486" t="s">
        <v>206</v>
      </c>
      <c r="I8" s="1487"/>
      <c r="J8" s="1488"/>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4" t="s">
        <v>1207</v>
      </c>
      <c r="R11" s="149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9" t="s">
        <v>1207</v>
      </c>
      <c r="R21" s="1490"/>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3" t="s">
        <v>230</v>
      </c>
      <c r="E32" s="1493"/>
      <c r="F32" s="1493"/>
      <c r="G32" s="1493"/>
      <c r="H32" s="559"/>
      <c r="I32" s="1492" t="str">
        <f>IF($J$33=0,IF($N$33=0,"","Customer EB % Missing"),IF($N$33=0,"Customer Drops/Wk Missing","Customer EB % &amp; Drops/Wk Missing"))</f>
        <v/>
      </c>
      <c r="J32" s="1492"/>
      <c r="K32" s="1492"/>
      <c r="L32" s="1492"/>
      <c r="M32" s="1492"/>
      <c r="N32" s="1492"/>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9" t="s">
        <v>1207</v>
      </c>
      <c r="R37" s="1490"/>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1"/>
      <c r="C41" s="1491"/>
      <c r="D41" s="1491"/>
      <c r="N41" s="1433"/>
      <c r="O41" s="1433"/>
      <c r="P41" s="1433"/>
      <c r="Q41" s="1433"/>
      <c r="R41" s="1433"/>
      <c r="S41" s="1433"/>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0" t="s">
        <v>649</v>
      </c>
      <c r="D2" s="1501"/>
      <c r="E2" s="1501"/>
      <c r="F2" s="1501"/>
      <c r="G2" s="1501"/>
      <c r="H2" s="1501"/>
      <c r="I2" s="1501"/>
      <c r="J2" s="1501"/>
      <c r="K2" s="1501"/>
      <c r="L2" s="1501"/>
      <c r="M2" s="1501"/>
      <c r="N2" s="1501"/>
      <c r="O2" s="1501"/>
      <c r="P2" s="150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3"/>
      <c r="G4" s="1503"/>
      <c r="P4" s="613"/>
      <c r="T4" s="1" t="s">
        <v>483</v>
      </c>
    </row>
    <row r="5" spans="3:23" x14ac:dyDescent="0.25">
      <c r="C5" s="137"/>
      <c r="E5" s="397"/>
      <c r="P5" s="138"/>
    </row>
    <row r="6" spans="3:23" x14ac:dyDescent="0.25">
      <c r="C6" s="137"/>
      <c r="E6" s="136" t="s">
        <v>1263</v>
      </c>
      <c r="F6" s="1503"/>
      <c r="G6" s="1503"/>
      <c r="P6" s="138"/>
    </row>
    <row r="7" spans="3:23" x14ac:dyDescent="0.25">
      <c r="C7" s="137"/>
      <c r="E7" s="136"/>
      <c r="P7" s="138"/>
    </row>
    <row r="8" spans="3:23" x14ac:dyDescent="0.25">
      <c r="C8" s="137"/>
      <c r="E8" s="136" t="s">
        <v>1264</v>
      </c>
      <c r="F8" s="1503"/>
      <c r="G8" s="1503"/>
      <c r="P8" s="138"/>
    </row>
    <row r="9" spans="3:23" x14ac:dyDescent="0.25">
      <c r="C9" s="137"/>
      <c r="E9" s="136" t="s">
        <v>1265</v>
      </c>
      <c r="F9" s="1503"/>
      <c r="G9" s="1503"/>
      <c r="P9" s="138"/>
    </row>
    <row r="10" spans="3:23" x14ac:dyDescent="0.25">
      <c r="C10" s="137"/>
      <c r="E10" s="136" t="s">
        <v>877</v>
      </c>
      <c r="F10" s="1503"/>
      <c r="G10" s="1503"/>
      <c r="P10" s="138"/>
    </row>
    <row r="11" spans="3:23" x14ac:dyDescent="0.25">
      <c r="C11" s="137"/>
      <c r="E11" s="136" t="s">
        <v>830</v>
      </c>
      <c r="F11" s="1503"/>
      <c r="G11" s="1503"/>
      <c r="P11" s="138"/>
    </row>
    <row r="12" spans="3:23" x14ac:dyDescent="0.25">
      <c r="C12" s="137"/>
      <c r="E12" s="136" t="s">
        <v>1266</v>
      </c>
      <c r="F12" s="1503"/>
      <c r="G12" s="1503"/>
      <c r="P12" s="138"/>
    </row>
    <row r="13" spans="3:23" x14ac:dyDescent="0.25">
      <c r="C13" s="137"/>
      <c r="E13" s="136"/>
      <c r="F13" s="1505"/>
      <c r="G13" s="1505"/>
      <c r="P13" s="138"/>
    </row>
    <row r="14" spans="3:23" x14ac:dyDescent="0.25">
      <c r="C14" s="137"/>
      <c r="E14" s="136" t="s">
        <v>1267</v>
      </c>
      <c r="F14" s="1504"/>
      <c r="G14" s="1504"/>
      <c r="H14" s="626"/>
      <c r="P14" s="138"/>
      <c r="Q14" s="781">
        <f>WEEKDAY(F14,2)</f>
        <v>6</v>
      </c>
    </row>
    <row r="15" spans="3:23" s="888" customFormat="1" ht="13.5" customHeight="1" x14ac:dyDescent="0.25">
      <c r="C15" s="137"/>
      <c r="F15" s="1268" t="s">
        <v>1006</v>
      </c>
      <c r="G15" s="1268"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6" t="str">
        <f>IF(F14="","",F14+(363*IF(OR(Welcome!D12="Select Term",Welcome!D12=""),0,Welcome!D12))+6)</f>
        <v/>
      </c>
      <c r="G17" s="1506"/>
      <c r="O17" s="947"/>
      <c r="P17" s="138"/>
    </row>
    <row r="18" spans="1:17" ht="13.5" customHeight="1" x14ac:dyDescent="0.25">
      <c r="C18" s="137"/>
      <c r="P18" s="138"/>
    </row>
    <row r="19" spans="1:17" s="779" customFormat="1" ht="14.25" customHeight="1" x14ac:dyDescent="0.25">
      <c r="C19" s="137"/>
      <c r="E19" s="136" t="s">
        <v>1269</v>
      </c>
      <c r="F19" s="1498">
        <f>Welcome!D8</f>
        <v>0</v>
      </c>
      <c r="G19" s="1499"/>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5" t="s">
        <v>1574</v>
      </c>
      <c r="G44" s="1496"/>
      <c r="H44" s="1497"/>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bliZqsnPxgUyUoUkt85GuCSkbVKG/S+ZxmzJHz+P/QVT3lgQAjisTqq9Bb22kehKaS1js8c2/vTns8wwUE41Q==" saltValue="NJiiZaWmG9bmbuzlaGX1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7" t="s">
        <v>1289</v>
      </c>
      <c r="C2" s="1508"/>
      <c r="D2" s="1508"/>
      <c r="E2" s="1508"/>
      <c r="F2" s="1508"/>
      <c r="G2" s="1508"/>
      <c r="H2" s="1508"/>
      <c r="I2" s="1509"/>
      <c r="J2" s="910"/>
      <c r="K2" s="910"/>
      <c r="L2" s="910"/>
      <c r="M2" s="1510" t="s">
        <v>1290</v>
      </c>
      <c r="N2" s="1510"/>
      <c r="O2" s="1510"/>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7" t="s">
        <v>1303</v>
      </c>
      <c r="C7" s="1508"/>
      <c r="D7" s="1508"/>
      <c r="E7" s="1508"/>
      <c r="F7" s="1508"/>
      <c r="G7" s="1508"/>
      <c r="H7" s="1508"/>
      <c r="I7" s="1509"/>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1" t="s">
        <v>1330</v>
      </c>
      <c r="C15" s="1512"/>
      <c r="D15" s="1512"/>
      <c r="E15" s="1512"/>
      <c r="F15" s="1512"/>
      <c r="G15" s="1513"/>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4" t="s">
        <v>1358</v>
      </c>
      <c r="C2" s="1508"/>
      <c r="D2" s="1508"/>
      <c r="E2" s="1508"/>
      <c r="F2" s="1508"/>
      <c r="G2" s="1508"/>
      <c r="H2" s="1508"/>
      <c r="I2" s="1508"/>
      <c r="J2" s="1508"/>
      <c r="K2" s="1508"/>
      <c r="L2" s="1508"/>
      <c r="M2" s="1508"/>
      <c r="N2" s="1509"/>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5" t="s">
        <v>1373</v>
      </c>
      <c r="C8" s="1508"/>
      <c r="D8" s="1508"/>
      <c r="E8" s="1508"/>
      <c r="F8" s="1508"/>
      <c r="G8" s="1508"/>
      <c r="H8" s="1508"/>
      <c r="I8" s="1508"/>
      <c r="J8" s="1508"/>
      <c r="K8" s="1508"/>
      <c r="L8" s="1508"/>
      <c r="M8" s="1508"/>
      <c r="N8" s="1509"/>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5" t="s">
        <v>1385</v>
      </c>
      <c r="C32" s="1516"/>
      <c r="D32" s="1516"/>
      <c r="E32" s="1516"/>
      <c r="F32" s="1516"/>
      <c r="G32" s="1516"/>
      <c r="H32" s="1516"/>
      <c r="I32" s="1516"/>
      <c r="J32" s="1516"/>
      <c r="K32" s="1516"/>
      <c r="L32" s="1516"/>
      <c r="M32" s="1516"/>
      <c r="N32" s="1517"/>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02"/>
  <sheetViews>
    <sheetView showGridLines="0" topLeftCell="B414" zoomScale="80" zoomScaleNormal="80" workbookViewId="0">
      <selection activeCell="T428" sqref="T42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5"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customWidth="1"/>
    <col min="24" max="24" width="46" customWidth="1"/>
    <col min="25" max="25" width="12.140625" customWidth="1"/>
    <col min="26" max="26" width="25" customWidth="1"/>
  </cols>
  <sheetData>
    <row r="1" spans="1:26" s="1173" customFormat="1" ht="24" customHeight="1" thickBot="1" x14ac:dyDescent="0.4">
      <c r="A1" s="657"/>
      <c r="B1" s="657"/>
      <c r="C1" s="657"/>
      <c r="D1" s="657"/>
      <c r="E1" s="657"/>
      <c r="F1" s="657"/>
      <c r="G1" s="1284"/>
      <c r="H1" s="657"/>
      <c r="I1" s="657"/>
      <c r="J1" s="1538"/>
      <c r="K1" s="1538"/>
      <c r="L1" s="1538"/>
      <c r="M1" s="1538"/>
      <c r="N1" s="1538"/>
      <c r="O1" s="657"/>
      <c r="P1" s="1224"/>
      <c r="Q1" s="657"/>
      <c r="R1" s="1224"/>
      <c r="S1" s="657"/>
      <c r="T1" s="657"/>
      <c r="U1" s="657"/>
      <c r="W1" s="1253" t="s">
        <v>1653</v>
      </c>
      <c r="X1" s="1254" t="s">
        <v>1629</v>
      </c>
      <c r="Y1" s="1255" t="s">
        <v>1630</v>
      </c>
      <c r="Z1" s="1256" t="s">
        <v>1631</v>
      </c>
    </row>
    <row r="2" spans="1:26" s="1173" customFormat="1" ht="6" customHeight="1" thickBot="1" x14ac:dyDescent="0.3">
      <c r="A2" s="657"/>
      <c r="B2" s="657"/>
      <c r="C2" s="657"/>
      <c r="D2" s="657"/>
      <c r="E2" s="657"/>
      <c r="F2" s="657"/>
      <c r="G2" s="1284"/>
      <c r="H2" s="657"/>
      <c r="I2" s="657"/>
      <c r="J2" s="657"/>
      <c r="K2" s="657"/>
      <c r="L2" s="657"/>
      <c r="M2" s="657"/>
      <c r="N2" s="657"/>
      <c r="O2" s="657"/>
      <c r="P2" s="657"/>
      <c r="Q2" s="657"/>
      <c r="R2" s="657"/>
      <c r="S2" s="657"/>
      <c r="T2" s="657"/>
      <c r="U2" s="657"/>
    </row>
    <row r="3" spans="1:26" s="1173" customFormat="1" ht="21" customHeight="1" thickBot="1" x14ac:dyDescent="0.3">
      <c r="A3" s="657"/>
      <c r="B3" s="1520" t="s">
        <v>1596</v>
      </c>
      <c r="C3" s="1539"/>
      <c r="D3" s="1539"/>
      <c r="E3" s="1539"/>
      <c r="F3" s="1539"/>
      <c r="G3" s="1539"/>
      <c r="H3" s="1539"/>
      <c r="I3" s="1539"/>
      <c r="J3" s="1539"/>
      <c r="K3" s="1539"/>
      <c r="L3" s="1539"/>
      <c r="M3" s="1539"/>
      <c r="N3" s="1539"/>
      <c r="O3" s="1539"/>
      <c r="P3" s="1539"/>
      <c r="Q3" s="1539"/>
      <c r="R3" s="1539"/>
      <c r="S3" s="1539"/>
      <c r="T3" s="1539"/>
      <c r="U3" s="1540"/>
      <c r="W3" s="1251">
        <v>1201</v>
      </c>
      <c r="X3" s="1179" t="s">
        <v>1597</v>
      </c>
      <c r="Y3" s="1251">
        <v>1</v>
      </c>
      <c r="Z3" s="1177" t="str">
        <f>IF(Incentives!$E$13="Yes",IF(Incentives!$E$14=X3,14,IF(Incentives!$E$27="Yes",IF(Incentives!$E$28=X3,28,IF(Incentives!$E$41="Yes",IF(Incentives!$E$42=X3,42,""),"")),"")),"")</f>
        <v/>
      </c>
    </row>
    <row r="4" spans="1:26" s="1173" customFormat="1" ht="20.25" customHeight="1" thickBot="1" x14ac:dyDescent="0.3">
      <c r="A4" s="657"/>
      <c r="B4" s="1225"/>
      <c r="C4" s="1225"/>
      <c r="D4" s="1225"/>
      <c r="E4" s="1225"/>
      <c r="F4" s="1225"/>
      <c r="G4" s="1279"/>
      <c r="H4" s="1225"/>
      <c r="I4" s="1225"/>
      <c r="J4" s="1225"/>
      <c r="K4" s="1225"/>
      <c r="L4" s="1225"/>
      <c r="M4" s="1225"/>
      <c r="N4" s="1225"/>
      <c r="O4" s="1225"/>
      <c r="P4" s="1225"/>
      <c r="Q4" s="1225"/>
      <c r="R4" s="1225"/>
      <c r="S4" s="1225"/>
      <c r="T4" s="1225"/>
      <c r="U4" s="1225"/>
      <c r="W4" s="1246">
        <v>1202</v>
      </c>
      <c r="X4" s="1248"/>
      <c r="Y4" s="1247">
        <v>2</v>
      </c>
      <c r="Z4" s="1178" t="str">
        <f>IF(AND(Incentives!$E$13="Yes",Incentives!$E$14=X3),IF(Incentives!$E$27="Yes",IF(Incentives!$E$28=X3,28,IF(Incentives!$E$41="Yes",IF(Incentives!$E$42=X3,42,""),"")),""),"")</f>
        <v/>
      </c>
    </row>
    <row r="5" spans="1:26" s="1173" customFormat="1" ht="30" customHeight="1" thickBot="1" x14ac:dyDescent="0.3">
      <c r="A5" s="496"/>
      <c r="B5" s="1225"/>
      <c r="C5" s="1237" t="s">
        <v>1491</v>
      </c>
      <c r="D5" s="1522" t="s">
        <v>1597</v>
      </c>
      <c r="E5" s="1523"/>
      <c r="F5" s="1225"/>
      <c r="G5" s="1279"/>
      <c r="H5" s="1240" t="s">
        <v>1488</v>
      </c>
      <c r="I5" s="1225"/>
      <c r="J5" s="1240" t="s">
        <v>1489</v>
      </c>
      <c r="K5" s="1225"/>
      <c r="L5" s="1240" t="s">
        <v>1505</v>
      </c>
      <c r="M5" s="1225"/>
      <c r="N5" s="1241" t="s">
        <v>1490</v>
      </c>
      <c r="O5" s="1225"/>
      <c r="P5" s="1240" t="s">
        <v>1598</v>
      </c>
      <c r="Q5" s="1225"/>
      <c r="R5" s="1240" t="s">
        <v>1599</v>
      </c>
      <c r="S5" s="1225"/>
      <c r="T5" s="1242" t="s">
        <v>1600</v>
      </c>
      <c r="U5" s="1225"/>
      <c r="W5" s="1246">
        <v>1401</v>
      </c>
      <c r="X5" s="1248" t="s">
        <v>1612</v>
      </c>
      <c r="Y5" s="1247">
        <v>1</v>
      </c>
      <c r="Z5" s="1177" t="str">
        <f>IF(Incentives!$E$13="Yes",IF(Incentives!$E$14=X5,14,IF(Incentives!$E$27="Yes",IF(Incentives!$E$28=X5,28,IF(Incentives!$E$41="Yes",IF(Incentives!$E$42=X5,42,""),"")),"")),"")</f>
        <v/>
      </c>
    </row>
    <row r="6" spans="1:26" s="1173" customFormat="1" ht="18" customHeight="1" thickBot="1" x14ac:dyDescent="0.3">
      <c r="A6" s="657"/>
      <c r="B6" s="1225"/>
      <c r="C6" s="1225"/>
      <c r="D6" s="1225"/>
      <c r="E6" s="1225"/>
      <c r="F6" s="1225"/>
      <c r="G6" s="1279"/>
      <c r="H6" s="1175"/>
      <c r="I6" s="1225"/>
      <c r="J6" s="1230"/>
      <c r="K6" s="1232"/>
      <c r="L6" s="1230"/>
      <c r="M6" s="1232"/>
      <c r="N6" s="1202"/>
      <c r="O6" s="1225"/>
      <c r="P6" s="1176" t="s">
        <v>1601</v>
      </c>
      <c r="Q6" s="1225"/>
      <c r="R6" s="1176" t="s">
        <v>1602</v>
      </c>
      <c r="S6" s="1225"/>
      <c r="T6" s="1226" t="s">
        <v>653</v>
      </c>
      <c r="U6" s="1225"/>
      <c r="W6" s="1246">
        <v>1402</v>
      </c>
      <c r="X6" s="1248"/>
      <c r="Y6" s="1247">
        <v>2</v>
      </c>
      <c r="Z6" s="1178" t="str">
        <f>IF(AND(Incentives!$E$13="Yes",Incentives!$E$14=X5),IF(Incentives!$E$27="Yes",IF(Incentives!$E$28=X5,28,IF(Incentives!$E$41="Yes",IF(Incentives!$E$42=X5,42,""),"")),""),"")</f>
        <v/>
      </c>
    </row>
    <row r="7" spans="1:26" s="1173" customFormat="1" ht="30" customHeight="1" thickBot="1" x14ac:dyDescent="0.3">
      <c r="A7" s="657"/>
      <c r="B7" s="1225"/>
      <c r="C7" s="1237" t="s">
        <v>1603</v>
      </c>
      <c r="D7" s="1518">
        <v>1201</v>
      </c>
      <c r="E7" s="1524"/>
      <c r="F7" s="1225"/>
      <c r="G7" s="1279"/>
      <c r="H7" s="1225"/>
      <c r="I7" s="1225"/>
      <c r="J7" s="1225"/>
      <c r="K7" s="1225"/>
      <c r="L7" s="1225"/>
      <c r="M7" s="1225"/>
      <c r="N7" s="1225"/>
      <c r="O7" s="1225"/>
      <c r="P7" s="1225"/>
      <c r="Q7" s="1225"/>
      <c r="R7" s="1225"/>
      <c r="S7" s="1225"/>
      <c r="T7" s="1225"/>
      <c r="U7" s="1225"/>
      <c r="W7" s="1246">
        <v>1501</v>
      </c>
      <c r="X7" s="1248" t="s">
        <v>1625</v>
      </c>
      <c r="Y7" s="1247">
        <v>1</v>
      </c>
      <c r="Z7" s="1177" t="str">
        <f>IF(Incentives!$E$13="Yes",IF(Incentives!$E$14=X7,14,IF(Incentives!$E$27="Yes",IF(Incentives!$E$28=X7,28,IF(Incentives!$E$41="Yes",IF(Incentives!$E$42=X7,42,""),"")),"")),"")</f>
        <v/>
      </c>
    </row>
    <row r="8" spans="1:26" s="1173" customFormat="1" ht="17.25" customHeight="1" thickBot="1" x14ac:dyDescent="0.3">
      <c r="A8" s="657"/>
      <c r="B8" s="1225"/>
      <c r="C8" s="1225"/>
      <c r="D8" s="1225"/>
      <c r="E8" s="1225"/>
      <c r="F8" s="1225"/>
      <c r="G8" s="1279"/>
      <c r="H8" s="1225"/>
      <c r="I8" s="1225"/>
      <c r="J8" s="1225"/>
      <c r="K8" s="1225"/>
      <c r="L8" s="1240" t="s">
        <v>1497</v>
      </c>
      <c r="M8" s="1225"/>
      <c r="N8" s="1225"/>
      <c r="O8" s="1225"/>
      <c r="P8" s="1225"/>
      <c r="Q8" s="1225"/>
      <c r="R8" s="1225"/>
      <c r="S8" s="1225"/>
      <c r="T8" s="1225"/>
      <c r="U8" s="1225"/>
      <c r="W8" s="1246">
        <v>1502</v>
      </c>
      <c r="X8" s="1248"/>
      <c r="Y8" s="1247">
        <v>2</v>
      </c>
      <c r="Z8" s="1178" t="str">
        <f>IF(AND(Incentives!$E$13="Yes",Incentives!$E$14=X7),IF(Incentives!$E$27="Yes",IF(Incentives!$E$28=X7,28,IF(Incentives!$E$41="Yes",IF(Incentives!$E$42=X7,42,""),"")),""),"")</f>
        <v/>
      </c>
    </row>
    <row r="9" spans="1:26" s="1173" customFormat="1" ht="18" customHeight="1" thickBot="1" x14ac:dyDescent="0.3">
      <c r="A9" s="657"/>
      <c r="B9" s="1225"/>
      <c r="C9" s="1237" t="s">
        <v>1493</v>
      </c>
      <c r="D9" s="1541"/>
      <c r="E9" s="1542"/>
      <c r="F9" s="1225"/>
      <c r="G9" s="1279"/>
      <c r="H9" s="1225"/>
      <c r="I9" s="1225"/>
      <c r="J9" s="1225"/>
      <c r="K9" s="1225"/>
      <c r="L9" s="1230"/>
      <c r="M9" s="1225"/>
      <c r="N9" s="1225"/>
      <c r="O9" s="1225"/>
      <c r="P9" s="1225"/>
      <c r="Q9" s="1225"/>
      <c r="R9" s="1225"/>
      <c r="S9" s="1225"/>
      <c r="T9" s="1225"/>
      <c r="U9" s="1225"/>
      <c r="W9" s="1246">
        <v>5501</v>
      </c>
      <c r="X9" s="1252" t="s">
        <v>1634</v>
      </c>
      <c r="Y9" s="1249">
        <v>1</v>
      </c>
      <c r="Z9" s="1177" t="str">
        <f>IF(Incentives!$E$55="Yes",IF(Incentives!$E$56=X9,56,IF(Incentives!$E$69="Yes",IF(Incentives!$E$70=X9,70,""),"")),"")</f>
        <v/>
      </c>
    </row>
    <row r="10" spans="1:26" s="1173" customFormat="1" ht="18" customHeight="1" thickBot="1" x14ac:dyDescent="0.3">
      <c r="A10" s="657"/>
      <c r="B10" s="1225"/>
      <c r="C10" s="1225"/>
      <c r="D10" s="1225"/>
      <c r="E10" s="1225"/>
      <c r="F10" s="1225"/>
      <c r="G10" s="1279"/>
      <c r="H10" s="1225"/>
      <c r="I10" s="1225"/>
      <c r="J10" s="1225"/>
      <c r="K10" s="1225"/>
      <c r="L10" s="1225"/>
      <c r="M10" s="1225"/>
      <c r="N10" s="1225"/>
      <c r="O10" s="1225"/>
      <c r="P10" s="1225"/>
      <c r="Q10" s="1225"/>
      <c r="R10" s="1225"/>
      <c r="S10" s="1225"/>
      <c r="T10" s="1225"/>
      <c r="U10" s="1225"/>
      <c r="W10" s="1246">
        <v>5502</v>
      </c>
      <c r="X10" s="1252"/>
      <c r="Y10" s="1247">
        <v>2</v>
      </c>
      <c r="Z10" s="1178" t="str">
        <f>IF(AND(Incentives!$E$55="Yes",Incentives!$E$56=X9),IF(Incentives!$E$69="Yes",IF(Incentives!$E$70=X9,70,""),""),"")</f>
        <v/>
      </c>
    </row>
    <row r="11" spans="1:26" s="1173" customFormat="1" ht="30" customHeight="1" thickBot="1" x14ac:dyDescent="0.3">
      <c r="A11" s="657"/>
      <c r="B11" s="1225"/>
      <c r="C11" s="1237" t="s">
        <v>1494</v>
      </c>
      <c r="D11" s="1541"/>
      <c r="E11" s="1542"/>
      <c r="F11" s="1225"/>
      <c r="G11" s="1279"/>
      <c r="H11" s="1239" t="s">
        <v>1604</v>
      </c>
      <c r="I11" s="1225"/>
      <c r="J11" s="1225"/>
      <c r="K11" s="1225"/>
      <c r="L11" s="1240" t="s">
        <v>1605</v>
      </c>
      <c r="M11" s="1225"/>
      <c r="N11" s="1225"/>
      <c r="O11" s="1225"/>
      <c r="P11" s="1225"/>
      <c r="Q11" s="1225"/>
      <c r="R11" s="1225"/>
      <c r="S11" s="1225"/>
      <c r="T11" s="1724" t="s">
        <v>1720</v>
      </c>
      <c r="U11" s="1225"/>
      <c r="W11" s="1246">
        <v>2801</v>
      </c>
      <c r="X11" s="1252" t="s">
        <v>1635</v>
      </c>
      <c r="Y11" s="1247">
        <v>1</v>
      </c>
      <c r="Z11" s="1177" t="str">
        <f>IF(Incentives!$E$55="Yes",IF(Incentives!$E$56=X11,56,IF(Incentives!$E$69="Yes",IF(Incentives!$E$70=X11,70,""),"")),"")</f>
        <v/>
      </c>
    </row>
    <row r="12" spans="1:26" s="1173" customFormat="1" ht="18" customHeight="1" thickBot="1" x14ac:dyDescent="0.3">
      <c r="A12" s="657"/>
      <c r="B12" s="1225"/>
      <c r="C12" s="1225"/>
      <c r="D12" s="1225"/>
      <c r="E12" s="1225"/>
      <c r="F12" s="1225"/>
      <c r="G12" s="1279"/>
      <c r="H12" s="1226" t="s">
        <v>651</v>
      </c>
      <c r="I12" s="1225"/>
      <c r="J12" s="1225"/>
      <c r="K12" s="1225"/>
      <c r="L12" s="1193" t="s">
        <v>1606</v>
      </c>
      <c r="M12" s="1225"/>
      <c r="N12" s="1225"/>
      <c r="O12" s="1225"/>
      <c r="P12" s="1225"/>
      <c r="Q12" s="1225"/>
      <c r="R12" s="1225"/>
      <c r="S12" s="1225"/>
      <c r="T12" s="1725" t="s">
        <v>651</v>
      </c>
      <c r="U12" s="1225"/>
      <c r="W12" s="1246">
        <v>2802</v>
      </c>
      <c r="X12" s="1252"/>
      <c r="Y12" s="1250"/>
      <c r="Z12" s="1178" t="str">
        <f>IF(AND(Incentives!$E$55="Yes",Incentives!$E$56=X11),IF(Incentives!$E$69="Yes",IF(Incentives!$E$70=X11,70,""),""),"")</f>
        <v/>
      </c>
    </row>
    <row r="13" spans="1:26" s="1173" customFormat="1" ht="30" customHeight="1" thickBot="1" x14ac:dyDescent="0.3">
      <c r="A13" s="657"/>
      <c r="B13" s="1225"/>
      <c r="C13" s="1238" t="s">
        <v>1607</v>
      </c>
      <c r="D13" s="1508" t="s">
        <v>651</v>
      </c>
      <c r="E13" s="1509"/>
      <c r="F13" s="1225"/>
      <c r="G13" s="1279"/>
      <c r="H13" s="1225"/>
      <c r="I13" s="1225"/>
      <c r="J13" s="1225"/>
      <c r="K13" s="1225"/>
      <c r="L13" s="1225"/>
      <c r="M13" s="1225"/>
      <c r="N13" s="1225"/>
      <c r="O13" s="1225"/>
      <c r="P13" s="1225"/>
      <c r="Q13" s="1225"/>
      <c r="R13" s="1225"/>
      <c r="S13" s="1225"/>
      <c r="T13" s="1225"/>
      <c r="U13" s="1225"/>
      <c r="W13" s="1246">
        <v>3401</v>
      </c>
      <c r="X13" s="1252" t="s">
        <v>1642</v>
      </c>
      <c r="Y13" s="1251">
        <v>1</v>
      </c>
      <c r="Z13" s="1177" t="str">
        <f>IF(Incentives!$E$83="Yes",IF(Incentives!$E$84=X13,84,IF(Incentives!$E$97="Yes",IF(Incentives!$E$98=X13,98,""),"")),"")</f>
        <v/>
      </c>
    </row>
    <row r="14" spans="1:26" s="1173" customFormat="1" ht="18" customHeight="1" thickBot="1" x14ac:dyDescent="0.3">
      <c r="A14" s="657"/>
      <c r="B14" s="1225"/>
      <c r="C14" s="1225"/>
      <c r="D14" s="1225"/>
      <c r="E14" s="1225"/>
      <c r="F14" s="1225"/>
      <c r="G14" s="1279"/>
      <c r="H14" s="1225"/>
      <c r="I14" s="1225"/>
      <c r="J14" s="1225"/>
      <c r="K14" s="1225"/>
      <c r="L14" s="1225"/>
      <c r="M14" s="1225"/>
      <c r="N14" s="1225"/>
      <c r="O14" s="1225"/>
      <c r="P14" s="1225"/>
      <c r="Q14" s="1225"/>
      <c r="R14" s="1225"/>
      <c r="S14" s="1225"/>
      <c r="T14" s="1225"/>
      <c r="U14" s="1225"/>
      <c r="W14" s="1246">
        <v>3402</v>
      </c>
      <c r="X14" s="1252"/>
      <c r="Y14" s="1251">
        <v>2</v>
      </c>
      <c r="Z14" s="1178" t="str">
        <f>IF(AND(Incentives!$E$83="Yes",Incentives!$E$84=X13),IF(Incentives!$E$97="Yes",IF(Incentives!$E$98=X13,98,""),""),"")</f>
        <v/>
      </c>
    </row>
    <row r="15" spans="1:26" s="1173" customFormat="1" ht="18" customHeight="1" thickBot="1" x14ac:dyDescent="0.3">
      <c r="A15" s="657"/>
      <c r="B15" s="1225"/>
      <c r="C15" s="1237" t="s">
        <v>1608</v>
      </c>
      <c r="D15" s="1518" t="s">
        <v>1609</v>
      </c>
      <c r="E15" s="1524"/>
      <c r="F15" s="1225"/>
      <c r="G15" s="1279"/>
      <c r="H15" s="1225"/>
      <c r="I15" s="1225"/>
      <c r="J15" s="1225"/>
      <c r="K15" s="1225"/>
      <c r="L15" s="1225"/>
      <c r="M15" s="1225"/>
      <c r="N15" s="1225"/>
      <c r="O15" s="1225"/>
      <c r="P15" s="1225"/>
      <c r="Q15" s="1225"/>
      <c r="R15" s="1225"/>
      <c r="S15" s="1225"/>
      <c r="T15" s="1225"/>
      <c r="U15" s="1225"/>
      <c r="W15" s="1246">
        <v>3501</v>
      </c>
      <c r="X15" s="1252" t="s">
        <v>1646</v>
      </c>
      <c r="Y15" s="1251">
        <v>1</v>
      </c>
      <c r="Z15" s="1177" t="str">
        <f>IF(Incentives!$E$83="Yes",IF(Incentives!$E$84=X15,84,IF(Incentives!$E$97="Yes",IF(Incentives!$E$98=X15,98,""),"")),"")</f>
        <v/>
      </c>
    </row>
    <row r="16" spans="1:26" s="1173" customFormat="1" ht="21" customHeight="1" thickBot="1" x14ac:dyDescent="0.3">
      <c r="A16" s="657"/>
      <c r="B16" s="1225"/>
      <c r="C16" s="1225"/>
      <c r="D16" s="1225"/>
      <c r="E16" s="1225"/>
      <c r="F16" s="1225"/>
      <c r="G16" s="1279"/>
      <c r="H16" s="1225"/>
      <c r="I16" s="1225"/>
      <c r="J16" s="1225"/>
      <c r="K16" s="1225"/>
      <c r="L16" s="1225"/>
      <c r="M16" s="1225"/>
      <c r="N16" s="1225"/>
      <c r="O16" s="1225"/>
      <c r="P16" s="1225"/>
      <c r="Q16" s="1225"/>
      <c r="R16" s="1225"/>
      <c r="S16" s="1225"/>
      <c r="T16" s="1225"/>
      <c r="U16" s="1225"/>
      <c r="W16" s="1246">
        <v>3502</v>
      </c>
      <c r="X16" s="1252"/>
      <c r="Y16" s="1251">
        <v>2</v>
      </c>
      <c r="Z16" s="1178" t="str">
        <f>IF(AND(Incentives!$E$83="Yes",Incentives!$E$84=X15),IF(Incentives!$E$97="Yes",IF(Incentives!$E$98=X15,98,""),""),"")</f>
        <v/>
      </c>
    </row>
    <row r="17" spans="1:26" s="1173" customFormat="1" ht="21" customHeight="1" thickBot="1" x14ac:dyDescent="0.3">
      <c r="A17" s="657"/>
      <c r="B17" s="1520" t="s">
        <v>1610</v>
      </c>
      <c r="C17" s="1539"/>
      <c r="D17" s="1539"/>
      <c r="E17" s="1539"/>
      <c r="F17" s="1539"/>
      <c r="G17" s="1539"/>
      <c r="H17" s="1539"/>
      <c r="I17" s="1539"/>
      <c r="J17" s="1539"/>
      <c r="K17" s="1539"/>
      <c r="L17" s="1539"/>
      <c r="M17" s="1539"/>
      <c r="N17" s="1539"/>
      <c r="O17" s="1539"/>
      <c r="P17" s="1539"/>
      <c r="Q17" s="1539"/>
      <c r="R17" s="1539"/>
      <c r="S17" s="1539"/>
      <c r="T17" s="1539"/>
      <c r="U17" s="1540"/>
      <c r="W17" s="1246">
        <v>3601</v>
      </c>
      <c r="X17" s="1252" t="s">
        <v>1649</v>
      </c>
      <c r="Y17" s="1251">
        <v>1</v>
      </c>
      <c r="Z17" s="1177" t="str">
        <f>IF(Incentives!$E$83="Yes",IF(Incentives!$E$84=X17,84,IF(Incentives!$E$97="Yes",IF(Incentives!$E$98=X17,98,""),"")),"")</f>
        <v/>
      </c>
    </row>
    <row r="18" spans="1:26" s="1173" customFormat="1" ht="21" customHeight="1" thickBot="1" x14ac:dyDescent="0.3">
      <c r="A18" s="657"/>
      <c r="B18" s="1225"/>
      <c r="C18" s="1225"/>
      <c r="D18" s="1225"/>
      <c r="E18" s="1225"/>
      <c r="F18" s="1225"/>
      <c r="G18" s="1279"/>
      <c r="H18" s="1225"/>
      <c r="I18" s="1225"/>
      <c r="J18" s="1225"/>
      <c r="K18" s="1225"/>
      <c r="L18" s="1225"/>
      <c r="M18" s="1225"/>
      <c r="N18" s="1225"/>
      <c r="O18" s="1225"/>
      <c r="P18" s="1225"/>
      <c r="Q18" s="1225"/>
      <c r="R18" s="1225"/>
      <c r="S18" s="1225"/>
      <c r="T18" s="1225"/>
      <c r="U18" s="1225"/>
      <c r="W18" s="1246">
        <v>3602</v>
      </c>
      <c r="X18" s="1252"/>
      <c r="Y18" s="1251">
        <v>2</v>
      </c>
      <c r="Z18" s="1178" t="str">
        <f>IF(AND(Incentives!$E$83="Yes",Incentives!$E$84=X17),IF(Incentives!$E$97="Yes",IF(Incentives!$E$98=X17,98,""),""),"")</f>
        <v/>
      </c>
    </row>
    <row r="19" spans="1:26" s="1173" customFormat="1" ht="30" customHeight="1" thickBot="1" x14ac:dyDescent="0.3">
      <c r="A19" s="496"/>
      <c r="B19" s="1225"/>
      <c r="C19" s="1237" t="s">
        <v>1491</v>
      </c>
      <c r="D19" s="1522" t="s">
        <v>1597</v>
      </c>
      <c r="E19" s="1523"/>
      <c r="F19" s="1225"/>
      <c r="G19" s="1279"/>
      <c r="H19" s="1240" t="s">
        <v>1488</v>
      </c>
      <c r="I19" s="1225"/>
      <c r="J19" s="1240" t="s">
        <v>1489</v>
      </c>
      <c r="K19" s="1225"/>
      <c r="L19" s="1240" t="s">
        <v>1505</v>
      </c>
      <c r="M19" s="1225"/>
      <c r="N19" s="1240" t="s">
        <v>1490</v>
      </c>
      <c r="O19" s="1225"/>
      <c r="P19" s="1240" t="s">
        <v>1598</v>
      </c>
      <c r="Q19" s="1225"/>
      <c r="R19" s="1240" t="s">
        <v>1599</v>
      </c>
      <c r="S19" s="1225"/>
      <c r="T19" s="1240" t="s">
        <v>1600</v>
      </c>
      <c r="U19" s="1225"/>
      <c r="W19" s="1246">
        <v>1301</v>
      </c>
      <c r="X19" s="1252" t="s">
        <v>1651</v>
      </c>
      <c r="Y19" s="1251">
        <v>1</v>
      </c>
      <c r="Z19" s="1177" t="str">
        <f>IF(Incentives!$E$111="Yes",IF(Incentives!$E$112=X19,112,""),"")</f>
        <v/>
      </c>
    </row>
    <row r="20" spans="1:26" s="1173" customFormat="1" ht="18" customHeight="1" thickBot="1" x14ac:dyDescent="0.3">
      <c r="A20" s="657"/>
      <c r="B20" s="1225"/>
      <c r="C20" s="1225"/>
      <c r="D20" s="1225"/>
      <c r="E20" s="1225"/>
      <c r="F20" s="1225"/>
      <c r="G20" s="1279"/>
      <c r="H20" s="1175"/>
      <c r="I20" s="1225"/>
      <c r="J20" s="1230"/>
      <c r="K20" s="1225"/>
      <c r="L20" s="1230"/>
      <c r="M20" s="1225"/>
      <c r="N20" s="1202"/>
      <c r="O20" s="1225"/>
      <c r="P20" s="1176" t="s">
        <v>1601</v>
      </c>
      <c r="Q20" s="1225"/>
      <c r="R20" s="1176" t="s">
        <v>1602</v>
      </c>
      <c r="S20" s="1225"/>
      <c r="T20" s="1226" t="s">
        <v>653</v>
      </c>
      <c r="U20" s="1225"/>
      <c r="W20" s="1246">
        <v>4001</v>
      </c>
      <c r="X20" s="1252" t="s">
        <v>1652</v>
      </c>
      <c r="Y20" s="1250">
        <v>1</v>
      </c>
      <c r="Z20" s="1177" t="str">
        <f>IF(Incentives!$E$119="Yes",IF(Incentives!$E$120=X20,120,""),"")</f>
        <v/>
      </c>
    </row>
    <row r="21" spans="1:26" s="1173" customFormat="1" ht="30.75" customHeight="1" thickBot="1" x14ac:dyDescent="0.3">
      <c r="A21" s="657"/>
      <c r="B21" s="1225"/>
      <c r="C21" s="1237" t="s">
        <v>1603</v>
      </c>
      <c r="D21" s="1518">
        <v>1202</v>
      </c>
      <c r="E21" s="1524"/>
      <c r="F21" s="1225"/>
      <c r="G21" s="1279"/>
      <c r="H21" s="1225"/>
      <c r="I21" s="1225"/>
      <c r="J21" s="1225"/>
      <c r="K21" s="1225"/>
      <c r="L21" s="1225"/>
      <c r="M21" s="1225"/>
      <c r="N21" s="1225"/>
      <c r="O21" s="1225"/>
      <c r="P21" s="1225"/>
      <c r="Q21" s="1225"/>
      <c r="R21" s="1225"/>
      <c r="S21" s="1225"/>
      <c r="T21" s="1225"/>
      <c r="U21" s="1225"/>
      <c r="W21" s="1301">
        <v>4601</v>
      </c>
      <c r="X21" s="1303" t="s">
        <v>1722</v>
      </c>
      <c r="Y21" s="1302">
        <v>1</v>
      </c>
      <c r="Z21" s="1298" t="str">
        <f>IF(Incentives!$E$127="Yes",IF(Incentives!$E$128=X21,128,IF(Incentives!$E$135="Yes",IF(Incentives!$E$136=X21,136,""),"")),"")</f>
        <v/>
      </c>
    </row>
    <row r="22" spans="1:26" s="1173" customFormat="1" ht="18" customHeight="1" thickBot="1" x14ac:dyDescent="0.3">
      <c r="A22" s="657"/>
      <c r="B22" s="1225"/>
      <c r="C22" s="1225"/>
      <c r="D22" s="1225"/>
      <c r="E22" s="1225"/>
      <c r="F22" s="1225"/>
      <c r="G22" s="1279"/>
      <c r="H22" s="1225"/>
      <c r="I22" s="1225"/>
      <c r="J22" s="1225"/>
      <c r="K22" s="1225"/>
      <c r="L22" s="1240" t="s">
        <v>1497</v>
      </c>
      <c r="M22" s="1225"/>
      <c r="N22" s="1225"/>
      <c r="O22" s="1225"/>
      <c r="P22" s="1225"/>
      <c r="Q22" s="1225"/>
      <c r="R22" s="1225"/>
      <c r="S22" s="1225"/>
      <c r="T22" s="1225"/>
      <c r="U22" s="1225"/>
      <c r="W22" s="1301">
        <v>4602</v>
      </c>
      <c r="X22" s="1303"/>
      <c r="Y22" s="1302">
        <v>2</v>
      </c>
      <c r="Z22" s="1298" t="str">
        <f>IF(AND(Incentives!$E$127="Yes",Incentives!$E$128=X21),IF(Incentives!$E$135="Yes",IF(Incentives!$E$136=X21,136,""),""),"")</f>
        <v/>
      </c>
    </row>
    <row r="23" spans="1:26" s="1173" customFormat="1" ht="18" customHeight="1" thickBot="1" x14ac:dyDescent="0.3">
      <c r="A23" s="657"/>
      <c r="B23" s="1225"/>
      <c r="C23" s="1237" t="s">
        <v>1493</v>
      </c>
      <c r="D23" s="1541"/>
      <c r="E23" s="1542"/>
      <c r="F23" s="1225"/>
      <c r="G23" s="1279"/>
      <c r="H23" s="1225"/>
      <c r="I23" s="1225"/>
      <c r="J23" s="1225"/>
      <c r="K23" s="1225"/>
      <c r="L23" s="1231"/>
      <c r="M23" s="1225"/>
      <c r="N23" s="1225"/>
      <c r="O23" s="1225"/>
      <c r="P23" s="1225"/>
      <c r="Q23" s="1225"/>
      <c r="R23" s="1225"/>
      <c r="S23" s="1225"/>
      <c r="T23" s="1225"/>
      <c r="U23" s="1225"/>
      <c r="W23" s="1301">
        <v>4901</v>
      </c>
      <c r="X23" s="1303" t="s">
        <v>1756</v>
      </c>
      <c r="Y23" s="1302">
        <v>1</v>
      </c>
      <c r="Z23" s="1298" t="str">
        <f>IF(Incentives!$E$127="Yes",IF(Incentives!$E$128=X23,128,IF(Incentives!$E$135="Yes",IF(Incentives!$E$136=X23,136,""),"")),"")</f>
        <v/>
      </c>
    </row>
    <row r="24" spans="1:26" s="1173" customFormat="1" ht="15.75" thickBot="1" x14ac:dyDescent="0.3">
      <c r="A24" s="657"/>
      <c r="B24" s="1225"/>
      <c r="C24" s="1225"/>
      <c r="D24" s="1225"/>
      <c r="E24" s="1225"/>
      <c r="F24" s="1225"/>
      <c r="G24" s="1279"/>
      <c r="H24" s="1225"/>
      <c r="I24" s="1225"/>
      <c r="J24" s="1225"/>
      <c r="K24" s="1225"/>
      <c r="L24" s="1225"/>
      <c r="M24" s="1225"/>
      <c r="N24" s="1225"/>
      <c r="O24" s="1225"/>
      <c r="P24" s="1225"/>
      <c r="Q24" s="1225"/>
      <c r="R24" s="1225"/>
      <c r="S24" s="1225"/>
      <c r="T24" s="1225"/>
      <c r="U24" s="1225"/>
      <c r="W24" s="1301">
        <v>5001</v>
      </c>
      <c r="X24" s="1303" t="s">
        <v>1733</v>
      </c>
      <c r="Y24" s="1302">
        <v>1</v>
      </c>
      <c r="Z24" s="1298" t="str">
        <f>IF(Incentives!$E$143="Yes",IF(Incentives!$E$144=X24,144,""),"")</f>
        <v/>
      </c>
    </row>
    <row r="25" spans="1:26" s="1173" customFormat="1" ht="30" customHeight="1" thickBot="1" x14ac:dyDescent="0.3">
      <c r="A25" s="657"/>
      <c r="B25" s="1225"/>
      <c r="C25" s="1237" t="s">
        <v>1494</v>
      </c>
      <c r="D25" s="1541"/>
      <c r="E25" s="1542"/>
      <c r="F25" s="1225"/>
      <c r="G25" s="1279"/>
      <c r="H25" s="1239" t="s">
        <v>1604</v>
      </c>
      <c r="I25" s="1225"/>
      <c r="J25" s="1225"/>
      <c r="K25" s="1225"/>
      <c r="L25" s="1240" t="s">
        <v>1605</v>
      </c>
      <c r="M25" s="1225"/>
      <c r="N25" s="1225"/>
      <c r="O25" s="1225"/>
      <c r="P25" s="1225"/>
      <c r="Q25" s="1225"/>
      <c r="R25" s="1225"/>
      <c r="S25" s="1225"/>
      <c r="T25" s="1724" t="s">
        <v>1720</v>
      </c>
      <c r="U25" s="1225"/>
      <c r="W25" s="1301">
        <v>801</v>
      </c>
      <c r="X25" s="1303" t="s">
        <v>1210</v>
      </c>
      <c r="Y25" s="1302">
        <v>1</v>
      </c>
      <c r="Z25" s="1177" t="str">
        <f>IF(Incentives!$E$151="Yes",IF(Incentives!$E$152=X25,152,""),"")</f>
        <v/>
      </c>
    </row>
    <row r="26" spans="1:26" s="1173" customFormat="1" ht="18" customHeight="1" thickBot="1" x14ac:dyDescent="0.3">
      <c r="A26" s="657"/>
      <c r="B26" s="1225"/>
      <c r="C26" s="1225"/>
      <c r="D26" s="1225"/>
      <c r="E26" s="1225"/>
      <c r="F26" s="1225"/>
      <c r="G26" s="1279"/>
      <c r="H26" s="1226" t="s">
        <v>651</v>
      </c>
      <c r="I26" s="1225"/>
      <c r="J26" s="1225"/>
      <c r="K26" s="1225"/>
      <c r="L26" s="1193" t="s">
        <v>1606</v>
      </c>
      <c r="M26" s="1225"/>
      <c r="N26" s="1225"/>
      <c r="O26" s="1225"/>
      <c r="P26" s="1225"/>
      <c r="Q26" s="1225"/>
      <c r="R26" s="1225"/>
      <c r="S26" s="1225"/>
      <c r="T26" s="1725" t="s">
        <v>651</v>
      </c>
      <c r="U26" s="1225"/>
      <c r="W26" s="1301">
        <v>901</v>
      </c>
      <c r="X26" s="1303" t="s">
        <v>1738</v>
      </c>
      <c r="Y26" s="1302">
        <v>1</v>
      </c>
      <c r="Z26" s="1177" t="str">
        <f>IF(Incentives!$E$151="Yes",IF(Incentives!$E$152=X26,152,""),"")</f>
        <v/>
      </c>
    </row>
    <row r="27" spans="1:26" s="1173" customFormat="1" ht="30" customHeight="1" thickBot="1" x14ac:dyDescent="0.3">
      <c r="A27" s="657"/>
      <c r="B27" s="1225"/>
      <c r="C27" s="1243" t="s">
        <v>1607</v>
      </c>
      <c r="D27" s="1508" t="s">
        <v>651</v>
      </c>
      <c r="E27" s="1509"/>
      <c r="F27" s="1225"/>
      <c r="G27" s="1279"/>
      <c r="H27" s="1225"/>
      <c r="I27" s="1225"/>
      <c r="J27" s="1225"/>
      <c r="K27" s="1225"/>
      <c r="L27" s="1225"/>
      <c r="M27" s="1225"/>
      <c r="N27" s="1225"/>
      <c r="O27" s="1225"/>
      <c r="P27" s="1225"/>
      <c r="Q27" s="1225"/>
      <c r="R27" s="1225"/>
      <c r="S27" s="1225"/>
      <c r="T27" s="1225"/>
      <c r="U27" s="1225"/>
      <c r="W27" s="1301">
        <v>501</v>
      </c>
      <c r="X27" s="1303" t="s">
        <v>1740</v>
      </c>
      <c r="Y27" s="1302">
        <v>1</v>
      </c>
      <c r="Z27" s="1177" t="str">
        <f>IF(Incentives!$E$162="Yes",IF(Incentives!$E$163=X27,163,IF(Incentives!$E$174="Yes",IF(Incentives!$E$175=X27,175,""),"")),"")</f>
        <v/>
      </c>
    </row>
    <row r="28" spans="1:26" s="1173" customFormat="1" ht="18" customHeight="1" thickBot="1" x14ac:dyDescent="0.3">
      <c r="A28" s="657"/>
      <c r="B28" s="1225"/>
      <c r="C28" s="1225"/>
      <c r="D28" s="1225"/>
      <c r="E28" s="1225"/>
      <c r="F28" s="1225"/>
      <c r="G28" s="1279"/>
      <c r="H28" s="1225"/>
      <c r="I28" s="1225"/>
      <c r="J28" s="1225"/>
      <c r="K28" s="1225"/>
      <c r="L28" s="1225"/>
      <c r="M28" s="1225"/>
      <c r="N28" s="1225"/>
      <c r="O28" s="1225"/>
      <c r="P28" s="1225"/>
      <c r="Q28" s="1225"/>
      <c r="R28" s="1225"/>
      <c r="S28" s="1225"/>
      <c r="T28" s="1225"/>
      <c r="U28" s="1225"/>
      <c r="W28" s="1301">
        <v>502</v>
      </c>
      <c r="X28" s="1303"/>
      <c r="Y28" s="1302">
        <v>2</v>
      </c>
      <c r="Z28" s="1178" t="str">
        <f>IF(AND(Incentives!$E$162="Yes",Incentives!$E$163=X27),IF(Incentives!$E$174="Yes",IF(Incentives!$E$175=X27,175,""),""),"")</f>
        <v/>
      </c>
    </row>
    <row r="29" spans="1:26" s="1173" customFormat="1" ht="18" customHeight="1" thickBot="1" x14ac:dyDescent="0.3">
      <c r="A29" s="657"/>
      <c r="B29" s="1225"/>
      <c r="C29" s="1237" t="s">
        <v>1608</v>
      </c>
      <c r="D29" s="1518" t="s">
        <v>1609</v>
      </c>
      <c r="E29" s="1524"/>
      <c r="F29" s="1225"/>
      <c r="G29" s="1279"/>
      <c r="H29" s="1225"/>
      <c r="I29" s="1225"/>
      <c r="J29" s="1225"/>
      <c r="K29" s="1225"/>
      <c r="L29" s="1225"/>
      <c r="M29" s="1225"/>
      <c r="N29" s="1225"/>
      <c r="O29" s="1225"/>
      <c r="P29" s="1225"/>
      <c r="Q29" s="1225"/>
      <c r="R29" s="1225"/>
      <c r="S29" s="1225"/>
      <c r="T29" s="1225"/>
      <c r="U29" s="1225"/>
      <c r="W29" s="1301">
        <v>5401</v>
      </c>
      <c r="X29" s="1303" t="s">
        <v>1757</v>
      </c>
      <c r="Y29" s="1302">
        <v>1</v>
      </c>
      <c r="Z29" s="1177" t="str">
        <f>IF(Incentives!$E$162="Yes",IF(Incentives!$E$163=X29,163,IF(Incentives!$E$174="Yes",IF(Incentives!$E$175=X29,175,""),"")),"")</f>
        <v/>
      </c>
    </row>
    <row r="30" spans="1:26" s="1173" customFormat="1" ht="20.25" customHeight="1" thickBot="1" x14ac:dyDescent="0.3">
      <c r="A30" s="657"/>
      <c r="B30" s="1225"/>
      <c r="C30" s="1225"/>
      <c r="D30" s="1225"/>
      <c r="E30" s="1225"/>
      <c r="F30" s="1225"/>
      <c r="G30" s="1279"/>
      <c r="H30" s="1225"/>
      <c r="I30" s="1225"/>
      <c r="J30" s="1225"/>
      <c r="K30" s="1225"/>
      <c r="L30" s="1225"/>
      <c r="M30" s="1225"/>
      <c r="N30" s="1225"/>
      <c r="O30" s="1225"/>
      <c r="P30" s="1225"/>
      <c r="Q30" s="1225"/>
      <c r="R30" s="1225"/>
      <c r="S30" s="1225"/>
      <c r="T30" s="1225"/>
      <c r="U30" s="1225"/>
      <c r="W30" s="1301">
        <v>5402</v>
      </c>
      <c r="X30" s="1303"/>
      <c r="Y30" s="1302">
        <v>2</v>
      </c>
      <c r="Z30" s="1178" t="str">
        <f>IF(AND(Incentives!$E$162="Yes",Incentives!$E$163=X29),IF(Incentives!$E$174="Yes",IF(Incentives!$E$175=X29,175,""),""),"")</f>
        <v/>
      </c>
    </row>
    <row r="31" spans="1:26" s="1173" customFormat="1" ht="20.25" customHeight="1" thickBot="1" x14ac:dyDescent="0.3">
      <c r="A31" s="657"/>
      <c r="B31" s="1520" t="s">
        <v>1611</v>
      </c>
      <c r="C31" s="1539"/>
      <c r="D31" s="1539"/>
      <c r="E31" s="1539"/>
      <c r="F31" s="1539"/>
      <c r="G31" s="1539"/>
      <c r="H31" s="1539"/>
      <c r="I31" s="1539"/>
      <c r="J31" s="1539"/>
      <c r="K31" s="1539"/>
      <c r="L31" s="1539"/>
      <c r="M31" s="1539"/>
      <c r="N31" s="1539"/>
      <c r="O31" s="1539"/>
      <c r="P31" s="1539"/>
      <c r="Q31" s="1539"/>
      <c r="R31" s="1539"/>
      <c r="S31" s="1539"/>
      <c r="T31" s="1539"/>
      <c r="U31" s="1540"/>
      <c r="W31" s="1301">
        <v>601</v>
      </c>
      <c r="X31" s="1303" t="s">
        <v>1746</v>
      </c>
      <c r="Y31" s="1302">
        <v>1</v>
      </c>
      <c r="Z31" s="1177" t="str">
        <f>IF(Incentives!$E$162="Yes",IF(Incentives!$E$163=X31,163,IF(Incentives!$E$174="Yes",IF(Incentives!$E$175=X31,175,""),"")),"")</f>
        <v/>
      </c>
    </row>
    <row r="32" spans="1:26" s="1173" customFormat="1" ht="20.25" customHeight="1" thickBot="1" x14ac:dyDescent="0.3">
      <c r="A32" s="657"/>
      <c r="B32" s="1225"/>
      <c r="C32" s="1225"/>
      <c r="D32" s="1225"/>
      <c r="E32" s="1225"/>
      <c r="F32" s="1225"/>
      <c r="G32" s="1279"/>
      <c r="H32" s="1225"/>
      <c r="I32" s="1225"/>
      <c r="J32" s="1225"/>
      <c r="K32" s="1225"/>
      <c r="L32" s="1225"/>
      <c r="M32" s="1225"/>
      <c r="N32" s="1225"/>
      <c r="O32" s="1225"/>
      <c r="P32" s="1225"/>
      <c r="Q32" s="1225"/>
      <c r="R32" s="1225"/>
      <c r="S32" s="1225"/>
      <c r="T32" s="1225"/>
      <c r="U32" s="1225"/>
      <c r="W32" s="1301">
        <v>602</v>
      </c>
      <c r="X32" s="1303"/>
      <c r="Y32" s="1302">
        <v>2</v>
      </c>
      <c r="Z32" s="1178" t="str">
        <f>IF(AND(Incentives!$E$162="Yes",Incentives!$E$163=X31),IF(Incentives!$E$174="Yes",IF(Incentives!$E$175=X31,175,""),""),"")</f>
        <v/>
      </c>
    </row>
    <row r="33" spans="1:26" s="1173" customFormat="1" ht="30" customHeight="1" thickBot="1" x14ac:dyDescent="0.3">
      <c r="A33" s="496"/>
      <c r="B33" s="1225"/>
      <c r="C33" s="1237" t="s">
        <v>1491</v>
      </c>
      <c r="D33" s="1522" t="s">
        <v>1612</v>
      </c>
      <c r="E33" s="1523"/>
      <c r="F33" s="1225"/>
      <c r="G33" s="1279"/>
      <c r="H33" s="1240" t="s">
        <v>1488</v>
      </c>
      <c r="I33" s="1225"/>
      <c r="J33" s="1240" t="s">
        <v>1489</v>
      </c>
      <c r="K33" s="1225"/>
      <c r="L33" s="1240" t="s">
        <v>1505</v>
      </c>
      <c r="M33" s="1225"/>
      <c r="N33" s="1240" t="s">
        <v>1490</v>
      </c>
      <c r="O33" s="1225"/>
      <c r="P33" s="1240" t="s">
        <v>1598</v>
      </c>
      <c r="Q33" s="1225"/>
      <c r="R33" s="1240" t="s">
        <v>1599</v>
      </c>
      <c r="S33" s="1225"/>
      <c r="T33" s="1240" t="s">
        <v>1600</v>
      </c>
      <c r="U33" s="1225"/>
      <c r="W33" s="1301">
        <v>1001</v>
      </c>
      <c r="X33" s="1303" t="s">
        <v>1755</v>
      </c>
      <c r="Y33" s="1302">
        <v>1</v>
      </c>
      <c r="Z33" s="1177" t="str">
        <f>IF(Incentives!$E$186="Yes",IF(Incentives!$E$187=X33,187,""),"")</f>
        <v/>
      </c>
    </row>
    <row r="34" spans="1:26" s="1173" customFormat="1" ht="18" customHeight="1" thickBot="1" x14ac:dyDescent="0.3">
      <c r="A34" s="657"/>
      <c r="B34" s="1225"/>
      <c r="C34" s="1227"/>
      <c r="D34" s="1225"/>
      <c r="E34" s="1225"/>
      <c r="F34" s="1225"/>
      <c r="G34" s="1279"/>
      <c r="H34" s="1175"/>
      <c r="I34" s="1225"/>
      <c r="J34" s="1230"/>
      <c r="K34" s="1225"/>
      <c r="L34" s="1230"/>
      <c r="M34" s="1225"/>
      <c r="N34" s="1278"/>
      <c r="O34" s="1225"/>
      <c r="P34" s="1176" t="s">
        <v>1601</v>
      </c>
      <c r="Q34" s="1225"/>
      <c r="R34" s="1176" t="s">
        <v>1602</v>
      </c>
      <c r="S34" s="1225"/>
      <c r="T34" s="1226" t="s">
        <v>653</v>
      </c>
      <c r="U34" s="1225"/>
      <c r="W34" s="1340"/>
      <c r="X34" s="1340"/>
      <c r="Y34" s="1340"/>
      <c r="Z34" s="1340"/>
    </row>
    <row r="35" spans="1:26" s="1173" customFormat="1" ht="30.75" customHeight="1" thickBot="1" x14ac:dyDescent="0.3">
      <c r="A35" s="657"/>
      <c r="B35" s="1225"/>
      <c r="C35" s="1237" t="s">
        <v>1603</v>
      </c>
      <c r="D35" s="1518">
        <v>1401</v>
      </c>
      <c r="E35" s="1524"/>
      <c r="F35" s="1225"/>
      <c r="G35" s="1279"/>
      <c r="H35" s="1225"/>
      <c r="I35" s="1225"/>
      <c r="J35" s="1225"/>
      <c r="K35" s="1225"/>
      <c r="L35" s="1225"/>
      <c r="M35" s="1225"/>
      <c r="N35" s="1225"/>
      <c r="O35" s="1225"/>
      <c r="P35" s="1225"/>
      <c r="Q35" s="1225"/>
      <c r="R35" s="1225"/>
      <c r="S35" s="1225"/>
      <c r="T35" s="1225"/>
      <c r="U35" s="1225"/>
      <c r="W35" s="1340"/>
      <c r="X35" s="1340"/>
      <c r="Y35" s="1340"/>
      <c r="Z35" s="1340"/>
    </row>
    <row r="36" spans="1:26" s="1173" customFormat="1" ht="30" customHeight="1" thickBot="1" x14ac:dyDescent="0.3">
      <c r="A36" s="657"/>
      <c r="B36" s="1225"/>
      <c r="C36" s="1227"/>
      <c r="D36" s="1225"/>
      <c r="E36" s="1225"/>
      <c r="F36" s="1225"/>
      <c r="G36" s="1279"/>
      <c r="H36" s="1241" t="s">
        <v>1495</v>
      </c>
      <c r="I36" s="1225"/>
      <c r="J36" s="1240" t="s">
        <v>1496</v>
      </c>
      <c r="K36" s="1225"/>
      <c r="L36" s="1240" t="s">
        <v>1497</v>
      </c>
      <c r="M36" s="1225"/>
      <c r="N36" s="1240" t="s">
        <v>1613</v>
      </c>
      <c r="O36" s="1225"/>
      <c r="P36" s="1240" t="s">
        <v>1614</v>
      </c>
      <c r="Q36" s="1225"/>
      <c r="R36" s="1240" t="s">
        <v>1615</v>
      </c>
      <c r="S36" s="1225"/>
      <c r="T36" s="1225"/>
      <c r="U36" s="1225"/>
    </row>
    <row r="37" spans="1:26" s="1173" customFormat="1" ht="18" customHeight="1" thickBot="1" x14ac:dyDescent="0.3">
      <c r="A37" s="657"/>
      <c r="B37" s="1225"/>
      <c r="C37" s="1237" t="s">
        <v>1493</v>
      </c>
      <c r="D37" s="1541"/>
      <c r="E37" s="1542"/>
      <c r="F37" s="1225"/>
      <c r="G37" s="1279" t="s">
        <v>1048</v>
      </c>
      <c r="H37" s="1231"/>
      <c r="I37" s="1225"/>
      <c r="J37" s="1231">
        <v>999999999.99000001</v>
      </c>
      <c r="K37" s="1225"/>
      <c r="L37" s="1231"/>
      <c r="M37" s="1225"/>
      <c r="N37" s="1193" t="s">
        <v>482</v>
      </c>
      <c r="O37" s="1225"/>
      <c r="P37" s="1193" t="s">
        <v>1616</v>
      </c>
      <c r="Q37" s="1225"/>
      <c r="R37" s="1193" t="s">
        <v>1617</v>
      </c>
      <c r="S37" s="1225"/>
      <c r="T37" s="1225"/>
      <c r="U37" s="1225"/>
    </row>
    <row r="38" spans="1:26" s="1173" customFormat="1" ht="15.75" thickBot="1" x14ac:dyDescent="0.3">
      <c r="A38" s="657"/>
      <c r="B38" s="1225"/>
      <c r="C38" s="1227"/>
      <c r="D38" s="1225"/>
      <c r="E38" s="1225"/>
      <c r="F38" s="1225"/>
      <c r="G38" s="1279"/>
      <c r="H38" s="1225"/>
      <c r="I38" s="1225"/>
      <c r="J38" s="1225"/>
      <c r="K38" s="1225"/>
      <c r="L38" s="1225"/>
      <c r="M38" s="1225"/>
      <c r="N38" s="1225"/>
      <c r="O38" s="1225"/>
      <c r="P38" s="1225"/>
      <c r="Q38" s="1225"/>
      <c r="R38" s="1225"/>
      <c r="S38" s="1225"/>
      <c r="T38" s="1225"/>
      <c r="U38" s="1225"/>
    </row>
    <row r="39" spans="1:26" s="1173" customFormat="1" ht="30" customHeight="1" thickBot="1" x14ac:dyDescent="0.3">
      <c r="A39" s="657"/>
      <c r="B39" s="1225"/>
      <c r="C39" s="1237" t="s">
        <v>1494</v>
      </c>
      <c r="D39" s="1541"/>
      <c r="E39" s="1542"/>
      <c r="F39" s="1225"/>
      <c r="G39" s="1279"/>
      <c r="H39" s="1239" t="s">
        <v>1604</v>
      </c>
      <c r="I39" s="1225"/>
      <c r="J39" s="1240" t="s">
        <v>1618</v>
      </c>
      <c r="K39" s="1225"/>
      <c r="L39" s="1240" t="s">
        <v>1605</v>
      </c>
      <c r="M39" s="1225"/>
      <c r="N39" s="1240" t="s">
        <v>1619</v>
      </c>
      <c r="O39" s="1225"/>
      <c r="P39" s="1240" t="s">
        <v>1620</v>
      </c>
      <c r="Q39" s="1225"/>
      <c r="R39" s="1240" t="s">
        <v>1621</v>
      </c>
      <c r="S39" s="1225"/>
      <c r="T39" s="1724" t="s">
        <v>1720</v>
      </c>
      <c r="U39" s="1225"/>
    </row>
    <row r="40" spans="1:26" s="1173" customFormat="1" ht="18" customHeight="1" thickBot="1" x14ac:dyDescent="0.3">
      <c r="A40" s="657"/>
      <c r="B40" s="1225"/>
      <c r="C40" s="1227"/>
      <c r="D40" s="1225"/>
      <c r="E40" s="1225"/>
      <c r="F40" s="1225"/>
      <c r="G40" s="1279"/>
      <c r="H40" s="1226" t="s">
        <v>651</v>
      </c>
      <c r="I40" s="1225"/>
      <c r="J40" s="1176" t="s">
        <v>1606</v>
      </c>
      <c r="K40" s="1225"/>
      <c r="L40" s="1193" t="s">
        <v>1606</v>
      </c>
      <c r="M40" s="1225"/>
      <c r="N40" s="1193" t="s">
        <v>651</v>
      </c>
      <c r="O40" s="1225"/>
      <c r="P40" s="1226" t="s">
        <v>651</v>
      </c>
      <c r="Q40" s="1225"/>
      <c r="R40" s="1193" t="s">
        <v>861</v>
      </c>
      <c r="S40" s="1225"/>
      <c r="T40" s="1725" t="s">
        <v>651</v>
      </c>
      <c r="U40" s="1225"/>
    </row>
    <row r="41" spans="1:26" s="1173" customFormat="1" ht="30" customHeight="1" thickBot="1" x14ac:dyDescent="0.3">
      <c r="A41" s="657"/>
      <c r="B41" s="1225"/>
      <c r="C41" s="1243" t="s">
        <v>1607</v>
      </c>
      <c r="D41" s="1508" t="s">
        <v>651</v>
      </c>
      <c r="E41" s="1509"/>
      <c r="F41" s="1225"/>
      <c r="G41" s="1279"/>
      <c r="H41" s="1225"/>
      <c r="I41" s="1225"/>
      <c r="J41" s="1225"/>
      <c r="K41" s="1225"/>
      <c r="L41" s="1225"/>
      <c r="M41" s="1225"/>
      <c r="N41" s="1225"/>
      <c r="O41" s="1225"/>
      <c r="P41" s="1225"/>
      <c r="Q41" s="1225"/>
      <c r="R41" s="1225"/>
      <c r="S41" s="1225"/>
      <c r="T41" s="1225"/>
      <c r="U41" s="1225"/>
    </row>
    <row r="42" spans="1:26" s="1173" customFormat="1" ht="18" customHeight="1" thickBot="1" x14ac:dyDescent="0.3">
      <c r="A42" s="657"/>
      <c r="B42" s="1225"/>
      <c r="C42" s="1227"/>
      <c r="D42" s="1225"/>
      <c r="E42" s="1225"/>
      <c r="F42" s="1225"/>
      <c r="G42" s="1279"/>
      <c r="H42" s="1225"/>
      <c r="I42" s="1225"/>
      <c r="J42" s="1225"/>
      <c r="K42" s="1225"/>
      <c r="L42" s="1225"/>
      <c r="M42" s="1225"/>
      <c r="N42" s="1225"/>
      <c r="O42" s="1225"/>
      <c r="P42" s="1225"/>
      <c r="Q42" s="1225"/>
      <c r="R42" s="1225"/>
      <c r="S42" s="1225"/>
      <c r="T42" s="1225"/>
      <c r="U42" s="1225"/>
    </row>
    <row r="43" spans="1:26" s="1173" customFormat="1" ht="18" customHeight="1" thickBot="1" x14ac:dyDescent="0.3">
      <c r="A43" s="657"/>
      <c r="B43" s="1225"/>
      <c r="C43" s="1237" t="s">
        <v>1608</v>
      </c>
      <c r="D43" s="1518" t="s">
        <v>1609</v>
      </c>
      <c r="E43" s="1524"/>
      <c r="F43" s="1225"/>
      <c r="G43" s="1279"/>
      <c r="H43" s="1225"/>
      <c r="I43" s="1225"/>
      <c r="J43" s="1225"/>
      <c r="K43" s="1225"/>
      <c r="L43" s="1225"/>
      <c r="M43" s="1225"/>
      <c r="N43" s="1225"/>
      <c r="O43" s="1225"/>
      <c r="P43" s="1225"/>
      <c r="Q43" s="1225"/>
      <c r="R43" s="1225"/>
      <c r="S43" s="1225"/>
      <c r="T43" s="1225"/>
      <c r="U43" s="1225"/>
    </row>
    <row r="44" spans="1:26" s="1173" customFormat="1" ht="19.5" customHeight="1" thickBot="1" x14ac:dyDescent="0.3">
      <c r="A44" s="657"/>
      <c r="B44" s="1225"/>
      <c r="C44" s="1225"/>
      <c r="D44" s="1225"/>
      <c r="E44" s="1225"/>
      <c r="F44" s="1225"/>
      <c r="G44" s="1279"/>
      <c r="H44" s="1225"/>
      <c r="I44" s="1225"/>
      <c r="J44" s="1225"/>
      <c r="K44" s="1225"/>
      <c r="L44" s="1225"/>
      <c r="M44" s="1225"/>
      <c r="N44" s="1225"/>
      <c r="O44" s="1225"/>
      <c r="P44" s="1225"/>
      <c r="Q44" s="1225"/>
      <c r="R44" s="1225"/>
      <c r="S44" s="1225"/>
      <c r="T44" s="1225"/>
      <c r="U44" s="1225"/>
    </row>
    <row r="45" spans="1:26" s="1173" customFormat="1" ht="15.75" customHeight="1" thickBot="1" x14ac:dyDescent="0.3">
      <c r="A45" s="657"/>
      <c r="B45" s="1520" t="s">
        <v>1623</v>
      </c>
      <c r="C45" s="1539"/>
      <c r="D45" s="1539"/>
      <c r="E45" s="1539"/>
      <c r="F45" s="1539"/>
      <c r="G45" s="1539"/>
      <c r="H45" s="1539"/>
      <c r="I45" s="1539"/>
      <c r="J45" s="1539"/>
      <c r="K45" s="1539"/>
      <c r="L45" s="1539"/>
      <c r="M45" s="1539"/>
      <c r="N45" s="1539"/>
      <c r="O45" s="1539"/>
      <c r="P45" s="1539"/>
      <c r="Q45" s="1539"/>
      <c r="R45" s="1539"/>
      <c r="S45" s="1539"/>
      <c r="T45" s="1539"/>
      <c r="U45" s="1540"/>
    </row>
    <row r="46" spans="1:26" s="1173" customFormat="1" ht="20.25" customHeight="1" thickBot="1" x14ac:dyDescent="0.3">
      <c r="A46" s="657"/>
      <c r="B46" s="1225"/>
      <c r="C46" s="1225"/>
      <c r="D46" s="1225"/>
      <c r="E46" s="1225"/>
      <c r="F46" s="1225"/>
      <c r="G46" s="1279"/>
      <c r="H46" s="1225"/>
      <c r="I46" s="1225"/>
      <c r="J46" s="1225"/>
      <c r="K46" s="1225"/>
      <c r="L46" s="1225"/>
      <c r="M46" s="1225"/>
      <c r="N46" s="1225"/>
      <c r="O46" s="1225"/>
      <c r="P46" s="1225"/>
      <c r="Q46" s="1225"/>
      <c r="R46" s="1225"/>
      <c r="S46" s="1225"/>
      <c r="T46" s="1225"/>
      <c r="U46" s="1225"/>
    </row>
    <row r="47" spans="1:26" s="1173" customFormat="1" ht="30.75" customHeight="1" thickBot="1" x14ac:dyDescent="0.3">
      <c r="A47" s="496"/>
      <c r="B47" s="1225"/>
      <c r="C47" s="1237" t="s">
        <v>1491</v>
      </c>
      <c r="D47" s="1522" t="s">
        <v>1612</v>
      </c>
      <c r="E47" s="1523"/>
      <c r="F47" s="1225"/>
      <c r="G47" s="1279"/>
      <c r="H47" s="1240" t="s">
        <v>1488</v>
      </c>
      <c r="I47" s="1225"/>
      <c r="J47" s="1240" t="s">
        <v>1489</v>
      </c>
      <c r="K47" s="1225"/>
      <c r="L47" s="1240" t="s">
        <v>1505</v>
      </c>
      <c r="M47" s="1225"/>
      <c r="N47" s="1240" t="s">
        <v>1490</v>
      </c>
      <c r="O47" s="1225"/>
      <c r="P47" s="1240" t="s">
        <v>1598</v>
      </c>
      <c r="Q47" s="1225"/>
      <c r="R47" s="1240" t="s">
        <v>1599</v>
      </c>
      <c r="S47" s="1225"/>
      <c r="T47" s="1240" t="s">
        <v>1600</v>
      </c>
      <c r="U47" s="1225"/>
    </row>
    <row r="48" spans="1:26" s="1173" customFormat="1" ht="18" customHeight="1" thickBot="1" x14ac:dyDescent="0.3">
      <c r="A48" s="657"/>
      <c r="B48" s="1225"/>
      <c r="C48" s="1225"/>
      <c r="D48" s="1225"/>
      <c r="E48" s="1225"/>
      <c r="F48" s="1225"/>
      <c r="G48" s="1279"/>
      <c r="H48" s="1175"/>
      <c r="I48" s="1225"/>
      <c r="J48" s="1230"/>
      <c r="K48" s="1225"/>
      <c r="L48" s="1230"/>
      <c r="M48" s="1225"/>
      <c r="N48" s="1278"/>
      <c r="O48" s="1225"/>
      <c r="P48" s="1176" t="s">
        <v>1601</v>
      </c>
      <c r="Q48" s="1225"/>
      <c r="R48" s="1176" t="s">
        <v>1602</v>
      </c>
      <c r="S48" s="1225"/>
      <c r="T48" s="1226" t="s">
        <v>653</v>
      </c>
      <c r="U48" s="1225"/>
    </row>
    <row r="49" spans="1:21" s="1173" customFormat="1" ht="30.75" customHeight="1" thickBot="1" x14ac:dyDescent="0.3">
      <c r="A49" s="657"/>
      <c r="B49" s="1225"/>
      <c r="C49" s="1237" t="s">
        <v>1603</v>
      </c>
      <c r="D49" s="1518">
        <v>1402</v>
      </c>
      <c r="E49" s="1524"/>
      <c r="F49" s="1225"/>
      <c r="G49" s="1279"/>
      <c r="H49" s="1225"/>
      <c r="I49" s="1225"/>
      <c r="J49" s="1232"/>
      <c r="K49" s="1225"/>
      <c r="L49" s="1225"/>
      <c r="M49" s="1225"/>
      <c r="N49" s="1225"/>
      <c r="O49" s="1225"/>
      <c r="P49" s="1225"/>
      <c r="Q49" s="1225"/>
      <c r="R49" s="1225"/>
      <c r="S49" s="1225"/>
      <c r="T49" s="1225"/>
      <c r="U49" s="1225"/>
    </row>
    <row r="50" spans="1:21" s="1173" customFormat="1" ht="30" customHeight="1" thickBot="1" x14ac:dyDescent="0.3">
      <c r="A50" s="657"/>
      <c r="B50" s="1225"/>
      <c r="C50" s="1225"/>
      <c r="D50" s="1225"/>
      <c r="E50" s="1225"/>
      <c r="F50" s="1225"/>
      <c r="G50" s="1279"/>
      <c r="H50" s="1241" t="s">
        <v>1495</v>
      </c>
      <c r="I50" s="1225"/>
      <c r="J50" s="1240" t="s">
        <v>1496</v>
      </c>
      <c r="K50" s="1225"/>
      <c r="L50" s="1240" t="s">
        <v>1497</v>
      </c>
      <c r="M50" s="1225"/>
      <c r="N50" s="1240" t="s">
        <v>1613</v>
      </c>
      <c r="O50" s="1225"/>
      <c r="P50" s="1240" t="s">
        <v>1614</v>
      </c>
      <c r="Q50" s="1225"/>
      <c r="R50" s="1240" t="s">
        <v>1615</v>
      </c>
      <c r="S50" s="1225"/>
      <c r="T50" s="1225"/>
      <c r="U50" s="1225"/>
    </row>
    <row r="51" spans="1:21" s="1173" customFormat="1" ht="18" customHeight="1" thickBot="1" x14ac:dyDescent="0.3">
      <c r="A51" s="657"/>
      <c r="B51" s="1225"/>
      <c r="C51" s="1237" t="s">
        <v>1493</v>
      </c>
      <c r="D51" s="1541"/>
      <c r="E51" s="1542"/>
      <c r="F51" s="1225"/>
      <c r="G51" s="1279" t="s">
        <v>1048</v>
      </c>
      <c r="H51" s="1231"/>
      <c r="I51" s="1225"/>
      <c r="J51" s="1231">
        <v>999999999.99000001</v>
      </c>
      <c r="K51" s="1225"/>
      <c r="L51" s="1231"/>
      <c r="M51" s="1225"/>
      <c r="N51" s="1193" t="s">
        <v>482</v>
      </c>
      <c r="O51" s="1225"/>
      <c r="P51" s="1193" t="s">
        <v>1616</v>
      </c>
      <c r="Q51" s="1225"/>
      <c r="R51" s="1193" t="s">
        <v>1617</v>
      </c>
      <c r="S51" s="1225"/>
      <c r="T51" s="1225"/>
      <c r="U51" s="1225"/>
    </row>
    <row r="52" spans="1:21" s="1173" customFormat="1" ht="18" customHeight="1" thickBot="1" x14ac:dyDescent="0.3">
      <c r="A52" s="657"/>
      <c r="B52" s="1225"/>
      <c r="C52" s="1225"/>
      <c r="D52" s="1225"/>
      <c r="E52" s="1225"/>
      <c r="F52" s="1225"/>
      <c r="G52" s="1279"/>
      <c r="H52" s="1225"/>
      <c r="I52" s="1225"/>
      <c r="J52" s="1225"/>
      <c r="K52" s="1225"/>
      <c r="L52" s="1225"/>
      <c r="M52" s="1225"/>
      <c r="N52" s="1225"/>
      <c r="O52" s="1225"/>
      <c r="P52" s="1225"/>
      <c r="Q52" s="1225"/>
      <c r="R52" s="1225"/>
      <c r="S52" s="1225"/>
      <c r="T52" s="1225"/>
      <c r="U52" s="1225"/>
    </row>
    <row r="53" spans="1:21" s="1173" customFormat="1" ht="30" customHeight="1" thickBot="1" x14ac:dyDescent="0.3">
      <c r="A53" s="657"/>
      <c r="B53" s="1225"/>
      <c r="C53" s="1237" t="s">
        <v>1494</v>
      </c>
      <c r="D53" s="1541"/>
      <c r="E53" s="1542"/>
      <c r="F53" s="1225"/>
      <c r="G53" s="1279"/>
      <c r="H53" s="1239" t="s">
        <v>1604</v>
      </c>
      <c r="I53" s="1225"/>
      <c r="J53" s="1240" t="s">
        <v>1618</v>
      </c>
      <c r="K53" s="1225"/>
      <c r="L53" s="1240" t="s">
        <v>1605</v>
      </c>
      <c r="M53" s="1225"/>
      <c r="N53" s="1240" t="s">
        <v>1619</v>
      </c>
      <c r="O53" s="1225"/>
      <c r="P53" s="1240" t="s">
        <v>1620</v>
      </c>
      <c r="Q53" s="1225"/>
      <c r="R53" s="1240" t="s">
        <v>1621</v>
      </c>
      <c r="S53" s="1225"/>
      <c r="T53" s="1724" t="s">
        <v>1720</v>
      </c>
      <c r="U53" s="1225"/>
    </row>
    <row r="54" spans="1:21" s="1173" customFormat="1" ht="18" customHeight="1" thickBot="1" x14ac:dyDescent="0.3">
      <c r="A54" s="657"/>
      <c r="B54" s="1225"/>
      <c r="C54" s="1225"/>
      <c r="D54" s="1225"/>
      <c r="E54" s="1225"/>
      <c r="F54" s="1225"/>
      <c r="G54" s="1279"/>
      <c r="H54" s="1226" t="s">
        <v>651</v>
      </c>
      <c r="I54" s="1225"/>
      <c r="J54" s="1176" t="s">
        <v>1606</v>
      </c>
      <c r="K54" s="1225"/>
      <c r="L54" s="1193" t="s">
        <v>1606</v>
      </c>
      <c r="M54" s="1225"/>
      <c r="N54" s="1193" t="s">
        <v>651</v>
      </c>
      <c r="O54" s="1225"/>
      <c r="P54" s="1226" t="s">
        <v>651</v>
      </c>
      <c r="Q54" s="1225"/>
      <c r="R54" s="1193" t="s">
        <v>1622</v>
      </c>
      <c r="S54" s="1225"/>
      <c r="T54" s="1725" t="s">
        <v>651</v>
      </c>
      <c r="U54" s="1225"/>
    </row>
    <row r="55" spans="1:21" s="1173" customFormat="1" ht="30" customHeight="1" thickBot="1" x14ac:dyDescent="0.3">
      <c r="A55" s="657"/>
      <c r="B55" s="1225"/>
      <c r="C55" s="1243" t="s">
        <v>1607</v>
      </c>
      <c r="D55" s="1508" t="s">
        <v>651</v>
      </c>
      <c r="E55" s="1509"/>
      <c r="F55" s="1225"/>
      <c r="G55" s="1279"/>
      <c r="H55" s="1225"/>
      <c r="I55" s="1225"/>
      <c r="J55" s="1225"/>
      <c r="K55" s="1225"/>
      <c r="L55" s="1225"/>
      <c r="M55" s="1225"/>
      <c r="N55" s="1225"/>
      <c r="O55" s="1225"/>
      <c r="P55" s="1225"/>
      <c r="Q55" s="1225"/>
      <c r="R55" s="1225"/>
      <c r="S55" s="1225"/>
      <c r="T55" s="1225"/>
      <c r="U55" s="1225"/>
    </row>
    <row r="56" spans="1:21" s="1173" customFormat="1" ht="18" customHeight="1" thickBot="1" x14ac:dyDescent="0.3">
      <c r="A56" s="657"/>
      <c r="B56" s="1225"/>
      <c r="C56" s="1225"/>
      <c r="D56" s="1225"/>
      <c r="E56" s="1225"/>
      <c r="F56" s="1225"/>
      <c r="G56" s="1279"/>
      <c r="H56" s="1225"/>
      <c r="I56" s="1225"/>
      <c r="J56" s="1225"/>
      <c r="K56" s="1225"/>
      <c r="L56" s="1225"/>
      <c r="M56" s="1225"/>
      <c r="N56" s="1225"/>
      <c r="O56" s="1225"/>
      <c r="P56" s="1225"/>
      <c r="Q56" s="1225"/>
      <c r="R56" s="1225"/>
      <c r="S56" s="1225"/>
      <c r="T56" s="1225"/>
      <c r="U56" s="1225"/>
    </row>
    <row r="57" spans="1:21" s="1173" customFormat="1" ht="18" customHeight="1" thickBot="1" x14ac:dyDescent="0.3">
      <c r="A57" s="657"/>
      <c r="B57" s="1225"/>
      <c r="C57" s="1237" t="s">
        <v>1608</v>
      </c>
      <c r="D57" s="1518" t="s">
        <v>1609</v>
      </c>
      <c r="E57" s="1524"/>
      <c r="F57" s="1225"/>
      <c r="G57" s="1279"/>
      <c r="H57" s="1225"/>
      <c r="I57" s="1225"/>
      <c r="J57" s="1225"/>
      <c r="K57" s="1225"/>
      <c r="L57" s="1225"/>
      <c r="M57" s="1225"/>
      <c r="N57" s="1225"/>
      <c r="O57" s="1225"/>
      <c r="P57" s="1225"/>
      <c r="Q57" s="1225"/>
      <c r="R57" s="1225"/>
      <c r="S57" s="1225"/>
      <c r="T57" s="1225"/>
      <c r="U57" s="1225"/>
    </row>
    <row r="58" spans="1:21" s="1173" customFormat="1" ht="20.25" customHeight="1" thickBot="1" x14ac:dyDescent="0.3">
      <c r="A58" s="657"/>
      <c r="B58" s="1225"/>
      <c r="C58" s="1225"/>
      <c r="D58" s="1225"/>
      <c r="E58" s="1225"/>
      <c r="F58" s="1225"/>
      <c r="G58" s="1279"/>
      <c r="H58" s="1225"/>
      <c r="I58" s="1225"/>
      <c r="J58" s="1225"/>
      <c r="K58" s="1225"/>
      <c r="L58" s="1225"/>
      <c r="M58" s="1225"/>
      <c r="N58" s="1225"/>
      <c r="O58" s="1225"/>
      <c r="P58" s="1225"/>
      <c r="Q58" s="1225"/>
      <c r="R58" s="1225"/>
      <c r="S58" s="1225"/>
      <c r="T58" s="1225"/>
      <c r="U58" s="1225"/>
    </row>
    <row r="59" spans="1:21" s="1173" customFormat="1" ht="20.25" customHeight="1" thickBot="1" x14ac:dyDescent="0.3">
      <c r="A59" s="657"/>
      <c r="B59" s="1520" t="s">
        <v>1624</v>
      </c>
      <c r="C59" s="1539"/>
      <c r="D59" s="1539"/>
      <c r="E59" s="1539"/>
      <c r="F59" s="1539"/>
      <c r="G59" s="1539"/>
      <c r="H59" s="1539"/>
      <c r="I59" s="1539"/>
      <c r="J59" s="1539"/>
      <c r="K59" s="1539"/>
      <c r="L59" s="1539"/>
      <c r="M59" s="1539"/>
      <c r="N59" s="1539"/>
      <c r="O59" s="1539"/>
      <c r="P59" s="1539"/>
      <c r="Q59" s="1539"/>
      <c r="R59" s="1539"/>
      <c r="S59" s="1539"/>
      <c r="T59" s="1539"/>
      <c r="U59" s="1540"/>
    </row>
    <row r="60" spans="1:21" s="1173" customFormat="1" ht="20.25" customHeight="1" thickBot="1" x14ac:dyDescent="0.3">
      <c r="A60" s="657"/>
      <c r="B60" s="1225"/>
      <c r="C60" s="1225"/>
      <c r="D60" s="1225"/>
      <c r="E60" s="1225"/>
      <c r="F60" s="1225"/>
      <c r="G60" s="1279"/>
      <c r="H60" s="1225"/>
      <c r="I60" s="1225"/>
      <c r="J60" s="1225"/>
      <c r="K60" s="1225"/>
      <c r="L60" s="1225"/>
      <c r="M60" s="1225"/>
      <c r="N60" s="1225"/>
      <c r="O60" s="1225"/>
      <c r="P60" s="1225"/>
      <c r="Q60" s="1225"/>
      <c r="R60" s="1225"/>
      <c r="S60" s="1225"/>
      <c r="T60" s="1225"/>
      <c r="U60" s="1225"/>
    </row>
    <row r="61" spans="1:21" s="1173" customFormat="1" ht="30" customHeight="1" thickBot="1" x14ac:dyDescent="0.3">
      <c r="A61" s="496"/>
      <c r="B61" s="1225"/>
      <c r="C61" s="1237" t="s">
        <v>1491</v>
      </c>
      <c r="D61" s="1522" t="s">
        <v>1625</v>
      </c>
      <c r="E61" s="1523"/>
      <c r="F61" s="1225"/>
      <c r="G61" s="1279"/>
      <c r="H61" s="1240" t="s">
        <v>1488</v>
      </c>
      <c r="I61" s="1232"/>
      <c r="J61" s="1240" t="s">
        <v>1489</v>
      </c>
      <c r="K61" s="1232"/>
      <c r="L61" s="1240" t="s">
        <v>1505</v>
      </c>
      <c r="M61" s="1232"/>
      <c r="N61" s="1240" t="s">
        <v>1490</v>
      </c>
      <c r="O61" s="1232"/>
      <c r="P61" s="1240" t="s">
        <v>1598</v>
      </c>
      <c r="Q61" s="1232"/>
      <c r="R61" s="1240" t="s">
        <v>1599</v>
      </c>
      <c r="S61" s="1232"/>
      <c r="T61" s="1240" t="s">
        <v>1600</v>
      </c>
      <c r="U61" s="1225"/>
    </row>
    <row r="62" spans="1:21" s="1173" customFormat="1" ht="18" customHeight="1" thickBot="1" x14ac:dyDescent="0.3">
      <c r="A62" s="657"/>
      <c r="B62" s="1225"/>
      <c r="C62" s="1232"/>
      <c r="D62" s="1225"/>
      <c r="E62" s="1225"/>
      <c r="F62" s="1225"/>
      <c r="G62" s="1279"/>
      <c r="H62" s="1175"/>
      <c r="I62" s="1225"/>
      <c r="J62" s="1230"/>
      <c r="K62" s="1225"/>
      <c r="L62" s="1230"/>
      <c r="M62" s="1225"/>
      <c r="N62" s="1278"/>
      <c r="O62" s="1225"/>
      <c r="P62" s="1176" t="s">
        <v>1601</v>
      </c>
      <c r="Q62" s="1225"/>
      <c r="R62" s="1176" t="s">
        <v>1602</v>
      </c>
      <c r="S62" s="1225"/>
      <c r="T62" s="1226" t="s">
        <v>653</v>
      </c>
      <c r="U62" s="1225"/>
    </row>
    <row r="63" spans="1:21" s="1173" customFormat="1" ht="30" customHeight="1" thickBot="1" x14ac:dyDescent="0.3">
      <c r="A63" s="657"/>
      <c r="B63" s="1225"/>
      <c r="C63" s="1237" t="s">
        <v>1603</v>
      </c>
      <c r="D63" s="1518">
        <v>1501</v>
      </c>
      <c r="E63" s="1524"/>
      <c r="F63" s="1225"/>
      <c r="G63" s="1279"/>
      <c r="H63" s="1225"/>
      <c r="I63" s="1225"/>
      <c r="J63" s="1225"/>
      <c r="K63" s="1225"/>
      <c r="L63" s="1225"/>
      <c r="M63" s="1225"/>
      <c r="N63" s="1225"/>
      <c r="O63" s="1225"/>
      <c r="P63" s="1225"/>
      <c r="Q63" s="1225"/>
      <c r="R63" s="1225"/>
      <c r="S63" s="1225"/>
      <c r="T63" s="1225"/>
      <c r="U63" s="1225"/>
    </row>
    <row r="64" spans="1:21" s="1173" customFormat="1" ht="30" customHeight="1" thickBot="1" x14ac:dyDescent="0.3">
      <c r="A64" s="657"/>
      <c r="B64" s="1225"/>
      <c r="C64" s="1232"/>
      <c r="D64" s="1225"/>
      <c r="E64" s="1225"/>
      <c r="F64" s="1225"/>
      <c r="G64" s="1279"/>
      <c r="H64" s="1241" t="s">
        <v>1495</v>
      </c>
      <c r="I64" s="1232"/>
      <c r="J64" s="1240" t="s">
        <v>1496</v>
      </c>
      <c r="K64" s="1232"/>
      <c r="L64" s="1240" t="s">
        <v>1497</v>
      </c>
      <c r="M64" s="1232"/>
      <c r="N64" s="1240" t="s">
        <v>1613</v>
      </c>
      <c r="O64" s="1232"/>
      <c r="P64" s="1240" t="s">
        <v>1614</v>
      </c>
      <c r="Q64" s="1232"/>
      <c r="R64" s="1240" t="s">
        <v>1615</v>
      </c>
      <c r="S64" s="1225"/>
      <c r="T64" s="1225"/>
      <c r="U64" s="1225"/>
    </row>
    <row r="65" spans="1:21" s="1173" customFormat="1" ht="18" customHeight="1" thickBot="1" x14ac:dyDescent="0.3">
      <c r="A65" s="657"/>
      <c r="B65" s="1225"/>
      <c r="C65" s="1237" t="s">
        <v>1493</v>
      </c>
      <c r="D65" s="1541"/>
      <c r="E65" s="1542"/>
      <c r="F65" s="1225"/>
      <c r="G65" s="1279" t="s">
        <v>1048</v>
      </c>
      <c r="H65" s="1203"/>
      <c r="I65" s="1228"/>
      <c r="J65" s="1233"/>
      <c r="K65" s="1225"/>
      <c r="L65" s="1233"/>
      <c r="M65" s="1225"/>
      <c r="N65" s="1193" t="s">
        <v>482</v>
      </c>
      <c r="O65" s="1225"/>
      <c r="P65" s="1193" t="s">
        <v>1616</v>
      </c>
      <c r="Q65" s="1225"/>
      <c r="R65" s="1193" t="s">
        <v>1617</v>
      </c>
      <c r="S65" s="1225"/>
      <c r="T65" s="1225"/>
      <c r="U65" s="1225"/>
    </row>
    <row r="66" spans="1:21" s="1173" customFormat="1" ht="18" customHeight="1" thickBot="1" x14ac:dyDescent="0.3">
      <c r="A66" s="657"/>
      <c r="B66" s="1225"/>
      <c r="C66" s="1232"/>
      <c r="D66" s="1225"/>
      <c r="E66" s="1225"/>
      <c r="F66" s="1225"/>
      <c r="G66" s="1279" t="s">
        <v>1498</v>
      </c>
      <c r="H66" s="1203"/>
      <c r="I66" s="1228"/>
      <c r="J66" s="1233"/>
      <c r="K66" s="1225"/>
      <c r="L66" s="1233"/>
      <c r="M66" s="1225"/>
      <c r="N66" s="1193" t="s">
        <v>482</v>
      </c>
      <c r="O66" s="1225"/>
      <c r="P66" s="1193" t="s">
        <v>1616</v>
      </c>
      <c r="Q66" s="1225"/>
      <c r="R66" s="1225"/>
      <c r="S66" s="1225"/>
      <c r="T66" s="1225"/>
      <c r="U66" s="1225"/>
    </row>
    <row r="67" spans="1:21" s="1173" customFormat="1" ht="18" customHeight="1" thickBot="1" x14ac:dyDescent="0.3">
      <c r="A67" s="657"/>
      <c r="B67" s="1225"/>
      <c r="C67" s="1237" t="s">
        <v>1494</v>
      </c>
      <c r="D67" s="1541"/>
      <c r="E67" s="1542"/>
      <c r="F67" s="1225"/>
      <c r="G67" s="1279" t="s">
        <v>1499</v>
      </c>
      <c r="H67" s="1203"/>
      <c r="I67" s="1228"/>
      <c r="J67" s="1234"/>
      <c r="K67" s="1225"/>
      <c r="L67" s="1233"/>
      <c r="M67" s="1225"/>
      <c r="N67" s="1193" t="s">
        <v>482</v>
      </c>
      <c r="O67" s="1225"/>
      <c r="P67" s="1193" t="s">
        <v>1616</v>
      </c>
      <c r="Q67" s="1225"/>
      <c r="R67" s="1225"/>
      <c r="S67" s="1225"/>
      <c r="T67" s="1724" t="s">
        <v>1720</v>
      </c>
      <c r="U67" s="1225"/>
    </row>
    <row r="68" spans="1:21" s="1173" customFormat="1" ht="18" customHeight="1" x14ac:dyDescent="0.25">
      <c r="A68" s="657"/>
      <c r="B68" s="1225"/>
      <c r="C68" s="1232"/>
      <c r="D68" s="1225"/>
      <c r="E68" s="1225"/>
      <c r="F68" s="1225"/>
      <c r="G68" s="1279" t="s">
        <v>1501</v>
      </c>
      <c r="H68" s="1203"/>
      <c r="I68" s="1228"/>
      <c r="J68" s="1234"/>
      <c r="K68" s="1225"/>
      <c r="L68" s="1231"/>
      <c r="M68" s="1225"/>
      <c r="N68" s="1193" t="s">
        <v>482</v>
      </c>
      <c r="O68" s="1225"/>
      <c r="P68" s="1193" t="s">
        <v>1616</v>
      </c>
      <c r="Q68" s="1225"/>
      <c r="R68" s="1225"/>
      <c r="S68" s="1225"/>
      <c r="T68" s="1725" t="s">
        <v>651</v>
      </c>
      <c r="U68" s="1225"/>
    </row>
    <row r="69" spans="1:21" s="1173" customFormat="1" ht="18" customHeight="1" x14ac:dyDescent="0.25">
      <c r="A69" s="657"/>
      <c r="B69" s="1225"/>
      <c r="C69" s="1232"/>
      <c r="D69" s="1225"/>
      <c r="E69" s="1225"/>
      <c r="F69" s="1225"/>
      <c r="G69" s="1279" t="s">
        <v>1503</v>
      </c>
      <c r="H69" s="1203"/>
      <c r="I69" s="1228"/>
      <c r="J69" s="1234"/>
      <c r="K69" s="1225"/>
      <c r="L69" s="1231"/>
      <c r="M69" s="1225"/>
      <c r="N69" s="1193" t="s">
        <v>482</v>
      </c>
      <c r="O69" s="1225"/>
      <c r="P69" s="1193" t="s">
        <v>1616</v>
      </c>
      <c r="Q69" s="1225"/>
      <c r="R69" s="1225"/>
      <c r="S69" s="1225"/>
      <c r="T69" s="1225"/>
      <c r="U69" s="1225"/>
    </row>
    <row r="70" spans="1:21" s="1173" customFormat="1" ht="18" customHeight="1" thickBot="1" x14ac:dyDescent="0.3">
      <c r="A70" s="657"/>
      <c r="B70" s="1225"/>
      <c r="C70" s="1232"/>
      <c r="D70" s="1225"/>
      <c r="E70" s="1225"/>
      <c r="F70" s="1225"/>
      <c r="G70" s="1279"/>
      <c r="H70" s="1225"/>
      <c r="I70" s="1225"/>
      <c r="J70" s="1225"/>
      <c r="K70" s="1225"/>
      <c r="L70" s="1225"/>
      <c r="M70" s="1225"/>
      <c r="N70" s="1225"/>
      <c r="O70" s="1225"/>
      <c r="P70" s="1225"/>
      <c r="Q70" s="1225"/>
      <c r="R70" s="1225"/>
      <c r="S70" s="1225"/>
      <c r="T70" s="1225"/>
      <c r="U70" s="1225"/>
    </row>
    <row r="71" spans="1:21" s="1173" customFormat="1" ht="30" customHeight="1" thickBot="1" x14ac:dyDescent="0.3">
      <c r="A71" s="657"/>
      <c r="B71" s="1225"/>
      <c r="C71" s="1238" t="s">
        <v>1607</v>
      </c>
      <c r="D71" s="1508" t="s">
        <v>651</v>
      </c>
      <c r="E71" s="1509"/>
      <c r="F71" s="1225"/>
      <c r="G71" s="1279"/>
      <c r="H71" s="1239" t="s">
        <v>1604</v>
      </c>
      <c r="I71" s="1232"/>
      <c r="J71" s="1240" t="s">
        <v>1618</v>
      </c>
      <c r="K71" s="1232"/>
      <c r="L71" s="1240" t="s">
        <v>1605</v>
      </c>
      <c r="M71" s="1232"/>
      <c r="N71" s="1240" t="s">
        <v>1619</v>
      </c>
      <c r="O71" s="1232"/>
      <c r="P71" s="1240" t="s">
        <v>1620</v>
      </c>
      <c r="Q71" s="1232"/>
      <c r="R71" s="1240" t="s">
        <v>1621</v>
      </c>
      <c r="S71" s="1225"/>
      <c r="T71" s="1225"/>
      <c r="U71" s="1225"/>
    </row>
    <row r="72" spans="1:21" s="1173" customFormat="1" ht="18" customHeight="1" thickBot="1" x14ac:dyDescent="0.3">
      <c r="A72" s="657"/>
      <c r="B72" s="1225"/>
      <c r="C72" s="1232"/>
      <c r="D72" s="1225"/>
      <c r="E72" s="1225"/>
      <c r="F72" s="1225"/>
      <c r="G72" s="1279"/>
      <c r="H72" s="1226" t="s">
        <v>651</v>
      </c>
      <c r="I72" s="1225"/>
      <c r="J72" s="1176" t="s">
        <v>1606</v>
      </c>
      <c r="K72" s="1225"/>
      <c r="L72" s="1193" t="s">
        <v>1606</v>
      </c>
      <c r="M72" s="1225"/>
      <c r="N72" s="1193" t="s">
        <v>651</v>
      </c>
      <c r="O72" s="1225"/>
      <c r="P72" s="1226" t="s">
        <v>651</v>
      </c>
      <c r="Q72" s="1225"/>
      <c r="R72" s="1193" t="s">
        <v>1622</v>
      </c>
      <c r="S72" s="1225"/>
      <c r="T72" s="1225"/>
      <c r="U72" s="1225"/>
    </row>
    <row r="73" spans="1:21" s="1173" customFormat="1" ht="18" customHeight="1" thickBot="1" x14ac:dyDescent="0.3">
      <c r="A73" s="657"/>
      <c r="B73" s="1225"/>
      <c r="C73" s="1237" t="s">
        <v>1608</v>
      </c>
      <c r="D73" s="1518" t="s">
        <v>1609</v>
      </c>
      <c r="E73" s="1524"/>
      <c r="F73" s="1225"/>
      <c r="G73" s="1279"/>
      <c r="H73" s="1225"/>
      <c r="I73" s="1225"/>
      <c r="J73" s="1225"/>
      <c r="K73" s="1225"/>
      <c r="L73" s="1225"/>
      <c r="M73" s="1225"/>
      <c r="N73" s="1225"/>
      <c r="O73" s="1225"/>
      <c r="P73" s="1225"/>
      <c r="Q73" s="1225"/>
      <c r="R73" s="1225"/>
      <c r="S73" s="1225"/>
      <c r="T73" s="1225"/>
      <c r="U73" s="1225"/>
    </row>
    <row r="74" spans="1:21" s="1173" customFormat="1" ht="20.25" customHeight="1" thickBot="1" x14ac:dyDescent="0.3">
      <c r="A74" s="657"/>
      <c r="B74" s="1225"/>
      <c r="C74" s="1225"/>
      <c r="D74" s="1225"/>
      <c r="E74" s="1225"/>
      <c r="F74" s="1225"/>
      <c r="G74" s="1279"/>
      <c r="H74" s="1225"/>
      <c r="I74" s="1225"/>
      <c r="J74" s="1225"/>
      <c r="K74" s="1225"/>
      <c r="L74" s="1225"/>
      <c r="M74" s="1225"/>
      <c r="N74" s="1225"/>
      <c r="O74" s="1225"/>
      <c r="P74" s="1225"/>
      <c r="Q74" s="1225"/>
      <c r="R74" s="1225"/>
      <c r="S74" s="1225"/>
      <c r="T74" s="1225"/>
      <c r="U74" s="1225"/>
    </row>
    <row r="75" spans="1:21" s="1173" customFormat="1" ht="21" customHeight="1" thickBot="1" x14ac:dyDescent="0.3">
      <c r="A75" s="657"/>
      <c r="B75" s="1520" t="s">
        <v>1626</v>
      </c>
      <c r="C75" s="1539"/>
      <c r="D75" s="1539"/>
      <c r="E75" s="1539"/>
      <c r="F75" s="1539"/>
      <c r="G75" s="1539"/>
      <c r="H75" s="1539"/>
      <c r="I75" s="1539"/>
      <c r="J75" s="1539"/>
      <c r="K75" s="1539"/>
      <c r="L75" s="1539"/>
      <c r="M75" s="1539"/>
      <c r="N75" s="1539"/>
      <c r="O75" s="1539"/>
      <c r="P75" s="1539"/>
      <c r="Q75" s="1539"/>
      <c r="R75" s="1539"/>
      <c r="S75" s="1539"/>
      <c r="T75" s="1539"/>
      <c r="U75" s="1540"/>
    </row>
    <row r="76" spans="1:21" s="1173" customFormat="1" ht="20.25" customHeight="1" thickBot="1" x14ac:dyDescent="0.3">
      <c r="A76" s="657"/>
      <c r="B76" s="1225"/>
      <c r="C76" s="1225"/>
      <c r="D76" s="1225"/>
      <c r="E76" s="1225"/>
      <c r="F76" s="1225"/>
      <c r="G76" s="1279"/>
      <c r="H76" s="1225"/>
      <c r="I76" s="1225"/>
      <c r="J76" s="1225"/>
      <c r="K76" s="1225"/>
      <c r="L76" s="1225"/>
      <c r="M76" s="1225"/>
      <c r="N76" s="1225"/>
      <c r="O76" s="1225"/>
      <c r="P76" s="1225"/>
      <c r="Q76" s="1225"/>
      <c r="R76" s="1225"/>
      <c r="S76" s="1225"/>
      <c r="T76" s="1225"/>
      <c r="U76" s="1225"/>
    </row>
    <row r="77" spans="1:21" s="1173" customFormat="1" ht="30" customHeight="1" thickBot="1" x14ac:dyDescent="0.3">
      <c r="A77" s="496"/>
      <c r="B77" s="1225"/>
      <c r="C77" s="1237" t="s">
        <v>1491</v>
      </c>
      <c r="D77" s="1522" t="s">
        <v>1625</v>
      </c>
      <c r="E77" s="1523"/>
      <c r="F77" s="1225"/>
      <c r="G77" s="1279"/>
      <c r="H77" s="1240" t="s">
        <v>1488</v>
      </c>
      <c r="I77" s="1232"/>
      <c r="J77" s="1240" t="s">
        <v>1489</v>
      </c>
      <c r="K77" s="1232"/>
      <c r="L77" s="1240" t="s">
        <v>1505</v>
      </c>
      <c r="M77" s="1232"/>
      <c r="N77" s="1240" t="s">
        <v>1490</v>
      </c>
      <c r="O77" s="1232"/>
      <c r="P77" s="1240" t="s">
        <v>1598</v>
      </c>
      <c r="Q77" s="1232"/>
      <c r="R77" s="1240" t="s">
        <v>1599</v>
      </c>
      <c r="S77" s="1232"/>
      <c r="T77" s="1240" t="s">
        <v>1600</v>
      </c>
      <c r="U77" s="1225"/>
    </row>
    <row r="78" spans="1:21" s="1173" customFormat="1" ht="18" customHeight="1" thickBot="1" x14ac:dyDescent="0.3">
      <c r="A78" s="657"/>
      <c r="B78" s="1225"/>
      <c r="C78" s="1232"/>
      <c r="D78" s="1225"/>
      <c r="E78" s="1225"/>
      <c r="F78" s="1225"/>
      <c r="G78" s="1279"/>
      <c r="H78" s="1175"/>
      <c r="I78" s="1225"/>
      <c r="J78" s="1230"/>
      <c r="K78" s="1225"/>
      <c r="L78" s="1230"/>
      <c r="M78" s="1225"/>
      <c r="N78" s="1278"/>
      <c r="O78" s="1225"/>
      <c r="P78" s="1176" t="s">
        <v>1601</v>
      </c>
      <c r="Q78" s="1225"/>
      <c r="R78" s="1176" t="s">
        <v>1602</v>
      </c>
      <c r="S78" s="1225"/>
      <c r="T78" s="1226" t="s">
        <v>653</v>
      </c>
      <c r="U78" s="1225"/>
    </row>
    <row r="79" spans="1:21" s="1173" customFormat="1" ht="30" customHeight="1" thickBot="1" x14ac:dyDescent="0.3">
      <c r="A79" s="657"/>
      <c r="B79" s="1225"/>
      <c r="C79" s="1237" t="s">
        <v>1603</v>
      </c>
      <c r="D79" s="1518">
        <v>1502</v>
      </c>
      <c r="E79" s="1524"/>
      <c r="F79" s="1225"/>
      <c r="G79" s="1279"/>
      <c r="H79" s="1225"/>
      <c r="I79" s="1225"/>
      <c r="J79" s="1225"/>
      <c r="K79" s="1225"/>
      <c r="L79" s="1225"/>
      <c r="M79" s="1225"/>
      <c r="N79" s="1225"/>
      <c r="O79" s="1225"/>
      <c r="P79" s="1225"/>
      <c r="Q79" s="1225"/>
      <c r="R79" s="1225"/>
      <c r="S79" s="1225"/>
      <c r="T79" s="1225"/>
      <c r="U79" s="1225"/>
    </row>
    <row r="80" spans="1:21" s="1173" customFormat="1" ht="30" customHeight="1" thickBot="1" x14ac:dyDescent="0.3">
      <c r="A80" s="657"/>
      <c r="B80" s="1225"/>
      <c r="C80" s="1232"/>
      <c r="D80" s="1225"/>
      <c r="E80" s="1225"/>
      <c r="F80" s="1225"/>
      <c r="G80" s="1279"/>
      <c r="H80" s="1241" t="s">
        <v>1495</v>
      </c>
      <c r="I80" s="1232"/>
      <c r="J80" s="1240" t="s">
        <v>1496</v>
      </c>
      <c r="K80" s="1232"/>
      <c r="L80" s="1240" t="s">
        <v>1497</v>
      </c>
      <c r="M80" s="1232"/>
      <c r="N80" s="1240" t="s">
        <v>1613</v>
      </c>
      <c r="O80" s="1232"/>
      <c r="P80" s="1240" t="s">
        <v>1614</v>
      </c>
      <c r="Q80" s="1232"/>
      <c r="R80" s="1240" t="s">
        <v>1615</v>
      </c>
      <c r="S80" s="1225"/>
      <c r="T80" s="1225"/>
      <c r="U80" s="1225"/>
    </row>
    <row r="81" spans="1:21" s="1173" customFormat="1" ht="18" customHeight="1" thickBot="1" x14ac:dyDescent="0.3">
      <c r="A81" s="657"/>
      <c r="B81" s="1225"/>
      <c r="C81" s="1237" t="s">
        <v>1493</v>
      </c>
      <c r="D81" s="1541"/>
      <c r="E81" s="1542"/>
      <c r="F81" s="1225"/>
      <c r="G81" s="1279" t="s">
        <v>1048</v>
      </c>
      <c r="H81" s="1203"/>
      <c r="I81" s="1228"/>
      <c r="J81" s="1233"/>
      <c r="K81" s="1225"/>
      <c r="L81" s="1233"/>
      <c r="M81" s="1225"/>
      <c r="N81" s="1193" t="s">
        <v>482</v>
      </c>
      <c r="O81" s="1225"/>
      <c r="P81" s="1193" t="s">
        <v>1616</v>
      </c>
      <c r="Q81" s="1225"/>
      <c r="R81" s="1193" t="s">
        <v>1617</v>
      </c>
      <c r="S81" s="1225"/>
      <c r="T81" s="1225"/>
      <c r="U81" s="1225"/>
    </row>
    <row r="82" spans="1:21" s="1173" customFormat="1" ht="18" customHeight="1" thickBot="1" x14ac:dyDescent="0.3">
      <c r="A82" s="657"/>
      <c r="B82" s="1225"/>
      <c r="C82" s="1232"/>
      <c r="D82" s="1225"/>
      <c r="E82" s="1225"/>
      <c r="F82" s="1225"/>
      <c r="G82" s="1279" t="s">
        <v>1498</v>
      </c>
      <c r="H82" s="1203"/>
      <c r="I82" s="1228"/>
      <c r="J82" s="1233"/>
      <c r="K82" s="1225"/>
      <c r="L82" s="1233"/>
      <c r="M82" s="1225"/>
      <c r="N82" s="1193" t="s">
        <v>482</v>
      </c>
      <c r="O82" s="1225"/>
      <c r="P82" s="1193" t="s">
        <v>1616</v>
      </c>
      <c r="Q82" s="1225"/>
      <c r="R82" s="1225"/>
      <c r="S82" s="1225"/>
      <c r="T82" s="1225"/>
      <c r="U82" s="1225"/>
    </row>
    <row r="83" spans="1:21" s="1173" customFormat="1" ht="18" customHeight="1" thickBot="1" x14ac:dyDescent="0.3">
      <c r="A83" s="657"/>
      <c r="B83" s="1225"/>
      <c r="C83" s="1237" t="s">
        <v>1494</v>
      </c>
      <c r="D83" s="1541"/>
      <c r="E83" s="1542"/>
      <c r="F83" s="1225"/>
      <c r="G83" s="1279" t="s">
        <v>1499</v>
      </c>
      <c r="H83" s="1203"/>
      <c r="I83" s="1228"/>
      <c r="J83" s="1234"/>
      <c r="K83" s="1225"/>
      <c r="L83" s="1231"/>
      <c r="M83" s="1225"/>
      <c r="N83" s="1193" t="s">
        <v>482</v>
      </c>
      <c r="O83" s="1225"/>
      <c r="P83" s="1193" t="s">
        <v>1616</v>
      </c>
      <c r="Q83" s="1225"/>
      <c r="R83" s="1225"/>
      <c r="S83" s="1225"/>
      <c r="T83" s="1724" t="s">
        <v>1720</v>
      </c>
      <c r="U83" s="1225"/>
    </row>
    <row r="84" spans="1:21" s="1173" customFormat="1" ht="18" customHeight="1" x14ac:dyDescent="0.25">
      <c r="A84" s="657"/>
      <c r="B84" s="1225"/>
      <c r="C84" s="1232"/>
      <c r="D84" s="1225"/>
      <c r="E84" s="1225"/>
      <c r="F84" s="1225"/>
      <c r="G84" s="1279" t="s">
        <v>1501</v>
      </c>
      <c r="H84" s="1203"/>
      <c r="I84" s="1228"/>
      <c r="J84" s="1234"/>
      <c r="K84" s="1225"/>
      <c r="L84" s="1231"/>
      <c r="M84" s="1225"/>
      <c r="N84" s="1193" t="s">
        <v>482</v>
      </c>
      <c r="O84" s="1225"/>
      <c r="P84" s="1193" t="s">
        <v>1616</v>
      </c>
      <c r="Q84" s="1225"/>
      <c r="R84" s="1225"/>
      <c r="S84" s="1225"/>
      <c r="T84" s="1725" t="s">
        <v>651</v>
      </c>
      <c r="U84" s="1225"/>
    </row>
    <row r="85" spans="1:21" s="1173" customFormat="1" ht="18" customHeight="1" x14ac:dyDescent="0.25">
      <c r="A85" s="657"/>
      <c r="B85" s="1225"/>
      <c r="C85" s="1232"/>
      <c r="D85" s="1225"/>
      <c r="E85" s="1225"/>
      <c r="F85" s="1225"/>
      <c r="G85" s="1279" t="s">
        <v>1503</v>
      </c>
      <c r="H85" s="1203"/>
      <c r="I85" s="1228"/>
      <c r="J85" s="1234"/>
      <c r="K85" s="1225"/>
      <c r="L85" s="1231"/>
      <c r="M85" s="1225"/>
      <c r="N85" s="1193" t="s">
        <v>482</v>
      </c>
      <c r="O85" s="1225"/>
      <c r="P85" s="1193" t="s">
        <v>1616</v>
      </c>
      <c r="Q85" s="1225"/>
      <c r="R85" s="1225"/>
      <c r="S85" s="1225"/>
      <c r="T85" s="1225"/>
      <c r="U85" s="1225"/>
    </row>
    <row r="86" spans="1:21" s="1173" customFormat="1" ht="18" customHeight="1" thickBot="1" x14ac:dyDescent="0.3">
      <c r="A86" s="657"/>
      <c r="B86" s="1225"/>
      <c r="C86" s="1232"/>
      <c r="D86" s="1225"/>
      <c r="E86" s="1225"/>
      <c r="F86" s="1225"/>
      <c r="G86" s="1279"/>
      <c r="H86" s="1225"/>
      <c r="I86" s="1225"/>
      <c r="J86" s="1225"/>
      <c r="K86" s="1225"/>
      <c r="L86" s="1225"/>
      <c r="M86" s="1225"/>
      <c r="N86" s="1225"/>
      <c r="O86" s="1225"/>
      <c r="P86" s="1225"/>
      <c r="Q86" s="1225"/>
      <c r="R86" s="1225"/>
      <c r="S86" s="1225"/>
      <c r="T86" s="1225"/>
      <c r="U86" s="1225"/>
    </row>
    <row r="87" spans="1:21" s="1173" customFormat="1" ht="30" customHeight="1" thickBot="1" x14ac:dyDescent="0.3">
      <c r="A87" s="657"/>
      <c r="B87" s="1225"/>
      <c r="C87" s="1238" t="s">
        <v>1607</v>
      </c>
      <c r="D87" s="1508" t="s">
        <v>651</v>
      </c>
      <c r="E87" s="1509"/>
      <c r="F87" s="1225"/>
      <c r="G87" s="1279"/>
      <c r="H87" s="1239" t="s">
        <v>1604</v>
      </c>
      <c r="I87" s="1232"/>
      <c r="J87" s="1240" t="s">
        <v>1618</v>
      </c>
      <c r="K87" s="1232"/>
      <c r="L87" s="1240" t="s">
        <v>1605</v>
      </c>
      <c r="M87" s="1232"/>
      <c r="N87" s="1240" t="s">
        <v>1619</v>
      </c>
      <c r="O87" s="1232"/>
      <c r="P87" s="1240" t="s">
        <v>1620</v>
      </c>
      <c r="Q87" s="1232"/>
      <c r="R87" s="1240" t="s">
        <v>1621</v>
      </c>
      <c r="S87" s="1225"/>
      <c r="T87" s="1225"/>
      <c r="U87" s="1225"/>
    </row>
    <row r="88" spans="1:21" s="1173" customFormat="1" ht="18" customHeight="1" thickBot="1" x14ac:dyDescent="0.3">
      <c r="A88" s="657"/>
      <c r="B88" s="1225"/>
      <c r="C88" s="1232"/>
      <c r="D88" s="1225"/>
      <c r="E88" s="1225"/>
      <c r="F88" s="1225"/>
      <c r="G88" s="1279"/>
      <c r="H88" s="1226" t="s">
        <v>651</v>
      </c>
      <c r="I88" s="1225"/>
      <c r="J88" s="1176" t="s">
        <v>1606</v>
      </c>
      <c r="K88" s="1225"/>
      <c r="L88" s="1193" t="s">
        <v>1606</v>
      </c>
      <c r="M88" s="1225"/>
      <c r="N88" s="1193" t="s">
        <v>651</v>
      </c>
      <c r="O88" s="1225"/>
      <c r="P88" s="1226" t="s">
        <v>651</v>
      </c>
      <c r="Q88" s="1225"/>
      <c r="R88" s="1193" t="s">
        <v>1622</v>
      </c>
      <c r="S88" s="1225"/>
      <c r="T88" s="1225"/>
      <c r="U88" s="1225"/>
    </row>
    <row r="89" spans="1:21" s="1173" customFormat="1" ht="18" customHeight="1" thickBot="1" x14ac:dyDescent="0.3">
      <c r="A89" s="657"/>
      <c r="B89" s="1225"/>
      <c r="C89" s="1237" t="s">
        <v>1608</v>
      </c>
      <c r="D89" s="1518" t="s">
        <v>1609</v>
      </c>
      <c r="E89" s="1524"/>
      <c r="F89" s="1225"/>
      <c r="G89" s="1279"/>
      <c r="H89" s="1225"/>
      <c r="I89" s="1225"/>
      <c r="J89" s="1225"/>
      <c r="K89" s="1225"/>
      <c r="L89" s="1225"/>
      <c r="M89" s="1225"/>
      <c r="N89" s="1225"/>
      <c r="O89" s="1225"/>
      <c r="P89" s="1225"/>
      <c r="Q89" s="1225"/>
      <c r="R89" s="1225"/>
      <c r="S89" s="1225"/>
      <c r="T89" s="1225"/>
      <c r="U89" s="1225"/>
    </row>
    <row r="90" spans="1:21" s="1173" customFormat="1" ht="20.25" customHeight="1" thickBot="1" x14ac:dyDescent="0.3">
      <c r="A90" s="657"/>
      <c r="B90" s="1225"/>
      <c r="C90" s="1225"/>
      <c r="D90" s="1225"/>
      <c r="E90" s="1225"/>
      <c r="F90" s="1225"/>
      <c r="G90" s="1279"/>
      <c r="H90" s="1225"/>
      <c r="I90" s="1225"/>
      <c r="J90" s="1225"/>
      <c r="K90" s="1225"/>
      <c r="L90" s="1225"/>
      <c r="M90" s="1225"/>
      <c r="N90" s="1225"/>
      <c r="O90" s="1225"/>
      <c r="P90" s="1225"/>
      <c r="Q90" s="1225"/>
      <c r="R90" s="1225"/>
      <c r="S90" s="1225"/>
      <c r="T90" s="1225"/>
      <c r="U90" s="1225"/>
    </row>
    <row r="91" spans="1:21" s="1173" customFormat="1" ht="20.25" customHeight="1" thickBot="1" x14ac:dyDescent="0.3">
      <c r="A91" s="657"/>
      <c r="B91" s="1520" t="s">
        <v>1627</v>
      </c>
      <c r="C91" s="1539"/>
      <c r="D91" s="1539"/>
      <c r="E91" s="1539"/>
      <c r="F91" s="1539"/>
      <c r="G91" s="1539"/>
      <c r="H91" s="1539"/>
      <c r="I91" s="1539"/>
      <c r="J91" s="1539"/>
      <c r="K91" s="1539"/>
      <c r="L91" s="1539"/>
      <c r="M91" s="1539"/>
      <c r="N91" s="1539"/>
      <c r="O91" s="1539"/>
      <c r="P91" s="1539"/>
      <c r="Q91" s="1539"/>
      <c r="R91" s="1539"/>
      <c r="S91" s="1539"/>
      <c r="T91" s="1539"/>
      <c r="U91" s="1540"/>
    </row>
    <row r="92" spans="1:21" ht="20.25" customHeight="1" thickBot="1" x14ac:dyDescent="0.3">
      <c r="A92" s="657"/>
      <c r="B92" s="1229"/>
      <c r="C92" s="1229"/>
      <c r="D92" s="1229"/>
      <c r="E92" s="1229"/>
      <c r="F92" s="1229"/>
      <c r="G92" s="1279"/>
      <c r="H92" s="1229"/>
      <c r="I92" s="1229"/>
      <c r="J92" s="1229"/>
      <c r="K92" s="1229"/>
      <c r="L92" s="1229"/>
      <c r="M92" s="1229"/>
      <c r="N92" s="1229"/>
      <c r="O92" s="1229"/>
      <c r="P92" s="1229"/>
      <c r="Q92" s="1229"/>
      <c r="R92" s="1229"/>
      <c r="S92" s="1229"/>
      <c r="T92" s="1229"/>
      <c r="U92" s="1229"/>
    </row>
    <row r="93" spans="1:21" ht="30" customHeight="1" thickBot="1" x14ac:dyDescent="0.3">
      <c r="A93" s="496"/>
      <c r="B93" s="1229"/>
      <c r="C93" s="1237" t="s">
        <v>1491</v>
      </c>
      <c r="D93" s="1522" t="s">
        <v>1634</v>
      </c>
      <c r="E93" s="1523"/>
      <c r="F93" s="1229"/>
      <c r="G93" s="1279"/>
      <c r="H93" s="1240" t="s">
        <v>1488</v>
      </c>
      <c r="I93" s="1244"/>
      <c r="J93" s="1240" t="s">
        <v>1489</v>
      </c>
      <c r="K93" s="1244"/>
      <c r="L93" s="1240" t="s">
        <v>1505</v>
      </c>
      <c r="M93" s="1244"/>
      <c r="N93" s="1240" t="s">
        <v>1490</v>
      </c>
      <c r="O93" s="1244"/>
      <c r="P93" s="1240" t="s">
        <v>1598</v>
      </c>
      <c r="Q93" s="1244"/>
      <c r="R93" s="1240" t="s">
        <v>1599</v>
      </c>
      <c r="S93" s="1244"/>
      <c r="T93" s="1240" t="s">
        <v>1600</v>
      </c>
      <c r="U93" s="1229"/>
    </row>
    <row r="94" spans="1:21" ht="18" customHeight="1" thickBot="1" x14ac:dyDescent="0.3">
      <c r="A94" s="657"/>
      <c r="B94" s="1229"/>
      <c r="C94" s="1225"/>
      <c r="D94" s="1225"/>
      <c r="E94" s="1225"/>
      <c r="F94" s="1229"/>
      <c r="G94" s="1279"/>
      <c r="H94" s="1175"/>
      <c r="I94" s="1229"/>
      <c r="J94" s="1230"/>
      <c r="K94" s="1229"/>
      <c r="L94" s="1230"/>
      <c r="M94" s="1229"/>
      <c r="N94" s="1278"/>
      <c r="O94" s="1229"/>
      <c r="P94" s="1176" t="s">
        <v>1601</v>
      </c>
      <c r="Q94" s="1229"/>
      <c r="R94" s="1176" t="s">
        <v>1602</v>
      </c>
      <c r="S94" s="1229"/>
      <c r="T94" s="1226" t="s">
        <v>653</v>
      </c>
      <c r="U94" s="1229"/>
    </row>
    <row r="95" spans="1:21" ht="30" customHeight="1" thickBot="1" x14ac:dyDescent="0.3">
      <c r="A95" s="657"/>
      <c r="B95" s="1229"/>
      <c r="C95" s="1240" t="s">
        <v>1603</v>
      </c>
      <c r="D95" s="1518">
        <v>5501</v>
      </c>
      <c r="E95" s="1524"/>
      <c r="F95" s="1229"/>
      <c r="G95" s="1279"/>
      <c r="H95" s="1229"/>
      <c r="I95" s="1229"/>
      <c r="J95" s="1229"/>
      <c r="K95" s="1229"/>
      <c r="L95" s="1229"/>
      <c r="M95" s="1229"/>
      <c r="N95" s="1229"/>
      <c r="O95" s="1229"/>
      <c r="P95" s="1229"/>
      <c r="Q95" s="1229"/>
      <c r="R95" s="1229"/>
      <c r="S95" s="1229"/>
      <c r="T95" s="1229"/>
      <c r="U95" s="1229"/>
    </row>
    <row r="96" spans="1:21" ht="18" customHeight="1" thickBot="1" x14ac:dyDescent="0.3">
      <c r="A96" s="657"/>
      <c r="B96" s="1229"/>
      <c r="C96" s="1232"/>
      <c r="D96" s="1225"/>
      <c r="E96" s="1225"/>
      <c r="F96" s="1229"/>
      <c r="G96" s="1279"/>
      <c r="H96" s="1241" t="s">
        <v>1495</v>
      </c>
      <c r="I96" s="1244"/>
      <c r="J96" s="1240" t="s">
        <v>1496</v>
      </c>
      <c r="K96" s="1244"/>
      <c r="L96" s="1240" t="s">
        <v>1497</v>
      </c>
      <c r="M96" s="1244"/>
      <c r="N96" s="1240" t="s">
        <v>1613</v>
      </c>
      <c r="O96" s="1244"/>
      <c r="P96" s="1240" t="s">
        <v>1614</v>
      </c>
      <c r="Q96" s="1244"/>
      <c r="R96" s="1244"/>
      <c r="S96" s="1244"/>
      <c r="T96" s="1240" t="s">
        <v>1636</v>
      </c>
      <c r="U96" s="1229"/>
    </row>
    <row r="97" spans="1:21" ht="18" customHeight="1" thickBot="1" x14ac:dyDescent="0.3">
      <c r="A97" s="657"/>
      <c r="B97" s="1229"/>
      <c r="C97" s="1237" t="s">
        <v>1493</v>
      </c>
      <c r="D97" s="1525"/>
      <c r="E97" s="1524"/>
      <c r="F97" s="1229"/>
      <c r="G97" s="1279" t="s">
        <v>1048</v>
      </c>
      <c r="H97" s="1203"/>
      <c r="I97" s="1229"/>
      <c r="J97" s="1234"/>
      <c r="K97" s="1229"/>
      <c r="L97" s="1233"/>
      <c r="M97" s="1229"/>
      <c r="N97" s="1193" t="s">
        <v>482</v>
      </c>
      <c r="O97" s="1229"/>
      <c r="P97" s="1193" t="s">
        <v>1616</v>
      </c>
      <c r="Q97" s="1229"/>
      <c r="R97" s="1229"/>
      <c r="S97" s="1229"/>
      <c r="T97" s="1193" t="s">
        <v>462</v>
      </c>
      <c r="U97" s="1229"/>
    </row>
    <row r="98" spans="1:21" ht="18" customHeight="1" thickBot="1" x14ac:dyDescent="0.3">
      <c r="A98" s="657"/>
      <c r="B98" s="1229"/>
      <c r="C98" s="1232"/>
      <c r="D98" s="1225"/>
      <c r="E98" s="1225"/>
      <c r="F98" s="1229"/>
      <c r="G98" s="1279"/>
      <c r="H98" s="1229"/>
      <c r="I98" s="1229"/>
      <c r="J98" s="1229"/>
      <c r="K98" s="1229"/>
      <c r="L98" s="1229"/>
      <c r="M98" s="1229"/>
      <c r="N98" s="1229"/>
      <c r="O98" s="1229"/>
      <c r="P98" s="1229"/>
      <c r="Q98" s="1229"/>
      <c r="R98" s="1229"/>
      <c r="S98" s="1229"/>
      <c r="T98" s="1229"/>
      <c r="U98" s="1229"/>
    </row>
    <row r="99" spans="1:21" ht="30" customHeight="1" thickBot="1" x14ac:dyDescent="0.3">
      <c r="A99" s="657"/>
      <c r="B99" s="1229"/>
      <c r="C99" s="1237" t="s">
        <v>1494</v>
      </c>
      <c r="D99" s="1525"/>
      <c r="E99" s="1524"/>
      <c r="F99" s="1229"/>
      <c r="G99" s="1279"/>
      <c r="H99" s="1239" t="s">
        <v>1604</v>
      </c>
      <c r="I99" s="1244"/>
      <c r="J99" s="1240" t="s">
        <v>1618</v>
      </c>
      <c r="K99" s="1244"/>
      <c r="L99" s="1240" t="s">
        <v>1605</v>
      </c>
      <c r="M99" s="1229"/>
      <c r="N99" s="1229"/>
      <c r="O99" s="1229"/>
      <c r="P99" s="1229"/>
      <c r="Q99" s="1229"/>
      <c r="R99" s="1229"/>
      <c r="S99" s="1229"/>
      <c r="T99" s="1724" t="s">
        <v>1720</v>
      </c>
      <c r="U99" s="1229"/>
    </row>
    <row r="100" spans="1:21" ht="18" customHeight="1" thickBot="1" x14ac:dyDescent="0.3">
      <c r="A100" s="657"/>
      <c r="B100" s="1229"/>
      <c r="C100" s="1232"/>
      <c r="D100" s="1225"/>
      <c r="E100" s="1225"/>
      <c r="F100" s="1229"/>
      <c r="G100" s="1279"/>
      <c r="H100" s="1226" t="s">
        <v>651</v>
      </c>
      <c r="I100" s="1229"/>
      <c r="J100" s="1176" t="s">
        <v>1606</v>
      </c>
      <c r="K100" s="1229"/>
      <c r="L100" s="1193" t="s">
        <v>1606</v>
      </c>
      <c r="M100" s="1229"/>
      <c r="N100" s="1229"/>
      <c r="O100" s="1229"/>
      <c r="P100" s="1229"/>
      <c r="Q100" s="1229"/>
      <c r="R100" s="1229"/>
      <c r="S100" s="1229"/>
      <c r="T100" s="1725" t="s">
        <v>651</v>
      </c>
      <c r="U100" s="1229"/>
    </row>
    <row r="101" spans="1:21" ht="30" customHeight="1" thickBot="1" x14ac:dyDescent="0.3">
      <c r="A101" s="657"/>
      <c r="B101" s="1229"/>
      <c r="C101" s="1238" t="s">
        <v>1607</v>
      </c>
      <c r="D101" s="1508" t="s">
        <v>651</v>
      </c>
      <c r="E101" s="1509"/>
      <c r="F101" s="1229"/>
      <c r="G101" s="1279"/>
      <c r="H101" s="1229"/>
      <c r="I101" s="1229"/>
      <c r="J101" s="1229"/>
      <c r="K101" s="1229"/>
      <c r="L101" s="1229"/>
      <c r="M101" s="1229"/>
      <c r="N101" s="1229"/>
      <c r="O101" s="1229"/>
      <c r="P101" s="1229"/>
      <c r="Q101" s="1229"/>
      <c r="R101" s="1229"/>
      <c r="S101" s="1229"/>
      <c r="T101" s="1229"/>
      <c r="U101" s="1229"/>
    </row>
    <row r="102" spans="1:21" ht="18" customHeight="1" thickBot="1" x14ac:dyDescent="0.3">
      <c r="A102" s="657"/>
      <c r="B102" s="1229"/>
      <c r="C102" s="1232"/>
      <c r="D102" s="1225"/>
      <c r="E102" s="1225"/>
      <c r="F102" s="1229"/>
      <c r="G102" s="1279"/>
      <c r="H102" s="1229"/>
      <c r="I102" s="1229"/>
      <c r="J102" s="1229"/>
      <c r="K102" s="1229"/>
      <c r="L102" s="1229"/>
      <c r="M102" s="1229"/>
      <c r="N102" s="1229"/>
      <c r="O102" s="1229"/>
      <c r="P102" s="1229"/>
      <c r="Q102" s="1229"/>
      <c r="R102" s="1229"/>
      <c r="S102" s="1229"/>
      <c r="T102" s="1229"/>
      <c r="U102" s="1229"/>
    </row>
    <row r="103" spans="1:21" ht="18" customHeight="1" thickBot="1" x14ac:dyDescent="0.3">
      <c r="A103" s="657"/>
      <c r="B103" s="1229"/>
      <c r="C103" s="1237" t="s">
        <v>1608</v>
      </c>
      <c r="D103" s="1518" t="s">
        <v>1637</v>
      </c>
      <c r="E103" s="1519"/>
      <c r="F103" s="1229"/>
      <c r="G103" s="1279"/>
      <c r="H103" s="1229"/>
      <c r="I103" s="1229"/>
      <c r="J103" s="1229"/>
      <c r="K103" s="1229"/>
      <c r="L103" s="1229"/>
      <c r="M103" s="1229"/>
      <c r="N103" s="1229"/>
      <c r="O103" s="1229"/>
      <c r="P103" s="1229"/>
      <c r="Q103" s="1229"/>
      <c r="R103" s="1229"/>
      <c r="S103" s="1229"/>
      <c r="T103" s="1229"/>
      <c r="U103" s="1229"/>
    </row>
    <row r="104" spans="1:21" ht="20.25" customHeight="1" thickBot="1" x14ac:dyDescent="0.3">
      <c r="A104" s="657"/>
      <c r="B104" s="1229"/>
      <c r="C104" s="1229"/>
      <c r="D104" s="1229"/>
      <c r="E104" s="1229"/>
      <c r="F104" s="1229"/>
      <c r="G104" s="1279"/>
      <c r="H104" s="1229"/>
      <c r="I104" s="1229"/>
      <c r="J104" s="1229"/>
      <c r="K104" s="1229"/>
      <c r="L104" s="1229"/>
      <c r="M104" s="1229"/>
      <c r="N104" s="1229"/>
      <c r="O104" s="1229"/>
      <c r="P104" s="1229"/>
      <c r="Q104" s="1229"/>
      <c r="R104" s="1229"/>
      <c r="S104" s="1229"/>
      <c r="T104" s="1229"/>
      <c r="U104" s="1229"/>
    </row>
    <row r="105" spans="1:21" ht="15.75" thickBot="1" x14ac:dyDescent="0.3">
      <c r="A105" s="657"/>
      <c r="B105" s="1520" t="s">
        <v>1638</v>
      </c>
      <c r="C105" s="1521"/>
      <c r="D105" s="1521"/>
      <c r="E105" s="1521"/>
      <c r="F105" s="1521"/>
      <c r="G105" s="1521"/>
      <c r="H105" s="1521"/>
      <c r="I105" s="1521"/>
      <c r="J105" s="1521"/>
      <c r="K105" s="1521"/>
      <c r="L105" s="1521"/>
      <c r="M105" s="1521"/>
      <c r="N105" s="1521"/>
      <c r="O105" s="1521"/>
      <c r="P105" s="1521"/>
      <c r="Q105" s="1521"/>
      <c r="R105" s="1521"/>
      <c r="S105" s="1521"/>
      <c r="T105" s="1521"/>
      <c r="U105" s="1519"/>
    </row>
    <row r="106" spans="1:21" ht="18" customHeight="1" thickBot="1" x14ac:dyDescent="0.3">
      <c r="A106" s="657"/>
      <c r="B106" s="1229"/>
      <c r="C106" s="1229"/>
      <c r="D106" s="1229"/>
      <c r="E106" s="1229"/>
      <c r="F106" s="1229"/>
      <c r="G106" s="1279"/>
      <c r="H106" s="1229"/>
      <c r="I106" s="1229"/>
      <c r="J106" s="1229"/>
      <c r="K106" s="1229"/>
      <c r="L106" s="1229"/>
      <c r="M106" s="1229"/>
      <c r="N106" s="1229"/>
      <c r="O106" s="1229"/>
      <c r="P106" s="1229"/>
      <c r="Q106" s="1229"/>
      <c r="R106" s="1229"/>
      <c r="S106" s="1229"/>
      <c r="T106" s="1229"/>
      <c r="U106" s="1229"/>
    </row>
    <row r="107" spans="1:21" ht="30" customHeight="1" thickBot="1" x14ac:dyDescent="0.3">
      <c r="A107" s="496"/>
      <c r="B107" s="1229"/>
      <c r="C107" s="1237" t="s">
        <v>1491</v>
      </c>
      <c r="D107" s="1522" t="s">
        <v>1634</v>
      </c>
      <c r="E107" s="1523"/>
      <c r="F107" s="1229"/>
      <c r="G107" s="1279"/>
      <c r="H107" s="1240" t="s">
        <v>1488</v>
      </c>
      <c r="I107" s="1244"/>
      <c r="J107" s="1240" t="s">
        <v>1489</v>
      </c>
      <c r="K107" s="1244"/>
      <c r="L107" s="1240" t="s">
        <v>1505</v>
      </c>
      <c r="M107" s="1244"/>
      <c r="N107" s="1240" t="s">
        <v>1490</v>
      </c>
      <c r="O107" s="1244"/>
      <c r="P107" s="1240" t="s">
        <v>1598</v>
      </c>
      <c r="Q107" s="1244"/>
      <c r="R107" s="1240" t="s">
        <v>1599</v>
      </c>
      <c r="S107" s="1244"/>
      <c r="T107" s="1240" t="s">
        <v>1600</v>
      </c>
      <c r="U107" s="1229"/>
    </row>
    <row r="108" spans="1:21" ht="15.75" thickBot="1" x14ac:dyDescent="0.3">
      <c r="A108" s="657"/>
      <c r="B108" s="1229"/>
      <c r="C108" s="1232"/>
      <c r="D108" s="1225"/>
      <c r="E108" s="1225"/>
      <c r="F108" s="1229"/>
      <c r="G108" s="1279"/>
      <c r="H108" s="1175"/>
      <c r="I108" s="1229"/>
      <c r="J108" s="1230"/>
      <c r="K108" s="1229"/>
      <c r="L108" s="1230"/>
      <c r="M108" s="1229"/>
      <c r="N108" s="1278"/>
      <c r="O108" s="1229"/>
      <c r="P108" s="1176" t="s">
        <v>1601</v>
      </c>
      <c r="Q108" s="1229"/>
      <c r="R108" s="1176" t="s">
        <v>1602</v>
      </c>
      <c r="S108" s="1229"/>
      <c r="T108" s="1226" t="s">
        <v>653</v>
      </c>
      <c r="U108" s="1229"/>
    </row>
    <row r="109" spans="1:21" ht="30.75" thickBot="1" x14ac:dyDescent="0.3">
      <c r="A109" s="657"/>
      <c r="B109" s="1229"/>
      <c r="C109" s="1240" t="s">
        <v>1603</v>
      </c>
      <c r="D109" s="1518">
        <v>5502</v>
      </c>
      <c r="E109" s="1524"/>
      <c r="F109" s="1229"/>
      <c r="G109" s="1279"/>
      <c r="H109" s="1229"/>
      <c r="I109" s="1229"/>
      <c r="J109" s="1229"/>
      <c r="K109" s="1229"/>
      <c r="L109" s="1229"/>
      <c r="M109" s="1229"/>
      <c r="N109" s="1229"/>
      <c r="O109" s="1229"/>
      <c r="P109" s="1229"/>
      <c r="Q109" s="1229"/>
      <c r="R109" s="1229"/>
      <c r="S109" s="1229"/>
      <c r="T109" s="1229"/>
      <c r="U109" s="1229"/>
    </row>
    <row r="110" spans="1:21" ht="15.75" thickBot="1" x14ac:dyDescent="0.3">
      <c r="A110" s="657"/>
      <c r="B110" s="1229"/>
      <c r="C110" s="1232"/>
      <c r="D110" s="1225"/>
      <c r="E110" s="1225"/>
      <c r="F110" s="1229"/>
      <c r="G110" s="1279"/>
      <c r="H110" s="1241" t="s">
        <v>1495</v>
      </c>
      <c r="I110" s="1244"/>
      <c r="J110" s="1240" t="s">
        <v>1496</v>
      </c>
      <c r="K110" s="1244"/>
      <c r="L110" s="1240" t="s">
        <v>1497</v>
      </c>
      <c r="M110" s="1244"/>
      <c r="N110" s="1240" t="s">
        <v>1613</v>
      </c>
      <c r="O110" s="1244"/>
      <c r="P110" s="1240" t="s">
        <v>1614</v>
      </c>
      <c r="Q110" s="1244"/>
      <c r="R110" s="1244"/>
      <c r="S110" s="1244"/>
      <c r="T110" s="1240" t="s">
        <v>1636</v>
      </c>
      <c r="U110" s="1229"/>
    </row>
    <row r="111" spans="1:21" ht="18" customHeight="1" thickBot="1" x14ac:dyDescent="0.3">
      <c r="A111" s="657"/>
      <c r="B111" s="1229"/>
      <c r="C111" s="1237" t="s">
        <v>1493</v>
      </c>
      <c r="D111" s="1525"/>
      <c r="E111" s="1524"/>
      <c r="F111" s="1229"/>
      <c r="G111" s="1279" t="s">
        <v>1048</v>
      </c>
      <c r="H111" s="1203"/>
      <c r="I111" s="1244"/>
      <c r="J111" s="1234"/>
      <c r="K111" s="1244"/>
      <c r="L111" s="1233"/>
      <c r="M111" s="1244"/>
      <c r="N111" s="1193" t="s">
        <v>482</v>
      </c>
      <c r="O111" s="1244"/>
      <c r="P111" s="1193" t="s">
        <v>1616</v>
      </c>
      <c r="Q111" s="1244"/>
      <c r="R111" s="1244"/>
      <c r="S111" s="1244"/>
      <c r="T111" s="1193" t="s">
        <v>462</v>
      </c>
      <c r="U111" s="1229"/>
    </row>
    <row r="112" spans="1:21" ht="15.75" thickBot="1" x14ac:dyDescent="0.3">
      <c r="A112" s="657"/>
      <c r="B112" s="1229"/>
      <c r="C112" s="1232"/>
      <c r="D112" s="1225"/>
      <c r="E112" s="1225"/>
      <c r="F112" s="1229"/>
      <c r="G112" s="1279"/>
      <c r="H112" s="1229"/>
      <c r="I112" s="1229"/>
      <c r="J112" s="1229"/>
      <c r="K112" s="1229"/>
      <c r="L112" s="1229"/>
      <c r="M112" s="1229"/>
      <c r="N112" s="1229"/>
      <c r="O112" s="1229"/>
      <c r="P112" s="1229"/>
      <c r="Q112" s="1229"/>
      <c r="R112" s="1229"/>
      <c r="S112" s="1229"/>
      <c r="T112" s="1229"/>
      <c r="U112" s="1229"/>
    </row>
    <row r="113" spans="1:21" ht="30.75" thickBot="1" x14ac:dyDescent="0.3">
      <c r="A113" s="657"/>
      <c r="B113" s="1229"/>
      <c r="C113" s="1237" t="s">
        <v>1494</v>
      </c>
      <c r="D113" s="1525"/>
      <c r="E113" s="1524"/>
      <c r="F113" s="1229"/>
      <c r="G113" s="1279"/>
      <c r="H113" s="1239" t="s">
        <v>1604</v>
      </c>
      <c r="I113" s="1244"/>
      <c r="J113" s="1240" t="s">
        <v>1618</v>
      </c>
      <c r="K113" s="1244"/>
      <c r="L113" s="1240" t="s">
        <v>1605</v>
      </c>
      <c r="M113" s="1229"/>
      <c r="N113" s="1229"/>
      <c r="O113" s="1229"/>
      <c r="P113" s="1229"/>
      <c r="Q113" s="1229"/>
      <c r="R113" s="1229"/>
      <c r="S113" s="1229"/>
      <c r="T113" s="1724" t="s">
        <v>1720</v>
      </c>
      <c r="U113" s="1229"/>
    </row>
    <row r="114" spans="1:21" ht="15.75" thickBot="1" x14ac:dyDescent="0.3">
      <c r="A114" s="657"/>
      <c r="B114" s="1229"/>
      <c r="C114" s="1232"/>
      <c r="D114" s="1225"/>
      <c r="E114" s="1225"/>
      <c r="F114" s="1229"/>
      <c r="G114" s="1279"/>
      <c r="H114" s="1226" t="s">
        <v>651</v>
      </c>
      <c r="I114" s="1229"/>
      <c r="J114" s="1176" t="s">
        <v>1606</v>
      </c>
      <c r="K114" s="1229"/>
      <c r="L114" s="1193" t="s">
        <v>1606</v>
      </c>
      <c r="M114" s="1229"/>
      <c r="N114" s="1229"/>
      <c r="O114" s="1229"/>
      <c r="P114" s="1229"/>
      <c r="Q114" s="1229"/>
      <c r="R114" s="1229"/>
      <c r="S114" s="1229"/>
      <c r="T114" s="1725" t="s">
        <v>651</v>
      </c>
      <c r="U114" s="1229"/>
    </row>
    <row r="115" spans="1:21" ht="30" customHeight="1" thickBot="1" x14ac:dyDescent="0.3">
      <c r="A115" s="657"/>
      <c r="B115" s="1229"/>
      <c r="C115" s="1238" t="s">
        <v>1607</v>
      </c>
      <c r="D115" s="1508" t="s">
        <v>651</v>
      </c>
      <c r="E115" s="1509"/>
      <c r="F115" s="1229"/>
      <c r="G115" s="1279"/>
      <c r="H115" s="1229"/>
      <c r="I115" s="1229"/>
      <c r="J115" s="1229"/>
      <c r="K115" s="1229"/>
      <c r="L115" s="1229"/>
      <c r="M115" s="1229"/>
      <c r="N115" s="1229"/>
      <c r="O115" s="1229"/>
      <c r="P115" s="1229"/>
      <c r="Q115" s="1229"/>
      <c r="R115" s="1229"/>
      <c r="S115" s="1229"/>
      <c r="T115" s="1229"/>
      <c r="U115" s="1229"/>
    </row>
    <row r="116" spans="1:21" ht="15.75" thickBot="1" x14ac:dyDescent="0.3">
      <c r="A116" s="657"/>
      <c r="B116" s="1229"/>
      <c r="C116" s="1232"/>
      <c r="D116" s="1225"/>
      <c r="E116" s="1225"/>
      <c r="F116" s="1229"/>
      <c r="G116" s="1279"/>
      <c r="H116" s="1229"/>
      <c r="I116" s="1229"/>
      <c r="J116" s="1229"/>
      <c r="K116" s="1229"/>
      <c r="L116" s="1229"/>
      <c r="M116" s="1229"/>
      <c r="N116" s="1229"/>
      <c r="O116" s="1229"/>
      <c r="P116" s="1229"/>
      <c r="Q116" s="1229"/>
      <c r="R116" s="1229"/>
      <c r="S116" s="1229"/>
      <c r="T116" s="1229"/>
      <c r="U116" s="1229"/>
    </row>
    <row r="117" spans="1:21" ht="15.75" thickBot="1" x14ac:dyDescent="0.3">
      <c r="A117" s="657"/>
      <c r="B117" s="1229"/>
      <c r="C117" s="1237" t="s">
        <v>1608</v>
      </c>
      <c r="D117" s="1518" t="s">
        <v>1637</v>
      </c>
      <c r="E117" s="1519"/>
      <c r="F117" s="1229"/>
      <c r="G117" s="1279"/>
      <c r="H117" s="1229"/>
      <c r="I117" s="1229"/>
      <c r="J117" s="1229"/>
      <c r="K117" s="1229"/>
      <c r="L117" s="1229"/>
      <c r="M117" s="1229"/>
      <c r="N117" s="1229"/>
      <c r="O117" s="1229"/>
      <c r="P117" s="1229"/>
      <c r="Q117" s="1229"/>
      <c r="R117" s="1229"/>
      <c r="S117" s="1229"/>
      <c r="T117" s="1229"/>
      <c r="U117" s="1229"/>
    </row>
    <row r="118" spans="1:21" ht="15.75" thickBot="1" x14ac:dyDescent="0.3">
      <c r="A118" s="657"/>
      <c r="B118" s="1229"/>
      <c r="C118" s="1229"/>
      <c r="D118" s="1229"/>
      <c r="E118" s="1229"/>
      <c r="F118" s="1229"/>
      <c r="G118" s="1279"/>
      <c r="H118" s="1229"/>
      <c r="I118" s="1229"/>
      <c r="J118" s="1229"/>
      <c r="K118" s="1229"/>
      <c r="L118" s="1229"/>
      <c r="M118" s="1229"/>
      <c r="N118" s="1229"/>
      <c r="O118" s="1229"/>
      <c r="P118" s="1229"/>
      <c r="Q118" s="1229"/>
      <c r="R118" s="1229"/>
      <c r="S118" s="1229"/>
      <c r="T118" s="1229"/>
      <c r="U118" s="1229"/>
    </row>
    <row r="119" spans="1:21" ht="20.25" customHeight="1" thickBot="1" x14ac:dyDescent="0.3">
      <c r="A119" s="657"/>
      <c r="B119" s="1520" t="s">
        <v>1639</v>
      </c>
      <c r="C119" s="1521"/>
      <c r="D119" s="1521"/>
      <c r="E119" s="1521"/>
      <c r="F119" s="1521"/>
      <c r="G119" s="1521"/>
      <c r="H119" s="1521"/>
      <c r="I119" s="1521"/>
      <c r="J119" s="1521"/>
      <c r="K119" s="1521"/>
      <c r="L119" s="1521"/>
      <c r="M119" s="1521"/>
      <c r="N119" s="1521"/>
      <c r="O119" s="1521"/>
      <c r="P119" s="1521"/>
      <c r="Q119" s="1521"/>
      <c r="R119" s="1521"/>
      <c r="S119" s="1521"/>
      <c r="T119" s="1521"/>
      <c r="U119" s="1519"/>
    </row>
    <row r="120" spans="1:21" ht="15.75" thickBot="1" x14ac:dyDescent="0.3">
      <c r="A120" s="657"/>
      <c r="B120" s="1229"/>
      <c r="C120" s="1229"/>
      <c r="D120" s="1229"/>
      <c r="E120" s="1229"/>
      <c r="F120" s="1229"/>
      <c r="G120" s="1279"/>
      <c r="H120" s="1229"/>
      <c r="I120" s="1229"/>
      <c r="J120" s="1229"/>
      <c r="K120" s="1229"/>
      <c r="L120" s="1229"/>
      <c r="M120" s="1229"/>
      <c r="N120" s="1229"/>
      <c r="O120" s="1229"/>
      <c r="P120" s="1229"/>
      <c r="Q120" s="1229"/>
      <c r="R120" s="1229"/>
      <c r="S120" s="1229"/>
      <c r="T120" s="1229"/>
      <c r="U120" s="1229"/>
    </row>
    <row r="121" spans="1:21" ht="30.75" thickBot="1" x14ac:dyDescent="0.3">
      <c r="A121" s="496"/>
      <c r="B121" s="1229"/>
      <c r="C121" s="1237" t="s">
        <v>1491</v>
      </c>
      <c r="D121" s="1522" t="s">
        <v>1635</v>
      </c>
      <c r="E121" s="1523"/>
      <c r="F121" s="1229"/>
      <c r="G121" s="1279"/>
      <c r="H121" s="1240" t="s">
        <v>1488</v>
      </c>
      <c r="I121" s="1244"/>
      <c r="J121" s="1240" t="s">
        <v>1489</v>
      </c>
      <c r="K121" s="1244"/>
      <c r="L121" s="1240" t="s">
        <v>1505</v>
      </c>
      <c r="M121" s="1244"/>
      <c r="N121" s="1240" t="s">
        <v>1490</v>
      </c>
      <c r="O121" s="1244"/>
      <c r="P121" s="1240" t="s">
        <v>1598</v>
      </c>
      <c r="Q121" s="1244"/>
      <c r="R121" s="1240" t="s">
        <v>1599</v>
      </c>
      <c r="S121" s="1244"/>
      <c r="T121" s="1240" t="s">
        <v>1600</v>
      </c>
      <c r="U121" s="1229"/>
    </row>
    <row r="122" spans="1:21" ht="15.75" thickBot="1" x14ac:dyDescent="0.3">
      <c r="A122" s="657"/>
      <c r="B122" s="1229"/>
      <c r="C122" s="1232"/>
      <c r="D122" s="1225"/>
      <c r="E122" s="1225"/>
      <c r="F122" s="1229"/>
      <c r="G122" s="1279"/>
      <c r="H122" s="1175"/>
      <c r="I122" s="1229"/>
      <c r="J122" s="1230"/>
      <c r="K122" s="1229"/>
      <c r="L122" s="1230"/>
      <c r="M122" s="1229"/>
      <c r="N122" s="1278"/>
      <c r="O122" s="1229"/>
      <c r="P122" s="1176" t="s">
        <v>1601</v>
      </c>
      <c r="Q122" s="1229"/>
      <c r="R122" s="1176" t="s">
        <v>1602</v>
      </c>
      <c r="S122" s="1229"/>
      <c r="T122" s="1226" t="s">
        <v>653</v>
      </c>
      <c r="U122" s="1229"/>
    </row>
    <row r="123" spans="1:21" ht="30.75" thickBot="1" x14ac:dyDescent="0.3">
      <c r="A123" s="657"/>
      <c r="B123" s="1229"/>
      <c r="C123" s="1240" t="s">
        <v>1603</v>
      </c>
      <c r="D123" s="1518">
        <v>2801</v>
      </c>
      <c r="E123" s="1524"/>
      <c r="F123" s="1229"/>
      <c r="G123" s="1279"/>
      <c r="H123" s="1229"/>
      <c r="I123" s="1229"/>
      <c r="J123" s="1229"/>
      <c r="K123" s="1229"/>
      <c r="L123" s="1229"/>
      <c r="M123" s="1229"/>
      <c r="N123" s="1229"/>
      <c r="O123" s="1229"/>
      <c r="P123" s="1229"/>
      <c r="Q123" s="1229"/>
      <c r="R123" s="1229"/>
      <c r="S123" s="1229"/>
      <c r="T123" s="1229"/>
      <c r="U123" s="1229"/>
    </row>
    <row r="124" spans="1:21" ht="18" customHeight="1" thickBot="1" x14ac:dyDescent="0.3">
      <c r="A124" s="657"/>
      <c r="B124" s="1229"/>
      <c r="C124" s="1225"/>
      <c r="D124" s="1225"/>
      <c r="E124" s="1225"/>
      <c r="F124" s="1229"/>
      <c r="G124" s="1279"/>
      <c r="H124" s="1241" t="s">
        <v>1495</v>
      </c>
      <c r="I124" s="1244"/>
      <c r="J124" s="1240" t="s">
        <v>1496</v>
      </c>
      <c r="K124" s="1244"/>
      <c r="L124" s="1240" t="s">
        <v>1497</v>
      </c>
      <c r="M124" s="1244"/>
      <c r="N124" s="1240" t="s">
        <v>1613</v>
      </c>
      <c r="O124" s="1244"/>
      <c r="P124" s="1240" t="s">
        <v>1614</v>
      </c>
      <c r="Q124" s="1244"/>
      <c r="R124" s="1244"/>
      <c r="S124" s="1244"/>
      <c r="T124" s="1240" t="s">
        <v>1636</v>
      </c>
      <c r="U124" s="1229"/>
    </row>
    <row r="125" spans="1:21" ht="18" customHeight="1" thickBot="1" x14ac:dyDescent="0.3">
      <c r="A125" s="657"/>
      <c r="B125" s="1229"/>
      <c r="C125" s="1237" t="s">
        <v>1493</v>
      </c>
      <c r="D125" s="1525"/>
      <c r="E125" s="1524"/>
      <c r="F125" s="1229"/>
      <c r="G125" s="1279" t="s">
        <v>1048</v>
      </c>
      <c r="H125" s="1203"/>
      <c r="I125" s="1229"/>
      <c r="J125" s="1203"/>
      <c r="K125" s="1229"/>
      <c r="L125" s="1203"/>
      <c r="M125" s="1229"/>
      <c r="N125" s="1193" t="s">
        <v>482</v>
      </c>
      <c r="O125" s="1229"/>
      <c r="P125" s="1193" t="s">
        <v>1616</v>
      </c>
      <c r="Q125" s="1229"/>
      <c r="R125" s="1229"/>
      <c r="S125" s="1229"/>
      <c r="T125" s="1193" t="s">
        <v>462</v>
      </c>
      <c r="U125" s="1229"/>
    </row>
    <row r="126" spans="1:21" ht="15.75" thickBot="1" x14ac:dyDescent="0.3">
      <c r="A126" s="657"/>
      <c r="B126" s="1229"/>
      <c r="C126" s="1232"/>
      <c r="D126" s="1225"/>
      <c r="E126" s="1225"/>
      <c r="F126" s="1229"/>
      <c r="G126" s="1279" t="s">
        <v>1498</v>
      </c>
      <c r="H126" s="1203"/>
      <c r="I126" s="1229"/>
      <c r="J126" s="1234"/>
      <c r="K126" s="1229"/>
      <c r="L126" s="1203"/>
      <c r="M126" s="1229"/>
      <c r="N126" s="1193" t="s">
        <v>482</v>
      </c>
      <c r="O126" s="1229"/>
      <c r="P126" s="1193" t="s">
        <v>1616</v>
      </c>
      <c r="Q126" s="1229"/>
      <c r="R126" s="1229"/>
      <c r="S126" s="1229"/>
      <c r="T126" s="1229"/>
      <c r="U126" s="1229"/>
    </row>
    <row r="127" spans="1:21" ht="15.75" thickBot="1" x14ac:dyDescent="0.3">
      <c r="A127" s="657"/>
      <c r="B127" s="1229"/>
      <c r="C127" s="1237" t="s">
        <v>1494</v>
      </c>
      <c r="D127" s="1525"/>
      <c r="E127" s="1524"/>
      <c r="F127" s="1229"/>
      <c r="G127" s="1279" t="s">
        <v>1499</v>
      </c>
      <c r="H127" s="1203"/>
      <c r="I127" s="1229"/>
      <c r="J127" s="1235"/>
      <c r="K127" s="1229"/>
      <c r="L127" s="1203"/>
      <c r="M127" s="1229"/>
      <c r="N127" s="1193" t="s">
        <v>482</v>
      </c>
      <c r="O127" s="1229"/>
      <c r="P127" s="1193" t="s">
        <v>1616</v>
      </c>
      <c r="Q127" s="1229"/>
      <c r="R127" s="1229"/>
      <c r="S127" s="1229"/>
      <c r="T127" s="1724" t="s">
        <v>1720</v>
      </c>
      <c r="U127" s="1229"/>
    </row>
    <row r="128" spans="1:21" x14ac:dyDescent="0.25">
      <c r="A128" s="657"/>
      <c r="B128" s="1229"/>
      <c r="C128" s="1232"/>
      <c r="D128" s="1225"/>
      <c r="E128" s="1225"/>
      <c r="F128" s="1229"/>
      <c r="G128" s="1279" t="s">
        <v>1501</v>
      </c>
      <c r="H128" s="1203"/>
      <c r="I128" s="1229"/>
      <c r="J128" s="1235"/>
      <c r="K128" s="1229"/>
      <c r="L128" s="1203"/>
      <c r="M128" s="1229"/>
      <c r="N128" s="1193" t="s">
        <v>482</v>
      </c>
      <c r="O128" s="1229"/>
      <c r="P128" s="1193" t="s">
        <v>1616</v>
      </c>
      <c r="Q128" s="1229"/>
      <c r="R128" s="1229"/>
      <c r="S128" s="1229"/>
      <c r="T128" s="1725" t="s">
        <v>651</v>
      </c>
      <c r="U128" s="1229"/>
    </row>
    <row r="129" spans="1:21" x14ac:dyDescent="0.25">
      <c r="A129" s="657"/>
      <c r="B129" s="1229"/>
      <c r="C129" s="1232"/>
      <c r="D129" s="1225"/>
      <c r="E129" s="1225"/>
      <c r="F129" s="1229"/>
      <c r="G129" s="1279" t="s">
        <v>1503</v>
      </c>
      <c r="H129" s="1203"/>
      <c r="I129" s="1229"/>
      <c r="J129" s="1235"/>
      <c r="K129" s="1229"/>
      <c r="L129" s="1203"/>
      <c r="M129" s="1229"/>
      <c r="N129" s="1193" t="s">
        <v>482</v>
      </c>
      <c r="O129" s="1229"/>
      <c r="P129" s="1193" t="s">
        <v>1616</v>
      </c>
      <c r="Q129" s="1229"/>
      <c r="R129" s="1229"/>
      <c r="S129" s="1229"/>
      <c r="T129" s="1229"/>
      <c r="U129" s="1229"/>
    </row>
    <row r="130" spans="1:21" ht="15.75" thickBot="1" x14ac:dyDescent="0.3">
      <c r="A130" s="657"/>
      <c r="B130" s="1229"/>
      <c r="C130" s="1232"/>
      <c r="D130" s="1225"/>
      <c r="E130" s="1225"/>
      <c r="F130" s="1229"/>
      <c r="G130" s="1279"/>
      <c r="H130" s="1229"/>
      <c r="I130" s="1229"/>
      <c r="J130" s="1229"/>
      <c r="K130" s="1229"/>
      <c r="L130" s="1229"/>
      <c r="M130" s="1229"/>
      <c r="N130" s="1229"/>
      <c r="O130" s="1229"/>
      <c r="P130" s="1229"/>
      <c r="Q130" s="1229"/>
      <c r="R130" s="1229"/>
      <c r="S130" s="1229"/>
      <c r="T130" s="1229"/>
      <c r="U130" s="1229"/>
    </row>
    <row r="131" spans="1:21" ht="30.75" thickBot="1" x14ac:dyDescent="0.3">
      <c r="A131" s="657"/>
      <c r="B131" s="1229"/>
      <c r="C131" s="1238" t="s">
        <v>1607</v>
      </c>
      <c r="D131" s="1508" t="s">
        <v>651</v>
      </c>
      <c r="E131" s="1509"/>
      <c r="F131" s="1229"/>
      <c r="G131" s="1279"/>
      <c r="H131" s="1239" t="s">
        <v>1604</v>
      </c>
      <c r="I131" s="1244"/>
      <c r="J131" s="1240" t="s">
        <v>1618</v>
      </c>
      <c r="K131" s="1244"/>
      <c r="L131" s="1240" t="s">
        <v>1605</v>
      </c>
      <c r="M131" s="1229"/>
      <c r="N131" s="1229"/>
      <c r="O131" s="1229"/>
      <c r="P131" s="1229"/>
      <c r="Q131" s="1229"/>
      <c r="R131" s="1229"/>
      <c r="S131" s="1229"/>
      <c r="T131" s="1229"/>
      <c r="U131" s="1229"/>
    </row>
    <row r="132" spans="1:21" ht="15.75" thickBot="1" x14ac:dyDescent="0.3">
      <c r="A132" s="657"/>
      <c r="B132" s="1229"/>
      <c r="C132" s="1232"/>
      <c r="D132" s="1225"/>
      <c r="E132" s="1225"/>
      <c r="F132" s="1229"/>
      <c r="G132" s="1279"/>
      <c r="H132" s="1226" t="s">
        <v>651</v>
      </c>
      <c r="I132" s="1229"/>
      <c r="J132" s="1176" t="s">
        <v>1606</v>
      </c>
      <c r="K132" s="1229"/>
      <c r="L132" s="1193" t="s">
        <v>1606</v>
      </c>
      <c r="M132" s="1229"/>
      <c r="N132" s="1229"/>
      <c r="O132" s="1229"/>
      <c r="P132" s="1229"/>
      <c r="Q132" s="1229"/>
      <c r="R132" s="1229"/>
      <c r="S132" s="1229"/>
      <c r="T132" s="1229"/>
      <c r="U132" s="1229"/>
    </row>
    <row r="133" spans="1:21" ht="15.75" thickBot="1" x14ac:dyDescent="0.3">
      <c r="A133" s="657"/>
      <c r="B133" s="1229"/>
      <c r="C133" s="1237" t="s">
        <v>1608</v>
      </c>
      <c r="D133" s="1518" t="s">
        <v>1637</v>
      </c>
      <c r="E133" s="1519"/>
      <c r="F133" s="1229"/>
      <c r="G133" s="1279"/>
      <c r="H133" s="1229"/>
      <c r="I133" s="1229"/>
      <c r="J133" s="1229"/>
      <c r="K133" s="1229"/>
      <c r="L133" s="1229"/>
      <c r="M133" s="1229"/>
      <c r="N133" s="1229"/>
      <c r="O133" s="1229"/>
      <c r="P133" s="1229"/>
      <c r="Q133" s="1229"/>
      <c r="R133" s="1229"/>
      <c r="S133" s="1229"/>
      <c r="T133" s="1229"/>
      <c r="U133" s="1229"/>
    </row>
    <row r="134" spans="1:21" ht="15.75" thickBot="1" x14ac:dyDescent="0.3">
      <c r="A134" s="657"/>
      <c r="B134" s="1229"/>
      <c r="C134" s="1229"/>
      <c r="D134" s="1229"/>
      <c r="E134" s="1229"/>
      <c r="F134" s="1229"/>
      <c r="G134" s="1279"/>
      <c r="H134" s="1229"/>
      <c r="I134" s="1229"/>
      <c r="J134" s="1229"/>
      <c r="K134" s="1229"/>
      <c r="L134" s="1229"/>
      <c r="M134" s="1229"/>
      <c r="N134" s="1229"/>
      <c r="O134" s="1229"/>
      <c r="P134" s="1229"/>
      <c r="Q134" s="1229"/>
      <c r="R134" s="1229"/>
      <c r="S134" s="1229"/>
      <c r="T134" s="1229"/>
      <c r="U134" s="1229"/>
    </row>
    <row r="135" spans="1:21" ht="20.25" customHeight="1" thickBot="1" x14ac:dyDescent="0.3">
      <c r="A135" s="657"/>
      <c r="B135" s="1520" t="s">
        <v>1640</v>
      </c>
      <c r="C135" s="1521"/>
      <c r="D135" s="1521"/>
      <c r="E135" s="1521"/>
      <c r="F135" s="1521"/>
      <c r="G135" s="1521"/>
      <c r="H135" s="1521"/>
      <c r="I135" s="1521"/>
      <c r="J135" s="1521"/>
      <c r="K135" s="1521"/>
      <c r="L135" s="1521"/>
      <c r="M135" s="1521"/>
      <c r="N135" s="1521"/>
      <c r="O135" s="1521"/>
      <c r="P135" s="1521"/>
      <c r="Q135" s="1521"/>
      <c r="R135" s="1521"/>
      <c r="S135" s="1521"/>
      <c r="T135" s="1521"/>
      <c r="U135" s="1519"/>
    </row>
    <row r="136" spans="1:21" ht="15.75" thickBot="1" x14ac:dyDescent="0.3">
      <c r="A136" s="657"/>
      <c r="B136" s="1229"/>
      <c r="C136" s="1229"/>
      <c r="D136" s="1229"/>
      <c r="E136" s="1229"/>
      <c r="F136" s="1229"/>
      <c r="G136" s="1279"/>
      <c r="H136" s="1229"/>
      <c r="I136" s="1229"/>
      <c r="J136" s="1229"/>
      <c r="K136" s="1229"/>
      <c r="L136" s="1229"/>
      <c r="M136" s="1229"/>
      <c r="N136" s="1229"/>
      <c r="O136" s="1229"/>
      <c r="P136" s="1229"/>
      <c r="Q136" s="1229"/>
      <c r="R136" s="1229"/>
      <c r="S136" s="1229"/>
      <c r="T136" s="1229"/>
      <c r="U136" s="1229"/>
    </row>
    <row r="137" spans="1:21" ht="30.75" thickBot="1" x14ac:dyDescent="0.3">
      <c r="A137" s="496"/>
      <c r="B137" s="1229"/>
      <c r="C137" s="1237" t="s">
        <v>1491</v>
      </c>
      <c r="D137" s="1522" t="s">
        <v>1635</v>
      </c>
      <c r="E137" s="1523"/>
      <c r="F137" s="1229"/>
      <c r="G137" s="1279"/>
      <c r="H137" s="1240" t="s">
        <v>1488</v>
      </c>
      <c r="I137" s="1244"/>
      <c r="J137" s="1240" t="s">
        <v>1489</v>
      </c>
      <c r="K137" s="1244"/>
      <c r="L137" s="1240" t="s">
        <v>1505</v>
      </c>
      <c r="M137" s="1244"/>
      <c r="N137" s="1240" t="s">
        <v>1490</v>
      </c>
      <c r="O137" s="1244"/>
      <c r="P137" s="1240" t="s">
        <v>1598</v>
      </c>
      <c r="Q137" s="1244"/>
      <c r="R137" s="1240" t="s">
        <v>1599</v>
      </c>
      <c r="S137" s="1244"/>
      <c r="T137" s="1240" t="s">
        <v>1600</v>
      </c>
      <c r="U137" s="1229"/>
    </row>
    <row r="138" spans="1:21" ht="15.75" thickBot="1" x14ac:dyDescent="0.3">
      <c r="A138" s="657"/>
      <c r="B138" s="1229"/>
      <c r="C138" s="1232"/>
      <c r="D138" s="1225"/>
      <c r="E138" s="1225"/>
      <c r="F138" s="1229"/>
      <c r="G138" s="1279"/>
      <c r="H138" s="1175"/>
      <c r="I138" s="1229"/>
      <c r="J138" s="1230"/>
      <c r="K138" s="1229"/>
      <c r="L138" s="1230"/>
      <c r="M138" s="1229"/>
      <c r="N138" s="1278"/>
      <c r="O138" s="1229"/>
      <c r="P138" s="1176" t="s">
        <v>1601</v>
      </c>
      <c r="Q138" s="1229"/>
      <c r="R138" s="1176" t="s">
        <v>1602</v>
      </c>
      <c r="S138" s="1229"/>
      <c r="T138" s="1226" t="s">
        <v>653</v>
      </c>
      <c r="U138" s="1229"/>
    </row>
    <row r="139" spans="1:21" ht="30.75" thickBot="1" x14ac:dyDescent="0.3">
      <c r="A139" s="657"/>
      <c r="B139" s="1229"/>
      <c r="C139" s="1240" t="s">
        <v>1603</v>
      </c>
      <c r="D139" s="1518">
        <v>2802</v>
      </c>
      <c r="E139" s="1524"/>
      <c r="F139" s="1229"/>
      <c r="G139" s="1279"/>
      <c r="H139" s="1229"/>
      <c r="I139" s="1229"/>
      <c r="J139" s="1229"/>
      <c r="K139" s="1229"/>
      <c r="L139" s="1229"/>
      <c r="M139" s="1229"/>
      <c r="N139" s="1229"/>
      <c r="O139" s="1229"/>
      <c r="P139" s="1229"/>
      <c r="Q139" s="1229"/>
      <c r="R139" s="1229"/>
      <c r="S139" s="1229"/>
      <c r="T139" s="1229"/>
      <c r="U139" s="1229"/>
    </row>
    <row r="140" spans="1:21" ht="15.75" thickBot="1" x14ac:dyDescent="0.3">
      <c r="A140" s="657"/>
      <c r="B140" s="1229"/>
      <c r="C140" s="1232"/>
      <c r="D140" s="1225"/>
      <c r="E140" s="1225"/>
      <c r="F140" s="1229"/>
      <c r="G140" s="1279"/>
      <c r="H140" s="1241" t="s">
        <v>1495</v>
      </c>
      <c r="I140" s="1244"/>
      <c r="J140" s="1240" t="s">
        <v>1496</v>
      </c>
      <c r="K140" s="1244"/>
      <c r="L140" s="1240" t="s">
        <v>1497</v>
      </c>
      <c r="M140" s="1244"/>
      <c r="N140" s="1240" t="s">
        <v>1613</v>
      </c>
      <c r="O140" s="1244"/>
      <c r="P140" s="1240" t="s">
        <v>1614</v>
      </c>
      <c r="Q140" s="1244"/>
      <c r="R140" s="1244"/>
      <c r="S140" s="1244"/>
      <c r="T140" s="1240" t="s">
        <v>1636</v>
      </c>
      <c r="U140" s="1229"/>
    </row>
    <row r="141" spans="1:21" ht="18" customHeight="1" thickBot="1" x14ac:dyDescent="0.3">
      <c r="A141" s="657"/>
      <c r="B141" s="1229"/>
      <c r="C141" s="1237" t="s">
        <v>1493</v>
      </c>
      <c r="D141" s="1525"/>
      <c r="E141" s="1524"/>
      <c r="F141" s="1229"/>
      <c r="G141" s="1279" t="s">
        <v>1048</v>
      </c>
      <c r="H141" s="1203"/>
      <c r="I141" s="1244"/>
      <c r="J141" s="1203"/>
      <c r="K141" s="1244"/>
      <c r="L141" s="1203"/>
      <c r="M141" s="1244"/>
      <c r="N141" s="1193" t="s">
        <v>482</v>
      </c>
      <c r="O141" s="1244"/>
      <c r="P141" s="1193" t="s">
        <v>1616</v>
      </c>
      <c r="Q141" s="1244"/>
      <c r="R141" s="1244"/>
      <c r="S141" s="1244"/>
      <c r="T141" s="1193" t="s">
        <v>462</v>
      </c>
      <c r="U141" s="1229"/>
    </row>
    <row r="142" spans="1:21" ht="18" customHeight="1" thickBot="1" x14ac:dyDescent="0.3">
      <c r="A142" s="657"/>
      <c r="B142" s="1229"/>
      <c r="C142" s="1232"/>
      <c r="D142" s="1225"/>
      <c r="E142" s="1225"/>
      <c r="F142" s="1229"/>
      <c r="G142" s="1279" t="s">
        <v>1498</v>
      </c>
      <c r="H142" s="1203"/>
      <c r="I142" s="1244"/>
      <c r="J142" s="1231"/>
      <c r="K142" s="1244"/>
      <c r="L142" s="1203"/>
      <c r="M142" s="1244"/>
      <c r="N142" s="1193" t="s">
        <v>482</v>
      </c>
      <c r="O142" s="1244"/>
      <c r="P142" s="1193" t="s">
        <v>1616</v>
      </c>
      <c r="Q142" s="1244"/>
      <c r="R142" s="1244"/>
      <c r="S142" s="1244"/>
      <c r="T142" s="1244"/>
      <c r="U142" s="1229"/>
    </row>
    <row r="143" spans="1:21" ht="18" customHeight="1" thickBot="1" x14ac:dyDescent="0.3">
      <c r="A143" s="657"/>
      <c r="B143" s="1229"/>
      <c r="C143" s="1237" t="s">
        <v>1494</v>
      </c>
      <c r="D143" s="1525"/>
      <c r="E143" s="1524"/>
      <c r="F143" s="1229"/>
      <c r="G143" s="1279" t="s">
        <v>1499</v>
      </c>
      <c r="H143" s="1203"/>
      <c r="I143" s="1244"/>
      <c r="J143" s="1234"/>
      <c r="K143" s="1244"/>
      <c r="L143" s="1203"/>
      <c r="M143" s="1244"/>
      <c r="N143" s="1193" t="s">
        <v>482</v>
      </c>
      <c r="O143" s="1244"/>
      <c r="P143" s="1193" t="s">
        <v>1616</v>
      </c>
      <c r="Q143" s="1244"/>
      <c r="R143" s="1244"/>
      <c r="S143" s="1244"/>
      <c r="T143" s="1724" t="s">
        <v>1720</v>
      </c>
      <c r="U143" s="1229"/>
    </row>
    <row r="144" spans="1:21" ht="18" customHeight="1" x14ac:dyDescent="0.25">
      <c r="A144" s="657"/>
      <c r="B144" s="1229"/>
      <c r="C144" s="1232"/>
      <c r="D144" s="1225"/>
      <c r="E144" s="1225"/>
      <c r="F144" s="1229"/>
      <c r="G144" s="1279" t="s">
        <v>1501</v>
      </c>
      <c r="H144" s="1203"/>
      <c r="I144" s="1244"/>
      <c r="J144" s="1235"/>
      <c r="K144" s="1244"/>
      <c r="L144" s="1203"/>
      <c r="M144" s="1244"/>
      <c r="N144" s="1193" t="s">
        <v>482</v>
      </c>
      <c r="O144" s="1244"/>
      <c r="P144" s="1193" t="s">
        <v>1616</v>
      </c>
      <c r="Q144" s="1244"/>
      <c r="R144" s="1244"/>
      <c r="S144" s="1244"/>
      <c r="T144" s="1725" t="s">
        <v>651</v>
      </c>
      <c r="U144" s="1229"/>
    </row>
    <row r="145" spans="1:21" ht="18" customHeight="1" x14ac:dyDescent="0.25">
      <c r="A145" s="657"/>
      <c r="B145" s="1229"/>
      <c r="C145" s="1232"/>
      <c r="D145" s="1225"/>
      <c r="E145" s="1225"/>
      <c r="F145" s="1229"/>
      <c r="G145" s="1279" t="s">
        <v>1503</v>
      </c>
      <c r="H145" s="1203"/>
      <c r="I145" s="1244"/>
      <c r="J145" s="1235"/>
      <c r="K145" s="1244"/>
      <c r="L145" s="1203"/>
      <c r="M145" s="1244"/>
      <c r="N145" s="1193" t="s">
        <v>482</v>
      </c>
      <c r="O145" s="1244"/>
      <c r="P145" s="1193" t="s">
        <v>1616</v>
      </c>
      <c r="Q145" s="1244"/>
      <c r="R145" s="1244"/>
      <c r="S145" s="1244"/>
      <c r="T145" s="1244"/>
      <c r="U145" s="1229"/>
    </row>
    <row r="146" spans="1:21" ht="15.75" thickBot="1" x14ac:dyDescent="0.3">
      <c r="A146" s="657"/>
      <c r="B146" s="1229"/>
      <c r="C146" s="1232"/>
      <c r="D146" s="1225"/>
      <c r="E146" s="1225"/>
      <c r="F146" s="1229"/>
      <c r="G146" s="1279"/>
      <c r="H146" s="1229"/>
      <c r="I146" s="1229"/>
      <c r="J146" s="1229"/>
      <c r="K146" s="1229"/>
      <c r="L146" s="1229"/>
      <c r="M146" s="1229"/>
      <c r="N146" s="1229"/>
      <c r="O146" s="1229"/>
      <c r="P146" s="1229"/>
      <c r="Q146" s="1229"/>
      <c r="R146" s="1229"/>
      <c r="S146" s="1229"/>
      <c r="T146" s="1229"/>
      <c r="U146" s="1229"/>
    </row>
    <row r="147" spans="1:21" ht="30.75" thickBot="1" x14ac:dyDescent="0.3">
      <c r="A147" s="657"/>
      <c r="B147" s="1229"/>
      <c r="C147" s="1238" t="s">
        <v>1607</v>
      </c>
      <c r="D147" s="1508" t="s">
        <v>651</v>
      </c>
      <c r="E147" s="1509"/>
      <c r="F147" s="1229"/>
      <c r="G147" s="1279"/>
      <c r="H147" s="1239" t="s">
        <v>1604</v>
      </c>
      <c r="I147" s="1244"/>
      <c r="J147" s="1240" t="s">
        <v>1618</v>
      </c>
      <c r="K147" s="1244"/>
      <c r="L147" s="1240" t="s">
        <v>1605</v>
      </c>
      <c r="M147" s="1229"/>
      <c r="N147" s="1229"/>
      <c r="O147" s="1229"/>
      <c r="P147" s="1229"/>
      <c r="Q147" s="1229"/>
      <c r="R147" s="1229"/>
      <c r="S147" s="1229"/>
      <c r="T147" s="1229"/>
      <c r="U147" s="1229"/>
    </row>
    <row r="148" spans="1:21" ht="15.75" thickBot="1" x14ac:dyDescent="0.3">
      <c r="A148" s="657"/>
      <c r="B148" s="1229"/>
      <c r="C148" s="1232"/>
      <c r="D148" s="1225"/>
      <c r="E148" s="1225"/>
      <c r="F148" s="1229"/>
      <c r="G148" s="1279"/>
      <c r="H148" s="1226" t="s">
        <v>651</v>
      </c>
      <c r="I148" s="1229"/>
      <c r="J148" s="1176" t="s">
        <v>1606</v>
      </c>
      <c r="K148" s="1229"/>
      <c r="L148" s="1193" t="s">
        <v>1606</v>
      </c>
      <c r="M148" s="1229"/>
      <c r="N148" s="1229"/>
      <c r="O148" s="1229"/>
      <c r="P148" s="1229"/>
      <c r="Q148" s="1229"/>
      <c r="R148" s="1229"/>
      <c r="S148" s="1229"/>
      <c r="T148" s="1229"/>
      <c r="U148" s="1229"/>
    </row>
    <row r="149" spans="1:21" ht="16.5" customHeight="1" thickBot="1" x14ac:dyDescent="0.3">
      <c r="A149" s="657"/>
      <c r="B149" s="1229"/>
      <c r="C149" s="1237" t="s">
        <v>1608</v>
      </c>
      <c r="D149" s="1518" t="s">
        <v>1637</v>
      </c>
      <c r="E149" s="1519"/>
      <c r="F149" s="1229"/>
      <c r="G149" s="1279"/>
      <c r="H149" s="1229"/>
      <c r="I149" s="1229"/>
      <c r="J149" s="1229"/>
      <c r="K149" s="1229"/>
      <c r="L149" s="1229"/>
      <c r="M149" s="1229"/>
      <c r="N149" s="1229"/>
      <c r="O149" s="1229"/>
      <c r="P149" s="1229"/>
      <c r="Q149" s="1229"/>
      <c r="R149" s="1229"/>
      <c r="S149" s="1229"/>
      <c r="T149" s="1229"/>
      <c r="U149" s="1229"/>
    </row>
    <row r="150" spans="1:21" ht="20.25" customHeight="1" thickBot="1" x14ac:dyDescent="0.3">
      <c r="A150" s="657"/>
      <c r="B150" s="1229"/>
      <c r="C150" s="1229"/>
      <c r="D150" s="1229"/>
      <c r="E150" s="1229"/>
      <c r="F150" s="1229"/>
      <c r="G150" s="1279"/>
      <c r="H150" s="1229"/>
      <c r="I150" s="1229"/>
      <c r="J150" s="1229"/>
      <c r="K150" s="1229"/>
      <c r="L150" s="1229"/>
      <c r="M150" s="1229"/>
      <c r="N150" s="1229"/>
      <c r="O150" s="1229"/>
      <c r="P150" s="1229"/>
      <c r="Q150" s="1229"/>
      <c r="R150" s="1229"/>
      <c r="S150" s="1229"/>
      <c r="T150" s="1229"/>
      <c r="U150" s="1229"/>
    </row>
    <row r="151" spans="1:21" ht="20.25" customHeight="1" thickBot="1" x14ac:dyDescent="0.3">
      <c r="A151" s="657"/>
      <c r="B151" s="1520" t="s">
        <v>1641</v>
      </c>
      <c r="C151" s="1521"/>
      <c r="D151" s="1521"/>
      <c r="E151" s="1521"/>
      <c r="F151" s="1521"/>
      <c r="G151" s="1521"/>
      <c r="H151" s="1521"/>
      <c r="I151" s="1521"/>
      <c r="J151" s="1521"/>
      <c r="K151" s="1521"/>
      <c r="L151" s="1521"/>
      <c r="M151" s="1521"/>
      <c r="N151" s="1521"/>
      <c r="O151" s="1521"/>
      <c r="P151" s="1521"/>
      <c r="Q151" s="1521"/>
      <c r="R151" s="1521"/>
      <c r="S151" s="1521"/>
      <c r="T151" s="1521"/>
      <c r="U151" s="1519"/>
    </row>
    <row r="152" spans="1:21" ht="15.75" thickBot="1" x14ac:dyDescent="0.3">
      <c r="A152" s="657"/>
      <c r="B152" s="1229"/>
      <c r="C152" s="1229"/>
      <c r="D152" s="1229"/>
      <c r="E152" s="1229"/>
      <c r="F152" s="1229"/>
      <c r="G152" s="1279"/>
      <c r="H152" s="1229"/>
      <c r="I152" s="1229"/>
      <c r="J152" s="1229"/>
      <c r="K152" s="1229"/>
      <c r="L152" s="1229"/>
      <c r="M152" s="1229"/>
      <c r="N152" s="1229"/>
      <c r="O152" s="1229"/>
      <c r="P152" s="1229"/>
      <c r="Q152" s="1229"/>
      <c r="R152" s="1229"/>
      <c r="S152" s="1229"/>
      <c r="T152" s="1229"/>
      <c r="U152" s="1229"/>
    </row>
    <row r="153" spans="1:21" ht="30.75" thickBot="1" x14ac:dyDescent="0.3">
      <c r="A153" s="496"/>
      <c r="B153" s="1229"/>
      <c r="C153" s="1237" t="s">
        <v>1491</v>
      </c>
      <c r="D153" s="1522" t="s">
        <v>1642</v>
      </c>
      <c r="E153" s="1523"/>
      <c r="F153" s="1244"/>
      <c r="G153" s="1280"/>
      <c r="H153" s="1240" t="s">
        <v>1488</v>
      </c>
      <c r="I153" s="1244"/>
      <c r="J153" s="1240" t="s">
        <v>1489</v>
      </c>
      <c r="K153" s="1244"/>
      <c r="L153" s="1240" t="s">
        <v>1505</v>
      </c>
      <c r="M153" s="1244"/>
      <c r="N153" s="1240" t="s">
        <v>1490</v>
      </c>
      <c r="O153" s="1244"/>
      <c r="P153" s="1240" t="s">
        <v>1598</v>
      </c>
      <c r="Q153" s="1244"/>
      <c r="R153" s="1240" t="s">
        <v>1599</v>
      </c>
      <c r="S153" s="1244"/>
      <c r="T153" s="1240" t="s">
        <v>1600</v>
      </c>
      <c r="U153" s="1229"/>
    </row>
    <row r="154" spans="1:21" ht="18" customHeight="1" thickBot="1" x14ac:dyDescent="0.3">
      <c r="A154" s="657"/>
      <c r="B154" s="1229"/>
      <c r="C154" s="1232"/>
      <c r="D154" s="1232"/>
      <c r="E154" s="1232"/>
      <c r="F154" s="1244"/>
      <c r="G154" s="1280"/>
      <c r="H154" s="1175"/>
      <c r="I154" s="1244"/>
      <c r="J154" s="1230"/>
      <c r="K154" s="1244"/>
      <c r="L154" s="1230"/>
      <c r="M154" s="1244"/>
      <c r="N154" s="1278"/>
      <c r="O154" s="1244"/>
      <c r="P154" s="1176" t="s">
        <v>1601</v>
      </c>
      <c r="Q154" s="1244"/>
      <c r="R154" s="1176" t="s">
        <v>1602</v>
      </c>
      <c r="S154" s="1244"/>
      <c r="T154" s="1226" t="s">
        <v>653</v>
      </c>
      <c r="U154" s="1229"/>
    </row>
    <row r="155" spans="1:21" ht="28.5" customHeight="1" thickBot="1" x14ac:dyDescent="0.3">
      <c r="A155" s="657"/>
      <c r="B155" s="1229"/>
      <c r="C155" s="1240" t="s">
        <v>1603</v>
      </c>
      <c r="D155" s="1518">
        <v>3401</v>
      </c>
      <c r="E155" s="1524"/>
      <c r="F155" s="1244"/>
      <c r="G155" s="1280"/>
      <c r="H155" s="1244"/>
      <c r="I155" s="1244"/>
      <c r="J155" s="1244"/>
      <c r="K155" s="1244"/>
      <c r="L155" s="1244"/>
      <c r="M155" s="1244"/>
      <c r="N155" s="1244"/>
      <c r="O155" s="1244"/>
      <c r="P155" s="1244"/>
      <c r="Q155" s="1244"/>
      <c r="R155" s="1244"/>
      <c r="S155" s="1244"/>
      <c r="T155" s="1244"/>
      <c r="U155" s="1229"/>
    </row>
    <row r="156" spans="1:21" ht="15.75" thickBot="1" x14ac:dyDescent="0.3">
      <c r="A156" s="657"/>
      <c r="B156" s="1229"/>
      <c r="C156" s="1232"/>
      <c r="D156" s="1232"/>
      <c r="E156" s="1232"/>
      <c r="F156" s="1244"/>
      <c r="G156" s="1280"/>
      <c r="H156" s="1244"/>
      <c r="I156" s="1244"/>
      <c r="J156" s="1244"/>
      <c r="K156" s="1244"/>
      <c r="L156" s="1240" t="s">
        <v>1497</v>
      </c>
      <c r="M156" s="1244"/>
      <c r="N156" s="1244"/>
      <c r="O156" s="1244"/>
      <c r="P156" s="1244"/>
      <c r="Q156" s="1244"/>
      <c r="R156" s="1244"/>
      <c r="S156" s="1244"/>
      <c r="T156" s="1244"/>
      <c r="U156" s="1229"/>
    </row>
    <row r="157" spans="1:21" ht="18" customHeight="1" thickBot="1" x14ac:dyDescent="0.3">
      <c r="A157" s="657"/>
      <c r="B157" s="1229"/>
      <c r="C157" s="1237" t="s">
        <v>1493</v>
      </c>
      <c r="D157" s="1525"/>
      <c r="E157" s="1524"/>
      <c r="F157" s="1244"/>
      <c r="G157" s="1280"/>
      <c r="H157" s="1244"/>
      <c r="I157" s="1244"/>
      <c r="J157" s="1244"/>
      <c r="K157" s="1244"/>
      <c r="L157" s="1203"/>
      <c r="M157" s="1244"/>
      <c r="N157" s="1244"/>
      <c r="O157" s="1244"/>
      <c r="P157" s="1244"/>
      <c r="Q157" s="1244"/>
      <c r="R157" s="1244"/>
      <c r="S157" s="1244"/>
      <c r="T157" s="1244"/>
      <c r="U157" s="1229"/>
    </row>
    <row r="158" spans="1:21" ht="15.75" thickBot="1" x14ac:dyDescent="0.3">
      <c r="A158" s="657"/>
      <c r="B158" s="1229"/>
      <c r="C158" s="1232"/>
      <c r="D158" s="1232"/>
      <c r="E158" s="1232"/>
      <c r="F158" s="1244"/>
      <c r="G158" s="1280"/>
      <c r="H158" s="1244"/>
      <c r="I158" s="1244"/>
      <c r="J158" s="1244"/>
      <c r="K158" s="1244"/>
      <c r="L158" s="1244"/>
      <c r="M158" s="1244"/>
      <c r="N158" s="1244"/>
      <c r="O158" s="1244"/>
      <c r="P158" s="1244"/>
      <c r="Q158" s="1244"/>
      <c r="R158" s="1244"/>
      <c r="S158" s="1244"/>
      <c r="T158" s="1244"/>
      <c r="U158" s="1229"/>
    </row>
    <row r="159" spans="1:21" ht="30.75" thickBot="1" x14ac:dyDescent="0.3">
      <c r="A159" s="657"/>
      <c r="B159" s="1229"/>
      <c r="C159" s="1237" t="s">
        <v>1494</v>
      </c>
      <c r="D159" s="1525"/>
      <c r="E159" s="1524"/>
      <c r="F159" s="1244"/>
      <c r="G159" s="1280"/>
      <c r="H159" s="1239" t="s">
        <v>1604</v>
      </c>
      <c r="I159" s="1244"/>
      <c r="J159" s="1244"/>
      <c r="K159" s="1244"/>
      <c r="L159" s="1240" t="s">
        <v>1605</v>
      </c>
      <c r="M159" s="1244"/>
      <c r="N159" s="1244"/>
      <c r="O159" s="1244"/>
      <c r="P159" s="1244"/>
      <c r="Q159" s="1244"/>
      <c r="R159" s="1244"/>
      <c r="S159" s="1244"/>
      <c r="T159" s="1724" t="s">
        <v>1720</v>
      </c>
      <c r="U159" s="1229"/>
    </row>
    <row r="160" spans="1:21" ht="15.75" thickBot="1" x14ac:dyDescent="0.3">
      <c r="A160" s="657"/>
      <c r="B160" s="1229"/>
      <c r="C160" s="1232"/>
      <c r="D160" s="1232"/>
      <c r="E160" s="1232"/>
      <c r="F160" s="1244"/>
      <c r="G160" s="1280"/>
      <c r="H160" s="1226" t="s">
        <v>651</v>
      </c>
      <c r="I160" s="1244"/>
      <c r="J160" s="1244"/>
      <c r="K160" s="1244"/>
      <c r="L160" s="1193" t="s">
        <v>1606</v>
      </c>
      <c r="M160" s="1244"/>
      <c r="N160" s="1244"/>
      <c r="O160" s="1244"/>
      <c r="P160" s="1244"/>
      <c r="Q160" s="1244"/>
      <c r="R160" s="1244"/>
      <c r="S160" s="1244"/>
      <c r="T160" s="1725" t="s">
        <v>651</v>
      </c>
      <c r="U160" s="1229"/>
    </row>
    <row r="161" spans="1:21" ht="30" customHeight="1" thickBot="1" x14ac:dyDescent="0.3">
      <c r="A161" s="657"/>
      <c r="B161" s="1229"/>
      <c r="C161" s="1238" t="s">
        <v>1607</v>
      </c>
      <c r="D161" s="1508" t="s">
        <v>651</v>
      </c>
      <c r="E161" s="1509"/>
      <c r="F161" s="1244"/>
      <c r="G161" s="1280"/>
      <c r="H161" s="1244"/>
      <c r="I161" s="1244"/>
      <c r="J161" s="1244"/>
      <c r="K161" s="1244"/>
      <c r="L161" s="1244"/>
      <c r="M161" s="1244"/>
      <c r="N161" s="1244"/>
      <c r="O161" s="1244"/>
      <c r="P161" s="1244"/>
      <c r="Q161" s="1244"/>
      <c r="R161" s="1244"/>
      <c r="S161" s="1244"/>
      <c r="T161" s="1244"/>
      <c r="U161" s="1229"/>
    </row>
    <row r="162" spans="1:21" ht="15.75" thickBot="1" x14ac:dyDescent="0.3">
      <c r="A162" s="657"/>
      <c r="B162" s="1229"/>
      <c r="C162" s="1232"/>
      <c r="D162" s="1232"/>
      <c r="E162" s="1232"/>
      <c r="F162" s="1244"/>
      <c r="G162" s="1280"/>
      <c r="H162" s="1244"/>
      <c r="I162" s="1244"/>
      <c r="J162" s="1244"/>
      <c r="K162" s="1244"/>
      <c r="L162" s="1244"/>
      <c r="M162" s="1244"/>
      <c r="N162" s="1244"/>
      <c r="O162" s="1244"/>
      <c r="P162" s="1244"/>
      <c r="Q162" s="1244"/>
      <c r="R162" s="1244"/>
      <c r="S162" s="1244"/>
      <c r="T162" s="1244"/>
      <c r="U162" s="1229"/>
    </row>
    <row r="163" spans="1:21" ht="18" customHeight="1" thickBot="1" x14ac:dyDescent="0.3">
      <c r="A163" s="657"/>
      <c r="B163" s="1229"/>
      <c r="C163" s="1237" t="s">
        <v>1608</v>
      </c>
      <c r="D163" s="1518" t="s">
        <v>1643</v>
      </c>
      <c r="E163" s="1519"/>
      <c r="F163" s="1244"/>
      <c r="G163" s="1280"/>
      <c r="H163" s="1244"/>
      <c r="I163" s="1244"/>
      <c r="J163" s="1244"/>
      <c r="K163" s="1244"/>
      <c r="L163" s="1244"/>
      <c r="M163" s="1244"/>
      <c r="N163" s="1244"/>
      <c r="O163" s="1244"/>
      <c r="P163" s="1244"/>
      <c r="Q163" s="1244"/>
      <c r="R163" s="1244"/>
      <c r="S163" s="1244"/>
      <c r="T163" s="1244"/>
      <c r="U163" s="1229"/>
    </row>
    <row r="164" spans="1:21" ht="15.75" thickBot="1" x14ac:dyDescent="0.3">
      <c r="A164" s="657"/>
      <c r="B164" s="1229"/>
      <c r="C164" s="1225"/>
      <c r="D164" s="1225"/>
      <c r="E164" s="1225"/>
      <c r="F164" s="1229"/>
      <c r="G164" s="1279"/>
      <c r="H164" s="1229"/>
      <c r="I164" s="1229"/>
      <c r="J164" s="1229"/>
      <c r="K164" s="1229"/>
      <c r="L164" s="1229"/>
      <c r="M164" s="1229"/>
      <c r="N164" s="1229"/>
      <c r="O164" s="1229"/>
      <c r="P164" s="1229"/>
      <c r="Q164" s="1229"/>
      <c r="R164" s="1229"/>
      <c r="S164" s="1229"/>
      <c r="T164" s="1229"/>
      <c r="U164" s="1229"/>
    </row>
    <row r="165" spans="1:21" ht="15.75" thickBot="1" x14ac:dyDescent="0.3">
      <c r="A165" s="657"/>
      <c r="B165" s="1520" t="s">
        <v>1644</v>
      </c>
      <c r="C165" s="1521"/>
      <c r="D165" s="1521"/>
      <c r="E165" s="1521"/>
      <c r="F165" s="1521"/>
      <c r="G165" s="1521"/>
      <c r="H165" s="1521"/>
      <c r="I165" s="1521"/>
      <c r="J165" s="1521"/>
      <c r="K165" s="1521"/>
      <c r="L165" s="1521"/>
      <c r="M165" s="1521"/>
      <c r="N165" s="1521"/>
      <c r="O165" s="1521"/>
      <c r="P165" s="1521"/>
      <c r="Q165" s="1521"/>
      <c r="R165" s="1521"/>
      <c r="S165" s="1521"/>
      <c r="T165" s="1521"/>
      <c r="U165" s="1519"/>
    </row>
    <row r="166" spans="1:21" ht="15.75" thickBot="1" x14ac:dyDescent="0.3">
      <c r="A166" s="657"/>
      <c r="B166" s="1244"/>
      <c r="C166" s="1244"/>
      <c r="D166" s="1244"/>
      <c r="E166" s="1244"/>
      <c r="F166" s="1244"/>
      <c r="G166" s="1280"/>
      <c r="H166" s="1244"/>
      <c r="I166" s="1244"/>
      <c r="J166" s="1244"/>
      <c r="K166" s="1244"/>
      <c r="L166" s="1244"/>
      <c r="M166" s="1244"/>
      <c r="N166" s="1244"/>
      <c r="O166" s="1244"/>
      <c r="P166" s="1244"/>
      <c r="Q166" s="1244"/>
      <c r="R166" s="1244"/>
      <c r="S166" s="1244"/>
      <c r="T166" s="1244"/>
      <c r="U166" s="1244"/>
    </row>
    <row r="167" spans="1:21" ht="30.75" thickBot="1" x14ac:dyDescent="0.3">
      <c r="A167" s="496"/>
      <c r="B167" s="1244"/>
      <c r="C167" s="1237" t="s">
        <v>1491</v>
      </c>
      <c r="D167" s="1522" t="s">
        <v>1642</v>
      </c>
      <c r="E167" s="1523"/>
      <c r="F167" s="1244"/>
      <c r="G167" s="1280"/>
      <c r="H167" s="1240" t="s">
        <v>1488</v>
      </c>
      <c r="I167" s="1244"/>
      <c r="J167" s="1240" t="s">
        <v>1489</v>
      </c>
      <c r="K167" s="1244"/>
      <c r="L167" s="1240" t="s">
        <v>1505</v>
      </c>
      <c r="M167" s="1244"/>
      <c r="N167" s="1240" t="s">
        <v>1490</v>
      </c>
      <c r="O167" s="1244"/>
      <c r="P167" s="1240" t="s">
        <v>1598</v>
      </c>
      <c r="Q167" s="1244"/>
      <c r="R167" s="1240" t="s">
        <v>1599</v>
      </c>
      <c r="S167" s="1244"/>
      <c r="T167" s="1240" t="s">
        <v>1600</v>
      </c>
      <c r="U167" s="1244"/>
    </row>
    <row r="168" spans="1:21" ht="15.75" thickBot="1" x14ac:dyDescent="0.3">
      <c r="A168" s="657"/>
      <c r="B168" s="1244"/>
      <c r="C168" s="1232"/>
      <c r="D168" s="1232"/>
      <c r="E168" s="1232"/>
      <c r="F168" s="1244"/>
      <c r="G168" s="1280"/>
      <c r="H168" s="1175"/>
      <c r="I168" s="1244"/>
      <c r="J168" s="1230"/>
      <c r="K168" s="1244"/>
      <c r="L168" s="1230"/>
      <c r="M168" s="1244"/>
      <c r="N168" s="1278"/>
      <c r="O168" s="1244"/>
      <c r="P168" s="1176" t="s">
        <v>1601</v>
      </c>
      <c r="Q168" s="1244"/>
      <c r="R168" s="1176" t="s">
        <v>1602</v>
      </c>
      <c r="S168" s="1244"/>
      <c r="T168" s="1226" t="s">
        <v>653</v>
      </c>
      <c r="U168" s="1244"/>
    </row>
    <row r="169" spans="1:21" ht="30.75" thickBot="1" x14ac:dyDescent="0.3">
      <c r="A169" s="657"/>
      <c r="B169" s="1244"/>
      <c r="C169" s="1237" t="s">
        <v>1603</v>
      </c>
      <c r="D169" s="1518">
        <v>3402</v>
      </c>
      <c r="E169" s="1524"/>
      <c r="F169" s="1244"/>
      <c r="G169" s="1280"/>
      <c r="H169" s="1244"/>
      <c r="I169" s="1244"/>
      <c r="J169" s="1244"/>
      <c r="K169" s="1244"/>
      <c r="L169" s="1244"/>
      <c r="M169" s="1244"/>
      <c r="N169" s="1244"/>
      <c r="O169" s="1244"/>
      <c r="P169" s="1244"/>
      <c r="Q169" s="1244"/>
      <c r="R169" s="1244"/>
      <c r="S169" s="1244"/>
      <c r="T169" s="1244"/>
      <c r="U169" s="1244"/>
    </row>
    <row r="170" spans="1:21" ht="15.75" thickBot="1" x14ac:dyDescent="0.3">
      <c r="A170" s="657"/>
      <c r="B170" s="1244"/>
      <c r="C170" s="1232"/>
      <c r="D170" s="1232"/>
      <c r="E170" s="1232"/>
      <c r="F170" s="1244"/>
      <c r="G170" s="1280"/>
      <c r="H170" s="1244"/>
      <c r="I170" s="1244"/>
      <c r="J170" s="1244"/>
      <c r="K170" s="1244"/>
      <c r="L170" s="1240" t="s">
        <v>1497</v>
      </c>
      <c r="M170" s="1244"/>
      <c r="N170" s="1244"/>
      <c r="O170" s="1244"/>
      <c r="P170" s="1244"/>
      <c r="Q170" s="1244"/>
      <c r="R170" s="1244"/>
      <c r="S170" s="1244"/>
      <c r="T170" s="1244"/>
      <c r="U170" s="1244"/>
    </row>
    <row r="171" spans="1:21" ht="18" customHeight="1" thickBot="1" x14ac:dyDescent="0.3">
      <c r="A171" s="657"/>
      <c r="B171" s="1244"/>
      <c r="C171" s="1237" t="s">
        <v>1493</v>
      </c>
      <c r="D171" s="1525"/>
      <c r="E171" s="1524"/>
      <c r="F171" s="1244"/>
      <c r="G171" s="1280"/>
      <c r="H171" s="1244"/>
      <c r="I171" s="1244"/>
      <c r="J171" s="1244"/>
      <c r="K171" s="1244"/>
      <c r="L171" s="1203"/>
      <c r="M171" s="1244"/>
      <c r="N171" s="1244"/>
      <c r="O171" s="1244"/>
      <c r="P171" s="1244"/>
      <c r="Q171" s="1244"/>
      <c r="R171" s="1244"/>
      <c r="S171" s="1244"/>
      <c r="T171" s="1244"/>
      <c r="U171" s="1244"/>
    </row>
    <row r="172" spans="1:21" ht="15.75" thickBot="1" x14ac:dyDescent="0.3">
      <c r="A172" s="657"/>
      <c r="B172" s="1244"/>
      <c r="C172" s="1232"/>
      <c r="D172" s="1232"/>
      <c r="E172" s="1232"/>
      <c r="F172" s="1244"/>
      <c r="G172" s="1280"/>
      <c r="H172" s="1244"/>
      <c r="I172" s="1244"/>
      <c r="J172" s="1244"/>
      <c r="K172" s="1244"/>
      <c r="L172" s="1244"/>
      <c r="M172" s="1244"/>
      <c r="N172" s="1244"/>
      <c r="O172" s="1244"/>
      <c r="P172" s="1244"/>
      <c r="Q172" s="1244"/>
      <c r="R172" s="1244"/>
      <c r="S172" s="1244"/>
      <c r="T172" s="1244"/>
      <c r="U172" s="1244"/>
    </row>
    <row r="173" spans="1:21" ht="30.75" thickBot="1" x14ac:dyDescent="0.3">
      <c r="A173" s="657"/>
      <c r="B173" s="1244"/>
      <c r="C173" s="1237" t="s">
        <v>1494</v>
      </c>
      <c r="D173" s="1525"/>
      <c r="E173" s="1524"/>
      <c r="F173" s="1244"/>
      <c r="G173" s="1280"/>
      <c r="H173" s="1239" t="s">
        <v>1604</v>
      </c>
      <c r="I173" s="1244"/>
      <c r="J173" s="1244"/>
      <c r="K173" s="1244"/>
      <c r="L173" s="1240" t="s">
        <v>1605</v>
      </c>
      <c r="M173" s="1244"/>
      <c r="N173" s="1244"/>
      <c r="O173" s="1244"/>
      <c r="P173" s="1244"/>
      <c r="Q173" s="1244"/>
      <c r="R173" s="1244"/>
      <c r="S173" s="1244"/>
      <c r="T173" s="1724" t="s">
        <v>1720</v>
      </c>
      <c r="U173" s="1244"/>
    </row>
    <row r="174" spans="1:21" ht="15.75" thickBot="1" x14ac:dyDescent="0.3">
      <c r="A174" s="657"/>
      <c r="B174" s="1244"/>
      <c r="C174" s="1232"/>
      <c r="D174" s="1232"/>
      <c r="E174" s="1232"/>
      <c r="F174" s="1244"/>
      <c r="G174" s="1280"/>
      <c r="H174" s="1226" t="s">
        <v>651</v>
      </c>
      <c r="I174" s="1244"/>
      <c r="J174" s="1244"/>
      <c r="K174" s="1244"/>
      <c r="L174" s="1274" t="s">
        <v>1606</v>
      </c>
      <c r="M174" s="1244"/>
      <c r="N174" s="1244"/>
      <c r="O174" s="1244"/>
      <c r="P174" s="1244"/>
      <c r="Q174" s="1244"/>
      <c r="R174" s="1244"/>
      <c r="S174" s="1244"/>
      <c r="T174" s="1725" t="s">
        <v>651</v>
      </c>
      <c r="U174" s="1244"/>
    </row>
    <row r="175" spans="1:21" ht="30" customHeight="1" thickBot="1" x14ac:dyDescent="0.3">
      <c r="A175" s="657"/>
      <c r="B175" s="1244"/>
      <c r="C175" s="1238" t="s">
        <v>1607</v>
      </c>
      <c r="D175" s="1508" t="s">
        <v>651</v>
      </c>
      <c r="E175" s="1509"/>
      <c r="F175" s="1244"/>
      <c r="G175" s="1280"/>
      <c r="H175" s="1244"/>
      <c r="I175" s="1244"/>
      <c r="J175" s="1244"/>
      <c r="K175" s="1244"/>
      <c r="L175" s="1244"/>
      <c r="M175" s="1244"/>
      <c r="N175" s="1244"/>
      <c r="O175" s="1244"/>
      <c r="P175" s="1244"/>
      <c r="Q175" s="1244"/>
      <c r="R175" s="1244"/>
      <c r="S175" s="1244"/>
      <c r="T175" s="1244"/>
      <c r="U175" s="1244"/>
    </row>
    <row r="176" spans="1:21" ht="15.75" thickBot="1" x14ac:dyDescent="0.3">
      <c r="A176" s="657"/>
      <c r="B176" s="1244"/>
      <c r="C176" s="1232"/>
      <c r="D176" s="1232"/>
      <c r="E176" s="1232"/>
      <c r="F176" s="1244"/>
      <c r="G176" s="1280"/>
      <c r="H176" s="1244"/>
      <c r="I176" s="1244"/>
      <c r="J176" s="1244"/>
      <c r="K176" s="1244"/>
      <c r="L176" s="1244"/>
      <c r="M176" s="1244"/>
      <c r="N176" s="1244"/>
      <c r="O176" s="1244"/>
      <c r="P176" s="1244"/>
      <c r="Q176" s="1244"/>
      <c r="R176" s="1244"/>
      <c r="S176" s="1244"/>
      <c r="T176" s="1244"/>
      <c r="U176" s="1244"/>
    </row>
    <row r="177" spans="1:21" ht="15.75" thickBot="1" x14ac:dyDescent="0.3">
      <c r="A177" s="657"/>
      <c r="B177" s="1244"/>
      <c r="C177" s="1237" t="s">
        <v>1608</v>
      </c>
      <c r="D177" s="1518" t="s">
        <v>1643</v>
      </c>
      <c r="E177" s="1519"/>
      <c r="F177" s="1244"/>
      <c r="G177" s="1280"/>
      <c r="H177" s="1244"/>
      <c r="I177" s="1244"/>
      <c r="J177" s="1244"/>
      <c r="K177" s="1244"/>
      <c r="L177" s="1244"/>
      <c r="M177" s="1244"/>
      <c r="N177" s="1244"/>
      <c r="O177" s="1244"/>
      <c r="P177" s="1244"/>
      <c r="Q177" s="1244"/>
      <c r="R177" s="1244"/>
      <c r="S177" s="1244"/>
      <c r="T177" s="1244"/>
      <c r="U177" s="1244"/>
    </row>
    <row r="178" spans="1:21" ht="15.75" thickBot="1" x14ac:dyDescent="0.3">
      <c r="A178" s="657"/>
      <c r="B178" s="1244"/>
      <c r="C178" s="1244"/>
      <c r="D178" s="1244"/>
      <c r="E178" s="1244"/>
      <c r="F178" s="1244"/>
      <c r="G178" s="1280"/>
      <c r="H178" s="1244"/>
      <c r="I178" s="1244"/>
      <c r="J178" s="1244"/>
      <c r="K178" s="1244"/>
      <c r="L178" s="1244"/>
      <c r="M178" s="1244"/>
      <c r="N178" s="1244"/>
      <c r="O178" s="1244"/>
      <c r="P178" s="1244"/>
      <c r="Q178" s="1244"/>
      <c r="R178" s="1244"/>
      <c r="S178" s="1244"/>
      <c r="T178" s="1244"/>
      <c r="U178" s="1244"/>
    </row>
    <row r="179" spans="1:21" ht="20.25" customHeight="1" thickBot="1" x14ac:dyDescent="0.3">
      <c r="A179" s="657"/>
      <c r="B179" s="1520" t="s">
        <v>1645</v>
      </c>
      <c r="C179" s="1521"/>
      <c r="D179" s="1521"/>
      <c r="E179" s="1521"/>
      <c r="F179" s="1521"/>
      <c r="G179" s="1521"/>
      <c r="H179" s="1521"/>
      <c r="I179" s="1521"/>
      <c r="J179" s="1521"/>
      <c r="K179" s="1521"/>
      <c r="L179" s="1521"/>
      <c r="M179" s="1521"/>
      <c r="N179" s="1521"/>
      <c r="O179" s="1521"/>
      <c r="P179" s="1521"/>
      <c r="Q179" s="1521"/>
      <c r="R179" s="1521"/>
      <c r="S179" s="1521"/>
      <c r="T179" s="1521"/>
      <c r="U179" s="1519"/>
    </row>
    <row r="180" spans="1:21" ht="15.75" thickBot="1" x14ac:dyDescent="0.3">
      <c r="A180" s="657"/>
      <c r="B180" s="1244"/>
      <c r="C180" s="1244"/>
      <c r="D180" s="1244"/>
      <c r="E180" s="1244"/>
      <c r="F180" s="1244"/>
      <c r="G180" s="1280"/>
      <c r="H180" s="1244"/>
      <c r="I180" s="1244"/>
      <c r="J180" s="1244"/>
      <c r="K180" s="1244"/>
      <c r="L180" s="1244"/>
      <c r="M180" s="1244"/>
      <c r="N180" s="1244"/>
      <c r="O180" s="1244"/>
      <c r="P180" s="1244"/>
      <c r="Q180" s="1244"/>
      <c r="R180" s="1244"/>
      <c r="S180" s="1244"/>
      <c r="T180" s="1244"/>
      <c r="U180" s="1244"/>
    </row>
    <row r="181" spans="1:21" ht="30.75" thickBot="1" x14ac:dyDescent="0.3">
      <c r="A181" s="496"/>
      <c r="B181" s="1244"/>
      <c r="C181" s="1237" t="s">
        <v>1491</v>
      </c>
      <c r="D181" s="1522" t="s">
        <v>1646</v>
      </c>
      <c r="E181" s="1523"/>
      <c r="F181" s="1244"/>
      <c r="G181" s="1280"/>
      <c r="H181" s="1240" t="s">
        <v>1488</v>
      </c>
      <c r="I181" s="1244"/>
      <c r="J181" s="1240" t="s">
        <v>1489</v>
      </c>
      <c r="K181" s="1244"/>
      <c r="L181" s="1240" t="s">
        <v>1505</v>
      </c>
      <c r="M181" s="1244"/>
      <c r="N181" s="1240" t="s">
        <v>1490</v>
      </c>
      <c r="O181" s="1244"/>
      <c r="P181" s="1240" t="s">
        <v>1598</v>
      </c>
      <c r="Q181" s="1244"/>
      <c r="R181" s="1240" t="s">
        <v>1599</v>
      </c>
      <c r="S181" s="1244"/>
      <c r="T181" s="1240" t="s">
        <v>1600</v>
      </c>
      <c r="U181" s="1244"/>
    </row>
    <row r="182" spans="1:21" ht="15.75" thickBot="1" x14ac:dyDescent="0.3">
      <c r="A182" s="657"/>
      <c r="B182" s="1244"/>
      <c r="C182" s="1232"/>
      <c r="D182" s="1232"/>
      <c r="E182" s="1232"/>
      <c r="F182" s="1244"/>
      <c r="G182" s="1280"/>
      <c r="H182" s="1175"/>
      <c r="I182" s="1244"/>
      <c r="J182" s="1230"/>
      <c r="K182" s="1244"/>
      <c r="L182" s="1230"/>
      <c r="M182" s="1244"/>
      <c r="N182" s="1278"/>
      <c r="O182" s="1244"/>
      <c r="P182" s="1176" t="s">
        <v>1601</v>
      </c>
      <c r="Q182" s="1244"/>
      <c r="R182" s="1176" t="s">
        <v>1602</v>
      </c>
      <c r="S182" s="1244"/>
      <c r="T182" s="1226" t="s">
        <v>653</v>
      </c>
      <c r="U182" s="1244"/>
    </row>
    <row r="183" spans="1:21" ht="30.75" thickBot="1" x14ac:dyDescent="0.3">
      <c r="A183" s="657"/>
      <c r="B183" s="1244"/>
      <c r="C183" s="1237" t="s">
        <v>1603</v>
      </c>
      <c r="D183" s="1518">
        <v>3501</v>
      </c>
      <c r="E183" s="1524"/>
      <c r="F183" s="1244"/>
      <c r="G183" s="1280"/>
      <c r="H183" s="1244"/>
      <c r="I183" s="1244"/>
      <c r="J183" s="1244"/>
      <c r="K183" s="1244"/>
      <c r="L183" s="1244"/>
      <c r="M183" s="1244"/>
      <c r="N183" s="1244"/>
      <c r="O183" s="1244"/>
      <c r="P183" s="1244"/>
      <c r="Q183" s="1244"/>
      <c r="R183" s="1244"/>
      <c r="S183" s="1244"/>
      <c r="T183" s="1244"/>
      <c r="U183" s="1244"/>
    </row>
    <row r="184" spans="1:21" ht="30.75" thickBot="1" x14ac:dyDescent="0.3">
      <c r="A184" s="657"/>
      <c r="B184" s="1244"/>
      <c r="C184" s="1232"/>
      <c r="D184" s="1232"/>
      <c r="E184" s="1232"/>
      <c r="F184" s="1244"/>
      <c r="G184" s="1280"/>
      <c r="H184" s="1241" t="s">
        <v>1495</v>
      </c>
      <c r="I184" s="1244"/>
      <c r="J184" s="1240" t="s">
        <v>1496</v>
      </c>
      <c r="K184" s="1244"/>
      <c r="L184" s="1240" t="s">
        <v>1497</v>
      </c>
      <c r="M184" s="1244"/>
      <c r="N184" s="1240" t="s">
        <v>1613</v>
      </c>
      <c r="O184" s="1244"/>
      <c r="P184" s="1240" t="s">
        <v>1614</v>
      </c>
      <c r="Q184" s="1244"/>
      <c r="R184" s="1240" t="s">
        <v>1615</v>
      </c>
      <c r="S184" s="1244"/>
      <c r="T184" s="1244"/>
      <c r="U184" s="1244"/>
    </row>
    <row r="185" spans="1:21" ht="18" customHeight="1" thickBot="1" x14ac:dyDescent="0.3">
      <c r="A185" s="657"/>
      <c r="B185" s="1244"/>
      <c r="C185" s="1237" t="s">
        <v>1493</v>
      </c>
      <c r="D185" s="1525"/>
      <c r="E185" s="1524"/>
      <c r="F185" s="1244"/>
      <c r="G185" s="1280" t="s">
        <v>1048</v>
      </c>
      <c r="H185" s="1203"/>
      <c r="I185" s="1244"/>
      <c r="J185" s="1245"/>
      <c r="K185" s="1244"/>
      <c r="L185" s="1203"/>
      <c r="M185" s="1244"/>
      <c r="N185" s="1193" t="s">
        <v>482</v>
      </c>
      <c r="O185" s="1244"/>
      <c r="P185" s="1193" t="s">
        <v>1239</v>
      </c>
      <c r="Q185" s="1244"/>
      <c r="R185" s="1193" t="s">
        <v>1617</v>
      </c>
      <c r="S185" s="1244"/>
      <c r="T185" s="1244"/>
      <c r="U185" s="1244"/>
    </row>
    <row r="186" spans="1:21" ht="15.75" thickBot="1" x14ac:dyDescent="0.3">
      <c r="A186" s="657"/>
      <c r="B186" s="1244"/>
      <c r="C186" s="1232"/>
      <c r="D186" s="1232"/>
      <c r="E186" s="1232"/>
      <c r="F186" s="1244"/>
      <c r="G186" s="1280"/>
      <c r="H186" s="1244"/>
      <c r="I186" s="1244"/>
      <c r="J186" s="1244"/>
      <c r="K186" s="1244"/>
      <c r="L186" s="1244"/>
      <c r="M186" s="1244"/>
      <c r="N186" s="1244"/>
      <c r="O186" s="1244"/>
      <c r="P186" s="1244"/>
      <c r="Q186" s="1244"/>
      <c r="R186" s="1244"/>
      <c r="S186" s="1244"/>
      <c r="T186" s="1244"/>
      <c r="U186" s="1244"/>
    </row>
    <row r="187" spans="1:21" ht="30.75" thickBot="1" x14ac:dyDescent="0.3">
      <c r="A187" s="657"/>
      <c r="B187" s="1244"/>
      <c r="C187" s="1237" t="s">
        <v>1494</v>
      </c>
      <c r="D187" s="1525"/>
      <c r="E187" s="1524"/>
      <c r="F187" s="1244"/>
      <c r="G187" s="1280"/>
      <c r="H187" s="1239" t="s">
        <v>1604</v>
      </c>
      <c r="I187" s="1244"/>
      <c r="J187" s="1240" t="s">
        <v>1618</v>
      </c>
      <c r="K187" s="1244"/>
      <c r="L187" s="1240" t="s">
        <v>1605</v>
      </c>
      <c r="M187" s="1244"/>
      <c r="N187" s="1240" t="s">
        <v>1619</v>
      </c>
      <c r="O187" s="1244"/>
      <c r="P187" s="1240" t="s">
        <v>1620</v>
      </c>
      <c r="Q187" s="1244"/>
      <c r="R187" s="1244"/>
      <c r="S187" s="1244"/>
      <c r="T187" s="1724" t="s">
        <v>1720</v>
      </c>
      <c r="U187" s="1244"/>
    </row>
    <row r="188" spans="1:21" ht="15.75" thickBot="1" x14ac:dyDescent="0.3">
      <c r="A188" s="657"/>
      <c r="B188" s="1244"/>
      <c r="C188" s="1232"/>
      <c r="D188" s="1232"/>
      <c r="E188" s="1232"/>
      <c r="F188" s="1244"/>
      <c r="G188" s="1280"/>
      <c r="H188" s="1226" t="s">
        <v>651</v>
      </c>
      <c r="I188" s="1244"/>
      <c r="J188" s="1176" t="s">
        <v>1606</v>
      </c>
      <c r="K188" s="1244"/>
      <c r="L188" s="1274" t="s">
        <v>1606</v>
      </c>
      <c r="M188" s="1244"/>
      <c r="N188" s="1193" t="s">
        <v>651</v>
      </c>
      <c r="O188" s="1244"/>
      <c r="P188" s="1193" t="s">
        <v>653</v>
      </c>
      <c r="Q188" s="1244"/>
      <c r="R188" s="1244"/>
      <c r="S188" s="1244"/>
      <c r="T188" s="1725" t="s">
        <v>651</v>
      </c>
      <c r="U188" s="1244"/>
    </row>
    <row r="189" spans="1:21" ht="30" customHeight="1" thickBot="1" x14ac:dyDescent="0.3">
      <c r="A189" s="657"/>
      <c r="B189" s="1244"/>
      <c r="C189" s="1238" t="s">
        <v>1607</v>
      </c>
      <c r="D189" s="1508" t="s">
        <v>651</v>
      </c>
      <c r="E189" s="1509"/>
      <c r="F189" s="1244"/>
      <c r="G189" s="1280"/>
      <c r="H189" s="1244"/>
      <c r="I189" s="1244"/>
      <c r="J189" s="1244"/>
      <c r="K189" s="1244"/>
      <c r="L189" s="1244"/>
      <c r="M189" s="1244"/>
      <c r="N189" s="1244"/>
      <c r="O189" s="1244"/>
      <c r="P189" s="1244"/>
      <c r="Q189" s="1244"/>
      <c r="R189" s="1244"/>
      <c r="S189" s="1244"/>
      <c r="T189" s="1244"/>
      <c r="U189" s="1244"/>
    </row>
    <row r="190" spans="1:21" ht="15.75" thickBot="1" x14ac:dyDescent="0.3">
      <c r="A190" s="657"/>
      <c r="B190" s="1244"/>
      <c r="C190" s="1232"/>
      <c r="D190" s="1232"/>
      <c r="E190" s="1232"/>
      <c r="F190" s="1244"/>
      <c r="G190" s="1280"/>
      <c r="H190" s="1244"/>
      <c r="I190" s="1244"/>
      <c r="J190" s="1244"/>
      <c r="K190" s="1244"/>
      <c r="L190" s="1244"/>
      <c r="M190" s="1244"/>
      <c r="N190" s="1244"/>
      <c r="O190" s="1244"/>
      <c r="P190" s="1244"/>
      <c r="Q190" s="1244"/>
      <c r="R190" s="1244"/>
      <c r="S190" s="1244"/>
      <c r="T190" s="1244"/>
      <c r="U190" s="1244"/>
    </row>
    <row r="191" spans="1:21" ht="15.75" thickBot="1" x14ac:dyDescent="0.3">
      <c r="A191" s="657"/>
      <c r="B191" s="1244"/>
      <c r="C191" s="1237" t="s">
        <v>1608</v>
      </c>
      <c r="D191" s="1518" t="s">
        <v>1643</v>
      </c>
      <c r="E191" s="1519"/>
      <c r="F191" s="1244"/>
      <c r="G191" s="1280"/>
      <c r="H191" s="1244"/>
      <c r="I191" s="1244"/>
      <c r="J191" s="1244"/>
      <c r="K191" s="1244"/>
      <c r="L191" s="1244"/>
      <c r="M191" s="1244"/>
      <c r="N191" s="1244"/>
      <c r="O191" s="1244"/>
      <c r="P191" s="1244"/>
      <c r="Q191" s="1244"/>
      <c r="R191" s="1244"/>
      <c r="S191" s="1244"/>
      <c r="T191" s="1244"/>
      <c r="U191" s="1244"/>
    </row>
    <row r="192" spans="1:21" ht="15.75" thickBot="1" x14ac:dyDescent="0.3">
      <c r="A192" s="657"/>
      <c r="B192" s="1244"/>
      <c r="C192" s="1244"/>
      <c r="D192" s="1244"/>
      <c r="E192" s="1244"/>
      <c r="F192" s="1244"/>
      <c r="G192" s="1280"/>
      <c r="H192" s="1244"/>
      <c r="I192" s="1244"/>
      <c r="J192" s="1244"/>
      <c r="K192" s="1244"/>
      <c r="L192" s="1244"/>
      <c r="M192" s="1244"/>
      <c r="N192" s="1244"/>
      <c r="O192" s="1244"/>
      <c r="P192" s="1244"/>
      <c r="Q192" s="1244"/>
      <c r="R192" s="1244"/>
      <c r="S192" s="1244"/>
      <c r="T192" s="1244"/>
      <c r="U192" s="1244"/>
    </row>
    <row r="193" spans="1:21" ht="19.5" customHeight="1" thickBot="1" x14ac:dyDescent="0.3">
      <c r="A193" s="657"/>
      <c r="B193" s="1520" t="s">
        <v>1647</v>
      </c>
      <c r="C193" s="1521"/>
      <c r="D193" s="1521"/>
      <c r="E193" s="1521"/>
      <c r="F193" s="1521"/>
      <c r="G193" s="1521"/>
      <c r="H193" s="1521"/>
      <c r="I193" s="1521"/>
      <c r="J193" s="1521"/>
      <c r="K193" s="1521"/>
      <c r="L193" s="1521"/>
      <c r="M193" s="1521"/>
      <c r="N193" s="1521"/>
      <c r="O193" s="1521"/>
      <c r="P193" s="1521"/>
      <c r="Q193" s="1521"/>
      <c r="R193" s="1521"/>
      <c r="S193" s="1521"/>
      <c r="T193" s="1521"/>
      <c r="U193" s="1519"/>
    </row>
    <row r="194" spans="1:21" ht="15.75" thickBot="1" x14ac:dyDescent="0.3">
      <c r="A194" s="657"/>
      <c r="B194" s="1244"/>
      <c r="C194" s="1244"/>
      <c r="D194" s="1244"/>
      <c r="E194" s="1244"/>
      <c r="F194" s="1244"/>
      <c r="G194" s="1280"/>
      <c r="H194" s="1244"/>
      <c r="I194" s="1244"/>
      <c r="J194" s="1244"/>
      <c r="K194" s="1244"/>
      <c r="L194" s="1244"/>
      <c r="M194" s="1244"/>
      <c r="N194" s="1244"/>
      <c r="O194" s="1244"/>
      <c r="P194" s="1244"/>
      <c r="Q194" s="1244"/>
      <c r="R194" s="1244"/>
      <c r="S194" s="1244"/>
      <c r="T194" s="1244"/>
      <c r="U194" s="1244"/>
    </row>
    <row r="195" spans="1:21" ht="30.75" thickBot="1" x14ac:dyDescent="0.3">
      <c r="A195" s="496"/>
      <c r="B195" s="1244"/>
      <c r="C195" s="1237" t="s">
        <v>1491</v>
      </c>
      <c r="D195" s="1522" t="s">
        <v>1646</v>
      </c>
      <c r="E195" s="1523"/>
      <c r="F195" s="1244"/>
      <c r="G195" s="1280"/>
      <c r="H195" s="1240" t="s">
        <v>1488</v>
      </c>
      <c r="I195" s="1244"/>
      <c r="J195" s="1240" t="s">
        <v>1489</v>
      </c>
      <c r="K195" s="1244"/>
      <c r="L195" s="1240" t="s">
        <v>1505</v>
      </c>
      <c r="M195" s="1244"/>
      <c r="N195" s="1240" t="s">
        <v>1490</v>
      </c>
      <c r="O195" s="1244"/>
      <c r="P195" s="1240" t="s">
        <v>1598</v>
      </c>
      <c r="Q195" s="1244"/>
      <c r="R195" s="1240" t="s">
        <v>1599</v>
      </c>
      <c r="S195" s="1244"/>
      <c r="T195" s="1240" t="s">
        <v>1600</v>
      </c>
      <c r="U195" s="1244"/>
    </row>
    <row r="196" spans="1:21" ht="15.75" thickBot="1" x14ac:dyDescent="0.3">
      <c r="A196" s="657"/>
      <c r="B196" s="1244"/>
      <c r="C196" s="1232"/>
      <c r="D196" s="1232"/>
      <c r="E196" s="1232"/>
      <c r="F196" s="1244"/>
      <c r="G196" s="1280"/>
      <c r="H196" s="1175"/>
      <c r="I196" s="1244"/>
      <c r="J196" s="1230"/>
      <c r="K196" s="1244"/>
      <c r="L196" s="1230"/>
      <c r="M196" s="1244"/>
      <c r="N196" s="1278"/>
      <c r="O196" s="1244"/>
      <c r="P196" s="1176" t="s">
        <v>1601</v>
      </c>
      <c r="Q196" s="1244"/>
      <c r="R196" s="1176" t="s">
        <v>1602</v>
      </c>
      <c r="S196" s="1244"/>
      <c r="T196" s="1226" t="s">
        <v>653</v>
      </c>
      <c r="U196" s="1244"/>
    </row>
    <row r="197" spans="1:21" ht="30.75" thickBot="1" x14ac:dyDescent="0.3">
      <c r="A197" s="657"/>
      <c r="B197" s="1244"/>
      <c r="C197" s="1237" t="s">
        <v>1603</v>
      </c>
      <c r="D197" s="1518">
        <v>3502</v>
      </c>
      <c r="E197" s="1524"/>
      <c r="F197" s="1244"/>
      <c r="G197" s="1280"/>
      <c r="H197" s="1244"/>
      <c r="I197" s="1244"/>
      <c r="J197" s="1244"/>
      <c r="K197" s="1244"/>
      <c r="L197" s="1244"/>
      <c r="M197" s="1244"/>
      <c r="N197" s="1244"/>
      <c r="O197" s="1244"/>
      <c r="P197" s="1244"/>
      <c r="Q197" s="1244"/>
      <c r="R197" s="1244"/>
      <c r="S197" s="1244"/>
      <c r="T197" s="1244"/>
      <c r="U197" s="1244"/>
    </row>
    <row r="198" spans="1:21" ht="30.75" thickBot="1" x14ac:dyDescent="0.3">
      <c r="A198" s="657"/>
      <c r="B198" s="1244"/>
      <c r="C198" s="1232"/>
      <c r="D198" s="1232"/>
      <c r="E198" s="1232"/>
      <c r="F198" s="1244"/>
      <c r="G198" s="1280"/>
      <c r="H198" s="1241" t="s">
        <v>1495</v>
      </c>
      <c r="I198" s="1244"/>
      <c r="J198" s="1240" t="s">
        <v>1496</v>
      </c>
      <c r="K198" s="1244"/>
      <c r="L198" s="1240" t="s">
        <v>1497</v>
      </c>
      <c r="M198" s="1244"/>
      <c r="N198" s="1240" t="s">
        <v>1613</v>
      </c>
      <c r="O198" s="1244"/>
      <c r="P198" s="1240" t="s">
        <v>1614</v>
      </c>
      <c r="Q198" s="1244"/>
      <c r="R198" s="1240" t="s">
        <v>1615</v>
      </c>
      <c r="S198" s="1244"/>
      <c r="T198" s="1244"/>
      <c r="U198" s="1244"/>
    </row>
    <row r="199" spans="1:21" ht="18" customHeight="1" thickBot="1" x14ac:dyDescent="0.3">
      <c r="A199" s="657"/>
      <c r="B199" s="1244"/>
      <c r="C199" s="1237" t="s">
        <v>1493</v>
      </c>
      <c r="D199" s="1525"/>
      <c r="E199" s="1524"/>
      <c r="F199" s="1244"/>
      <c r="G199" s="1280" t="s">
        <v>1048</v>
      </c>
      <c r="H199" s="1203"/>
      <c r="I199" s="1244"/>
      <c r="J199" s="1245"/>
      <c r="K199" s="1244"/>
      <c r="L199" s="1203"/>
      <c r="M199" s="1244"/>
      <c r="N199" s="1193" t="s">
        <v>482</v>
      </c>
      <c r="O199" s="1244"/>
      <c r="P199" s="1193" t="s">
        <v>1239</v>
      </c>
      <c r="Q199" s="1244"/>
      <c r="R199" s="1193" t="s">
        <v>1617</v>
      </c>
      <c r="S199" s="1244"/>
      <c r="T199" s="1244"/>
      <c r="U199" s="1244"/>
    </row>
    <row r="200" spans="1:21" ht="15.75" thickBot="1" x14ac:dyDescent="0.3">
      <c r="A200" s="657"/>
      <c r="B200" s="1244"/>
      <c r="C200" s="1232"/>
      <c r="D200" s="1232"/>
      <c r="E200" s="1232"/>
      <c r="F200" s="1244"/>
      <c r="G200" s="1280"/>
      <c r="H200" s="1244"/>
      <c r="I200" s="1244"/>
      <c r="J200" s="1244"/>
      <c r="K200" s="1244"/>
      <c r="L200" s="1244"/>
      <c r="M200" s="1244"/>
      <c r="N200" s="1244"/>
      <c r="O200" s="1244"/>
      <c r="P200" s="1244"/>
      <c r="Q200" s="1244"/>
      <c r="R200" s="1244"/>
      <c r="S200" s="1244"/>
      <c r="T200" s="1244"/>
      <c r="U200" s="1244"/>
    </row>
    <row r="201" spans="1:21" ht="30.75" thickBot="1" x14ac:dyDescent="0.3">
      <c r="A201" s="657"/>
      <c r="B201" s="1244"/>
      <c r="C201" s="1237" t="s">
        <v>1494</v>
      </c>
      <c r="D201" s="1525"/>
      <c r="E201" s="1524"/>
      <c r="F201" s="1244"/>
      <c r="G201" s="1280"/>
      <c r="H201" s="1239" t="s">
        <v>1604</v>
      </c>
      <c r="I201" s="1244"/>
      <c r="J201" s="1240" t="s">
        <v>1618</v>
      </c>
      <c r="K201" s="1244"/>
      <c r="L201" s="1240" t="s">
        <v>1605</v>
      </c>
      <c r="M201" s="1244"/>
      <c r="N201" s="1240" t="s">
        <v>1619</v>
      </c>
      <c r="O201" s="1244"/>
      <c r="P201" s="1240" t="s">
        <v>1620</v>
      </c>
      <c r="Q201" s="1244"/>
      <c r="R201" s="1244"/>
      <c r="S201" s="1244"/>
      <c r="T201" s="1724" t="s">
        <v>1720</v>
      </c>
      <c r="U201" s="1244"/>
    </row>
    <row r="202" spans="1:21" ht="15.75" thickBot="1" x14ac:dyDescent="0.3">
      <c r="A202" s="657"/>
      <c r="B202" s="1244"/>
      <c r="C202" s="1232"/>
      <c r="D202" s="1232"/>
      <c r="E202" s="1232"/>
      <c r="F202" s="1244"/>
      <c r="G202" s="1280"/>
      <c r="H202" s="1226" t="s">
        <v>651</v>
      </c>
      <c r="I202" s="1244"/>
      <c r="J202" s="1176" t="s">
        <v>1606</v>
      </c>
      <c r="K202" s="1244"/>
      <c r="L202" s="1274" t="s">
        <v>1606</v>
      </c>
      <c r="M202" s="1244"/>
      <c r="N202" s="1193" t="s">
        <v>651</v>
      </c>
      <c r="O202" s="1244"/>
      <c r="P202" s="1193" t="s">
        <v>653</v>
      </c>
      <c r="Q202" s="1244"/>
      <c r="R202" s="1244"/>
      <c r="S202" s="1244"/>
      <c r="T202" s="1725" t="s">
        <v>651</v>
      </c>
      <c r="U202" s="1244"/>
    </row>
    <row r="203" spans="1:21" ht="30" customHeight="1" thickBot="1" x14ac:dyDescent="0.3">
      <c r="A203" s="657"/>
      <c r="B203" s="1244"/>
      <c r="C203" s="1238" t="s">
        <v>1607</v>
      </c>
      <c r="D203" s="1508" t="s">
        <v>651</v>
      </c>
      <c r="E203" s="1509"/>
      <c r="F203" s="1244"/>
      <c r="G203" s="1280"/>
      <c r="H203" s="1244"/>
      <c r="I203" s="1244"/>
      <c r="J203" s="1244"/>
      <c r="K203" s="1244"/>
      <c r="L203" s="1244"/>
      <c r="M203" s="1244"/>
      <c r="N203" s="1244"/>
      <c r="O203" s="1244"/>
      <c r="P203" s="1244"/>
      <c r="Q203" s="1244"/>
      <c r="R203" s="1244"/>
      <c r="S203" s="1244"/>
      <c r="T203" s="1244"/>
      <c r="U203" s="1244"/>
    </row>
    <row r="204" spans="1:21" ht="15.75" thickBot="1" x14ac:dyDescent="0.3">
      <c r="A204" s="657"/>
      <c r="B204" s="1244"/>
      <c r="C204" s="1232"/>
      <c r="D204" s="1232"/>
      <c r="E204" s="1232"/>
      <c r="F204" s="1244"/>
      <c r="G204" s="1280"/>
      <c r="H204" s="1244"/>
      <c r="I204" s="1244"/>
      <c r="J204" s="1244"/>
      <c r="K204" s="1244"/>
      <c r="L204" s="1244"/>
      <c r="M204" s="1244"/>
      <c r="N204" s="1244"/>
      <c r="O204" s="1244"/>
      <c r="P204" s="1244"/>
      <c r="Q204" s="1244"/>
      <c r="R204" s="1244"/>
      <c r="S204" s="1244"/>
      <c r="T204" s="1244"/>
      <c r="U204" s="1244"/>
    </row>
    <row r="205" spans="1:21" ht="15.75" thickBot="1" x14ac:dyDescent="0.3">
      <c r="A205" s="657"/>
      <c r="B205" s="1244"/>
      <c r="C205" s="1237" t="s">
        <v>1608</v>
      </c>
      <c r="D205" s="1518" t="s">
        <v>1643</v>
      </c>
      <c r="E205" s="1519"/>
      <c r="F205" s="1244"/>
      <c r="G205" s="1280"/>
      <c r="H205" s="1244"/>
      <c r="I205" s="1244"/>
      <c r="J205" s="1244"/>
      <c r="K205" s="1244"/>
      <c r="L205" s="1244"/>
      <c r="M205" s="1244"/>
      <c r="N205" s="1244"/>
      <c r="O205" s="1244"/>
      <c r="P205" s="1244"/>
      <c r="Q205" s="1244"/>
      <c r="R205" s="1244"/>
      <c r="S205" s="1244"/>
      <c r="T205" s="1244"/>
      <c r="U205" s="1244"/>
    </row>
    <row r="206" spans="1:21" ht="15.75" thickBot="1" x14ac:dyDescent="0.3">
      <c r="A206" s="657"/>
      <c r="B206" s="1244"/>
      <c r="C206" s="1244"/>
      <c r="D206" s="1244"/>
      <c r="E206" s="1244"/>
      <c r="F206" s="1244"/>
      <c r="G206" s="1280"/>
      <c r="H206" s="1244"/>
      <c r="I206" s="1244"/>
      <c r="J206" s="1244"/>
      <c r="K206" s="1244"/>
      <c r="L206" s="1244"/>
      <c r="M206" s="1244"/>
      <c r="N206" s="1244"/>
      <c r="O206" s="1244"/>
      <c r="P206" s="1244"/>
      <c r="Q206" s="1244"/>
      <c r="R206" s="1244"/>
      <c r="S206" s="1244"/>
      <c r="T206" s="1244"/>
      <c r="U206" s="1244"/>
    </row>
    <row r="207" spans="1:21" ht="20.25" customHeight="1" thickBot="1" x14ac:dyDescent="0.3">
      <c r="A207" s="657"/>
      <c r="B207" s="1520" t="s">
        <v>1648</v>
      </c>
      <c r="C207" s="1521"/>
      <c r="D207" s="1521"/>
      <c r="E207" s="1521"/>
      <c r="F207" s="1521"/>
      <c r="G207" s="1521"/>
      <c r="H207" s="1521"/>
      <c r="I207" s="1521"/>
      <c r="J207" s="1521"/>
      <c r="K207" s="1521"/>
      <c r="L207" s="1521"/>
      <c r="M207" s="1521"/>
      <c r="N207" s="1521"/>
      <c r="O207" s="1521"/>
      <c r="P207" s="1521"/>
      <c r="Q207" s="1521"/>
      <c r="R207" s="1521"/>
      <c r="S207" s="1521"/>
      <c r="T207" s="1521"/>
      <c r="U207" s="1519"/>
    </row>
    <row r="208" spans="1:21" ht="15.75" thickBot="1" x14ac:dyDescent="0.3">
      <c r="A208" s="657"/>
      <c r="B208" s="1244"/>
      <c r="C208" s="1244"/>
      <c r="D208" s="1244"/>
      <c r="E208" s="1244"/>
      <c r="F208" s="1244"/>
      <c r="G208" s="1280"/>
      <c r="H208" s="1244"/>
      <c r="I208" s="1244"/>
      <c r="J208" s="1244"/>
      <c r="K208" s="1244"/>
      <c r="L208" s="1244"/>
      <c r="M208" s="1244"/>
      <c r="N208" s="1244"/>
      <c r="O208" s="1244"/>
      <c r="P208" s="1244"/>
      <c r="Q208" s="1244"/>
      <c r="R208" s="1244"/>
      <c r="S208" s="1244"/>
      <c r="T208" s="1244"/>
      <c r="U208" s="1244"/>
    </row>
    <row r="209" spans="1:21" ht="30.75" thickBot="1" x14ac:dyDescent="0.3">
      <c r="A209" s="496"/>
      <c r="B209" s="1244"/>
      <c r="C209" s="1237" t="s">
        <v>1491</v>
      </c>
      <c r="D209" s="1522" t="s">
        <v>1649</v>
      </c>
      <c r="E209" s="1523"/>
      <c r="F209" s="1244"/>
      <c r="G209" s="1280"/>
      <c r="H209" s="1240" t="s">
        <v>1488</v>
      </c>
      <c r="I209" s="1244"/>
      <c r="J209" s="1240" t="s">
        <v>1489</v>
      </c>
      <c r="K209" s="1244"/>
      <c r="L209" s="1240" t="s">
        <v>1505</v>
      </c>
      <c r="M209" s="1244"/>
      <c r="N209" s="1240" t="s">
        <v>1490</v>
      </c>
      <c r="O209" s="1244"/>
      <c r="P209" s="1240" t="s">
        <v>1598</v>
      </c>
      <c r="Q209" s="1244"/>
      <c r="R209" s="1240" t="s">
        <v>1599</v>
      </c>
      <c r="S209" s="1244"/>
      <c r="T209" s="1240" t="s">
        <v>1600</v>
      </c>
      <c r="U209" s="1244"/>
    </row>
    <row r="210" spans="1:21" ht="15.75" thickBot="1" x14ac:dyDescent="0.3">
      <c r="A210" s="657"/>
      <c r="B210" s="1244"/>
      <c r="C210" s="1232"/>
      <c r="D210" s="1232"/>
      <c r="E210" s="1232"/>
      <c r="F210" s="1244"/>
      <c r="G210" s="1280"/>
      <c r="H210" s="1175"/>
      <c r="I210" s="1244"/>
      <c r="J210" s="1230"/>
      <c r="K210" s="1244"/>
      <c r="L210" s="1230"/>
      <c r="M210" s="1244"/>
      <c r="N210" s="1278"/>
      <c r="O210" s="1244"/>
      <c r="P210" s="1176" t="s">
        <v>1601</v>
      </c>
      <c r="Q210" s="1244"/>
      <c r="R210" s="1176" t="s">
        <v>1602</v>
      </c>
      <c r="S210" s="1244"/>
      <c r="T210" s="1226" t="s">
        <v>653</v>
      </c>
      <c r="U210" s="1244"/>
    </row>
    <row r="211" spans="1:21" ht="30.75" thickBot="1" x14ac:dyDescent="0.3">
      <c r="A211" s="657"/>
      <c r="B211" s="1244"/>
      <c r="C211" s="1237" t="s">
        <v>1603</v>
      </c>
      <c r="D211" s="1518">
        <v>3601</v>
      </c>
      <c r="E211" s="1524"/>
      <c r="F211" s="1244"/>
      <c r="G211" s="1280"/>
      <c r="H211" s="1244"/>
      <c r="I211" s="1244"/>
      <c r="J211" s="1244"/>
      <c r="K211" s="1244"/>
      <c r="L211" s="1244"/>
      <c r="M211" s="1244"/>
      <c r="N211" s="1244"/>
      <c r="O211" s="1244"/>
      <c r="P211" s="1244"/>
      <c r="Q211" s="1244"/>
      <c r="R211" s="1244"/>
      <c r="S211" s="1244"/>
      <c r="T211" s="1244"/>
      <c r="U211" s="1244"/>
    </row>
    <row r="212" spans="1:21" ht="30.75" thickBot="1" x14ac:dyDescent="0.3">
      <c r="A212" s="657"/>
      <c r="B212" s="1244"/>
      <c r="C212" s="1232"/>
      <c r="D212" s="1232"/>
      <c r="E212" s="1232"/>
      <c r="F212" s="1244"/>
      <c r="G212" s="1280"/>
      <c r="H212" s="1241" t="s">
        <v>1495</v>
      </c>
      <c r="I212" s="1244"/>
      <c r="J212" s="1240" t="s">
        <v>1496</v>
      </c>
      <c r="K212" s="1244"/>
      <c r="L212" s="1240" t="s">
        <v>1497</v>
      </c>
      <c r="M212" s="1244"/>
      <c r="N212" s="1240" t="s">
        <v>1613</v>
      </c>
      <c r="O212" s="1244"/>
      <c r="P212" s="1240" t="s">
        <v>1614</v>
      </c>
      <c r="Q212" s="1244"/>
      <c r="R212" s="1240" t="s">
        <v>1615</v>
      </c>
      <c r="S212" s="1244"/>
      <c r="T212" s="1244"/>
      <c r="U212" s="1244"/>
    </row>
    <row r="213" spans="1:21" ht="15.75" thickBot="1" x14ac:dyDescent="0.3">
      <c r="A213" s="657"/>
      <c r="B213" s="1244"/>
      <c r="C213" s="1237" t="s">
        <v>1493</v>
      </c>
      <c r="D213" s="1525"/>
      <c r="E213" s="1524"/>
      <c r="F213" s="1244"/>
      <c r="G213" s="1280" t="s">
        <v>1048</v>
      </c>
      <c r="H213" s="1203"/>
      <c r="I213" s="1244"/>
      <c r="J213" s="1245"/>
      <c r="K213" s="1244"/>
      <c r="L213" s="1203"/>
      <c r="M213" s="1244"/>
      <c r="N213" s="1193" t="s">
        <v>482</v>
      </c>
      <c r="O213" s="1244"/>
      <c r="P213" s="1193" t="s">
        <v>1239</v>
      </c>
      <c r="Q213" s="1244"/>
      <c r="R213" s="1193" t="s">
        <v>1617</v>
      </c>
      <c r="S213" s="1244"/>
      <c r="T213" s="1244"/>
      <c r="U213" s="1244"/>
    </row>
    <row r="214" spans="1:21" ht="15.75" thickBot="1" x14ac:dyDescent="0.3">
      <c r="A214" s="657"/>
      <c r="B214" s="1244"/>
      <c r="C214" s="1232"/>
      <c r="D214" s="1232"/>
      <c r="E214" s="1232"/>
      <c r="F214" s="1244"/>
      <c r="G214" s="1280" t="s">
        <v>1498</v>
      </c>
      <c r="H214" s="1203"/>
      <c r="I214" s="1244"/>
      <c r="J214" s="1245"/>
      <c r="K214" s="1244"/>
      <c r="L214" s="1203"/>
      <c r="M214" s="1244"/>
      <c r="N214" s="1193" t="s">
        <v>482</v>
      </c>
      <c r="O214" s="1244"/>
      <c r="P214" s="1193" t="s">
        <v>1239</v>
      </c>
      <c r="Q214" s="1244"/>
      <c r="R214" s="1244"/>
      <c r="S214" s="1244"/>
      <c r="T214" s="1244"/>
      <c r="U214" s="1244"/>
    </row>
    <row r="215" spans="1:21" ht="15.75" thickBot="1" x14ac:dyDescent="0.3">
      <c r="A215" s="657"/>
      <c r="B215" s="1244"/>
      <c r="C215" s="1237" t="s">
        <v>1494</v>
      </c>
      <c r="D215" s="1525"/>
      <c r="E215" s="1524"/>
      <c r="F215" s="1244"/>
      <c r="G215" s="1280" t="s">
        <v>1499</v>
      </c>
      <c r="H215" s="1203"/>
      <c r="I215" s="1244"/>
      <c r="J215" s="1245"/>
      <c r="K215" s="1244"/>
      <c r="L215" s="1203"/>
      <c r="M215" s="1244"/>
      <c r="N215" s="1193" t="s">
        <v>482</v>
      </c>
      <c r="O215" s="1244"/>
      <c r="P215" s="1193" t="s">
        <v>1239</v>
      </c>
      <c r="Q215" s="1244"/>
      <c r="R215" s="1244"/>
      <c r="S215" s="1244"/>
      <c r="T215" s="1724" t="s">
        <v>1720</v>
      </c>
      <c r="U215" s="1244"/>
    </row>
    <row r="216" spans="1:21" x14ac:dyDescent="0.25">
      <c r="A216" s="657"/>
      <c r="B216" s="1244"/>
      <c r="C216" s="1232"/>
      <c r="D216" s="1232"/>
      <c r="E216" s="1232"/>
      <c r="F216" s="1244"/>
      <c r="G216" s="1280" t="s">
        <v>1501</v>
      </c>
      <c r="H216" s="1203"/>
      <c r="I216" s="1244"/>
      <c r="J216" s="1235"/>
      <c r="K216" s="1244"/>
      <c r="L216" s="1203"/>
      <c r="M216" s="1244"/>
      <c r="N216" s="1193" t="s">
        <v>482</v>
      </c>
      <c r="O216" s="1244"/>
      <c r="P216" s="1193" t="s">
        <v>1239</v>
      </c>
      <c r="Q216" s="1244"/>
      <c r="R216" s="1244"/>
      <c r="S216" s="1244"/>
      <c r="T216" s="1725" t="s">
        <v>651</v>
      </c>
      <c r="U216" s="1244"/>
    </row>
    <row r="217" spans="1:21" x14ac:dyDescent="0.25">
      <c r="A217" s="657"/>
      <c r="B217" s="1244"/>
      <c r="C217" s="1232"/>
      <c r="D217" s="1232"/>
      <c r="E217" s="1232"/>
      <c r="F217" s="1244"/>
      <c r="G217" s="1280" t="s">
        <v>1503</v>
      </c>
      <c r="H217" s="1203"/>
      <c r="I217" s="1244"/>
      <c r="J217" s="1235"/>
      <c r="K217" s="1244"/>
      <c r="L217" s="1203"/>
      <c r="M217" s="1244"/>
      <c r="N217" s="1193" t="s">
        <v>482</v>
      </c>
      <c r="O217" s="1244"/>
      <c r="P217" s="1193" t="s">
        <v>1239</v>
      </c>
      <c r="Q217" s="1244"/>
      <c r="R217" s="1244"/>
      <c r="S217" s="1244"/>
      <c r="T217" s="1244"/>
      <c r="U217" s="1244"/>
    </row>
    <row r="218" spans="1:21" ht="15.75" thickBot="1" x14ac:dyDescent="0.3">
      <c r="A218" s="657"/>
      <c r="B218" s="1244"/>
      <c r="C218" s="1232"/>
      <c r="D218" s="1232"/>
      <c r="E218" s="1232"/>
      <c r="F218" s="1244"/>
      <c r="G218" s="1280"/>
      <c r="H218" s="1244"/>
      <c r="I218" s="1244"/>
      <c r="J218" s="1244"/>
      <c r="K218" s="1244"/>
      <c r="L218" s="1244"/>
      <c r="M218" s="1244"/>
      <c r="N218" s="1244"/>
      <c r="O218" s="1244"/>
      <c r="P218" s="1244"/>
      <c r="Q218" s="1244"/>
      <c r="R218" s="1244"/>
      <c r="S218" s="1244"/>
      <c r="T218" s="1244"/>
      <c r="U218" s="1244"/>
    </row>
    <row r="219" spans="1:21" ht="30.75" thickBot="1" x14ac:dyDescent="0.3">
      <c r="A219" s="657"/>
      <c r="B219" s="1244"/>
      <c r="C219" s="1238" t="s">
        <v>1607</v>
      </c>
      <c r="D219" s="1508" t="s">
        <v>651</v>
      </c>
      <c r="E219" s="1509"/>
      <c r="F219" s="1244"/>
      <c r="G219" s="1280"/>
      <c r="H219" s="1239" t="s">
        <v>1604</v>
      </c>
      <c r="I219" s="1244"/>
      <c r="J219" s="1240" t="s">
        <v>1618</v>
      </c>
      <c r="K219" s="1244"/>
      <c r="L219" s="1240" t="s">
        <v>1605</v>
      </c>
      <c r="M219" s="1244"/>
      <c r="N219" s="1240" t="s">
        <v>1619</v>
      </c>
      <c r="O219" s="1244"/>
      <c r="P219" s="1240" t="s">
        <v>1620</v>
      </c>
      <c r="Q219" s="1244"/>
      <c r="R219" s="1244"/>
      <c r="S219" s="1244"/>
      <c r="T219" s="1244"/>
      <c r="U219" s="1244"/>
    </row>
    <row r="220" spans="1:21" ht="15.75" thickBot="1" x14ac:dyDescent="0.3">
      <c r="A220" s="657"/>
      <c r="B220" s="1244"/>
      <c r="C220" s="1232"/>
      <c r="D220" s="1232"/>
      <c r="E220" s="1232"/>
      <c r="F220" s="1244"/>
      <c r="G220" s="1280"/>
      <c r="H220" s="1226" t="s">
        <v>651</v>
      </c>
      <c r="I220" s="1244"/>
      <c r="J220" s="1176" t="s">
        <v>1606</v>
      </c>
      <c r="K220" s="1244"/>
      <c r="L220" s="1274" t="s">
        <v>1606</v>
      </c>
      <c r="M220" s="1244"/>
      <c r="N220" s="1193" t="s">
        <v>651</v>
      </c>
      <c r="O220" s="1244"/>
      <c r="P220" s="1193" t="s">
        <v>653</v>
      </c>
      <c r="Q220" s="1244"/>
      <c r="R220" s="1244"/>
      <c r="S220" s="1244"/>
      <c r="T220" s="1244"/>
      <c r="U220" s="1244"/>
    </row>
    <row r="221" spans="1:21" ht="15.75" thickBot="1" x14ac:dyDescent="0.3">
      <c r="A221" s="657"/>
      <c r="B221" s="1244"/>
      <c r="C221" s="1237" t="s">
        <v>1608</v>
      </c>
      <c r="D221" s="1518" t="s">
        <v>1643</v>
      </c>
      <c r="E221" s="1519"/>
      <c r="F221" s="1244"/>
      <c r="G221" s="1280"/>
      <c r="H221" s="1244"/>
      <c r="I221" s="1244"/>
      <c r="J221" s="1244"/>
      <c r="K221" s="1244"/>
      <c r="L221" s="1244"/>
      <c r="M221" s="1244"/>
      <c r="N221" s="1244"/>
      <c r="O221" s="1244"/>
      <c r="P221" s="1244"/>
      <c r="Q221" s="1244"/>
      <c r="R221" s="1244"/>
      <c r="S221" s="1244"/>
      <c r="T221" s="1244"/>
      <c r="U221" s="1244"/>
    </row>
    <row r="222" spans="1:21" ht="15.75" thickBot="1" x14ac:dyDescent="0.3">
      <c r="A222" s="657"/>
      <c r="B222" s="1244"/>
      <c r="C222" s="1244"/>
      <c r="D222" s="1244"/>
      <c r="E222" s="1244"/>
      <c r="F222" s="1244"/>
      <c r="G222" s="1280"/>
      <c r="H222" s="1244"/>
      <c r="I222" s="1244"/>
      <c r="J222" s="1244"/>
      <c r="K222" s="1244"/>
      <c r="L222" s="1244"/>
      <c r="M222" s="1244"/>
      <c r="N222" s="1244"/>
      <c r="O222" s="1244"/>
      <c r="P222" s="1244"/>
      <c r="Q222" s="1244"/>
      <c r="R222" s="1244"/>
      <c r="S222" s="1244"/>
      <c r="T222" s="1244"/>
      <c r="U222" s="1244"/>
    </row>
    <row r="223" spans="1:21" ht="20.25" customHeight="1" thickBot="1" x14ac:dyDescent="0.3">
      <c r="A223" s="657"/>
      <c r="B223" s="1520" t="s">
        <v>1650</v>
      </c>
      <c r="C223" s="1521"/>
      <c r="D223" s="1521"/>
      <c r="E223" s="1521"/>
      <c r="F223" s="1521"/>
      <c r="G223" s="1521"/>
      <c r="H223" s="1521"/>
      <c r="I223" s="1521"/>
      <c r="J223" s="1521"/>
      <c r="K223" s="1521"/>
      <c r="L223" s="1521"/>
      <c r="M223" s="1521"/>
      <c r="N223" s="1521"/>
      <c r="O223" s="1521"/>
      <c r="P223" s="1521"/>
      <c r="Q223" s="1521"/>
      <c r="R223" s="1521"/>
      <c r="S223" s="1521"/>
      <c r="T223" s="1521"/>
      <c r="U223" s="1519"/>
    </row>
    <row r="224" spans="1:21" ht="20.25" customHeight="1" thickBot="1" x14ac:dyDescent="0.3">
      <c r="A224" s="657"/>
      <c r="B224" s="1244"/>
      <c r="C224" s="1244"/>
      <c r="D224" s="1244"/>
      <c r="E224" s="1244"/>
      <c r="F224" s="1244"/>
      <c r="G224" s="1280"/>
      <c r="H224" s="1244"/>
      <c r="I224" s="1244"/>
      <c r="J224" s="1244"/>
      <c r="K224" s="1244"/>
      <c r="L224" s="1244"/>
      <c r="M224" s="1244"/>
      <c r="N224" s="1244"/>
      <c r="O224" s="1244"/>
      <c r="P224" s="1244"/>
      <c r="Q224" s="1244"/>
      <c r="R224" s="1244"/>
      <c r="S224" s="1244"/>
      <c r="T224" s="1244"/>
      <c r="U224" s="1244"/>
    </row>
    <row r="225" spans="1:21" ht="30" customHeight="1" thickBot="1" x14ac:dyDescent="0.3">
      <c r="A225" s="496"/>
      <c r="B225" s="1244"/>
      <c r="C225" s="1237" t="s">
        <v>1491</v>
      </c>
      <c r="D225" s="1522" t="s">
        <v>1649</v>
      </c>
      <c r="E225" s="1523"/>
      <c r="F225" s="1244"/>
      <c r="G225" s="1280"/>
      <c r="H225" s="1240" t="s">
        <v>1488</v>
      </c>
      <c r="I225" s="1244"/>
      <c r="J225" s="1240" t="s">
        <v>1489</v>
      </c>
      <c r="K225" s="1244"/>
      <c r="L225" s="1240" t="s">
        <v>1505</v>
      </c>
      <c r="M225" s="1244"/>
      <c r="N225" s="1240" t="s">
        <v>1490</v>
      </c>
      <c r="O225" s="1244"/>
      <c r="P225" s="1240" t="s">
        <v>1598</v>
      </c>
      <c r="Q225" s="1244"/>
      <c r="R225" s="1240" t="s">
        <v>1599</v>
      </c>
      <c r="S225" s="1244"/>
      <c r="T225" s="1240" t="s">
        <v>1600</v>
      </c>
      <c r="U225" s="1244"/>
    </row>
    <row r="226" spans="1:21" ht="18" customHeight="1" thickBot="1" x14ac:dyDescent="0.3">
      <c r="A226" s="657"/>
      <c r="B226" s="1244"/>
      <c r="C226" s="1232"/>
      <c r="D226" s="1232"/>
      <c r="E226" s="1232"/>
      <c r="F226" s="1244"/>
      <c r="G226" s="1280"/>
      <c r="H226" s="1175"/>
      <c r="I226" s="1244"/>
      <c r="J226" s="1230"/>
      <c r="K226" s="1244"/>
      <c r="L226" s="1230"/>
      <c r="M226" s="1244"/>
      <c r="N226" s="1278"/>
      <c r="O226" s="1244"/>
      <c r="P226" s="1176" t="s">
        <v>1601</v>
      </c>
      <c r="Q226" s="1244"/>
      <c r="R226" s="1176" t="s">
        <v>1602</v>
      </c>
      <c r="S226" s="1244"/>
      <c r="T226" s="1226" t="s">
        <v>653</v>
      </c>
      <c r="U226" s="1244"/>
    </row>
    <row r="227" spans="1:21" ht="30" customHeight="1" thickBot="1" x14ac:dyDescent="0.3">
      <c r="A227" s="657"/>
      <c r="B227" s="1244"/>
      <c r="C227" s="1237" t="s">
        <v>1603</v>
      </c>
      <c r="D227" s="1518">
        <v>3602</v>
      </c>
      <c r="E227" s="1524"/>
      <c r="F227" s="1244"/>
      <c r="G227" s="1280"/>
      <c r="H227" s="1244"/>
      <c r="I227" s="1244"/>
      <c r="J227" s="1244"/>
      <c r="K227" s="1244"/>
      <c r="L227" s="1244"/>
      <c r="M227" s="1244"/>
      <c r="N227" s="1244"/>
      <c r="O227" s="1244"/>
      <c r="P227" s="1244"/>
      <c r="Q227" s="1244"/>
      <c r="R227" s="1244"/>
      <c r="S227" s="1244"/>
      <c r="T227" s="1244"/>
      <c r="U227" s="1244"/>
    </row>
    <row r="228" spans="1:21" ht="30" customHeight="1" thickBot="1" x14ac:dyDescent="0.3">
      <c r="A228" s="657"/>
      <c r="B228" s="1244"/>
      <c r="C228" s="1232"/>
      <c r="D228" s="1232"/>
      <c r="E228" s="1232"/>
      <c r="F228" s="1244"/>
      <c r="G228" s="1280"/>
      <c r="H228" s="1241" t="s">
        <v>1495</v>
      </c>
      <c r="I228" s="1244"/>
      <c r="J228" s="1240" t="s">
        <v>1496</v>
      </c>
      <c r="K228" s="1244"/>
      <c r="L228" s="1240" t="s">
        <v>1497</v>
      </c>
      <c r="M228" s="1244"/>
      <c r="N228" s="1240" t="s">
        <v>1613</v>
      </c>
      <c r="O228" s="1244"/>
      <c r="P228" s="1240" t="s">
        <v>1614</v>
      </c>
      <c r="Q228" s="1244"/>
      <c r="R228" s="1240" t="s">
        <v>1615</v>
      </c>
      <c r="S228" s="1244"/>
      <c r="T228" s="1244"/>
      <c r="U228" s="1244"/>
    </row>
    <row r="229" spans="1:21" ht="17.25" customHeight="1" thickBot="1" x14ac:dyDescent="0.3">
      <c r="A229" s="657"/>
      <c r="B229" s="1244"/>
      <c r="C229" s="1237" t="s">
        <v>1493</v>
      </c>
      <c r="D229" s="1525"/>
      <c r="E229" s="1524"/>
      <c r="F229" s="1244"/>
      <c r="G229" s="1280" t="s">
        <v>1048</v>
      </c>
      <c r="H229" s="1203"/>
      <c r="I229" s="1244"/>
      <c r="J229" s="1245"/>
      <c r="K229" s="1244"/>
      <c r="L229" s="1203"/>
      <c r="M229" s="1244"/>
      <c r="N229" s="1193" t="s">
        <v>482</v>
      </c>
      <c r="O229" s="1244"/>
      <c r="P229" s="1193" t="s">
        <v>1239</v>
      </c>
      <c r="Q229" s="1244"/>
      <c r="R229" s="1193" t="s">
        <v>1617</v>
      </c>
      <c r="S229" s="1244"/>
      <c r="T229" s="1244"/>
      <c r="U229" s="1244"/>
    </row>
    <row r="230" spans="1:21" ht="18" customHeight="1" thickBot="1" x14ac:dyDescent="0.3">
      <c r="A230" s="657"/>
      <c r="B230" s="1244"/>
      <c r="C230" s="1232"/>
      <c r="D230" s="1232"/>
      <c r="E230" s="1232"/>
      <c r="F230" s="1244"/>
      <c r="G230" s="1280" t="s">
        <v>1498</v>
      </c>
      <c r="H230" s="1203"/>
      <c r="I230" s="1244"/>
      <c r="J230" s="1245"/>
      <c r="K230" s="1244"/>
      <c r="L230" s="1203"/>
      <c r="M230" s="1244"/>
      <c r="N230" s="1193" t="s">
        <v>482</v>
      </c>
      <c r="O230" s="1244"/>
      <c r="P230" s="1193" t="s">
        <v>1239</v>
      </c>
      <c r="Q230" s="1244"/>
      <c r="R230" s="1244"/>
      <c r="S230" s="1244"/>
      <c r="T230" s="1244"/>
      <c r="U230" s="1244"/>
    </row>
    <row r="231" spans="1:21" ht="18" customHeight="1" thickBot="1" x14ac:dyDescent="0.3">
      <c r="A231" s="657"/>
      <c r="B231" s="1244"/>
      <c r="C231" s="1237" t="s">
        <v>1494</v>
      </c>
      <c r="D231" s="1525"/>
      <c r="E231" s="1524"/>
      <c r="F231" s="1244"/>
      <c r="G231" s="1280" t="s">
        <v>1499</v>
      </c>
      <c r="H231" s="1203"/>
      <c r="I231" s="1244"/>
      <c r="J231" s="1245"/>
      <c r="K231" s="1244"/>
      <c r="L231" s="1203"/>
      <c r="M231" s="1244"/>
      <c r="N231" s="1193" t="s">
        <v>482</v>
      </c>
      <c r="O231" s="1244"/>
      <c r="P231" s="1193" t="s">
        <v>1239</v>
      </c>
      <c r="Q231" s="1244"/>
      <c r="R231" s="1244"/>
      <c r="S231" s="1244"/>
      <c r="T231" s="1724" t="s">
        <v>1720</v>
      </c>
      <c r="U231" s="1244"/>
    </row>
    <row r="232" spans="1:21" ht="18" customHeight="1" x14ac:dyDescent="0.25">
      <c r="A232" s="657"/>
      <c r="B232" s="1244"/>
      <c r="C232" s="1232"/>
      <c r="D232" s="1232"/>
      <c r="E232" s="1232"/>
      <c r="F232" s="1244"/>
      <c r="G232" s="1280" t="s">
        <v>1501</v>
      </c>
      <c r="H232" s="1203"/>
      <c r="I232" s="1244"/>
      <c r="J232" s="1235"/>
      <c r="K232" s="1244"/>
      <c r="L232" s="1203"/>
      <c r="M232" s="1244"/>
      <c r="N232" s="1193" t="s">
        <v>482</v>
      </c>
      <c r="O232" s="1244"/>
      <c r="P232" s="1193" t="s">
        <v>1239</v>
      </c>
      <c r="Q232" s="1244"/>
      <c r="R232" s="1244"/>
      <c r="S232" s="1244"/>
      <c r="T232" s="1725" t="s">
        <v>651</v>
      </c>
      <c r="U232" s="1244"/>
    </row>
    <row r="233" spans="1:21" ht="18" customHeight="1" x14ac:dyDescent="0.25">
      <c r="A233" s="657"/>
      <c r="B233" s="1244"/>
      <c r="C233" s="1232"/>
      <c r="D233" s="1232"/>
      <c r="E233" s="1232"/>
      <c r="F233" s="1244"/>
      <c r="G233" s="1280" t="s">
        <v>1503</v>
      </c>
      <c r="H233" s="1203"/>
      <c r="I233" s="1244"/>
      <c r="J233" s="1235"/>
      <c r="K233" s="1244"/>
      <c r="L233" s="1203"/>
      <c r="M233" s="1244"/>
      <c r="N233" s="1193" t="s">
        <v>482</v>
      </c>
      <c r="O233" s="1244"/>
      <c r="P233" s="1193" t="s">
        <v>1239</v>
      </c>
      <c r="Q233" s="1244"/>
      <c r="R233" s="1244"/>
      <c r="S233" s="1244"/>
      <c r="T233" s="1244"/>
      <c r="U233" s="1244"/>
    </row>
    <row r="234" spans="1:21" ht="18" customHeight="1" thickBot="1" x14ac:dyDescent="0.3">
      <c r="A234" s="657"/>
      <c r="B234" s="1244"/>
      <c r="C234" s="1232"/>
      <c r="D234" s="1232"/>
      <c r="E234" s="1232"/>
      <c r="F234" s="1244"/>
      <c r="G234" s="1280"/>
      <c r="H234" s="1244"/>
      <c r="I234" s="1244"/>
      <c r="J234" s="1244"/>
      <c r="K234" s="1244"/>
      <c r="L234" s="1244"/>
      <c r="M234" s="1244"/>
      <c r="N234" s="1244"/>
      <c r="O234" s="1244"/>
      <c r="P234" s="1244"/>
      <c r="Q234" s="1244"/>
      <c r="R234" s="1244"/>
      <c r="S234" s="1244"/>
      <c r="T234" s="1244"/>
      <c r="U234" s="1244"/>
    </row>
    <row r="235" spans="1:21" ht="30" customHeight="1" thickBot="1" x14ac:dyDescent="0.3">
      <c r="A235" s="657"/>
      <c r="B235" s="1244"/>
      <c r="C235" s="1238" t="s">
        <v>1607</v>
      </c>
      <c r="D235" s="1508" t="s">
        <v>651</v>
      </c>
      <c r="E235" s="1509"/>
      <c r="F235" s="1244"/>
      <c r="G235" s="1280"/>
      <c r="H235" s="1239" t="s">
        <v>1604</v>
      </c>
      <c r="I235" s="1244"/>
      <c r="J235" s="1240" t="s">
        <v>1618</v>
      </c>
      <c r="K235" s="1244"/>
      <c r="L235" s="1240" t="s">
        <v>1605</v>
      </c>
      <c r="M235" s="1244"/>
      <c r="N235" s="1240" t="s">
        <v>1619</v>
      </c>
      <c r="O235" s="1244"/>
      <c r="P235" s="1240" t="s">
        <v>1620</v>
      </c>
      <c r="Q235" s="1244"/>
      <c r="R235" s="1244"/>
      <c r="S235" s="1244"/>
      <c r="T235" s="1244"/>
      <c r="U235" s="1244"/>
    </row>
    <row r="236" spans="1:21" ht="18" customHeight="1" thickBot="1" x14ac:dyDescent="0.3">
      <c r="A236" s="657"/>
      <c r="B236" s="1244"/>
      <c r="C236" s="1232"/>
      <c r="D236" s="1232"/>
      <c r="E236" s="1232"/>
      <c r="F236" s="1244"/>
      <c r="G236" s="1280"/>
      <c r="H236" s="1226" t="s">
        <v>651</v>
      </c>
      <c r="I236" s="1244"/>
      <c r="J236" s="1176" t="s">
        <v>1606</v>
      </c>
      <c r="K236" s="1244"/>
      <c r="L236" s="1274" t="s">
        <v>1606</v>
      </c>
      <c r="M236" s="1244"/>
      <c r="N236" s="1193" t="s">
        <v>651</v>
      </c>
      <c r="O236" s="1244"/>
      <c r="P236" s="1193" t="s">
        <v>653</v>
      </c>
      <c r="Q236" s="1244"/>
      <c r="R236" s="1244"/>
      <c r="S236" s="1244"/>
      <c r="T236" s="1244"/>
      <c r="U236" s="1244"/>
    </row>
    <row r="237" spans="1:21" ht="18" customHeight="1" thickBot="1" x14ac:dyDescent="0.3">
      <c r="A237" s="657"/>
      <c r="B237" s="1244"/>
      <c r="C237" s="1237" t="s">
        <v>1608</v>
      </c>
      <c r="D237" s="1518" t="s">
        <v>1643</v>
      </c>
      <c r="E237" s="1519"/>
      <c r="F237" s="1244"/>
      <c r="G237" s="1280"/>
      <c r="H237" s="1244"/>
      <c r="I237" s="1244"/>
      <c r="J237" s="1244"/>
      <c r="K237" s="1244"/>
      <c r="L237" s="1244"/>
      <c r="M237" s="1244"/>
      <c r="N237" s="1244"/>
      <c r="O237" s="1244"/>
      <c r="P237" s="1244"/>
      <c r="Q237" s="1244"/>
      <c r="R237" s="1244"/>
      <c r="S237" s="1244"/>
      <c r="T237" s="1244"/>
      <c r="U237" s="1244"/>
    </row>
    <row r="238" spans="1:21" ht="18" customHeight="1" thickBot="1" x14ac:dyDescent="0.3">
      <c r="A238" s="657"/>
      <c r="B238" s="1244"/>
      <c r="C238" s="1244"/>
      <c r="D238" s="1244"/>
      <c r="E238" s="1244"/>
      <c r="F238" s="1244"/>
      <c r="G238" s="1280"/>
      <c r="H238" s="1244"/>
      <c r="I238" s="1244"/>
      <c r="J238" s="1244"/>
      <c r="K238" s="1244"/>
      <c r="L238" s="1244"/>
      <c r="M238" s="1244"/>
      <c r="N238" s="1244"/>
      <c r="O238" s="1244"/>
      <c r="P238" s="1244"/>
      <c r="Q238" s="1244"/>
      <c r="R238" s="1244"/>
      <c r="S238" s="1244"/>
      <c r="T238" s="1244"/>
      <c r="U238" s="1244"/>
    </row>
    <row r="239" spans="1:21" ht="20.25" customHeight="1" thickBot="1" x14ac:dyDescent="0.3">
      <c r="A239" s="1236"/>
      <c r="B239" s="1527" t="s">
        <v>1654</v>
      </c>
      <c r="C239" s="1528"/>
      <c r="D239" s="1528"/>
      <c r="E239" s="1528"/>
      <c r="F239" s="1528"/>
      <c r="G239" s="1528"/>
      <c r="H239" s="1528"/>
      <c r="I239" s="1528"/>
      <c r="J239" s="1528"/>
      <c r="K239" s="1528"/>
      <c r="L239" s="1528"/>
      <c r="M239" s="1528"/>
      <c r="N239" s="1528"/>
      <c r="O239" s="1528"/>
      <c r="P239" s="1528"/>
      <c r="Q239" s="1528"/>
      <c r="R239" s="1528"/>
      <c r="S239" s="1528"/>
      <c r="T239" s="1528"/>
      <c r="U239" s="1529"/>
    </row>
    <row r="240" spans="1:21" ht="20.25" customHeight="1" thickBot="1" x14ac:dyDescent="0.3">
      <c r="A240" s="1236"/>
      <c r="B240" s="1244"/>
      <c r="C240" s="1244"/>
      <c r="D240" s="1244"/>
      <c r="E240" s="1244"/>
      <c r="F240" s="1244"/>
      <c r="G240" s="1280"/>
      <c r="H240" s="1244"/>
      <c r="I240" s="1244"/>
      <c r="J240" s="1244"/>
      <c r="K240" s="1244"/>
      <c r="L240" s="1244"/>
      <c r="M240" s="1244"/>
      <c r="N240" s="1244"/>
      <c r="O240" s="1244"/>
      <c r="P240" s="1244"/>
      <c r="Q240" s="1244"/>
      <c r="R240" s="1244"/>
      <c r="S240" s="1244"/>
      <c r="T240" s="1244"/>
      <c r="U240" s="1244"/>
    </row>
    <row r="241" spans="1:21" ht="30" customHeight="1" thickBot="1" x14ac:dyDescent="0.3">
      <c r="A241" s="134"/>
      <c r="B241" s="1244"/>
      <c r="C241" s="1237" t="s">
        <v>1491</v>
      </c>
      <c r="D241" s="1522" t="s">
        <v>1651</v>
      </c>
      <c r="E241" s="1523"/>
      <c r="F241" s="1244"/>
      <c r="G241" s="1280"/>
      <c r="H241" s="1240" t="s">
        <v>1488</v>
      </c>
      <c r="I241" s="1244"/>
      <c r="J241" s="1240" t="s">
        <v>1489</v>
      </c>
      <c r="K241" s="1244"/>
      <c r="L241" s="1240" t="s">
        <v>1505</v>
      </c>
      <c r="M241" s="1244"/>
      <c r="N241" s="1240" t="s">
        <v>1490</v>
      </c>
      <c r="O241" s="1244"/>
      <c r="P241" s="1240" t="s">
        <v>1598</v>
      </c>
      <c r="Q241" s="1244"/>
      <c r="R241" s="1240" t="s">
        <v>1599</v>
      </c>
      <c r="S241" s="1244"/>
      <c r="T241" s="1240" t="s">
        <v>1600</v>
      </c>
      <c r="U241" s="1244"/>
    </row>
    <row r="242" spans="1:21" ht="18" customHeight="1" thickBot="1" x14ac:dyDescent="0.3">
      <c r="A242" s="1236"/>
      <c r="B242" s="1244"/>
      <c r="C242" s="1232"/>
      <c r="D242" s="1232"/>
      <c r="E242" s="1232"/>
      <c r="F242" s="1244"/>
      <c r="G242" s="1280"/>
      <c r="H242" s="1175"/>
      <c r="I242" s="1244"/>
      <c r="J242" s="1230"/>
      <c r="K242" s="1244"/>
      <c r="L242" s="1230"/>
      <c r="M242" s="1244"/>
      <c r="N242" s="1278"/>
      <c r="O242" s="1244"/>
      <c r="P242" s="1176" t="s">
        <v>1601</v>
      </c>
      <c r="Q242" s="1244"/>
      <c r="R242" s="1176" t="s">
        <v>1602</v>
      </c>
      <c r="S242" s="1244"/>
      <c r="T242" s="1226" t="s">
        <v>653</v>
      </c>
      <c r="U242" s="1244"/>
    </row>
    <row r="243" spans="1:21" ht="30" customHeight="1" thickBot="1" x14ac:dyDescent="0.3">
      <c r="A243" s="1236"/>
      <c r="B243" s="1244"/>
      <c r="C243" s="1237" t="s">
        <v>1603</v>
      </c>
      <c r="D243" s="1518">
        <v>1301</v>
      </c>
      <c r="E243" s="1524"/>
      <c r="F243" s="1244"/>
      <c r="G243" s="1280"/>
      <c r="H243" s="1244"/>
      <c r="I243" s="1244"/>
      <c r="J243" s="1244"/>
      <c r="K243" s="1244"/>
      <c r="L243" s="1244"/>
      <c r="M243" s="1244"/>
      <c r="N243" s="1244"/>
      <c r="O243" s="1244"/>
      <c r="P243" s="1244"/>
      <c r="Q243" s="1244"/>
      <c r="R243" s="1244"/>
      <c r="S243" s="1244"/>
      <c r="T243" s="1244"/>
      <c r="U243" s="1244"/>
    </row>
    <row r="244" spans="1:21" ht="30" customHeight="1" thickBot="1" x14ac:dyDescent="0.3">
      <c r="A244" s="1236"/>
      <c r="B244" s="1244"/>
      <c r="C244" s="1232"/>
      <c r="D244" s="1232"/>
      <c r="E244" s="1232"/>
      <c r="F244" s="1244"/>
      <c r="G244" s="1280"/>
      <c r="H244" s="1241" t="s">
        <v>1495</v>
      </c>
      <c r="I244" s="1244"/>
      <c r="J244" s="1240" t="s">
        <v>1496</v>
      </c>
      <c r="K244" s="1244"/>
      <c r="L244" s="1240" t="s">
        <v>1497</v>
      </c>
      <c r="M244" s="1244"/>
      <c r="N244" s="1240" t="s">
        <v>1613</v>
      </c>
      <c r="O244" s="1244"/>
      <c r="P244" s="1240" t="s">
        <v>1614</v>
      </c>
      <c r="Q244" s="1244"/>
      <c r="R244" s="1240" t="s">
        <v>1615</v>
      </c>
      <c r="S244" s="1244"/>
      <c r="T244" s="1244"/>
      <c r="U244" s="1244"/>
    </row>
    <row r="245" spans="1:21" ht="18" customHeight="1" thickBot="1" x14ac:dyDescent="0.3">
      <c r="A245" s="1236"/>
      <c r="B245" s="1244"/>
      <c r="C245" s="1237" t="s">
        <v>1493</v>
      </c>
      <c r="D245" s="1525"/>
      <c r="E245" s="1524"/>
      <c r="F245" s="1244"/>
      <c r="G245" s="1280" t="s">
        <v>1048</v>
      </c>
      <c r="H245" s="1203"/>
      <c r="I245" s="1244"/>
      <c r="J245" s="1234"/>
      <c r="K245" s="1244"/>
      <c r="L245" s="1203"/>
      <c r="M245" s="1244"/>
      <c r="N245" s="1193" t="s">
        <v>482</v>
      </c>
      <c r="O245" s="1244"/>
      <c r="P245" s="1193" t="s">
        <v>1616</v>
      </c>
      <c r="Q245" s="1244"/>
      <c r="R245" s="1193" t="s">
        <v>1617</v>
      </c>
      <c r="S245" s="1244"/>
      <c r="T245" s="1244"/>
      <c r="U245" s="1244"/>
    </row>
    <row r="246" spans="1:21" ht="18" customHeight="1" thickBot="1" x14ac:dyDescent="0.3">
      <c r="A246" s="1236"/>
      <c r="B246" s="1244"/>
      <c r="C246" s="1232"/>
      <c r="D246" s="1232"/>
      <c r="E246" s="1232"/>
      <c r="F246" s="1244"/>
      <c r="G246" s="1280"/>
      <c r="H246" s="1244"/>
      <c r="I246" s="1244"/>
      <c r="J246" s="1244"/>
      <c r="K246" s="1244"/>
      <c r="L246" s="1244"/>
      <c r="M246" s="1244"/>
      <c r="N246" s="1244"/>
      <c r="O246" s="1244"/>
      <c r="P246" s="1244"/>
      <c r="Q246" s="1244"/>
      <c r="R246" s="1244"/>
      <c r="S246" s="1244"/>
      <c r="T246" s="1244"/>
      <c r="U246" s="1244"/>
    </row>
    <row r="247" spans="1:21" ht="30" customHeight="1" thickBot="1" x14ac:dyDescent="0.3">
      <c r="A247" s="1236"/>
      <c r="B247" s="1244"/>
      <c r="C247" s="1237" t="s">
        <v>1494</v>
      </c>
      <c r="D247" s="1525"/>
      <c r="E247" s="1524"/>
      <c r="F247" s="1244"/>
      <c r="G247" s="1280"/>
      <c r="H247" s="1239" t="s">
        <v>1604</v>
      </c>
      <c r="I247" s="1244"/>
      <c r="J247" s="1240" t="s">
        <v>1618</v>
      </c>
      <c r="K247" s="1244"/>
      <c r="L247" s="1240" t="s">
        <v>1605</v>
      </c>
      <c r="M247" s="1244"/>
      <c r="N247" s="1240" t="s">
        <v>1619</v>
      </c>
      <c r="O247" s="1244"/>
      <c r="P247" s="1240" t="s">
        <v>1620</v>
      </c>
      <c r="Q247" s="1244"/>
      <c r="R247" s="1240" t="s">
        <v>1621</v>
      </c>
      <c r="S247" s="1244"/>
      <c r="T247" s="1724" t="s">
        <v>1720</v>
      </c>
      <c r="U247" s="1244"/>
    </row>
    <row r="248" spans="1:21" ht="18" customHeight="1" thickBot="1" x14ac:dyDescent="0.3">
      <c r="A248" s="1236"/>
      <c r="B248" s="1244"/>
      <c r="C248" s="1232"/>
      <c r="D248" s="1232"/>
      <c r="E248" s="1232"/>
      <c r="F248" s="1244"/>
      <c r="G248" s="1280"/>
      <c r="H248" s="1226" t="s">
        <v>651</v>
      </c>
      <c r="I248" s="1244"/>
      <c r="J248" s="1176" t="s">
        <v>1606</v>
      </c>
      <c r="K248" s="1244"/>
      <c r="L248" s="1193" t="s">
        <v>1606</v>
      </c>
      <c r="M248" s="1244"/>
      <c r="N248" s="1193" t="s">
        <v>653</v>
      </c>
      <c r="O248" s="1244"/>
      <c r="P248" s="1226" t="s">
        <v>651</v>
      </c>
      <c r="Q248" s="1244"/>
      <c r="R248" s="1193" t="s">
        <v>1622</v>
      </c>
      <c r="S248" s="1244"/>
      <c r="T248" s="1725" t="s">
        <v>651</v>
      </c>
      <c r="U248" s="1244"/>
    </row>
    <row r="249" spans="1:21" ht="30" customHeight="1" thickBot="1" x14ac:dyDescent="0.3">
      <c r="A249" s="1236"/>
      <c r="B249" s="1244"/>
      <c r="C249" s="1238" t="s">
        <v>1607</v>
      </c>
      <c r="D249" s="1508" t="s">
        <v>651</v>
      </c>
      <c r="E249" s="1509"/>
      <c r="F249" s="1244"/>
      <c r="G249" s="1280"/>
      <c r="H249" s="1244"/>
      <c r="I249" s="1244"/>
      <c r="J249" s="1244"/>
      <c r="K249" s="1244"/>
      <c r="L249" s="1244"/>
      <c r="M249" s="1244"/>
      <c r="N249" s="1244"/>
      <c r="O249" s="1244"/>
      <c r="P249" s="1244"/>
      <c r="Q249" s="1244"/>
      <c r="R249" s="1244"/>
      <c r="S249" s="1244"/>
      <c r="T249" s="1244"/>
      <c r="U249" s="1244"/>
    </row>
    <row r="250" spans="1:21" ht="18" customHeight="1" thickBot="1" x14ac:dyDescent="0.3">
      <c r="A250" s="1236"/>
      <c r="B250" s="1244"/>
      <c r="C250" s="1232"/>
      <c r="D250" s="1232"/>
      <c r="E250" s="1232"/>
      <c r="F250" s="1244"/>
      <c r="G250" s="1280"/>
      <c r="H250" s="1244"/>
      <c r="I250" s="1244"/>
      <c r="J250" s="1244"/>
      <c r="K250" s="1244"/>
      <c r="L250" s="1244"/>
      <c r="M250" s="1244"/>
      <c r="N250" s="1244"/>
      <c r="O250" s="1244"/>
      <c r="P250" s="1244"/>
      <c r="Q250" s="1244"/>
      <c r="R250" s="1244"/>
      <c r="S250" s="1244"/>
      <c r="T250" s="1244"/>
      <c r="U250" s="1244"/>
    </row>
    <row r="251" spans="1:21" ht="18" customHeight="1" thickBot="1" x14ac:dyDescent="0.3">
      <c r="A251" s="1236"/>
      <c r="B251" s="1244"/>
      <c r="C251" s="1237" t="s">
        <v>1608</v>
      </c>
      <c r="D251" s="1518" t="s">
        <v>1609</v>
      </c>
      <c r="E251" s="1519"/>
      <c r="F251" s="1244"/>
      <c r="G251" s="1280"/>
      <c r="H251" s="1244"/>
      <c r="I251" s="1244"/>
      <c r="J251" s="1244"/>
      <c r="K251" s="1244"/>
      <c r="L251" s="1244"/>
      <c r="M251" s="1244"/>
      <c r="N251" s="1244"/>
      <c r="O251" s="1244"/>
      <c r="P251" s="1244"/>
      <c r="Q251" s="1244"/>
      <c r="R251" s="1244"/>
      <c r="S251" s="1244"/>
      <c r="T251" s="1244"/>
      <c r="U251" s="1244"/>
    </row>
    <row r="252" spans="1:21" ht="20.25" customHeight="1" thickBot="1" x14ac:dyDescent="0.3">
      <c r="A252" s="1236"/>
      <c r="B252" s="1244"/>
      <c r="C252" s="1244"/>
      <c r="D252" s="1244"/>
      <c r="E252" s="1244"/>
      <c r="F252" s="1244"/>
      <c r="G252" s="1280"/>
      <c r="H252" s="1244"/>
      <c r="I252" s="1244"/>
      <c r="J252" s="1244"/>
      <c r="K252" s="1244"/>
      <c r="L252" s="1244"/>
      <c r="M252" s="1244"/>
      <c r="N252" s="1244"/>
      <c r="O252" s="1244"/>
      <c r="P252" s="1244"/>
      <c r="Q252" s="1244"/>
      <c r="R252" s="1244"/>
      <c r="S252" s="1244"/>
      <c r="T252" s="1244"/>
      <c r="U252" s="1244"/>
    </row>
    <row r="253" spans="1:21" ht="20.25" customHeight="1" thickBot="1" x14ac:dyDescent="0.3">
      <c r="A253" s="1287"/>
      <c r="B253" s="1520" t="s">
        <v>1655</v>
      </c>
      <c r="C253" s="1521"/>
      <c r="D253" s="1521"/>
      <c r="E253" s="1521"/>
      <c r="F253" s="1521"/>
      <c r="G253" s="1521"/>
      <c r="H253" s="1521"/>
      <c r="I253" s="1521"/>
      <c r="J253" s="1521"/>
      <c r="K253" s="1521"/>
      <c r="L253" s="1521"/>
      <c r="M253" s="1521"/>
      <c r="N253" s="1521"/>
      <c r="O253" s="1521"/>
      <c r="P253" s="1521"/>
      <c r="Q253" s="1521"/>
      <c r="R253" s="1521"/>
      <c r="S253" s="1521"/>
      <c r="T253" s="1521"/>
      <c r="U253" s="1519"/>
    </row>
    <row r="254" spans="1:21" ht="20.25" customHeight="1" thickBot="1" x14ac:dyDescent="0.3">
      <c r="A254" s="1287"/>
      <c r="B254" s="1244"/>
      <c r="C254" s="1244"/>
      <c r="D254" s="1244"/>
      <c r="E254" s="1244"/>
      <c r="F254" s="1244"/>
      <c r="G254" s="1244"/>
      <c r="H254" s="1244"/>
      <c r="I254" s="1244"/>
      <c r="J254" s="1244"/>
      <c r="K254" s="1244"/>
      <c r="L254" s="1244"/>
      <c r="M254" s="1244"/>
      <c r="N254" s="1244"/>
      <c r="O254" s="1244"/>
      <c r="P254" s="1244"/>
      <c r="Q254" s="1244"/>
      <c r="R254" s="1244"/>
      <c r="S254" s="1244"/>
      <c r="T254" s="1244"/>
      <c r="U254" s="1244"/>
    </row>
    <row r="255" spans="1:21" ht="30" customHeight="1" thickBot="1" x14ac:dyDescent="0.3">
      <c r="A255" s="134"/>
      <c r="B255" s="1244"/>
      <c r="C255" s="1237" t="s">
        <v>1491</v>
      </c>
      <c r="D255" s="1522" t="s">
        <v>1652</v>
      </c>
      <c r="E255" s="1523"/>
      <c r="F255" s="1244"/>
      <c r="G255" s="1244"/>
      <c r="H255" s="1240" t="s">
        <v>1488</v>
      </c>
      <c r="I255" s="1244"/>
      <c r="J255" s="1240" t="s">
        <v>1489</v>
      </c>
      <c r="K255" s="1244"/>
      <c r="L255" s="1240" t="s">
        <v>1505</v>
      </c>
      <c r="M255" s="1244"/>
      <c r="N255" s="1240" t="s">
        <v>1490</v>
      </c>
      <c r="O255" s="1244"/>
      <c r="P255" s="1240" t="s">
        <v>1598</v>
      </c>
      <c r="Q255" s="1244"/>
      <c r="R255" s="1240" t="s">
        <v>1599</v>
      </c>
      <c r="S255" s="1244"/>
      <c r="T255" s="1240" t="s">
        <v>1600</v>
      </c>
      <c r="U255" s="1244"/>
    </row>
    <row r="256" spans="1:21" ht="18" customHeight="1" thickBot="1" x14ac:dyDescent="0.3">
      <c r="A256" s="1287"/>
      <c r="B256" s="1244"/>
      <c r="C256" s="1232"/>
      <c r="D256" s="1232"/>
      <c r="E256" s="1232"/>
      <c r="F256" s="1244"/>
      <c r="G256" s="1244"/>
      <c r="H256" s="1175"/>
      <c r="I256" s="1244"/>
      <c r="J256" s="1230"/>
      <c r="K256" s="1244"/>
      <c r="L256" s="1230"/>
      <c r="M256" s="1244"/>
      <c r="N256" s="1278"/>
      <c r="O256" s="1244"/>
      <c r="P256" s="1176" t="s">
        <v>1601</v>
      </c>
      <c r="Q256" s="1244"/>
      <c r="R256" s="1176" t="s">
        <v>1602</v>
      </c>
      <c r="S256" s="1244"/>
      <c r="T256" s="1226" t="s">
        <v>653</v>
      </c>
      <c r="U256" s="1244"/>
    </row>
    <row r="257" spans="1:21" ht="30" customHeight="1" thickBot="1" x14ac:dyDescent="0.3">
      <c r="A257" s="1287"/>
      <c r="B257" s="1244"/>
      <c r="C257" s="1237" t="s">
        <v>1603</v>
      </c>
      <c r="D257" s="1518">
        <v>4001</v>
      </c>
      <c r="E257" s="1524"/>
      <c r="F257" s="1244"/>
      <c r="G257" s="1244"/>
      <c r="H257" s="1244"/>
      <c r="I257" s="1244"/>
      <c r="J257" s="1244"/>
      <c r="K257" s="1244"/>
      <c r="L257" s="1244"/>
      <c r="M257" s="1244"/>
      <c r="N257" s="1244"/>
      <c r="O257" s="1244"/>
      <c r="P257" s="1244"/>
      <c r="Q257" s="1244"/>
      <c r="R257" s="1244"/>
      <c r="S257" s="1244"/>
      <c r="T257" s="1244"/>
      <c r="U257" s="1244"/>
    </row>
    <row r="258" spans="1:21" ht="30" customHeight="1" thickBot="1" x14ac:dyDescent="0.3">
      <c r="A258" s="1287"/>
      <c r="B258" s="1244"/>
      <c r="C258" s="1232"/>
      <c r="D258" s="1232"/>
      <c r="E258" s="1232"/>
      <c r="F258" s="1244"/>
      <c r="G258" s="1244"/>
      <c r="H258" s="1241" t="s">
        <v>1495</v>
      </c>
      <c r="I258" s="1244"/>
      <c r="J258" s="1240" t="s">
        <v>1496</v>
      </c>
      <c r="K258" s="1244"/>
      <c r="L258" s="1240" t="s">
        <v>1497</v>
      </c>
      <c r="M258" s="1244"/>
      <c r="N258" s="1240" t="s">
        <v>1613</v>
      </c>
      <c r="O258" s="1244"/>
      <c r="P258" s="1240" t="s">
        <v>1614</v>
      </c>
      <c r="Q258" s="1244"/>
      <c r="R258" s="1240" t="s">
        <v>1615</v>
      </c>
      <c r="S258" s="1244"/>
      <c r="T258" s="1244"/>
      <c r="U258" s="1244"/>
    </row>
    <row r="259" spans="1:21" ht="18" customHeight="1" thickBot="1" x14ac:dyDescent="0.3">
      <c r="A259" s="1287"/>
      <c r="B259" s="1244"/>
      <c r="C259" s="1237" t="s">
        <v>1493</v>
      </c>
      <c r="D259" s="1525"/>
      <c r="E259" s="1524"/>
      <c r="F259" s="1244"/>
      <c r="G259" s="1280" t="s">
        <v>1048</v>
      </c>
      <c r="H259" s="1203"/>
      <c r="I259" s="1244"/>
      <c r="J259" s="1245"/>
      <c r="K259" s="1244"/>
      <c r="L259" s="1203"/>
      <c r="M259" s="1244"/>
      <c r="N259" s="1274" t="s">
        <v>482</v>
      </c>
      <c r="O259" s="1244"/>
      <c r="P259" s="1274" t="s">
        <v>1239</v>
      </c>
      <c r="Q259" s="1244"/>
      <c r="R259" s="1274" t="s">
        <v>1617</v>
      </c>
      <c r="S259" s="1244"/>
      <c r="T259" s="1244"/>
      <c r="U259" s="1244"/>
    </row>
    <row r="260" spans="1:21" ht="18" customHeight="1" thickBot="1" x14ac:dyDescent="0.3">
      <c r="A260" s="1287"/>
      <c r="B260" s="1244"/>
      <c r="C260" s="1232"/>
      <c r="D260" s="1232"/>
      <c r="E260" s="1232"/>
      <c r="F260" s="1244"/>
      <c r="G260" s="1244"/>
      <c r="H260" s="1244"/>
      <c r="I260" s="1244"/>
      <c r="J260" s="1244"/>
      <c r="K260" s="1244"/>
      <c r="L260" s="1244"/>
      <c r="M260" s="1244"/>
      <c r="N260" s="1244"/>
      <c r="O260" s="1244"/>
      <c r="P260" s="1244"/>
      <c r="Q260" s="1244"/>
      <c r="R260" s="1244"/>
      <c r="S260" s="1244"/>
      <c r="T260" s="1244"/>
      <c r="U260" s="1244"/>
    </row>
    <row r="261" spans="1:21" ht="30.75" thickBot="1" x14ac:dyDescent="0.3">
      <c r="A261" s="1287"/>
      <c r="B261" s="1244"/>
      <c r="C261" s="1237" t="s">
        <v>1494</v>
      </c>
      <c r="D261" s="1525"/>
      <c r="E261" s="1524"/>
      <c r="F261" s="1244"/>
      <c r="G261" s="1244"/>
      <c r="H261" s="1239" t="s">
        <v>1604</v>
      </c>
      <c r="I261" s="1244"/>
      <c r="J261" s="1240" t="s">
        <v>1618</v>
      </c>
      <c r="K261" s="1244"/>
      <c r="L261" s="1240" t="s">
        <v>1605</v>
      </c>
      <c r="M261" s="1244"/>
      <c r="N261" s="1240" t="s">
        <v>1619</v>
      </c>
      <c r="O261" s="1244"/>
      <c r="P261" s="1240" t="s">
        <v>1620</v>
      </c>
      <c r="Q261" s="1244"/>
      <c r="R261" s="1244"/>
      <c r="S261" s="1244"/>
      <c r="T261" s="1240" t="s">
        <v>1720</v>
      </c>
      <c r="U261" s="1244"/>
    </row>
    <row r="262" spans="1:21" ht="18" customHeight="1" thickBot="1" x14ac:dyDescent="0.3">
      <c r="A262" s="1287"/>
      <c r="B262" s="1244"/>
      <c r="C262" s="1232"/>
      <c r="D262" s="1232"/>
      <c r="E262" s="1232"/>
      <c r="F262" s="1244"/>
      <c r="G262" s="1244"/>
      <c r="H262" s="1226" t="s">
        <v>651</v>
      </c>
      <c r="I262" s="1244"/>
      <c r="J262" s="1176" t="s">
        <v>1606</v>
      </c>
      <c r="K262" s="1244"/>
      <c r="L262" s="1274" t="s">
        <v>1606</v>
      </c>
      <c r="M262" s="1244"/>
      <c r="N262" s="1274" t="s">
        <v>653</v>
      </c>
      <c r="O262" s="1244"/>
      <c r="P262" s="1274" t="s">
        <v>653</v>
      </c>
      <c r="Q262" s="1244"/>
      <c r="R262" s="1244"/>
      <c r="S262" s="1244"/>
      <c r="T262" s="1274" t="s">
        <v>651</v>
      </c>
      <c r="U262" s="1244"/>
    </row>
    <row r="263" spans="1:21" ht="30" customHeight="1" thickBot="1" x14ac:dyDescent="0.3">
      <c r="A263" s="1287"/>
      <c r="B263" s="1244"/>
      <c r="C263" s="1238" t="s">
        <v>1607</v>
      </c>
      <c r="D263" s="1508" t="s">
        <v>651</v>
      </c>
      <c r="E263" s="1509"/>
      <c r="F263" s="1244"/>
      <c r="G263" s="1244"/>
      <c r="H263" s="1244"/>
      <c r="I263" s="1244"/>
      <c r="J263" s="1244"/>
      <c r="K263" s="1244"/>
      <c r="L263" s="1244"/>
      <c r="M263" s="1244"/>
      <c r="N263" s="1244"/>
      <c r="O263" s="1244"/>
      <c r="P263" s="1244"/>
      <c r="Q263" s="1244"/>
      <c r="R263" s="1244"/>
      <c r="S263" s="1244"/>
      <c r="T263" s="1244"/>
      <c r="U263" s="1244"/>
    </row>
    <row r="264" spans="1:21" ht="18" customHeight="1" thickBot="1" x14ac:dyDescent="0.3">
      <c r="A264" s="1287"/>
      <c r="B264" s="1244"/>
      <c r="C264" s="1232"/>
      <c r="D264" s="1232"/>
      <c r="E264" s="1232"/>
      <c r="F264" s="1244"/>
      <c r="G264" s="1244"/>
      <c r="H264" s="1244"/>
      <c r="I264" s="1244"/>
      <c r="J264" s="1244"/>
      <c r="K264" s="1244"/>
      <c r="L264" s="1244"/>
      <c r="M264" s="1244"/>
      <c r="N264" s="1244"/>
      <c r="O264" s="1244"/>
      <c r="P264" s="1244"/>
      <c r="Q264" s="1244"/>
      <c r="R264" s="1244"/>
      <c r="S264" s="1244"/>
      <c r="T264" s="1244"/>
      <c r="U264" s="1244"/>
    </row>
    <row r="265" spans="1:21" ht="18" customHeight="1" thickBot="1" x14ac:dyDescent="0.3">
      <c r="A265" s="1287"/>
      <c r="B265" s="1244"/>
      <c r="C265" s="1237" t="s">
        <v>1608</v>
      </c>
      <c r="D265" s="1518" t="s">
        <v>1609</v>
      </c>
      <c r="E265" s="1519"/>
      <c r="F265" s="1244"/>
      <c r="G265" s="1244"/>
      <c r="H265" s="1244"/>
      <c r="I265" s="1244"/>
      <c r="J265" s="1244"/>
      <c r="K265" s="1244"/>
      <c r="L265" s="1244"/>
      <c r="M265" s="1244"/>
      <c r="N265" s="1244"/>
      <c r="O265" s="1244"/>
      <c r="P265" s="1244"/>
      <c r="Q265" s="1244"/>
      <c r="R265" s="1244"/>
      <c r="S265" s="1244"/>
      <c r="T265" s="1244"/>
      <c r="U265" s="1244"/>
    </row>
    <row r="266" spans="1:21" ht="21" customHeight="1" thickBot="1" x14ac:dyDescent="0.3">
      <c r="A266" s="1287"/>
      <c r="B266" s="1244"/>
      <c r="C266" s="1244"/>
      <c r="D266" s="1244"/>
      <c r="E266" s="1244"/>
      <c r="F266" s="1244"/>
      <c r="G266" s="1244"/>
      <c r="H266" s="1244"/>
      <c r="I266" s="1244"/>
      <c r="J266" s="1244"/>
      <c r="K266" s="1244"/>
      <c r="L266" s="1244"/>
      <c r="M266" s="1244"/>
      <c r="N266" s="1244"/>
      <c r="O266" s="1244"/>
      <c r="P266" s="1244"/>
      <c r="Q266" s="1244"/>
      <c r="R266" s="1244"/>
      <c r="S266" s="1244"/>
      <c r="T266" s="1244"/>
      <c r="U266" s="1244"/>
    </row>
    <row r="267" spans="1:21" ht="20.25" customHeight="1" thickBot="1" x14ac:dyDescent="0.3">
      <c r="A267" s="1291"/>
      <c r="B267" s="1527" t="s">
        <v>1721</v>
      </c>
      <c r="C267" s="1528"/>
      <c r="D267" s="1528"/>
      <c r="E267" s="1528"/>
      <c r="F267" s="1528"/>
      <c r="G267" s="1528"/>
      <c r="H267" s="1528"/>
      <c r="I267" s="1528"/>
      <c r="J267" s="1528"/>
      <c r="K267" s="1528"/>
      <c r="L267" s="1528"/>
      <c r="M267" s="1528"/>
      <c r="N267" s="1528"/>
      <c r="O267" s="1528"/>
      <c r="P267" s="1528"/>
      <c r="Q267" s="1528"/>
      <c r="R267" s="1528"/>
      <c r="S267" s="1528"/>
      <c r="T267" s="1528"/>
      <c r="U267" s="1529"/>
    </row>
    <row r="268" spans="1:21" ht="15.75" thickBot="1" x14ac:dyDescent="0.3">
      <c r="A268" s="1291"/>
      <c r="B268" s="1292"/>
      <c r="C268" s="1292"/>
      <c r="D268" s="1292"/>
      <c r="E268" s="1292"/>
      <c r="F268" s="1292"/>
      <c r="G268" s="1292"/>
      <c r="H268" s="1292"/>
      <c r="I268" s="1292"/>
      <c r="J268" s="1292"/>
      <c r="K268" s="1292"/>
      <c r="L268" s="1292"/>
      <c r="M268" s="1292"/>
      <c r="N268" s="1292"/>
      <c r="O268" s="1292"/>
      <c r="P268" s="1292"/>
      <c r="Q268" s="1292"/>
      <c r="R268" s="1292"/>
      <c r="S268" s="1292"/>
      <c r="T268" s="1292"/>
      <c r="U268" s="1292"/>
    </row>
    <row r="269" spans="1:21" ht="30.75" thickBot="1" x14ac:dyDescent="0.3">
      <c r="A269" s="134"/>
      <c r="B269" s="1292"/>
      <c r="C269" s="1293" t="s">
        <v>1491</v>
      </c>
      <c r="D269" s="1531" t="s">
        <v>1722</v>
      </c>
      <c r="E269" s="1532"/>
      <c r="F269" s="1292"/>
      <c r="G269" s="1292"/>
      <c r="H269" s="194" t="s">
        <v>1488</v>
      </c>
      <c r="I269" s="1292"/>
      <c r="J269" s="194" t="s">
        <v>1489</v>
      </c>
      <c r="K269" s="1292"/>
      <c r="L269" s="194" t="s">
        <v>1505</v>
      </c>
      <c r="M269" s="1292"/>
      <c r="N269" s="194" t="s">
        <v>1490</v>
      </c>
      <c r="O269" s="1292"/>
      <c r="P269" s="1292"/>
      <c r="Q269" s="1292"/>
      <c r="R269" s="194" t="s">
        <v>1599</v>
      </c>
      <c r="S269" s="1292"/>
      <c r="T269" s="194" t="s">
        <v>1600</v>
      </c>
      <c r="U269" s="1292"/>
    </row>
    <row r="270" spans="1:21" ht="15.75" thickBot="1" x14ac:dyDescent="0.3">
      <c r="A270" s="1291"/>
      <c r="B270" s="1292"/>
      <c r="C270" s="1304"/>
      <c r="D270" s="1304"/>
      <c r="E270" s="1304"/>
      <c r="F270" s="1292"/>
      <c r="G270" s="1292"/>
      <c r="H270" s="1278" t="s">
        <v>1723</v>
      </c>
      <c r="I270" s="1292"/>
      <c r="J270" s="1230"/>
      <c r="K270" s="1292"/>
      <c r="L270" s="1230"/>
      <c r="M270" s="1292"/>
      <c r="N270" s="1278"/>
      <c r="O270" s="1292"/>
      <c r="P270" s="1292"/>
      <c r="Q270" s="1292"/>
      <c r="R270" s="1274" t="s">
        <v>1725</v>
      </c>
      <c r="S270" s="1292"/>
      <c r="T270" s="1274" t="s">
        <v>651</v>
      </c>
      <c r="U270" s="1292"/>
    </row>
    <row r="271" spans="1:21" ht="30.75" thickBot="1" x14ac:dyDescent="0.3">
      <c r="A271" s="1291"/>
      <c r="B271" s="1292"/>
      <c r="C271" s="1293" t="s">
        <v>1603</v>
      </c>
      <c r="D271" s="1530">
        <v>4601</v>
      </c>
      <c r="E271" s="1533"/>
      <c r="F271" s="1292"/>
      <c r="G271" s="1292"/>
      <c r="H271" s="1292"/>
      <c r="I271" s="1292"/>
      <c r="J271" s="1292"/>
      <c r="K271" s="1292"/>
      <c r="L271" s="1292"/>
      <c r="M271" s="1292"/>
      <c r="N271" s="1292"/>
      <c r="O271" s="1292"/>
      <c r="P271" s="1292"/>
      <c r="Q271" s="1292"/>
      <c r="R271" s="1292"/>
      <c r="S271" s="1292"/>
      <c r="T271" s="1292"/>
      <c r="U271" s="1292"/>
    </row>
    <row r="272" spans="1:21" ht="15.75" thickBot="1" x14ac:dyDescent="0.3">
      <c r="A272" s="1291"/>
      <c r="B272" s="1292"/>
      <c r="C272" s="1304"/>
      <c r="D272" s="1304"/>
      <c r="E272" s="1304"/>
      <c r="F272" s="1292"/>
      <c r="G272" s="1292"/>
      <c r="H272" s="229" t="s">
        <v>1504</v>
      </c>
      <c r="I272" s="1292"/>
      <c r="J272" s="1292"/>
      <c r="K272" s="1292"/>
      <c r="L272" s="1292"/>
      <c r="M272" s="1292"/>
      <c r="N272" s="1292"/>
      <c r="O272" s="1292"/>
      <c r="P272" s="1292"/>
      <c r="Q272" s="1292"/>
      <c r="R272" s="194" t="s">
        <v>1726</v>
      </c>
      <c r="S272" s="1292"/>
      <c r="T272" s="194" t="s">
        <v>1727</v>
      </c>
      <c r="U272" s="1292"/>
    </row>
    <row r="273" spans="1:21" ht="15.75" thickBot="1" x14ac:dyDescent="0.3">
      <c r="A273" s="1291"/>
      <c r="B273" s="1292"/>
      <c r="C273" s="1293" t="s">
        <v>1493</v>
      </c>
      <c r="D273" s="1534"/>
      <c r="E273" s="1533"/>
      <c r="F273" s="1292"/>
      <c r="G273" s="1292"/>
      <c r="H273" s="1203"/>
      <c r="I273" s="1292"/>
      <c r="J273" s="1292"/>
      <c r="K273" s="1292"/>
      <c r="L273" s="1292"/>
      <c r="M273" s="1292"/>
      <c r="N273" s="1292"/>
      <c r="O273" s="1292"/>
      <c r="P273" s="1292"/>
      <c r="Q273" s="1292"/>
      <c r="R273" s="1274" t="s">
        <v>1728</v>
      </c>
      <c r="S273" s="1292"/>
      <c r="T273" s="1274">
        <v>1</v>
      </c>
      <c r="U273" s="1292"/>
    </row>
    <row r="274" spans="1:21" ht="15.75" thickBot="1" x14ac:dyDescent="0.3">
      <c r="A274" s="1291"/>
      <c r="B274" s="1292"/>
      <c r="C274" s="1304"/>
      <c r="D274" s="1304"/>
      <c r="E274" s="1304"/>
      <c r="F274" s="1292"/>
      <c r="G274" s="1292"/>
      <c r="H274" s="1292"/>
      <c r="I274" s="1292"/>
      <c r="J274" s="1292"/>
      <c r="K274" s="1292"/>
      <c r="L274" s="1292"/>
      <c r="M274" s="1292"/>
      <c r="N274" s="1292"/>
      <c r="O274" s="1292"/>
      <c r="P274" s="1292"/>
      <c r="Q274" s="1292"/>
      <c r="R274" s="1292"/>
      <c r="S274" s="1292"/>
      <c r="T274" s="1292"/>
      <c r="U274" s="1292"/>
    </row>
    <row r="275" spans="1:21" ht="30.75" thickBot="1" x14ac:dyDescent="0.3">
      <c r="A275" s="1291"/>
      <c r="B275" s="1292"/>
      <c r="C275" s="1293" t="s">
        <v>1494</v>
      </c>
      <c r="D275" s="1534"/>
      <c r="E275" s="1533"/>
      <c r="F275" s="1292"/>
      <c r="G275" s="1292"/>
      <c r="H275" s="229" t="s">
        <v>1604</v>
      </c>
      <c r="I275" s="1292"/>
      <c r="J275" s="1292"/>
      <c r="K275" s="1292"/>
      <c r="L275" s="1292"/>
      <c r="M275" s="1292"/>
      <c r="N275" s="1292"/>
      <c r="O275" s="1292"/>
      <c r="P275" s="1292"/>
      <c r="Q275" s="1292"/>
      <c r="R275" s="1292"/>
      <c r="S275" s="1292"/>
      <c r="T275" s="194" t="s">
        <v>1720</v>
      </c>
      <c r="U275" s="1292"/>
    </row>
    <row r="276" spans="1:21" ht="15.75" thickBot="1" x14ac:dyDescent="0.3">
      <c r="A276" s="1291"/>
      <c r="B276" s="1292"/>
      <c r="C276" s="1304"/>
      <c r="D276" s="1304"/>
      <c r="E276" s="1304"/>
      <c r="F276" s="1292"/>
      <c r="G276" s="1292"/>
      <c r="H276" s="1226" t="s">
        <v>651</v>
      </c>
      <c r="I276" s="1292"/>
      <c r="J276" s="1292"/>
      <c r="K276" s="1292"/>
      <c r="L276" s="1292"/>
      <c r="M276" s="1292"/>
      <c r="N276" s="1292"/>
      <c r="O276" s="1292"/>
      <c r="P276" s="1292"/>
      <c r="Q276" s="1292"/>
      <c r="R276" s="1292"/>
      <c r="S276" s="1292"/>
      <c r="T276" s="1274" t="s">
        <v>653</v>
      </c>
      <c r="U276" s="1292"/>
    </row>
    <row r="277" spans="1:21" ht="30" customHeight="1" thickBot="1" x14ac:dyDescent="0.3">
      <c r="A277" s="1291"/>
      <c r="B277" s="1292"/>
      <c r="C277" s="1305" t="s">
        <v>1607</v>
      </c>
      <c r="D277" s="1508" t="s">
        <v>651</v>
      </c>
      <c r="E277" s="1509"/>
      <c r="F277" s="1292"/>
      <c r="G277" s="1292"/>
      <c r="H277" s="1292"/>
      <c r="I277" s="1292"/>
      <c r="J277" s="1292"/>
      <c r="K277" s="1292"/>
      <c r="L277" s="1292"/>
      <c r="M277" s="1292"/>
      <c r="N277" s="1292"/>
      <c r="O277" s="1292"/>
      <c r="P277" s="1292"/>
      <c r="Q277" s="1292"/>
      <c r="R277" s="1292"/>
      <c r="S277" s="1292"/>
      <c r="T277" s="1292"/>
      <c r="U277" s="1292"/>
    </row>
    <row r="278" spans="1:21" ht="15.75" thickBot="1" x14ac:dyDescent="0.3">
      <c r="A278" s="1291"/>
      <c r="B278" s="1292"/>
      <c r="C278" s="1304"/>
      <c r="D278" s="1304"/>
      <c r="E278" s="1304"/>
      <c r="F278" s="1292"/>
      <c r="G278" s="1292"/>
      <c r="H278" s="1292"/>
      <c r="I278" s="1292"/>
      <c r="J278" s="1292"/>
      <c r="K278" s="1292"/>
      <c r="L278" s="1292"/>
      <c r="M278" s="1292"/>
      <c r="N278" s="1292"/>
      <c r="O278" s="1292"/>
      <c r="P278" s="1292"/>
      <c r="Q278" s="1292"/>
      <c r="R278" s="1292"/>
      <c r="S278" s="1292"/>
      <c r="T278" s="1292"/>
      <c r="U278" s="1292"/>
    </row>
    <row r="279" spans="1:21" ht="15.75" thickBot="1" x14ac:dyDescent="0.3">
      <c r="A279" s="1291"/>
      <c r="B279" s="1292"/>
      <c r="C279" s="1293" t="s">
        <v>1608</v>
      </c>
      <c r="D279" s="1530" t="s">
        <v>1729</v>
      </c>
      <c r="E279" s="1529"/>
      <c r="F279" s="1292"/>
      <c r="G279" s="1292"/>
      <c r="H279" s="1292"/>
      <c r="I279" s="1292"/>
      <c r="J279" s="1292"/>
      <c r="K279" s="1292"/>
      <c r="L279" s="1292"/>
      <c r="M279" s="1292"/>
      <c r="N279" s="1292"/>
      <c r="O279" s="1292"/>
      <c r="P279" s="1292"/>
      <c r="Q279" s="1292"/>
      <c r="R279" s="1292"/>
      <c r="S279" s="1292"/>
      <c r="T279" s="1292"/>
      <c r="U279" s="1292"/>
    </row>
    <row r="280" spans="1:21" ht="20.25" customHeight="1" thickBot="1" x14ac:dyDescent="0.3">
      <c r="A280" s="1291"/>
      <c r="B280" s="1292"/>
      <c r="C280" s="1292"/>
      <c r="D280" s="1292"/>
      <c r="E280" s="1292"/>
      <c r="F280" s="1292"/>
      <c r="G280" s="1292"/>
      <c r="H280" s="1292"/>
      <c r="I280" s="1292"/>
      <c r="J280" s="1292"/>
      <c r="K280" s="1292"/>
      <c r="L280" s="1292"/>
      <c r="M280" s="1292"/>
      <c r="N280" s="1292"/>
      <c r="O280" s="1292"/>
      <c r="P280" s="1292"/>
      <c r="Q280" s="1292"/>
      <c r="R280" s="1292"/>
      <c r="S280" s="1292"/>
      <c r="T280" s="1292"/>
      <c r="U280" s="1292"/>
    </row>
    <row r="281" spans="1:21" ht="20.25" customHeight="1" thickBot="1" x14ac:dyDescent="0.3">
      <c r="A281" s="1291"/>
      <c r="B281" s="1527" t="s">
        <v>1721</v>
      </c>
      <c r="C281" s="1528"/>
      <c r="D281" s="1528"/>
      <c r="E281" s="1528"/>
      <c r="F281" s="1528"/>
      <c r="G281" s="1528"/>
      <c r="H281" s="1528"/>
      <c r="I281" s="1528"/>
      <c r="J281" s="1528"/>
      <c r="K281" s="1528"/>
      <c r="L281" s="1528"/>
      <c r="M281" s="1528"/>
      <c r="N281" s="1528"/>
      <c r="O281" s="1528"/>
      <c r="P281" s="1528"/>
      <c r="Q281" s="1528"/>
      <c r="R281" s="1528"/>
      <c r="S281" s="1528"/>
      <c r="T281" s="1528"/>
      <c r="U281" s="1529"/>
    </row>
    <row r="282" spans="1:21" ht="20.25" customHeight="1" thickBot="1" x14ac:dyDescent="0.3">
      <c r="A282" s="1291"/>
      <c r="B282" s="1292"/>
      <c r="C282" s="1292"/>
      <c r="D282" s="1292"/>
      <c r="E282" s="1292"/>
      <c r="F282" s="1292"/>
      <c r="G282" s="1292"/>
      <c r="H282" s="1292"/>
      <c r="I282" s="1292"/>
      <c r="J282" s="1292"/>
      <c r="K282" s="1292"/>
      <c r="L282" s="1292"/>
      <c r="M282" s="1292"/>
      <c r="N282" s="1292"/>
      <c r="O282" s="1292"/>
      <c r="P282" s="1292"/>
      <c r="Q282" s="1292"/>
      <c r="R282" s="1292"/>
      <c r="S282" s="1292"/>
      <c r="T282" s="1292"/>
      <c r="U282" s="1292"/>
    </row>
    <row r="283" spans="1:21" ht="30.75" thickBot="1" x14ac:dyDescent="0.3">
      <c r="A283" s="134"/>
      <c r="B283" s="1292"/>
      <c r="C283" s="1293" t="s">
        <v>1491</v>
      </c>
      <c r="D283" s="1531" t="s">
        <v>1722</v>
      </c>
      <c r="E283" s="1532"/>
      <c r="F283" s="1292"/>
      <c r="G283" s="1292"/>
      <c r="H283" s="194" t="s">
        <v>1488</v>
      </c>
      <c r="I283" s="1292"/>
      <c r="J283" s="194" t="s">
        <v>1489</v>
      </c>
      <c r="K283" s="1292"/>
      <c r="L283" s="194" t="s">
        <v>1505</v>
      </c>
      <c r="M283" s="1292"/>
      <c r="N283" s="194" t="s">
        <v>1490</v>
      </c>
      <c r="O283" s="1292"/>
      <c r="P283" s="1292"/>
      <c r="Q283" s="1292"/>
      <c r="R283" s="194" t="s">
        <v>1599</v>
      </c>
      <c r="S283" s="1292"/>
      <c r="T283" s="194" t="s">
        <v>1600</v>
      </c>
      <c r="U283" s="1292"/>
    </row>
    <row r="284" spans="1:21" ht="15.75" thickBot="1" x14ac:dyDescent="0.3">
      <c r="A284" s="1291"/>
      <c r="B284" s="1292"/>
      <c r="C284" s="1304"/>
      <c r="D284" s="1304"/>
      <c r="E284" s="1304"/>
      <c r="F284" s="1292"/>
      <c r="G284" s="1292"/>
      <c r="H284" s="1278" t="s">
        <v>1723</v>
      </c>
      <c r="I284" s="1292"/>
      <c r="J284" s="1230"/>
      <c r="K284" s="1292"/>
      <c r="L284" s="1230"/>
      <c r="M284" s="1292"/>
      <c r="N284" s="1278"/>
      <c r="O284" s="1292"/>
      <c r="P284" s="1292"/>
      <c r="Q284" s="1292"/>
      <c r="R284" s="1274" t="s">
        <v>1725</v>
      </c>
      <c r="S284" s="1292"/>
      <c r="T284" s="1274" t="s">
        <v>651</v>
      </c>
      <c r="U284" s="1292"/>
    </row>
    <row r="285" spans="1:21" ht="30.75" thickBot="1" x14ac:dyDescent="0.3">
      <c r="A285" s="1291"/>
      <c r="B285" s="1292"/>
      <c r="C285" s="1293" t="s">
        <v>1603</v>
      </c>
      <c r="D285" s="1530">
        <v>4602</v>
      </c>
      <c r="E285" s="1533"/>
      <c r="F285" s="1292"/>
      <c r="G285" s="1292"/>
      <c r="H285" s="1292"/>
      <c r="I285" s="1292"/>
      <c r="J285" s="1292"/>
      <c r="K285" s="1292"/>
      <c r="L285" s="1292"/>
      <c r="M285" s="1292"/>
      <c r="N285" s="1292"/>
      <c r="O285" s="1292"/>
      <c r="P285" s="1292"/>
      <c r="Q285" s="1292"/>
      <c r="R285" s="1292"/>
      <c r="S285" s="1292"/>
      <c r="T285" s="1292"/>
      <c r="U285" s="1292"/>
    </row>
    <row r="286" spans="1:21" ht="15.75" thickBot="1" x14ac:dyDescent="0.3">
      <c r="A286" s="1291"/>
      <c r="B286" s="1292"/>
      <c r="C286" s="1304"/>
      <c r="D286" s="1304"/>
      <c r="E286" s="1304"/>
      <c r="F286" s="1292"/>
      <c r="G286" s="1292"/>
      <c r="H286" s="229" t="s">
        <v>1504</v>
      </c>
      <c r="I286" s="1292"/>
      <c r="J286" s="1292"/>
      <c r="K286" s="1292"/>
      <c r="L286" s="1292"/>
      <c r="M286" s="1292"/>
      <c r="N286" s="1292"/>
      <c r="O286" s="1292"/>
      <c r="P286" s="1292"/>
      <c r="Q286" s="1292"/>
      <c r="R286" s="194" t="s">
        <v>1726</v>
      </c>
      <c r="S286" s="1292"/>
      <c r="T286" s="194" t="s">
        <v>1727</v>
      </c>
      <c r="U286" s="1292"/>
    </row>
    <row r="287" spans="1:21" ht="15.75" thickBot="1" x14ac:dyDescent="0.3">
      <c r="A287" s="1291"/>
      <c r="B287" s="1292"/>
      <c r="C287" s="1293" t="s">
        <v>1493</v>
      </c>
      <c r="D287" s="1534"/>
      <c r="E287" s="1533"/>
      <c r="F287" s="1292"/>
      <c r="G287" s="1292"/>
      <c r="H287" s="1203"/>
      <c r="I287" s="1292"/>
      <c r="J287" s="1292"/>
      <c r="K287" s="1292"/>
      <c r="L287" s="1292"/>
      <c r="M287" s="1292"/>
      <c r="N287" s="1292"/>
      <c r="O287" s="1292"/>
      <c r="P287" s="1292"/>
      <c r="Q287" s="1292"/>
      <c r="R287" s="1274" t="s">
        <v>1728</v>
      </c>
      <c r="S287" s="1292"/>
      <c r="T287" s="1274">
        <v>1</v>
      </c>
      <c r="U287" s="1292"/>
    </row>
    <row r="288" spans="1:21" ht="15.75" thickBot="1" x14ac:dyDescent="0.3">
      <c r="A288" s="1291"/>
      <c r="B288" s="1292"/>
      <c r="C288" s="1304"/>
      <c r="D288" s="1304"/>
      <c r="E288" s="1304"/>
      <c r="F288" s="1292"/>
      <c r="G288" s="1292"/>
      <c r="H288" s="1292"/>
      <c r="I288" s="1292"/>
      <c r="J288" s="1292"/>
      <c r="K288" s="1292"/>
      <c r="L288" s="1292"/>
      <c r="M288" s="1292"/>
      <c r="N288" s="1292"/>
      <c r="O288" s="1292"/>
      <c r="P288" s="1292"/>
      <c r="Q288" s="1292"/>
      <c r="R288" s="1292"/>
      <c r="S288" s="1292"/>
      <c r="T288" s="1292"/>
      <c r="U288" s="1292"/>
    </row>
    <row r="289" spans="1:21" ht="30.75" thickBot="1" x14ac:dyDescent="0.3">
      <c r="A289" s="1291"/>
      <c r="B289" s="1292"/>
      <c r="C289" s="1293" t="s">
        <v>1494</v>
      </c>
      <c r="D289" s="1534"/>
      <c r="E289" s="1533"/>
      <c r="F289" s="1292"/>
      <c r="G289" s="1292"/>
      <c r="H289" s="229" t="s">
        <v>1604</v>
      </c>
      <c r="I289" s="1292"/>
      <c r="J289" s="1292"/>
      <c r="K289" s="1292"/>
      <c r="L289" s="1292"/>
      <c r="M289" s="1292"/>
      <c r="N289" s="1292"/>
      <c r="O289" s="1292"/>
      <c r="P289" s="1292"/>
      <c r="Q289" s="1292"/>
      <c r="R289" s="1292"/>
      <c r="S289" s="1292"/>
      <c r="T289" s="194" t="s">
        <v>1720</v>
      </c>
      <c r="U289" s="1292"/>
    </row>
    <row r="290" spans="1:21" ht="15.75" thickBot="1" x14ac:dyDescent="0.3">
      <c r="A290" s="1291"/>
      <c r="B290" s="1292"/>
      <c r="C290" s="1304"/>
      <c r="D290" s="1304"/>
      <c r="E290" s="1304"/>
      <c r="F290" s="1292"/>
      <c r="G290" s="1292"/>
      <c r="H290" s="1226" t="s">
        <v>651</v>
      </c>
      <c r="I290" s="1292"/>
      <c r="J290" s="1292"/>
      <c r="K290" s="1292"/>
      <c r="L290" s="1292"/>
      <c r="M290" s="1292"/>
      <c r="N290" s="1292"/>
      <c r="O290" s="1292"/>
      <c r="P290" s="1292"/>
      <c r="Q290" s="1292"/>
      <c r="R290" s="1292"/>
      <c r="S290" s="1292"/>
      <c r="T290" s="1274" t="s">
        <v>653</v>
      </c>
      <c r="U290" s="1292"/>
    </row>
    <row r="291" spans="1:21" ht="30" customHeight="1" thickBot="1" x14ac:dyDescent="0.3">
      <c r="A291" s="1291"/>
      <c r="B291" s="1292"/>
      <c r="C291" s="1305" t="s">
        <v>1607</v>
      </c>
      <c r="D291" s="1508" t="s">
        <v>651</v>
      </c>
      <c r="E291" s="1509"/>
      <c r="F291" s="1292"/>
      <c r="G291" s="1292"/>
      <c r="H291" s="1292"/>
      <c r="I291" s="1292"/>
      <c r="J291" s="1292"/>
      <c r="K291" s="1292"/>
      <c r="L291" s="1292"/>
      <c r="M291" s="1292"/>
      <c r="N291" s="1292"/>
      <c r="O291" s="1292"/>
      <c r="P291" s="1292"/>
      <c r="Q291" s="1292"/>
      <c r="R291" s="1292"/>
      <c r="S291" s="1292"/>
      <c r="T291" s="1292"/>
      <c r="U291" s="1292"/>
    </row>
    <row r="292" spans="1:21" ht="15.75" thickBot="1" x14ac:dyDescent="0.3">
      <c r="A292" s="1291"/>
      <c r="B292" s="1292"/>
      <c r="C292" s="1304"/>
      <c r="D292" s="1304"/>
      <c r="E292" s="1304"/>
      <c r="F292" s="1292"/>
      <c r="G292" s="1292"/>
      <c r="H292" s="1292"/>
      <c r="I292" s="1292"/>
      <c r="J292" s="1292"/>
      <c r="K292" s="1292"/>
      <c r="L292" s="1292"/>
      <c r="M292" s="1292"/>
      <c r="N292" s="1292"/>
      <c r="O292" s="1292"/>
      <c r="P292" s="1292"/>
      <c r="Q292" s="1292"/>
      <c r="R292" s="1292"/>
      <c r="S292" s="1292"/>
      <c r="T292" s="1292"/>
      <c r="U292" s="1292"/>
    </row>
    <row r="293" spans="1:21" ht="15.75" thickBot="1" x14ac:dyDescent="0.3">
      <c r="A293" s="1291"/>
      <c r="B293" s="1292"/>
      <c r="C293" s="1293" t="s">
        <v>1608</v>
      </c>
      <c r="D293" s="1530" t="s">
        <v>1729</v>
      </c>
      <c r="E293" s="1529"/>
      <c r="F293" s="1292"/>
      <c r="G293" s="1292"/>
      <c r="H293" s="1292"/>
      <c r="I293" s="1292"/>
      <c r="J293" s="1292"/>
      <c r="K293" s="1292"/>
      <c r="L293" s="1292"/>
      <c r="M293" s="1292"/>
      <c r="N293" s="1292"/>
      <c r="O293" s="1292"/>
      <c r="P293" s="1292"/>
      <c r="Q293" s="1292"/>
      <c r="R293" s="1292"/>
      <c r="S293" s="1292"/>
      <c r="T293" s="1292"/>
      <c r="U293" s="1292"/>
    </row>
    <row r="294" spans="1:21" ht="15.75" thickBot="1" x14ac:dyDescent="0.3">
      <c r="A294" s="1291"/>
      <c r="B294" s="1292"/>
      <c r="C294" s="1292"/>
      <c r="D294" s="1292"/>
      <c r="E294" s="1292"/>
      <c r="F294" s="1292"/>
      <c r="G294" s="1292"/>
      <c r="H294" s="1292"/>
      <c r="I294" s="1292"/>
      <c r="J294" s="1292"/>
      <c r="K294" s="1292"/>
      <c r="L294" s="1292"/>
      <c r="M294" s="1292"/>
      <c r="N294" s="1292"/>
      <c r="O294" s="1292"/>
      <c r="P294" s="1292"/>
      <c r="Q294" s="1292"/>
      <c r="R294" s="1292"/>
      <c r="S294" s="1292"/>
      <c r="T294" s="1292"/>
      <c r="U294" s="1292"/>
    </row>
    <row r="295" spans="1:21" ht="20.25" customHeight="1" thickBot="1" x14ac:dyDescent="0.3">
      <c r="A295" s="1291"/>
      <c r="B295" s="1535" t="s">
        <v>1730</v>
      </c>
      <c r="C295" s="1536"/>
      <c r="D295" s="1536"/>
      <c r="E295" s="1536"/>
      <c r="F295" s="1536"/>
      <c r="G295" s="1536"/>
      <c r="H295" s="1536"/>
      <c r="I295" s="1536"/>
      <c r="J295" s="1536"/>
      <c r="K295" s="1536"/>
      <c r="L295" s="1536"/>
      <c r="M295" s="1536"/>
      <c r="N295" s="1536"/>
      <c r="O295" s="1536"/>
      <c r="P295" s="1536"/>
      <c r="Q295" s="1536"/>
      <c r="R295" s="1536"/>
      <c r="S295" s="1536"/>
      <c r="T295" s="1536"/>
      <c r="U295" s="1537"/>
    </row>
    <row r="296" spans="1:21" ht="15.75" thickBot="1" x14ac:dyDescent="0.3">
      <c r="A296" s="1291"/>
      <c r="B296" s="1292"/>
      <c r="C296" s="1292"/>
      <c r="D296" s="1292"/>
      <c r="E296" s="1292"/>
      <c r="F296" s="1292"/>
      <c r="G296" s="1292"/>
      <c r="H296" s="1292"/>
      <c r="I296" s="1292"/>
      <c r="J296" s="1292"/>
      <c r="K296" s="1292"/>
      <c r="L296" s="1292"/>
      <c r="M296" s="1292"/>
      <c r="N296" s="1292"/>
      <c r="O296" s="1292"/>
      <c r="P296" s="1292"/>
      <c r="Q296" s="1292"/>
      <c r="R296" s="1292"/>
      <c r="S296" s="1292"/>
      <c r="T296" s="1292"/>
      <c r="U296" s="1292"/>
    </row>
    <row r="297" spans="1:21" ht="30.75" thickBot="1" x14ac:dyDescent="0.3">
      <c r="A297" s="134"/>
      <c r="B297" s="1292"/>
      <c r="C297" s="1293" t="s">
        <v>1491</v>
      </c>
      <c r="D297" s="1531" t="s">
        <v>1731</v>
      </c>
      <c r="E297" s="1532"/>
      <c r="F297" s="1292"/>
      <c r="G297" s="1292"/>
      <c r="H297" s="194" t="s">
        <v>1488</v>
      </c>
      <c r="I297" s="1292"/>
      <c r="J297" s="194" t="s">
        <v>1489</v>
      </c>
      <c r="K297" s="1292"/>
      <c r="L297" s="194" t="s">
        <v>1505</v>
      </c>
      <c r="M297" s="1292"/>
      <c r="N297" s="194" t="s">
        <v>1490</v>
      </c>
      <c r="O297" s="1292"/>
      <c r="P297" s="1292"/>
      <c r="Q297" s="1292"/>
      <c r="R297" s="194" t="s">
        <v>1599</v>
      </c>
      <c r="S297" s="1292"/>
      <c r="T297" s="194" t="s">
        <v>1600</v>
      </c>
      <c r="U297" s="1292"/>
    </row>
    <row r="298" spans="1:21" ht="15.75" thickBot="1" x14ac:dyDescent="0.3">
      <c r="A298" s="1291"/>
      <c r="B298" s="1292"/>
      <c r="C298" s="1304"/>
      <c r="D298" s="1304"/>
      <c r="E298" s="1304"/>
      <c r="F298" s="1292"/>
      <c r="G298" s="1292"/>
      <c r="H298" s="1294" t="s">
        <v>1723</v>
      </c>
      <c r="I298" s="1292"/>
      <c r="J298" s="1295"/>
      <c r="K298" s="1292"/>
      <c r="L298" s="1295"/>
      <c r="M298" s="1292"/>
      <c r="N298" s="1278"/>
      <c r="O298" s="1292"/>
      <c r="P298" s="1292"/>
      <c r="Q298" s="1292"/>
      <c r="R298" s="1296" t="s">
        <v>1725</v>
      </c>
      <c r="S298" s="1292"/>
      <c r="T298" s="1296" t="s">
        <v>651</v>
      </c>
      <c r="U298" s="1292"/>
    </row>
    <row r="299" spans="1:21" ht="30.75" thickBot="1" x14ac:dyDescent="0.3">
      <c r="A299" s="1291"/>
      <c r="B299" s="1292"/>
      <c r="C299" s="1293" t="s">
        <v>1603</v>
      </c>
      <c r="D299" s="1530">
        <v>4901</v>
      </c>
      <c r="E299" s="1533"/>
      <c r="F299" s="1292"/>
      <c r="G299" s="1292"/>
      <c r="H299" s="1292"/>
      <c r="I299" s="1292"/>
      <c r="J299" s="1292"/>
      <c r="K299" s="1292"/>
      <c r="L299" s="1292"/>
      <c r="M299" s="1292"/>
      <c r="N299" s="1292"/>
      <c r="O299" s="1292"/>
      <c r="P299" s="1292"/>
      <c r="Q299" s="1292"/>
      <c r="R299" s="1292"/>
      <c r="S299" s="1292"/>
      <c r="T299" s="1292"/>
      <c r="U299" s="1292"/>
    </row>
    <row r="300" spans="1:21" ht="15.75" thickBot="1" x14ac:dyDescent="0.3">
      <c r="A300" s="1291"/>
      <c r="B300" s="1292"/>
      <c r="C300" s="1304"/>
      <c r="D300" s="1304"/>
      <c r="E300" s="1304"/>
      <c r="F300" s="1292"/>
      <c r="G300" s="1292"/>
      <c r="H300" s="229" t="s">
        <v>1504</v>
      </c>
      <c r="I300" s="1292"/>
      <c r="J300" s="1292"/>
      <c r="K300" s="1292"/>
      <c r="L300" s="1292"/>
      <c r="M300" s="1292"/>
      <c r="N300" s="1292"/>
      <c r="O300" s="1292"/>
      <c r="P300" s="1292"/>
      <c r="Q300" s="1292"/>
      <c r="R300" s="194" t="s">
        <v>1726</v>
      </c>
      <c r="S300" s="1292"/>
      <c r="T300" s="194" t="s">
        <v>1727</v>
      </c>
      <c r="U300" s="1292"/>
    </row>
    <row r="301" spans="1:21" ht="15.75" thickBot="1" x14ac:dyDescent="0.3">
      <c r="A301" s="1291"/>
      <c r="B301" s="1292"/>
      <c r="C301" s="1293" t="s">
        <v>1493</v>
      </c>
      <c r="D301" s="1534"/>
      <c r="E301" s="1533"/>
      <c r="F301" s="1292"/>
      <c r="G301" s="1292"/>
      <c r="H301" s="1297"/>
      <c r="I301" s="1292"/>
      <c r="J301" s="1292"/>
      <c r="K301" s="1292"/>
      <c r="L301" s="1292"/>
      <c r="M301" s="1292"/>
      <c r="N301" s="1292"/>
      <c r="O301" s="1292"/>
      <c r="P301" s="1292"/>
      <c r="Q301" s="1292"/>
      <c r="R301" s="1296" t="s">
        <v>1728</v>
      </c>
      <c r="S301" s="1292"/>
      <c r="T301" s="1296">
        <v>1</v>
      </c>
      <c r="U301" s="1292"/>
    </row>
    <row r="302" spans="1:21" ht="15.75" thickBot="1" x14ac:dyDescent="0.3">
      <c r="A302" s="1291"/>
      <c r="B302" s="1292"/>
      <c r="C302" s="1304"/>
      <c r="D302" s="1304"/>
      <c r="E302" s="1304"/>
      <c r="F302" s="1292"/>
      <c r="G302" s="1292"/>
      <c r="H302" s="1292"/>
      <c r="I302" s="1292"/>
      <c r="J302" s="1292"/>
      <c r="K302" s="1292"/>
      <c r="L302" s="1292"/>
      <c r="M302" s="1292"/>
      <c r="N302" s="1292"/>
      <c r="O302" s="1292"/>
      <c r="P302" s="1292"/>
      <c r="Q302" s="1292"/>
      <c r="R302" s="1292"/>
      <c r="S302" s="1292"/>
      <c r="T302" s="1292"/>
      <c r="U302" s="1292"/>
    </row>
    <row r="303" spans="1:21" ht="30.75" thickBot="1" x14ac:dyDescent="0.3">
      <c r="A303" s="1291"/>
      <c r="B303" s="1292"/>
      <c r="C303" s="1293" t="s">
        <v>1494</v>
      </c>
      <c r="D303" s="1534"/>
      <c r="E303" s="1533"/>
      <c r="F303" s="1292"/>
      <c r="G303" s="1292"/>
      <c r="H303" s="229" t="s">
        <v>1604</v>
      </c>
      <c r="I303" s="1292"/>
      <c r="J303" s="1292"/>
      <c r="K303" s="1292"/>
      <c r="L303" s="1292"/>
      <c r="M303" s="1292"/>
      <c r="N303" s="1292"/>
      <c r="O303" s="1292"/>
      <c r="P303" s="1292"/>
      <c r="Q303" s="1292"/>
      <c r="R303" s="1292"/>
      <c r="S303" s="1292"/>
      <c r="T303" s="194" t="s">
        <v>1720</v>
      </c>
      <c r="U303" s="1292"/>
    </row>
    <row r="304" spans="1:21" ht="15.75" thickBot="1" x14ac:dyDescent="0.3">
      <c r="A304" s="1291"/>
      <c r="B304" s="1292"/>
      <c r="C304" s="1304"/>
      <c r="D304" s="1304"/>
      <c r="E304" s="1304"/>
      <c r="F304" s="1292"/>
      <c r="G304" s="1292"/>
      <c r="H304" s="1226" t="s">
        <v>651</v>
      </c>
      <c r="I304" s="1292"/>
      <c r="J304" s="1292"/>
      <c r="K304" s="1292"/>
      <c r="L304" s="1292"/>
      <c r="M304" s="1292"/>
      <c r="N304" s="1292"/>
      <c r="O304" s="1292"/>
      <c r="P304" s="1292"/>
      <c r="Q304" s="1292"/>
      <c r="R304" s="1292"/>
      <c r="S304" s="1292"/>
      <c r="T304" s="1296" t="s">
        <v>653</v>
      </c>
      <c r="U304" s="1292"/>
    </row>
    <row r="305" spans="1:21" ht="29.25" customHeight="1" thickBot="1" x14ac:dyDescent="0.3">
      <c r="A305" s="1291"/>
      <c r="B305" s="1292"/>
      <c r="C305" s="1305" t="s">
        <v>1607</v>
      </c>
      <c r="D305" s="1508" t="s">
        <v>651</v>
      </c>
      <c r="E305" s="1509"/>
      <c r="F305" s="1292"/>
      <c r="G305" s="1292"/>
      <c r="H305" s="1292"/>
      <c r="I305" s="1292"/>
      <c r="J305" s="1292"/>
      <c r="K305" s="1292"/>
      <c r="L305" s="1292"/>
      <c r="M305" s="1292"/>
      <c r="N305" s="1292"/>
      <c r="O305" s="1292"/>
      <c r="P305" s="1292"/>
      <c r="Q305" s="1292"/>
      <c r="R305" s="1292"/>
      <c r="S305" s="1292"/>
      <c r="T305" s="1292"/>
      <c r="U305" s="1292"/>
    </row>
    <row r="306" spans="1:21" ht="15.75" thickBot="1" x14ac:dyDescent="0.3">
      <c r="A306" s="1291"/>
      <c r="B306" s="1292"/>
      <c r="C306" s="1304"/>
      <c r="D306" s="1304"/>
      <c r="E306" s="1304"/>
      <c r="F306" s="1292"/>
      <c r="G306" s="1292"/>
      <c r="H306" s="1292"/>
      <c r="I306" s="1292"/>
      <c r="J306" s="1292"/>
      <c r="K306" s="1292"/>
      <c r="L306" s="1292"/>
      <c r="M306" s="1292"/>
      <c r="N306" s="1292"/>
      <c r="O306" s="1292"/>
      <c r="P306" s="1292"/>
      <c r="Q306" s="1292"/>
      <c r="R306" s="1292"/>
      <c r="S306" s="1292"/>
      <c r="T306" s="1292"/>
      <c r="U306" s="1292"/>
    </row>
    <row r="307" spans="1:21" ht="15.75" thickBot="1" x14ac:dyDescent="0.3">
      <c r="A307" s="1291"/>
      <c r="B307" s="1292"/>
      <c r="C307" s="1293" t="s">
        <v>1608</v>
      </c>
      <c r="D307" s="1530" t="s">
        <v>1729</v>
      </c>
      <c r="E307" s="1529"/>
      <c r="F307" s="1292"/>
      <c r="G307" s="1292"/>
      <c r="H307" s="1292"/>
      <c r="I307" s="1292"/>
      <c r="J307" s="1292"/>
      <c r="K307" s="1292"/>
      <c r="L307" s="1292"/>
      <c r="M307" s="1292"/>
      <c r="N307" s="1292"/>
      <c r="O307" s="1292"/>
      <c r="P307" s="1292"/>
      <c r="Q307" s="1292"/>
      <c r="R307" s="1292"/>
      <c r="S307" s="1292"/>
      <c r="T307" s="1292"/>
      <c r="U307" s="1292"/>
    </row>
    <row r="308" spans="1:21" ht="15.75" thickBot="1" x14ac:dyDescent="0.3">
      <c r="A308" s="1291"/>
      <c r="B308" s="1292"/>
      <c r="C308" s="1292"/>
      <c r="D308" s="1292"/>
      <c r="E308" s="1292"/>
      <c r="F308" s="1292"/>
      <c r="G308" s="1292"/>
      <c r="H308" s="1292"/>
      <c r="I308" s="1292"/>
      <c r="J308" s="1292"/>
      <c r="K308" s="1292"/>
      <c r="L308" s="1292"/>
      <c r="M308" s="1292"/>
      <c r="N308" s="1292"/>
      <c r="O308" s="1292"/>
      <c r="P308" s="1292"/>
      <c r="Q308" s="1292"/>
      <c r="R308" s="1292"/>
      <c r="S308" s="1292"/>
      <c r="T308" s="1292"/>
      <c r="U308" s="1292"/>
    </row>
    <row r="309" spans="1:21" ht="21" customHeight="1" thickBot="1" x14ac:dyDescent="0.3">
      <c r="A309" s="1291"/>
      <c r="B309" s="1527" t="s">
        <v>1732</v>
      </c>
      <c r="C309" s="1528"/>
      <c r="D309" s="1528"/>
      <c r="E309" s="1528"/>
      <c r="F309" s="1528"/>
      <c r="G309" s="1528"/>
      <c r="H309" s="1528"/>
      <c r="I309" s="1528"/>
      <c r="J309" s="1528"/>
      <c r="K309" s="1528"/>
      <c r="L309" s="1528"/>
      <c r="M309" s="1528"/>
      <c r="N309" s="1528"/>
      <c r="O309" s="1528"/>
      <c r="P309" s="1528"/>
      <c r="Q309" s="1528"/>
      <c r="R309" s="1528"/>
      <c r="S309" s="1528"/>
      <c r="T309" s="1528"/>
      <c r="U309" s="1529"/>
    </row>
    <row r="310" spans="1:21" ht="15.75" thickBot="1" x14ac:dyDescent="0.3">
      <c r="A310" s="1291"/>
      <c r="B310" s="1292"/>
      <c r="C310" s="1292"/>
      <c r="D310" s="1292"/>
      <c r="E310" s="1292"/>
      <c r="F310" s="1292"/>
      <c r="G310" s="1292"/>
      <c r="H310" s="1292"/>
      <c r="I310" s="1292"/>
      <c r="J310" s="1292"/>
      <c r="K310" s="1292"/>
      <c r="L310" s="1292"/>
      <c r="M310" s="1292"/>
      <c r="N310" s="1292"/>
      <c r="O310" s="1292"/>
      <c r="P310" s="1292"/>
      <c r="Q310" s="1292"/>
      <c r="R310" s="1292"/>
      <c r="S310" s="1292"/>
      <c r="T310" s="1292"/>
      <c r="U310" s="1292"/>
    </row>
    <row r="311" spans="1:21" ht="30.75" thickBot="1" x14ac:dyDescent="0.3">
      <c r="A311" s="134"/>
      <c r="B311" s="1292"/>
      <c r="C311" s="1293" t="s">
        <v>1491</v>
      </c>
      <c r="D311" s="1531" t="s">
        <v>1733</v>
      </c>
      <c r="E311" s="1532"/>
      <c r="F311" s="1292"/>
      <c r="G311" s="1292"/>
      <c r="H311" s="194" t="s">
        <v>1488</v>
      </c>
      <c r="I311" s="1292"/>
      <c r="J311" s="194" t="s">
        <v>1489</v>
      </c>
      <c r="K311" s="1292"/>
      <c r="L311" s="194" t="s">
        <v>1505</v>
      </c>
      <c r="M311" s="1292"/>
      <c r="N311" s="194" t="s">
        <v>1490</v>
      </c>
      <c r="O311" s="1292"/>
      <c r="P311" s="194" t="s">
        <v>1598</v>
      </c>
      <c r="Q311" s="1292"/>
      <c r="R311" s="194" t="s">
        <v>1599</v>
      </c>
      <c r="S311" s="1292"/>
      <c r="T311" s="194" t="s">
        <v>1600</v>
      </c>
      <c r="U311" s="1292"/>
    </row>
    <row r="312" spans="1:21" ht="15.75" thickBot="1" x14ac:dyDescent="0.3">
      <c r="A312" s="1291"/>
      <c r="B312" s="1292"/>
      <c r="C312" s="1304"/>
      <c r="D312" s="1304"/>
      <c r="E312" s="1304"/>
      <c r="F312" s="1292"/>
      <c r="G312" s="1292"/>
      <c r="H312" s="1175"/>
      <c r="I312" s="1292"/>
      <c r="J312" s="1295" t="s">
        <v>485</v>
      </c>
      <c r="K312" s="1292"/>
      <c r="L312" s="1295" t="s">
        <v>1734</v>
      </c>
      <c r="M312" s="1292"/>
      <c r="N312" s="1278"/>
      <c r="O312" s="1292"/>
      <c r="P312" s="1176" t="s">
        <v>1601</v>
      </c>
      <c r="Q312" s="1292"/>
      <c r="R312" s="1176" t="s">
        <v>1602</v>
      </c>
      <c r="S312" s="1292"/>
      <c r="T312" s="1176" t="s">
        <v>653</v>
      </c>
      <c r="U312" s="1292"/>
    </row>
    <row r="313" spans="1:21" ht="30.75" thickBot="1" x14ac:dyDescent="0.3">
      <c r="A313" s="1291"/>
      <c r="B313" s="1292"/>
      <c r="C313" s="1293" t="s">
        <v>1603</v>
      </c>
      <c r="D313" s="1530">
        <v>5001</v>
      </c>
      <c r="E313" s="1533"/>
      <c r="F313" s="1292"/>
      <c r="G313" s="1292"/>
      <c r="H313" s="1292"/>
      <c r="I313" s="1292"/>
      <c r="J313" s="1292"/>
      <c r="K313" s="1292"/>
      <c r="L313" s="1292"/>
      <c r="M313" s="1292"/>
      <c r="N313" s="1292"/>
      <c r="O313" s="1292"/>
      <c r="P313" s="1292"/>
      <c r="Q313" s="1292"/>
      <c r="R313" s="1292"/>
      <c r="S313" s="1292"/>
      <c r="T313" s="1292"/>
      <c r="U313" s="1292"/>
    </row>
    <row r="314" spans="1:21" ht="15.75" thickBot="1" x14ac:dyDescent="0.3">
      <c r="A314" s="1291"/>
      <c r="B314" s="1292"/>
      <c r="C314" s="1304"/>
      <c r="D314" s="1304"/>
      <c r="E314" s="1304"/>
      <c r="F314" s="1292"/>
      <c r="G314" s="1292"/>
      <c r="H314" s="1292"/>
      <c r="I314" s="1292"/>
      <c r="J314" s="1292"/>
      <c r="K314" s="1292"/>
      <c r="L314" s="194" t="s">
        <v>1497</v>
      </c>
      <c r="M314" s="1292"/>
      <c r="N314" s="1292"/>
      <c r="O314" s="1292"/>
      <c r="P314" s="1292"/>
      <c r="Q314" s="1292"/>
      <c r="R314" s="1292"/>
      <c r="S314" s="1292"/>
      <c r="T314" s="1292"/>
      <c r="U314" s="1292"/>
    </row>
    <row r="315" spans="1:21" ht="18" customHeight="1" thickBot="1" x14ac:dyDescent="0.3">
      <c r="A315" s="1291"/>
      <c r="B315" s="1292"/>
      <c r="C315" s="1293" t="s">
        <v>1493</v>
      </c>
      <c r="D315" s="1534"/>
      <c r="E315" s="1533"/>
      <c r="F315" s="1292"/>
      <c r="G315" s="1292"/>
      <c r="H315" s="1292"/>
      <c r="I315" s="1292"/>
      <c r="J315" s="1292"/>
      <c r="K315" s="1292"/>
      <c r="L315" s="1297"/>
      <c r="M315" s="1292"/>
      <c r="N315" s="1292"/>
      <c r="O315" s="1292"/>
      <c r="P315" s="1292"/>
      <c r="Q315" s="1292"/>
      <c r="R315" s="1292"/>
      <c r="S315" s="1292"/>
      <c r="T315" s="1292"/>
      <c r="U315" s="1292"/>
    </row>
    <row r="316" spans="1:21" ht="16.5" customHeight="1" thickBot="1" x14ac:dyDescent="0.3">
      <c r="A316" s="1291"/>
      <c r="B316" s="1292"/>
      <c r="C316" s="1304"/>
      <c r="D316" s="1304"/>
      <c r="E316" s="1304"/>
      <c r="F316" s="1292"/>
      <c r="G316" s="1292"/>
      <c r="H316" s="1292"/>
      <c r="I316" s="1292"/>
      <c r="J316" s="1292"/>
      <c r="K316" s="1292"/>
      <c r="L316" s="1292"/>
      <c r="M316" s="1292"/>
      <c r="N316" s="1292"/>
      <c r="O316" s="1292"/>
      <c r="P316" s="1292"/>
      <c r="Q316" s="1292"/>
      <c r="R316" s="1292"/>
      <c r="S316" s="1292"/>
      <c r="T316" s="1292"/>
      <c r="U316" s="1292"/>
    </row>
    <row r="317" spans="1:21" ht="30.75" thickBot="1" x14ac:dyDescent="0.3">
      <c r="A317" s="1291"/>
      <c r="B317" s="1292"/>
      <c r="C317" s="1293" t="s">
        <v>1494</v>
      </c>
      <c r="D317" s="1534"/>
      <c r="E317" s="1533"/>
      <c r="F317" s="1292"/>
      <c r="G317" s="1292"/>
      <c r="H317" s="229" t="s">
        <v>1604</v>
      </c>
      <c r="I317" s="1292"/>
      <c r="J317" s="1292"/>
      <c r="K317" s="1292"/>
      <c r="L317" s="194" t="s">
        <v>1605</v>
      </c>
      <c r="M317" s="1292"/>
      <c r="N317" s="1292"/>
      <c r="O317" s="1292"/>
      <c r="P317" s="1292"/>
      <c r="Q317" s="1292"/>
      <c r="R317" s="1292"/>
      <c r="S317" s="1292"/>
      <c r="T317" s="194" t="s">
        <v>1720</v>
      </c>
      <c r="U317" s="1292"/>
    </row>
    <row r="318" spans="1:21" ht="18" customHeight="1" thickBot="1" x14ac:dyDescent="0.3">
      <c r="A318" s="1291"/>
      <c r="B318" s="1292"/>
      <c r="C318" s="1304"/>
      <c r="D318" s="1304"/>
      <c r="E318" s="1304"/>
      <c r="F318" s="1292"/>
      <c r="G318" s="1292"/>
      <c r="H318" s="1177" t="s">
        <v>651</v>
      </c>
      <c r="I318" s="1292"/>
      <c r="J318" s="1292"/>
      <c r="K318" s="1292"/>
      <c r="L318" s="1296" t="s">
        <v>1606</v>
      </c>
      <c r="M318" s="1292"/>
      <c r="N318" s="1292"/>
      <c r="O318" s="1292"/>
      <c r="P318" s="1292"/>
      <c r="Q318" s="1292"/>
      <c r="R318" s="1292"/>
      <c r="S318" s="1292"/>
      <c r="T318" s="1296" t="s">
        <v>653</v>
      </c>
      <c r="U318" s="1292"/>
    </row>
    <row r="319" spans="1:21" ht="30" customHeight="1" thickBot="1" x14ac:dyDescent="0.3">
      <c r="A319" s="1291"/>
      <c r="B319" s="1292"/>
      <c r="C319" s="1305" t="s">
        <v>1607</v>
      </c>
      <c r="D319" s="1528" t="s">
        <v>651</v>
      </c>
      <c r="E319" s="1529"/>
      <c r="F319" s="1292"/>
      <c r="G319" s="1292"/>
      <c r="H319" s="1292"/>
      <c r="I319" s="1292"/>
      <c r="J319" s="1292"/>
      <c r="K319" s="1292"/>
      <c r="L319" s="1292"/>
      <c r="M319" s="1292"/>
      <c r="N319" s="1292"/>
      <c r="O319" s="1292"/>
      <c r="P319" s="1292"/>
      <c r="Q319" s="1292"/>
      <c r="R319" s="1292"/>
      <c r="S319" s="1292"/>
      <c r="T319" s="1292"/>
      <c r="U319" s="1292"/>
    </row>
    <row r="320" spans="1:21" ht="18" customHeight="1" thickBot="1" x14ac:dyDescent="0.3">
      <c r="A320" s="1291"/>
      <c r="B320" s="1292"/>
      <c r="C320" s="1304"/>
      <c r="D320" s="1304"/>
      <c r="E320" s="1304"/>
      <c r="F320" s="1292"/>
      <c r="G320" s="1292"/>
      <c r="H320" s="1292"/>
      <c r="I320" s="1292"/>
      <c r="J320" s="1292"/>
      <c r="K320" s="1292"/>
      <c r="L320" s="1292"/>
      <c r="M320" s="1292"/>
      <c r="N320" s="1292"/>
      <c r="O320" s="1292"/>
      <c r="P320" s="1292"/>
      <c r="Q320" s="1292"/>
      <c r="R320" s="1292"/>
      <c r="S320" s="1292"/>
      <c r="T320" s="1292"/>
      <c r="U320" s="1292"/>
    </row>
    <row r="321" spans="1:21" ht="18" customHeight="1" thickBot="1" x14ac:dyDescent="0.3">
      <c r="A321" s="1291"/>
      <c r="B321" s="1292"/>
      <c r="C321" s="1293" t="s">
        <v>1608</v>
      </c>
      <c r="D321" s="1530" t="s">
        <v>1609</v>
      </c>
      <c r="E321" s="1529"/>
      <c r="F321" s="1292"/>
      <c r="G321" s="1292"/>
      <c r="H321" s="1292"/>
      <c r="I321" s="1292"/>
      <c r="J321" s="1292"/>
      <c r="K321" s="1292"/>
      <c r="L321" s="1292"/>
      <c r="M321" s="1292"/>
      <c r="N321" s="1292"/>
      <c r="O321" s="1292"/>
      <c r="P321" s="1292"/>
      <c r="Q321" s="1292"/>
      <c r="R321" s="1292"/>
      <c r="S321" s="1292"/>
      <c r="T321" s="1292"/>
      <c r="U321" s="1292"/>
    </row>
    <row r="322" spans="1:21" ht="20.25" customHeight="1" thickBot="1" x14ac:dyDescent="0.3">
      <c r="A322" s="1291"/>
      <c r="B322" s="1292"/>
      <c r="C322" s="1292"/>
      <c r="D322" s="1292"/>
      <c r="E322" s="1292"/>
      <c r="F322" s="1292"/>
      <c r="G322" s="1292"/>
      <c r="H322" s="1292"/>
      <c r="I322" s="1292"/>
      <c r="J322" s="1292"/>
      <c r="K322" s="1292"/>
      <c r="L322" s="1292"/>
      <c r="M322" s="1292"/>
      <c r="N322" s="1292"/>
      <c r="O322" s="1292"/>
      <c r="P322" s="1292"/>
      <c r="Q322" s="1292"/>
      <c r="R322" s="1292"/>
      <c r="S322" s="1292"/>
      <c r="T322" s="1292"/>
      <c r="U322" s="1292"/>
    </row>
    <row r="323" spans="1:21" ht="20.25" customHeight="1" thickBot="1" x14ac:dyDescent="0.3">
      <c r="A323" s="1291"/>
      <c r="B323" s="1527" t="s">
        <v>1735</v>
      </c>
      <c r="C323" s="1528"/>
      <c r="D323" s="1528"/>
      <c r="E323" s="1528"/>
      <c r="F323" s="1528"/>
      <c r="G323" s="1528"/>
      <c r="H323" s="1528"/>
      <c r="I323" s="1528"/>
      <c r="J323" s="1528"/>
      <c r="K323" s="1528"/>
      <c r="L323" s="1528"/>
      <c r="M323" s="1528"/>
      <c r="N323" s="1528"/>
      <c r="O323" s="1528"/>
      <c r="P323" s="1528"/>
      <c r="Q323" s="1528"/>
      <c r="R323" s="1528"/>
      <c r="S323" s="1528"/>
      <c r="T323" s="1528"/>
      <c r="U323" s="1529"/>
    </row>
    <row r="324" spans="1:21" ht="15.75" thickBot="1" x14ac:dyDescent="0.3">
      <c r="A324" s="1291"/>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37" t="s">
        <v>1491</v>
      </c>
      <c r="D325" s="1522" t="s">
        <v>1210</v>
      </c>
      <c r="E325" s="1523"/>
      <c r="F325" s="1244"/>
      <c r="G325" s="1244"/>
      <c r="H325" s="1240" t="s">
        <v>1488</v>
      </c>
      <c r="I325" s="1244"/>
      <c r="J325" s="1240" t="s">
        <v>1489</v>
      </c>
      <c r="K325" s="1244"/>
      <c r="L325" s="1240" t="s">
        <v>1505</v>
      </c>
      <c r="M325" s="1244"/>
      <c r="N325" s="1240" t="s">
        <v>1490</v>
      </c>
      <c r="O325" s="1244"/>
      <c r="P325" s="1244"/>
      <c r="Q325" s="1244"/>
      <c r="R325" s="1240" t="s">
        <v>1599</v>
      </c>
      <c r="S325" s="1244"/>
      <c r="T325" s="1240" t="s">
        <v>1600</v>
      </c>
      <c r="U325" s="1244"/>
    </row>
    <row r="326" spans="1:21" ht="15.75" thickBot="1" x14ac:dyDescent="0.3">
      <c r="A326" s="1291"/>
      <c r="B326" s="1244"/>
      <c r="C326" s="1232"/>
      <c r="D326" s="1232"/>
      <c r="E326" s="1232"/>
      <c r="F326" s="1244"/>
      <c r="G326" s="1244"/>
      <c r="H326" s="1278"/>
      <c r="I326" s="1244"/>
      <c r="J326" s="1230"/>
      <c r="K326" s="1244"/>
      <c r="L326" s="1230"/>
      <c r="M326" s="1244"/>
      <c r="N326" s="1278"/>
      <c r="O326" s="1244"/>
      <c r="P326" s="1244"/>
      <c r="Q326" s="1244"/>
      <c r="R326" s="1274" t="s">
        <v>1725</v>
      </c>
      <c r="S326" s="1244"/>
      <c r="T326" s="1274" t="s">
        <v>651</v>
      </c>
      <c r="U326" s="1244"/>
    </row>
    <row r="327" spans="1:21" ht="30.75" thickBot="1" x14ac:dyDescent="0.3">
      <c r="A327" s="1291"/>
      <c r="B327" s="1244"/>
      <c r="C327" s="1240" t="s">
        <v>1603</v>
      </c>
      <c r="D327" s="1518">
        <v>801</v>
      </c>
      <c r="E327" s="1524"/>
      <c r="F327" s="1244"/>
      <c r="G327" s="1244"/>
      <c r="H327" s="1244"/>
      <c r="I327" s="1244"/>
      <c r="J327" s="1244"/>
      <c r="K327" s="1244"/>
      <c r="L327" s="1244"/>
      <c r="M327" s="1244"/>
      <c r="N327" s="1244"/>
      <c r="O327" s="1244"/>
      <c r="P327" s="1244"/>
      <c r="Q327" s="1244"/>
      <c r="R327" s="1244"/>
      <c r="S327" s="1244"/>
      <c r="T327" s="1244"/>
      <c r="U327" s="1244"/>
    </row>
    <row r="328" spans="1:21" ht="30.75" thickBot="1" x14ac:dyDescent="0.3">
      <c r="A328" s="1291"/>
      <c r="B328" s="1244"/>
      <c r="C328" s="1232"/>
      <c r="D328" s="1232"/>
      <c r="E328" s="1232"/>
      <c r="F328" s="1244"/>
      <c r="G328" s="1244"/>
      <c r="H328" s="1239" t="s">
        <v>1504</v>
      </c>
      <c r="I328" s="1244"/>
      <c r="J328" s="1239" t="s">
        <v>1585</v>
      </c>
      <c r="K328" s="1244"/>
      <c r="L328" s="1239" t="s">
        <v>1586</v>
      </c>
      <c r="M328" s="1244"/>
      <c r="N328" s="1244"/>
      <c r="O328" s="1244"/>
      <c r="P328" s="1244"/>
      <c r="Q328" s="1244"/>
      <c r="R328" s="1240" t="s">
        <v>1726</v>
      </c>
      <c r="S328" s="1244"/>
      <c r="T328" s="1240" t="s">
        <v>1727</v>
      </c>
      <c r="U328" s="1244"/>
    </row>
    <row r="329" spans="1:21" ht="18" customHeight="1" thickBot="1" x14ac:dyDescent="0.3">
      <c r="A329" s="1291"/>
      <c r="B329" s="1244"/>
      <c r="C329" s="1237" t="s">
        <v>1493</v>
      </c>
      <c r="D329" s="1525"/>
      <c r="E329" s="1524"/>
      <c r="F329" s="1244"/>
      <c r="G329" s="1244"/>
      <c r="H329" s="1203"/>
      <c r="I329" s="1244"/>
      <c r="J329" s="1203"/>
      <c r="K329" s="1244"/>
      <c r="L329" s="1203"/>
      <c r="M329" s="1244"/>
      <c r="N329" s="1244"/>
      <c r="O329" s="1244"/>
      <c r="P329" s="1244"/>
      <c r="Q329" s="1244"/>
      <c r="R329" s="1274" t="s">
        <v>1736</v>
      </c>
      <c r="S329" s="1244"/>
      <c r="T329" s="1274" t="s">
        <v>397</v>
      </c>
      <c r="U329" s="1244"/>
    </row>
    <row r="330" spans="1:21" ht="18" customHeight="1" thickBot="1" x14ac:dyDescent="0.3">
      <c r="A330" s="1291"/>
      <c r="B330" s="1244"/>
      <c r="C330" s="1232"/>
      <c r="D330" s="1232"/>
      <c r="E330" s="1232"/>
      <c r="F330" s="1244"/>
      <c r="G330" s="1244"/>
      <c r="H330" s="1244"/>
      <c r="I330" s="1244"/>
      <c r="J330" s="1244"/>
      <c r="K330" s="1244"/>
      <c r="L330" s="1244"/>
      <c r="M330" s="1244"/>
      <c r="N330" s="1244"/>
      <c r="O330" s="1244"/>
      <c r="P330" s="1244"/>
      <c r="Q330" s="1244"/>
      <c r="R330" s="1244"/>
      <c r="S330" s="1244"/>
      <c r="T330" s="1244"/>
      <c r="U330" s="1244"/>
    </row>
    <row r="331" spans="1:21" ht="45.75" customHeight="1" thickBot="1" x14ac:dyDescent="0.3">
      <c r="A331" s="1291"/>
      <c r="B331" s="1244"/>
      <c r="C331" s="1237" t="s">
        <v>1494</v>
      </c>
      <c r="D331" s="1525"/>
      <c r="E331" s="1524"/>
      <c r="F331" s="1244"/>
      <c r="G331" s="1244"/>
      <c r="H331" s="229" t="s">
        <v>1589</v>
      </c>
      <c r="I331" s="1244"/>
      <c r="J331" s="229" t="s">
        <v>1590</v>
      </c>
      <c r="K331" s="1244"/>
      <c r="L331" s="229" t="s">
        <v>1212</v>
      </c>
      <c r="M331" s="1244"/>
      <c r="N331" s="229" t="s">
        <v>1591</v>
      </c>
      <c r="O331" s="1244"/>
      <c r="P331" s="229" t="s">
        <v>1211</v>
      </c>
      <c r="Q331" s="1244"/>
      <c r="R331" s="229" t="s">
        <v>1510</v>
      </c>
      <c r="S331" s="1244"/>
      <c r="T331" s="1240" t="s">
        <v>1720</v>
      </c>
      <c r="U331" s="1244"/>
    </row>
    <row r="332" spans="1:21" ht="18" customHeight="1" thickBot="1" x14ac:dyDescent="0.3">
      <c r="A332" s="1291"/>
      <c r="B332" s="1244"/>
      <c r="C332" s="1232"/>
      <c r="D332" s="1232"/>
      <c r="E332" s="1232"/>
      <c r="F332" s="1244"/>
      <c r="G332" s="1244"/>
      <c r="H332" s="1230"/>
      <c r="I332" s="1244"/>
      <c r="J332" s="1230"/>
      <c r="K332" s="1244"/>
      <c r="L332" s="1306"/>
      <c r="M332" s="1244"/>
      <c r="N332" s="1306"/>
      <c r="O332" s="1244"/>
      <c r="P332" s="1203"/>
      <c r="Q332" s="1244"/>
      <c r="R332" s="1230"/>
      <c r="S332" s="1244"/>
      <c r="T332" s="1274" t="s">
        <v>653</v>
      </c>
      <c r="U332" s="1244"/>
    </row>
    <row r="333" spans="1:21" ht="30" customHeight="1" thickBot="1" x14ac:dyDescent="0.3">
      <c r="A333" s="1291"/>
      <c r="B333" s="1244"/>
      <c r="C333" s="1238" t="s">
        <v>1607</v>
      </c>
      <c r="D333" s="1508" t="s">
        <v>651</v>
      </c>
      <c r="E333" s="1509"/>
      <c r="F333" s="1244"/>
      <c r="G333" s="1244"/>
      <c r="H333" s="1244"/>
      <c r="I333" s="1244"/>
      <c r="J333" s="1244"/>
      <c r="K333" s="1244"/>
      <c r="L333" s="1244"/>
      <c r="M333" s="1244"/>
      <c r="N333" s="1244"/>
      <c r="O333" s="1244"/>
      <c r="P333" s="1244"/>
      <c r="Q333" s="1244"/>
      <c r="R333" s="1244"/>
      <c r="S333" s="1244"/>
      <c r="T333" s="1244"/>
      <c r="U333" s="1244"/>
    </row>
    <row r="334" spans="1:21" ht="30.75" thickBot="1" x14ac:dyDescent="0.3">
      <c r="A334" s="1291"/>
      <c r="B334" s="1244"/>
      <c r="C334" s="1232"/>
      <c r="D334" s="1232"/>
      <c r="E334" s="1232"/>
      <c r="F334" s="1244"/>
      <c r="G334" s="1244"/>
      <c r="H334" s="1239" t="s">
        <v>1604</v>
      </c>
      <c r="I334" s="1244"/>
      <c r="J334" s="1244"/>
      <c r="K334" s="1244"/>
      <c r="L334" s="1244"/>
      <c r="M334" s="1244"/>
      <c r="N334" s="1244"/>
      <c r="O334" s="1244"/>
      <c r="P334" s="1244"/>
      <c r="Q334" s="1244"/>
      <c r="R334" s="1244"/>
      <c r="S334" s="1244"/>
      <c r="T334" s="1244"/>
      <c r="U334" s="1244"/>
    </row>
    <row r="335" spans="1:21" ht="18" customHeight="1" thickBot="1" x14ac:dyDescent="0.3">
      <c r="A335" s="1291"/>
      <c r="B335" s="1244"/>
      <c r="C335" s="1237" t="s">
        <v>1608</v>
      </c>
      <c r="D335" s="1518" t="s">
        <v>1729</v>
      </c>
      <c r="E335" s="1519"/>
      <c r="F335" s="1244"/>
      <c r="G335" s="1244"/>
      <c r="H335" s="1226" t="s">
        <v>651</v>
      </c>
      <c r="I335" s="1244"/>
      <c r="J335" s="1244"/>
      <c r="K335" s="1244"/>
      <c r="L335" s="1244"/>
      <c r="M335" s="1244"/>
      <c r="N335" s="1244"/>
      <c r="O335" s="1244"/>
      <c r="P335" s="1244"/>
      <c r="Q335" s="1244"/>
      <c r="R335" s="1244"/>
      <c r="S335" s="1244"/>
      <c r="T335" s="1244"/>
      <c r="U335" s="1244"/>
    </row>
    <row r="336" spans="1:21" ht="20.25" customHeight="1" thickBot="1" x14ac:dyDescent="0.3">
      <c r="A336" s="1291"/>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91"/>
      <c r="B337" s="1520" t="s">
        <v>1737</v>
      </c>
      <c r="C337" s="1521"/>
      <c r="D337" s="1521"/>
      <c r="E337" s="1521"/>
      <c r="F337" s="1521"/>
      <c r="G337" s="1521"/>
      <c r="H337" s="1521"/>
      <c r="I337" s="1521"/>
      <c r="J337" s="1521"/>
      <c r="K337" s="1521"/>
      <c r="L337" s="1521"/>
      <c r="M337" s="1521"/>
      <c r="N337" s="1521"/>
      <c r="O337" s="1521"/>
      <c r="P337" s="1521"/>
      <c r="Q337" s="1521"/>
      <c r="R337" s="1521"/>
      <c r="S337" s="1521"/>
      <c r="T337" s="1521"/>
      <c r="U337" s="1519"/>
    </row>
    <row r="338" spans="1:21" ht="15.75" thickBot="1" x14ac:dyDescent="0.3">
      <c r="A338" s="1291"/>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37" t="s">
        <v>1491</v>
      </c>
      <c r="D339" s="1522" t="s">
        <v>1738</v>
      </c>
      <c r="E339" s="1523"/>
      <c r="F339" s="1244"/>
      <c r="G339" s="1244"/>
      <c r="H339" s="1240" t="s">
        <v>1488</v>
      </c>
      <c r="I339" s="1244"/>
      <c r="J339" s="1240" t="s">
        <v>1489</v>
      </c>
      <c r="K339" s="1244"/>
      <c r="L339" s="1240" t="s">
        <v>1505</v>
      </c>
      <c r="M339" s="1244"/>
      <c r="N339" s="1240" t="s">
        <v>1490</v>
      </c>
      <c r="O339" s="1244"/>
      <c r="P339" s="1244"/>
      <c r="Q339" s="1244"/>
      <c r="R339" s="1240" t="s">
        <v>1599</v>
      </c>
      <c r="S339" s="1244"/>
      <c r="T339" s="1240" t="s">
        <v>1600</v>
      </c>
      <c r="U339" s="1244"/>
    </row>
    <row r="340" spans="1:21" ht="15.75" thickBot="1" x14ac:dyDescent="0.3">
      <c r="A340" s="1291"/>
      <c r="B340" s="1244"/>
      <c r="C340" s="1232"/>
      <c r="D340" s="1232"/>
      <c r="E340" s="1232"/>
      <c r="F340" s="1244"/>
      <c r="G340" s="1244"/>
      <c r="H340" s="1278"/>
      <c r="I340" s="1244"/>
      <c r="J340" s="1230"/>
      <c r="K340" s="1244"/>
      <c r="L340" s="1230"/>
      <c r="M340" s="1244"/>
      <c r="N340" s="1278"/>
      <c r="O340" s="1244"/>
      <c r="P340" s="1244"/>
      <c r="Q340" s="1244"/>
      <c r="R340" s="1274"/>
      <c r="S340" s="1244"/>
      <c r="T340" s="1274" t="s">
        <v>651</v>
      </c>
      <c r="U340" s="1244"/>
    </row>
    <row r="341" spans="1:21" ht="30.75" thickBot="1" x14ac:dyDescent="0.3">
      <c r="A341" s="1291"/>
      <c r="B341" s="1244"/>
      <c r="C341" s="1237" t="s">
        <v>1603</v>
      </c>
      <c r="D341" s="1518">
        <v>901</v>
      </c>
      <c r="E341" s="1524"/>
      <c r="F341" s="1244"/>
      <c r="G341" s="1244"/>
      <c r="H341" s="1244"/>
      <c r="I341" s="1244"/>
      <c r="J341" s="1244"/>
      <c r="K341" s="1244"/>
      <c r="L341" s="1244"/>
      <c r="M341" s="1244"/>
      <c r="N341" s="1244"/>
      <c r="O341" s="1244"/>
      <c r="P341" s="1244"/>
      <c r="Q341" s="1244"/>
      <c r="R341" s="1244"/>
      <c r="S341" s="1244"/>
      <c r="T341" s="1244"/>
      <c r="U341" s="1244"/>
    </row>
    <row r="342" spans="1:21" ht="30.75" thickBot="1" x14ac:dyDescent="0.3">
      <c r="A342" s="1291"/>
      <c r="B342" s="1244"/>
      <c r="C342" s="1232"/>
      <c r="D342" s="1232"/>
      <c r="E342" s="1232"/>
      <c r="F342" s="1244"/>
      <c r="G342" s="1244"/>
      <c r="H342" s="1341" t="s">
        <v>1504</v>
      </c>
      <c r="I342" s="1244"/>
      <c r="J342" s="1341" t="s">
        <v>1585</v>
      </c>
      <c r="K342" s="1244"/>
      <c r="L342" s="1244"/>
      <c r="M342" s="1244"/>
      <c r="N342" s="1244"/>
      <c r="O342" s="1244"/>
      <c r="P342" s="1244"/>
      <c r="Q342" s="1244"/>
      <c r="R342" s="1240"/>
      <c r="S342" s="1244"/>
      <c r="T342" s="1240" t="s">
        <v>1727</v>
      </c>
      <c r="U342" s="1244"/>
    </row>
    <row r="343" spans="1:21" ht="18" customHeight="1" thickBot="1" x14ac:dyDescent="0.3">
      <c r="A343" s="1291"/>
      <c r="B343" s="1244"/>
      <c r="C343" s="1237" t="s">
        <v>1493</v>
      </c>
      <c r="D343" s="1525"/>
      <c r="E343" s="1524"/>
      <c r="F343" s="1244"/>
      <c r="G343" s="1244"/>
      <c r="H343" s="1203"/>
      <c r="I343" s="1244"/>
      <c r="J343" s="1203"/>
      <c r="K343" s="1244"/>
      <c r="L343" s="1244"/>
      <c r="M343" s="1244"/>
      <c r="N343" s="1244"/>
      <c r="O343" s="1244"/>
      <c r="P343" s="1244"/>
      <c r="Q343" s="1244"/>
      <c r="R343" s="1274"/>
      <c r="S343" s="1244"/>
      <c r="T343" s="1274" t="s">
        <v>397</v>
      </c>
      <c r="U343" s="1244"/>
    </row>
    <row r="344" spans="1:21" ht="18" customHeight="1" thickBot="1" x14ac:dyDescent="0.3">
      <c r="A344" s="1291"/>
      <c r="B344" s="1244"/>
      <c r="C344" s="1232"/>
      <c r="D344" s="1232"/>
      <c r="E344" s="1232"/>
      <c r="F344" s="1244"/>
      <c r="G344" s="1244"/>
      <c r="H344" s="1244"/>
      <c r="I344" s="1244"/>
      <c r="J344" s="1244"/>
      <c r="K344" s="1244"/>
      <c r="L344" s="1244"/>
      <c r="M344" s="1244"/>
      <c r="N344" s="1244"/>
      <c r="O344" s="1244"/>
      <c r="P344" s="1244"/>
      <c r="Q344" s="1244"/>
      <c r="R344" s="1244"/>
      <c r="S344" s="1244"/>
      <c r="T344" s="1244"/>
      <c r="U344" s="1244"/>
    </row>
    <row r="345" spans="1:21" ht="43.5" customHeight="1" thickBot="1" x14ac:dyDescent="0.3">
      <c r="A345" s="1291"/>
      <c r="B345" s="1244"/>
      <c r="C345" s="1237" t="s">
        <v>1494</v>
      </c>
      <c r="D345" s="1525"/>
      <c r="E345" s="1524"/>
      <c r="F345" s="1244"/>
      <c r="G345" s="1244"/>
      <c r="H345" s="229" t="s">
        <v>1589</v>
      </c>
      <c r="I345" s="1244"/>
      <c r="J345" s="229" t="s">
        <v>1590</v>
      </c>
      <c r="K345" s="1244"/>
      <c r="L345" s="229" t="s">
        <v>1212</v>
      </c>
      <c r="M345" s="1244"/>
      <c r="N345" s="229" t="s">
        <v>1591</v>
      </c>
      <c r="O345" s="1244"/>
      <c r="P345" s="229" t="s">
        <v>1211</v>
      </c>
      <c r="Q345" s="1244"/>
      <c r="R345" s="229" t="s">
        <v>1510</v>
      </c>
      <c r="S345" s="1244"/>
      <c r="T345" s="1240" t="s">
        <v>1720</v>
      </c>
      <c r="U345" s="1244"/>
    </row>
    <row r="346" spans="1:21" ht="18" customHeight="1" thickBot="1" x14ac:dyDescent="0.3">
      <c r="A346" s="1291"/>
      <c r="B346" s="1244"/>
      <c r="C346" s="1232"/>
      <c r="D346" s="1232"/>
      <c r="E346" s="1232"/>
      <c r="F346" s="1244"/>
      <c r="G346" s="1244"/>
      <c r="H346" s="1230"/>
      <c r="I346" s="1244"/>
      <c r="J346" s="1230"/>
      <c r="K346" s="1244"/>
      <c r="L346" s="1306"/>
      <c r="M346" s="1244"/>
      <c r="N346" s="1306"/>
      <c r="O346" s="1244"/>
      <c r="P346" s="1203"/>
      <c r="Q346" s="1244"/>
      <c r="R346" s="1230"/>
      <c r="S346" s="1244"/>
      <c r="T346" s="1274" t="s">
        <v>653</v>
      </c>
      <c r="U346" s="1244"/>
    </row>
    <row r="347" spans="1:21" ht="30" customHeight="1" thickBot="1" x14ac:dyDescent="0.3">
      <c r="A347" s="1291"/>
      <c r="B347" s="1244"/>
      <c r="C347" s="1238" t="s">
        <v>1607</v>
      </c>
      <c r="D347" s="1521" t="s">
        <v>651</v>
      </c>
      <c r="E347" s="1519"/>
      <c r="F347" s="1244"/>
      <c r="G347" s="1244"/>
      <c r="H347" s="1244" t="s">
        <v>651</v>
      </c>
      <c r="I347" s="1244"/>
      <c r="J347" s="1244"/>
      <c r="K347" s="1244"/>
      <c r="L347" s="1244"/>
      <c r="M347" s="1244"/>
      <c r="N347" s="1244"/>
      <c r="O347" s="1244"/>
      <c r="P347" s="1244"/>
      <c r="Q347" s="1244"/>
      <c r="R347" s="1244"/>
      <c r="S347" s="1244"/>
      <c r="T347" s="1244"/>
      <c r="U347" s="1244"/>
    </row>
    <row r="348" spans="1:21" ht="30.75" thickBot="1" x14ac:dyDescent="0.3">
      <c r="A348" s="1291"/>
      <c r="B348" s="1244"/>
      <c r="C348" s="1232"/>
      <c r="D348" s="1232"/>
      <c r="E348" s="1232"/>
      <c r="F348" s="1244"/>
      <c r="G348" s="1244"/>
      <c r="H348" s="1239" t="s">
        <v>1604</v>
      </c>
      <c r="I348" s="1244"/>
      <c r="J348" s="1244"/>
      <c r="K348" s="1244"/>
      <c r="L348" s="1244"/>
      <c r="M348" s="1244"/>
      <c r="N348" s="1244"/>
      <c r="O348" s="1244"/>
      <c r="P348" s="1244"/>
      <c r="Q348" s="1244"/>
      <c r="R348" s="1244"/>
      <c r="S348" s="1244"/>
      <c r="T348" s="1244"/>
      <c r="U348" s="1244"/>
    </row>
    <row r="349" spans="1:21" ht="18" customHeight="1" thickBot="1" x14ac:dyDescent="0.3">
      <c r="A349" s="1291"/>
      <c r="B349" s="1244"/>
      <c r="C349" s="1237" t="s">
        <v>1608</v>
      </c>
      <c r="D349" s="1518" t="s">
        <v>651</v>
      </c>
      <c r="E349" s="1519"/>
      <c r="F349" s="1244"/>
      <c r="G349" s="1244"/>
      <c r="H349" s="1307" t="s">
        <v>651</v>
      </c>
      <c r="I349" s="1244"/>
      <c r="J349" s="1244"/>
      <c r="K349" s="1244"/>
      <c r="L349" s="1244"/>
      <c r="M349" s="1244"/>
      <c r="N349" s="1244"/>
      <c r="O349" s="1244"/>
      <c r="P349" s="1244"/>
      <c r="Q349" s="1244"/>
      <c r="R349" s="1244"/>
      <c r="S349" s="1244"/>
      <c r="T349" s="1244"/>
      <c r="U349" s="1244"/>
    </row>
    <row r="350" spans="1:21" ht="20.25" customHeight="1" thickBot="1" x14ac:dyDescent="0.3">
      <c r="A350" s="1291"/>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91"/>
      <c r="B351" s="1520" t="s">
        <v>1739</v>
      </c>
      <c r="C351" s="1521"/>
      <c r="D351" s="1521"/>
      <c r="E351" s="1521"/>
      <c r="F351" s="1521"/>
      <c r="G351" s="1521"/>
      <c r="H351" s="1521"/>
      <c r="I351" s="1521"/>
      <c r="J351" s="1521"/>
      <c r="K351" s="1521"/>
      <c r="L351" s="1521"/>
      <c r="M351" s="1521"/>
      <c r="N351" s="1521"/>
      <c r="O351" s="1521"/>
      <c r="P351" s="1521"/>
      <c r="Q351" s="1521"/>
      <c r="R351" s="1521"/>
      <c r="S351" s="1521"/>
      <c r="T351" s="1521"/>
      <c r="U351" s="1519"/>
    </row>
    <row r="352" spans="1:21" ht="20.25" customHeight="1" thickBot="1" x14ac:dyDescent="0.3">
      <c r="A352" s="1291"/>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37" t="s">
        <v>1491</v>
      </c>
      <c r="D353" s="1522" t="s">
        <v>1740</v>
      </c>
      <c r="E353" s="1523"/>
      <c r="F353" s="1244"/>
      <c r="G353" s="1244"/>
      <c r="H353" s="1240" t="s">
        <v>1488</v>
      </c>
      <c r="I353" s="1244"/>
      <c r="J353" s="1240" t="s">
        <v>1489</v>
      </c>
      <c r="K353" s="1244"/>
      <c r="L353" s="1240" t="s">
        <v>1505</v>
      </c>
      <c r="M353" s="1244"/>
      <c r="N353" s="1240" t="s">
        <v>1490</v>
      </c>
      <c r="O353" s="1244"/>
      <c r="P353" s="1244"/>
      <c r="Q353" s="1244"/>
      <c r="R353" s="1240" t="s">
        <v>1599</v>
      </c>
      <c r="S353" s="1244"/>
      <c r="T353" s="1240" t="s">
        <v>1600</v>
      </c>
      <c r="U353" s="1244"/>
    </row>
    <row r="354" spans="1:21" ht="20.25" customHeight="1" thickBot="1" x14ac:dyDescent="0.3">
      <c r="A354" s="1291"/>
      <c r="B354" s="1244"/>
      <c r="C354" s="1232"/>
      <c r="D354" s="1232"/>
      <c r="E354" s="1232"/>
      <c r="F354" s="1244"/>
      <c r="G354" s="1244"/>
      <c r="H354" s="1278"/>
      <c r="I354" s="1244"/>
      <c r="J354" s="1230"/>
      <c r="K354" s="1244"/>
      <c r="L354" s="1230"/>
      <c r="M354" s="1244"/>
      <c r="N354" s="1278"/>
      <c r="O354" s="1244"/>
      <c r="P354" s="1244"/>
      <c r="Q354" s="1244"/>
      <c r="R354" s="1274" t="s">
        <v>1725</v>
      </c>
      <c r="S354" s="1244"/>
      <c r="T354" s="1274" t="s">
        <v>651</v>
      </c>
      <c r="U354" s="1244"/>
    </row>
    <row r="355" spans="1:21" ht="30.75" thickBot="1" x14ac:dyDescent="0.3">
      <c r="A355" s="1291"/>
      <c r="B355" s="1244"/>
      <c r="C355" s="1237" t="s">
        <v>1603</v>
      </c>
      <c r="D355" s="1518">
        <v>501</v>
      </c>
      <c r="E355" s="1524"/>
      <c r="F355" s="1244"/>
      <c r="G355" s="1244"/>
      <c r="H355" s="1244"/>
      <c r="I355" s="1244"/>
      <c r="J355" s="1244"/>
      <c r="K355" s="1244"/>
      <c r="L355" s="1244"/>
      <c r="M355" s="1244"/>
      <c r="N355" s="1244"/>
      <c r="O355" s="1244"/>
      <c r="P355" s="1244"/>
      <c r="Q355" s="1244"/>
      <c r="R355" s="1244"/>
      <c r="S355" s="1244"/>
      <c r="T355" s="1244"/>
      <c r="U355" s="1244"/>
    </row>
    <row r="356" spans="1:21" ht="20.25" customHeight="1" thickBot="1" x14ac:dyDescent="0.3">
      <c r="A356" s="1291"/>
      <c r="B356" s="1244"/>
      <c r="C356" s="1232"/>
      <c r="D356" s="1232"/>
      <c r="E356" s="1232"/>
      <c r="F356" s="1244"/>
      <c r="G356" s="1244"/>
      <c r="H356" s="1239" t="s">
        <v>1504</v>
      </c>
      <c r="I356" s="1244"/>
      <c r="J356" s="1244"/>
      <c r="K356" s="1244"/>
      <c r="L356" s="1244"/>
      <c r="M356" s="1244"/>
      <c r="N356" s="1244"/>
      <c r="O356" s="1244"/>
      <c r="P356" s="1244"/>
      <c r="Q356" s="1244"/>
      <c r="R356" s="1240" t="s">
        <v>1726</v>
      </c>
      <c r="S356" s="1244"/>
      <c r="T356" s="1240" t="s">
        <v>1727</v>
      </c>
      <c r="U356" s="1244"/>
    </row>
    <row r="357" spans="1:21" ht="18" customHeight="1" thickBot="1" x14ac:dyDescent="0.3">
      <c r="A357" s="1291"/>
      <c r="B357" s="1244"/>
      <c r="C357" s="1237" t="s">
        <v>1493</v>
      </c>
      <c r="D357" s="1525"/>
      <c r="E357" s="1524"/>
      <c r="F357" s="1244"/>
      <c r="G357" s="1244"/>
      <c r="H357" s="1203"/>
      <c r="I357" s="1244"/>
      <c r="J357" s="1244"/>
      <c r="K357" s="1244"/>
      <c r="L357" s="1244"/>
      <c r="M357" s="1244"/>
      <c r="N357" s="1244"/>
      <c r="O357" s="1244"/>
      <c r="P357" s="1244"/>
      <c r="Q357" s="1244"/>
      <c r="R357" s="1274" t="s">
        <v>1736</v>
      </c>
      <c r="S357" s="1244"/>
      <c r="T357" s="1274" t="s">
        <v>397</v>
      </c>
      <c r="U357" s="1244"/>
    </row>
    <row r="358" spans="1:21" ht="18" customHeight="1" thickBot="1" x14ac:dyDescent="0.3">
      <c r="A358" s="1291"/>
      <c r="B358" s="1244"/>
      <c r="C358" s="1232"/>
      <c r="D358" s="1232"/>
      <c r="E358" s="1232"/>
      <c r="F358" s="1244"/>
      <c r="G358" s="1244"/>
      <c r="H358" s="1244"/>
      <c r="I358" s="1244"/>
      <c r="J358" s="1244"/>
      <c r="K358" s="1244"/>
      <c r="L358" s="1244"/>
      <c r="M358" s="1244"/>
      <c r="N358" s="1244"/>
      <c r="O358" s="1244"/>
      <c r="P358" s="1244"/>
      <c r="Q358" s="1244"/>
      <c r="R358" s="1244"/>
      <c r="S358" s="1244"/>
      <c r="T358" s="1244"/>
      <c r="U358" s="1244"/>
    </row>
    <row r="359" spans="1:21" ht="30.75" thickBot="1" x14ac:dyDescent="0.3">
      <c r="A359" s="1291"/>
      <c r="B359" s="1244"/>
      <c r="C359" s="1237" t="s">
        <v>1494</v>
      </c>
      <c r="D359" s="1525"/>
      <c r="E359" s="1524"/>
      <c r="F359" s="1244"/>
      <c r="G359" s="1244"/>
      <c r="H359" s="1239" t="s">
        <v>1604</v>
      </c>
      <c r="I359" s="1244"/>
      <c r="J359" s="1244"/>
      <c r="K359" s="1244"/>
      <c r="L359" s="1244"/>
      <c r="M359" s="1244"/>
      <c r="N359" s="1244"/>
      <c r="O359" s="1244"/>
      <c r="P359" s="1244"/>
      <c r="Q359" s="1244"/>
      <c r="R359" s="1244"/>
      <c r="S359" s="1244"/>
      <c r="T359" s="1240" t="s">
        <v>1720</v>
      </c>
      <c r="U359" s="1244"/>
    </row>
    <row r="360" spans="1:21" ht="15.75" thickBot="1" x14ac:dyDescent="0.3">
      <c r="A360" s="1291"/>
      <c r="B360" s="1244"/>
      <c r="C360" s="1232"/>
      <c r="D360" s="1232"/>
      <c r="E360" s="1232"/>
      <c r="F360" s="1244"/>
      <c r="G360" s="1244"/>
      <c r="H360" s="1226" t="s">
        <v>651</v>
      </c>
      <c r="I360" s="1244"/>
      <c r="J360" s="1244"/>
      <c r="K360" s="1244"/>
      <c r="L360" s="1244"/>
      <c r="M360" s="1244"/>
      <c r="N360" s="1244"/>
      <c r="O360" s="1244"/>
      <c r="P360" s="1244"/>
      <c r="Q360" s="1244"/>
      <c r="R360" s="1244"/>
      <c r="S360" s="1244"/>
      <c r="T360" s="1274" t="s">
        <v>653</v>
      </c>
      <c r="U360" s="1244"/>
    </row>
    <row r="361" spans="1:21" ht="30" customHeight="1" thickBot="1" x14ac:dyDescent="0.3">
      <c r="A361" s="1291"/>
      <c r="B361" s="1244"/>
      <c r="C361" s="1238" t="s">
        <v>1607</v>
      </c>
      <c r="D361" s="1508" t="s">
        <v>651</v>
      </c>
      <c r="E361" s="1509"/>
      <c r="F361" s="1244"/>
      <c r="G361" s="1244"/>
      <c r="H361" s="1244"/>
      <c r="I361" s="1244"/>
      <c r="J361" s="1244"/>
      <c r="K361" s="1244"/>
      <c r="L361" s="1244"/>
      <c r="M361" s="1244"/>
      <c r="N361" s="1244"/>
      <c r="O361" s="1244"/>
      <c r="P361" s="1244"/>
      <c r="Q361" s="1244"/>
      <c r="R361" s="1244"/>
      <c r="S361" s="1244"/>
      <c r="T361" s="1244"/>
      <c r="U361" s="1244"/>
    </row>
    <row r="362" spans="1:21" ht="15.75" thickBot="1" x14ac:dyDescent="0.3">
      <c r="A362" s="1291"/>
      <c r="B362" s="1244"/>
      <c r="C362" s="1232"/>
      <c r="D362" s="1232"/>
      <c r="E362" s="1232"/>
      <c r="F362" s="1244"/>
      <c r="G362" s="1244"/>
      <c r="H362" s="1244"/>
      <c r="I362" s="1244"/>
      <c r="J362" s="1244"/>
      <c r="K362" s="1244"/>
      <c r="L362" s="1244"/>
      <c r="M362" s="1244"/>
      <c r="N362" s="1244"/>
      <c r="O362" s="1244"/>
      <c r="P362" s="1244"/>
      <c r="Q362" s="1244"/>
      <c r="R362" s="1244"/>
      <c r="S362" s="1244"/>
      <c r="T362" s="1244"/>
      <c r="U362" s="1244"/>
    </row>
    <row r="363" spans="1:21" ht="18" customHeight="1" thickBot="1" x14ac:dyDescent="0.3">
      <c r="A363" s="1291"/>
      <c r="B363" s="1244"/>
      <c r="C363" s="1237" t="s">
        <v>1608</v>
      </c>
      <c r="D363" s="1518" t="s">
        <v>1729</v>
      </c>
      <c r="E363" s="1519"/>
      <c r="F363" s="1244"/>
      <c r="G363" s="1244"/>
      <c r="H363" s="1244"/>
      <c r="I363" s="1244"/>
      <c r="J363" s="1244"/>
      <c r="K363" s="1244"/>
      <c r="L363" s="1244"/>
      <c r="M363" s="1244"/>
      <c r="N363" s="1244"/>
      <c r="O363" s="1244"/>
      <c r="P363" s="1244"/>
      <c r="Q363" s="1244"/>
      <c r="R363" s="1244"/>
      <c r="S363" s="1244"/>
      <c r="T363" s="1244"/>
      <c r="U363" s="1244"/>
    </row>
    <row r="364" spans="1:21" ht="15.75" thickBot="1" x14ac:dyDescent="0.3">
      <c r="A364" s="1291"/>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0.25" customHeight="1" thickBot="1" x14ac:dyDescent="0.3">
      <c r="A365" s="1291"/>
      <c r="B365" s="1520" t="s">
        <v>1741</v>
      </c>
      <c r="C365" s="1521"/>
      <c r="D365" s="1521"/>
      <c r="E365" s="1521"/>
      <c r="F365" s="1521"/>
      <c r="G365" s="1521"/>
      <c r="H365" s="1521"/>
      <c r="I365" s="1521"/>
      <c r="J365" s="1521"/>
      <c r="K365" s="1521"/>
      <c r="L365" s="1521"/>
      <c r="M365" s="1521"/>
      <c r="N365" s="1521"/>
      <c r="O365" s="1521"/>
      <c r="P365" s="1521"/>
      <c r="Q365" s="1521"/>
      <c r="R365" s="1521"/>
      <c r="S365" s="1521"/>
      <c r="T365" s="1521"/>
      <c r="U365" s="1519"/>
    </row>
    <row r="366" spans="1:21" ht="20.25" customHeight="1" thickBot="1" x14ac:dyDescent="0.3">
      <c r="A366" s="1291"/>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37" t="s">
        <v>1491</v>
      </c>
      <c r="D367" s="1522" t="s">
        <v>1740</v>
      </c>
      <c r="E367" s="1523"/>
      <c r="F367" s="1244"/>
      <c r="G367" s="1244"/>
      <c r="H367" s="1240" t="s">
        <v>1488</v>
      </c>
      <c r="I367" s="1244"/>
      <c r="J367" s="1240" t="s">
        <v>1489</v>
      </c>
      <c r="K367" s="1244"/>
      <c r="L367" s="1240" t="s">
        <v>1505</v>
      </c>
      <c r="M367" s="1244"/>
      <c r="N367" s="1240" t="s">
        <v>1490</v>
      </c>
      <c r="O367" s="1244"/>
      <c r="P367" s="1244"/>
      <c r="Q367" s="1244"/>
      <c r="R367" s="1240" t="s">
        <v>1599</v>
      </c>
      <c r="S367" s="1244"/>
      <c r="T367" s="1240" t="s">
        <v>1600</v>
      </c>
      <c r="U367" s="1244"/>
    </row>
    <row r="368" spans="1:21" ht="15.75" thickBot="1" x14ac:dyDescent="0.3">
      <c r="A368" s="1291"/>
      <c r="B368" s="1244"/>
      <c r="C368" s="1232"/>
      <c r="D368" s="1232"/>
      <c r="E368" s="1232"/>
      <c r="F368" s="1244"/>
      <c r="G368" s="1244"/>
      <c r="H368" s="1278"/>
      <c r="I368" s="1244"/>
      <c r="J368" s="1230"/>
      <c r="K368" s="1244"/>
      <c r="L368" s="1230"/>
      <c r="M368" s="1244"/>
      <c r="N368" s="1278"/>
      <c r="O368" s="1244"/>
      <c r="P368" s="1244"/>
      <c r="Q368" s="1244"/>
      <c r="R368" s="1274" t="s">
        <v>1725</v>
      </c>
      <c r="S368" s="1244"/>
      <c r="T368" s="1274" t="s">
        <v>651</v>
      </c>
      <c r="U368" s="1244"/>
    </row>
    <row r="369" spans="1:21" ht="30.75" thickBot="1" x14ac:dyDescent="0.3">
      <c r="A369" s="1291"/>
      <c r="B369" s="1244"/>
      <c r="C369" s="1237" t="s">
        <v>1603</v>
      </c>
      <c r="D369" s="1526">
        <v>502</v>
      </c>
      <c r="E369" s="1524"/>
      <c r="F369" s="1244"/>
      <c r="G369" s="1244"/>
      <c r="H369" s="1244"/>
      <c r="I369" s="1244"/>
      <c r="J369" s="1244"/>
      <c r="K369" s="1244"/>
      <c r="L369" s="1244"/>
      <c r="M369" s="1244"/>
      <c r="N369" s="1244"/>
      <c r="O369" s="1244"/>
      <c r="P369" s="1244"/>
      <c r="Q369" s="1244"/>
      <c r="R369" s="1244"/>
      <c r="S369" s="1244"/>
      <c r="T369" s="1244"/>
      <c r="U369" s="1244"/>
    </row>
    <row r="370" spans="1:21" ht="18" customHeight="1" thickBot="1" x14ac:dyDescent="0.3">
      <c r="A370" s="1291"/>
      <c r="B370" s="1244"/>
      <c r="C370" s="1232"/>
      <c r="D370" s="1232"/>
      <c r="E370" s="1232"/>
      <c r="F370" s="1244"/>
      <c r="G370" s="1244"/>
      <c r="H370" s="1239" t="s">
        <v>1504</v>
      </c>
      <c r="I370" s="1244"/>
      <c r="J370" s="1244"/>
      <c r="K370" s="1244"/>
      <c r="L370" s="1244"/>
      <c r="M370" s="1244"/>
      <c r="N370" s="1244"/>
      <c r="O370" s="1244"/>
      <c r="P370" s="1244"/>
      <c r="Q370" s="1244"/>
      <c r="R370" s="1240" t="s">
        <v>1726</v>
      </c>
      <c r="S370" s="1244"/>
      <c r="T370" s="1240" t="s">
        <v>1727</v>
      </c>
      <c r="U370" s="1244"/>
    </row>
    <row r="371" spans="1:21" ht="18" customHeight="1" thickBot="1" x14ac:dyDescent="0.3">
      <c r="A371" s="1291"/>
      <c r="B371" s="1244"/>
      <c r="C371" s="1237" t="s">
        <v>1493</v>
      </c>
      <c r="D371" s="1525"/>
      <c r="E371" s="1524"/>
      <c r="F371" s="1244"/>
      <c r="G371" s="1244"/>
      <c r="H371" s="1203"/>
      <c r="I371" s="1244"/>
      <c r="J371" s="1244"/>
      <c r="K371" s="1244"/>
      <c r="L371" s="1244"/>
      <c r="M371" s="1244"/>
      <c r="N371" s="1244"/>
      <c r="O371" s="1244"/>
      <c r="P371" s="1244"/>
      <c r="Q371" s="1244"/>
      <c r="R371" s="1274" t="s">
        <v>1736</v>
      </c>
      <c r="S371" s="1244"/>
      <c r="T371" s="1274" t="s">
        <v>397</v>
      </c>
      <c r="U371" s="1244"/>
    </row>
    <row r="372" spans="1:21" ht="15.75" thickBot="1" x14ac:dyDescent="0.3">
      <c r="A372" s="1291"/>
      <c r="B372" s="1244"/>
      <c r="C372" s="1232"/>
      <c r="D372" s="1232"/>
      <c r="E372" s="1232"/>
      <c r="F372" s="1244"/>
      <c r="G372" s="1244"/>
      <c r="H372" s="1244"/>
      <c r="I372" s="1244"/>
      <c r="J372" s="1244"/>
      <c r="K372" s="1244"/>
      <c r="L372" s="1244"/>
      <c r="M372" s="1244"/>
      <c r="N372" s="1244"/>
      <c r="O372" s="1244"/>
      <c r="P372" s="1244"/>
      <c r="Q372" s="1244"/>
      <c r="R372" s="1244"/>
      <c r="S372" s="1244"/>
      <c r="T372" s="1244"/>
      <c r="U372" s="1244"/>
    </row>
    <row r="373" spans="1:21" ht="30.75" thickBot="1" x14ac:dyDescent="0.3">
      <c r="A373" s="1291"/>
      <c r="B373" s="1244"/>
      <c r="C373" s="1237" t="s">
        <v>1494</v>
      </c>
      <c r="D373" s="1525"/>
      <c r="E373" s="1524"/>
      <c r="F373" s="1244"/>
      <c r="G373" s="1244"/>
      <c r="H373" s="1239" t="s">
        <v>1604</v>
      </c>
      <c r="I373" s="1244"/>
      <c r="J373" s="1244"/>
      <c r="K373" s="1244"/>
      <c r="L373" s="1244"/>
      <c r="M373" s="1244"/>
      <c r="N373" s="1244"/>
      <c r="O373" s="1244"/>
      <c r="P373" s="1244"/>
      <c r="Q373" s="1244"/>
      <c r="R373" s="1244"/>
      <c r="S373" s="1244"/>
      <c r="T373" s="1240" t="s">
        <v>1720</v>
      </c>
      <c r="U373" s="1244"/>
    </row>
    <row r="374" spans="1:21" ht="18" customHeight="1" thickBot="1" x14ac:dyDescent="0.3">
      <c r="A374" s="1291"/>
      <c r="B374" s="1244"/>
      <c r="C374" s="1232"/>
      <c r="D374" s="1232"/>
      <c r="E374" s="1232"/>
      <c r="F374" s="1244"/>
      <c r="G374" s="1244"/>
      <c r="H374" s="1226" t="s">
        <v>651</v>
      </c>
      <c r="I374" s="1244"/>
      <c r="J374" s="1244"/>
      <c r="K374" s="1244"/>
      <c r="L374" s="1244"/>
      <c r="M374" s="1244"/>
      <c r="N374" s="1244"/>
      <c r="O374" s="1244"/>
      <c r="P374" s="1244"/>
      <c r="Q374" s="1244"/>
      <c r="R374" s="1244"/>
      <c r="S374" s="1244"/>
      <c r="T374" s="1274" t="s">
        <v>653</v>
      </c>
      <c r="U374" s="1244"/>
    </row>
    <row r="375" spans="1:21" ht="30" customHeight="1" thickBot="1" x14ac:dyDescent="0.3">
      <c r="A375" s="1291"/>
      <c r="B375" s="1244"/>
      <c r="C375" s="1238" t="s">
        <v>1607</v>
      </c>
      <c r="D375" s="1508" t="s">
        <v>651</v>
      </c>
      <c r="E375" s="1509"/>
      <c r="F375" s="1244"/>
      <c r="G375" s="1244"/>
      <c r="H375" s="1244"/>
      <c r="I375" s="1244"/>
      <c r="J375" s="1244"/>
      <c r="K375" s="1244"/>
      <c r="L375" s="1244"/>
      <c r="M375" s="1244"/>
      <c r="N375" s="1244"/>
      <c r="O375" s="1244"/>
      <c r="P375" s="1244"/>
      <c r="Q375" s="1244"/>
      <c r="R375" s="1244"/>
      <c r="S375" s="1244"/>
      <c r="T375" s="1244"/>
      <c r="U375" s="1244"/>
    </row>
    <row r="376" spans="1:21" ht="15.75" thickBot="1" x14ac:dyDescent="0.3">
      <c r="A376" s="1291"/>
      <c r="B376" s="1244"/>
      <c r="C376" s="1232"/>
      <c r="D376" s="1232"/>
      <c r="E376" s="1232"/>
      <c r="F376" s="1244"/>
      <c r="G376" s="1244"/>
      <c r="H376" s="1244"/>
      <c r="I376" s="1244"/>
      <c r="J376" s="1244"/>
      <c r="K376" s="1244"/>
      <c r="L376" s="1244"/>
      <c r="M376" s="1244"/>
      <c r="N376" s="1244"/>
      <c r="O376" s="1244"/>
      <c r="P376" s="1244"/>
      <c r="Q376" s="1244"/>
      <c r="R376" s="1244"/>
      <c r="S376" s="1244"/>
      <c r="T376" s="1244"/>
      <c r="U376" s="1244"/>
    </row>
    <row r="377" spans="1:21" ht="16.5" customHeight="1" thickBot="1" x14ac:dyDescent="0.3">
      <c r="A377" s="1291"/>
      <c r="B377" s="1244"/>
      <c r="C377" s="1237" t="s">
        <v>1608</v>
      </c>
      <c r="D377" s="1518" t="s">
        <v>1729</v>
      </c>
      <c r="E377" s="1519"/>
      <c r="F377" s="1244"/>
      <c r="G377" s="1244"/>
      <c r="H377" s="1244"/>
      <c r="I377" s="1244"/>
      <c r="J377" s="1244"/>
      <c r="K377" s="1244"/>
      <c r="L377" s="1244"/>
      <c r="M377" s="1244"/>
      <c r="N377" s="1244"/>
      <c r="O377" s="1244"/>
      <c r="P377" s="1244"/>
      <c r="Q377" s="1244"/>
      <c r="R377" s="1244"/>
      <c r="S377" s="1244"/>
      <c r="T377" s="1244"/>
      <c r="U377" s="1244"/>
    </row>
    <row r="378" spans="1:21" s="1309" customFormat="1" ht="21" customHeight="1" thickBot="1" x14ac:dyDescent="0.3">
      <c r="B378" s="1244"/>
      <c r="C378" s="1310"/>
      <c r="D378" s="1311"/>
      <c r="E378" s="1312"/>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91"/>
      <c r="B379" s="1520" t="s">
        <v>1742</v>
      </c>
      <c r="C379" s="1521"/>
      <c r="D379" s="1521"/>
      <c r="E379" s="1521"/>
      <c r="F379" s="1521"/>
      <c r="G379" s="1521"/>
      <c r="H379" s="1521"/>
      <c r="I379" s="1521"/>
      <c r="J379" s="1521"/>
      <c r="K379" s="1521"/>
      <c r="L379" s="1521"/>
      <c r="M379" s="1521"/>
      <c r="N379" s="1521"/>
      <c r="O379" s="1521"/>
      <c r="P379" s="1521"/>
      <c r="Q379" s="1521"/>
      <c r="R379" s="1521"/>
      <c r="S379" s="1521"/>
      <c r="T379" s="1521"/>
      <c r="U379" s="1519"/>
    </row>
    <row r="380" spans="1:21" ht="20.25" customHeight="1" thickBot="1" x14ac:dyDescent="0.3">
      <c r="A380" s="1291"/>
      <c r="B380" s="1244"/>
      <c r="C380" s="1244"/>
      <c r="D380" s="1244"/>
      <c r="E380" s="1244"/>
      <c r="F380" s="1244"/>
      <c r="G380" s="1244"/>
      <c r="H380" s="1244"/>
      <c r="I380" s="1244"/>
      <c r="J380" s="1244"/>
      <c r="K380" s="1244"/>
      <c r="L380" s="1244"/>
      <c r="M380" s="1244"/>
      <c r="N380" s="1244"/>
      <c r="O380" s="1244"/>
      <c r="P380" s="1244"/>
      <c r="Q380" s="1244"/>
      <c r="R380" s="1244"/>
      <c r="S380" s="1244"/>
      <c r="T380" s="1244"/>
      <c r="U380" s="1244"/>
    </row>
    <row r="381" spans="1:21" ht="30.75" thickBot="1" x14ac:dyDescent="0.3">
      <c r="A381" s="134"/>
      <c r="B381" s="1244"/>
      <c r="C381" s="1237" t="s">
        <v>1491</v>
      </c>
      <c r="D381" s="1522" t="s">
        <v>1743</v>
      </c>
      <c r="E381" s="1523"/>
      <c r="F381" s="1244"/>
      <c r="G381" s="1244"/>
      <c r="H381" s="1240" t="s">
        <v>1488</v>
      </c>
      <c r="I381" s="1244"/>
      <c r="J381" s="1240" t="s">
        <v>1489</v>
      </c>
      <c r="K381" s="1244"/>
      <c r="L381" s="1240" t="s">
        <v>1505</v>
      </c>
      <c r="M381" s="1244"/>
      <c r="N381" s="1240" t="s">
        <v>1490</v>
      </c>
      <c r="O381" s="1244"/>
      <c r="P381" s="1240" t="s">
        <v>1598</v>
      </c>
      <c r="Q381" s="1244"/>
      <c r="R381" s="1240" t="s">
        <v>1599</v>
      </c>
      <c r="S381" s="1244"/>
      <c r="T381" s="1240" t="s">
        <v>1600</v>
      </c>
      <c r="U381" s="1244"/>
    </row>
    <row r="382" spans="1:21" ht="15.75" thickBot="1" x14ac:dyDescent="0.3">
      <c r="A382" s="1291"/>
      <c r="B382" s="1244"/>
      <c r="C382" s="1232"/>
      <c r="D382" s="1232"/>
      <c r="E382" s="1232"/>
      <c r="F382" s="1244"/>
      <c r="G382" s="1244"/>
      <c r="H382" s="1175"/>
      <c r="I382" s="1244"/>
      <c r="J382" s="1230"/>
      <c r="K382" s="1244"/>
      <c r="L382" s="1230"/>
      <c r="M382" s="1244"/>
      <c r="N382" s="1278"/>
      <c r="O382" s="1244"/>
      <c r="P382" s="1274" t="s">
        <v>1601</v>
      </c>
      <c r="Q382" s="1244"/>
      <c r="R382" s="1176" t="s">
        <v>1725</v>
      </c>
      <c r="S382" s="1244"/>
      <c r="T382" s="1176" t="s">
        <v>653</v>
      </c>
      <c r="U382" s="1244"/>
    </row>
    <row r="383" spans="1:21" ht="30.75" thickBot="1" x14ac:dyDescent="0.3">
      <c r="A383" s="1291"/>
      <c r="B383" s="1244"/>
      <c r="C383" s="1237" t="s">
        <v>1603</v>
      </c>
      <c r="D383" s="1518">
        <v>5601</v>
      </c>
      <c r="E383" s="1524"/>
      <c r="F383" s="1244"/>
      <c r="G383" s="1244"/>
      <c r="H383" s="1244"/>
      <c r="I383" s="1244"/>
      <c r="J383" s="1244"/>
      <c r="K383" s="1244"/>
      <c r="L383" s="1244"/>
      <c r="M383" s="1244"/>
      <c r="N383" s="1244"/>
      <c r="O383" s="1244"/>
      <c r="P383" s="1244"/>
      <c r="Q383" s="1244"/>
      <c r="R383" s="1244"/>
      <c r="S383" s="1244"/>
      <c r="T383" s="1244"/>
      <c r="U383" s="1244"/>
    </row>
    <row r="384" spans="1:21" ht="15.75" thickBot="1" x14ac:dyDescent="0.3">
      <c r="A384" s="1291"/>
      <c r="B384" s="1244"/>
      <c r="C384" s="1232"/>
      <c r="D384" s="1232"/>
      <c r="E384" s="1232"/>
      <c r="F384" s="1244"/>
      <c r="G384" s="1244"/>
      <c r="H384" s="1239" t="s">
        <v>1504</v>
      </c>
      <c r="I384" s="1244"/>
      <c r="J384" s="1240" t="s">
        <v>1592</v>
      </c>
      <c r="K384" s="1244"/>
      <c r="L384" s="1240" t="s">
        <v>751</v>
      </c>
      <c r="M384" s="1244"/>
      <c r="N384" s="1240" t="s">
        <v>1593</v>
      </c>
      <c r="O384" s="1244"/>
      <c r="P384" s="1244"/>
      <c r="Q384" s="1244"/>
      <c r="R384" s="1240" t="s">
        <v>1726</v>
      </c>
      <c r="S384" s="1244"/>
      <c r="T384" s="1240" t="s">
        <v>1727</v>
      </c>
      <c r="U384" s="1244"/>
    </row>
    <row r="385" spans="1:21" ht="18" customHeight="1" thickBot="1" x14ac:dyDescent="0.3">
      <c r="A385" s="1291"/>
      <c r="B385" s="1244"/>
      <c r="C385" s="1237" t="s">
        <v>1493</v>
      </c>
      <c r="D385" s="1525"/>
      <c r="E385" s="1524"/>
      <c r="F385" s="1244"/>
      <c r="G385" s="1244"/>
      <c r="H385" s="1203">
        <v>50000</v>
      </c>
      <c r="I385" s="1244"/>
      <c r="J385" s="1204">
        <v>1</v>
      </c>
      <c r="K385" s="1244"/>
      <c r="L385" s="1203"/>
      <c r="M385" s="1244"/>
      <c r="N385" s="1231"/>
      <c r="O385" s="1244"/>
      <c r="P385" s="1244"/>
      <c r="Q385" s="1244"/>
      <c r="R385" s="1274" t="s">
        <v>1736</v>
      </c>
      <c r="S385" s="1244"/>
      <c r="T385" s="1274" t="s">
        <v>397</v>
      </c>
      <c r="U385" s="1244"/>
    </row>
    <row r="386" spans="1:21" ht="15.75" thickBot="1" x14ac:dyDescent="0.3">
      <c r="A386" s="1291"/>
      <c r="B386" s="1244"/>
      <c r="C386" s="1232"/>
      <c r="D386" s="1232"/>
      <c r="E386" s="1232"/>
      <c r="F386" s="1244"/>
      <c r="G386" s="1244"/>
      <c r="H386" s="1244"/>
      <c r="I386" s="1244"/>
      <c r="J386" s="1204">
        <v>2</v>
      </c>
      <c r="K386" s="1244"/>
      <c r="L386" s="1203"/>
      <c r="M386" s="1244"/>
      <c r="N386" s="1231"/>
      <c r="O386" s="1244"/>
      <c r="P386" s="1244"/>
      <c r="Q386" s="1244"/>
      <c r="R386" s="1244"/>
      <c r="S386" s="1244"/>
      <c r="T386" s="1244"/>
      <c r="U386" s="1244"/>
    </row>
    <row r="387" spans="1:21" ht="30.75" thickBot="1" x14ac:dyDescent="0.3">
      <c r="A387" s="1291"/>
      <c r="B387" s="1244"/>
      <c r="C387" s="1237" t="s">
        <v>1494</v>
      </c>
      <c r="D387" s="1525"/>
      <c r="E387" s="1524"/>
      <c r="F387" s="1244"/>
      <c r="G387" s="1244"/>
      <c r="H387" s="1239" t="s">
        <v>1604</v>
      </c>
      <c r="I387" s="1244"/>
      <c r="J387" s="1204">
        <v>3</v>
      </c>
      <c r="K387" s="1244"/>
      <c r="L387" s="1203"/>
      <c r="M387" s="1244"/>
      <c r="N387" s="1231"/>
      <c r="O387" s="1244"/>
      <c r="P387" s="1244"/>
      <c r="Q387" s="1244"/>
      <c r="R387" s="1244"/>
      <c r="S387" s="1244"/>
      <c r="T387" s="1240" t="s">
        <v>1720</v>
      </c>
      <c r="U387" s="1244"/>
    </row>
    <row r="388" spans="1:21" ht="15.75" thickBot="1" x14ac:dyDescent="0.3">
      <c r="A388" s="1291"/>
      <c r="B388" s="1244"/>
      <c r="C388" s="1232"/>
      <c r="D388" s="1232"/>
      <c r="E388" s="1232"/>
      <c r="F388" s="1244"/>
      <c r="G388" s="1244"/>
      <c r="H388" s="1226" t="s">
        <v>651</v>
      </c>
      <c r="I388" s="1244"/>
      <c r="J388" s="1204">
        <v>4</v>
      </c>
      <c r="K388" s="1244"/>
      <c r="L388" s="1203"/>
      <c r="M388" s="1244"/>
      <c r="N388" s="1231"/>
      <c r="O388" s="1244"/>
      <c r="P388" s="1244"/>
      <c r="Q388" s="1244"/>
      <c r="R388" s="1244"/>
      <c r="S388" s="1244"/>
      <c r="T388" s="1274" t="s">
        <v>653</v>
      </c>
      <c r="U388" s="1244"/>
    </row>
    <row r="389" spans="1:21" ht="30" customHeight="1" thickBot="1" x14ac:dyDescent="0.3">
      <c r="A389" s="1291"/>
      <c r="B389" s="1244"/>
      <c r="C389" s="1238" t="s">
        <v>1607</v>
      </c>
      <c r="D389" s="1508" t="s">
        <v>651</v>
      </c>
      <c r="E389" s="1509"/>
      <c r="F389" s="1244"/>
      <c r="G389" s="1244"/>
      <c r="H389" s="1244"/>
      <c r="I389" s="1244"/>
      <c r="J389" s="1204">
        <v>5</v>
      </c>
      <c r="K389" s="1244"/>
      <c r="L389" s="1203"/>
      <c r="M389" s="1244"/>
      <c r="N389" s="1231"/>
      <c r="O389" s="1244"/>
      <c r="P389" s="1244"/>
      <c r="Q389" s="1244"/>
      <c r="R389" s="1244"/>
      <c r="S389" s="1244"/>
      <c r="T389" s="1244"/>
      <c r="U389" s="1244"/>
    </row>
    <row r="390" spans="1:21" ht="15.75" thickBot="1" x14ac:dyDescent="0.3">
      <c r="A390" s="1291"/>
      <c r="B390" s="1244"/>
      <c r="C390" s="1232"/>
      <c r="D390" s="1232"/>
      <c r="E390" s="1232"/>
      <c r="F390" s="1244"/>
      <c r="G390" s="1244"/>
      <c r="H390" s="1240" t="s">
        <v>1497</v>
      </c>
      <c r="I390" s="1244"/>
      <c r="J390" s="1244"/>
      <c r="K390" s="1244"/>
      <c r="L390" s="1244"/>
      <c r="M390" s="1244"/>
      <c r="N390" s="1244"/>
      <c r="O390" s="1244"/>
      <c r="P390" s="1244"/>
      <c r="Q390" s="1244"/>
      <c r="R390" s="1244"/>
      <c r="S390" s="1244"/>
      <c r="T390" s="1244"/>
      <c r="U390" s="1244"/>
    </row>
    <row r="391" spans="1:21" ht="18" customHeight="1" thickBot="1" x14ac:dyDescent="0.3">
      <c r="A391" s="1291"/>
      <c r="B391" s="1244"/>
      <c r="C391" s="1237" t="s">
        <v>1608</v>
      </c>
      <c r="D391" s="1518" t="s">
        <v>1729</v>
      </c>
      <c r="E391" s="1519"/>
      <c r="F391" s="1244"/>
      <c r="G391" s="1244"/>
      <c r="H391" s="1203">
        <v>1</v>
      </c>
      <c r="I391" s="1244"/>
      <c r="J391" s="1244"/>
      <c r="K391" s="1244"/>
      <c r="L391" s="1244"/>
      <c r="M391" s="1244"/>
      <c r="N391" s="1244"/>
      <c r="O391" s="1244"/>
      <c r="P391" s="1244"/>
      <c r="Q391" s="1244"/>
      <c r="R391" s="1244"/>
      <c r="S391" s="1244"/>
      <c r="T391" s="1244"/>
      <c r="U391" s="1244"/>
    </row>
    <row r="392" spans="1:21" ht="15.75" thickBot="1" x14ac:dyDescent="0.3">
      <c r="A392" s="1291"/>
      <c r="B392" s="1244"/>
      <c r="C392" s="1232"/>
      <c r="D392" s="1232"/>
      <c r="E392" s="1232"/>
      <c r="F392" s="1244"/>
      <c r="G392" s="1244"/>
      <c r="H392" s="1244"/>
      <c r="I392" s="1244"/>
      <c r="J392" s="1244"/>
      <c r="K392" s="1244"/>
      <c r="L392" s="1244"/>
      <c r="M392" s="1244"/>
      <c r="N392" s="1244"/>
      <c r="O392" s="1244"/>
      <c r="P392" s="1244"/>
      <c r="Q392" s="1244"/>
      <c r="R392" s="1244"/>
      <c r="S392" s="1244"/>
      <c r="T392" s="1244"/>
      <c r="U392" s="1244"/>
    </row>
    <row r="393" spans="1:21" ht="15.75" thickBot="1" x14ac:dyDescent="0.3">
      <c r="A393" s="1291"/>
      <c r="B393" s="1520" t="s">
        <v>1744</v>
      </c>
      <c r="C393" s="1521"/>
      <c r="D393" s="1521"/>
      <c r="E393" s="1521"/>
      <c r="F393" s="1521"/>
      <c r="G393" s="1521"/>
      <c r="H393" s="1521"/>
      <c r="I393" s="1521"/>
      <c r="J393" s="1521"/>
      <c r="K393" s="1521"/>
      <c r="L393" s="1521"/>
      <c r="M393" s="1521"/>
      <c r="N393" s="1521"/>
      <c r="O393" s="1521"/>
      <c r="P393" s="1521"/>
      <c r="Q393" s="1521"/>
      <c r="R393" s="1521"/>
      <c r="S393" s="1521"/>
      <c r="T393" s="1521"/>
      <c r="U393" s="1519"/>
    </row>
    <row r="394" spans="1:21" ht="15.75" thickBot="1" x14ac:dyDescent="0.3">
      <c r="A394" s="1291"/>
      <c r="B394" s="1244"/>
      <c r="C394" s="1244"/>
      <c r="D394" s="1244"/>
      <c r="E394" s="1244"/>
      <c r="F394" s="1244"/>
      <c r="G394" s="1244"/>
      <c r="H394" s="1244"/>
      <c r="I394" s="1244"/>
      <c r="J394" s="1244"/>
      <c r="K394" s="1244"/>
      <c r="L394" s="1244"/>
      <c r="M394" s="1244"/>
      <c r="N394" s="1244"/>
      <c r="O394" s="1244"/>
      <c r="P394" s="1244"/>
      <c r="Q394" s="1244"/>
      <c r="R394" s="1244"/>
      <c r="S394" s="1244"/>
      <c r="T394" s="1244"/>
      <c r="U394" s="1244"/>
    </row>
    <row r="395" spans="1:21" ht="30.75" thickBot="1" x14ac:dyDescent="0.3">
      <c r="A395" s="134"/>
      <c r="B395" s="1244"/>
      <c r="C395" s="1237" t="s">
        <v>1491</v>
      </c>
      <c r="D395" s="1522" t="s">
        <v>1743</v>
      </c>
      <c r="E395" s="1523"/>
      <c r="F395" s="1244"/>
      <c r="G395" s="1244"/>
      <c r="H395" s="1240" t="s">
        <v>1488</v>
      </c>
      <c r="I395" s="1244"/>
      <c r="J395" s="1240" t="s">
        <v>1489</v>
      </c>
      <c r="K395" s="1244"/>
      <c r="L395" s="1240" t="s">
        <v>1505</v>
      </c>
      <c r="M395" s="1244"/>
      <c r="N395" s="1240" t="s">
        <v>1490</v>
      </c>
      <c r="O395" s="1244"/>
      <c r="P395" s="1240" t="s">
        <v>1598</v>
      </c>
      <c r="Q395" s="1244"/>
      <c r="R395" s="1240" t="s">
        <v>1599</v>
      </c>
      <c r="S395" s="1244"/>
      <c r="T395" s="1240" t="s">
        <v>1600</v>
      </c>
      <c r="U395" s="1244"/>
    </row>
    <row r="396" spans="1:21" ht="15.75" thickBot="1" x14ac:dyDescent="0.3">
      <c r="A396" s="1291"/>
      <c r="B396" s="1244"/>
      <c r="C396" s="1232"/>
      <c r="D396" s="1232"/>
      <c r="E396" s="1232"/>
      <c r="F396" s="1244"/>
      <c r="G396" s="1244"/>
      <c r="H396" s="1175"/>
      <c r="I396" s="1244"/>
      <c r="J396" s="1230"/>
      <c r="K396" s="1244"/>
      <c r="L396" s="1230"/>
      <c r="M396" s="1244"/>
      <c r="N396" s="1278"/>
      <c r="O396" s="1244"/>
      <c r="P396" s="1274" t="s">
        <v>1601</v>
      </c>
      <c r="Q396" s="1244"/>
      <c r="R396" s="1176" t="s">
        <v>1725</v>
      </c>
      <c r="S396" s="1244"/>
      <c r="T396" s="1176" t="s">
        <v>653</v>
      </c>
      <c r="U396" s="1244"/>
    </row>
    <row r="397" spans="1:21" ht="30.75" thickBot="1" x14ac:dyDescent="0.3">
      <c r="A397" s="1291"/>
      <c r="B397" s="1244"/>
      <c r="C397" s="1237" t="s">
        <v>1603</v>
      </c>
      <c r="D397" s="1518">
        <v>5602</v>
      </c>
      <c r="E397" s="1524"/>
      <c r="F397" s="1244"/>
      <c r="G397" s="1244"/>
      <c r="H397" s="1244"/>
      <c r="I397" s="1244"/>
      <c r="J397" s="1244"/>
      <c r="K397" s="1244"/>
      <c r="L397" s="1244"/>
      <c r="M397" s="1244"/>
      <c r="N397" s="1244"/>
      <c r="O397" s="1244"/>
      <c r="P397" s="1244"/>
      <c r="Q397" s="1244"/>
      <c r="R397" s="1244"/>
      <c r="S397" s="1244"/>
      <c r="T397" s="1244"/>
      <c r="U397" s="1244"/>
    </row>
    <row r="398" spans="1:21" ht="15.75" thickBot="1" x14ac:dyDescent="0.3">
      <c r="A398" s="1291"/>
      <c r="B398" s="1244"/>
      <c r="C398" s="1232"/>
      <c r="D398" s="1232"/>
      <c r="E398" s="1232"/>
      <c r="F398" s="1244"/>
      <c r="G398" s="1244"/>
      <c r="H398" s="1239" t="s">
        <v>1504</v>
      </c>
      <c r="I398" s="1244"/>
      <c r="J398" s="1240" t="s">
        <v>1592</v>
      </c>
      <c r="K398" s="1244"/>
      <c r="L398" s="1240" t="s">
        <v>751</v>
      </c>
      <c r="M398" s="1244"/>
      <c r="N398" s="1240" t="s">
        <v>1593</v>
      </c>
      <c r="O398" s="1244"/>
      <c r="P398" s="1244"/>
      <c r="Q398" s="1244"/>
      <c r="R398" s="1240" t="s">
        <v>1726</v>
      </c>
      <c r="S398" s="1244"/>
      <c r="T398" s="1240" t="s">
        <v>1727</v>
      </c>
      <c r="U398" s="1244"/>
    </row>
    <row r="399" spans="1:21" ht="18" customHeight="1" thickBot="1" x14ac:dyDescent="0.3">
      <c r="A399" s="1291"/>
      <c r="B399" s="1244"/>
      <c r="C399" s="1237" t="s">
        <v>1493</v>
      </c>
      <c r="D399" s="1525"/>
      <c r="E399" s="1524"/>
      <c r="F399" s="1244"/>
      <c r="G399" s="1244"/>
      <c r="H399" s="1273">
        <v>75000</v>
      </c>
      <c r="I399" s="1244"/>
      <c r="J399" s="1204">
        <v>1</v>
      </c>
      <c r="K399" s="1244"/>
      <c r="L399" s="1231"/>
      <c r="M399" s="1244"/>
      <c r="N399" s="1231"/>
      <c r="O399" s="1244"/>
      <c r="P399" s="1244"/>
      <c r="Q399" s="1244"/>
      <c r="R399" s="1274" t="s">
        <v>1736</v>
      </c>
      <c r="S399" s="1244"/>
      <c r="T399" s="1274" t="s">
        <v>397</v>
      </c>
      <c r="U399" s="1244"/>
    </row>
    <row r="400" spans="1:21" ht="15.75" thickBot="1" x14ac:dyDescent="0.3">
      <c r="A400" s="1291"/>
      <c r="B400" s="1244"/>
      <c r="C400" s="1232"/>
      <c r="D400" s="1232"/>
      <c r="E400" s="1232"/>
      <c r="F400" s="1244"/>
      <c r="G400" s="1244"/>
      <c r="H400" s="1244"/>
      <c r="I400" s="1244"/>
      <c r="J400" s="1204">
        <v>2</v>
      </c>
      <c r="K400" s="1244"/>
      <c r="L400" s="1231"/>
      <c r="M400" s="1244"/>
      <c r="N400" s="1231"/>
      <c r="O400" s="1244"/>
      <c r="P400" s="1244"/>
      <c r="Q400" s="1244"/>
      <c r="R400" s="1244"/>
      <c r="S400" s="1244"/>
      <c r="T400" s="1244"/>
      <c r="U400" s="1244"/>
    </row>
    <row r="401" spans="1:21" ht="15.75" thickBot="1" x14ac:dyDescent="0.3">
      <c r="A401" s="1291"/>
      <c r="B401" s="1244"/>
      <c r="C401" s="1237" t="s">
        <v>1494</v>
      </c>
      <c r="D401" s="1525"/>
      <c r="E401" s="1524"/>
      <c r="F401" s="1244"/>
      <c r="G401" s="1244"/>
      <c r="H401" s="1239" t="s">
        <v>651</v>
      </c>
      <c r="I401" s="1244"/>
      <c r="J401" s="1204">
        <v>3</v>
      </c>
      <c r="K401" s="1244"/>
      <c r="L401" s="1231"/>
      <c r="M401" s="1244"/>
      <c r="N401" s="1231"/>
      <c r="O401" s="1244"/>
      <c r="P401" s="1244"/>
      <c r="Q401" s="1244"/>
      <c r="R401" s="1244"/>
      <c r="S401" s="1244"/>
      <c r="T401" s="1240" t="s">
        <v>1720</v>
      </c>
      <c r="U401" s="1244"/>
    </row>
    <row r="402" spans="1:21" ht="15.75" thickBot="1" x14ac:dyDescent="0.3">
      <c r="A402" s="1291"/>
      <c r="B402" s="1244"/>
      <c r="C402" s="1232"/>
      <c r="D402" s="1232"/>
      <c r="E402" s="1232"/>
      <c r="F402" s="1244"/>
      <c r="G402" s="1244"/>
      <c r="H402" s="1226" t="s">
        <v>651</v>
      </c>
      <c r="I402" s="1244"/>
      <c r="J402" s="1204">
        <v>4</v>
      </c>
      <c r="K402" s="1244"/>
      <c r="L402" s="1231"/>
      <c r="M402" s="1244"/>
      <c r="N402" s="1231"/>
      <c r="O402" s="1244"/>
      <c r="P402" s="1244"/>
      <c r="Q402" s="1244"/>
      <c r="R402" s="1244"/>
      <c r="S402" s="1244"/>
      <c r="T402" s="1274" t="s">
        <v>653</v>
      </c>
      <c r="U402" s="1244"/>
    </row>
    <row r="403" spans="1:21" ht="30" customHeight="1" thickBot="1" x14ac:dyDescent="0.3">
      <c r="A403" s="1291"/>
      <c r="B403" s="1244"/>
      <c r="C403" s="1238" t="s">
        <v>1607</v>
      </c>
      <c r="D403" s="1508" t="s">
        <v>651</v>
      </c>
      <c r="E403" s="1509"/>
      <c r="F403" s="1244"/>
      <c r="G403" s="1244"/>
      <c r="H403" s="1244"/>
      <c r="I403" s="1244"/>
      <c r="J403" s="1204">
        <v>5</v>
      </c>
      <c r="K403" s="1244"/>
      <c r="L403" s="1231"/>
      <c r="M403" s="1244"/>
      <c r="N403" s="1231"/>
      <c r="O403" s="1244"/>
      <c r="P403" s="1244"/>
      <c r="Q403" s="1244"/>
      <c r="R403" s="1244"/>
      <c r="S403" s="1244"/>
      <c r="T403" s="1244"/>
      <c r="U403" s="1244"/>
    </row>
    <row r="404" spans="1:21" ht="15.75" thickBot="1" x14ac:dyDescent="0.3">
      <c r="A404" s="1291"/>
      <c r="B404" s="1244"/>
      <c r="C404" s="1232"/>
      <c r="D404" s="1232"/>
      <c r="E404" s="1232"/>
      <c r="F404" s="1244"/>
      <c r="G404" s="1244"/>
      <c r="H404" s="1240" t="s">
        <v>1497</v>
      </c>
      <c r="I404" s="1244"/>
      <c r="J404" s="1244"/>
      <c r="K404" s="1244"/>
      <c r="L404" s="1244"/>
      <c r="M404" s="1244"/>
      <c r="N404" s="1244"/>
      <c r="O404" s="1244"/>
      <c r="P404" s="1244"/>
      <c r="Q404" s="1244"/>
      <c r="R404" s="1244"/>
      <c r="S404" s="1244"/>
      <c r="T404" s="1244"/>
      <c r="U404" s="1244"/>
    </row>
    <row r="405" spans="1:21" ht="18" customHeight="1" thickBot="1" x14ac:dyDescent="0.3">
      <c r="A405" s="1291"/>
      <c r="B405" s="1244"/>
      <c r="C405" s="1237" t="s">
        <v>1608</v>
      </c>
      <c r="D405" s="1518" t="s">
        <v>1729</v>
      </c>
      <c r="E405" s="1519"/>
      <c r="F405" s="1244"/>
      <c r="G405" s="1244"/>
      <c r="H405" s="1203"/>
      <c r="I405" s="1244"/>
      <c r="J405" s="1244"/>
      <c r="K405" s="1244"/>
      <c r="L405" s="1244"/>
      <c r="M405" s="1244"/>
      <c r="N405" s="1244"/>
      <c r="O405" s="1244"/>
      <c r="P405" s="1244"/>
      <c r="Q405" s="1244"/>
      <c r="R405" s="1244"/>
      <c r="S405" s="1244"/>
      <c r="T405" s="1244"/>
      <c r="U405" s="1244"/>
    </row>
    <row r="406" spans="1:21" ht="15.75" thickBot="1" x14ac:dyDescent="0.3">
      <c r="A406" s="1291"/>
      <c r="B406" s="1244"/>
      <c r="C406" s="1244"/>
      <c r="D406" s="1244"/>
      <c r="E406" s="1244"/>
      <c r="F406" s="1244"/>
      <c r="G406" s="1244"/>
      <c r="H406" s="1244"/>
      <c r="I406" s="1244"/>
      <c r="J406" s="1244"/>
      <c r="K406" s="1244"/>
      <c r="L406" s="1244"/>
      <c r="M406" s="1244"/>
      <c r="N406" s="1244"/>
      <c r="O406" s="1244"/>
      <c r="P406" s="1244"/>
      <c r="Q406" s="1244"/>
      <c r="R406" s="1244"/>
      <c r="S406" s="1244"/>
      <c r="T406" s="1244"/>
      <c r="U406" s="1244"/>
    </row>
    <row r="407" spans="1:21" ht="15.75" thickBot="1" x14ac:dyDescent="0.3">
      <c r="A407" s="1291"/>
      <c r="B407" s="1520" t="s">
        <v>1745</v>
      </c>
      <c r="C407" s="1521"/>
      <c r="D407" s="1521"/>
      <c r="E407" s="1521"/>
      <c r="F407" s="1521"/>
      <c r="G407" s="1521"/>
      <c r="H407" s="1521"/>
      <c r="I407" s="1521"/>
      <c r="J407" s="1521"/>
      <c r="K407" s="1521"/>
      <c r="L407" s="1521"/>
      <c r="M407" s="1521"/>
      <c r="N407" s="1521"/>
      <c r="O407" s="1521"/>
      <c r="P407" s="1521"/>
      <c r="Q407" s="1521"/>
      <c r="R407" s="1521"/>
      <c r="S407" s="1521"/>
      <c r="T407" s="1521"/>
      <c r="U407" s="1519"/>
    </row>
    <row r="408" spans="1:21" ht="15.75" thickBot="1" x14ac:dyDescent="0.3">
      <c r="A408" s="1291"/>
      <c r="B408" s="1244"/>
      <c r="C408" s="1244"/>
      <c r="D408" s="1244"/>
      <c r="E408" s="1244"/>
      <c r="F408" s="1244"/>
      <c r="G408" s="1244"/>
      <c r="H408" s="1244"/>
      <c r="I408" s="1244"/>
      <c r="J408" s="1244"/>
      <c r="K408" s="1244"/>
      <c r="L408" s="1244"/>
      <c r="M408" s="1244"/>
      <c r="N408" s="1244"/>
      <c r="O408" s="1244"/>
      <c r="P408" s="1244"/>
      <c r="Q408" s="1244"/>
      <c r="R408" s="1244"/>
      <c r="S408" s="1244"/>
      <c r="T408" s="1244"/>
      <c r="U408" s="1244"/>
    </row>
    <row r="409" spans="1:21" ht="30.75" thickBot="1" x14ac:dyDescent="0.3">
      <c r="A409" s="134"/>
      <c r="B409" s="1244"/>
      <c r="C409" s="1237" t="s">
        <v>1491</v>
      </c>
      <c r="D409" s="1522" t="s">
        <v>1746</v>
      </c>
      <c r="E409" s="1523"/>
      <c r="F409" s="1244"/>
      <c r="G409" s="1244"/>
      <c r="H409" s="1240" t="s">
        <v>1488</v>
      </c>
      <c r="I409" s="1244"/>
      <c r="J409" s="1240" t="s">
        <v>1489</v>
      </c>
      <c r="K409" s="1244"/>
      <c r="L409" s="1240" t="s">
        <v>1505</v>
      </c>
      <c r="M409" s="1244"/>
      <c r="N409" s="1240" t="s">
        <v>1490</v>
      </c>
      <c r="O409" s="1244"/>
      <c r="P409" s="1244"/>
      <c r="Q409" s="1244"/>
      <c r="R409" s="1240" t="s">
        <v>1599</v>
      </c>
      <c r="S409" s="1244"/>
      <c r="T409" s="1240" t="s">
        <v>1600</v>
      </c>
      <c r="U409" s="1244"/>
    </row>
    <row r="410" spans="1:21" ht="15.75" thickBot="1" x14ac:dyDescent="0.3">
      <c r="A410" s="1291"/>
      <c r="B410" s="1244"/>
      <c r="C410" s="1232"/>
      <c r="D410" s="1232"/>
      <c r="E410" s="1232"/>
      <c r="F410" s="1244"/>
      <c r="G410" s="1244"/>
      <c r="H410" s="1278"/>
      <c r="I410" s="1244"/>
      <c r="J410" s="1230"/>
      <c r="K410" s="1244"/>
      <c r="L410" s="1230"/>
      <c r="M410" s="1244"/>
      <c r="N410" s="1278"/>
      <c r="O410" s="1244"/>
      <c r="P410" s="1244"/>
      <c r="Q410" s="1244"/>
      <c r="R410" s="1274" t="s">
        <v>1725</v>
      </c>
      <c r="S410" s="1244"/>
      <c r="T410" s="1274" t="s">
        <v>651</v>
      </c>
      <c r="U410" s="1244"/>
    </row>
    <row r="411" spans="1:21" ht="30.75" thickBot="1" x14ac:dyDescent="0.3">
      <c r="A411" s="1291"/>
      <c r="B411" s="1244"/>
      <c r="C411" s="1237" t="s">
        <v>1603</v>
      </c>
      <c r="D411" s="1518">
        <v>601</v>
      </c>
      <c r="E411" s="1524"/>
      <c r="F411" s="1244"/>
      <c r="G411" s="1244"/>
      <c r="H411" s="1244"/>
      <c r="I411" s="1244"/>
      <c r="J411" s="1244"/>
      <c r="K411" s="1244"/>
      <c r="L411" s="1244"/>
      <c r="M411" s="1244"/>
      <c r="N411" s="1244"/>
      <c r="O411" s="1244"/>
      <c r="P411" s="1244"/>
      <c r="Q411" s="1244"/>
      <c r="R411" s="1244"/>
      <c r="S411" s="1244"/>
      <c r="T411" s="1244"/>
      <c r="U411" s="1244"/>
    </row>
    <row r="412" spans="1:21" ht="15.75" thickBot="1" x14ac:dyDescent="0.3">
      <c r="A412" s="1291"/>
      <c r="B412" s="1244"/>
      <c r="C412" s="1232"/>
      <c r="D412" s="1232"/>
      <c r="E412" s="1232"/>
      <c r="F412" s="1244"/>
      <c r="G412" s="1244"/>
      <c r="H412" s="1239" t="s">
        <v>1504</v>
      </c>
      <c r="I412" s="1244"/>
      <c r="J412" s="1240" t="s">
        <v>1592</v>
      </c>
      <c r="K412" s="1244"/>
      <c r="L412" s="1240" t="s">
        <v>751</v>
      </c>
      <c r="M412" s="1244"/>
      <c r="N412" s="1543" t="s">
        <v>1747</v>
      </c>
      <c r="O412" s="1543"/>
      <c r="P412" s="1543"/>
      <c r="Q412" s="1244"/>
      <c r="R412" s="1240" t="s">
        <v>1726</v>
      </c>
      <c r="S412" s="1244"/>
      <c r="T412" s="1240" t="s">
        <v>1727</v>
      </c>
      <c r="U412" s="1244"/>
    </row>
    <row r="413" spans="1:21" ht="30.75" customHeight="1" thickBot="1" x14ac:dyDescent="0.3">
      <c r="A413" s="1291"/>
      <c r="B413" s="1244"/>
      <c r="C413" s="1237" t="s">
        <v>1493</v>
      </c>
      <c r="D413" s="1525"/>
      <c r="E413" s="1524"/>
      <c r="F413" s="1244"/>
      <c r="G413" s="1244"/>
      <c r="H413" s="1203">
        <v>50000</v>
      </c>
      <c r="I413" s="1244"/>
      <c r="J413" s="1204">
        <v>1</v>
      </c>
      <c r="K413" s="1244"/>
      <c r="L413" s="1203"/>
      <c r="M413" s="1244"/>
      <c r="N413" s="1544" t="s">
        <v>1748</v>
      </c>
      <c r="O413" s="1544"/>
      <c r="P413" s="1544"/>
      <c r="Q413" s="1244"/>
      <c r="R413" s="1274" t="s">
        <v>1736</v>
      </c>
      <c r="S413" s="1244"/>
      <c r="T413" s="1274" t="s">
        <v>397</v>
      </c>
      <c r="U413" s="1244"/>
    </row>
    <row r="414" spans="1:21" ht="29.25" customHeight="1" thickBot="1" x14ac:dyDescent="0.3">
      <c r="A414" s="1291"/>
      <c r="B414" s="1244"/>
      <c r="C414" s="1232"/>
      <c r="D414" s="1232"/>
      <c r="E414" s="1232"/>
      <c r="F414" s="1244"/>
      <c r="G414" s="1244"/>
      <c r="H414" s="1244"/>
      <c r="I414" s="1244"/>
      <c r="J414" s="1204">
        <v>2</v>
      </c>
      <c r="K414" s="1244"/>
      <c r="L414" s="1203"/>
      <c r="M414" s="1244"/>
      <c r="N414" s="1545" t="s">
        <v>1749</v>
      </c>
      <c r="O414" s="1545"/>
      <c r="P414" s="1545"/>
      <c r="Q414" s="1244"/>
      <c r="R414" s="1244"/>
      <c r="S414" s="1244"/>
      <c r="T414" s="1244"/>
      <c r="U414" s="1244"/>
    </row>
    <row r="415" spans="1:21" ht="30.75" thickBot="1" x14ac:dyDescent="0.3">
      <c r="A415" s="1291"/>
      <c r="B415" s="1244"/>
      <c r="C415" s="1237" t="s">
        <v>1494</v>
      </c>
      <c r="D415" s="1525"/>
      <c r="E415" s="1524"/>
      <c r="F415" s="1244"/>
      <c r="G415" s="1244"/>
      <c r="H415" s="1239" t="s">
        <v>1604</v>
      </c>
      <c r="I415" s="1244"/>
      <c r="J415" s="1204">
        <v>3</v>
      </c>
      <c r="K415" s="1244"/>
      <c r="L415" s="1231"/>
      <c r="M415" s="1244"/>
      <c r="N415" s="1545" t="s">
        <v>1750</v>
      </c>
      <c r="O415" s="1545"/>
      <c r="P415" s="1545"/>
      <c r="Q415" s="1244"/>
      <c r="R415" s="1244"/>
      <c r="S415" s="1244"/>
      <c r="T415" s="1240" t="s">
        <v>1720</v>
      </c>
      <c r="U415" s="1244"/>
    </row>
    <row r="416" spans="1:21" ht="29.25" customHeight="1" thickBot="1" x14ac:dyDescent="0.3">
      <c r="A416" s="1291"/>
      <c r="B416" s="1244"/>
      <c r="C416" s="1232"/>
      <c r="D416" s="1232"/>
      <c r="E416" s="1232"/>
      <c r="F416" s="1244"/>
      <c r="G416" s="1244"/>
      <c r="H416" s="1226" t="s">
        <v>651</v>
      </c>
      <c r="I416" s="1244"/>
      <c r="J416" s="1204">
        <v>4</v>
      </c>
      <c r="K416" s="1244"/>
      <c r="L416" s="1231"/>
      <c r="M416" s="1244"/>
      <c r="N416" s="1544" t="s">
        <v>1751</v>
      </c>
      <c r="O416" s="1544"/>
      <c r="P416" s="1544"/>
      <c r="Q416" s="1244"/>
      <c r="R416" s="1244"/>
      <c r="S416" s="1244"/>
      <c r="T416" s="1274" t="s">
        <v>653</v>
      </c>
      <c r="U416" s="1244"/>
    </row>
    <row r="417" spans="1:21" ht="30.75" thickBot="1" x14ac:dyDescent="0.3">
      <c r="A417" s="1291"/>
      <c r="B417" s="1244"/>
      <c r="C417" s="1238" t="s">
        <v>1607</v>
      </c>
      <c r="D417" s="1508" t="s">
        <v>651</v>
      </c>
      <c r="E417" s="1509"/>
      <c r="F417" s="1244"/>
      <c r="G417" s="1244"/>
      <c r="H417" s="1244"/>
      <c r="I417" s="1244"/>
      <c r="J417" s="1204">
        <v>5</v>
      </c>
      <c r="K417" s="1244"/>
      <c r="L417" s="1231"/>
      <c r="M417" s="1244"/>
      <c r="N417" s="1544" t="s">
        <v>1752</v>
      </c>
      <c r="O417" s="1544"/>
      <c r="P417" s="1544"/>
      <c r="Q417" s="1244"/>
      <c r="R417" s="1244"/>
      <c r="S417" s="1244"/>
      <c r="T417" s="1244"/>
      <c r="U417" s="1244"/>
    </row>
    <row r="418" spans="1:21" ht="15.75" thickBot="1" x14ac:dyDescent="0.3">
      <c r="A418" s="1291"/>
      <c r="B418" s="1244"/>
      <c r="C418" s="1232"/>
      <c r="D418" s="1232"/>
      <c r="E418" s="1232"/>
      <c r="F418" s="1244"/>
      <c r="G418" s="1244"/>
      <c r="H418" s="1244"/>
      <c r="I418" s="1244"/>
      <c r="J418" s="1244"/>
      <c r="K418" s="1244"/>
      <c r="L418" s="1244"/>
      <c r="M418" s="1244"/>
      <c r="N418" s="1244"/>
      <c r="O418" s="1244"/>
      <c r="P418" s="1244"/>
      <c r="Q418" s="1244"/>
      <c r="R418" s="1244"/>
      <c r="S418" s="1244"/>
      <c r="T418" s="1244"/>
      <c r="U418" s="1244"/>
    </row>
    <row r="419" spans="1:21" ht="15.75" thickBot="1" x14ac:dyDescent="0.3">
      <c r="A419" s="1291"/>
      <c r="B419" s="1244"/>
      <c r="C419" s="1237" t="s">
        <v>1608</v>
      </c>
      <c r="D419" s="1518" t="s">
        <v>1729</v>
      </c>
      <c r="E419" s="1519"/>
      <c r="F419" s="1244"/>
      <c r="G419" s="1244"/>
      <c r="H419" s="1244"/>
      <c r="I419" s="1244"/>
      <c r="J419" s="1244"/>
      <c r="K419" s="1244"/>
      <c r="L419" s="1244"/>
      <c r="M419" s="1244"/>
      <c r="N419" s="1244"/>
      <c r="O419" s="1244"/>
      <c r="P419" s="1244"/>
      <c r="Q419" s="1244"/>
      <c r="R419" s="1244"/>
      <c r="S419" s="1244"/>
      <c r="T419" s="1244"/>
      <c r="U419" s="1244"/>
    </row>
    <row r="420" spans="1:21" ht="15.75" thickBot="1" x14ac:dyDescent="0.3">
      <c r="A420" s="1291"/>
      <c r="B420" s="1244"/>
      <c r="C420" s="1244"/>
      <c r="D420" s="1244"/>
      <c r="E420" s="1244"/>
      <c r="F420" s="1244"/>
      <c r="G420" s="1244"/>
      <c r="H420" s="1244"/>
      <c r="I420" s="1244"/>
      <c r="J420" s="1244"/>
      <c r="K420" s="1244"/>
      <c r="L420" s="1244"/>
      <c r="M420" s="1244"/>
      <c r="N420" s="1244"/>
      <c r="O420" s="1244"/>
      <c r="P420" s="1244"/>
      <c r="Q420" s="1244"/>
      <c r="R420" s="1244"/>
      <c r="S420" s="1244"/>
      <c r="T420" s="1244"/>
      <c r="U420" s="1244"/>
    </row>
    <row r="421" spans="1:21" ht="21" customHeight="1" thickBot="1" x14ac:dyDescent="0.3">
      <c r="A421" s="1291"/>
      <c r="B421" s="1520" t="s">
        <v>1753</v>
      </c>
      <c r="C421" s="1521"/>
      <c r="D421" s="1521"/>
      <c r="E421" s="1521"/>
      <c r="F421" s="1521"/>
      <c r="G421" s="1521"/>
      <c r="H421" s="1521"/>
      <c r="I421" s="1521"/>
      <c r="J421" s="1521"/>
      <c r="K421" s="1521"/>
      <c r="L421" s="1521"/>
      <c r="M421" s="1521"/>
      <c r="N421" s="1521"/>
      <c r="O421" s="1521"/>
      <c r="P421" s="1521"/>
      <c r="Q421" s="1521"/>
      <c r="R421" s="1521"/>
      <c r="S421" s="1521"/>
      <c r="T421" s="1521"/>
      <c r="U421" s="1519"/>
    </row>
    <row r="422" spans="1:21" ht="15.75" thickBot="1" x14ac:dyDescent="0.3">
      <c r="A422" s="1291"/>
      <c r="B422" s="1244"/>
      <c r="C422" s="1244"/>
      <c r="D422" s="1244"/>
      <c r="E422" s="1244"/>
      <c r="F422" s="1244"/>
      <c r="G422" s="1244"/>
      <c r="H422" s="1244"/>
      <c r="I422" s="1244"/>
      <c r="J422" s="1244"/>
      <c r="K422" s="1244"/>
      <c r="L422" s="1244"/>
      <c r="M422" s="1244"/>
      <c r="N422" s="1244"/>
      <c r="O422" s="1244"/>
      <c r="P422" s="1244"/>
      <c r="Q422" s="1244"/>
      <c r="R422" s="1244"/>
      <c r="S422" s="1244"/>
      <c r="T422" s="1244"/>
      <c r="U422" s="1244"/>
    </row>
    <row r="423" spans="1:21" ht="30.75" thickBot="1" x14ac:dyDescent="0.3">
      <c r="A423" s="134"/>
      <c r="B423" s="1244"/>
      <c r="C423" s="1237" t="s">
        <v>1491</v>
      </c>
      <c r="D423" s="1522" t="s">
        <v>1746</v>
      </c>
      <c r="E423" s="1523"/>
      <c r="F423" s="1244"/>
      <c r="G423" s="1244"/>
      <c r="H423" s="1240" t="s">
        <v>1488</v>
      </c>
      <c r="I423" s="1244"/>
      <c r="J423" s="1240" t="s">
        <v>1489</v>
      </c>
      <c r="K423" s="1244"/>
      <c r="L423" s="1240" t="s">
        <v>1505</v>
      </c>
      <c r="M423" s="1244"/>
      <c r="N423" s="1240" t="s">
        <v>1490</v>
      </c>
      <c r="O423" s="1244"/>
      <c r="P423" s="1244"/>
      <c r="Q423" s="1244"/>
      <c r="R423" s="1240" t="s">
        <v>1599</v>
      </c>
      <c r="S423" s="1244"/>
      <c r="T423" s="1240" t="s">
        <v>1600</v>
      </c>
      <c r="U423" s="1244"/>
    </row>
    <row r="424" spans="1:21" ht="15.75" thickBot="1" x14ac:dyDescent="0.3">
      <c r="A424" s="1291"/>
      <c r="B424" s="1244"/>
      <c r="C424" s="1232"/>
      <c r="D424" s="1232"/>
      <c r="E424" s="1232"/>
      <c r="F424" s="1244"/>
      <c r="G424" s="1244"/>
      <c r="H424" s="1278"/>
      <c r="I424" s="1244"/>
      <c r="J424" s="1230"/>
      <c r="K424" s="1244"/>
      <c r="L424" s="1230"/>
      <c r="M424" s="1244"/>
      <c r="N424" s="1278"/>
      <c r="O424" s="1244"/>
      <c r="P424" s="1244"/>
      <c r="Q424" s="1244"/>
      <c r="R424" s="1274" t="s">
        <v>1725</v>
      </c>
      <c r="S424" s="1244"/>
      <c r="T424" s="1274" t="s">
        <v>651</v>
      </c>
      <c r="U424" s="1244"/>
    </row>
    <row r="425" spans="1:21" ht="30.75" thickBot="1" x14ac:dyDescent="0.3">
      <c r="A425" s="1291"/>
      <c r="B425" s="1244"/>
      <c r="C425" s="1237" t="s">
        <v>1603</v>
      </c>
      <c r="D425" s="1518">
        <v>602</v>
      </c>
      <c r="E425" s="1524"/>
      <c r="F425" s="1244"/>
      <c r="G425" s="1244"/>
      <c r="H425" s="1244"/>
      <c r="I425" s="1244"/>
      <c r="J425" s="1244"/>
      <c r="K425" s="1244"/>
      <c r="L425" s="1244"/>
      <c r="M425" s="1244"/>
      <c r="N425" s="1244"/>
      <c r="O425" s="1244"/>
      <c r="P425" s="1244"/>
      <c r="Q425" s="1244"/>
      <c r="R425" s="1244"/>
      <c r="S425" s="1244"/>
      <c r="T425" s="1244"/>
      <c r="U425" s="1244"/>
    </row>
    <row r="426" spans="1:21" ht="15.75" thickBot="1" x14ac:dyDescent="0.3">
      <c r="A426" s="1291"/>
      <c r="B426" s="1244"/>
      <c r="C426" s="1232"/>
      <c r="D426" s="1232"/>
      <c r="E426" s="1232"/>
      <c r="F426" s="1244"/>
      <c r="G426" s="1244"/>
      <c r="H426" s="1239" t="s">
        <v>1504</v>
      </c>
      <c r="I426" s="1244"/>
      <c r="J426" s="1240" t="s">
        <v>1592</v>
      </c>
      <c r="K426" s="1244"/>
      <c r="L426" s="1240" t="s">
        <v>751</v>
      </c>
      <c r="M426" s="1244"/>
      <c r="N426" s="1543" t="s">
        <v>1747</v>
      </c>
      <c r="O426" s="1543"/>
      <c r="P426" s="1543"/>
      <c r="Q426" s="1244"/>
      <c r="R426" s="1240" t="s">
        <v>1726</v>
      </c>
      <c r="S426" s="1244"/>
      <c r="T426" s="1240" t="s">
        <v>1727</v>
      </c>
      <c r="U426" s="1244"/>
    </row>
    <row r="427" spans="1:21" ht="30.75" customHeight="1" thickBot="1" x14ac:dyDescent="0.3">
      <c r="A427" s="1291"/>
      <c r="B427" s="1244"/>
      <c r="C427" s="1237" t="s">
        <v>1493</v>
      </c>
      <c r="D427" s="1525"/>
      <c r="E427" s="1524"/>
      <c r="F427" s="1244"/>
      <c r="G427" s="1244"/>
      <c r="H427" s="1273"/>
      <c r="I427" s="1244"/>
      <c r="J427" s="1204">
        <v>1</v>
      </c>
      <c r="K427" s="1244"/>
      <c r="L427" s="1231"/>
      <c r="M427" s="1244"/>
      <c r="N427" s="1544" t="s">
        <v>1748</v>
      </c>
      <c r="O427" s="1544"/>
      <c r="P427" s="1544"/>
      <c r="Q427" s="1244"/>
      <c r="R427" s="1274" t="s">
        <v>1736</v>
      </c>
      <c r="S427" s="1244"/>
      <c r="T427" s="1274" t="s">
        <v>397</v>
      </c>
      <c r="U427" s="1244"/>
    </row>
    <row r="428" spans="1:21" ht="30.75" customHeight="1" thickBot="1" x14ac:dyDescent="0.3">
      <c r="A428" s="1291"/>
      <c r="B428" s="1244"/>
      <c r="C428" s="1232"/>
      <c r="D428" s="1232"/>
      <c r="E428" s="1232"/>
      <c r="F428" s="1244"/>
      <c r="G428" s="1244"/>
      <c r="H428" s="1244"/>
      <c r="I428" s="1244"/>
      <c r="J428" s="1204">
        <v>2</v>
      </c>
      <c r="K428" s="1244"/>
      <c r="L428" s="1231"/>
      <c r="M428" s="1244"/>
      <c r="N428" s="1544" t="s">
        <v>1749</v>
      </c>
      <c r="O428" s="1544"/>
      <c r="P428" s="1544"/>
      <c r="Q428" s="1244"/>
      <c r="R428" s="1244"/>
      <c r="S428" s="1244"/>
      <c r="T428" s="1244"/>
      <c r="U428" s="1244"/>
    </row>
    <row r="429" spans="1:21" ht="30.75" thickBot="1" x14ac:dyDescent="0.3">
      <c r="A429" s="1291"/>
      <c r="B429" s="1244"/>
      <c r="C429" s="1237" t="s">
        <v>1494</v>
      </c>
      <c r="D429" s="1525"/>
      <c r="E429" s="1524"/>
      <c r="F429" s="1244"/>
      <c r="G429" s="1244"/>
      <c r="H429" s="1239" t="s">
        <v>1604</v>
      </c>
      <c r="I429" s="1244"/>
      <c r="J429" s="1204">
        <v>3</v>
      </c>
      <c r="K429" s="1244"/>
      <c r="L429" s="1231"/>
      <c r="M429" s="1244"/>
      <c r="N429" s="1544" t="s">
        <v>1750</v>
      </c>
      <c r="O429" s="1544"/>
      <c r="P429" s="1544"/>
      <c r="Q429" s="1244"/>
      <c r="R429" s="1244"/>
      <c r="S429" s="1244"/>
      <c r="T429" s="1240" t="s">
        <v>1720</v>
      </c>
      <c r="U429" s="1244"/>
    </row>
    <row r="430" spans="1:21" ht="30" customHeight="1" thickBot="1" x14ac:dyDescent="0.3">
      <c r="A430" s="1291"/>
      <c r="B430" s="1244"/>
      <c r="C430" s="1232"/>
      <c r="D430" s="1232"/>
      <c r="E430" s="1232"/>
      <c r="F430" s="1244"/>
      <c r="G430" s="1244"/>
      <c r="H430" s="1226" t="s">
        <v>651</v>
      </c>
      <c r="I430" s="1244"/>
      <c r="J430" s="1204">
        <v>4</v>
      </c>
      <c r="K430" s="1244"/>
      <c r="L430" s="1231"/>
      <c r="M430" s="1244"/>
      <c r="N430" s="1544" t="s">
        <v>1751</v>
      </c>
      <c r="O430" s="1544"/>
      <c r="P430" s="1544"/>
      <c r="Q430" s="1244"/>
      <c r="R430" s="1244"/>
      <c r="S430" s="1244"/>
      <c r="T430" s="1274" t="s">
        <v>653</v>
      </c>
      <c r="U430" s="1244"/>
    </row>
    <row r="431" spans="1:21" ht="30.75" thickBot="1" x14ac:dyDescent="0.3">
      <c r="A431" s="1291"/>
      <c r="B431" s="1244"/>
      <c r="C431" s="1238" t="s">
        <v>1607</v>
      </c>
      <c r="D431" s="1508" t="s">
        <v>651</v>
      </c>
      <c r="E431" s="1509"/>
      <c r="F431" s="1244"/>
      <c r="G431" s="1244"/>
      <c r="H431" s="1244"/>
      <c r="I431" s="1244"/>
      <c r="J431" s="1204">
        <v>5</v>
      </c>
      <c r="K431" s="1244"/>
      <c r="L431" s="1231"/>
      <c r="M431" s="1244"/>
      <c r="N431" s="1544" t="s">
        <v>1752</v>
      </c>
      <c r="O431" s="1544"/>
      <c r="P431" s="1544"/>
      <c r="Q431" s="1244"/>
      <c r="R431" s="1244"/>
      <c r="S431" s="1244"/>
      <c r="T431" s="1244"/>
      <c r="U431" s="1244"/>
    </row>
    <row r="432" spans="1:21" ht="15.75" thickBot="1" x14ac:dyDescent="0.3">
      <c r="A432" s="1291"/>
      <c r="B432" s="1244"/>
      <c r="C432" s="1232"/>
      <c r="D432" s="1232"/>
      <c r="E432" s="1232"/>
      <c r="F432" s="1244"/>
      <c r="G432" s="1244"/>
      <c r="H432" s="1244"/>
      <c r="I432" s="1244"/>
      <c r="J432" s="1244"/>
      <c r="K432" s="1244"/>
      <c r="L432" s="1244"/>
      <c r="M432" s="1244"/>
      <c r="N432" s="1244"/>
      <c r="O432" s="1244"/>
      <c r="P432" s="1244"/>
      <c r="Q432" s="1244"/>
      <c r="R432" s="1244"/>
      <c r="S432" s="1244"/>
      <c r="T432" s="1244"/>
      <c r="U432" s="1244"/>
    </row>
    <row r="433" spans="1:21" ht="18" customHeight="1" thickBot="1" x14ac:dyDescent="0.3">
      <c r="A433" s="1291"/>
      <c r="B433" s="1244"/>
      <c r="C433" s="1237" t="s">
        <v>1608</v>
      </c>
      <c r="D433" s="1518" t="s">
        <v>1729</v>
      </c>
      <c r="E433" s="1519"/>
      <c r="F433" s="1244"/>
      <c r="G433" s="1244"/>
      <c r="H433" s="1244"/>
      <c r="I433" s="1244"/>
      <c r="J433" s="1244"/>
      <c r="K433" s="1244"/>
      <c r="L433" s="1244"/>
      <c r="M433" s="1244"/>
      <c r="N433" s="1244"/>
      <c r="O433" s="1244"/>
      <c r="P433" s="1244"/>
      <c r="Q433" s="1244"/>
      <c r="R433" s="1244"/>
      <c r="S433" s="1244"/>
      <c r="T433" s="1244"/>
      <c r="U433" s="1244"/>
    </row>
    <row r="434" spans="1:21" ht="15.75" thickBot="1" x14ac:dyDescent="0.3">
      <c r="A434" s="1291"/>
      <c r="B434" s="1244"/>
      <c r="C434" s="1244"/>
      <c r="D434" s="1244"/>
      <c r="E434" s="1244"/>
      <c r="F434" s="1244"/>
      <c r="G434" s="1244"/>
      <c r="H434" s="1244"/>
      <c r="I434" s="1244"/>
      <c r="J434" s="1244"/>
      <c r="K434" s="1244"/>
      <c r="L434" s="1244"/>
      <c r="M434" s="1244"/>
      <c r="N434" s="1244"/>
      <c r="O434" s="1244"/>
      <c r="P434" s="1244"/>
      <c r="Q434" s="1244"/>
      <c r="R434" s="1244"/>
      <c r="S434" s="1244"/>
      <c r="T434" s="1244"/>
      <c r="U434" s="1244"/>
    </row>
    <row r="435" spans="1:21" ht="20.25" customHeight="1" thickBot="1" x14ac:dyDescent="0.3">
      <c r="A435" s="1291"/>
      <c r="B435" s="1520" t="s">
        <v>1754</v>
      </c>
      <c r="C435" s="1521"/>
      <c r="D435" s="1521"/>
      <c r="E435" s="1521"/>
      <c r="F435" s="1521"/>
      <c r="G435" s="1521"/>
      <c r="H435" s="1521"/>
      <c r="I435" s="1521"/>
      <c r="J435" s="1521"/>
      <c r="K435" s="1521"/>
      <c r="L435" s="1521"/>
      <c r="M435" s="1521"/>
      <c r="N435" s="1521"/>
      <c r="O435" s="1521"/>
      <c r="P435" s="1521"/>
      <c r="Q435" s="1521"/>
      <c r="R435" s="1521"/>
      <c r="S435" s="1521"/>
      <c r="T435" s="1521"/>
      <c r="U435" s="1519"/>
    </row>
    <row r="436" spans="1:21" ht="15.75" thickBot="1" x14ac:dyDescent="0.3">
      <c r="A436" s="134"/>
      <c r="B436" s="1244"/>
      <c r="C436" s="1244"/>
      <c r="D436" s="1244"/>
      <c r="E436" s="1244"/>
      <c r="F436" s="1244"/>
      <c r="G436" s="1244"/>
      <c r="H436" s="1244"/>
      <c r="I436" s="1244"/>
      <c r="J436" s="1244"/>
      <c r="K436" s="1244"/>
      <c r="L436" s="1244"/>
      <c r="M436" s="1244"/>
      <c r="N436" s="1244"/>
      <c r="O436" s="1244"/>
      <c r="P436" s="1244"/>
      <c r="Q436" s="1244"/>
      <c r="R436" s="1244"/>
      <c r="S436" s="1244"/>
      <c r="T436" s="1244"/>
      <c r="U436" s="1244"/>
    </row>
    <row r="437" spans="1:21" ht="15.75" thickBot="1" x14ac:dyDescent="0.3">
      <c r="A437" s="1291"/>
      <c r="B437" s="1244"/>
      <c r="C437" s="1237" t="s">
        <v>1491</v>
      </c>
      <c r="D437" s="1522" t="s">
        <v>1755</v>
      </c>
      <c r="E437" s="1523"/>
      <c r="F437" s="1244"/>
      <c r="G437" s="1244"/>
      <c r="H437" s="1244"/>
      <c r="I437" s="1244"/>
      <c r="J437" s="1240" t="s">
        <v>1489</v>
      </c>
      <c r="K437" s="1244"/>
      <c r="L437" s="1240" t="s">
        <v>1505</v>
      </c>
      <c r="M437" s="1244"/>
      <c r="N437" s="1244"/>
      <c r="O437" s="1244"/>
      <c r="P437" s="1244"/>
      <c r="Q437" s="1244"/>
      <c r="R437" s="1244"/>
      <c r="S437" s="1244"/>
      <c r="T437" s="1244"/>
      <c r="U437" s="1244"/>
    </row>
    <row r="438" spans="1:21" ht="15.75" thickBot="1" x14ac:dyDescent="0.3">
      <c r="A438" s="1291"/>
      <c r="B438" s="1244"/>
      <c r="C438" s="1232"/>
      <c r="D438" s="1232"/>
      <c r="E438" s="1232"/>
      <c r="F438" s="1244"/>
      <c r="G438" s="1244"/>
      <c r="H438" s="1244"/>
      <c r="I438" s="1244"/>
      <c r="J438" s="1230"/>
      <c r="K438" s="1244"/>
      <c r="L438" s="1230"/>
      <c r="M438" s="1244"/>
      <c r="N438" s="1244"/>
      <c r="O438" s="1244"/>
      <c r="P438" s="1244"/>
      <c r="Q438" s="1244"/>
      <c r="R438" s="1244"/>
      <c r="S438" s="1244"/>
      <c r="T438" s="1244"/>
      <c r="U438" s="1244"/>
    </row>
    <row r="439" spans="1:21" ht="30.75" thickBot="1" x14ac:dyDescent="0.3">
      <c r="A439" s="1291"/>
      <c r="B439" s="1244"/>
      <c r="C439" s="1237" t="s">
        <v>1603</v>
      </c>
      <c r="D439" s="1518">
        <v>1001</v>
      </c>
      <c r="E439" s="1524"/>
      <c r="F439" s="1244"/>
      <c r="G439" s="1244"/>
      <c r="H439" s="1244"/>
      <c r="I439" s="1244"/>
      <c r="J439" s="1244"/>
      <c r="K439" s="1244"/>
      <c r="L439" s="1244"/>
      <c r="M439" s="1244"/>
      <c r="N439" s="1244"/>
      <c r="O439" s="1244"/>
      <c r="P439" s="1244"/>
      <c r="Q439" s="1244"/>
      <c r="R439" s="1244"/>
      <c r="S439" s="1244"/>
      <c r="T439" s="1244"/>
      <c r="U439" s="1244"/>
    </row>
    <row r="440" spans="1:21" ht="15.75" thickBot="1" x14ac:dyDescent="0.3">
      <c r="A440" s="1291"/>
      <c r="B440" s="1244"/>
      <c r="C440" s="1232"/>
      <c r="D440" s="1232"/>
      <c r="E440" s="1232"/>
      <c r="F440" s="1244"/>
      <c r="G440" s="1244"/>
      <c r="H440" s="1244"/>
      <c r="I440" s="1244"/>
      <c r="J440" s="1244"/>
      <c r="K440" s="1244"/>
      <c r="L440" s="1240" t="s">
        <v>1497</v>
      </c>
      <c r="M440" s="1244"/>
      <c r="N440" s="1244"/>
      <c r="O440" s="1244"/>
      <c r="P440" s="1244"/>
      <c r="Q440" s="1244"/>
      <c r="R440" s="1244"/>
      <c r="S440" s="1244"/>
      <c r="T440" s="1244"/>
      <c r="U440" s="1244"/>
    </row>
    <row r="441" spans="1:21" ht="15.75" thickBot="1" x14ac:dyDescent="0.3">
      <c r="A441" s="1291"/>
      <c r="B441" s="1244"/>
      <c r="C441" s="1237" t="s">
        <v>1493</v>
      </c>
      <c r="D441" s="1525"/>
      <c r="E441" s="1524"/>
      <c r="F441" s="1244"/>
      <c r="G441" s="1244"/>
      <c r="H441" s="1244"/>
      <c r="I441" s="1244"/>
      <c r="J441" s="1244"/>
      <c r="K441" s="1244"/>
      <c r="L441" s="1203"/>
      <c r="M441" s="1244"/>
      <c r="N441" s="1244"/>
      <c r="O441" s="1244"/>
      <c r="P441" s="1244"/>
      <c r="Q441" s="1244"/>
      <c r="R441" s="1244"/>
      <c r="S441" s="1244"/>
      <c r="T441" s="1244"/>
      <c r="U441" s="1244"/>
    </row>
    <row r="442" spans="1:21" ht="15.75" thickBot="1" x14ac:dyDescent="0.3">
      <c r="A442" s="1291"/>
      <c r="B442" s="1244"/>
      <c r="C442" s="1232"/>
      <c r="D442" s="1232"/>
      <c r="E442" s="1232"/>
      <c r="F442" s="1244"/>
      <c r="G442" s="1244"/>
      <c r="H442" s="1244"/>
      <c r="I442" s="1244"/>
      <c r="J442" s="1244"/>
      <c r="K442" s="1244"/>
      <c r="L442" s="1244"/>
      <c r="M442" s="1244"/>
      <c r="N442" s="1244"/>
      <c r="O442" s="1244"/>
      <c r="P442" s="1244"/>
      <c r="Q442" s="1244"/>
      <c r="R442" s="1244"/>
      <c r="S442" s="1244"/>
      <c r="T442" s="1244"/>
      <c r="U442" s="1244"/>
    </row>
    <row r="443" spans="1:21" ht="15.75" thickBot="1" x14ac:dyDescent="0.3">
      <c r="A443" s="1291"/>
      <c r="B443" s="1244"/>
      <c r="C443" s="1237" t="s">
        <v>1494</v>
      </c>
      <c r="D443" s="1525"/>
      <c r="E443" s="1524"/>
      <c r="F443" s="1244"/>
      <c r="G443" s="1244"/>
      <c r="H443" s="1244"/>
      <c r="I443" s="1244"/>
      <c r="J443" s="1244"/>
      <c r="K443" s="1244"/>
      <c r="L443" s="1244"/>
      <c r="M443" s="1244"/>
      <c r="N443" s="1244"/>
      <c r="O443" s="1244"/>
      <c r="P443" s="1244"/>
      <c r="Q443" s="1244"/>
      <c r="R443" s="1244"/>
      <c r="S443" s="1244"/>
      <c r="T443" s="1240" t="s">
        <v>1720</v>
      </c>
      <c r="U443" s="1244"/>
    </row>
    <row r="444" spans="1:21" ht="15.75" thickBot="1" x14ac:dyDescent="0.3">
      <c r="A444" s="1291"/>
      <c r="B444" s="1244"/>
      <c r="C444" s="1232"/>
      <c r="D444" s="1232"/>
      <c r="E444" s="1232"/>
      <c r="F444" s="1244"/>
      <c r="G444" s="1244"/>
      <c r="H444" s="1244"/>
      <c r="I444" s="1244"/>
      <c r="J444" s="1244"/>
      <c r="K444" s="1244"/>
      <c r="L444" s="1244"/>
      <c r="M444" s="1244"/>
      <c r="N444" s="1244"/>
      <c r="O444" s="1244"/>
      <c r="P444" s="1244"/>
      <c r="Q444" s="1244"/>
      <c r="R444" s="1244"/>
      <c r="S444" s="1244"/>
      <c r="T444" s="1274" t="s">
        <v>653</v>
      </c>
      <c r="U444" s="1244"/>
    </row>
    <row r="445" spans="1:21" ht="30" customHeight="1" thickBot="1" x14ac:dyDescent="0.3">
      <c r="A445" s="1291"/>
      <c r="B445" s="1244"/>
      <c r="C445" s="1238" t="s">
        <v>1607</v>
      </c>
      <c r="D445" s="1521" t="s">
        <v>651</v>
      </c>
      <c r="E445" s="1519"/>
      <c r="F445" s="1244"/>
      <c r="G445" s="1244"/>
      <c r="H445" s="1244"/>
      <c r="I445" s="1244"/>
      <c r="J445" s="1244"/>
      <c r="K445" s="1244"/>
      <c r="L445" s="1244"/>
      <c r="M445" s="1244"/>
      <c r="N445" s="1244"/>
      <c r="O445" s="1244"/>
      <c r="P445" s="1244"/>
      <c r="Q445" s="1244"/>
      <c r="R445" s="1244"/>
      <c r="S445" s="1244"/>
      <c r="T445" s="1244" t="s">
        <v>653</v>
      </c>
      <c r="U445" s="1244"/>
    </row>
    <row r="446" spans="1:21" x14ac:dyDescent="0.25">
      <c r="A446" s="1291"/>
      <c r="B446" s="1244"/>
      <c r="C446" s="1244"/>
      <c r="D446" s="1244"/>
      <c r="E446" s="1244"/>
      <c r="F446" s="1244"/>
      <c r="G446" s="1244"/>
      <c r="H446" s="1244"/>
      <c r="I446" s="1244"/>
      <c r="J446" s="1244"/>
      <c r="K446" s="1244"/>
      <c r="L446" s="1244"/>
      <c r="M446" s="1244"/>
      <c r="N446" s="1244"/>
      <c r="O446" s="1244"/>
      <c r="P446" s="1244"/>
      <c r="Q446" s="1244"/>
      <c r="R446" s="1244"/>
      <c r="S446" s="1244"/>
      <c r="T446" s="1244"/>
      <c r="U446" s="1244"/>
    </row>
    <row r="447" spans="1:21" x14ac:dyDescent="0.25">
      <c r="A447" s="657"/>
      <c r="B447" s="910"/>
      <c r="C447" s="910"/>
      <c r="D447" s="910"/>
      <c r="E447" s="910"/>
      <c r="F447" s="910"/>
      <c r="G447" s="1308"/>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4"/>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4"/>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4"/>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4"/>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4"/>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4"/>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4"/>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4"/>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4"/>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4"/>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4"/>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4"/>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4"/>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4"/>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4"/>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4"/>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4"/>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4"/>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4"/>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4"/>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4"/>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4"/>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4"/>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4"/>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4"/>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4"/>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4"/>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4"/>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4"/>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4"/>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4"/>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4"/>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4"/>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4"/>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4"/>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4"/>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4"/>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4"/>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4"/>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4"/>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4"/>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4"/>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4"/>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4"/>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4"/>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4"/>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4"/>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4"/>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4"/>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4"/>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4"/>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4"/>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4"/>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4"/>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4"/>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4"/>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4"/>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4"/>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4"/>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4"/>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4"/>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4"/>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4"/>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4"/>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4"/>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4"/>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4"/>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4"/>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4"/>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4"/>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4"/>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4"/>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4"/>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4"/>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4"/>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4"/>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4"/>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4"/>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4"/>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4"/>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4"/>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4"/>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4"/>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4"/>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4"/>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4"/>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4"/>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4"/>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4"/>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4"/>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4"/>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4"/>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4"/>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4"/>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4"/>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4"/>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4"/>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4"/>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4"/>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4"/>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4"/>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4"/>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4"/>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4"/>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4"/>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4"/>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4"/>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4"/>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4"/>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4"/>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4"/>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4"/>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4"/>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4"/>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4"/>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4"/>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4"/>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4"/>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4"/>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4"/>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4"/>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4"/>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4"/>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4"/>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4"/>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4"/>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4"/>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4"/>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4"/>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4"/>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4"/>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4"/>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4"/>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4"/>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4"/>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4"/>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4"/>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4"/>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4"/>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4"/>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4"/>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4"/>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4"/>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4"/>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4"/>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4"/>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4"/>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4"/>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4"/>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4"/>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4"/>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4"/>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4"/>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4"/>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4"/>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4"/>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4"/>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4"/>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4"/>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4"/>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4"/>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4"/>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4"/>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4"/>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4"/>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4"/>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4"/>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4"/>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4"/>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4"/>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4"/>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4"/>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4"/>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4"/>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4"/>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4"/>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4"/>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4"/>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4"/>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4"/>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4"/>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4"/>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4"/>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4"/>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4"/>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4"/>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4"/>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4"/>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4"/>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4"/>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4"/>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4"/>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4"/>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4"/>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4"/>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4"/>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4"/>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4"/>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4"/>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4"/>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4"/>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4"/>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4"/>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4"/>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4"/>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4"/>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4"/>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4"/>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4"/>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4"/>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4"/>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4"/>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4"/>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4"/>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4"/>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4"/>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4"/>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4"/>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4"/>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4"/>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4"/>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4"/>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4"/>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4"/>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4"/>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4"/>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4"/>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4"/>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4"/>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4"/>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4"/>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4"/>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4"/>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4"/>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4"/>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4"/>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4"/>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4"/>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4"/>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4"/>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4"/>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4"/>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4"/>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4"/>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4"/>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4"/>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4"/>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4"/>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4"/>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4"/>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4"/>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4"/>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4"/>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4"/>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4"/>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4"/>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4"/>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4"/>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4"/>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4"/>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4"/>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4"/>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4"/>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4"/>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4"/>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4"/>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4"/>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4"/>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4"/>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4"/>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4"/>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4"/>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4"/>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4"/>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4"/>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4"/>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4"/>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4"/>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4"/>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4"/>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4"/>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4"/>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4"/>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4"/>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4"/>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4"/>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4"/>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4"/>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4"/>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4"/>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4"/>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4"/>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4"/>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4"/>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4"/>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4"/>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4"/>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4"/>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4"/>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4"/>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4"/>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4"/>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4"/>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4"/>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4"/>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4"/>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4"/>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4"/>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4"/>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4"/>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4"/>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4"/>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4"/>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4"/>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4"/>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4"/>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4"/>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4"/>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4"/>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4"/>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4"/>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4"/>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4"/>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4"/>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4"/>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4"/>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4"/>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4"/>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4"/>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4"/>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4"/>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4"/>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4"/>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4"/>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4"/>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4"/>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4"/>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4"/>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4"/>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4"/>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4"/>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4"/>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4"/>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4"/>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4"/>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4"/>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4"/>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4"/>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4"/>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4"/>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4"/>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4"/>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4"/>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4"/>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4"/>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4"/>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4"/>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4"/>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4"/>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4"/>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4"/>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4"/>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4"/>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4"/>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4"/>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4"/>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4"/>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4"/>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4"/>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4"/>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4"/>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4"/>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4"/>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4"/>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4"/>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4"/>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4"/>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4"/>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4"/>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4"/>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4"/>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4"/>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4"/>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4"/>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4"/>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4"/>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4"/>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4"/>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4"/>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4"/>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4"/>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4"/>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4"/>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4"/>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4"/>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4"/>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4"/>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4"/>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4"/>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4"/>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4"/>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4"/>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4"/>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4"/>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4"/>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4"/>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4"/>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4"/>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4"/>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4"/>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4"/>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4"/>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4"/>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4"/>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4"/>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4"/>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4"/>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4"/>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4"/>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4"/>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4"/>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4"/>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4"/>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4"/>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4"/>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4"/>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4"/>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4"/>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4"/>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4"/>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4"/>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4"/>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4"/>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4"/>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4"/>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4"/>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4"/>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4"/>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4"/>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4"/>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4"/>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4"/>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4"/>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4"/>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4"/>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4"/>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4"/>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4"/>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4"/>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4"/>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4"/>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4"/>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4"/>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4"/>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4"/>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4"/>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4"/>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4"/>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4"/>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4"/>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4"/>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4"/>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4"/>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4"/>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4"/>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4"/>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4"/>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4"/>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4"/>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4"/>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4"/>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4"/>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4"/>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4"/>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4"/>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4"/>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4"/>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4"/>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4"/>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4"/>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4"/>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4"/>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4"/>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4"/>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4"/>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4"/>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4"/>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4"/>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4"/>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4"/>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4"/>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4"/>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4"/>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4"/>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4"/>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4"/>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4"/>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4"/>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4"/>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4"/>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4"/>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4"/>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4"/>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4"/>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4"/>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4"/>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4"/>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4"/>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4"/>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4"/>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4"/>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4"/>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4"/>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4"/>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4"/>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4"/>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4"/>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4"/>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4"/>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4"/>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4"/>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4"/>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4"/>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4"/>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4"/>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4"/>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4"/>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4"/>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4"/>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4"/>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4"/>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4"/>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4"/>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4"/>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4"/>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4"/>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4"/>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4"/>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4"/>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4"/>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4"/>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4"/>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4"/>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4"/>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4"/>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4"/>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4"/>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4"/>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4"/>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4"/>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4"/>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4"/>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4"/>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4"/>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4"/>
      <c r="H1002" s="657"/>
      <c r="I1002" s="657"/>
      <c r="J1002" s="657"/>
      <c r="K1002" s="657"/>
      <c r="L1002" s="657"/>
      <c r="M1002" s="657"/>
      <c r="N1002" s="657"/>
      <c r="O1002" s="657"/>
      <c r="P1002" s="657"/>
      <c r="Q1002" s="657"/>
      <c r="R1002" s="657"/>
      <c r="S1002" s="657"/>
      <c r="T1002" s="657"/>
      <c r="U1002" s="657"/>
    </row>
  </sheetData>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60"/>
      <c r="BB1" s="1325"/>
      <c r="BC1" s="1325"/>
      <c r="BD1" s="1325"/>
    </row>
    <row r="2" spans="1:56" ht="15" x14ac:dyDescent="0.25">
      <c r="I2" s="579"/>
      <c r="J2" s="1549"/>
      <c r="K2" s="1549"/>
      <c r="O2" s="579"/>
      <c r="P2" s="579"/>
      <c r="Q2" s="579"/>
      <c r="R2" s="579"/>
      <c r="S2" s="579"/>
      <c r="T2" s="579"/>
      <c r="U2" s="579"/>
      <c r="V2" s="579"/>
      <c r="W2" s="579"/>
      <c r="X2" s="579"/>
      <c r="Y2" s="579"/>
      <c r="Z2" s="579"/>
      <c r="AA2" s="579"/>
      <c r="AH2" s="140" t="s">
        <v>62</v>
      </c>
      <c r="AI2" s="140" t="s">
        <v>1</v>
      </c>
      <c r="AJ2" s="140" t="s">
        <v>62</v>
      </c>
      <c r="AK2" s="733" t="s">
        <v>113</v>
      </c>
      <c r="BA2" s="1260"/>
      <c r="BB2" s="603"/>
      <c r="BC2" s="1262"/>
      <c r="BD2" s="603"/>
    </row>
    <row r="3" spans="1:56" ht="15" x14ac:dyDescent="0.25">
      <c r="I3" s="580" t="s">
        <v>919</v>
      </c>
      <c r="J3" s="1467" t="e">
        <f>VLOOKUP($J$4,'Market Geography'!$D:$G,4,FALSE)</f>
        <v>#N/A</v>
      </c>
      <c r="K3" s="1467"/>
      <c r="O3" s="579"/>
      <c r="P3" s="579"/>
      <c r="Q3" s="579"/>
      <c r="R3" s="579"/>
      <c r="S3" s="579"/>
      <c r="T3" s="579"/>
      <c r="U3" s="579"/>
      <c r="V3" s="579"/>
      <c r="W3" s="579"/>
      <c r="X3" s="579"/>
      <c r="Y3" s="579"/>
      <c r="Z3" s="579"/>
      <c r="AA3" s="579"/>
      <c r="AH3" s="140" t="s">
        <v>74</v>
      </c>
      <c r="AI3" s="140" t="s">
        <v>1</v>
      </c>
      <c r="AJ3" s="140" t="s">
        <v>74</v>
      </c>
      <c r="AK3" s="733" t="s">
        <v>113</v>
      </c>
      <c r="BA3" s="1260"/>
      <c r="BB3" s="603"/>
      <c r="BC3" s="1262"/>
      <c r="BD3" s="603"/>
    </row>
    <row r="4" spans="1:56" ht="15" x14ac:dyDescent="0.25">
      <c r="I4" s="580" t="s">
        <v>920</v>
      </c>
      <c r="J4" s="1467">
        <f>Welcome!$D$4</f>
        <v>0</v>
      </c>
      <c r="K4" s="1467"/>
      <c r="L4" s="581"/>
      <c r="M4" s="581"/>
      <c r="O4" s="579"/>
      <c r="P4" s="579"/>
      <c r="Q4" s="579"/>
      <c r="R4" s="579"/>
      <c r="S4" s="579"/>
      <c r="T4" s="579"/>
      <c r="U4" s="579"/>
      <c r="V4" s="579"/>
      <c r="W4" s="579"/>
      <c r="X4" s="579"/>
      <c r="Y4" s="579"/>
      <c r="Z4" s="579"/>
      <c r="AA4" s="579"/>
      <c r="AC4" s="27"/>
      <c r="AH4" s="140" t="s">
        <v>34</v>
      </c>
      <c r="AI4" s="140" t="s">
        <v>1</v>
      </c>
      <c r="AJ4" s="140" t="s">
        <v>34</v>
      </c>
      <c r="AK4" s="733" t="s">
        <v>113</v>
      </c>
      <c r="BA4" s="1260"/>
      <c r="BB4" s="603"/>
      <c r="BC4" s="1262"/>
      <c r="BD4" s="603"/>
    </row>
    <row r="5" spans="1:56" ht="15" x14ac:dyDescent="0.25">
      <c r="I5" s="580" t="s">
        <v>921</v>
      </c>
      <c r="J5" s="1550" t="e">
        <f>VLOOKUP($J$4,'Market Geography'!$D:$F,3,FALSE)</f>
        <v>#N/A</v>
      </c>
      <c r="K5" s="1550"/>
      <c r="O5" s="579"/>
      <c r="P5" s="579"/>
      <c r="Q5" s="579"/>
      <c r="R5" s="579"/>
      <c r="S5" s="579"/>
      <c r="T5" s="579"/>
      <c r="U5" s="579"/>
      <c r="V5" s="579"/>
      <c r="W5" s="579"/>
      <c r="X5" s="579"/>
      <c r="Y5" s="579"/>
      <c r="Z5" s="579"/>
      <c r="AA5" s="579"/>
      <c r="AH5" s="140" t="s">
        <v>0</v>
      </c>
      <c r="AI5" s="140" t="s">
        <v>1</v>
      </c>
      <c r="AJ5" s="140" t="s">
        <v>0</v>
      </c>
      <c r="AK5" s="733" t="s">
        <v>113</v>
      </c>
      <c r="BA5" s="1260"/>
      <c r="BB5" s="603"/>
      <c r="BC5" s="1262"/>
      <c r="BD5" s="603"/>
    </row>
    <row r="6" spans="1:56" ht="15" x14ac:dyDescent="0.25">
      <c r="I6" s="582" t="s">
        <v>922</v>
      </c>
      <c r="J6" s="1467" t="s">
        <v>134</v>
      </c>
      <c r="K6" s="1467" t="s">
        <v>206</v>
      </c>
      <c r="O6" s="579"/>
      <c r="P6" s="579"/>
      <c r="Q6" s="579"/>
      <c r="R6" s="579"/>
      <c r="S6" s="579"/>
      <c r="T6" s="579"/>
      <c r="U6" s="579"/>
      <c r="V6" s="579"/>
      <c r="W6" s="579"/>
      <c r="X6" s="579"/>
      <c r="Y6" s="579"/>
      <c r="Z6" s="579"/>
      <c r="AA6" s="579"/>
      <c r="AH6" s="140" t="s">
        <v>69</v>
      </c>
      <c r="AI6" s="140" t="s">
        <v>1</v>
      </c>
      <c r="AJ6" s="140" t="s">
        <v>69</v>
      </c>
      <c r="AK6" s="733" t="s">
        <v>113</v>
      </c>
      <c r="BA6" s="1260"/>
      <c r="BB6" s="603"/>
      <c r="BC6" s="1262"/>
      <c r="BD6" s="603"/>
    </row>
    <row r="7" spans="1:56" ht="15" x14ac:dyDescent="0.25">
      <c r="I7" s="582" t="s">
        <v>923</v>
      </c>
      <c r="J7" s="1467" t="str">
        <f>IF(Welcome!$D$8="MDA","C","N")</f>
        <v>N</v>
      </c>
      <c r="K7" s="1467"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60"/>
      <c r="BB7" s="603"/>
      <c r="BC7" s="1262"/>
      <c r="BD7" s="603"/>
    </row>
    <row r="8" spans="1:56" ht="15" x14ac:dyDescent="0.25">
      <c r="AH8" s="140" t="s">
        <v>35</v>
      </c>
      <c r="AI8" s="140" t="s">
        <v>1</v>
      </c>
      <c r="AJ8" s="140" t="s">
        <v>35</v>
      </c>
      <c r="AK8" s="733" t="s">
        <v>113</v>
      </c>
      <c r="BA8" s="1260"/>
      <c r="BB8" s="603"/>
      <c r="BC8" s="1262"/>
      <c r="BD8" s="603"/>
    </row>
    <row r="9" spans="1:56" ht="15" x14ac:dyDescent="0.25">
      <c r="I9" s="583"/>
      <c r="AH9" s="140" t="s">
        <v>6</v>
      </c>
      <c r="AI9" s="140" t="s">
        <v>1</v>
      </c>
      <c r="AJ9" s="140" t="s">
        <v>6</v>
      </c>
      <c r="AK9" s="733" t="s">
        <v>113</v>
      </c>
      <c r="BA9" s="1260"/>
      <c r="BB9" s="603"/>
      <c r="BC9" s="1262"/>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60"/>
      <c r="BB10" s="603"/>
      <c r="BC10" s="1262"/>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60"/>
      <c r="BB11" s="603"/>
      <c r="BC11" s="1262"/>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60"/>
      <c r="BB12" s="603"/>
      <c r="BC12" s="1262"/>
      <c r="BD12" s="603"/>
    </row>
    <row r="13" spans="1:56" ht="15" x14ac:dyDescent="0.25">
      <c r="J13" s="568"/>
      <c r="N13" s="569"/>
      <c r="AD13" s="1546" t="s">
        <v>975</v>
      </c>
      <c r="AE13" s="1547"/>
      <c r="AF13" s="1548"/>
      <c r="AH13" s="140" t="s">
        <v>60</v>
      </c>
      <c r="AI13" s="140" t="s">
        <v>1</v>
      </c>
      <c r="AJ13" s="140" t="s">
        <v>60</v>
      </c>
      <c r="AK13" s="733" t="s">
        <v>113</v>
      </c>
      <c r="BA13" s="1260"/>
      <c r="BB13" s="603"/>
      <c r="BC13" s="1262"/>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60"/>
      <c r="BB14" s="603"/>
      <c r="BC14" s="1262"/>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3" t="e">
        <f>IF($AA15="Existing",IF($Z15="BASE",$T15,$W15),$N15) + VLOOKUP($J$5,$BA:$BD,2,FALSE)*$F$15</f>
        <v>#N/A</v>
      </c>
      <c r="AE15" s="1263" t="e">
        <f>IF($AA15="Existing",IF($Z15="BASE",$U15,$X15),$O15) + VLOOKUP($J$5,$BA:$BD,3,FALSE)*$F$15</f>
        <v>#N/A</v>
      </c>
      <c r="AF15" s="1263" t="e">
        <f>IF($AA15="Existing",IF($Z15="BASE",$V15,$Y15),$P15) + VLOOKUP($J$5,$BA:$BD,4,FALSE)*$F$15</f>
        <v>#N/A</v>
      </c>
      <c r="AG15" s="682" t="e">
        <f>SUM(AD15:AF15)</f>
        <v>#N/A</v>
      </c>
      <c r="AH15" s="140" t="s">
        <v>36</v>
      </c>
      <c r="AI15" s="140" t="s">
        <v>1</v>
      </c>
      <c r="AJ15" s="140" t="s">
        <v>36</v>
      </c>
      <c r="AK15" s="733" t="s">
        <v>113</v>
      </c>
      <c r="BA15" s="1260"/>
      <c r="BB15" s="603"/>
      <c r="BC15" s="1262"/>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3" t="e">
        <f>IF($AA16="Existing",IF($Z16="BASE",$T16,$W16),$N16) + VLOOKUP($J$5,$BA:$BD,2,FALSE)*$F$16</f>
        <v>#N/A</v>
      </c>
      <c r="AE16" s="1263" t="e">
        <f>IF($AA16="Existing",IF($Z16="BASE",$U16,$X16),$O16) + VLOOKUP($J$5,$BA:$BD,3,FALSE)*$F$16</f>
        <v>#N/A</v>
      </c>
      <c r="AF16" s="1263" t="e">
        <f>IF($AA16="Existing",IF($Z16="BASE",$V16,$Y16),$P16) + VLOOKUP($J$5,$BA:$BD,4,FALSE)*$F$16</f>
        <v>#N/A</v>
      </c>
      <c r="AG16" s="682" t="e">
        <f t="shared" ref="AG16:AG24" si="9">SUM(AD16:AF16)</f>
        <v>#N/A</v>
      </c>
      <c r="AH16" s="140" t="s">
        <v>71</v>
      </c>
      <c r="AI16" s="140" t="s">
        <v>1</v>
      </c>
      <c r="AJ16" s="140" t="s">
        <v>71</v>
      </c>
      <c r="AK16" s="733" t="s">
        <v>113</v>
      </c>
      <c r="BA16" s="1260"/>
      <c r="BB16" s="603"/>
      <c r="BC16" s="1262"/>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3" t="e">
        <f>IF($AA17="Existing",IF($Z17="BASE",$T17,$W17),$N17) + VLOOKUP($J$5,$BA:$BD,2,FALSE)*$F$17</f>
        <v>#N/A</v>
      </c>
      <c r="AE17" s="1263" t="e">
        <f>IF($AA17="Existing",IF($Z17="BASE",$U17,$X17),$O17) + VLOOKUP($J$5,$BA:$BD,3,FALSE)*$F$17</f>
        <v>#N/A</v>
      </c>
      <c r="AF17" s="1263" t="e">
        <f>IF($AA17="Existing",IF($Z17="BASE",$V17,$Y17),$P17) + VLOOKUP($J$5,$BA:$BD,4,FALSE)*$F$17</f>
        <v>#N/A</v>
      </c>
      <c r="AG17" s="682" t="e">
        <f t="shared" si="9"/>
        <v>#N/A</v>
      </c>
      <c r="AH17" s="140" t="s">
        <v>11</v>
      </c>
      <c r="AI17" s="140" t="s">
        <v>1</v>
      </c>
      <c r="AJ17" s="140" t="s">
        <v>11</v>
      </c>
      <c r="AK17" s="733" t="s">
        <v>113</v>
      </c>
      <c r="BA17" s="1260"/>
      <c r="BB17" s="603"/>
      <c r="BC17" s="1262"/>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3" t="e">
        <f>IF($AA18="Existing",IF($Z18="BASE",$T18,$W18),$N18) + VLOOKUP($J$5,$BA:$BD,2,FALSE)*$F$18</f>
        <v>#N/A</v>
      </c>
      <c r="AE18" s="1263" t="e">
        <f>IF($AA18="Existing",IF($Z18="BASE",$U18,$X18),$O18) + VLOOKUP($J$5,$BA:$BD,3,FALSE)*$F$18</f>
        <v>#N/A</v>
      </c>
      <c r="AF18" s="1263" t="e">
        <f>IF($AA18="Existing",IF($Z18="BASE",$V18,$Y18),$P18) + VLOOKUP($J$5,$BA:$BD,4,FALSE)*$F$18</f>
        <v>#N/A</v>
      </c>
      <c r="AG18" s="682" t="e">
        <f t="shared" si="9"/>
        <v>#N/A</v>
      </c>
      <c r="AH18" s="140" t="s">
        <v>9</v>
      </c>
      <c r="AI18" s="140" t="s">
        <v>1</v>
      </c>
      <c r="AJ18" s="140" t="s">
        <v>9</v>
      </c>
      <c r="AK18" s="733" t="s">
        <v>113</v>
      </c>
      <c r="BA18" s="1260"/>
      <c r="BB18" s="603"/>
      <c r="BC18" s="1262"/>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3" t="e">
        <f>IF($AA19="Existing",IF($Z19="BASE",$T19,$W19),$N19) + VLOOKUP($J$5,$BA:$BD,2,FALSE)*$F$19</f>
        <v>#N/A</v>
      </c>
      <c r="AE19" s="1263" t="e">
        <f>IF($AA19="Existing",IF($Z19="BASE",$U19,$X19),$O19) + VLOOKUP($J$5,$BA:$BD,3,FALSE)*$F$19</f>
        <v>#N/A</v>
      </c>
      <c r="AF19" s="1263" t="e">
        <f>IF($AA19="Existing",IF($Z19="BASE",$V19,$Y19),$P19) + VLOOKUP($J$5,$BA:$BD,4,FALSE)*$F$19</f>
        <v>#N/A</v>
      </c>
      <c r="AG19" s="682" t="e">
        <f t="shared" si="9"/>
        <v>#N/A</v>
      </c>
      <c r="AH19" s="140" t="s">
        <v>38</v>
      </c>
      <c r="AI19" s="140" t="s">
        <v>1</v>
      </c>
      <c r="AJ19" s="140" t="s">
        <v>38</v>
      </c>
      <c r="AK19" s="733" t="s">
        <v>113</v>
      </c>
      <c r="BA19" s="1260"/>
      <c r="BB19" s="603"/>
      <c r="BC19" s="1262"/>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3" t="e">
        <f>IF($AA20="Existing",IF($Z20="BASE",$T20,$W20),$N20) + VLOOKUP($J$5,$BA:$BD,2,FALSE)*$F$20</f>
        <v>#N/A</v>
      </c>
      <c r="AE20" s="1263" t="e">
        <f>IF($AA20="Existing",IF($Z20="BASE",$U20,$X20),$O20) + VLOOKUP($J$5,$BA:$BD,3,FALSE)*$F$20</f>
        <v>#N/A</v>
      </c>
      <c r="AF20" s="1263" t="e">
        <f>IF($AA20="Existing",IF($Z20="BASE",$V20,$Y20),$P20) + VLOOKUP($J$5,$BA:$BD,4,FALSE)*$F$20</f>
        <v>#N/A</v>
      </c>
      <c r="AG20" s="682" t="e">
        <f t="shared" si="9"/>
        <v>#N/A</v>
      </c>
      <c r="AH20" s="140" t="s">
        <v>261</v>
      </c>
      <c r="AI20" s="140" t="s">
        <v>1</v>
      </c>
      <c r="AJ20" s="140" t="s">
        <v>261</v>
      </c>
      <c r="AK20" s="733" t="s">
        <v>113</v>
      </c>
      <c r="BA20" s="1260"/>
      <c r="BB20" s="603"/>
      <c r="BC20" s="1262"/>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3" t="e">
        <f>IF($AA21="Existing",IF($Z21="BASE",$T21,$W21),$N21) + VLOOKUP($J$5,$BA:$BD,2,FALSE)*$F$21</f>
        <v>#N/A</v>
      </c>
      <c r="AE21" s="1263" t="e">
        <f>IF($AA21="Existing",IF($Z21="BASE",$U21,$X21),$O21) + VLOOKUP($J$5,$BA:$BD,3,FALSE)*$F$21</f>
        <v>#N/A</v>
      </c>
      <c r="AF21" s="1263" t="e">
        <f>IF($AA21="Existing",IF($Z21="BASE",$V21,$Y21),$P21) + VLOOKUP($J$5,$BA:$BD,4,FALSE)*$F$21</f>
        <v>#N/A</v>
      </c>
      <c r="AG21" s="682" t="e">
        <f t="shared" si="9"/>
        <v>#N/A</v>
      </c>
      <c r="AH21" s="140" t="s">
        <v>257</v>
      </c>
      <c r="AI21" s="140" t="s">
        <v>114</v>
      </c>
      <c r="AJ21" s="140" t="s">
        <v>257</v>
      </c>
      <c r="AK21" s="140" t="s">
        <v>114</v>
      </c>
      <c r="BA21" s="1260"/>
      <c r="BB21" s="603"/>
      <c r="BC21" s="1262"/>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3" t="e">
        <f>IF($AA22="Existing",IF($Z22="BASE",$T22,$W22),$N22) + VLOOKUP($J$5,$BA:$BD,2,FALSE)*$F$22</f>
        <v>#N/A</v>
      </c>
      <c r="AE22" s="1263" t="e">
        <f>IF($AA22="Existing",IF($Z22="BASE",$U22,$X22),$O22) + VLOOKUP($J$5,$BA:$BD,3,FALSE)*$F$22</f>
        <v>#N/A</v>
      </c>
      <c r="AF22" s="1263" t="e">
        <f>IF($AA22="Existing",IF($Z22="BASE",$V22,$Y22),$P22) + VLOOKUP($J$5,$BA:$BD,4,FALSE)*$F$22</f>
        <v>#N/A</v>
      </c>
      <c r="AG22" s="682" t="e">
        <f t="shared" si="9"/>
        <v>#N/A</v>
      </c>
      <c r="AH22" s="140" t="s">
        <v>258</v>
      </c>
      <c r="AI22" s="140" t="s">
        <v>116</v>
      </c>
      <c r="AJ22" s="140" t="s">
        <v>258</v>
      </c>
      <c r="AK22" s="140" t="s">
        <v>116</v>
      </c>
      <c r="BA22" s="1260"/>
      <c r="BB22" s="603"/>
      <c r="BC22" s="1262"/>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3" t="e">
        <f>IF($AA23="Existing",IF($Z23="BASE",$T23,$W23),$N23) + VLOOKUP($J$5,$BA:$BD,2,FALSE)*$F$23</f>
        <v>#N/A</v>
      </c>
      <c r="AE23" s="1263" t="e">
        <f>IF($AA23="Existing",IF($Z23="BASE",$U23,$X23),$O23) + VLOOKUP($J$5,$BA:$BD,3,FALSE)*$F$23</f>
        <v>#N/A</v>
      </c>
      <c r="AF23" s="1263" t="e">
        <f>IF($AA23="Existing",IF($Z23="BASE",$V23,$Y23),$P23) + VLOOKUP($J$5,$BA:$BD,4,FALSE)*$F$23</f>
        <v>#N/A</v>
      </c>
      <c r="AG23" s="682" t="e">
        <f t="shared" si="9"/>
        <v>#N/A</v>
      </c>
      <c r="AH23" s="140" t="s">
        <v>259</v>
      </c>
      <c r="AI23" s="140" t="s">
        <v>112</v>
      </c>
      <c r="AJ23" s="140" t="s">
        <v>259</v>
      </c>
      <c r="AK23" s="140" t="s">
        <v>112</v>
      </c>
      <c r="BA23" s="1260"/>
      <c r="BB23" s="603"/>
      <c r="BC23" s="1262"/>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4" t="e">
        <f>IF($AA24="Existing",IF($Z24="BASE",$T24,$W24),$N24) + VLOOKUP($J$5,$BA:$BD,2,FALSE)*$F$24</f>
        <v>#N/A</v>
      </c>
      <c r="AE24" s="1264" t="e">
        <f>IF($AA24="Existing",IF($Z24="BASE",$U24,$X24),$O24) + VLOOKUP($J$5,$BA:$BD,3,FALSE)*$F$24</f>
        <v>#N/A</v>
      </c>
      <c r="AF24" s="1264" t="e">
        <f>IF($AA24="Existing",IF($Z24="BASE",$V24,$Y24),$P24) + VLOOKUP($J$5,$BA:$BD,4,FALSE)*$F$24</f>
        <v>#N/A</v>
      </c>
      <c r="AG24" s="683" t="e">
        <f t="shared" si="9"/>
        <v>#N/A</v>
      </c>
      <c r="AH24" s="140" t="s">
        <v>260</v>
      </c>
      <c r="AI24" s="140" t="s">
        <v>113</v>
      </c>
      <c r="AJ24" s="140" t="s">
        <v>260</v>
      </c>
      <c r="AK24" s="140" t="s">
        <v>113</v>
      </c>
      <c r="BA24" s="1260"/>
      <c r="BB24" s="603"/>
      <c r="BC24" s="1262"/>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60"/>
      <c r="BB25" s="603"/>
      <c r="BC25" s="1262"/>
      <c r="BD25" s="603"/>
    </row>
    <row r="26" spans="1:56" ht="15" x14ac:dyDescent="0.25">
      <c r="J26" s="573" t="s">
        <v>912</v>
      </c>
      <c r="K26" s="572">
        <f>IFERROR(SUM($K$15:$K$24)/COUNTIF($K$15:$K$24,"&gt;0"),0)</f>
        <v>0</v>
      </c>
      <c r="AB26" s="573"/>
      <c r="AH26" s="140" t="s">
        <v>263</v>
      </c>
      <c r="AI26" s="140" t="s">
        <v>118</v>
      </c>
      <c r="AJ26" s="140" t="s">
        <v>263</v>
      </c>
      <c r="AK26" s="140" t="s">
        <v>118</v>
      </c>
      <c r="BA26" s="1260"/>
      <c r="BB26" s="603"/>
      <c r="BC26" s="1262"/>
      <c r="BD26" s="603"/>
    </row>
    <row r="27" spans="1:56" ht="15" x14ac:dyDescent="0.25">
      <c r="AB27" s="573"/>
      <c r="AH27" s="140" t="s">
        <v>264</v>
      </c>
      <c r="AI27" s="140" t="s">
        <v>115</v>
      </c>
      <c r="AJ27" s="140" t="s">
        <v>264</v>
      </c>
      <c r="AK27" s="140" t="s">
        <v>115</v>
      </c>
      <c r="BA27" s="1260"/>
      <c r="BB27" s="603"/>
      <c r="BC27" s="1262"/>
      <c r="BD27" s="603"/>
    </row>
    <row r="28" spans="1:56" ht="15" x14ac:dyDescent="0.25">
      <c r="AH28" s="140" t="s">
        <v>265</v>
      </c>
      <c r="AI28" s="140" t="s">
        <v>117</v>
      </c>
      <c r="AJ28" s="140" t="s">
        <v>265</v>
      </c>
      <c r="AK28" s="140" t="s">
        <v>117</v>
      </c>
      <c r="BA28" s="1260"/>
      <c r="BB28" s="603"/>
      <c r="BC28" s="1262"/>
      <c r="BD28" s="603"/>
    </row>
    <row r="29" spans="1:56" ht="15" x14ac:dyDescent="0.25">
      <c r="BA29" s="1260"/>
      <c r="BB29" s="603"/>
      <c r="BC29" s="1262"/>
      <c r="BD29" s="603"/>
    </row>
    <row r="30" spans="1:56" ht="15" x14ac:dyDescent="0.25">
      <c r="BA30" s="1260"/>
      <c r="BB30" s="603"/>
      <c r="BC30" s="1262"/>
      <c r="BD30" s="603"/>
    </row>
    <row r="31" spans="1:56" ht="15" x14ac:dyDescent="0.25">
      <c r="BA31" s="1260"/>
      <c r="BB31" s="603"/>
      <c r="BC31" s="1262"/>
      <c r="BD31" s="603"/>
    </row>
    <row r="32" spans="1:56" ht="15" x14ac:dyDescent="0.25">
      <c r="BA32" s="1260"/>
      <c r="BB32" s="603"/>
      <c r="BC32" s="1262"/>
      <c r="BD32" s="603"/>
    </row>
    <row r="33" spans="53:56" ht="14.45" customHeight="1" x14ac:dyDescent="0.25">
      <c r="BA33" s="1260"/>
      <c r="BB33" s="603"/>
      <c r="BC33" s="1262"/>
      <c r="BD33" s="603"/>
    </row>
    <row r="34" spans="53:56" ht="15" x14ac:dyDescent="0.25">
      <c r="BA34" s="1260"/>
      <c r="BB34" s="603"/>
      <c r="BC34" s="1262"/>
      <c r="BD34" s="603"/>
    </row>
    <row r="35" spans="53:56" ht="15" x14ac:dyDescent="0.25">
      <c r="BA35" s="1260"/>
      <c r="BB35" s="603"/>
      <c r="BC35" s="1262"/>
      <c r="BD35" s="603"/>
    </row>
    <row r="36" spans="53:56" ht="15" x14ac:dyDescent="0.25">
      <c r="BA36" s="1260"/>
      <c r="BB36" s="603"/>
      <c r="BC36" s="1262"/>
      <c r="BD36" s="603"/>
    </row>
    <row r="37" spans="53:56" ht="15" x14ac:dyDescent="0.25">
      <c r="BA37" s="1260"/>
      <c r="BB37" s="603"/>
      <c r="BC37" s="1262"/>
      <c r="BD37" s="603"/>
    </row>
    <row r="38" spans="53:56" ht="15" x14ac:dyDescent="0.25">
      <c r="BA38" s="1260"/>
      <c r="BB38" s="603"/>
      <c r="BC38" s="1262"/>
      <c r="BD38" s="603"/>
    </row>
    <row r="39" spans="53:56" ht="15" x14ac:dyDescent="0.25">
      <c r="BA39" s="1260"/>
      <c r="BB39" s="603"/>
      <c r="BC39" s="1262"/>
      <c r="BD39" s="603"/>
    </row>
    <row r="40" spans="53:56" ht="15" x14ac:dyDescent="0.25">
      <c r="BA40" s="1260"/>
      <c r="BB40" s="603"/>
      <c r="BC40" s="1262"/>
      <c r="BD40" s="603"/>
    </row>
    <row r="41" spans="53:56" ht="15" x14ac:dyDescent="0.25">
      <c r="BA41" s="1260"/>
      <c r="BB41" s="603"/>
      <c r="BC41" s="1262"/>
      <c r="BD41" s="603"/>
    </row>
    <row r="42" spans="53:56" ht="15" x14ac:dyDescent="0.25">
      <c r="BA42" s="1260"/>
      <c r="BB42" s="603"/>
      <c r="BC42" s="1262"/>
      <c r="BD42" s="603"/>
    </row>
    <row r="43" spans="53:56" ht="15" x14ac:dyDescent="0.25">
      <c r="BA43" s="1260"/>
      <c r="BB43" s="603"/>
      <c r="BC43" s="1262"/>
      <c r="BD43" s="603"/>
    </row>
    <row r="44" spans="53:56" ht="15" x14ac:dyDescent="0.25">
      <c r="BA44" s="1260"/>
      <c r="BB44" s="603"/>
      <c r="BC44" s="1262"/>
      <c r="BD44" s="603"/>
    </row>
    <row r="45" spans="53:56" ht="15" x14ac:dyDescent="0.25">
      <c r="BA45" s="1260"/>
      <c r="BB45" s="603"/>
      <c r="BC45" s="1262"/>
      <c r="BD45" s="603"/>
    </row>
    <row r="46" spans="53:56" ht="15" x14ac:dyDescent="0.25">
      <c r="BA46" s="1260"/>
      <c r="BB46" s="603"/>
      <c r="BC46" s="1262"/>
      <c r="BD46" s="603"/>
    </row>
    <row r="47" spans="53:56" ht="15" x14ac:dyDescent="0.25">
      <c r="BA47" s="1260"/>
      <c r="BB47" s="603"/>
      <c r="BC47" s="1262"/>
      <c r="BD47" s="603"/>
    </row>
    <row r="48" spans="53:56" ht="15" x14ac:dyDescent="0.25">
      <c r="BA48" s="1260"/>
      <c r="BB48" s="603"/>
      <c r="BC48" s="1262"/>
      <c r="BD48" s="603"/>
    </row>
    <row r="49" spans="53:56" ht="15" x14ac:dyDescent="0.25">
      <c r="BA49" s="1260"/>
      <c r="BB49" s="603"/>
      <c r="BC49" s="1262"/>
      <c r="BD49" s="603"/>
    </row>
    <row r="50" spans="53:56" ht="15" x14ac:dyDescent="0.25">
      <c r="BA50" s="1260"/>
      <c r="BB50" s="603"/>
      <c r="BC50" s="1262"/>
      <c r="BD50" s="603"/>
    </row>
    <row r="51" spans="53:56" ht="15" x14ac:dyDescent="0.25">
      <c r="BA51" s="1260"/>
      <c r="BB51" s="603"/>
      <c r="BC51" s="1262"/>
      <c r="BD51" s="603"/>
    </row>
    <row r="52" spans="53:56" ht="15" x14ac:dyDescent="0.25">
      <c r="BA52" s="1260"/>
      <c r="BB52" s="603"/>
      <c r="BC52" s="1262"/>
      <c r="BD52" s="603"/>
    </row>
    <row r="53" spans="53:56" ht="15" x14ac:dyDescent="0.25">
      <c r="BA53" s="1260"/>
      <c r="BB53" s="603"/>
      <c r="BC53" s="1262"/>
      <c r="BD53" s="603"/>
    </row>
    <row r="54" spans="53:56" ht="15" x14ac:dyDescent="0.25">
      <c r="BA54" s="1260"/>
      <c r="BB54" s="603"/>
      <c r="BC54" s="1262"/>
      <c r="BD54" s="603"/>
    </row>
    <row r="55" spans="53:56" ht="15" x14ac:dyDescent="0.25">
      <c r="BA55" s="1260"/>
      <c r="BB55" s="603"/>
      <c r="BC55" s="1262"/>
      <c r="BD55" s="603"/>
    </row>
    <row r="56" spans="53:56" ht="15" x14ac:dyDescent="0.25">
      <c r="BA56" s="1260"/>
      <c r="BB56" s="603"/>
      <c r="BC56" s="1262"/>
      <c r="BD56" s="603"/>
    </row>
    <row r="57" spans="53:56" ht="15" x14ac:dyDescent="0.25">
      <c r="BA57" s="1260"/>
      <c r="BB57" s="603"/>
      <c r="BC57" s="1262"/>
      <c r="BD57" s="603"/>
    </row>
    <row r="58" spans="53:56" ht="15" x14ac:dyDescent="0.25">
      <c r="BA58" s="1260"/>
      <c r="BB58" s="603"/>
      <c r="BC58" s="1262"/>
      <c r="BD58" s="603"/>
    </row>
    <row r="59" spans="53:56" ht="15" x14ac:dyDescent="0.25">
      <c r="BA59" s="1260"/>
      <c r="BB59" s="603"/>
      <c r="BC59" s="1262"/>
      <c r="BD59" s="603"/>
    </row>
    <row r="60" spans="53:56" ht="15" x14ac:dyDescent="0.25">
      <c r="BA60" s="1260"/>
      <c r="BB60" s="603"/>
      <c r="BC60" s="1262"/>
      <c r="BD60" s="603"/>
    </row>
    <row r="61" spans="53:56" ht="15" x14ac:dyDescent="0.25">
      <c r="BA61" s="1260"/>
      <c r="BB61" s="603"/>
      <c r="BC61" s="1262"/>
      <c r="BD61" s="603"/>
    </row>
    <row r="62" spans="53:56" ht="15" x14ac:dyDescent="0.25">
      <c r="BA62" s="1260"/>
      <c r="BB62" s="603"/>
      <c r="BC62" s="1262"/>
      <c r="BD62" s="603"/>
    </row>
    <row r="63" spans="53:56" ht="15" x14ac:dyDescent="0.25">
      <c r="BA63" s="1260"/>
      <c r="BB63" s="603"/>
      <c r="BC63" s="1262"/>
      <c r="BD63" s="603"/>
    </row>
    <row r="64" spans="53:56" ht="15" x14ac:dyDescent="0.25">
      <c r="BA64" s="1260"/>
      <c r="BB64" s="603"/>
      <c r="BC64" s="1262"/>
      <c r="BD64" s="603"/>
    </row>
    <row r="65" spans="53:56" ht="15" x14ac:dyDescent="0.25">
      <c r="BA65" s="1260"/>
      <c r="BB65" s="603"/>
      <c r="BC65" s="1262"/>
      <c r="BD65" s="603"/>
    </row>
    <row r="66" spans="53:56" ht="15" x14ac:dyDescent="0.25">
      <c r="BA66" s="1260"/>
      <c r="BB66" s="603"/>
      <c r="BC66" s="1262"/>
      <c r="BD66" s="603"/>
    </row>
    <row r="67" spans="53:56" ht="15" x14ac:dyDescent="0.25">
      <c r="BA67" s="1260"/>
      <c r="BB67" s="603"/>
      <c r="BC67" s="1262"/>
      <c r="BD67" s="603"/>
    </row>
    <row r="68" spans="53:56" ht="15" x14ac:dyDescent="0.25">
      <c r="BA68" s="1260"/>
      <c r="BB68" s="603"/>
      <c r="BC68" s="1262"/>
      <c r="BD68" s="603"/>
    </row>
    <row r="69" spans="53:56" ht="15" x14ac:dyDescent="0.25">
      <c r="BA69" s="1260"/>
      <c r="BB69" s="603"/>
      <c r="BC69" s="1262"/>
      <c r="BD69" s="603"/>
    </row>
    <row r="70" spans="53:56" ht="15" x14ac:dyDescent="0.25">
      <c r="BA70" s="1260"/>
      <c r="BB70" s="603"/>
      <c r="BC70" s="1262"/>
      <c r="BD70" s="603"/>
    </row>
    <row r="71" spans="53:56" ht="15" x14ac:dyDescent="0.25">
      <c r="BA71" s="1260"/>
      <c r="BB71" s="603"/>
      <c r="BC71" s="1262"/>
      <c r="BD71" s="603"/>
    </row>
    <row r="72" spans="53:56" ht="15" x14ac:dyDescent="0.25">
      <c r="BA72" s="1260"/>
      <c r="BB72" s="603"/>
      <c r="BC72" s="1262"/>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2" t="s">
        <v>1020</v>
      </c>
      <c r="F1" s="1553"/>
      <c r="G1" s="1553"/>
      <c r="H1" s="1553"/>
      <c r="I1" s="1553"/>
      <c r="J1" s="1554"/>
      <c r="L1" s="1552" t="s">
        <v>1019</v>
      </c>
      <c r="M1" s="1554"/>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2" t="s">
        <v>1021</v>
      </c>
      <c r="F20" s="1553"/>
      <c r="G20" s="1554"/>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1" t="s">
        <v>113</v>
      </c>
      <c r="M22" s="1551"/>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2" t="s">
        <v>1019</v>
      </c>
      <c r="M23" s="1554"/>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1" t="s">
        <v>1022</v>
      </c>
      <c r="F28" s="1551"/>
      <c r="G28" s="1551"/>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5" t="s">
        <v>837</v>
      </c>
      <c r="U1" s="1555"/>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5" t="s">
        <v>838</v>
      </c>
      <c r="U5" s="15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5"/>
      <c r="U6" s="1555"/>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6"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6"/>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6"/>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7" t="s">
        <v>960</v>
      </c>
      <c r="AX5" s="1558"/>
      <c r="AY5" s="490">
        <v>1757315</v>
      </c>
      <c r="AZ5" s="284" t="s">
        <v>214</v>
      </c>
      <c r="BA5" s="1" t="s">
        <v>214</v>
      </c>
      <c r="BB5" s="483">
        <v>3.2000000000000001E-2</v>
      </c>
      <c r="BC5" s="483">
        <v>6.9000000000000006E-2</v>
      </c>
      <c r="BD5" s="483">
        <v>8.2000000000000003E-2</v>
      </c>
      <c r="BE5" s="483">
        <v>9.6000000000000002E-2</v>
      </c>
      <c r="BF5" s="484">
        <v>0.13300000000000001</v>
      </c>
      <c r="BI5" s="1557" t="s">
        <v>961</v>
      </c>
      <c r="BJ5" s="1558"/>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0" t="s">
        <v>959</v>
      </c>
      <c r="AR10" s="1560"/>
      <c r="AW10" s="1559" t="s">
        <v>957</v>
      </c>
      <c r="AX10" s="1559"/>
      <c r="AY10" s="1559"/>
      <c r="AZ10" s="1559"/>
      <c r="BA10" s="1559"/>
      <c r="BD10" s="1559" t="s">
        <v>958</v>
      </c>
      <c r="BE10" s="1559"/>
      <c r="BF10" s="1559"/>
      <c r="BG10" s="1559"/>
      <c r="BH10" s="15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7" t="s">
        <v>799</v>
      </c>
      <c r="B1" s="1597"/>
      <c r="C1" s="1597"/>
      <c r="D1" s="1597"/>
      <c r="F1" s="1598" t="s">
        <v>728</v>
      </c>
      <c r="G1" s="1598"/>
      <c r="I1" s="1599" t="s">
        <v>798</v>
      </c>
      <c r="J1" s="1600"/>
      <c r="K1" s="1600"/>
      <c r="L1" s="1600"/>
      <c r="M1" s="1600"/>
      <c r="N1" s="1600"/>
      <c r="O1" s="1600"/>
      <c r="P1" s="1600"/>
      <c r="Q1" s="1600"/>
      <c r="R1" s="1600"/>
      <c r="S1" s="1600"/>
      <c r="T1" s="1600"/>
      <c r="U1" s="1600"/>
      <c r="V1" s="1601"/>
    </row>
    <row r="2" spans="1:23" x14ac:dyDescent="0.25">
      <c r="I2" s="327"/>
      <c r="J2" s="135"/>
      <c r="K2" s="135"/>
      <c r="L2" s="135"/>
      <c r="M2" s="135"/>
      <c r="N2" s="135"/>
      <c r="O2" s="135"/>
      <c r="P2" s="135"/>
      <c r="Q2" s="135"/>
      <c r="R2" s="135"/>
      <c r="S2" s="135"/>
      <c r="T2" s="135"/>
      <c r="U2" s="135"/>
      <c r="V2" s="330"/>
    </row>
    <row r="3" spans="1:23" x14ac:dyDescent="0.25">
      <c r="A3" s="1055" t="s">
        <v>245</v>
      </c>
      <c r="B3" s="1590">
        <f>Welcome!$D$4</f>
        <v>0</v>
      </c>
      <c r="C3" s="1590"/>
      <c r="I3" s="323">
        <v>1</v>
      </c>
      <c r="J3" s="1055" t="s">
        <v>754</v>
      </c>
      <c r="L3" s="1590" t="str">
        <f>"ALC "&amp;'Required Info to Submit'!$F$6</f>
        <v xml:space="preserve">ALC </v>
      </c>
      <c r="M3" s="1590"/>
      <c r="N3" s="1590"/>
      <c r="O3" s="1590"/>
      <c r="P3" s="1590"/>
      <c r="R3" s="1055"/>
      <c r="V3" s="138"/>
    </row>
    <row r="4" spans="1:23" ht="45" x14ac:dyDescent="0.25">
      <c r="A4" s="1055" t="s">
        <v>735</v>
      </c>
      <c r="B4" s="1595">
        <f>'Required Info to Submit'!$F$6</f>
        <v>0</v>
      </c>
      <c r="C4" s="1595"/>
      <c r="D4" s="1065" t="s">
        <v>889</v>
      </c>
      <c r="F4" s="242" t="s">
        <v>729</v>
      </c>
      <c r="G4" s="631">
        <f>Incentives!$H$9</f>
        <v>0</v>
      </c>
      <c r="H4" s="281"/>
      <c r="I4" s="323">
        <v>2</v>
      </c>
      <c r="J4" s="1055" t="s">
        <v>730</v>
      </c>
      <c r="L4" s="331">
        <f>'Required Info to Submit'!$F$14</f>
        <v>0</v>
      </c>
      <c r="M4" s="331"/>
      <c r="N4" s="331"/>
      <c r="O4" s="332">
        <v>3</v>
      </c>
      <c r="P4" s="1590" t="s">
        <v>732</v>
      </c>
      <c r="Q4" s="1590"/>
      <c r="R4" s="1590"/>
      <c r="S4" s="1596" t="e">
        <f>$L$4+(364*$G$5)+6</f>
        <v>#VALUE!</v>
      </c>
      <c r="T4" s="1596"/>
      <c r="U4" s="331"/>
      <c r="V4" s="138"/>
    </row>
    <row r="5" spans="1:23" x14ac:dyDescent="0.25">
      <c r="A5" s="1055" t="s">
        <v>1017</v>
      </c>
      <c r="B5" s="1592">
        <f>'Required Info to Submit'!$F$8</f>
        <v>0</v>
      </c>
      <c r="C5" s="1592"/>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3">
        <f>'Required Info to Submit'!$F$14</f>
        <v>0</v>
      </c>
      <c r="C6" s="1593"/>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0" t="s">
        <v>755</v>
      </c>
      <c r="Q6" s="1590"/>
      <c r="R6" s="1590"/>
      <c r="S6" s="1594">
        <f>-('Tracking &amp; Profitability'!$E$22)</f>
        <v>0</v>
      </c>
      <c r="T6" s="1594"/>
      <c r="U6" s="20"/>
      <c r="V6" s="138"/>
    </row>
    <row r="7" spans="1:23" x14ac:dyDescent="0.25">
      <c r="A7" s="1055" t="s">
        <v>794</v>
      </c>
      <c r="B7" s="1590">
        <f>'Required Info to Submit'!$F$10</f>
        <v>0</v>
      </c>
      <c r="C7" s="1590"/>
      <c r="F7" s="1065" t="str">
        <f>IF(Incentives!E15="Yes","VB","")</f>
        <v/>
      </c>
      <c r="G7" s="1065" t="str">
        <f>IF(Incentives!E57="YES","DS","")</f>
        <v/>
      </c>
      <c r="I7" s="323">
        <v>6</v>
      </c>
      <c r="J7" s="1055" t="s">
        <v>756</v>
      </c>
      <c r="L7" s="1590" t="str">
        <f>'MDA Worksheet'!$K$95</f>
        <v/>
      </c>
      <c r="M7" s="1590"/>
      <c r="N7" s="1590"/>
      <c r="O7" s="332">
        <v>8</v>
      </c>
      <c r="P7" s="1590" t="s">
        <v>869</v>
      </c>
      <c r="Q7" s="1590"/>
      <c r="R7" s="1590"/>
      <c r="S7" s="1590">
        <f>'Required Info to Submit'!$F$10</f>
        <v>0</v>
      </c>
      <c r="T7" s="1590"/>
      <c r="V7" s="138"/>
    </row>
    <row r="8" spans="1:23" x14ac:dyDescent="0.25">
      <c r="A8" s="1055" t="s">
        <v>795</v>
      </c>
      <c r="B8" s="1590">
        <f>'Required Info to Submit'!$F$9</f>
        <v>0</v>
      </c>
      <c r="C8" s="1590"/>
      <c r="F8" s="1065" t="str">
        <f>IF(Incentives!E85="Yes","EB","")</f>
        <v/>
      </c>
      <c r="G8" s="1065" t="str">
        <f>IF(Incentives!E113="Yes","SG","")</f>
        <v/>
      </c>
      <c r="I8" s="137"/>
      <c r="M8" s="1055"/>
      <c r="R8" s="1055"/>
      <c r="V8" s="138"/>
    </row>
    <row r="9" spans="1:23" x14ac:dyDescent="0.25">
      <c r="A9" s="1055" t="s">
        <v>654</v>
      </c>
      <c r="B9" s="1590">
        <f>'Required Info to Submit'!$F$12</f>
        <v>0</v>
      </c>
      <c r="C9" s="1590"/>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0">
        <f>'Required Info to Submit'!$F$11</f>
        <v>0</v>
      </c>
      <c r="C10" s="1590"/>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1"/>
      <c r="C11" s="1591"/>
      <c r="F11" s="1065" t="str">
        <f>IF(Incentives!E176="Yes","Roll","")</f>
        <v/>
      </c>
      <c r="I11" s="1575" t="s">
        <v>736</v>
      </c>
      <c r="J11" s="1576"/>
      <c r="K11" s="1576"/>
      <c r="L11" s="1577"/>
      <c r="M11" s="286"/>
      <c r="N11" s="1575" t="s">
        <v>478</v>
      </c>
      <c r="O11" s="1576"/>
      <c r="P11" s="1576"/>
      <c r="Q11" s="1577"/>
      <c r="R11" s="286"/>
      <c r="S11" s="1575" t="s">
        <v>530</v>
      </c>
      <c r="T11" s="1576"/>
      <c r="U11" s="1576"/>
      <c r="V11" s="1577"/>
    </row>
    <row r="12" spans="1:23" ht="15.75" thickBot="1" x14ac:dyDescent="0.3">
      <c r="A12" s="1561" t="s">
        <v>736</v>
      </c>
      <c r="B12" s="1562"/>
      <c r="C12" s="1562"/>
      <c r="D12" s="1563"/>
      <c r="E12" s="818"/>
      <c r="F12" s="135"/>
      <c r="G12" s="135"/>
      <c r="H12" s="774"/>
      <c r="I12" s="1564" t="s">
        <v>737</v>
      </c>
      <c r="J12" s="1565"/>
      <c r="K12" s="1565"/>
      <c r="L12" s="1566"/>
      <c r="M12" s="286"/>
      <c r="N12" s="1564" t="s">
        <v>738</v>
      </c>
      <c r="O12" s="1565"/>
      <c r="P12" s="1565"/>
      <c r="Q12" s="1566"/>
      <c r="R12" s="286"/>
      <c r="S12" s="1564" t="s">
        <v>739</v>
      </c>
      <c r="T12" s="1565"/>
      <c r="U12" s="1565"/>
      <c r="V12" s="1566"/>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5" t="s">
        <v>1168</v>
      </c>
      <c r="J23" s="1576"/>
      <c r="K23" s="1576"/>
      <c r="L23" s="1577"/>
      <c r="M23" s="773"/>
      <c r="N23" s="1587" t="s">
        <v>1169</v>
      </c>
      <c r="O23" s="1588"/>
      <c r="P23" s="1588"/>
      <c r="Q23" s="1589"/>
      <c r="R23" s="773"/>
      <c r="S23" s="1575" t="s">
        <v>1164</v>
      </c>
      <c r="T23" s="1576"/>
      <c r="U23" s="1576"/>
      <c r="V23" s="1577"/>
    </row>
    <row r="24" spans="1:23" ht="15.75" thickBot="1" x14ac:dyDescent="0.3">
      <c r="A24" s="1561" t="s">
        <v>478</v>
      </c>
      <c r="B24" s="1562"/>
      <c r="C24" s="1562"/>
      <c r="D24" s="1563"/>
      <c r="E24" s="285"/>
      <c r="F24" s="135"/>
      <c r="G24" s="135"/>
      <c r="H24" s="286"/>
      <c r="I24" s="1564" t="s">
        <v>748</v>
      </c>
      <c r="J24" s="1565"/>
      <c r="K24" s="1565"/>
      <c r="L24" s="1566"/>
      <c r="M24" s="773"/>
      <c r="N24" s="1578" t="s">
        <v>748</v>
      </c>
      <c r="O24" s="1579"/>
      <c r="P24" s="1579"/>
      <c r="Q24" s="1580"/>
      <c r="R24" s="773"/>
      <c r="S24" s="1564" t="s">
        <v>749</v>
      </c>
      <c r="T24" s="1565"/>
      <c r="U24" s="1565"/>
      <c r="V24" s="1566"/>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1" t="s">
        <v>750</v>
      </c>
      <c r="J33" s="1582"/>
      <c r="K33" s="1582"/>
      <c r="L33" s="1583"/>
      <c r="M33" s="774"/>
      <c r="N33" s="1584" t="s">
        <v>1058</v>
      </c>
      <c r="O33" s="1585"/>
      <c r="P33" s="1585"/>
      <c r="Q33" s="1586"/>
      <c r="R33" s="774"/>
      <c r="S33" s="1584" t="s">
        <v>1177</v>
      </c>
      <c r="T33" s="1585"/>
      <c r="U33" s="1585"/>
      <c r="V33" s="1586"/>
    </row>
    <row r="34" spans="1:22" ht="15.75" thickBot="1" x14ac:dyDescent="0.3">
      <c r="A34" s="1561" t="s">
        <v>530</v>
      </c>
      <c r="B34" s="1562"/>
      <c r="C34" s="1562"/>
      <c r="D34" s="1563"/>
      <c r="E34" s="285"/>
      <c r="F34" s="135"/>
      <c r="G34" s="135"/>
      <c r="H34" s="286"/>
      <c r="I34" s="1569" t="s">
        <v>753</v>
      </c>
      <c r="J34" s="1570"/>
      <c r="K34" s="1570"/>
      <c r="L34" s="1571"/>
      <c r="M34" s="774"/>
      <c r="N34" s="1572" t="s">
        <v>752</v>
      </c>
      <c r="O34" s="1573"/>
      <c r="P34" s="1573"/>
      <c r="Q34" s="1574"/>
      <c r="R34" s="774"/>
      <c r="S34" s="1564" t="s">
        <v>1183</v>
      </c>
      <c r="T34" s="1565"/>
      <c r="U34" s="1565"/>
      <c r="V34" s="1566"/>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5" t="s">
        <v>1221</v>
      </c>
      <c r="O41" s="1576"/>
      <c r="P41" s="1576"/>
      <c r="Q41" s="1577"/>
      <c r="S41" s="1575"/>
      <c r="T41" s="1576"/>
      <c r="U41" s="1576"/>
      <c r="V41" s="1577"/>
    </row>
    <row r="42" spans="1:22" ht="15.75" thickBot="1" x14ac:dyDescent="0.3">
      <c r="A42" s="258"/>
      <c r="B42" s="312">
        <f>Incentives!$G$91</f>
        <v>0</v>
      </c>
      <c r="C42" s="322">
        <v>1</v>
      </c>
      <c r="D42" s="702">
        <f>Incentives!$K$91</f>
        <v>0</v>
      </c>
      <c r="E42" s="320"/>
      <c r="N42" s="1564" t="s">
        <v>1222</v>
      </c>
      <c r="O42" s="1565"/>
      <c r="P42" s="1565"/>
      <c r="Q42" s="1566"/>
      <c r="S42" s="1564"/>
      <c r="T42" s="1565"/>
      <c r="U42" s="1565"/>
      <c r="V42" s="1566"/>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1" t="s">
        <v>1177</v>
      </c>
      <c r="B44" s="1562"/>
      <c r="C44" s="1562"/>
      <c r="D44" s="1563"/>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1" t="s">
        <v>750</v>
      </c>
      <c r="B51" s="1562"/>
      <c r="C51" s="1562"/>
      <c r="D51" s="1563"/>
      <c r="E51" s="285"/>
      <c r="I51" s="812">
        <v>8</v>
      </c>
      <c r="J51" s="265">
        <f>IFERROR('MDA Worksheet'!D102,"")</f>
        <v>0</v>
      </c>
      <c r="K51" s="1063" t="str">
        <f>IFERROR('MDA Worksheet'!K102,"")</f>
        <v/>
      </c>
      <c r="N51" s="137" t="s">
        <v>1223</v>
      </c>
      <c r="O51" s="1567" t="str">
        <f>"Amount to be paid to the customer $ "&amp;TEXT(D69,"#,###,###.00")</f>
        <v>Amount to be paid to the customer $ .00</v>
      </c>
      <c r="P51" s="1567"/>
      <c r="Q51" s="1568"/>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7" t="str">
        <f>"Claw Back Amount $ "&amp;TEXT(D71,"#,###,###.00")</f>
        <v>Claw Back Amount $ .00</v>
      </c>
      <c r="P52" s="1567"/>
      <c r="Q52" s="1568"/>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1" t="s">
        <v>1168</v>
      </c>
      <c r="B57" s="1562"/>
      <c r="C57" s="1562"/>
      <c r="D57" s="1563"/>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1" t="s">
        <v>1210</v>
      </c>
      <c r="B66" s="1562"/>
      <c r="C66" s="1562"/>
      <c r="D66" s="1563"/>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1" t="e">
        <f>Incentives!#REF!</f>
        <v>#REF!</v>
      </c>
      <c r="B74" s="1562"/>
      <c r="C74" s="1562"/>
      <c r="D74" s="1562"/>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1" t="s">
        <v>1057</v>
      </c>
      <c r="B80" s="1562"/>
      <c r="C80" s="1562"/>
      <c r="D80" s="1563"/>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8" t="s">
        <v>722</v>
      </c>
      <c r="C2" s="1689"/>
      <c r="D2" s="1689"/>
      <c r="E2" s="1689"/>
      <c r="F2" s="1689"/>
      <c r="G2" s="1689"/>
      <c r="H2" s="1689"/>
      <c r="I2" s="1689"/>
      <c r="J2" s="1689"/>
      <c r="K2" s="1689"/>
      <c r="L2" s="1689"/>
      <c r="M2" s="1689"/>
      <c r="N2" s="1689"/>
      <c r="O2" s="1689"/>
      <c r="P2" s="1689"/>
      <c r="Q2" s="1689"/>
      <c r="R2" s="1689"/>
      <c r="S2" s="1689"/>
      <c r="T2" s="1689"/>
      <c r="U2" s="1689"/>
      <c r="V2" s="1689"/>
      <c r="W2" s="1689"/>
      <c r="X2" s="1689"/>
      <c r="Y2" s="1689"/>
      <c r="Z2" s="1689"/>
      <c r="AA2" s="1689"/>
      <c r="AB2" s="1689"/>
      <c r="AC2" s="1689"/>
      <c r="AD2" s="1689"/>
      <c r="AE2" s="1689"/>
      <c r="AF2" s="1689"/>
      <c r="AG2" s="1689"/>
      <c r="AH2" s="1689"/>
      <c r="AI2" s="1689"/>
      <c r="AJ2" s="1689"/>
      <c r="AK2" s="1689"/>
      <c r="AL2" s="1689"/>
      <c r="AM2" s="1689"/>
      <c r="AN2" s="1689"/>
      <c r="AO2" s="1689"/>
      <c r="AP2" s="1689"/>
      <c r="AQ2" s="1689"/>
      <c r="AR2" s="1689"/>
      <c r="AS2" s="1689"/>
      <c r="AT2" s="1689"/>
      <c r="AU2" s="1689"/>
      <c r="AV2" s="1689"/>
      <c r="AW2" s="1689"/>
      <c r="AX2" s="1689"/>
      <c r="AY2" s="1689"/>
      <c r="AZ2" s="1689"/>
      <c r="BA2" s="1689"/>
      <c r="BB2" s="1689"/>
      <c r="BC2" s="1689"/>
      <c r="BD2" s="1689"/>
      <c r="BE2" s="1689"/>
      <c r="BF2" s="1690"/>
    </row>
    <row r="3" spans="2:68" x14ac:dyDescent="0.25">
      <c r="B3" s="1691"/>
      <c r="C3" s="1656"/>
      <c r="D3" s="1656"/>
      <c r="E3" s="1656"/>
      <c r="F3" s="1656"/>
      <c r="G3" s="1656"/>
      <c r="H3" s="1656"/>
      <c r="I3" s="1656"/>
      <c r="J3" s="1656"/>
      <c r="K3" s="1656"/>
      <c r="L3" s="1656"/>
      <c r="M3" s="1656"/>
      <c r="N3" s="1656"/>
      <c r="O3" s="1656"/>
      <c r="P3" s="1656"/>
      <c r="Q3" s="1656"/>
      <c r="R3" s="1656"/>
      <c r="S3" s="1656"/>
      <c r="T3" s="1656"/>
      <c r="U3" s="1656"/>
      <c r="V3" s="1656"/>
      <c r="W3" s="1656"/>
      <c r="X3" s="1656"/>
      <c r="Y3" s="1656"/>
      <c r="Z3" s="1656"/>
      <c r="AA3" s="1656"/>
      <c r="AB3" s="1656"/>
      <c r="AC3" s="1656"/>
      <c r="AD3" s="1656"/>
      <c r="AE3" s="1656"/>
      <c r="AF3" s="1656"/>
      <c r="AG3" s="1656"/>
      <c r="AH3" s="1656"/>
      <c r="AI3" s="1656"/>
      <c r="AJ3" s="1656"/>
      <c r="AK3" s="1656"/>
      <c r="AL3" s="1656"/>
      <c r="AM3" s="1656"/>
      <c r="AN3" s="1656"/>
      <c r="AO3" s="1656"/>
      <c r="AP3" s="1656"/>
      <c r="AQ3" s="1656"/>
      <c r="AR3" s="1656"/>
      <c r="AS3" s="1656"/>
      <c r="AT3" s="1656"/>
      <c r="AU3" s="1656"/>
      <c r="AV3" s="1656"/>
      <c r="AW3" s="1656"/>
      <c r="AX3" s="1656"/>
      <c r="AY3" s="1656"/>
      <c r="AZ3" s="1656"/>
      <c r="BA3" s="1656"/>
      <c r="BB3" s="1656"/>
      <c r="BC3" s="1656"/>
      <c r="BD3" s="1656"/>
      <c r="BE3" s="1656"/>
      <c r="BF3" s="16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2" t="s">
        <v>649</v>
      </c>
      <c r="C8" s="1673"/>
      <c r="D8" s="1673"/>
      <c r="E8" s="1673"/>
      <c r="F8" s="1673"/>
      <c r="G8" s="1673"/>
      <c r="H8" s="1673"/>
      <c r="I8" s="1673"/>
      <c r="J8" s="1673"/>
      <c r="K8" s="1673"/>
      <c r="L8" s="1673"/>
      <c r="M8" s="1673"/>
      <c r="N8" s="1673"/>
      <c r="O8" s="1673"/>
      <c r="P8" s="1673"/>
      <c r="Q8" s="1673"/>
      <c r="R8" s="1673"/>
      <c r="S8" s="1673"/>
      <c r="T8" s="1673"/>
      <c r="U8" s="1673"/>
      <c r="V8" s="1673"/>
      <c r="W8" s="1673"/>
      <c r="X8" s="1673"/>
      <c r="Y8" s="1673"/>
      <c r="Z8" s="1673"/>
      <c r="AA8" s="1673"/>
      <c r="AB8" s="1673"/>
      <c r="AC8" s="1673"/>
      <c r="AD8" s="1673"/>
      <c r="AE8" s="1673"/>
      <c r="AF8" s="1673"/>
      <c r="AG8" s="1673"/>
      <c r="AH8" s="1673"/>
      <c r="AI8" s="1673"/>
      <c r="AJ8" s="1673"/>
      <c r="AK8" s="1673"/>
      <c r="AL8" s="1673"/>
      <c r="AM8" s="1673"/>
      <c r="AN8" s="1673"/>
      <c r="AO8" s="1673"/>
      <c r="AP8" s="1673"/>
      <c r="AQ8" s="1673"/>
      <c r="AR8" s="1673"/>
      <c r="AS8" s="1673"/>
      <c r="AT8" s="1673"/>
      <c r="AU8" s="1673"/>
      <c r="AV8" s="1673"/>
      <c r="AW8" s="1673"/>
      <c r="AX8" s="1673"/>
      <c r="AY8" s="1673"/>
      <c r="AZ8" s="1673"/>
      <c r="BA8" s="1673"/>
      <c r="BB8" s="1673"/>
      <c r="BC8" s="1673"/>
      <c r="BD8" s="1673"/>
      <c r="BE8" s="1673"/>
      <c r="BF8" s="1674"/>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8" t="s">
        <v>881</v>
      </c>
      <c r="C10" s="1555"/>
      <c r="D10" s="1555"/>
      <c r="E10" s="1555"/>
      <c r="F10" s="1555"/>
      <c r="G10" s="1555"/>
      <c r="H10" s="1555"/>
      <c r="I10" s="1555"/>
      <c r="J10" s="1555"/>
      <c r="K10" s="1664">
        <f>'Tracking &amp; Profitability'!$H$5</f>
        <v>0</v>
      </c>
      <c r="L10" s="1664"/>
      <c r="M10" s="1664"/>
      <c r="N10" s="1664"/>
      <c r="O10" s="1664"/>
      <c r="P10" s="1664"/>
      <c r="Q10" s="1664"/>
      <c r="R10" s="1664"/>
      <c r="S10" s="1664"/>
      <c r="T10" s="1664"/>
      <c r="U10" s="1664"/>
      <c r="V10" s="1664"/>
      <c r="W10" s="1664"/>
      <c r="X10" s="1664"/>
      <c r="Y10" s="1664"/>
      <c r="Z10" s="1664"/>
      <c r="AA10" s="1664"/>
      <c r="AB10" s="1664"/>
      <c r="AC10" s="1664"/>
      <c r="AD10" s="1664"/>
      <c r="AE10" s="1664"/>
      <c r="AI10" s="1555" t="s">
        <v>721</v>
      </c>
      <c r="AJ10" s="1555"/>
      <c r="AK10" s="1555"/>
      <c r="AL10" s="1555"/>
      <c r="AM10" s="1555"/>
      <c r="AN10" s="1555"/>
      <c r="AO10" s="1555"/>
      <c r="AP10" s="1555"/>
      <c r="AQ10" s="1555"/>
      <c r="AR10" s="1555"/>
      <c r="AT10" s="1683"/>
      <c r="AU10" s="1683"/>
      <c r="AV10" s="1683"/>
      <c r="AW10" s="1683"/>
      <c r="AX10" s="1683"/>
      <c r="AY10" s="1683"/>
      <c r="AZ10" s="1683"/>
      <c r="BA10" s="1683"/>
      <c r="BB10" s="1683"/>
      <c r="BC10" s="1683"/>
      <c r="BD10" s="1683"/>
      <c r="BF10" s="138"/>
    </row>
    <row r="11" spans="2:68" x14ac:dyDescent="0.25">
      <c r="B11" s="137"/>
      <c r="AL11" s="2"/>
      <c r="AM11" s="2"/>
      <c r="AN11" s="2"/>
      <c r="AO11" s="2"/>
      <c r="AP11" s="2"/>
      <c r="AQ11" s="2"/>
      <c r="AR11" s="2"/>
      <c r="AS11" s="2"/>
      <c r="AT11" s="2"/>
      <c r="AU11" s="2"/>
      <c r="AV11" s="2"/>
      <c r="BF11" s="138"/>
    </row>
    <row r="12" spans="2:68" x14ac:dyDescent="0.25">
      <c r="B12" s="1667" t="s">
        <v>882</v>
      </c>
      <c r="C12" s="1660"/>
      <c r="D12" s="1660"/>
      <c r="E12" s="1660"/>
      <c r="F12" s="1660"/>
      <c r="G12" s="1660"/>
      <c r="H12" s="1660"/>
      <c r="I12" s="1660"/>
      <c r="J12" s="1660"/>
      <c r="K12" s="1639">
        <f>'Required Info to Submit'!$F$4</f>
        <v>0</v>
      </c>
      <c r="L12" s="1639"/>
      <c r="M12" s="1639"/>
      <c r="N12" s="1639"/>
      <c r="O12" s="1639"/>
      <c r="P12" s="1639"/>
      <c r="Q12" s="1639"/>
      <c r="R12" s="1639"/>
      <c r="S12" s="1639"/>
      <c r="T12" s="1639"/>
      <c r="U12" s="1639"/>
      <c r="V12" s="1639"/>
      <c r="W12" s="1639"/>
      <c r="X12" s="1639"/>
      <c r="Y12" s="1639"/>
      <c r="Z12" s="1639"/>
      <c r="AA12" s="1639"/>
      <c r="AB12" s="1639"/>
      <c r="AC12" s="1639"/>
      <c r="AD12" s="1639"/>
      <c r="AE12" s="16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7" t="s">
        <v>899</v>
      </c>
      <c r="C14" s="1660"/>
      <c r="D14" s="1660"/>
      <c r="E14" s="1660"/>
      <c r="F14" s="1660"/>
      <c r="G14" s="1660"/>
      <c r="H14" s="1660"/>
      <c r="I14" s="1660"/>
      <c r="J14" s="1660"/>
      <c r="K14" s="1660"/>
      <c r="L14" s="1660"/>
      <c r="M14" s="1660"/>
      <c r="N14" s="1660"/>
      <c r="O14" s="1660"/>
      <c r="P14" s="1660"/>
      <c r="Q14" s="1660"/>
      <c r="R14" s="1678">
        <f>'Required Info to Submit'!$F$6</f>
        <v>0</v>
      </c>
      <c r="S14" s="1678"/>
      <c r="T14" s="1678"/>
      <c r="U14" s="1678"/>
      <c r="V14" s="1678"/>
      <c r="W14" s="1678"/>
      <c r="X14" s="1678"/>
      <c r="Y14" s="1678"/>
      <c r="Z14" s="1678"/>
      <c r="AA14" s="1678"/>
      <c r="AB14" s="1678"/>
      <c r="AC14" s="1678"/>
      <c r="AD14" s="1678"/>
      <c r="AE14" s="1678"/>
      <c r="AF14" s="1678"/>
      <c r="AG14" s="1678"/>
      <c r="AH14" s="1678"/>
      <c r="AI14" s="1678"/>
      <c r="AJ14" s="1678"/>
      <c r="AK14" s="1678"/>
      <c r="AL14" s="1678"/>
      <c r="AM14" s="1678"/>
      <c r="AN14" s="1678"/>
      <c r="AO14" s="1678"/>
      <c r="AP14" s="1678"/>
      <c r="AQ14" s="1678"/>
      <c r="AR14" s="1678"/>
      <c r="AS14" s="1678"/>
      <c r="AT14" s="1678"/>
      <c r="AU14" s="1678"/>
      <c r="AV14" s="1678"/>
      <c r="AW14" s="1678"/>
      <c r="AX14" s="1678"/>
      <c r="AY14" s="1678"/>
      <c r="AZ14" s="1678"/>
      <c r="BA14" s="1678"/>
      <c r="BB14" s="1678"/>
      <c r="BC14" s="1678"/>
      <c r="BD14" s="167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7" t="s">
        <v>720</v>
      </c>
      <c r="C16" s="1660"/>
      <c r="D16" s="1660"/>
      <c r="E16" s="1660"/>
      <c r="F16" s="1660"/>
      <c r="G16" s="1660"/>
      <c r="H16" s="1660"/>
      <c r="I16" s="1660"/>
      <c r="J16" s="1660"/>
      <c r="K16" s="1660"/>
      <c r="L16" s="1660"/>
      <c r="M16" s="1660"/>
      <c r="N16" s="1660"/>
      <c r="O16" s="1660"/>
      <c r="P16" s="1660"/>
      <c r="Q16" s="1660"/>
      <c r="R16" s="1639" t="s">
        <v>241</v>
      </c>
      <c r="S16" s="1639"/>
      <c r="T16" s="1656" t="s">
        <v>650</v>
      </c>
      <c r="U16" s="1656"/>
      <c r="V16" s="1656"/>
      <c r="W16" s="1656"/>
      <c r="X16" s="1656"/>
      <c r="Y16" s="1656"/>
      <c r="Z16" s="1656"/>
      <c r="AA16" s="1656"/>
      <c r="AB16" s="1656"/>
      <c r="AC16" s="1656"/>
      <c r="AD16" s="1656"/>
      <c r="AE16" s="1656"/>
      <c r="AF16" s="1656"/>
      <c r="AG16" s="1656"/>
      <c r="AH16" s="1656"/>
      <c r="AI16" s="1656"/>
      <c r="AJ16" s="1656"/>
      <c r="AK16" s="1656"/>
      <c r="AL16" s="1656"/>
      <c r="AO16" s="1656"/>
      <c r="AP16" s="1656"/>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9" t="s">
        <v>875</v>
      </c>
      <c r="C18" s="1680"/>
      <c r="D18" s="1680"/>
      <c r="E18" s="1680"/>
      <c r="F18" s="1680"/>
      <c r="G18" s="1680"/>
      <c r="H18" s="1680"/>
      <c r="I18" s="1680"/>
      <c r="J18" s="1680"/>
      <c r="K18" s="1680"/>
      <c r="L18" s="1680"/>
      <c r="M18" s="1680"/>
      <c r="N18" s="1680"/>
      <c r="O18" s="1680"/>
      <c r="P18" s="1680"/>
      <c r="Q18" s="1680"/>
      <c r="R18" s="1664">
        <f>'Required Info to Submit'!$F$8</f>
        <v>0</v>
      </c>
      <c r="S18" s="1664"/>
      <c r="T18" s="1664"/>
      <c r="U18" s="1664"/>
      <c r="V18" s="1664"/>
      <c r="W18" s="1664"/>
      <c r="X18" s="1664"/>
      <c r="Y18" s="1664"/>
      <c r="Z18" s="1664"/>
      <c r="AA18" s="1664"/>
      <c r="AB18" s="1664"/>
      <c r="AC18" s="1664"/>
      <c r="AD18" s="1664"/>
      <c r="AE18" s="1664"/>
      <c r="AF18" s="1664"/>
      <c r="AG18" s="1664"/>
      <c r="AH18" s="1664"/>
      <c r="AI18" s="1664"/>
      <c r="AJ18" s="1664"/>
      <c r="AK18" s="1664"/>
      <c r="AL18" s="1664"/>
      <c r="AN18" s="1660" t="s">
        <v>877</v>
      </c>
      <c r="AO18" s="1660"/>
      <c r="AP18" s="1660"/>
      <c r="AQ18" s="1660"/>
      <c r="AR18" s="1660"/>
      <c r="AS18" s="1660"/>
      <c r="AT18" s="1660"/>
      <c r="AU18" s="1660"/>
      <c r="AV18" s="1664">
        <f>'Required Info to Submit'!F10</f>
        <v>0</v>
      </c>
      <c r="AW18" s="1664"/>
      <c r="AX18" s="1664"/>
      <c r="AY18" s="1664"/>
      <c r="AZ18" s="1664"/>
      <c r="BA18" s="1664"/>
      <c r="BB18" s="1664"/>
      <c r="BC18" s="1664"/>
      <c r="BD18" s="1664"/>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7" t="s">
        <v>876</v>
      </c>
      <c r="C20" s="1660"/>
      <c r="D20" s="1660"/>
      <c r="E20" s="1660"/>
      <c r="F20" s="1660"/>
      <c r="G20" s="1660"/>
      <c r="H20" s="1660"/>
      <c r="I20" s="1660"/>
      <c r="J20" s="1660"/>
      <c r="K20" s="1660"/>
      <c r="L20" s="1660"/>
      <c r="M20" s="1660"/>
      <c r="N20" s="1660"/>
      <c r="O20" s="1660"/>
      <c r="P20" s="1660"/>
      <c r="Q20" s="1660"/>
      <c r="R20" s="1664">
        <f>'Required Info to Submit'!F9</f>
        <v>0</v>
      </c>
      <c r="S20" s="1664"/>
      <c r="T20" s="1664"/>
      <c r="U20" s="1664"/>
      <c r="V20" s="1664"/>
      <c r="W20" s="1664"/>
      <c r="X20" s="1664"/>
      <c r="Y20" s="1664"/>
      <c r="Z20" s="1664"/>
      <c r="AA20" s="1664"/>
      <c r="AB20" s="1664"/>
      <c r="AC20" s="1664"/>
      <c r="AD20" s="1664"/>
      <c r="AE20" s="1664"/>
      <c r="AF20" s="1664"/>
      <c r="AG20" s="1664"/>
      <c r="AH20" s="1664"/>
      <c r="AI20" s="1664"/>
      <c r="AJ20" s="1664"/>
      <c r="AK20" s="1664"/>
      <c r="AL20" s="1664"/>
      <c r="AN20" s="1660" t="s">
        <v>830</v>
      </c>
      <c r="AO20" s="1660"/>
      <c r="AP20" s="1660"/>
      <c r="AQ20" s="1660"/>
      <c r="AR20" s="1660"/>
      <c r="AS20" s="1660"/>
      <c r="AT20" s="1660"/>
      <c r="AU20" s="1660"/>
      <c r="AV20" s="1664">
        <f>'Required Info to Submit'!F11</f>
        <v>0</v>
      </c>
      <c r="AW20" s="1664"/>
      <c r="AX20" s="1664"/>
      <c r="AY20" s="1664"/>
      <c r="AZ20" s="1664"/>
      <c r="BA20" s="1664"/>
      <c r="BB20" s="1664"/>
      <c r="BC20" s="1664"/>
      <c r="BD20" s="1664"/>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7" t="s">
        <v>878</v>
      </c>
      <c r="C22" s="1660"/>
      <c r="D22" s="1660"/>
      <c r="E22" s="1660"/>
      <c r="F22" s="1660"/>
      <c r="G22" s="1660"/>
      <c r="H22" s="1660"/>
      <c r="I22" s="1660"/>
      <c r="J22" s="1660"/>
      <c r="K22" s="1660"/>
      <c r="L22" s="1660"/>
      <c r="M22" s="1660"/>
      <c r="N22" s="1660"/>
      <c r="O22" s="1660"/>
      <c r="P22" s="1660"/>
      <c r="Q22" s="1660"/>
      <c r="R22" s="1664">
        <f>'Required Info to Submit'!F12</f>
        <v>0</v>
      </c>
      <c r="S22" s="1664"/>
      <c r="T22" s="1664"/>
      <c r="U22" s="1664"/>
      <c r="V22" s="1664"/>
      <c r="W22" s="1664"/>
      <c r="X22" s="1664"/>
      <c r="Y22" s="1664"/>
      <c r="Z22" s="1664"/>
      <c r="AA22" s="1664"/>
      <c r="AB22" s="1664"/>
      <c r="AC22" s="1664"/>
      <c r="AD22" s="1664"/>
      <c r="AE22" s="1664"/>
      <c r="AF22" s="1664"/>
      <c r="AG22" s="1664"/>
      <c r="AH22" s="1664"/>
      <c r="AI22" s="1664"/>
      <c r="AJ22" s="1664"/>
      <c r="AK22" s="1664"/>
      <c r="AL22" s="1664"/>
      <c r="AN22" s="1660"/>
      <c r="AO22" s="1660"/>
      <c r="AP22" s="1660"/>
      <c r="AQ22" s="1660"/>
      <c r="AR22" s="1660"/>
      <c r="AS22" s="1660"/>
      <c r="AT22" s="1660"/>
      <c r="AU22" s="1660"/>
      <c r="AV22" s="1681"/>
      <c r="AW22" s="1681"/>
      <c r="AX22" s="1681"/>
      <c r="AY22" s="1681"/>
      <c r="AZ22" s="1681"/>
      <c r="BA22" s="1681"/>
      <c r="BB22" s="1681"/>
      <c r="BC22" s="1681"/>
      <c r="BD22" s="168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7" t="s">
        <v>879</v>
      </c>
      <c r="C24" s="1660"/>
      <c r="D24" s="1660"/>
      <c r="E24" s="1660"/>
      <c r="F24" s="1660"/>
      <c r="G24" s="1660"/>
      <c r="H24" s="1660"/>
      <c r="I24" s="1660"/>
      <c r="J24" s="1660"/>
      <c r="K24" s="1660"/>
      <c r="L24" s="1660"/>
      <c r="M24" s="1660"/>
      <c r="N24" s="1660"/>
      <c r="O24" s="1660"/>
      <c r="P24" s="1660"/>
      <c r="Q24" s="1660"/>
      <c r="R24" s="1676">
        <f>'Required Info to Submit'!$F$14</f>
        <v>0</v>
      </c>
      <c r="S24" s="1676"/>
      <c r="T24" s="1676"/>
      <c r="U24" s="1676"/>
      <c r="V24" s="1676"/>
      <c r="W24" s="1676"/>
      <c r="X24" s="1676"/>
      <c r="Y24" s="1676"/>
      <c r="Z24" s="1676"/>
      <c r="AA24" s="1676"/>
      <c r="AB24" s="1676"/>
      <c r="AC24" s="1676"/>
      <c r="AN24" s="1555" t="s">
        <v>883</v>
      </c>
      <c r="AO24" s="1555"/>
      <c r="AP24" s="1555"/>
      <c r="AQ24" s="1555"/>
      <c r="AR24" s="1555"/>
      <c r="AS24" s="1555"/>
      <c r="AT24" s="1555"/>
      <c r="AU24" s="1555"/>
      <c r="AV24" s="1682" t="e">
        <f>#REF!</f>
        <v>#REF!</v>
      </c>
      <c r="AW24" s="1682"/>
      <c r="AX24" s="1682"/>
      <c r="AY24" s="1682"/>
      <c r="AZ24" s="1682"/>
      <c r="BA24" s="1682"/>
      <c r="BB24" s="1682"/>
      <c r="BC24" s="1682"/>
      <c r="BD24" s="1682"/>
      <c r="BF24" s="138"/>
    </row>
    <row r="25" spans="2:68" ht="17.25" x14ac:dyDescent="0.25">
      <c r="B25" s="137"/>
      <c r="C25" s="269"/>
      <c r="D25" s="269"/>
      <c r="E25" s="269"/>
      <c r="F25" s="269"/>
      <c r="G25" s="269"/>
      <c r="H25" s="1675" t="s">
        <v>719</v>
      </c>
      <c r="I25" s="1675"/>
      <c r="J25" s="1675"/>
      <c r="K25" s="1675"/>
      <c r="L25" s="1675"/>
      <c r="M25" s="1675"/>
      <c r="N25" s="1675"/>
      <c r="O25" s="1675"/>
      <c r="P25" s="1675"/>
      <c r="Q25" s="269"/>
      <c r="AN25" s="1675" t="s">
        <v>718</v>
      </c>
      <c r="AO25" s="1675"/>
      <c r="AP25" s="1675"/>
      <c r="AQ25" s="1675"/>
      <c r="AR25" s="1675"/>
      <c r="AS25" s="1675"/>
      <c r="AT25" s="1675"/>
      <c r="BF25" s="138"/>
    </row>
    <row r="26" spans="2:68" ht="18.75" x14ac:dyDescent="0.3">
      <c r="B26" s="1672" t="s">
        <v>655</v>
      </c>
      <c r="C26" s="1673"/>
      <c r="D26" s="1673"/>
      <c r="E26" s="1673"/>
      <c r="F26" s="1673"/>
      <c r="G26" s="1673"/>
      <c r="H26" s="1673"/>
      <c r="I26" s="1673"/>
      <c r="J26" s="1673"/>
      <c r="K26" s="1673"/>
      <c r="L26" s="1673"/>
      <c r="M26" s="1673"/>
      <c r="N26" s="1673"/>
      <c r="O26" s="1673"/>
      <c r="P26" s="1673"/>
      <c r="Q26" s="1673"/>
      <c r="R26" s="1673"/>
      <c r="S26" s="1673"/>
      <c r="T26" s="1673"/>
      <c r="U26" s="1673"/>
      <c r="V26" s="1673"/>
      <c r="W26" s="1673"/>
      <c r="X26" s="1673"/>
      <c r="Y26" s="1673"/>
      <c r="Z26" s="1673"/>
      <c r="AA26" s="1673"/>
      <c r="AB26" s="1673"/>
      <c r="AC26" s="1673"/>
      <c r="AD26" s="1673"/>
      <c r="AE26" s="1673"/>
      <c r="AF26" s="1673"/>
      <c r="AG26" s="1673"/>
      <c r="AH26" s="1673"/>
      <c r="AI26" s="1673"/>
      <c r="AJ26" s="1673"/>
      <c r="AK26" s="1673"/>
      <c r="AL26" s="1673"/>
      <c r="AM26" s="1673"/>
      <c r="AN26" s="1673"/>
      <c r="AO26" s="1673"/>
      <c r="AP26" s="1673"/>
      <c r="AQ26" s="1673"/>
      <c r="AR26" s="1673"/>
      <c r="AS26" s="1673"/>
      <c r="AT26" s="1673"/>
      <c r="AU26" s="1673"/>
      <c r="AV26" s="1673"/>
      <c r="AW26" s="1673"/>
      <c r="AX26" s="1673"/>
      <c r="AY26" s="1673"/>
      <c r="AZ26" s="1673"/>
      <c r="BA26" s="1673"/>
      <c r="BB26" s="1673"/>
      <c r="BC26" s="1673"/>
      <c r="BD26" s="1673"/>
      <c r="BE26" s="1673"/>
      <c r="BF26" s="1674"/>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5" t="s">
        <v>656</v>
      </c>
      <c r="C28" s="1666"/>
      <c r="D28" s="1666"/>
      <c r="E28" s="1666"/>
      <c r="F28" s="1666"/>
      <c r="G28" s="1666"/>
      <c r="H28" s="1666"/>
      <c r="I28" s="1666"/>
      <c r="J28" s="1666"/>
      <c r="K28" s="1666"/>
      <c r="L28" s="1666"/>
      <c r="M28" s="1666"/>
      <c r="N28" s="1666"/>
      <c r="O28" s="1666"/>
      <c r="P28" s="1666"/>
      <c r="Q28" s="1666"/>
      <c r="T28" s="1669">
        <f>'Tracking &amp; Profitability'!$E$6</f>
        <v>0</v>
      </c>
      <c r="U28" s="1669"/>
      <c r="V28" s="1669"/>
      <c r="W28" s="1669"/>
      <c r="X28" s="1669"/>
      <c r="Y28" s="1669"/>
      <c r="Z28" s="1669"/>
      <c r="AA28" s="1669"/>
      <c r="AB28" s="1669"/>
      <c r="AF28" t="s">
        <v>717</v>
      </c>
      <c r="AO28" s="1639">
        <v>5</v>
      </c>
      <c r="AP28" s="1639"/>
      <c r="AQ28" s="1639"/>
      <c r="AR28" s="1656" t="s">
        <v>657</v>
      </c>
      <c r="AS28" s="1656"/>
      <c r="AU28" s="1639">
        <v>5</v>
      </c>
      <c r="AV28" s="1639"/>
      <c r="AW28" s="1639"/>
      <c r="AX28" s="1656" t="s">
        <v>716</v>
      </c>
      <c r="AY28" s="1656"/>
      <c r="BA28" s="1639">
        <v>5</v>
      </c>
      <c r="BB28" s="1639"/>
      <c r="BC28" s="1639"/>
      <c r="BD28" s="1656" t="s">
        <v>658</v>
      </c>
      <c r="BE28" s="1656"/>
      <c r="BF28" s="138"/>
    </row>
    <row r="29" spans="2:68" ht="17.25" x14ac:dyDescent="0.25">
      <c r="B29" s="137"/>
      <c r="T29" s="134"/>
      <c r="U29" s="134"/>
      <c r="V29" s="134"/>
      <c r="W29" s="134"/>
      <c r="X29" s="134"/>
      <c r="Y29" s="134"/>
      <c r="Z29" s="134"/>
      <c r="AA29" s="134"/>
      <c r="AB29" s="134"/>
      <c r="AF29" s="1675" t="s">
        <v>715</v>
      </c>
      <c r="AG29" s="1675"/>
      <c r="AH29" s="1675"/>
      <c r="AI29" s="1675"/>
      <c r="AJ29" s="1675"/>
      <c r="AK29" s="1675"/>
      <c r="AL29" s="1675"/>
      <c r="AM29" s="1675"/>
      <c r="AN29" s="1675"/>
      <c r="AO29" s="1675"/>
      <c r="AP29" s="1675"/>
      <c r="AQ29" s="1675"/>
      <c r="AR29" s="1675"/>
      <c r="AS29" s="1675"/>
      <c r="AT29" s="1675"/>
      <c r="AU29" s="1675"/>
      <c r="AV29" s="1675"/>
      <c r="AW29" s="1675"/>
      <c r="AX29" s="1675"/>
      <c r="AY29" s="1675"/>
      <c r="AZ29" s="1675"/>
      <c r="BA29" s="1675"/>
      <c r="BB29" s="1675"/>
      <c r="BC29" s="1675"/>
      <c r="BD29" s="1675"/>
      <c r="BE29" s="1675"/>
      <c r="BF29" s="138"/>
    </row>
    <row r="30" spans="2:68" x14ac:dyDescent="0.25">
      <c r="B30" s="1668" t="s">
        <v>712</v>
      </c>
      <c r="C30" s="1555"/>
      <c r="D30" s="1555"/>
      <c r="E30" s="1555"/>
      <c r="F30" s="1555"/>
      <c r="G30" s="1555"/>
      <c r="H30" s="1555"/>
      <c r="I30" s="1555"/>
      <c r="J30" s="1555"/>
      <c r="K30" s="1555"/>
      <c r="L30" s="1555"/>
      <c r="M30" s="1555"/>
      <c r="N30" s="1555"/>
      <c r="O30" s="1555"/>
      <c r="P30" s="1555"/>
      <c r="Q30" s="1555"/>
      <c r="T30" s="1671">
        <v>1</v>
      </c>
      <c r="U30" s="1671"/>
      <c r="V30" s="1671"/>
      <c r="W30" s="1671"/>
      <c r="AF30" s="1590" t="s">
        <v>714</v>
      </c>
      <c r="AG30" s="1590"/>
      <c r="AH30" s="1590"/>
      <c r="AI30" s="1590"/>
      <c r="AJ30" s="1590"/>
      <c r="AK30" s="1590"/>
      <c r="AL30" s="1590"/>
      <c r="AM30" s="1590"/>
      <c r="AN30" s="1590"/>
      <c r="AO30" s="1590"/>
      <c r="AP30" s="1639" t="s">
        <v>1044</v>
      </c>
      <c r="AQ30" s="1639"/>
      <c r="AR30" s="1639"/>
      <c r="AT30" s="1590" t="s">
        <v>713</v>
      </c>
      <c r="AU30" s="1590"/>
      <c r="AV30" s="1590"/>
      <c r="AW30" s="1590"/>
      <c r="AX30" s="1590"/>
      <c r="AY30" s="1590"/>
      <c r="AZ30" s="1590"/>
      <c r="BA30" s="1590"/>
      <c r="BB30" s="1590"/>
      <c r="BC30" s="1590"/>
      <c r="BF30" s="138"/>
    </row>
    <row r="31" spans="2:68" x14ac:dyDescent="0.25">
      <c r="B31" s="137"/>
      <c r="BF31" s="138"/>
      <c r="BP31" s="268"/>
    </row>
    <row r="32" spans="2:68" x14ac:dyDescent="0.25">
      <c r="B32" s="1668" t="s">
        <v>709</v>
      </c>
      <c r="C32" s="1555"/>
      <c r="D32" s="1555"/>
      <c r="E32" s="1555"/>
      <c r="F32" s="1555"/>
      <c r="G32" s="1555"/>
      <c r="H32" s="1555"/>
      <c r="I32" s="1555"/>
      <c r="J32" s="1555"/>
      <c r="K32" s="1555"/>
      <c r="L32" s="1555"/>
      <c r="M32" s="1555"/>
      <c r="N32" s="1555"/>
      <c r="O32" s="1555"/>
      <c r="P32" s="1555"/>
      <c r="Q32" s="1555"/>
      <c r="T32" s="1677" t="s">
        <v>1018</v>
      </c>
      <c r="U32" s="1677"/>
      <c r="V32" s="1677"/>
      <c r="W32" s="1677"/>
      <c r="X32" s="1677"/>
      <c r="Y32" s="1677"/>
      <c r="Z32" s="1677"/>
      <c r="AA32" s="1677"/>
      <c r="AB32" s="1677"/>
      <c r="AC32" s="1677"/>
      <c r="AD32" s="1677"/>
      <c r="AE32" s="1677"/>
      <c r="AF32" s="1677"/>
      <c r="AG32" s="1677"/>
      <c r="AH32" s="1677"/>
      <c r="AI32" s="1677"/>
      <c r="AJ32" s="1677"/>
      <c r="AK32" s="1677"/>
      <c r="AL32" s="1677"/>
      <c r="AM32" s="1677"/>
      <c r="AN32" s="1677"/>
      <c r="AO32" s="1677"/>
      <c r="BF32" s="138"/>
    </row>
    <row r="33" spans="2:92" x14ac:dyDescent="0.25">
      <c r="B33" s="137"/>
      <c r="BF33" s="138"/>
    </row>
    <row r="34" spans="2:92" x14ac:dyDescent="0.25">
      <c r="B34" s="137"/>
      <c r="C34" s="82"/>
      <c r="D34" s="82"/>
      <c r="E34" s="82"/>
      <c r="F34" s="82"/>
      <c r="G34" s="82"/>
      <c r="H34" s="82"/>
      <c r="I34" s="1639"/>
      <c r="J34" s="1639"/>
      <c r="K34" s="1656" t="s">
        <v>485</v>
      </c>
      <c r="L34" s="1656"/>
      <c r="M34" s="1656"/>
      <c r="N34" s="1656"/>
      <c r="O34" s="1656"/>
      <c r="P34" s="1656"/>
      <c r="Q34" s="1656"/>
      <c r="R34" s="1639" t="s">
        <v>241</v>
      </c>
      <c r="S34" s="1639"/>
      <c r="T34" s="1656" t="s">
        <v>484</v>
      </c>
      <c r="U34" s="1656"/>
      <c r="V34" s="1656"/>
      <c r="W34" s="1656"/>
      <c r="X34" s="1639"/>
      <c r="Y34" s="1639"/>
      <c r="Z34" s="1656" t="s">
        <v>483</v>
      </c>
      <c r="AA34" s="1656"/>
      <c r="AB34" s="1656"/>
      <c r="AF34" t="s">
        <v>711</v>
      </c>
      <c r="AL34" s="1639">
        <v>5</v>
      </c>
      <c r="AM34" s="1639"/>
      <c r="AN34" s="1639"/>
      <c r="AO34" t="s">
        <v>710</v>
      </c>
      <c r="BF34" s="138"/>
    </row>
    <row r="35" spans="2:92" x14ac:dyDescent="0.25">
      <c r="B35" s="137"/>
      <c r="BF35" s="138"/>
      <c r="BP35" s="270"/>
      <c r="CN35" s="268"/>
    </row>
    <row r="36" spans="2:92" x14ac:dyDescent="0.25">
      <c r="B36" s="1665" t="s">
        <v>708</v>
      </c>
      <c r="C36" s="1666"/>
      <c r="D36" s="1666"/>
      <c r="E36" s="1666"/>
      <c r="F36" s="1666"/>
      <c r="G36" s="1666"/>
      <c r="H36" s="1666"/>
      <c r="I36" s="1666"/>
      <c r="J36" s="1666"/>
      <c r="K36" s="1666"/>
      <c r="L36" s="1666"/>
      <c r="M36" s="1666"/>
      <c r="N36" s="1666"/>
      <c r="O36" s="1666"/>
      <c r="P36" s="1666"/>
      <c r="Q36" s="1666"/>
      <c r="R36" s="1666"/>
      <c r="T36" s="1647" t="str">
        <f>IFERROR($T$28/('Tracking &amp; Profitability'!$E$7*52*Welcome!$D$14),"Error on A La Carte")</f>
        <v>Error on A La Carte</v>
      </c>
      <c r="U36" s="1647"/>
      <c r="V36" s="1647"/>
      <c r="W36" s="1647"/>
      <c r="X36" s="1647"/>
      <c r="Y36" s="1647"/>
      <c r="Z36" s="1647"/>
      <c r="AA36" s="1647"/>
      <c r="AB36" s="1647"/>
      <c r="AF36" s="1666" t="s">
        <v>480</v>
      </c>
      <c r="AG36" s="1666"/>
      <c r="AH36" s="1666"/>
      <c r="AI36" s="1666"/>
      <c r="AJ36" s="1666"/>
      <c r="AK36" s="1666"/>
      <c r="AL36" s="1666"/>
      <c r="AM36" s="1666"/>
      <c r="AN36" s="1666"/>
      <c r="AO36" s="1666"/>
      <c r="AP36" s="1666"/>
      <c r="AQ36" s="1666"/>
      <c r="AR36" s="1666"/>
      <c r="AS36" s="1666"/>
      <c r="AU36" s="1639" t="e">
        <f>ROUND(((1-(('PIM Model'!$G$15+'PIM Model'!$G$17+'PIM Model'!$G$18)/'PIM Model'!$G$31))*100),0)&amp;"%/"&amp;ROUND((('PIM Model'!$G$15+'PIM Model'!$G$17+'PIM Model'!$G$18)/'PIM Model'!$G$31*100),0)&amp;"%"</f>
        <v>#DIV/0!</v>
      </c>
      <c r="AV36" s="1639"/>
      <c r="AW36" s="1639"/>
      <c r="AX36" s="1639"/>
      <c r="AY36" s="1639"/>
      <c r="AZ36" s="163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5" t="s">
        <v>706</v>
      </c>
      <c r="C38" s="1666"/>
      <c r="D38" s="1666"/>
      <c r="E38" s="1666"/>
      <c r="F38" s="1666"/>
      <c r="G38" s="1666"/>
      <c r="H38" s="1666"/>
      <c r="I38" s="1666"/>
      <c r="J38" s="1666"/>
      <c r="K38" s="1666"/>
      <c r="L38" s="1666"/>
      <c r="M38" s="1666"/>
      <c r="N38" s="1666"/>
      <c r="O38" s="1666"/>
      <c r="P38" s="1666"/>
      <c r="Q38" s="1666"/>
      <c r="R38" s="1666"/>
      <c r="T38" s="1648" t="str">
        <f>IFERROR('PIM Model'!$H$31/('PIM Model'!$E$6*52*Welcome!$D$14),"Error on A La Carte")</f>
        <v>Error on A La Carte</v>
      </c>
      <c r="U38" s="1648"/>
      <c r="V38" s="1648"/>
      <c r="W38" s="1648"/>
      <c r="X38" s="1648"/>
      <c r="Y38" s="1648"/>
      <c r="Z38" s="1648"/>
      <c r="AA38" s="1648"/>
      <c r="AB38" s="1648"/>
      <c r="AC38" s="271"/>
      <c r="AD38" s="271"/>
      <c r="AF38" s="1555" t="s">
        <v>659</v>
      </c>
      <c r="AG38" s="1555"/>
      <c r="AH38" s="1555"/>
      <c r="AI38" s="1555"/>
      <c r="AJ38" s="1555"/>
      <c r="AK38" s="1555"/>
      <c r="AL38" s="1555"/>
      <c r="AM38" s="1555"/>
      <c r="AN38" s="1555"/>
      <c r="AO38" s="1555"/>
      <c r="AP38" s="1555"/>
      <c r="AQ38" s="1555"/>
      <c r="AR38" s="1555"/>
      <c r="AS38" s="1555"/>
      <c r="AU38" s="1639">
        <f>COUNTIF('PIM Model'!$E$10:$E$30,"Include")</f>
        <v>21</v>
      </c>
      <c r="AV38" s="1639"/>
      <c r="AW38" s="1639"/>
      <c r="AX38" s="1639"/>
      <c r="AY38" s="1639"/>
      <c r="AZ38" s="1639"/>
      <c r="BF38" s="138"/>
    </row>
    <row r="39" spans="2:92" x14ac:dyDescent="0.25">
      <c r="B39" s="137"/>
      <c r="BF39" s="138"/>
    </row>
    <row r="40" spans="2:92" x14ac:dyDescent="0.25">
      <c r="B40" s="1665" t="s">
        <v>704</v>
      </c>
      <c r="C40" s="1666"/>
      <c r="D40" s="1666"/>
      <c r="E40" s="1666"/>
      <c r="F40" s="1666"/>
      <c r="G40" s="1666"/>
      <c r="H40" s="1666"/>
      <c r="I40" s="1666"/>
      <c r="J40" s="1666"/>
      <c r="K40" s="1666"/>
      <c r="L40" s="1666"/>
      <c r="M40" s="1666"/>
      <c r="N40" s="1666"/>
      <c r="O40" s="1666"/>
      <c r="P40" s="1666"/>
      <c r="Q40" s="1666"/>
      <c r="R40" s="1666"/>
      <c r="T40" s="1669">
        <f>IFERROR('PIM Model'!$G$31/'PIM Model'!$H$31,0)</f>
        <v>0</v>
      </c>
      <c r="U40" s="1669"/>
      <c r="V40" s="1669"/>
      <c r="W40" s="1669"/>
      <c r="X40" s="1669"/>
      <c r="Y40" s="1669"/>
      <c r="Z40" s="1669"/>
      <c r="AA40" s="1669"/>
      <c r="AB40" s="1669"/>
      <c r="AF40" s="1555" t="s">
        <v>707</v>
      </c>
      <c r="AG40" s="1555"/>
      <c r="AH40" s="1555"/>
      <c r="AI40" s="1555"/>
      <c r="AJ40" s="1555"/>
      <c r="AK40" s="1555"/>
      <c r="AL40" s="1555"/>
      <c r="AM40" s="1555"/>
      <c r="AN40" s="1555"/>
      <c r="AO40" s="1555"/>
      <c r="AP40" s="1555"/>
      <c r="AQ40" s="1555"/>
      <c r="AR40" s="1555"/>
      <c r="AS40" s="1555"/>
      <c r="AU40" s="1639">
        <f>$AO$28+$AU$28+$BA$28</f>
        <v>15</v>
      </c>
      <c r="AV40" s="1639"/>
      <c r="AW40" s="1639"/>
      <c r="BC40" s="1656"/>
      <c r="BD40" s="1656"/>
      <c r="BE40" s="1656"/>
      <c r="BF40" s="138"/>
    </row>
    <row r="41" spans="2:92" x14ac:dyDescent="0.25">
      <c r="B41" s="137"/>
      <c r="BF41" s="138"/>
      <c r="BP41" s="268"/>
      <c r="CN41" s="270"/>
    </row>
    <row r="42" spans="2:92" x14ac:dyDescent="0.25">
      <c r="B42" s="1668" t="s">
        <v>702</v>
      </c>
      <c r="C42" s="1555"/>
      <c r="D42" s="1555"/>
      <c r="E42" s="1555"/>
      <c r="F42" s="1555"/>
      <c r="G42" s="1555"/>
      <c r="H42" s="1555"/>
      <c r="I42" s="1555"/>
      <c r="J42" s="1555"/>
      <c r="K42" s="1555"/>
      <c r="L42" s="1555"/>
      <c r="M42" s="1555"/>
      <c r="N42" s="1555"/>
      <c r="O42" s="1555"/>
      <c r="P42" s="1555"/>
      <c r="Q42" s="1555"/>
      <c r="R42" s="1555"/>
      <c r="T42" s="1669" t="s">
        <v>758</v>
      </c>
      <c r="U42" s="1669"/>
      <c r="V42" s="1669"/>
      <c r="W42" s="1669"/>
      <c r="X42" s="1669"/>
      <c r="Y42" s="1669"/>
      <c r="Z42" s="1669"/>
      <c r="AA42" s="1669"/>
      <c r="AB42" s="1669"/>
      <c r="AF42" s="1555" t="s">
        <v>705</v>
      </c>
      <c r="AG42" s="1555"/>
      <c r="AH42" s="1555"/>
      <c r="AI42" s="1555"/>
      <c r="AJ42" s="1555"/>
      <c r="AK42" s="1555"/>
      <c r="AL42" s="1555"/>
      <c r="AM42" s="1555"/>
      <c r="AN42" s="1555"/>
      <c r="AO42" s="1555"/>
      <c r="AP42" s="1555"/>
      <c r="AQ42" s="1555"/>
      <c r="AR42" s="1555"/>
      <c r="AS42" s="1555"/>
      <c r="AU42" s="1639" t="s">
        <v>651</v>
      </c>
      <c r="AV42" s="1639"/>
      <c r="AW42" s="1639"/>
      <c r="BC42" s="1656"/>
      <c r="BD42" s="1656"/>
      <c r="BE42" s="1656"/>
      <c r="BF42" s="138"/>
    </row>
    <row r="43" spans="2:92" x14ac:dyDescent="0.25">
      <c r="B43" s="137"/>
      <c r="BF43" s="138"/>
      <c r="BP43" s="268"/>
      <c r="CN43" s="270"/>
    </row>
    <row r="44" spans="2:92" x14ac:dyDescent="0.25">
      <c r="B44" s="1665" t="s">
        <v>700</v>
      </c>
      <c r="C44" s="1666"/>
      <c r="D44" s="1666"/>
      <c r="E44" s="1666"/>
      <c r="F44" s="1666"/>
      <c r="G44" s="1666"/>
      <c r="H44" s="1666"/>
      <c r="I44" s="1666"/>
      <c r="J44" s="1666"/>
      <c r="K44" s="1666"/>
      <c r="L44" s="1666"/>
      <c r="M44" s="1666"/>
      <c r="N44" s="1666"/>
      <c r="O44" s="1666"/>
      <c r="P44" s="1666"/>
      <c r="Q44" s="1666"/>
      <c r="R44" s="1666"/>
      <c r="T44" s="1670">
        <f>'Tracking &amp; Profitability'!$E$7</f>
        <v>0</v>
      </c>
      <c r="U44" s="1670"/>
      <c r="V44" s="1670"/>
      <c r="W44" s="1670"/>
      <c r="X44" s="1670"/>
      <c r="Y44" s="1670"/>
      <c r="Z44" s="1670"/>
      <c r="AA44" s="1670"/>
      <c r="AB44" s="1670"/>
      <c r="AF44" s="1555" t="s">
        <v>703</v>
      </c>
      <c r="AG44" s="1555"/>
      <c r="AH44" s="1555"/>
      <c r="AI44" s="1555"/>
      <c r="AJ44" s="1555"/>
      <c r="AK44" s="1555"/>
      <c r="AL44" s="1555"/>
      <c r="AM44" s="1555"/>
      <c r="AN44" s="1555"/>
      <c r="AO44" s="1555"/>
      <c r="AP44" s="1555"/>
      <c r="AQ44" s="1555"/>
      <c r="AR44" s="1555"/>
      <c r="AS44" s="1555"/>
      <c r="AU44" s="1639" t="s">
        <v>651</v>
      </c>
      <c r="AV44" s="1639"/>
      <c r="AW44" s="1639"/>
      <c r="BC44" s="1656"/>
      <c r="BD44" s="1656"/>
      <c r="BE44" s="1656"/>
      <c r="BF44" s="138"/>
    </row>
    <row r="45" spans="2:92" x14ac:dyDescent="0.25">
      <c r="B45" s="137"/>
      <c r="BF45" s="138"/>
      <c r="CN45" s="270"/>
    </row>
    <row r="46" spans="2:92" x14ac:dyDescent="0.25">
      <c r="B46" s="1662" t="s">
        <v>660</v>
      </c>
      <c r="C46" s="1663"/>
      <c r="D46" s="1663"/>
      <c r="E46" s="1663"/>
      <c r="F46" s="1663"/>
      <c r="G46" s="1663"/>
      <c r="H46" s="1663"/>
      <c r="I46" s="1663"/>
      <c r="J46" s="1663"/>
      <c r="K46" s="1663"/>
      <c r="L46" s="1663"/>
      <c r="M46" s="1663"/>
      <c r="N46" s="1663"/>
      <c r="O46" s="1663"/>
      <c r="P46" s="1663"/>
      <c r="Q46" s="1663"/>
      <c r="R46" s="1663"/>
      <c r="T46" s="1664">
        <v>150</v>
      </c>
      <c r="U46" s="1664"/>
      <c r="V46" s="1664"/>
      <c r="W46" s="1664"/>
      <c r="X46" s="1664"/>
      <c r="Y46" s="1664"/>
      <c r="Z46" s="1664"/>
      <c r="AA46" s="1664"/>
      <c r="AB46" s="1664"/>
      <c r="AF46" s="1645" t="s">
        <v>701</v>
      </c>
      <c r="AG46" s="1645"/>
      <c r="AH46" s="1645"/>
      <c r="AI46" s="1645"/>
      <c r="AJ46" s="1645"/>
      <c r="AK46" s="1645"/>
      <c r="AL46" s="1645"/>
      <c r="AM46" s="1645"/>
      <c r="AN46" s="1645"/>
      <c r="AO46" s="1645"/>
      <c r="AP46" s="1645"/>
      <c r="AQ46" s="1645"/>
      <c r="AR46" s="1645"/>
      <c r="AS46" s="1645"/>
      <c r="AU46" s="1652">
        <v>0.3</v>
      </c>
      <c r="AV46" s="1652"/>
      <c r="AW46" s="1652"/>
      <c r="AX46" s="1652"/>
      <c r="AY46" s="1652"/>
      <c r="AZ46" s="1652"/>
      <c r="BF46" s="138"/>
    </row>
    <row r="47" spans="2:92" x14ac:dyDescent="0.25">
      <c r="B47" s="137"/>
      <c r="BF47" s="138"/>
      <c r="CN47" s="270"/>
    </row>
    <row r="48" spans="2:92" x14ac:dyDescent="0.25">
      <c r="B48" s="1665" t="s">
        <v>481</v>
      </c>
      <c r="C48" s="1666"/>
      <c r="D48" s="1666"/>
      <c r="E48" s="1666"/>
      <c r="F48" s="1666"/>
      <c r="G48" s="1666"/>
      <c r="H48" s="1666"/>
      <c r="I48" s="1666"/>
      <c r="J48" s="1666"/>
      <c r="K48" s="1666"/>
      <c r="L48" s="1666"/>
      <c r="M48" s="1666"/>
      <c r="N48" s="1666"/>
      <c r="O48" s="1666"/>
      <c r="P48" s="1666"/>
      <c r="Q48" s="1666"/>
      <c r="R48" s="1666"/>
      <c r="T48" s="1664">
        <f>$K$10</f>
        <v>0</v>
      </c>
      <c r="U48" s="1664"/>
      <c r="V48" s="1664"/>
      <c r="W48" s="1664"/>
      <c r="X48" s="1664"/>
      <c r="Y48" s="1664"/>
      <c r="Z48" s="1664"/>
      <c r="AA48" s="1664"/>
      <c r="AB48" s="1664"/>
      <c r="AF48" s="1645" t="s">
        <v>699</v>
      </c>
      <c r="AG48" s="1645"/>
      <c r="AH48" s="1645"/>
      <c r="AI48" s="1645"/>
      <c r="AJ48" s="1645"/>
      <c r="AK48" s="1645"/>
      <c r="AL48" s="1645"/>
      <c r="AM48" s="1645"/>
      <c r="AN48" s="1645"/>
      <c r="AO48" s="1645"/>
      <c r="AP48" s="1645"/>
      <c r="AQ48" s="1645"/>
      <c r="AR48" s="1645"/>
      <c r="AS48" s="1645"/>
      <c r="AU48" s="1637">
        <v>2.25</v>
      </c>
      <c r="AV48" s="1638"/>
      <c r="AW48" s="1638"/>
      <c r="AX48" s="1638"/>
      <c r="AY48" s="1638"/>
      <c r="AZ48" s="1638"/>
      <c r="BF48" s="138"/>
    </row>
    <row r="49" spans="2:92" x14ac:dyDescent="0.25">
      <c r="B49" s="137"/>
      <c r="BF49" s="138"/>
      <c r="CN49" s="270"/>
    </row>
    <row r="50" spans="2:92" x14ac:dyDescent="0.25">
      <c r="B50" s="1644" t="s">
        <v>698</v>
      </c>
      <c r="C50" s="1645"/>
      <c r="D50" s="1645"/>
      <c r="E50" s="1645"/>
      <c r="F50" s="1645"/>
      <c r="G50" s="1645"/>
      <c r="H50" s="1645"/>
      <c r="I50" s="1645"/>
      <c r="J50" s="1645"/>
      <c r="K50" s="1645"/>
      <c r="L50" s="1645"/>
      <c r="M50" s="1645"/>
      <c r="N50" s="1645"/>
      <c r="O50" s="1645"/>
      <c r="P50" s="1645"/>
      <c r="Q50" s="1645"/>
      <c r="R50" s="1645"/>
      <c r="T50" s="1646">
        <v>500</v>
      </c>
      <c r="U50" s="1646"/>
      <c r="V50" s="1646"/>
      <c r="W50" s="1646"/>
      <c r="X50" s="1646"/>
      <c r="Y50" s="1646"/>
      <c r="Z50" s="1555" t="s">
        <v>697</v>
      </c>
      <c r="AA50" s="1555"/>
      <c r="AB50" s="1555"/>
      <c r="AC50" s="1646">
        <v>35</v>
      </c>
      <c r="AD50" s="1646"/>
      <c r="AE50" s="1646"/>
      <c r="AF50" s="1646"/>
      <c r="AG50" s="164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9" t="s">
        <v>681</v>
      </c>
      <c r="C53" s="1650"/>
      <c r="D53" s="1650"/>
      <c r="E53" s="1650"/>
      <c r="F53" s="1650"/>
      <c r="G53" s="1650"/>
      <c r="H53" s="1650"/>
      <c r="I53" s="1650"/>
      <c r="J53" s="1650"/>
      <c r="K53" s="1650"/>
      <c r="L53" s="1650"/>
      <c r="M53" s="1650"/>
      <c r="N53" s="1650"/>
      <c r="O53" s="1650"/>
      <c r="P53" s="1650"/>
      <c r="Q53" s="1650"/>
      <c r="R53" s="1650"/>
      <c r="S53" s="1650"/>
      <c r="T53" s="1650"/>
      <c r="U53" s="1650"/>
      <c r="V53" s="1650"/>
      <c r="W53" s="1650"/>
      <c r="X53" s="1650"/>
      <c r="Y53" s="1650"/>
      <c r="Z53" s="1650"/>
      <c r="AA53" s="1650"/>
      <c r="AB53" s="1650"/>
      <c r="AC53" s="1650"/>
      <c r="AD53" s="1650"/>
      <c r="AE53" s="1650"/>
      <c r="AF53" s="1650"/>
      <c r="AG53" s="1650"/>
      <c r="AH53" s="1650"/>
      <c r="AI53" s="1650"/>
      <c r="AJ53" s="1650"/>
      <c r="AK53" s="1650"/>
      <c r="AL53" s="1650"/>
      <c r="AM53" s="1650"/>
      <c r="AN53" s="1650"/>
      <c r="AO53" s="1650"/>
      <c r="AP53" s="1650"/>
      <c r="AQ53" s="1650"/>
      <c r="AR53" s="1650"/>
      <c r="AS53" s="1650"/>
      <c r="AT53" s="1650"/>
      <c r="AU53" s="1650"/>
      <c r="AV53" s="1650"/>
      <c r="AW53" s="1650"/>
      <c r="AX53" s="1650"/>
      <c r="AY53" s="1650"/>
      <c r="AZ53" s="1650"/>
      <c r="BA53" s="1650"/>
      <c r="BB53" s="1650"/>
      <c r="BC53" s="1650"/>
      <c r="BD53" s="1650"/>
      <c r="BE53" s="1650"/>
      <c r="BF53" s="1651"/>
    </row>
    <row r="54" spans="2:92" x14ac:dyDescent="0.25">
      <c r="B54" s="1653" t="s">
        <v>696</v>
      </c>
      <c r="C54" s="1654"/>
      <c r="D54" s="1654"/>
      <c r="E54" s="1654"/>
      <c r="F54" s="1654"/>
      <c r="G54" s="1654"/>
      <c r="H54" s="1654"/>
      <c r="I54" s="1654"/>
      <c r="J54" s="1654"/>
      <c r="K54" s="1654"/>
      <c r="L54" s="1654"/>
      <c r="M54" s="1654"/>
      <c r="N54" s="1654"/>
      <c r="O54" s="1654"/>
      <c r="P54" s="1654"/>
      <c r="Q54" s="1654"/>
      <c r="R54" s="1654"/>
      <c r="S54" s="1654"/>
      <c r="T54" s="1654"/>
      <c r="U54" s="1654"/>
      <c r="V54" s="1654"/>
      <c r="W54" s="1654"/>
      <c r="X54" s="1654"/>
      <c r="Y54" s="1654"/>
      <c r="Z54" s="1654"/>
      <c r="AA54" s="1654"/>
      <c r="AB54" s="1654"/>
      <c r="AC54" s="1654"/>
      <c r="AD54" s="1654"/>
      <c r="AE54" s="1654"/>
      <c r="AF54" s="1654"/>
      <c r="AG54" s="1654"/>
      <c r="AH54" s="1654"/>
      <c r="AI54" s="1654"/>
      <c r="AJ54" s="1654"/>
      <c r="AK54" s="1654"/>
      <c r="AL54" s="1654"/>
      <c r="AM54" s="1654"/>
      <c r="AN54" s="1654"/>
      <c r="AO54" s="1654"/>
      <c r="AP54" s="1654"/>
      <c r="AQ54" s="1654"/>
      <c r="AR54" s="1654"/>
      <c r="AS54" s="1654"/>
      <c r="AT54" s="1654"/>
      <c r="AU54" s="1654"/>
      <c r="AV54" s="1654"/>
      <c r="AW54" s="1654"/>
      <c r="AX54" s="1654"/>
      <c r="AY54" s="1654"/>
      <c r="AZ54" s="1654"/>
      <c r="BA54" s="1654"/>
      <c r="BB54" s="1654"/>
      <c r="BC54" s="1654"/>
      <c r="BD54" s="1654"/>
      <c r="BE54" s="1654"/>
      <c r="BF54" s="1655"/>
      <c r="BP54" s="268"/>
    </row>
    <row r="55" spans="2:92" x14ac:dyDescent="0.25">
      <c r="B55" s="137"/>
      <c r="AC55" s="273"/>
      <c r="AD55" s="273"/>
      <c r="AE55" s="273"/>
      <c r="AF55" s="273"/>
      <c r="AG55" s="273"/>
      <c r="AH55" s="273"/>
      <c r="AK55" s="1660"/>
      <c r="AL55" s="1660"/>
      <c r="AM55" s="1660"/>
      <c r="AN55" s="1660"/>
      <c r="AO55" s="1505"/>
      <c r="AP55" s="1505"/>
      <c r="AQ55" s="1505"/>
      <c r="AR55" s="134"/>
      <c r="AS55" s="134"/>
      <c r="AT55" s="1505"/>
      <c r="AU55" s="1505"/>
      <c r="AV55" s="1505"/>
      <c r="AW55" s="134"/>
      <c r="AX55" s="134"/>
      <c r="AY55" s="1505"/>
      <c r="AZ55" s="1505"/>
      <c r="BA55" s="1505"/>
      <c r="BB55" s="134"/>
      <c r="BC55" s="134"/>
      <c r="BD55" s="1505"/>
      <c r="BE55" s="1505"/>
      <c r="BF55" s="1636"/>
      <c r="BP55" s="274"/>
    </row>
    <row r="56" spans="2:92" x14ac:dyDescent="0.25">
      <c r="B56" s="137"/>
      <c r="C56" s="1590" t="s">
        <v>103</v>
      </c>
      <c r="D56" s="1590"/>
      <c r="E56" s="1590"/>
      <c r="F56" s="1590"/>
      <c r="G56" s="1590"/>
      <c r="H56" s="1590"/>
      <c r="I56" s="1590"/>
      <c r="J56" s="1590"/>
      <c r="K56" s="1590"/>
      <c r="L56" s="1590"/>
      <c r="M56" s="1590"/>
      <c r="N56" s="1590"/>
      <c r="O56" s="1590"/>
      <c r="P56" s="1590"/>
      <c r="Q56" s="1590"/>
      <c r="R56" s="1590"/>
      <c r="S56" s="1590"/>
      <c r="T56" s="1590"/>
      <c r="U56" s="1590"/>
      <c r="V56" s="1590"/>
      <c r="W56" s="1590"/>
      <c r="X56" s="1590"/>
      <c r="Y56" s="1590"/>
      <c r="Z56" s="1590"/>
      <c r="AC56" s="1639" t="str">
        <f>'PIM Model'!$AD$11</f>
        <v/>
      </c>
      <c r="AD56" s="1639"/>
      <c r="AE56" s="1639" t="str">
        <f>'PIM Model'!$D$11</f>
        <v>%</v>
      </c>
      <c r="AF56" s="1639"/>
      <c r="AG56" s="1639" t="str">
        <f>'PIM Model'!$D$11</f>
        <v>%</v>
      </c>
      <c r="AH56" s="1639"/>
      <c r="AI56" s="1656" t="str">
        <f>'PIM Model'!$D$11</f>
        <v>%</v>
      </c>
      <c r="AJ56" s="1656"/>
      <c r="AK56" s="134"/>
      <c r="AL56" s="134"/>
      <c r="AM56" s="134"/>
      <c r="AN56" s="134"/>
      <c r="AO56" s="1505"/>
      <c r="AP56" s="1505"/>
      <c r="AQ56" s="1505"/>
      <c r="AR56" s="134"/>
      <c r="AS56" s="134"/>
      <c r="AT56" s="1505"/>
      <c r="AU56" s="1505"/>
      <c r="AV56" s="1505"/>
      <c r="AW56" s="134"/>
      <c r="AX56" s="134"/>
      <c r="AY56" s="1505"/>
      <c r="AZ56" s="1505"/>
      <c r="BA56" s="1505"/>
      <c r="BB56" s="134"/>
      <c r="BC56" s="134"/>
      <c r="BD56" s="1505"/>
      <c r="BE56" s="1505"/>
      <c r="BF56" s="1636"/>
      <c r="BP56" s="268"/>
    </row>
    <row r="57" spans="2:92" x14ac:dyDescent="0.25">
      <c r="B57" s="137"/>
      <c r="C57" s="1590" t="s">
        <v>102</v>
      </c>
      <c r="D57" s="1590"/>
      <c r="E57" s="1590"/>
      <c r="F57" s="1590"/>
      <c r="G57" s="1590"/>
      <c r="H57" s="1590"/>
      <c r="I57" s="1590"/>
      <c r="J57" s="1590"/>
      <c r="K57" s="1590"/>
      <c r="L57" s="1590"/>
      <c r="M57" s="1590"/>
      <c r="N57" s="1590"/>
      <c r="O57" s="1590"/>
      <c r="P57" s="1590"/>
      <c r="Q57" s="1590"/>
      <c r="R57" s="1590"/>
      <c r="S57" s="1590"/>
      <c r="T57" s="1590"/>
      <c r="U57" s="1590"/>
      <c r="V57" s="1590"/>
      <c r="W57" s="1590"/>
      <c r="X57" s="1590"/>
      <c r="Y57" s="1590"/>
      <c r="Z57" s="1590"/>
      <c r="AC57" s="1659" t="str">
        <f>'PIM Model'!$AD$13</f>
        <v/>
      </c>
      <c r="AD57" s="1659"/>
      <c r="AE57" s="1659" t="str">
        <f>'PIM Model'!$D$13</f>
        <v>%</v>
      </c>
      <c r="AF57" s="1659"/>
      <c r="AG57" s="1659" t="str">
        <f>'PIM Model'!$D$13</f>
        <v>%</v>
      </c>
      <c r="AH57" s="1659"/>
      <c r="AI57" s="1656" t="str">
        <f>'PIM Model'!$D$13</f>
        <v>%</v>
      </c>
      <c r="AJ57" s="16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0" t="s">
        <v>101</v>
      </c>
      <c r="D58" s="1590"/>
      <c r="E58" s="1590"/>
      <c r="F58" s="1590"/>
      <c r="G58" s="1590"/>
      <c r="H58" s="1590"/>
      <c r="I58" s="1590"/>
      <c r="J58" s="1590"/>
      <c r="K58" s="1590"/>
      <c r="L58" s="1590"/>
      <c r="M58" s="1590"/>
      <c r="N58" s="1590"/>
      <c r="O58" s="1590"/>
      <c r="P58" s="1590"/>
      <c r="Q58" s="1590"/>
      <c r="R58" s="1590"/>
      <c r="S58" s="1590"/>
      <c r="T58" s="1590"/>
      <c r="U58" s="1590"/>
      <c r="V58" s="1590"/>
      <c r="W58" s="1590"/>
      <c r="X58" s="1590"/>
      <c r="Y58" s="1590"/>
      <c r="Z58" s="1590"/>
      <c r="AC58" s="1659" t="str">
        <f>'PIM Model'!$AD$19</f>
        <v/>
      </c>
      <c r="AD58" s="1659"/>
      <c r="AE58" s="1659" t="str">
        <f>'PIM Model'!$D$19</f>
        <v>%</v>
      </c>
      <c r="AF58" s="1659"/>
      <c r="AG58" s="1659" t="str">
        <f>'PIM Model'!$D$19</f>
        <v>%</v>
      </c>
      <c r="AH58" s="1659"/>
      <c r="AI58" s="1656" t="str">
        <f>'PIM Model'!$D$19</f>
        <v>%</v>
      </c>
      <c r="AJ58" s="16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0" t="s">
        <v>100</v>
      </c>
      <c r="D59" s="1590"/>
      <c r="E59" s="1590"/>
      <c r="F59" s="1590"/>
      <c r="G59" s="1590"/>
      <c r="H59" s="1590"/>
      <c r="I59" s="1590"/>
      <c r="J59" s="1590"/>
      <c r="K59" s="1590"/>
      <c r="L59" s="1590"/>
      <c r="M59" s="1590"/>
      <c r="N59" s="1590"/>
      <c r="O59" s="1590"/>
      <c r="P59" s="1590"/>
      <c r="Q59" s="1590"/>
      <c r="R59" s="1590"/>
      <c r="S59" s="1590"/>
      <c r="T59" s="1590"/>
      <c r="U59" s="1590"/>
      <c r="V59" s="1590"/>
      <c r="W59" s="1590"/>
      <c r="X59" s="1590"/>
      <c r="Y59" s="1590"/>
      <c r="Z59" s="1590"/>
      <c r="AC59" s="1659" t="str">
        <f>'PIM Model'!$AD$14</f>
        <v/>
      </c>
      <c r="AD59" s="1659"/>
      <c r="AE59" s="1659" t="str">
        <f>'PIM Model'!$D$14</f>
        <v>%</v>
      </c>
      <c r="AF59" s="1659"/>
      <c r="AG59" s="1659" t="str">
        <f>'PIM Model'!$D$14</f>
        <v>%</v>
      </c>
      <c r="AH59" s="1659"/>
      <c r="AI59" s="1656" t="str">
        <f>'PIM Model'!$D$14</f>
        <v>%</v>
      </c>
      <c r="AJ59" s="16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0" t="s">
        <v>104</v>
      </c>
      <c r="D60" s="1590"/>
      <c r="E60" s="1590"/>
      <c r="F60" s="1590"/>
      <c r="G60" s="1590"/>
      <c r="H60" s="1590"/>
      <c r="I60" s="1590"/>
      <c r="J60" s="1590"/>
      <c r="K60" s="1590"/>
      <c r="L60" s="1590"/>
      <c r="M60" s="1590"/>
      <c r="N60" s="1590"/>
      <c r="O60" s="1590"/>
      <c r="P60" s="1590"/>
      <c r="Q60" s="1590"/>
      <c r="R60" s="1590"/>
      <c r="S60" s="1590"/>
      <c r="T60" s="1590"/>
      <c r="U60" s="1590"/>
      <c r="V60" s="1590"/>
      <c r="W60" s="1590"/>
      <c r="X60" s="1590"/>
      <c r="Y60" s="1590"/>
      <c r="Z60" s="1590"/>
      <c r="AC60" s="1659" t="str">
        <f>'PIM Model'!$AD$15</f>
        <v/>
      </c>
      <c r="AD60" s="1659"/>
      <c r="AE60" s="1659" t="str">
        <f>'PIM Model'!$D$15</f>
        <v>%</v>
      </c>
      <c r="AF60" s="1659"/>
      <c r="AG60" s="1659" t="str">
        <f>'PIM Model'!$D$15</f>
        <v>%</v>
      </c>
      <c r="AH60" s="1659"/>
      <c r="AI60" s="1656" t="str">
        <f>'PIM Model'!$D$15</f>
        <v>%</v>
      </c>
      <c r="AJ60" s="16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0" t="s">
        <v>99</v>
      </c>
      <c r="D61" s="1590"/>
      <c r="E61" s="1590"/>
      <c r="F61" s="1590"/>
      <c r="G61" s="1590"/>
      <c r="H61" s="1590"/>
      <c r="I61" s="1590"/>
      <c r="J61" s="1590"/>
      <c r="K61" s="1590"/>
      <c r="L61" s="1590"/>
      <c r="M61" s="1590"/>
      <c r="N61" s="1590"/>
      <c r="O61" s="1590"/>
      <c r="P61" s="1590"/>
      <c r="Q61" s="1590"/>
      <c r="R61" s="1590"/>
      <c r="S61" s="1590"/>
      <c r="T61" s="1590"/>
      <c r="U61" s="1590"/>
      <c r="V61" s="1590"/>
      <c r="W61" s="1590"/>
      <c r="X61" s="1590"/>
      <c r="Y61" s="1590"/>
      <c r="Z61" s="1590"/>
      <c r="AC61" s="1659" t="str">
        <f>'PIM Model'!$AD$10</f>
        <v/>
      </c>
      <c r="AD61" s="1659"/>
      <c r="AE61" s="1659" t="str">
        <f>'PIM Model'!$D$10</f>
        <v>%</v>
      </c>
      <c r="AF61" s="1659"/>
      <c r="AG61" s="1659" t="str">
        <f>'PIM Model'!$D$10</f>
        <v>%</v>
      </c>
      <c r="AH61" s="1659"/>
      <c r="AI61" s="1656" t="str">
        <f>'PIM Model'!$D$10</f>
        <v>%</v>
      </c>
      <c r="AJ61" s="16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2" t="s">
        <v>98</v>
      </c>
      <c r="D62" s="1432"/>
      <c r="E62" s="1432"/>
      <c r="F62" s="1432"/>
      <c r="G62" s="1432"/>
      <c r="H62" s="1432"/>
      <c r="I62" s="1432"/>
      <c r="J62" s="1432"/>
      <c r="K62" s="1432"/>
      <c r="L62" s="1432"/>
      <c r="M62" s="1432"/>
      <c r="N62" s="1432"/>
      <c r="O62" s="1432"/>
      <c r="P62" s="1432"/>
      <c r="Q62" s="1432"/>
      <c r="R62" s="1432"/>
      <c r="S62" s="1432"/>
      <c r="T62" s="1432"/>
      <c r="U62" s="1432"/>
      <c r="V62" s="1432"/>
      <c r="W62" s="1432"/>
      <c r="X62" s="1432"/>
      <c r="Y62" s="1432"/>
      <c r="Z62" s="1432"/>
      <c r="AC62" s="1659" t="str">
        <f>'PIM Model'!$AD$16</f>
        <v/>
      </c>
      <c r="AD62" s="1659"/>
      <c r="AE62" s="1659" t="str">
        <f>'PIM Model'!$D$16</f>
        <v>%</v>
      </c>
      <c r="AF62" s="1659"/>
      <c r="AG62" s="1659" t="str">
        <f>'PIM Model'!$D$16</f>
        <v>%</v>
      </c>
      <c r="AH62" s="1659"/>
      <c r="AI62" s="1656" t="str">
        <f>'PIM Model'!$D$16</f>
        <v>%</v>
      </c>
      <c r="AJ62" s="16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2" t="s">
        <v>97</v>
      </c>
      <c r="D63" s="1432"/>
      <c r="E63" s="1432"/>
      <c r="F63" s="1432"/>
      <c r="G63" s="1432"/>
      <c r="H63" s="1432"/>
      <c r="I63" s="1432"/>
      <c r="J63" s="1432"/>
      <c r="K63" s="1432"/>
      <c r="L63" s="1432"/>
      <c r="M63" s="1432"/>
      <c r="N63" s="1432"/>
      <c r="O63" s="1432"/>
      <c r="P63" s="1432"/>
      <c r="Q63" s="1432"/>
      <c r="R63" s="1432"/>
      <c r="S63" s="1432"/>
      <c r="T63" s="1432"/>
      <c r="U63" s="1432"/>
      <c r="V63" s="1432"/>
      <c r="W63" s="1432"/>
      <c r="X63" s="1432"/>
      <c r="Y63" s="1432"/>
      <c r="Z63" s="1432"/>
      <c r="AC63" s="1659" t="str">
        <f>'PIM Model'!$AD$20</f>
        <v/>
      </c>
      <c r="AD63" s="1659"/>
      <c r="AE63" s="1659" t="str">
        <f>'PIM Model'!$D$20</f>
        <v>%</v>
      </c>
      <c r="AF63" s="1659"/>
      <c r="AG63" s="1659" t="str">
        <f>'PIM Model'!$D$20</f>
        <v>%</v>
      </c>
      <c r="AH63" s="1659"/>
      <c r="AI63" s="1656" t="str">
        <f>'PIM Model'!$D$20</f>
        <v>%</v>
      </c>
      <c r="AJ63" s="16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2" t="s">
        <v>96</v>
      </c>
      <c r="D64" s="1432"/>
      <c r="E64" s="1432"/>
      <c r="F64" s="1432"/>
      <c r="G64" s="1432"/>
      <c r="H64" s="1432"/>
      <c r="I64" s="1432"/>
      <c r="J64" s="1432"/>
      <c r="K64" s="1432"/>
      <c r="L64" s="1432"/>
      <c r="M64" s="1432"/>
      <c r="N64" s="1432"/>
      <c r="O64" s="1432"/>
      <c r="P64" s="1432"/>
      <c r="Q64" s="1432"/>
      <c r="R64" s="1432"/>
      <c r="S64" s="1432"/>
      <c r="T64" s="1432"/>
      <c r="U64" s="1432"/>
      <c r="V64" s="1432"/>
      <c r="W64" s="1432"/>
      <c r="X64" s="1432"/>
      <c r="Y64" s="1432"/>
      <c r="Z64" s="1432"/>
      <c r="AC64" s="1659" t="str">
        <f>'PIM Model'!$AD$18</f>
        <v/>
      </c>
      <c r="AD64" s="1659"/>
      <c r="AE64" s="1659" t="str">
        <f>'PIM Model'!$D$18</f>
        <v>%</v>
      </c>
      <c r="AF64" s="1659"/>
      <c r="AG64" s="1659" t="str">
        <f>'PIM Model'!$D$18</f>
        <v>%</v>
      </c>
      <c r="AH64" s="1659"/>
      <c r="AI64" s="1656" t="str">
        <f>'PIM Model'!$D$18</f>
        <v>%</v>
      </c>
      <c r="AJ64" s="16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2" t="s">
        <v>95</v>
      </c>
      <c r="D65" s="1432"/>
      <c r="E65" s="1432"/>
      <c r="F65" s="1432"/>
      <c r="G65" s="1432"/>
      <c r="H65" s="1432"/>
      <c r="I65" s="1432"/>
      <c r="J65" s="1432"/>
      <c r="K65" s="1432"/>
      <c r="L65" s="1432"/>
      <c r="M65" s="1432"/>
      <c r="N65" s="1432"/>
      <c r="O65" s="1432"/>
      <c r="P65" s="1432"/>
      <c r="Q65" s="1432"/>
      <c r="R65" s="1432"/>
      <c r="S65" s="1432"/>
      <c r="T65" s="1432"/>
      <c r="U65" s="1432"/>
      <c r="V65" s="1432"/>
      <c r="W65" s="1432"/>
      <c r="X65" s="1432"/>
      <c r="Y65" s="1432"/>
      <c r="Z65" s="1432"/>
      <c r="AC65" s="1659" t="str">
        <f>'PIM Model'!$AD$17</f>
        <v/>
      </c>
      <c r="AD65" s="1659"/>
      <c r="AE65" s="1659" t="str">
        <f>'PIM Model'!$D$17</f>
        <v>%</v>
      </c>
      <c r="AF65" s="1659"/>
      <c r="AG65" s="1659" t="str">
        <f>'PIM Model'!$D$17</f>
        <v>%</v>
      </c>
      <c r="AH65" s="1659"/>
      <c r="AI65" s="1656" t="str">
        <f>'PIM Model'!$D$17</f>
        <v>%</v>
      </c>
      <c r="AJ65" s="16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2" t="s">
        <v>94</v>
      </c>
      <c r="D66" s="1432"/>
      <c r="E66" s="1432"/>
      <c r="F66" s="1432"/>
      <c r="G66" s="1432"/>
      <c r="H66" s="1432"/>
      <c r="I66" s="1432"/>
      <c r="J66" s="1432"/>
      <c r="K66" s="1432"/>
      <c r="L66" s="1432"/>
      <c r="M66" s="1432"/>
      <c r="N66" s="1432"/>
      <c r="O66" s="1432"/>
      <c r="P66" s="1432"/>
      <c r="Q66" s="1432"/>
      <c r="R66" s="1432"/>
      <c r="S66" s="1432"/>
      <c r="T66" s="1432"/>
      <c r="U66" s="1432"/>
      <c r="V66" s="1432"/>
      <c r="W66" s="1432"/>
      <c r="X66" s="1432"/>
      <c r="Y66" s="1432"/>
      <c r="Z66" s="1432"/>
      <c r="AC66" s="1659" t="str">
        <f>'PIM Model'!$AD$27</f>
        <v/>
      </c>
      <c r="AD66" s="1659"/>
      <c r="AE66" s="1659" t="str">
        <f>'PIM Model'!$D$27</f>
        <v>%</v>
      </c>
      <c r="AF66" s="1659"/>
      <c r="AG66" s="1659" t="str">
        <f>'PIM Model'!$D$27</f>
        <v>%</v>
      </c>
      <c r="AH66" s="1659"/>
      <c r="AI66" s="1656" t="str">
        <f>'PIM Model'!$D$27</f>
        <v>%</v>
      </c>
      <c r="AJ66" s="16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6" t="s">
        <v>695</v>
      </c>
      <c r="F67" s="1656"/>
      <c r="G67" s="1656"/>
      <c r="H67" s="1656"/>
      <c r="I67" s="1656"/>
      <c r="J67" s="1656"/>
      <c r="K67" s="1656"/>
      <c r="M67" s="1657" t="s">
        <v>241</v>
      </c>
      <c r="N67" s="1657"/>
      <c r="O67" s="1657"/>
      <c r="P67" t="s">
        <v>651</v>
      </c>
      <c r="S67" s="1658"/>
      <c r="T67" s="1658"/>
      <c r="U67" s="1658"/>
      <c r="V67" s="1656" t="s">
        <v>653</v>
      </c>
      <c r="W67" s="16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2" t="s">
        <v>93</v>
      </c>
      <c r="D68" s="1432"/>
      <c r="E68" s="1432"/>
      <c r="F68" s="1432"/>
      <c r="G68" s="1432"/>
      <c r="H68" s="1432"/>
      <c r="I68" s="1432"/>
      <c r="J68" s="1432"/>
      <c r="K68" s="1432"/>
      <c r="L68" s="1432"/>
      <c r="M68" s="1432"/>
      <c r="N68" s="1432"/>
      <c r="O68" s="1432"/>
      <c r="P68" s="1432"/>
      <c r="Q68" s="1432"/>
      <c r="R68" s="1432"/>
      <c r="S68" s="1432"/>
      <c r="T68" s="1432"/>
      <c r="U68" s="1432"/>
      <c r="V68" s="1432"/>
      <c r="W68" s="1432"/>
      <c r="X68" s="1432"/>
      <c r="Y68" s="1432"/>
      <c r="Z68" s="1432"/>
      <c r="AC68" s="1659" t="str">
        <f>'PIM Model'!$AD$21</f>
        <v/>
      </c>
      <c r="AD68" s="1659"/>
      <c r="AE68" s="1659" t="str">
        <f>'PIM Model'!$D$21</f>
        <v>%</v>
      </c>
      <c r="AF68" s="1659"/>
      <c r="AG68" s="1659" t="str">
        <f>'PIM Model'!$D$21</f>
        <v>%</v>
      </c>
      <c r="AH68" s="1659"/>
      <c r="AI68" s="1656" t="str">
        <f>'PIM Model'!$D$21</f>
        <v>%</v>
      </c>
      <c r="AJ68" s="16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2" t="s">
        <v>92</v>
      </c>
      <c r="D69" s="1432"/>
      <c r="E69" s="1432"/>
      <c r="F69" s="1432"/>
      <c r="G69" s="1432"/>
      <c r="H69" s="1432"/>
      <c r="I69" s="1432"/>
      <c r="J69" s="1432"/>
      <c r="K69" s="1432"/>
      <c r="L69" s="1432"/>
      <c r="M69" s="1432"/>
      <c r="N69" s="1432"/>
      <c r="O69" s="1432"/>
      <c r="P69" s="1432"/>
      <c r="Q69" s="1432"/>
      <c r="R69" s="1432"/>
      <c r="S69" s="1432"/>
      <c r="T69" s="1432"/>
      <c r="U69" s="1432"/>
      <c r="V69" s="1432"/>
      <c r="W69" s="1432"/>
      <c r="X69" s="1432"/>
      <c r="Y69" s="1432"/>
      <c r="Z69" s="1432"/>
      <c r="AC69" s="1659" t="str">
        <f>'PIM Model'!$AD$23</f>
        <v/>
      </c>
      <c r="AD69" s="1659"/>
      <c r="AE69" s="1659" t="str">
        <f>'PIM Model'!$D$23</f>
        <v>%</v>
      </c>
      <c r="AF69" s="1659"/>
      <c r="AG69" s="1659" t="str">
        <f>'PIM Model'!$D$23</f>
        <v>%</v>
      </c>
      <c r="AH69" s="1659"/>
      <c r="AI69" s="1656" t="str">
        <f>'PIM Model'!$D$23</f>
        <v>%</v>
      </c>
      <c r="AJ69" s="16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2" t="s">
        <v>91</v>
      </c>
      <c r="D70" s="1432"/>
      <c r="E70" s="1432"/>
      <c r="F70" s="1432"/>
      <c r="G70" s="1432"/>
      <c r="H70" s="1432"/>
      <c r="I70" s="1432"/>
      <c r="J70" s="1432"/>
      <c r="K70" s="1432"/>
      <c r="L70" s="1432"/>
      <c r="M70" s="1432"/>
      <c r="N70" s="1432"/>
      <c r="O70" s="1432"/>
      <c r="P70" s="1432"/>
      <c r="Q70" s="1432"/>
      <c r="R70" s="1432"/>
      <c r="S70" s="1432"/>
      <c r="T70" s="1432"/>
      <c r="U70" s="1432"/>
      <c r="V70" s="1432"/>
      <c r="W70" s="1432"/>
      <c r="X70" s="1432"/>
      <c r="Y70" s="1432"/>
      <c r="Z70" s="1432"/>
      <c r="AC70" s="1659" t="str">
        <f>'PIM Model'!$AD$24</f>
        <v/>
      </c>
      <c r="AD70" s="1659"/>
      <c r="AE70" s="1659" t="str">
        <f>'PIM Model'!$D$24</f>
        <v>%</v>
      </c>
      <c r="AF70" s="1659"/>
      <c r="AG70" s="1659" t="str">
        <f>'PIM Model'!$D$24</f>
        <v>%</v>
      </c>
      <c r="AH70" s="1659"/>
      <c r="AI70" s="1656" t="str">
        <f>'PIM Model'!$D$24</f>
        <v>%</v>
      </c>
      <c r="AJ70" s="1656"/>
      <c r="AK70" s="134"/>
      <c r="AL70" s="134"/>
      <c r="AM70" s="134"/>
      <c r="AN70" s="134"/>
      <c r="AO70" s="1505"/>
      <c r="AP70" s="1505"/>
      <c r="AQ70" s="1505"/>
      <c r="AR70" s="134"/>
      <c r="AS70" s="134"/>
      <c r="AT70" s="1505"/>
      <c r="AU70" s="1505"/>
      <c r="AV70" s="1505"/>
      <c r="AW70" s="134"/>
      <c r="AX70" s="134"/>
      <c r="AY70" s="1505"/>
      <c r="AZ70" s="1505"/>
      <c r="BA70" s="1505"/>
      <c r="BB70" s="134"/>
      <c r="BC70" s="134"/>
      <c r="BD70" s="1505"/>
      <c r="BE70" s="1505"/>
      <c r="BF70" s="1636"/>
    </row>
    <row r="71" spans="2:70" x14ac:dyDescent="0.25">
      <c r="B71" s="137"/>
      <c r="C71" s="1432" t="s">
        <v>90</v>
      </c>
      <c r="D71" s="1432"/>
      <c r="E71" s="1432"/>
      <c r="F71" s="1432"/>
      <c r="G71" s="1432"/>
      <c r="H71" s="1432"/>
      <c r="I71" s="1432"/>
      <c r="J71" s="1432"/>
      <c r="K71" s="1432"/>
      <c r="L71" s="1432"/>
      <c r="M71" s="1432"/>
      <c r="N71" s="1432"/>
      <c r="O71" s="1432"/>
      <c r="P71" s="1432"/>
      <c r="Q71" s="1432"/>
      <c r="R71" s="1432"/>
      <c r="S71" s="1432"/>
      <c r="T71" s="1432"/>
      <c r="U71" s="1432"/>
      <c r="V71" s="1432"/>
      <c r="W71" s="1432"/>
      <c r="X71" s="1432"/>
      <c r="Y71" s="1432"/>
      <c r="Z71" s="1432"/>
      <c r="AC71" s="1659" t="str">
        <f>'PIM Model'!$AD$25</f>
        <v/>
      </c>
      <c r="AD71" s="1659"/>
      <c r="AE71" s="1659" t="str">
        <f>'PIM Model'!$D$25</f>
        <v>%</v>
      </c>
      <c r="AF71" s="1659"/>
      <c r="AG71" s="1659" t="str">
        <f>'PIM Model'!$D$25</f>
        <v>%</v>
      </c>
      <c r="AH71" s="1659"/>
      <c r="AI71" s="1656" t="str">
        <f>'PIM Model'!$D$25</f>
        <v>%</v>
      </c>
      <c r="AJ71" s="1656"/>
      <c r="AK71" s="134"/>
      <c r="AL71" s="134"/>
      <c r="AM71" s="134"/>
      <c r="AN71" s="134"/>
      <c r="AO71" s="1505"/>
      <c r="AP71" s="1505"/>
      <c r="AQ71" s="1505"/>
      <c r="AR71" s="134"/>
      <c r="AS71" s="134"/>
      <c r="AT71" s="1505"/>
      <c r="AU71" s="1505"/>
      <c r="AV71" s="1505"/>
      <c r="AW71" s="134"/>
      <c r="AX71" s="134"/>
      <c r="AY71" s="1505"/>
      <c r="AZ71" s="1505"/>
      <c r="BA71" s="1505"/>
      <c r="BB71" s="134"/>
      <c r="BC71" s="134"/>
      <c r="BD71" s="1505"/>
      <c r="BE71" s="1505"/>
      <c r="BF71" s="1636"/>
    </row>
    <row r="72" spans="2:70" x14ac:dyDescent="0.25">
      <c r="B72" s="137"/>
      <c r="C72" s="1432" t="s">
        <v>89</v>
      </c>
      <c r="D72" s="1432"/>
      <c r="E72" s="1432"/>
      <c r="F72" s="1432"/>
      <c r="G72" s="1432"/>
      <c r="H72" s="1432"/>
      <c r="I72" s="1432"/>
      <c r="J72" s="1432"/>
      <c r="K72" s="1432"/>
      <c r="L72" s="1432"/>
      <c r="M72" s="1432"/>
      <c r="N72" s="1432"/>
      <c r="O72" s="1432"/>
      <c r="P72" s="1432"/>
      <c r="Q72" s="1432"/>
      <c r="R72" s="1432"/>
      <c r="S72" s="1432"/>
      <c r="T72" s="1432"/>
      <c r="U72" s="1432"/>
      <c r="V72" s="1432"/>
      <c r="W72" s="1432"/>
      <c r="X72" s="1432"/>
      <c r="Y72" s="1432"/>
      <c r="Z72" s="1432"/>
      <c r="AC72" s="1659" t="str">
        <f>'PIM Model'!$AD$26</f>
        <v/>
      </c>
      <c r="AD72" s="1659"/>
      <c r="AE72" s="1659" t="str">
        <f>'PIM Model'!$D$26</f>
        <v>%</v>
      </c>
      <c r="AF72" s="1659"/>
      <c r="AG72" s="1659" t="str">
        <f>'PIM Model'!$D$26</f>
        <v>%</v>
      </c>
      <c r="AH72" s="1659"/>
      <c r="AI72" s="1656" t="str">
        <f>'PIM Model'!$D$26</f>
        <v>%</v>
      </c>
      <c r="AJ72" s="1656"/>
      <c r="AK72" s="134"/>
      <c r="AL72" s="134"/>
      <c r="AM72" s="134"/>
      <c r="AN72" s="134"/>
      <c r="AO72" s="1505"/>
      <c r="AP72" s="1505"/>
      <c r="AQ72" s="1505"/>
      <c r="AR72" s="134"/>
      <c r="AS72" s="134"/>
      <c r="AT72" s="1505"/>
      <c r="AU72" s="1505"/>
      <c r="AV72" s="1505"/>
      <c r="AW72" s="134"/>
      <c r="AX72" s="134"/>
      <c r="AY72" s="1505"/>
      <c r="AZ72" s="1505"/>
      <c r="BA72" s="1505"/>
      <c r="BB72" s="134"/>
      <c r="BC72" s="134"/>
      <c r="BD72" s="1505"/>
      <c r="BE72" s="1505"/>
      <c r="BF72" s="1636"/>
    </row>
    <row r="73" spans="2:70" x14ac:dyDescent="0.25">
      <c r="B73" s="137"/>
      <c r="C73" s="1432" t="s">
        <v>88</v>
      </c>
      <c r="D73" s="1432"/>
      <c r="E73" s="1432"/>
      <c r="F73" s="1432"/>
      <c r="G73" s="1432"/>
      <c r="H73" s="1432"/>
      <c r="I73" s="1432"/>
      <c r="J73" s="1432"/>
      <c r="K73" s="1432"/>
      <c r="L73" s="1432"/>
      <c r="M73" s="1432"/>
      <c r="N73" s="1432"/>
      <c r="O73" s="1432"/>
      <c r="P73" s="1432"/>
      <c r="Q73" s="1432"/>
      <c r="R73" s="1432"/>
      <c r="S73" s="1432"/>
      <c r="T73" s="1432"/>
      <c r="U73" s="1432"/>
      <c r="V73" s="1432"/>
      <c r="W73" s="1432"/>
      <c r="X73" s="1432"/>
      <c r="Y73" s="1432"/>
      <c r="Z73" s="1432"/>
      <c r="AC73" s="1659" t="str">
        <f>'PIM Model'!$AD$29</f>
        <v/>
      </c>
      <c r="AD73" s="1659"/>
      <c r="AE73" s="1659" t="str">
        <f>'PIM Model'!$D$29</f>
        <v>%</v>
      </c>
      <c r="AF73" s="1659"/>
      <c r="AG73" s="1659" t="str">
        <f>'PIM Model'!$D$29</f>
        <v>%</v>
      </c>
      <c r="AH73" s="1659"/>
      <c r="AI73" s="1656" t="str">
        <f>'PIM Model'!$D$29</f>
        <v>%</v>
      </c>
      <c r="AJ73" s="1656"/>
      <c r="AK73" s="134"/>
      <c r="AL73" s="134"/>
      <c r="AM73" s="134"/>
      <c r="AN73" s="134"/>
      <c r="AO73" s="1505"/>
      <c r="AP73" s="1505"/>
      <c r="AQ73" s="1505"/>
      <c r="AR73" s="134"/>
      <c r="AS73" s="134"/>
      <c r="AT73" s="1505"/>
      <c r="AU73" s="1505"/>
      <c r="AV73" s="1505"/>
      <c r="AW73" s="134"/>
      <c r="AX73" s="134"/>
      <c r="AY73" s="1505"/>
      <c r="AZ73" s="1505"/>
      <c r="BA73" s="1505"/>
      <c r="BB73" s="134"/>
      <c r="BC73" s="134"/>
      <c r="BD73" s="1505"/>
      <c r="BE73" s="1505"/>
      <c r="BF73" s="1636"/>
    </row>
    <row r="74" spans="2:70" x14ac:dyDescent="0.25">
      <c r="B74" s="137"/>
      <c r="C74" s="1432" t="s">
        <v>87</v>
      </c>
      <c r="D74" s="1432"/>
      <c r="E74" s="1432"/>
      <c r="F74" s="1432"/>
      <c r="G74" s="1432"/>
      <c r="H74" s="1432"/>
      <c r="I74" s="1432"/>
      <c r="J74" s="1432"/>
      <c r="K74" s="1432"/>
      <c r="L74" s="1432"/>
      <c r="M74" s="1432"/>
      <c r="N74" s="1432"/>
      <c r="O74" s="1432"/>
      <c r="P74" s="1432"/>
      <c r="Q74" s="1432"/>
      <c r="R74" s="1432"/>
      <c r="S74" s="1432"/>
      <c r="T74" s="1432"/>
      <c r="U74" s="1432"/>
      <c r="V74" s="1432"/>
      <c r="W74" s="1432"/>
      <c r="X74" s="1432"/>
      <c r="Y74" s="1432"/>
      <c r="Z74" s="1432"/>
      <c r="AC74" s="1659" t="str">
        <f>'PIM Model'!$AD$30</f>
        <v/>
      </c>
      <c r="AD74" s="1659"/>
      <c r="AE74" s="1659" t="str">
        <f>'PIM Model'!$D$30</f>
        <v>%</v>
      </c>
      <c r="AF74" s="1659"/>
      <c r="AG74" s="1659" t="str">
        <f>'PIM Model'!$D$30</f>
        <v>%</v>
      </c>
      <c r="AH74" s="1659"/>
      <c r="AI74" s="1656" t="str">
        <f>'PIM Model'!$D$30</f>
        <v>%</v>
      </c>
      <c r="AJ74" s="1656"/>
      <c r="AK74" s="134"/>
      <c r="AL74" s="134"/>
      <c r="AM74" s="134"/>
      <c r="AN74" s="134"/>
      <c r="AO74" s="1505"/>
      <c r="AP74" s="1505"/>
      <c r="AQ74" s="1505"/>
      <c r="AR74" s="134"/>
      <c r="AS74" s="134"/>
      <c r="AT74" s="1505"/>
      <c r="AU74" s="1505"/>
      <c r="AV74" s="1505"/>
      <c r="AW74" s="134"/>
      <c r="AX74" s="134"/>
      <c r="AY74" s="1505"/>
      <c r="AZ74" s="1505"/>
      <c r="BA74" s="1505"/>
      <c r="BB74" s="134"/>
      <c r="BC74" s="134"/>
      <c r="BD74" s="1505"/>
      <c r="BE74" s="1505"/>
      <c r="BF74" s="1636"/>
    </row>
    <row r="75" spans="2:70" x14ac:dyDescent="0.25">
      <c r="B75" s="137"/>
      <c r="C75" s="1432" t="s">
        <v>86</v>
      </c>
      <c r="D75" s="1432"/>
      <c r="E75" s="1432"/>
      <c r="F75" s="1432"/>
      <c r="G75" s="1432"/>
      <c r="H75" s="1432"/>
      <c r="I75" s="1432"/>
      <c r="J75" s="1432"/>
      <c r="K75" s="1432"/>
      <c r="L75" s="1432"/>
      <c r="M75" s="1432"/>
      <c r="N75" s="1432"/>
      <c r="O75" s="1432"/>
      <c r="P75" s="1432"/>
      <c r="Q75" s="1432"/>
      <c r="R75" s="1432"/>
      <c r="S75" s="1432"/>
      <c r="T75" s="1432"/>
      <c r="U75" s="1432"/>
      <c r="V75" s="1432"/>
      <c r="W75" s="1432"/>
      <c r="X75" s="1432"/>
      <c r="Y75" s="1432"/>
      <c r="Z75" s="1432"/>
      <c r="AC75" s="1659" t="str">
        <f>'PIM Model'!$AD$28</f>
        <v/>
      </c>
      <c r="AD75" s="1659"/>
      <c r="AE75" s="1659" t="str">
        <f>'PIM Model'!$D$28</f>
        <v>%</v>
      </c>
      <c r="AF75" s="1659"/>
      <c r="AG75" s="1659" t="str">
        <f>'PIM Model'!$D$28</f>
        <v>%</v>
      </c>
      <c r="AH75" s="1659"/>
      <c r="AI75" s="1656" t="str">
        <f>'PIM Model'!$D$28</f>
        <v>%</v>
      </c>
      <c r="AJ75" s="1656"/>
      <c r="BF75" s="138"/>
    </row>
    <row r="76" spans="2:70" x14ac:dyDescent="0.25">
      <c r="B76" s="137"/>
      <c r="C76" s="1432" t="s">
        <v>105</v>
      </c>
      <c r="D76" s="1432"/>
      <c r="E76" s="1432"/>
      <c r="F76" s="1432"/>
      <c r="G76" s="1432"/>
      <c r="H76" s="1432"/>
      <c r="I76" s="1432"/>
      <c r="J76" s="1432"/>
      <c r="K76" s="1432"/>
      <c r="L76" s="1432"/>
      <c r="M76" s="1432"/>
      <c r="N76" s="1432"/>
      <c r="O76" s="1432"/>
      <c r="P76" s="1432"/>
      <c r="Q76" s="1432"/>
      <c r="R76" s="1432"/>
      <c r="S76" s="1432"/>
      <c r="T76" s="1432"/>
      <c r="U76" s="1432"/>
      <c r="V76" s="1432"/>
      <c r="W76" s="1432"/>
      <c r="X76" s="1432"/>
      <c r="Y76" s="1432"/>
      <c r="Z76" s="1432"/>
      <c r="AC76" s="1659" t="str">
        <f>'PIM Model'!$AD$22</f>
        <v/>
      </c>
      <c r="AD76" s="1659"/>
      <c r="AE76" s="1659" t="str">
        <f>'PIM Model'!$D$22</f>
        <v>%</v>
      </c>
      <c r="AF76" s="1659"/>
      <c r="AG76" s="1659" t="str">
        <f>'PIM Model'!$D$22</f>
        <v>%</v>
      </c>
      <c r="AH76" s="1659"/>
      <c r="AI76" s="1656" t="str">
        <f>'PIM Model'!$D$22</f>
        <v>%</v>
      </c>
      <c r="AJ76" s="1656"/>
      <c r="BF76" s="138"/>
    </row>
    <row r="77" spans="2:70" x14ac:dyDescent="0.25">
      <c r="B77" s="671"/>
      <c r="C77" s="1661" t="s">
        <v>726</v>
      </c>
      <c r="D77" s="1661"/>
      <c r="E77" s="1661"/>
      <c r="F77" s="1661"/>
      <c r="G77" s="1661"/>
      <c r="H77" s="1661"/>
      <c r="I77" s="1661"/>
      <c r="J77" s="1661"/>
      <c r="K77" s="1661"/>
      <c r="L77" s="1661"/>
      <c r="M77" s="1661"/>
      <c r="N77" s="1661"/>
      <c r="O77" s="1661"/>
      <c r="P77" s="1661"/>
      <c r="Q77" s="1661"/>
      <c r="R77" s="1661"/>
      <c r="S77" s="1661"/>
      <c r="T77" s="1661"/>
      <c r="U77" s="1661"/>
      <c r="V77" s="1661"/>
      <c r="W77" s="1661"/>
      <c r="X77" s="1661"/>
      <c r="Y77" s="1661"/>
      <c r="Z77" s="1661"/>
      <c r="AC77" s="1659" t="str">
        <f>'PIM Model'!$AD$12</f>
        <v/>
      </c>
      <c r="AD77" s="1659"/>
      <c r="AE77" s="1659" t="str">
        <f>'PIM Model'!$D$12</f>
        <v>%</v>
      </c>
      <c r="AF77" s="1659"/>
      <c r="AG77" s="1659" t="str">
        <f>'PIM Model'!$D$12</f>
        <v>%</v>
      </c>
      <c r="AH77" s="1659"/>
      <c r="AI77" s="1656" t="str">
        <f>'PIM Model'!$D$12</f>
        <v>%</v>
      </c>
      <c r="AJ77" s="1656"/>
      <c r="BF77" s="138"/>
    </row>
    <row r="78" spans="2:70" x14ac:dyDescent="0.25">
      <c r="B78" s="137"/>
      <c r="C78" s="1661" t="s">
        <v>727</v>
      </c>
      <c r="D78" s="1661"/>
      <c r="E78" s="1661"/>
      <c r="F78" s="1661"/>
      <c r="G78" s="1661"/>
      <c r="H78" s="1661"/>
      <c r="I78" s="1661"/>
      <c r="J78" s="1661"/>
      <c r="K78" s="1661"/>
      <c r="L78" s="1661"/>
      <c r="M78" s="1661"/>
      <c r="N78" s="1661"/>
      <c r="O78" s="1661"/>
      <c r="P78" s="1661"/>
      <c r="Q78" s="1661"/>
      <c r="R78" s="1661"/>
      <c r="S78" s="1661"/>
      <c r="T78" s="1661"/>
      <c r="U78" s="1661"/>
      <c r="V78" s="1661"/>
      <c r="W78" s="1661"/>
      <c r="X78" s="1661"/>
      <c r="Y78" s="1661"/>
      <c r="Z78" s="1661"/>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6" t="s">
        <v>694</v>
      </c>
      <c r="E81" s="1656"/>
      <c r="F81" s="1656"/>
      <c r="G81" s="1656"/>
      <c r="H81" s="1656"/>
      <c r="I81" s="1656"/>
      <c r="J81" s="1656"/>
      <c r="K81" s="1656"/>
      <c r="L81" s="1656"/>
      <c r="M81" s="1656"/>
      <c r="N81" s="1656"/>
      <c r="O81" s="1656"/>
      <c r="P81" s="1656"/>
      <c r="Q81" s="1656"/>
      <c r="R81" s="1656"/>
      <c r="S81" s="1656"/>
      <c r="T81" s="1656"/>
      <c r="U81" s="1656"/>
      <c r="V81" s="1656"/>
      <c r="W81" s="1656"/>
      <c r="X81" s="1656"/>
      <c r="Y81" s="1656"/>
      <c r="Z81" s="1656"/>
      <c r="AA81" s="1656"/>
      <c r="AB81" s="1656"/>
      <c r="AC81" s="1656"/>
      <c r="AD81" s="1656"/>
      <c r="AE81" s="1656"/>
      <c r="AF81" s="1656"/>
      <c r="AG81" s="1656"/>
      <c r="AH81" s="1656"/>
      <c r="AI81" s="1656"/>
      <c r="AJ81" s="1656"/>
      <c r="AK81" s="1656"/>
      <c r="AL81" s="1656"/>
      <c r="AM81" s="1656"/>
      <c r="AN81" s="1656"/>
      <c r="AO81" s="1656"/>
      <c r="AP81" s="1656"/>
      <c r="AQ81" s="1656"/>
      <c r="AR81" s="1656"/>
      <c r="AS81" s="1656"/>
      <c r="AT81" s="1656"/>
      <c r="AU81" s="1656"/>
      <c r="AV81" s="1656"/>
      <c r="AW81" s="1656"/>
      <c r="AX81" s="1656"/>
      <c r="AY81" s="1656"/>
      <c r="AZ81" s="1656"/>
      <c r="BA81" s="1656"/>
      <c r="BB81" s="1656"/>
      <c r="BC81" s="1656"/>
      <c r="BD81" s="1656"/>
      <c r="BF81" s="138"/>
    </row>
    <row r="82" spans="1:70" x14ac:dyDescent="0.25">
      <c r="B82" s="137"/>
      <c r="D82" s="1657" t="s">
        <v>241</v>
      </c>
      <c r="E82" s="1657"/>
      <c r="F82" s="1656" t="s">
        <v>693</v>
      </c>
      <c r="G82" s="1656"/>
      <c r="H82" s="1656"/>
      <c r="I82" s="1656"/>
      <c r="J82" s="1656"/>
      <c r="K82" s="1656"/>
      <c r="L82" s="1656"/>
      <c r="M82" s="1656"/>
      <c r="N82" s="1656"/>
      <c r="O82" s="1656"/>
      <c r="P82" s="1656"/>
      <c r="Q82" s="1656"/>
      <c r="R82" s="1656"/>
      <c r="S82" s="1656"/>
      <c r="T82" s="1656"/>
      <c r="U82" s="1656"/>
      <c r="V82" s="1656"/>
      <c r="W82" s="1656"/>
      <c r="X82" s="1656"/>
      <c r="Y82" s="1656"/>
      <c r="Z82" s="1656"/>
      <c r="AA82" s="1656"/>
      <c r="AB82" s="1656"/>
      <c r="AC82" s="1656"/>
      <c r="AD82" s="1656"/>
      <c r="AE82" s="1656"/>
      <c r="AF82" s="1656"/>
      <c r="AG82" s="1656"/>
      <c r="AH82" s="1656"/>
      <c r="AI82" s="1656"/>
      <c r="AJ82" s="1656"/>
      <c r="AK82" s="1656"/>
      <c r="AL82" s="1656"/>
      <c r="AM82" s="1656"/>
      <c r="AN82" s="1656"/>
      <c r="AO82" s="1656"/>
      <c r="AP82" s="1656"/>
      <c r="AQ82" s="1656"/>
      <c r="AR82" s="1656"/>
      <c r="AS82" s="1656"/>
      <c r="AT82" s="1656"/>
      <c r="AU82" s="1656"/>
      <c r="AV82" s="1656"/>
      <c r="AW82" s="1656"/>
      <c r="AX82" s="1656"/>
      <c r="AY82" s="1656"/>
      <c r="AZ82" s="1656"/>
      <c r="BA82" s="1656"/>
      <c r="BB82" s="1656"/>
      <c r="BC82" s="1656"/>
      <c r="BD82" s="1656"/>
      <c r="BF82" s="138"/>
    </row>
    <row r="83" spans="1:70" x14ac:dyDescent="0.25">
      <c r="B83" s="137"/>
      <c r="D83" s="1658"/>
      <c r="E83" s="1658"/>
      <c r="F83" s="1656" t="s">
        <v>692</v>
      </c>
      <c r="G83" s="1656"/>
      <c r="H83" s="1656"/>
      <c r="I83" s="1656"/>
      <c r="J83" s="1656"/>
      <c r="K83" s="1656"/>
      <c r="L83" s="1656"/>
      <c r="M83" s="1656"/>
      <c r="N83" s="1656"/>
      <c r="O83" s="1656"/>
      <c r="P83" s="1656"/>
      <c r="Q83" s="1656"/>
      <c r="R83" s="1656"/>
      <c r="S83" s="1656"/>
      <c r="T83" s="1656"/>
      <c r="U83" s="1656"/>
      <c r="V83" s="1656"/>
      <c r="W83" s="1656"/>
      <c r="X83" s="1656"/>
      <c r="Y83" s="1656"/>
      <c r="Z83" s="1656"/>
      <c r="AA83" s="1656"/>
      <c r="AB83" s="1656"/>
      <c r="AC83" s="1656"/>
      <c r="AD83" s="1656"/>
      <c r="AE83" s="1656"/>
      <c r="AF83" s="1656"/>
      <c r="AG83" s="1656"/>
      <c r="AH83" s="1656"/>
      <c r="AI83" s="1656"/>
      <c r="AJ83" s="1656"/>
      <c r="AK83" s="1656"/>
      <c r="AL83" s="1656"/>
      <c r="AM83" s="1656"/>
      <c r="AN83" s="1656"/>
      <c r="AO83" s="1656"/>
      <c r="AP83" s="1656"/>
      <c r="AQ83" s="1656"/>
      <c r="AR83" s="1656"/>
      <c r="AS83" s="1656"/>
      <c r="AT83" s="1656"/>
      <c r="AU83" s="1656"/>
      <c r="AV83" s="1656"/>
      <c r="AW83" s="1656"/>
      <c r="AX83" s="1656"/>
      <c r="AY83" s="1656"/>
      <c r="AZ83" s="1656"/>
      <c r="BA83" s="1656"/>
      <c r="BB83" s="1656"/>
      <c r="BC83" s="1656"/>
      <c r="BD83" s="1656"/>
      <c r="BF83" s="138"/>
    </row>
    <row r="84" spans="1:70" x14ac:dyDescent="0.25">
      <c r="A84" s="275"/>
      <c r="B84" s="137"/>
      <c r="D84" s="1658"/>
      <c r="E84" s="1658"/>
      <c r="F84" s="1656" t="s">
        <v>691</v>
      </c>
      <c r="G84" s="1656"/>
      <c r="H84" s="1656"/>
      <c r="I84" s="1656"/>
      <c r="J84" s="1656"/>
      <c r="K84" s="1656"/>
      <c r="L84" s="1656"/>
      <c r="M84" s="1656"/>
      <c r="N84" s="1656"/>
      <c r="O84" s="1656"/>
      <c r="P84" s="1656"/>
      <c r="Q84" s="1656"/>
      <c r="R84" s="1656"/>
      <c r="S84" s="1656"/>
      <c r="T84" s="1656"/>
      <c r="U84" s="1656"/>
      <c r="V84" s="1656"/>
      <c r="W84" s="1656"/>
      <c r="X84" s="1656"/>
      <c r="Y84" s="1656"/>
      <c r="Z84" s="1656"/>
      <c r="AA84" s="1656"/>
      <c r="AB84" s="1656"/>
      <c r="AC84" s="1656"/>
      <c r="AD84" s="1656"/>
      <c r="AE84" s="1656"/>
      <c r="AF84" s="1656"/>
      <c r="AG84" s="1656"/>
      <c r="AH84" s="1656"/>
      <c r="AI84" s="1656"/>
      <c r="AJ84" s="1656"/>
      <c r="AK84" s="1656"/>
      <c r="AL84" s="1656"/>
      <c r="AM84" s="1656"/>
      <c r="AN84" s="1656"/>
      <c r="AO84" s="1656"/>
      <c r="AP84" s="1656"/>
      <c r="AQ84" s="1656"/>
      <c r="AR84" s="1656"/>
      <c r="AS84" s="1656"/>
      <c r="AT84" s="1656"/>
      <c r="AU84" s="1656"/>
      <c r="AV84" s="1656"/>
      <c r="AW84" s="1656"/>
      <c r="AX84" s="1656"/>
      <c r="AY84" s="1656"/>
      <c r="AZ84" s="1656"/>
      <c r="BA84" s="1656"/>
      <c r="BB84" s="1656"/>
      <c r="BC84" s="1656"/>
      <c r="BD84" s="1656"/>
      <c r="BF84" s="138"/>
    </row>
    <row r="85" spans="1:70" x14ac:dyDescent="0.25">
      <c r="B85" s="137"/>
      <c r="BF85" s="138"/>
    </row>
    <row r="86" spans="1:70" x14ac:dyDescent="0.25">
      <c r="B86" s="137"/>
      <c r="D86" s="1656" t="s">
        <v>690</v>
      </c>
      <c r="E86" s="1656"/>
      <c r="F86" s="1656"/>
      <c r="G86" s="1656"/>
      <c r="H86" s="1656"/>
      <c r="I86" s="1656"/>
      <c r="J86" s="1656"/>
      <c r="K86" s="1656"/>
      <c r="L86" s="1656"/>
      <c r="M86" s="1656"/>
      <c r="N86" s="1656"/>
      <c r="O86" s="1656"/>
      <c r="P86" s="1656"/>
      <c r="Q86" s="1656"/>
      <c r="R86" s="1656"/>
      <c r="S86" s="1656"/>
      <c r="T86" s="1656"/>
      <c r="U86" s="1656"/>
      <c r="V86" s="1656"/>
      <c r="W86" s="1656"/>
      <c r="X86" s="1656"/>
      <c r="Y86" s="1656"/>
      <c r="Z86" s="1656"/>
      <c r="AA86" s="1656"/>
      <c r="AB86" s="1656"/>
      <c r="AC86" s="1656"/>
      <c r="AD86" s="1656"/>
      <c r="AE86" s="1656"/>
      <c r="AF86" s="1656"/>
      <c r="AG86" s="1656"/>
      <c r="AH86" s="1656"/>
      <c r="AI86" s="1656"/>
      <c r="AJ86" s="1656"/>
      <c r="AK86" s="1656"/>
      <c r="AL86" s="1656"/>
      <c r="AM86" s="1656"/>
      <c r="AN86" s="1656"/>
      <c r="AO86" s="1656"/>
      <c r="AP86" s="1656"/>
      <c r="AQ86" s="1656"/>
      <c r="AR86" s="1656"/>
      <c r="AS86" s="1656"/>
      <c r="AT86" s="1656"/>
      <c r="AU86" s="1656"/>
      <c r="AV86" s="1656"/>
      <c r="AW86" s="1656"/>
      <c r="AX86" s="1656"/>
      <c r="AY86" s="1656"/>
      <c r="AZ86" s="1656"/>
      <c r="BA86" s="1656"/>
      <c r="BB86" s="1656"/>
      <c r="BC86" s="1656"/>
      <c r="BD86" s="1656"/>
      <c r="BF86" s="138"/>
    </row>
    <row r="87" spans="1:70" x14ac:dyDescent="0.25">
      <c r="B87" s="137"/>
      <c r="D87" s="1657" t="s">
        <v>241</v>
      </c>
      <c r="E87" s="1657"/>
      <c r="F87" s="1656" t="s">
        <v>689</v>
      </c>
      <c r="G87" s="1656"/>
      <c r="H87" s="1656"/>
      <c r="I87" s="1656"/>
      <c r="J87" s="1656"/>
      <c r="K87" s="1656"/>
      <c r="L87" s="1656"/>
      <c r="M87" s="1656"/>
      <c r="N87" s="1656"/>
      <c r="O87" s="1656"/>
      <c r="P87" s="1656"/>
      <c r="Q87" s="1656"/>
      <c r="R87" s="1656"/>
      <c r="S87" s="1656"/>
      <c r="T87" s="1656"/>
      <c r="U87" s="1656"/>
      <c r="V87" s="1656"/>
      <c r="W87" s="1656"/>
      <c r="X87" s="1656"/>
      <c r="Y87" s="1656"/>
      <c r="Z87" s="1656"/>
      <c r="AA87" s="1656"/>
      <c r="AB87" s="1656"/>
      <c r="AC87" s="1656"/>
      <c r="AD87" s="1656"/>
      <c r="AE87" s="1656"/>
      <c r="AF87" s="1656"/>
      <c r="AG87" s="1656"/>
      <c r="AH87" s="1656"/>
      <c r="AI87" s="1656"/>
      <c r="AJ87" s="1656"/>
      <c r="AK87" s="1656"/>
      <c r="AL87" s="1656"/>
      <c r="AM87" s="1656"/>
      <c r="AN87" s="1656"/>
      <c r="AO87" s="1656"/>
      <c r="AP87" s="1656"/>
      <c r="AQ87" s="1656"/>
      <c r="AR87" s="1656"/>
      <c r="AS87" s="1656"/>
      <c r="AT87" s="1656"/>
      <c r="AU87" s="1656"/>
      <c r="AV87" s="1656"/>
      <c r="AW87" s="1656"/>
      <c r="AX87" s="1656"/>
      <c r="AY87" s="1656"/>
      <c r="AZ87" s="1656"/>
      <c r="BA87" s="1656"/>
      <c r="BB87" s="1656"/>
      <c r="BC87" s="1656"/>
      <c r="BD87" s="1656"/>
      <c r="BF87" s="138"/>
    </row>
    <row r="88" spans="1:70" x14ac:dyDescent="0.25">
      <c r="B88" s="137"/>
      <c r="D88" s="1658"/>
      <c r="E88" s="1658"/>
      <c r="F88" s="1656" t="s">
        <v>688</v>
      </c>
      <c r="G88" s="1656"/>
      <c r="H88" s="1656"/>
      <c r="I88" s="1656"/>
      <c r="J88" s="1656"/>
      <c r="K88" s="1656"/>
      <c r="L88" s="1656"/>
      <c r="M88" s="1656"/>
      <c r="N88" s="1656"/>
      <c r="O88" s="1656"/>
      <c r="P88" s="1656"/>
      <c r="Q88" s="1656"/>
      <c r="R88" s="1656"/>
      <c r="S88" s="1656"/>
      <c r="T88" s="1656"/>
      <c r="U88" s="1656"/>
      <c r="V88" s="1656"/>
      <c r="W88" s="1656"/>
      <c r="X88" s="1656"/>
      <c r="Y88" s="1656"/>
      <c r="Z88" s="1656"/>
      <c r="AA88" s="1656"/>
      <c r="AB88" s="1656"/>
      <c r="AC88" s="1656"/>
      <c r="AD88" s="1656"/>
      <c r="AE88" s="1656"/>
      <c r="AF88" s="1656"/>
      <c r="AG88" s="1656"/>
      <c r="AH88" s="1656"/>
      <c r="AI88" s="1656"/>
      <c r="AJ88" s="1656"/>
      <c r="AK88" s="1656"/>
      <c r="AL88" s="1656"/>
      <c r="AM88" s="1656"/>
      <c r="AN88" s="1656"/>
      <c r="AO88" s="1656"/>
      <c r="AP88" s="1656"/>
      <c r="AQ88" s="1656"/>
      <c r="AR88" s="1656"/>
      <c r="AS88" s="1656"/>
      <c r="AT88" s="1656"/>
      <c r="AU88" s="1656"/>
      <c r="AV88" s="1656"/>
      <c r="AW88" s="1656"/>
      <c r="AX88" s="1656"/>
      <c r="AY88" s="1656"/>
      <c r="AZ88" s="1656"/>
      <c r="BA88" s="1656"/>
      <c r="BB88" s="1656"/>
      <c r="BC88" s="1656"/>
      <c r="BD88" s="16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2" t="s">
        <v>1007</v>
      </c>
      <c r="C92" s="1673"/>
      <c r="D92" s="1673"/>
      <c r="E92" s="1673"/>
      <c r="F92" s="1673"/>
      <c r="G92" s="1673"/>
      <c r="H92" s="1673"/>
      <c r="I92" s="1673"/>
      <c r="J92" s="1673"/>
      <c r="K92" s="1673"/>
      <c r="L92" s="1673"/>
      <c r="M92" s="1673"/>
      <c r="N92" s="1673"/>
      <c r="O92" s="1673"/>
      <c r="P92" s="1673"/>
      <c r="Q92" s="1673"/>
      <c r="R92" s="1673"/>
      <c r="S92" s="1673"/>
      <c r="T92" s="1673"/>
      <c r="U92" s="1673"/>
      <c r="V92" s="1673"/>
      <c r="W92" s="1673"/>
      <c r="X92" s="1673"/>
      <c r="Y92" s="1673"/>
      <c r="Z92" s="1673"/>
      <c r="AA92" s="1673"/>
      <c r="AB92" s="1673"/>
      <c r="AC92" s="1673"/>
      <c r="AD92" s="1673"/>
      <c r="AE92" s="1673"/>
      <c r="AF92" s="1673"/>
      <c r="AG92" s="1673"/>
      <c r="AH92" s="1673"/>
      <c r="AI92" s="1673"/>
      <c r="AJ92" s="1673"/>
      <c r="AK92" s="1673"/>
      <c r="AL92" s="1673"/>
      <c r="AM92" s="1673"/>
      <c r="AN92" s="1673"/>
      <c r="AO92" s="1673"/>
      <c r="AP92" s="1673"/>
      <c r="AQ92" s="1673"/>
      <c r="AR92" s="1673"/>
      <c r="AS92" s="1673"/>
      <c r="AT92" s="1673"/>
      <c r="AU92" s="1673"/>
      <c r="AV92" s="1673"/>
      <c r="AW92" s="1673"/>
      <c r="AX92" s="1673"/>
      <c r="AY92" s="1673"/>
      <c r="AZ92" s="1673"/>
      <c r="BA92" s="1673"/>
      <c r="BB92" s="1673"/>
      <c r="BC92" s="1673"/>
      <c r="BD92" s="1673"/>
      <c r="BE92" s="1673"/>
      <c r="BF92" s="1674"/>
    </row>
    <row r="93" spans="1:70" ht="15.75" thickBot="1" x14ac:dyDescent="0.3">
      <c r="B93" s="137"/>
      <c r="BF93" s="138"/>
      <c r="BR93" s="268"/>
    </row>
    <row r="94" spans="1:70" ht="15.75" thickBot="1" x14ac:dyDescent="0.3">
      <c r="B94" s="137"/>
      <c r="D94" s="1686" t="s">
        <v>734</v>
      </c>
      <c r="E94" s="1687"/>
      <c r="F94" s="1687"/>
      <c r="G94" s="1687"/>
      <c r="H94" s="1687"/>
      <c r="I94" s="1687"/>
      <c r="J94" s="1687"/>
      <c r="K94" s="1693" t="s">
        <v>735</v>
      </c>
      <c r="L94" s="1687"/>
      <c r="M94" s="1687"/>
      <c r="N94" s="1687"/>
      <c r="O94" s="1687"/>
      <c r="P94" s="1687"/>
      <c r="Q94" s="1687"/>
      <c r="R94" s="1687"/>
      <c r="S94" s="1687"/>
      <c r="T94" s="1687"/>
      <c r="U94" s="1693" t="s">
        <v>795</v>
      </c>
      <c r="V94" s="1687"/>
      <c r="W94" s="1687"/>
      <c r="X94" s="1687"/>
      <c r="Y94" s="1687"/>
      <c r="Z94" s="1687"/>
      <c r="AA94" s="1687"/>
      <c r="AB94" s="1687"/>
      <c r="AC94" s="1687"/>
      <c r="AD94" s="1687"/>
      <c r="AE94" s="1687"/>
      <c r="AF94" s="1687"/>
      <c r="AG94" s="1687"/>
      <c r="AH94" s="1687"/>
      <c r="AI94" s="1687"/>
      <c r="AJ94" s="1693" t="s">
        <v>800</v>
      </c>
      <c r="AK94" s="1687"/>
      <c r="AL94" s="1687"/>
      <c r="AM94" s="1687"/>
      <c r="AN94" s="1687"/>
      <c r="AO94" s="1687"/>
      <c r="AP94" s="1687"/>
      <c r="AQ94" s="1687"/>
      <c r="AR94" s="1687"/>
      <c r="AS94" s="1687"/>
      <c r="AT94" s="1705"/>
      <c r="AU94" s="1693" t="s">
        <v>801</v>
      </c>
      <c r="AV94" s="1687"/>
      <c r="AW94" s="1687"/>
      <c r="AX94" s="1705"/>
      <c r="AY94" s="1693" t="s">
        <v>845</v>
      </c>
      <c r="AZ94" s="1687"/>
      <c r="BA94" s="1687"/>
      <c r="BB94" s="1687"/>
      <c r="BC94" s="1715"/>
      <c r="BF94" s="138"/>
    </row>
    <row r="95" spans="1:70" x14ac:dyDescent="0.25">
      <c r="B95" s="137"/>
      <c r="C95" s="627">
        <v>1</v>
      </c>
      <c r="D95" s="1685">
        <f>'Customer Inputs'!$B$6</f>
        <v>0</v>
      </c>
      <c r="E95" s="1685"/>
      <c r="F95" s="1685"/>
      <c r="G95" s="1685"/>
      <c r="H95" s="1685"/>
      <c r="I95" s="1685"/>
      <c r="J95" s="1685"/>
      <c r="K95" s="1641" t="str">
        <f>IFERROR(IFERROR('Multi-Customer'!$BB$39,VLOOKUP($D95,'Required Info to Submit'!$E$23:$J$32,2,FALSE)),"")</f>
        <v/>
      </c>
      <c r="L95" s="1641"/>
      <c r="M95" s="1641"/>
      <c r="N95" s="1641"/>
      <c r="O95" s="1641"/>
      <c r="P95" s="1641"/>
      <c r="Q95" s="1641"/>
      <c r="R95" s="1641"/>
      <c r="S95" s="1641"/>
      <c r="T95" s="1641"/>
      <c r="U95" s="1641" t="str">
        <f>IFERROR(IFERROR('Multi-Customer'!$BB$41&amp;" "&amp;'Multi-Customer'!$BB$42,VLOOKUP($D95,'Required Info to Submit'!$E$23:$J$32,3,FALSE)),"")</f>
        <v/>
      </c>
      <c r="V95" s="1641"/>
      <c r="W95" s="1641"/>
      <c r="X95" s="1641"/>
      <c r="Y95" s="1641"/>
      <c r="Z95" s="1641"/>
      <c r="AA95" s="1641"/>
      <c r="AB95" s="1641"/>
      <c r="AC95" s="1641"/>
      <c r="AD95" s="1641"/>
      <c r="AE95" s="1641"/>
      <c r="AF95" s="1641"/>
      <c r="AG95" s="1641"/>
      <c r="AH95" s="1641"/>
      <c r="AI95" s="1641"/>
      <c r="AJ95" s="1702" t="str">
        <f>IFERROR(IFERROR('Multi-Customer'!$BB$43,VLOOKUP($D95,'Required Info to Submit'!$E$23:$J$32,4,FALSE)),"")</f>
        <v/>
      </c>
      <c r="AK95" s="1703"/>
      <c r="AL95" s="1703"/>
      <c r="AM95" s="1703"/>
      <c r="AN95" s="1703"/>
      <c r="AO95" s="1703"/>
      <c r="AP95" s="1703"/>
      <c r="AQ95" s="1703"/>
      <c r="AR95" s="1703"/>
      <c r="AS95" s="1703"/>
      <c r="AT95" s="1704"/>
      <c r="AU95" s="1706" t="str">
        <f>IFERROR(IFERROR('Multi-Customer'!$BB$44,VLOOKUP($D95,'Required Info to Submit'!$E$23:$J$32,5,FALSE)),"")</f>
        <v/>
      </c>
      <c r="AV95" s="1707"/>
      <c r="AW95" s="1707"/>
      <c r="AX95" s="1708"/>
      <c r="AY95" s="1712" t="str">
        <f>IFERROR(IFERROR('Multi-Customer'!$BB$45,VLOOKUP($D95,'Required Info to Submit'!$E$23:$J$32,6,FALSE)),"")</f>
        <v/>
      </c>
      <c r="AZ95" s="1713"/>
      <c r="BA95" s="1713"/>
      <c r="BB95" s="1713"/>
      <c r="BC95" s="1714"/>
      <c r="BF95" s="138"/>
    </row>
    <row r="96" spans="1:70" x14ac:dyDescent="0.25">
      <c r="B96" s="137"/>
      <c r="C96" s="628">
        <v>2</v>
      </c>
      <c r="D96" s="1684">
        <f>'Customer Inputs'!$B$7</f>
        <v>0</v>
      </c>
      <c r="E96" s="1684"/>
      <c r="F96" s="1684"/>
      <c r="G96" s="1684"/>
      <c r="H96" s="1684"/>
      <c r="I96" s="1684"/>
      <c r="J96" s="1684"/>
      <c r="K96" s="1628" t="str">
        <f>IFERROR(IFERROR('Multi-Customer'!$BY$39,VLOOKUP($D96,'Required Info to Submit'!$E$23:$J$32,2,FALSE)),"")</f>
        <v/>
      </c>
      <c r="L96" s="1628"/>
      <c r="M96" s="1628"/>
      <c r="N96" s="1628"/>
      <c r="O96" s="1628"/>
      <c r="P96" s="1628"/>
      <c r="Q96" s="1628"/>
      <c r="R96" s="1628"/>
      <c r="S96" s="1628"/>
      <c r="T96" s="1628"/>
      <c r="U96" s="1628" t="str">
        <f>IFERROR(IFERROR('Multi-Customer'!$BY$41&amp;" "&amp;'Multi-Customer'!$BY$42,VLOOKUP($D96,'Required Info to Submit'!$E$23:$J$32,3,FALSE)),"")</f>
        <v/>
      </c>
      <c r="V96" s="1628"/>
      <c r="W96" s="1628"/>
      <c r="X96" s="1628"/>
      <c r="Y96" s="1628"/>
      <c r="Z96" s="1628"/>
      <c r="AA96" s="1628"/>
      <c r="AB96" s="1628"/>
      <c r="AC96" s="1628"/>
      <c r="AD96" s="1628"/>
      <c r="AE96" s="1628"/>
      <c r="AF96" s="1628"/>
      <c r="AG96" s="1628"/>
      <c r="AH96" s="1628"/>
      <c r="AI96" s="1628"/>
      <c r="AJ96" s="1699" t="str">
        <f>IFERROR(IFERROR('Multi-Customer'!$BY$43,VLOOKUP($D96,'Required Info to Submit'!$E$23:$J$32,4,FALSE)),"")</f>
        <v/>
      </c>
      <c r="AK96" s="1700"/>
      <c r="AL96" s="1700"/>
      <c r="AM96" s="1700"/>
      <c r="AN96" s="1700"/>
      <c r="AO96" s="1700"/>
      <c r="AP96" s="1700"/>
      <c r="AQ96" s="1700"/>
      <c r="AR96" s="1700"/>
      <c r="AS96" s="1700"/>
      <c r="AT96" s="1701"/>
      <c r="AU96" s="1552" t="str">
        <f>IFERROR(IFERROR('Multi-Customer'!$BY$44,VLOOKUP($D96,'Required Info to Submit'!$E$23:$J$32,5,FALSE)),"")</f>
        <v/>
      </c>
      <c r="AV96" s="1553"/>
      <c r="AW96" s="1553"/>
      <c r="AX96" s="1554"/>
      <c r="AY96" s="1619" t="str">
        <f>IFERROR(IFERROR('Multi-Customer'!$BY$45,VLOOKUP($D96,'Required Info to Submit'!$E$23:$J$32,6,FALSE)),"")</f>
        <v/>
      </c>
      <c r="AZ96" s="1620"/>
      <c r="BA96" s="1620"/>
      <c r="BB96" s="1620"/>
      <c r="BC96" s="1621"/>
      <c r="BF96" s="138"/>
    </row>
    <row r="97" spans="2:58" x14ac:dyDescent="0.25">
      <c r="B97" s="137"/>
      <c r="C97" s="628">
        <v>3</v>
      </c>
      <c r="D97" s="1684">
        <f>'Customer Inputs'!$B$8</f>
        <v>0</v>
      </c>
      <c r="E97" s="1684"/>
      <c r="F97" s="1684"/>
      <c r="G97" s="1684"/>
      <c r="H97" s="1684"/>
      <c r="I97" s="1684"/>
      <c r="J97" s="1684"/>
      <c r="K97" s="1628" t="str">
        <f>IFERROR(IFERROR('Multi-Customer'!$CV$39,VLOOKUP($D97,'Required Info to Submit'!$E$23:$J$32,2,FALSE)),"")</f>
        <v/>
      </c>
      <c r="L97" s="1628"/>
      <c r="M97" s="1628"/>
      <c r="N97" s="1628"/>
      <c r="O97" s="1628"/>
      <c r="P97" s="1628"/>
      <c r="Q97" s="1628"/>
      <c r="R97" s="1628"/>
      <c r="S97" s="1628"/>
      <c r="T97" s="1628"/>
      <c r="U97" s="1628" t="str">
        <f>IFERROR(IFERROR('Multi-Customer'!$CV$41&amp;" "&amp;'Multi-Customer'!$CV$42,VLOOKUP($D97,'Required Info to Submit'!$E$23:$J$32,3,FALSE)),"")</f>
        <v/>
      </c>
      <c r="V97" s="1628"/>
      <c r="W97" s="1628"/>
      <c r="X97" s="1628"/>
      <c r="Y97" s="1628"/>
      <c r="Z97" s="1628"/>
      <c r="AA97" s="1628"/>
      <c r="AB97" s="1628"/>
      <c r="AC97" s="1628"/>
      <c r="AD97" s="1628"/>
      <c r="AE97" s="1628"/>
      <c r="AF97" s="1628"/>
      <c r="AG97" s="1628"/>
      <c r="AH97" s="1628"/>
      <c r="AI97" s="1628"/>
      <c r="AJ97" s="1699" t="str">
        <f>IFERROR(IFERROR('Multi-Customer'!$CV$43,VLOOKUP($D97,'Required Info to Submit'!$E$23:$J$32,4,FALSE)),"")</f>
        <v/>
      </c>
      <c r="AK97" s="1700"/>
      <c r="AL97" s="1700"/>
      <c r="AM97" s="1700"/>
      <c r="AN97" s="1700"/>
      <c r="AO97" s="1700"/>
      <c r="AP97" s="1700"/>
      <c r="AQ97" s="1700"/>
      <c r="AR97" s="1700"/>
      <c r="AS97" s="1700"/>
      <c r="AT97" s="1701"/>
      <c r="AU97" s="1552" t="str">
        <f>IFERROR(IFERROR('Multi-Customer'!$CV$44,VLOOKUP($D97,'Required Info to Submit'!$E$23:$J$32,5,FALSE)),"")</f>
        <v/>
      </c>
      <c r="AV97" s="1553"/>
      <c r="AW97" s="1553"/>
      <c r="AX97" s="1554"/>
      <c r="AY97" s="1619" t="str">
        <f>IFERROR(IFERROR('Multi-Customer'!$CV$45,VLOOKUP($D97,'Required Info to Submit'!$E$23:$J$32,6,FALSE)),"")</f>
        <v/>
      </c>
      <c r="AZ97" s="1620"/>
      <c r="BA97" s="1620"/>
      <c r="BB97" s="1620"/>
      <c r="BC97" s="1621"/>
      <c r="BF97" s="138"/>
    </row>
    <row r="98" spans="2:58" x14ac:dyDescent="0.25">
      <c r="B98" s="137"/>
      <c r="C98" s="628">
        <v>4</v>
      </c>
      <c r="D98" s="1684">
        <f>'Customer Inputs'!$B$9</f>
        <v>0</v>
      </c>
      <c r="E98" s="1684"/>
      <c r="F98" s="1684"/>
      <c r="G98" s="1684"/>
      <c r="H98" s="1684"/>
      <c r="I98" s="1684"/>
      <c r="J98" s="1684"/>
      <c r="K98" s="1628" t="str">
        <f>IFERROR(IFERROR('Multi-Customer'!$DS$39,VLOOKUP($D98,'Required Info to Submit'!$E$23:$J$32,2,FALSE)),"")</f>
        <v/>
      </c>
      <c r="L98" s="1628"/>
      <c r="M98" s="1628"/>
      <c r="N98" s="1628"/>
      <c r="O98" s="1628"/>
      <c r="P98" s="1628"/>
      <c r="Q98" s="1628"/>
      <c r="R98" s="1628"/>
      <c r="S98" s="1628"/>
      <c r="T98" s="1628"/>
      <c r="U98" s="1628" t="str">
        <f>IFERROR(IFERROR('Multi-Customer'!$DS$41&amp;" "&amp;'Multi-Customer'!$DS$42,VLOOKUP($D98,'Required Info to Submit'!$E$23:$J$32,3,FALSE)),"")</f>
        <v/>
      </c>
      <c r="V98" s="1628"/>
      <c r="W98" s="1628"/>
      <c r="X98" s="1628"/>
      <c r="Y98" s="1628"/>
      <c r="Z98" s="1628"/>
      <c r="AA98" s="1628"/>
      <c r="AB98" s="1628"/>
      <c r="AC98" s="1628"/>
      <c r="AD98" s="1628"/>
      <c r="AE98" s="1628"/>
      <c r="AF98" s="1628"/>
      <c r="AG98" s="1628"/>
      <c r="AH98" s="1628"/>
      <c r="AI98" s="1628"/>
      <c r="AJ98" s="1699" t="str">
        <f>IFERROR(IFERROR('Multi-Customer'!$DS$43,VLOOKUP($D98,'Required Info to Submit'!$E$23:$J$32,4,FALSE)),"")</f>
        <v/>
      </c>
      <c r="AK98" s="1700"/>
      <c r="AL98" s="1700"/>
      <c r="AM98" s="1700"/>
      <c r="AN98" s="1700"/>
      <c r="AO98" s="1700"/>
      <c r="AP98" s="1700"/>
      <c r="AQ98" s="1700"/>
      <c r="AR98" s="1700"/>
      <c r="AS98" s="1700"/>
      <c r="AT98" s="1701"/>
      <c r="AU98" s="1552" t="str">
        <f>IFERROR(IFERROR('Multi-Customer'!$DS$44,VLOOKUP($D98,'Required Info to Submit'!$E$23:$J$32,5,FALSE)),"")</f>
        <v/>
      </c>
      <c r="AV98" s="1553"/>
      <c r="AW98" s="1553"/>
      <c r="AX98" s="1554"/>
      <c r="AY98" s="1619" t="str">
        <f>IFERROR(IFERROR('Multi-Customer'!$DS$45,VLOOKUP($D98,'Required Info to Submit'!$E$23:$J$32,6,FALSE)),"")</f>
        <v/>
      </c>
      <c r="AZ98" s="1620"/>
      <c r="BA98" s="1620"/>
      <c r="BB98" s="1620"/>
      <c r="BC98" s="1621"/>
      <c r="BF98" s="138"/>
    </row>
    <row r="99" spans="2:58" x14ac:dyDescent="0.25">
      <c r="B99" s="137"/>
      <c r="C99" s="628">
        <v>5</v>
      </c>
      <c r="D99" s="1684">
        <f>'Customer Inputs'!$B$10</f>
        <v>0</v>
      </c>
      <c r="E99" s="1684"/>
      <c r="F99" s="1684"/>
      <c r="G99" s="1684"/>
      <c r="H99" s="1684"/>
      <c r="I99" s="1684"/>
      <c r="J99" s="1684"/>
      <c r="K99" s="1628" t="str">
        <f>IFERROR(IFERROR('Multi-Customer'!$EP$39,VLOOKUP($D99,'Required Info to Submit'!$E$23:$J$32,2,FALSE)),"")</f>
        <v/>
      </c>
      <c r="L99" s="1628"/>
      <c r="M99" s="1628"/>
      <c r="N99" s="1628"/>
      <c r="O99" s="1628"/>
      <c r="P99" s="1628"/>
      <c r="Q99" s="1628"/>
      <c r="R99" s="1628"/>
      <c r="S99" s="1628"/>
      <c r="T99" s="1628"/>
      <c r="U99" s="1628" t="str">
        <f>IFERROR(IFERROR('Multi-Customer'!$EP$41&amp;" "&amp;'Multi-Customer'!$EP$42,VLOOKUP($D99,'Required Info to Submit'!$E$23:$J$32,3,FALSE)),"")</f>
        <v/>
      </c>
      <c r="V99" s="1628"/>
      <c r="W99" s="1628"/>
      <c r="X99" s="1628"/>
      <c r="Y99" s="1628"/>
      <c r="Z99" s="1628"/>
      <c r="AA99" s="1628"/>
      <c r="AB99" s="1628"/>
      <c r="AC99" s="1628"/>
      <c r="AD99" s="1628"/>
      <c r="AE99" s="1628"/>
      <c r="AF99" s="1628"/>
      <c r="AG99" s="1628"/>
      <c r="AH99" s="1628"/>
      <c r="AI99" s="1628"/>
      <c r="AJ99" s="1699" t="str">
        <f>IFERROR(IFERROR('Multi-Customer'!$EP$43,VLOOKUP($D99,'Required Info to Submit'!$E$23:$J$32,4,FALSE)),"")</f>
        <v/>
      </c>
      <c r="AK99" s="1700"/>
      <c r="AL99" s="1700"/>
      <c r="AM99" s="1700"/>
      <c r="AN99" s="1700"/>
      <c r="AO99" s="1700"/>
      <c r="AP99" s="1700"/>
      <c r="AQ99" s="1700"/>
      <c r="AR99" s="1700"/>
      <c r="AS99" s="1700"/>
      <c r="AT99" s="1701"/>
      <c r="AU99" s="1552" t="str">
        <f>IFERROR(IFERROR('Multi-Customer'!$EP$44,VLOOKUP($D99,'Required Info to Submit'!$E$23:$J$32,5,FALSE)),"")</f>
        <v/>
      </c>
      <c r="AV99" s="1553"/>
      <c r="AW99" s="1553"/>
      <c r="AX99" s="1554"/>
      <c r="AY99" s="1619" t="str">
        <f>IFERROR(IFERROR('Multi-Customer'!$EP$45,VLOOKUP($D99,'Required Info to Submit'!$E$23:$J$32,6,FALSE)),"")</f>
        <v/>
      </c>
      <c r="AZ99" s="1620"/>
      <c r="BA99" s="1620"/>
      <c r="BB99" s="1620"/>
      <c r="BC99" s="1621"/>
      <c r="BF99" s="138"/>
    </row>
    <row r="100" spans="2:58" x14ac:dyDescent="0.25">
      <c r="B100" s="137"/>
      <c r="C100" s="628">
        <v>6</v>
      </c>
      <c r="D100" s="1684">
        <f>'Customer Inputs'!$B$11</f>
        <v>0</v>
      </c>
      <c r="E100" s="1684"/>
      <c r="F100" s="1684"/>
      <c r="G100" s="1684"/>
      <c r="H100" s="1684"/>
      <c r="I100" s="1684"/>
      <c r="J100" s="1684"/>
      <c r="K100" s="1628" t="str">
        <f>IFERROR(IFERROR('Multi-Customer'!$FM$39,VLOOKUP($D100,'Required Info to Submit'!$E$23:$J$32,2,FALSE)),"")</f>
        <v/>
      </c>
      <c r="L100" s="1628"/>
      <c r="M100" s="1628"/>
      <c r="N100" s="1628"/>
      <c r="O100" s="1628"/>
      <c r="P100" s="1628"/>
      <c r="Q100" s="1628"/>
      <c r="R100" s="1628"/>
      <c r="S100" s="1628"/>
      <c r="T100" s="1628"/>
      <c r="U100" s="1628" t="str">
        <f>IFERROR(IFERROR('Multi-Customer'!$FM$41&amp;" "&amp;'Multi-Customer'!$FM$42,VLOOKUP($D100,'Required Info to Submit'!$E$23:$J$32,3,FALSE)),"")</f>
        <v/>
      </c>
      <c r="V100" s="1628"/>
      <c r="W100" s="1628"/>
      <c r="X100" s="1628"/>
      <c r="Y100" s="1628"/>
      <c r="Z100" s="1628"/>
      <c r="AA100" s="1628"/>
      <c r="AB100" s="1628"/>
      <c r="AC100" s="1628"/>
      <c r="AD100" s="1628"/>
      <c r="AE100" s="1628"/>
      <c r="AF100" s="1628"/>
      <c r="AG100" s="1628"/>
      <c r="AH100" s="1628"/>
      <c r="AI100" s="1628"/>
      <c r="AJ100" s="1699" t="str">
        <f>IFERROR(IFERROR('Multi-Customer'!$FM$43,VLOOKUP($D100,'Required Info to Submit'!$E$23:$J$32,4,FALSE)),"")</f>
        <v/>
      </c>
      <c r="AK100" s="1700"/>
      <c r="AL100" s="1700"/>
      <c r="AM100" s="1700"/>
      <c r="AN100" s="1700"/>
      <c r="AO100" s="1700"/>
      <c r="AP100" s="1700"/>
      <c r="AQ100" s="1700"/>
      <c r="AR100" s="1700"/>
      <c r="AS100" s="1700"/>
      <c r="AT100" s="1701"/>
      <c r="AU100" s="1552" t="str">
        <f>IFERROR(IFERROR('Multi-Customer'!$FM$44,VLOOKUP($D100,'Required Info to Submit'!$E$23:$J$32,5,FALSE)),"")</f>
        <v/>
      </c>
      <c r="AV100" s="1553"/>
      <c r="AW100" s="1553"/>
      <c r="AX100" s="1554"/>
      <c r="AY100" s="1619" t="str">
        <f>IFERROR(IFERROR('Multi-Customer'!$FM$45,VLOOKUP($D100,'Required Info to Submit'!$E$23:$J$32,6,FALSE)),"")</f>
        <v/>
      </c>
      <c r="AZ100" s="1620"/>
      <c r="BA100" s="1620"/>
      <c r="BB100" s="1620"/>
      <c r="BC100" s="1621"/>
      <c r="BF100" s="138"/>
    </row>
    <row r="101" spans="2:58" x14ac:dyDescent="0.25">
      <c r="B101" s="137"/>
      <c r="C101" s="628">
        <v>7</v>
      </c>
      <c r="D101" s="1684">
        <f>'Customer Inputs'!$B$12</f>
        <v>0</v>
      </c>
      <c r="E101" s="1684"/>
      <c r="F101" s="1684"/>
      <c r="G101" s="1684"/>
      <c r="H101" s="1684"/>
      <c r="I101" s="1684"/>
      <c r="J101" s="1684"/>
      <c r="K101" s="1628" t="str">
        <f>IFERROR(IFERROR('Multi-Customer'!$GJ$39,VLOOKUP($D101,'Required Info to Submit'!$E$23:$J$32,2,FALSE)),"")</f>
        <v/>
      </c>
      <c r="L101" s="1628"/>
      <c r="M101" s="1628"/>
      <c r="N101" s="1628"/>
      <c r="O101" s="1628"/>
      <c r="P101" s="1628"/>
      <c r="Q101" s="1628"/>
      <c r="R101" s="1628"/>
      <c r="S101" s="1628"/>
      <c r="T101" s="1628"/>
      <c r="U101" s="1628" t="str">
        <f>IFERROR(IFERROR('Multi-Customer'!$GJ$41&amp;" "&amp;'Multi-Customer'!$GJ$42,VLOOKUP($D101,'Required Info to Submit'!$E$23:$J$32,3,FALSE)),"")</f>
        <v/>
      </c>
      <c r="V101" s="1628"/>
      <c r="W101" s="1628"/>
      <c r="X101" s="1628"/>
      <c r="Y101" s="1628"/>
      <c r="Z101" s="1628"/>
      <c r="AA101" s="1628"/>
      <c r="AB101" s="1628"/>
      <c r="AC101" s="1628"/>
      <c r="AD101" s="1628"/>
      <c r="AE101" s="1628"/>
      <c r="AF101" s="1628"/>
      <c r="AG101" s="1628"/>
      <c r="AH101" s="1628"/>
      <c r="AI101" s="1628"/>
      <c r="AJ101" s="1699" t="str">
        <f>IFERROR(IFERROR('Multi-Customer'!$GJ$43,VLOOKUP($D101,'Required Info to Submit'!$E$23:$J$32,4,FALSE)),"")</f>
        <v/>
      </c>
      <c r="AK101" s="1700"/>
      <c r="AL101" s="1700"/>
      <c r="AM101" s="1700"/>
      <c r="AN101" s="1700"/>
      <c r="AO101" s="1700"/>
      <c r="AP101" s="1700"/>
      <c r="AQ101" s="1700"/>
      <c r="AR101" s="1700"/>
      <c r="AS101" s="1700"/>
      <c r="AT101" s="1701"/>
      <c r="AU101" s="1552" t="str">
        <f>IFERROR(IFERROR('Multi-Customer'!$GJ$44,VLOOKUP($D101,'Required Info to Submit'!$E$23:$J$32,5,FALSE)),"")</f>
        <v/>
      </c>
      <c r="AV101" s="1553"/>
      <c r="AW101" s="1553"/>
      <c r="AX101" s="1554"/>
      <c r="AY101" s="1619" t="str">
        <f>IFERROR(IFERROR('Multi-Customer'!$GJ$45,VLOOKUP($D101,'Required Info to Submit'!$E$23:$J$32,6,FALSE)),"")</f>
        <v/>
      </c>
      <c r="AZ101" s="1620"/>
      <c r="BA101" s="1620"/>
      <c r="BB101" s="1620"/>
      <c r="BC101" s="1621"/>
      <c r="BF101" s="138"/>
    </row>
    <row r="102" spans="2:58" x14ac:dyDescent="0.25">
      <c r="B102" s="137"/>
      <c r="C102" s="628">
        <v>8</v>
      </c>
      <c r="D102" s="1684">
        <f>'Customer Inputs'!$B$13</f>
        <v>0</v>
      </c>
      <c r="E102" s="1684"/>
      <c r="F102" s="1684"/>
      <c r="G102" s="1684"/>
      <c r="H102" s="1684"/>
      <c r="I102" s="1684"/>
      <c r="J102" s="1684"/>
      <c r="K102" s="1628" t="str">
        <f>IFERROR(IFERROR('Multi-Customer'!$HG$39,VLOOKUP($D102,'Required Info to Submit'!$E$23:$J$32,2,FALSE)),"")</f>
        <v/>
      </c>
      <c r="L102" s="1628"/>
      <c r="M102" s="1628"/>
      <c r="N102" s="1628"/>
      <c r="O102" s="1628"/>
      <c r="P102" s="1628"/>
      <c r="Q102" s="1628"/>
      <c r="R102" s="1628"/>
      <c r="S102" s="1628"/>
      <c r="T102" s="1628"/>
      <c r="U102" s="1628" t="str">
        <f>IFERROR(IFERROR('Multi-Customer'!$HG$41&amp;" "&amp;'Multi-Customer'!$HG$42,VLOOKUP($D102,'Required Info to Submit'!$E$23:$J$32,3,FALSE)),"")</f>
        <v/>
      </c>
      <c r="V102" s="1628"/>
      <c r="W102" s="1628"/>
      <c r="X102" s="1628"/>
      <c r="Y102" s="1628"/>
      <c r="Z102" s="1628"/>
      <c r="AA102" s="1628"/>
      <c r="AB102" s="1628"/>
      <c r="AC102" s="1628"/>
      <c r="AD102" s="1628"/>
      <c r="AE102" s="1628"/>
      <c r="AF102" s="1628"/>
      <c r="AG102" s="1628"/>
      <c r="AH102" s="1628"/>
      <c r="AI102" s="1628"/>
      <c r="AJ102" s="1699" t="str">
        <f>IFERROR(IFERROR('Multi-Customer'!$HG$43,VLOOKUP($D102,'Required Info to Submit'!$E$23:$J$32,4,FALSE)),"")</f>
        <v/>
      </c>
      <c r="AK102" s="1700"/>
      <c r="AL102" s="1700"/>
      <c r="AM102" s="1700"/>
      <c r="AN102" s="1700"/>
      <c r="AO102" s="1700"/>
      <c r="AP102" s="1700"/>
      <c r="AQ102" s="1700"/>
      <c r="AR102" s="1700"/>
      <c r="AS102" s="1700"/>
      <c r="AT102" s="1701"/>
      <c r="AU102" s="1552" t="str">
        <f>IFERROR(IFERROR('Multi-Customer'!$HG$44,VLOOKUP($D102,'Required Info to Submit'!$E$23:$J$32,5,FALSE)),"")</f>
        <v/>
      </c>
      <c r="AV102" s="1553"/>
      <c r="AW102" s="1553"/>
      <c r="AX102" s="1554"/>
      <c r="AY102" s="1619" t="str">
        <f>IFERROR(IFERROR('Multi-Customer'!$HG$45,VLOOKUP($D102,'Required Info to Submit'!$E$23:$J$32,6,FALSE)),"")</f>
        <v/>
      </c>
      <c r="AZ102" s="1620"/>
      <c r="BA102" s="1620"/>
      <c r="BB102" s="1620"/>
      <c r="BC102" s="1621"/>
      <c r="BF102" s="138"/>
    </row>
    <row r="103" spans="2:58" x14ac:dyDescent="0.25">
      <c r="B103" s="137"/>
      <c r="C103" s="628">
        <v>9</v>
      </c>
      <c r="D103" s="1684">
        <f>'Customer Inputs'!$B$14</f>
        <v>0</v>
      </c>
      <c r="E103" s="1684"/>
      <c r="F103" s="1684"/>
      <c r="G103" s="1684"/>
      <c r="H103" s="1684"/>
      <c r="I103" s="1684"/>
      <c r="J103" s="1684"/>
      <c r="K103" s="1628" t="str">
        <f>IFERROR(IFERROR('Multi-Customer'!$ID$39,VLOOKUP($D103,'Required Info to Submit'!$E$23:$J$32,2,FALSE)),"")</f>
        <v/>
      </c>
      <c r="L103" s="1628"/>
      <c r="M103" s="1628"/>
      <c r="N103" s="1628"/>
      <c r="O103" s="1628"/>
      <c r="P103" s="1628"/>
      <c r="Q103" s="1628"/>
      <c r="R103" s="1628"/>
      <c r="S103" s="1628"/>
      <c r="T103" s="1628"/>
      <c r="U103" s="1628" t="str">
        <f>IFERROR(IFERROR('Multi-Customer'!$ID$41&amp;" "&amp;'Multi-Customer'!$ID$42,VLOOKUP($D103,'Required Info to Submit'!$E$23:$J$32,3,FALSE)),"")</f>
        <v/>
      </c>
      <c r="V103" s="1628"/>
      <c r="W103" s="1628"/>
      <c r="X103" s="1628"/>
      <c r="Y103" s="1628"/>
      <c r="Z103" s="1628"/>
      <c r="AA103" s="1628"/>
      <c r="AB103" s="1628"/>
      <c r="AC103" s="1628"/>
      <c r="AD103" s="1628"/>
      <c r="AE103" s="1628"/>
      <c r="AF103" s="1628"/>
      <c r="AG103" s="1628"/>
      <c r="AH103" s="1628"/>
      <c r="AI103" s="1628"/>
      <c r="AJ103" s="1699" t="str">
        <f>IFERROR(IFERROR('Multi-Customer'!$ID$43,VLOOKUP($D103,'Required Info to Submit'!$E$23:$J$32,4,FALSE)),"")</f>
        <v/>
      </c>
      <c r="AK103" s="1700"/>
      <c r="AL103" s="1700"/>
      <c r="AM103" s="1700"/>
      <c r="AN103" s="1700"/>
      <c r="AO103" s="1700"/>
      <c r="AP103" s="1700"/>
      <c r="AQ103" s="1700"/>
      <c r="AR103" s="1700"/>
      <c r="AS103" s="1700"/>
      <c r="AT103" s="1701"/>
      <c r="AU103" s="1552" t="str">
        <f>IFERROR(IFERROR('Multi-Customer'!$ID$44,VLOOKUP($D103,'Required Info to Submit'!$E$23:$J$32,5,FALSE)),"")</f>
        <v/>
      </c>
      <c r="AV103" s="1553"/>
      <c r="AW103" s="1553"/>
      <c r="AX103" s="1554"/>
      <c r="AY103" s="1619" t="str">
        <f>IFERROR(IFERROR('Multi-Customer'!$ID$45,VLOOKUP($D103,'Required Info to Submit'!$E$23:$J$32,6,FALSE)),"")</f>
        <v/>
      </c>
      <c r="AZ103" s="1620"/>
      <c r="BA103" s="1620"/>
      <c r="BB103" s="1620"/>
      <c r="BC103" s="1621"/>
      <c r="BF103" s="138"/>
    </row>
    <row r="104" spans="2:58" ht="15.75" thickBot="1" x14ac:dyDescent="0.3">
      <c r="B104" s="137"/>
      <c r="C104" s="629">
        <v>10</v>
      </c>
      <c r="D104" s="1695">
        <f>'Customer Inputs'!$B$15</f>
        <v>0</v>
      </c>
      <c r="E104" s="1695"/>
      <c r="F104" s="1695"/>
      <c r="G104" s="1695"/>
      <c r="H104" s="1695"/>
      <c r="I104" s="1695"/>
      <c r="J104" s="1695"/>
      <c r="K104" s="1694" t="str">
        <f>IFERROR(IFERROR('Multi-Customer'!$JA$39,VLOOKUP($D104,'Required Info to Submit'!$E$23:$J$32,2,FALSE)),"")</f>
        <v/>
      </c>
      <c r="L104" s="1694"/>
      <c r="M104" s="1694"/>
      <c r="N104" s="1694"/>
      <c r="O104" s="1694"/>
      <c r="P104" s="1694"/>
      <c r="Q104" s="1694"/>
      <c r="R104" s="1694"/>
      <c r="S104" s="1694"/>
      <c r="T104" s="1694"/>
      <c r="U104" s="1694" t="str">
        <f>IFERROR(IFERROR('Multi-Customer'!$JA$41&amp;" "&amp;'Multi-Customer'!$JA$42,VLOOKUP($D104,'Required Info to Submit'!$E$23:$J$32,3,FALSE)),"")</f>
        <v/>
      </c>
      <c r="V104" s="1694"/>
      <c r="W104" s="1694"/>
      <c r="X104" s="1694"/>
      <c r="Y104" s="1694"/>
      <c r="Z104" s="1694"/>
      <c r="AA104" s="1694"/>
      <c r="AB104" s="1694"/>
      <c r="AC104" s="1694"/>
      <c r="AD104" s="1694"/>
      <c r="AE104" s="1694"/>
      <c r="AF104" s="1694"/>
      <c r="AG104" s="1694"/>
      <c r="AH104" s="1694"/>
      <c r="AI104" s="1694"/>
      <c r="AJ104" s="1696" t="str">
        <f>IFERROR(IFERROR('Multi-Customer'!$JA$43,VLOOKUP($D104,'Required Info to Submit'!$E$23:$J$32,4,FALSE)),"")</f>
        <v/>
      </c>
      <c r="AK104" s="1697"/>
      <c r="AL104" s="1697"/>
      <c r="AM104" s="1697"/>
      <c r="AN104" s="1697"/>
      <c r="AO104" s="1697"/>
      <c r="AP104" s="1697"/>
      <c r="AQ104" s="1697"/>
      <c r="AR104" s="1697"/>
      <c r="AS104" s="1697"/>
      <c r="AT104" s="1698"/>
      <c r="AU104" s="1716" t="str">
        <f>IFERROR(IFERROR('Multi-Customer'!$JA$44,VLOOKUP($D104,'Required Info to Submit'!$E$23:$J$32,5,FALSE)),"")</f>
        <v/>
      </c>
      <c r="AV104" s="1717"/>
      <c r="AW104" s="1717"/>
      <c r="AX104" s="1718"/>
      <c r="AY104" s="1709" t="str">
        <f>IFERROR(IFERROR('Multi-Customer'!$JA$45,VLOOKUP($D104,'Required Info to Submit'!$E$23:$J$32,6,FALSE)),"")</f>
        <v/>
      </c>
      <c r="AZ104" s="1710"/>
      <c r="BA104" s="1710"/>
      <c r="BB104" s="1710"/>
      <c r="BC104" s="1711"/>
      <c r="BF104" s="138"/>
    </row>
    <row r="105" spans="2:58" x14ac:dyDescent="0.25">
      <c r="B105" s="137"/>
      <c r="BF105" s="138"/>
    </row>
    <row r="106" spans="2:58" x14ac:dyDescent="0.25">
      <c r="B106" s="137"/>
      <c r="BF106" s="138"/>
    </row>
    <row r="107" spans="2:58" ht="18.75" x14ac:dyDescent="0.3">
      <c r="B107" s="1672" t="s">
        <v>1015</v>
      </c>
      <c r="C107" s="1673"/>
      <c r="D107" s="1673"/>
      <c r="E107" s="1673"/>
      <c r="F107" s="1673"/>
      <c r="G107" s="1673"/>
      <c r="H107" s="1673"/>
      <c r="I107" s="1673"/>
      <c r="J107" s="1673"/>
      <c r="K107" s="1673"/>
      <c r="L107" s="1673"/>
      <c r="M107" s="1673"/>
      <c r="N107" s="1673"/>
      <c r="O107" s="1673"/>
      <c r="P107" s="1673"/>
      <c r="Q107" s="1673"/>
      <c r="R107" s="1673"/>
      <c r="S107" s="1673"/>
      <c r="T107" s="1673"/>
      <c r="U107" s="1673"/>
      <c r="V107" s="1673"/>
      <c r="W107" s="1673"/>
      <c r="X107" s="1673"/>
      <c r="Y107" s="1673"/>
      <c r="Z107" s="1673"/>
      <c r="AA107" s="1673"/>
      <c r="AB107" s="1673"/>
      <c r="AC107" s="1673"/>
      <c r="AD107" s="1673"/>
      <c r="AE107" s="1673"/>
      <c r="AF107" s="1673"/>
      <c r="AG107" s="1673"/>
      <c r="AH107" s="1673"/>
      <c r="AI107" s="1673"/>
      <c r="AJ107" s="1673"/>
      <c r="AK107" s="1673"/>
      <c r="AL107" s="1673"/>
      <c r="AM107" s="1673"/>
      <c r="AN107" s="1673"/>
      <c r="AO107" s="1673"/>
      <c r="AP107" s="1673"/>
      <c r="AQ107" s="1673"/>
      <c r="AR107" s="1673"/>
      <c r="AS107" s="1673"/>
      <c r="AT107" s="1673"/>
      <c r="AU107" s="1673"/>
      <c r="AV107" s="1673"/>
      <c r="AW107" s="1673"/>
      <c r="AX107" s="1673"/>
      <c r="AY107" s="1673"/>
      <c r="AZ107" s="1673"/>
      <c r="BA107" s="1673"/>
      <c r="BB107" s="1673"/>
      <c r="BC107" s="1673"/>
      <c r="BD107" s="1673"/>
      <c r="BE107" s="1673"/>
      <c r="BF107" s="1674"/>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3" t="s">
        <v>1016</v>
      </c>
      <c r="V109" s="1614"/>
      <c r="W109" s="1614"/>
      <c r="X109" s="1614"/>
      <c r="Y109" s="1614"/>
      <c r="Z109" s="1614" t="s">
        <v>1009</v>
      </c>
      <c r="AA109" s="1614"/>
      <c r="AB109" s="1614"/>
      <c r="AC109" s="1614"/>
      <c r="AD109" s="1614"/>
      <c r="AE109" s="1614"/>
      <c r="AF109" s="1614" t="s">
        <v>1010</v>
      </c>
      <c r="AG109" s="1614"/>
      <c r="AH109" s="1614"/>
      <c r="AI109" s="1614"/>
      <c r="AJ109" s="1614"/>
      <c r="AK109" s="1614"/>
      <c r="AL109" s="1614"/>
      <c r="AM109" s="1614" t="s">
        <v>1013</v>
      </c>
      <c r="AN109" s="1614"/>
      <c r="AO109" s="1614"/>
      <c r="AP109" s="1614"/>
      <c r="AQ109" s="1614"/>
      <c r="AR109" s="1614"/>
      <c r="AS109" s="1615"/>
      <c r="AT109" s="242"/>
      <c r="AU109" s="242"/>
      <c r="AV109" s="242"/>
      <c r="AW109" s="242"/>
      <c r="AX109" s="242"/>
      <c r="AY109" s="242"/>
      <c r="AZ109" s="242"/>
      <c r="BA109" s="242"/>
      <c r="BB109" s="242"/>
      <c r="BC109" s="242"/>
      <c r="BD109" s="242"/>
      <c r="BE109" s="242"/>
      <c r="BF109" s="632"/>
    </row>
    <row r="110" spans="2:58" x14ac:dyDescent="0.25">
      <c r="B110" s="137"/>
      <c r="D110" s="1640" t="s">
        <v>99</v>
      </c>
      <c r="E110" s="1641"/>
      <c r="F110" s="1641"/>
      <c r="G110" s="1641"/>
      <c r="H110" s="1641"/>
      <c r="I110" s="1641"/>
      <c r="J110" s="1641"/>
      <c r="K110" s="1641"/>
      <c r="L110" s="1641"/>
      <c r="M110" s="1641"/>
      <c r="N110" s="1641"/>
      <c r="O110" s="1641"/>
      <c r="P110" s="1641"/>
      <c r="Q110" s="1641"/>
      <c r="R110" s="1641"/>
      <c r="S110" s="1641"/>
      <c r="T110" s="1642"/>
      <c r="U110" s="1631" t="str">
        <f>IF('PIM Model'!$B$10=0,"",'PIM Model'!$B$10)</f>
        <v/>
      </c>
      <c r="V110" s="1632"/>
      <c r="W110" s="1632"/>
      <c r="X110" s="1632"/>
      <c r="Y110" s="1632"/>
      <c r="Z110" s="1632" t="str">
        <f>'PIM Model'!$AF$10</f>
        <v/>
      </c>
      <c r="AA110" s="1632"/>
      <c r="AB110" s="1632"/>
      <c r="AC110" s="1632"/>
      <c r="AD110" s="1632"/>
      <c r="AE110" s="1632"/>
      <c r="AF110" s="1616" t="str">
        <f>'PIM Model'!$AG$10</f>
        <v/>
      </c>
      <c r="AG110" s="1617"/>
      <c r="AH110" s="1617"/>
      <c r="AI110" s="1617"/>
      <c r="AJ110" s="1617"/>
      <c r="AK110" s="1617"/>
      <c r="AL110" s="1624"/>
      <c r="AM110" s="1616" t="str">
        <f>'PIM Model'!$AH$10</f>
        <v/>
      </c>
      <c r="AN110" s="1617"/>
      <c r="AO110" s="1617"/>
      <c r="AP110" s="1617"/>
      <c r="AQ110" s="1617"/>
      <c r="AR110" s="1617"/>
      <c r="AS110" s="1618"/>
      <c r="BF110" s="138"/>
    </row>
    <row r="111" spans="2:58" x14ac:dyDescent="0.25">
      <c r="B111" s="137"/>
      <c r="D111" s="1627" t="s">
        <v>103</v>
      </c>
      <c r="E111" s="1628"/>
      <c r="F111" s="1628"/>
      <c r="G111" s="1628"/>
      <c r="H111" s="1628"/>
      <c r="I111" s="1628"/>
      <c r="J111" s="1628"/>
      <c r="K111" s="1628"/>
      <c r="L111" s="1628"/>
      <c r="M111" s="1628"/>
      <c r="N111" s="1628"/>
      <c r="O111" s="1628"/>
      <c r="P111" s="1628"/>
      <c r="Q111" s="1628"/>
      <c r="R111" s="1628"/>
      <c r="S111" s="1628"/>
      <c r="T111" s="1629"/>
      <c r="U111" s="1626" t="str">
        <f>IF('PIM Model'!$B$11=0,"",'PIM Model'!$B$11)</f>
        <v/>
      </c>
      <c r="V111" s="1551"/>
      <c r="W111" s="1551"/>
      <c r="X111" s="1551"/>
      <c r="Y111" s="1551"/>
      <c r="Z111" s="1551" t="str">
        <f>'PIM Model'!$AF$11</f>
        <v/>
      </c>
      <c r="AA111" s="1551"/>
      <c r="AB111" s="1551"/>
      <c r="AC111" s="1551"/>
      <c r="AD111" s="1551"/>
      <c r="AE111" s="1551"/>
      <c r="AF111" s="1619" t="str">
        <f>'PIM Model'!$AG$11</f>
        <v/>
      </c>
      <c r="AG111" s="1620"/>
      <c r="AH111" s="1620"/>
      <c r="AI111" s="1620"/>
      <c r="AJ111" s="1620"/>
      <c r="AK111" s="1620"/>
      <c r="AL111" s="1625"/>
      <c r="AM111" s="1619" t="str">
        <f>'PIM Model'!$AH$11</f>
        <v/>
      </c>
      <c r="AN111" s="1620"/>
      <c r="AO111" s="1620"/>
      <c r="AP111" s="1620"/>
      <c r="AQ111" s="1620"/>
      <c r="AR111" s="1620"/>
      <c r="AS111" s="1621"/>
      <c r="BF111" s="138"/>
    </row>
    <row r="112" spans="2:58" x14ac:dyDescent="0.25">
      <c r="B112" s="137"/>
      <c r="D112" s="1627" t="s">
        <v>1390</v>
      </c>
      <c r="E112" s="1628"/>
      <c r="F112" s="1628"/>
      <c r="G112" s="1628"/>
      <c r="H112" s="1628"/>
      <c r="I112" s="1628"/>
      <c r="J112" s="1628"/>
      <c r="K112" s="1628"/>
      <c r="L112" s="1628"/>
      <c r="M112" s="1628"/>
      <c r="N112" s="1628"/>
      <c r="O112" s="1628"/>
      <c r="P112" s="1628"/>
      <c r="Q112" s="1628"/>
      <c r="R112" s="1628"/>
      <c r="S112" s="1628"/>
      <c r="T112" s="1629"/>
      <c r="U112" s="1626" t="str">
        <f>IF('PIM Model'!$B$12=0,"",'PIM Model'!$B$12)</f>
        <v/>
      </c>
      <c r="V112" s="1551"/>
      <c r="W112" s="1551"/>
      <c r="X112" s="1551"/>
      <c r="Y112" s="1551"/>
      <c r="Z112" s="1551" t="str">
        <f>'PIM Model'!$AF$12</f>
        <v/>
      </c>
      <c r="AA112" s="1551"/>
      <c r="AB112" s="1551"/>
      <c r="AC112" s="1551"/>
      <c r="AD112" s="1551"/>
      <c r="AE112" s="1551"/>
      <c r="AF112" s="1619" t="str">
        <f>'PIM Model'!$AG$12</f>
        <v/>
      </c>
      <c r="AG112" s="1620"/>
      <c r="AH112" s="1620"/>
      <c r="AI112" s="1620"/>
      <c r="AJ112" s="1620"/>
      <c r="AK112" s="1620"/>
      <c r="AL112" s="1625"/>
      <c r="AM112" s="1619" t="str">
        <f>'PIM Model'!$AH$12</f>
        <v/>
      </c>
      <c r="AN112" s="1620"/>
      <c r="AO112" s="1620"/>
      <c r="AP112" s="1620"/>
      <c r="AQ112" s="1620"/>
      <c r="AR112" s="1620"/>
      <c r="AS112" s="1621"/>
      <c r="BF112" s="138"/>
    </row>
    <row r="113" spans="2:58" x14ac:dyDescent="0.25">
      <c r="B113" s="137"/>
      <c r="D113" s="1627" t="s">
        <v>102</v>
      </c>
      <c r="E113" s="1628"/>
      <c r="F113" s="1628"/>
      <c r="G113" s="1628"/>
      <c r="H113" s="1628"/>
      <c r="I113" s="1628"/>
      <c r="J113" s="1628"/>
      <c r="K113" s="1628"/>
      <c r="L113" s="1628"/>
      <c r="M113" s="1628"/>
      <c r="N113" s="1628"/>
      <c r="O113" s="1628"/>
      <c r="P113" s="1628"/>
      <c r="Q113" s="1628"/>
      <c r="R113" s="1628"/>
      <c r="S113" s="1628"/>
      <c r="T113" s="1629"/>
      <c r="U113" s="1626" t="str">
        <f>IF('PIM Model'!$B$13=0,"",'PIM Model'!$B$13)</f>
        <v/>
      </c>
      <c r="V113" s="1551"/>
      <c r="W113" s="1551"/>
      <c r="X113" s="1551"/>
      <c r="Y113" s="1551"/>
      <c r="Z113" s="1551" t="str">
        <f>'PIM Model'!$AF$13</f>
        <v/>
      </c>
      <c r="AA113" s="1551"/>
      <c r="AB113" s="1551"/>
      <c r="AC113" s="1551"/>
      <c r="AD113" s="1551"/>
      <c r="AE113" s="1551"/>
      <c r="AF113" s="1619" t="str">
        <f>'PIM Model'!$AG$13</f>
        <v/>
      </c>
      <c r="AG113" s="1620"/>
      <c r="AH113" s="1620"/>
      <c r="AI113" s="1620"/>
      <c r="AJ113" s="1620"/>
      <c r="AK113" s="1620"/>
      <c r="AL113" s="1625"/>
      <c r="AM113" s="1619" t="str">
        <f>'PIM Model'!$AH$13</f>
        <v/>
      </c>
      <c r="AN113" s="1620"/>
      <c r="AO113" s="1620"/>
      <c r="AP113" s="1620"/>
      <c r="AQ113" s="1620"/>
      <c r="AR113" s="1620"/>
      <c r="AS113" s="1621"/>
      <c r="BF113" s="138"/>
    </row>
    <row r="114" spans="2:58" x14ac:dyDescent="0.25">
      <c r="B114" s="137"/>
      <c r="D114" s="1627" t="s">
        <v>100</v>
      </c>
      <c r="E114" s="1628"/>
      <c r="F114" s="1628"/>
      <c r="G114" s="1628"/>
      <c r="H114" s="1628"/>
      <c r="I114" s="1628"/>
      <c r="J114" s="1628"/>
      <c r="K114" s="1628"/>
      <c r="L114" s="1628"/>
      <c r="M114" s="1628"/>
      <c r="N114" s="1628"/>
      <c r="O114" s="1628"/>
      <c r="P114" s="1628"/>
      <c r="Q114" s="1628"/>
      <c r="R114" s="1628"/>
      <c r="S114" s="1628"/>
      <c r="T114" s="1629"/>
      <c r="U114" s="1626" t="str">
        <f>IF('PIM Model'!$B$14=0,"",'PIM Model'!$B$14)</f>
        <v/>
      </c>
      <c r="V114" s="1551"/>
      <c r="W114" s="1551"/>
      <c r="X114" s="1551"/>
      <c r="Y114" s="1551"/>
      <c r="Z114" s="1551" t="str">
        <f>'PIM Model'!$AF$14</f>
        <v/>
      </c>
      <c r="AA114" s="1551"/>
      <c r="AB114" s="1551"/>
      <c r="AC114" s="1551"/>
      <c r="AD114" s="1551"/>
      <c r="AE114" s="1551"/>
      <c r="AF114" s="1619" t="str">
        <f>'PIM Model'!$AG$14</f>
        <v/>
      </c>
      <c r="AG114" s="1620"/>
      <c r="AH114" s="1620"/>
      <c r="AI114" s="1620"/>
      <c r="AJ114" s="1620"/>
      <c r="AK114" s="1620"/>
      <c r="AL114" s="1625"/>
      <c r="AM114" s="1619" t="str">
        <f>'PIM Model'!$AH$14</f>
        <v/>
      </c>
      <c r="AN114" s="1620"/>
      <c r="AO114" s="1620"/>
      <c r="AP114" s="1620"/>
      <c r="AQ114" s="1620"/>
      <c r="AR114" s="1620"/>
      <c r="AS114" s="1621"/>
      <c r="BF114" s="138"/>
    </row>
    <row r="115" spans="2:58" x14ac:dyDescent="0.25">
      <c r="B115" s="137"/>
      <c r="D115" s="1627" t="s">
        <v>104</v>
      </c>
      <c r="E115" s="1628"/>
      <c r="F115" s="1628"/>
      <c r="G115" s="1628"/>
      <c r="H115" s="1628"/>
      <c r="I115" s="1628"/>
      <c r="J115" s="1628"/>
      <c r="K115" s="1628"/>
      <c r="L115" s="1628"/>
      <c r="M115" s="1628"/>
      <c r="N115" s="1628"/>
      <c r="O115" s="1628"/>
      <c r="P115" s="1628"/>
      <c r="Q115" s="1628"/>
      <c r="R115" s="1628"/>
      <c r="S115" s="1628"/>
      <c r="T115" s="1629"/>
      <c r="U115" s="1626" t="str">
        <f>IF('PIM Model'!$B$15=0,"",'PIM Model'!$B$15)</f>
        <v/>
      </c>
      <c r="V115" s="1551"/>
      <c r="W115" s="1551"/>
      <c r="X115" s="1551"/>
      <c r="Y115" s="1551"/>
      <c r="Z115" s="1551" t="str">
        <f>'PIM Model'!$AF$15</f>
        <v/>
      </c>
      <c r="AA115" s="1551"/>
      <c r="AB115" s="1551"/>
      <c r="AC115" s="1551"/>
      <c r="AD115" s="1551"/>
      <c r="AE115" s="1551"/>
      <c r="AF115" s="1619" t="str">
        <f>'PIM Model'!$AG$15</f>
        <v/>
      </c>
      <c r="AG115" s="1620"/>
      <c r="AH115" s="1620"/>
      <c r="AI115" s="1620"/>
      <c r="AJ115" s="1620"/>
      <c r="AK115" s="1620"/>
      <c r="AL115" s="1625"/>
      <c r="AM115" s="1619" t="str">
        <f>'PIM Model'!$AH$15</f>
        <v/>
      </c>
      <c r="AN115" s="1620"/>
      <c r="AO115" s="1620"/>
      <c r="AP115" s="1620"/>
      <c r="AQ115" s="1620"/>
      <c r="AR115" s="1620"/>
      <c r="AS115" s="1621"/>
      <c r="BF115" s="138"/>
    </row>
    <row r="116" spans="2:58" x14ac:dyDescent="0.25">
      <c r="B116" s="137"/>
      <c r="D116" s="1627" t="s">
        <v>98</v>
      </c>
      <c r="E116" s="1628"/>
      <c r="F116" s="1628"/>
      <c r="G116" s="1628"/>
      <c r="H116" s="1628"/>
      <c r="I116" s="1628"/>
      <c r="J116" s="1628"/>
      <c r="K116" s="1628"/>
      <c r="L116" s="1628"/>
      <c r="M116" s="1628"/>
      <c r="N116" s="1628"/>
      <c r="O116" s="1628"/>
      <c r="P116" s="1628"/>
      <c r="Q116" s="1628"/>
      <c r="R116" s="1628"/>
      <c r="S116" s="1628"/>
      <c r="T116" s="1629"/>
      <c r="U116" s="1626" t="str">
        <f>IF('PIM Model'!$B$16=0,"",'PIM Model'!$B$16)</f>
        <v/>
      </c>
      <c r="V116" s="1551"/>
      <c r="W116" s="1551"/>
      <c r="X116" s="1551"/>
      <c r="Y116" s="1551"/>
      <c r="Z116" s="1551" t="str">
        <f>'PIM Model'!$AF$16</f>
        <v/>
      </c>
      <c r="AA116" s="1551"/>
      <c r="AB116" s="1551"/>
      <c r="AC116" s="1551"/>
      <c r="AD116" s="1551"/>
      <c r="AE116" s="1551"/>
      <c r="AF116" s="1619" t="str">
        <f>'PIM Model'!$AG$16</f>
        <v/>
      </c>
      <c r="AG116" s="1620"/>
      <c r="AH116" s="1620"/>
      <c r="AI116" s="1620"/>
      <c r="AJ116" s="1620"/>
      <c r="AK116" s="1620"/>
      <c r="AL116" s="1625"/>
      <c r="AM116" s="1619" t="str">
        <f>'PIM Model'!$AH$16</f>
        <v/>
      </c>
      <c r="AN116" s="1620"/>
      <c r="AO116" s="1620"/>
      <c r="AP116" s="1620"/>
      <c r="AQ116" s="1620"/>
      <c r="AR116" s="1620"/>
      <c r="AS116" s="1621"/>
      <c r="BF116" s="138"/>
    </row>
    <row r="117" spans="2:58" x14ac:dyDescent="0.25">
      <c r="B117" s="137"/>
      <c r="D117" s="1627" t="s">
        <v>95</v>
      </c>
      <c r="E117" s="1628"/>
      <c r="F117" s="1628"/>
      <c r="G117" s="1628"/>
      <c r="H117" s="1628"/>
      <c r="I117" s="1628"/>
      <c r="J117" s="1628"/>
      <c r="K117" s="1628"/>
      <c r="L117" s="1628"/>
      <c r="M117" s="1628"/>
      <c r="N117" s="1628"/>
      <c r="O117" s="1628"/>
      <c r="P117" s="1628"/>
      <c r="Q117" s="1628"/>
      <c r="R117" s="1628"/>
      <c r="S117" s="1628"/>
      <c r="T117" s="1629"/>
      <c r="U117" s="1626" t="str">
        <f>IF('PIM Model'!$B$17=0,"",'PIM Model'!$B$17)</f>
        <v/>
      </c>
      <c r="V117" s="1551"/>
      <c r="W117" s="1551"/>
      <c r="X117" s="1551"/>
      <c r="Y117" s="1551"/>
      <c r="Z117" s="1551" t="str">
        <f>'PIM Model'!$AF$17</f>
        <v/>
      </c>
      <c r="AA117" s="1551"/>
      <c r="AB117" s="1551"/>
      <c r="AC117" s="1551"/>
      <c r="AD117" s="1551"/>
      <c r="AE117" s="1551"/>
      <c r="AF117" s="1619" t="str">
        <f>'PIM Model'!$AG$17</f>
        <v/>
      </c>
      <c r="AG117" s="1620"/>
      <c r="AH117" s="1620"/>
      <c r="AI117" s="1620"/>
      <c r="AJ117" s="1620"/>
      <c r="AK117" s="1620"/>
      <c r="AL117" s="1625"/>
      <c r="AM117" s="1619" t="str">
        <f>'PIM Model'!$AH$17</f>
        <v/>
      </c>
      <c r="AN117" s="1620"/>
      <c r="AO117" s="1620"/>
      <c r="AP117" s="1620"/>
      <c r="AQ117" s="1620"/>
      <c r="AR117" s="1620"/>
      <c r="AS117" s="1621"/>
      <c r="BF117" s="138"/>
    </row>
    <row r="118" spans="2:58" x14ac:dyDescent="0.25">
      <c r="B118" s="137"/>
      <c r="D118" s="1627" t="s">
        <v>96</v>
      </c>
      <c r="E118" s="1628"/>
      <c r="F118" s="1628"/>
      <c r="G118" s="1628"/>
      <c r="H118" s="1628"/>
      <c r="I118" s="1628"/>
      <c r="J118" s="1628"/>
      <c r="K118" s="1628"/>
      <c r="L118" s="1628"/>
      <c r="M118" s="1628"/>
      <c r="N118" s="1628"/>
      <c r="O118" s="1628"/>
      <c r="P118" s="1628"/>
      <c r="Q118" s="1628"/>
      <c r="R118" s="1628"/>
      <c r="S118" s="1628"/>
      <c r="T118" s="1629"/>
      <c r="U118" s="1626" t="str">
        <f>IF('PIM Model'!$B$18=0,"",'PIM Model'!$B$18)</f>
        <v/>
      </c>
      <c r="V118" s="1551"/>
      <c r="W118" s="1551"/>
      <c r="X118" s="1551"/>
      <c r="Y118" s="1551"/>
      <c r="Z118" s="1551" t="str">
        <f>'PIM Model'!$AF$18</f>
        <v/>
      </c>
      <c r="AA118" s="1551"/>
      <c r="AB118" s="1551"/>
      <c r="AC118" s="1551"/>
      <c r="AD118" s="1551"/>
      <c r="AE118" s="1551"/>
      <c r="AF118" s="1619" t="str">
        <f>'PIM Model'!$AG$18</f>
        <v/>
      </c>
      <c r="AG118" s="1620"/>
      <c r="AH118" s="1620"/>
      <c r="AI118" s="1620"/>
      <c r="AJ118" s="1620"/>
      <c r="AK118" s="1620"/>
      <c r="AL118" s="1625"/>
      <c r="AM118" s="1619" t="str">
        <f>'PIM Model'!$AH$18</f>
        <v/>
      </c>
      <c r="AN118" s="1620"/>
      <c r="AO118" s="1620"/>
      <c r="AP118" s="1620"/>
      <c r="AQ118" s="1620"/>
      <c r="AR118" s="1620"/>
      <c r="AS118" s="1621"/>
      <c r="BF118" s="138"/>
    </row>
    <row r="119" spans="2:58" x14ac:dyDescent="0.25">
      <c r="B119" s="137"/>
      <c r="D119" s="1627" t="s">
        <v>101</v>
      </c>
      <c r="E119" s="1628"/>
      <c r="F119" s="1628"/>
      <c r="G119" s="1628"/>
      <c r="H119" s="1628"/>
      <c r="I119" s="1628"/>
      <c r="J119" s="1628"/>
      <c r="K119" s="1628"/>
      <c r="L119" s="1628"/>
      <c r="M119" s="1628"/>
      <c r="N119" s="1628"/>
      <c r="O119" s="1628"/>
      <c r="P119" s="1628"/>
      <c r="Q119" s="1628"/>
      <c r="R119" s="1628"/>
      <c r="S119" s="1628"/>
      <c r="T119" s="1629"/>
      <c r="U119" s="1626" t="str">
        <f>IF('PIM Model'!$B$19=0,"",'PIM Model'!$B$19)</f>
        <v/>
      </c>
      <c r="V119" s="1551"/>
      <c r="W119" s="1551"/>
      <c r="X119" s="1551"/>
      <c r="Y119" s="1551"/>
      <c r="Z119" s="1551" t="str">
        <f>'PIM Model'!$AF$19</f>
        <v/>
      </c>
      <c r="AA119" s="1551"/>
      <c r="AB119" s="1551"/>
      <c r="AC119" s="1551"/>
      <c r="AD119" s="1551"/>
      <c r="AE119" s="1551"/>
      <c r="AF119" s="1619" t="str">
        <f>'PIM Model'!$AG$19</f>
        <v/>
      </c>
      <c r="AG119" s="1620"/>
      <c r="AH119" s="1620"/>
      <c r="AI119" s="1620"/>
      <c r="AJ119" s="1620"/>
      <c r="AK119" s="1620"/>
      <c r="AL119" s="1625"/>
      <c r="AM119" s="1619" t="str">
        <f>'PIM Model'!$AH$19</f>
        <v/>
      </c>
      <c r="AN119" s="1620"/>
      <c r="AO119" s="1620"/>
      <c r="AP119" s="1620"/>
      <c r="AQ119" s="1620"/>
      <c r="AR119" s="1620"/>
      <c r="AS119" s="1621"/>
      <c r="BF119" s="138"/>
    </row>
    <row r="120" spans="2:58" x14ac:dyDescent="0.25">
      <c r="B120" s="137"/>
      <c r="D120" s="1627" t="s">
        <v>97</v>
      </c>
      <c r="E120" s="1628"/>
      <c r="F120" s="1628"/>
      <c r="G120" s="1628"/>
      <c r="H120" s="1628"/>
      <c r="I120" s="1628"/>
      <c r="J120" s="1628"/>
      <c r="K120" s="1628"/>
      <c r="L120" s="1628"/>
      <c r="M120" s="1628"/>
      <c r="N120" s="1628"/>
      <c r="O120" s="1628"/>
      <c r="P120" s="1628"/>
      <c r="Q120" s="1628"/>
      <c r="R120" s="1628"/>
      <c r="S120" s="1628"/>
      <c r="T120" s="1629"/>
      <c r="U120" s="1626" t="str">
        <f>IF('PIM Model'!$B$20=0,"",'PIM Model'!$B$20)</f>
        <v/>
      </c>
      <c r="V120" s="1551"/>
      <c r="W120" s="1551"/>
      <c r="X120" s="1551"/>
      <c r="Y120" s="1551"/>
      <c r="Z120" s="1551" t="str">
        <f>'PIM Model'!$AF$20</f>
        <v/>
      </c>
      <c r="AA120" s="1551"/>
      <c r="AB120" s="1551"/>
      <c r="AC120" s="1551"/>
      <c r="AD120" s="1551"/>
      <c r="AE120" s="1551"/>
      <c r="AF120" s="1619" t="str">
        <f>'PIM Model'!$AG$20</f>
        <v/>
      </c>
      <c r="AG120" s="1620"/>
      <c r="AH120" s="1620"/>
      <c r="AI120" s="1620"/>
      <c r="AJ120" s="1620"/>
      <c r="AK120" s="1620"/>
      <c r="AL120" s="1625"/>
      <c r="AM120" s="1619" t="str">
        <f>'PIM Model'!$AH$20</f>
        <v/>
      </c>
      <c r="AN120" s="1620"/>
      <c r="AO120" s="1620"/>
      <c r="AP120" s="1620"/>
      <c r="AQ120" s="1620"/>
      <c r="AR120" s="1620"/>
      <c r="AS120" s="1621"/>
      <c r="BF120" s="138"/>
    </row>
    <row r="121" spans="2:58" x14ac:dyDescent="0.25">
      <c r="B121" s="137"/>
      <c r="D121" s="1627" t="s">
        <v>93</v>
      </c>
      <c r="E121" s="1628"/>
      <c r="F121" s="1628"/>
      <c r="G121" s="1628"/>
      <c r="H121" s="1628"/>
      <c r="I121" s="1628"/>
      <c r="J121" s="1628"/>
      <c r="K121" s="1628"/>
      <c r="L121" s="1628"/>
      <c r="M121" s="1628"/>
      <c r="N121" s="1628"/>
      <c r="O121" s="1628"/>
      <c r="P121" s="1628"/>
      <c r="Q121" s="1628"/>
      <c r="R121" s="1628"/>
      <c r="S121" s="1628"/>
      <c r="T121" s="1629"/>
      <c r="U121" s="1626" t="str">
        <f>IF('PIM Model'!$B$21=0,"",'PIM Model'!$B$21)</f>
        <v/>
      </c>
      <c r="V121" s="1551"/>
      <c r="W121" s="1551"/>
      <c r="X121" s="1551"/>
      <c r="Y121" s="1551"/>
      <c r="Z121" s="1551" t="str">
        <f>'PIM Model'!$AF$21</f>
        <v/>
      </c>
      <c r="AA121" s="1551"/>
      <c r="AB121" s="1551"/>
      <c r="AC121" s="1551"/>
      <c r="AD121" s="1551"/>
      <c r="AE121" s="1551"/>
      <c r="AF121" s="1619" t="str">
        <f>'PIM Model'!$AG$21</f>
        <v/>
      </c>
      <c r="AG121" s="1620"/>
      <c r="AH121" s="1620"/>
      <c r="AI121" s="1620"/>
      <c r="AJ121" s="1620"/>
      <c r="AK121" s="1620"/>
      <c r="AL121" s="1625"/>
      <c r="AM121" s="1619" t="str">
        <f>'PIM Model'!$AH$21</f>
        <v/>
      </c>
      <c r="AN121" s="1620"/>
      <c r="AO121" s="1620"/>
      <c r="AP121" s="1620"/>
      <c r="AQ121" s="1620"/>
      <c r="AR121" s="1620"/>
      <c r="AS121" s="1621"/>
      <c r="BF121" s="138"/>
    </row>
    <row r="122" spans="2:58" x14ac:dyDescent="0.25">
      <c r="B122" s="137"/>
      <c r="D122" s="1627" t="s">
        <v>105</v>
      </c>
      <c r="E122" s="1628"/>
      <c r="F122" s="1628"/>
      <c r="G122" s="1628"/>
      <c r="H122" s="1628"/>
      <c r="I122" s="1628"/>
      <c r="J122" s="1628"/>
      <c r="K122" s="1628"/>
      <c r="L122" s="1628"/>
      <c r="M122" s="1628"/>
      <c r="N122" s="1628"/>
      <c r="O122" s="1628"/>
      <c r="P122" s="1628"/>
      <c r="Q122" s="1628"/>
      <c r="R122" s="1628"/>
      <c r="S122" s="1628"/>
      <c r="T122" s="1629"/>
      <c r="U122" s="1626" t="str">
        <f>IF('PIM Model'!$B$22=0,"",'PIM Model'!$B$22)</f>
        <v/>
      </c>
      <c r="V122" s="1551"/>
      <c r="W122" s="1551"/>
      <c r="X122" s="1551"/>
      <c r="Y122" s="1551"/>
      <c r="Z122" s="1551" t="str">
        <f>'PIM Model'!$AF$22</f>
        <v/>
      </c>
      <c r="AA122" s="1551"/>
      <c r="AB122" s="1551"/>
      <c r="AC122" s="1551"/>
      <c r="AD122" s="1551"/>
      <c r="AE122" s="1551"/>
      <c r="AF122" s="1619" t="str">
        <f>'PIM Model'!$AG$22</f>
        <v/>
      </c>
      <c r="AG122" s="1620"/>
      <c r="AH122" s="1620"/>
      <c r="AI122" s="1620"/>
      <c r="AJ122" s="1620"/>
      <c r="AK122" s="1620"/>
      <c r="AL122" s="1625"/>
      <c r="AM122" s="1619" t="str">
        <f>'PIM Model'!$AH$22</f>
        <v/>
      </c>
      <c r="AN122" s="1620"/>
      <c r="AO122" s="1620"/>
      <c r="AP122" s="1620"/>
      <c r="AQ122" s="1620"/>
      <c r="AR122" s="1620"/>
      <c r="AS122" s="1621"/>
      <c r="BF122" s="138"/>
    </row>
    <row r="123" spans="2:58" x14ac:dyDescent="0.25">
      <c r="B123" s="137"/>
      <c r="D123" s="1627" t="s">
        <v>92</v>
      </c>
      <c r="E123" s="1628"/>
      <c r="F123" s="1628"/>
      <c r="G123" s="1628"/>
      <c r="H123" s="1628"/>
      <c r="I123" s="1628"/>
      <c r="J123" s="1628"/>
      <c r="K123" s="1628"/>
      <c r="L123" s="1628"/>
      <c r="M123" s="1628"/>
      <c r="N123" s="1628"/>
      <c r="O123" s="1628"/>
      <c r="P123" s="1628"/>
      <c r="Q123" s="1628"/>
      <c r="R123" s="1628"/>
      <c r="S123" s="1628"/>
      <c r="T123" s="1629"/>
      <c r="U123" s="1626" t="str">
        <f>IF('PIM Model'!$B$23=0,"",'PIM Model'!$B$23)</f>
        <v/>
      </c>
      <c r="V123" s="1551"/>
      <c r="W123" s="1551"/>
      <c r="X123" s="1551"/>
      <c r="Y123" s="1551"/>
      <c r="Z123" s="1551" t="str">
        <f>'PIM Model'!$AF$23</f>
        <v/>
      </c>
      <c r="AA123" s="1551"/>
      <c r="AB123" s="1551"/>
      <c r="AC123" s="1551"/>
      <c r="AD123" s="1551"/>
      <c r="AE123" s="1551"/>
      <c r="AF123" s="1619" t="str">
        <f>'PIM Model'!$AG$23</f>
        <v/>
      </c>
      <c r="AG123" s="1620"/>
      <c r="AH123" s="1620"/>
      <c r="AI123" s="1620"/>
      <c r="AJ123" s="1620"/>
      <c r="AK123" s="1620"/>
      <c r="AL123" s="1625"/>
      <c r="AM123" s="1619" t="str">
        <f>'PIM Model'!$AH$23</f>
        <v/>
      </c>
      <c r="AN123" s="1620"/>
      <c r="AO123" s="1620"/>
      <c r="AP123" s="1620"/>
      <c r="AQ123" s="1620"/>
      <c r="AR123" s="1620"/>
      <c r="AS123" s="1621"/>
      <c r="BF123" s="138"/>
    </row>
    <row r="124" spans="2:58" x14ac:dyDescent="0.25">
      <c r="B124" s="137"/>
      <c r="D124" s="1627" t="s">
        <v>91</v>
      </c>
      <c r="E124" s="1628"/>
      <c r="F124" s="1628"/>
      <c r="G124" s="1628"/>
      <c r="H124" s="1628"/>
      <c r="I124" s="1628"/>
      <c r="J124" s="1628"/>
      <c r="K124" s="1628"/>
      <c r="L124" s="1628"/>
      <c r="M124" s="1628"/>
      <c r="N124" s="1628"/>
      <c r="O124" s="1628"/>
      <c r="P124" s="1628"/>
      <c r="Q124" s="1628"/>
      <c r="R124" s="1628"/>
      <c r="S124" s="1628"/>
      <c r="T124" s="1629"/>
      <c r="U124" s="1626" t="str">
        <f>IF('PIM Model'!$B$24=0,"",'PIM Model'!$B$24)</f>
        <v/>
      </c>
      <c r="V124" s="1551"/>
      <c r="W124" s="1551"/>
      <c r="X124" s="1551"/>
      <c r="Y124" s="1551"/>
      <c r="Z124" s="1551" t="str">
        <f>'PIM Model'!$AF$24</f>
        <v/>
      </c>
      <c r="AA124" s="1551"/>
      <c r="AB124" s="1551"/>
      <c r="AC124" s="1551"/>
      <c r="AD124" s="1551"/>
      <c r="AE124" s="1551"/>
      <c r="AF124" s="1619" t="str">
        <f>'PIM Model'!$AG$24</f>
        <v/>
      </c>
      <c r="AG124" s="1620"/>
      <c r="AH124" s="1620"/>
      <c r="AI124" s="1620"/>
      <c r="AJ124" s="1620"/>
      <c r="AK124" s="1620"/>
      <c r="AL124" s="1625"/>
      <c r="AM124" s="1619" t="str">
        <f>'PIM Model'!$AH$24</f>
        <v/>
      </c>
      <c r="AN124" s="1620"/>
      <c r="AO124" s="1620"/>
      <c r="AP124" s="1620"/>
      <c r="AQ124" s="1620"/>
      <c r="AR124" s="1620"/>
      <c r="AS124" s="1621"/>
      <c r="BF124" s="138"/>
    </row>
    <row r="125" spans="2:58" x14ac:dyDescent="0.25">
      <c r="B125" s="137"/>
      <c r="D125" s="1627" t="s">
        <v>90</v>
      </c>
      <c r="E125" s="1628"/>
      <c r="F125" s="1628"/>
      <c r="G125" s="1628"/>
      <c r="H125" s="1628"/>
      <c r="I125" s="1628"/>
      <c r="J125" s="1628"/>
      <c r="K125" s="1628"/>
      <c r="L125" s="1628"/>
      <c r="M125" s="1628"/>
      <c r="N125" s="1628"/>
      <c r="O125" s="1628"/>
      <c r="P125" s="1628"/>
      <c r="Q125" s="1628"/>
      <c r="R125" s="1628"/>
      <c r="S125" s="1628"/>
      <c r="T125" s="1629"/>
      <c r="U125" s="1626" t="str">
        <f>IF('PIM Model'!$B$25=0,"",'PIM Model'!$B$25)</f>
        <v/>
      </c>
      <c r="V125" s="1551"/>
      <c r="W125" s="1551"/>
      <c r="X125" s="1551"/>
      <c r="Y125" s="1551"/>
      <c r="Z125" s="1551" t="str">
        <f>'PIM Model'!$AF$25</f>
        <v/>
      </c>
      <c r="AA125" s="1551"/>
      <c r="AB125" s="1551"/>
      <c r="AC125" s="1551"/>
      <c r="AD125" s="1551"/>
      <c r="AE125" s="1551"/>
      <c r="AF125" s="1619" t="str">
        <f>'PIM Model'!$AG$25</f>
        <v/>
      </c>
      <c r="AG125" s="1620"/>
      <c r="AH125" s="1620"/>
      <c r="AI125" s="1620"/>
      <c r="AJ125" s="1620"/>
      <c r="AK125" s="1620"/>
      <c r="AL125" s="1625"/>
      <c r="AM125" s="1619" t="str">
        <f>'PIM Model'!$AH$25</f>
        <v/>
      </c>
      <c r="AN125" s="1620"/>
      <c r="AO125" s="1620"/>
      <c r="AP125" s="1620"/>
      <c r="AQ125" s="1620"/>
      <c r="AR125" s="1620"/>
      <c r="AS125" s="1621"/>
      <c r="BF125" s="138"/>
    </row>
    <row r="126" spans="2:58" x14ac:dyDescent="0.25">
      <c r="B126" s="137"/>
      <c r="D126" s="1627" t="s">
        <v>89</v>
      </c>
      <c r="E126" s="1628"/>
      <c r="F126" s="1628"/>
      <c r="G126" s="1628"/>
      <c r="H126" s="1628"/>
      <c r="I126" s="1628"/>
      <c r="J126" s="1628"/>
      <c r="K126" s="1628"/>
      <c r="L126" s="1628"/>
      <c r="M126" s="1628"/>
      <c r="N126" s="1628"/>
      <c r="O126" s="1628"/>
      <c r="P126" s="1628"/>
      <c r="Q126" s="1628"/>
      <c r="R126" s="1628"/>
      <c r="S126" s="1628"/>
      <c r="T126" s="1629"/>
      <c r="U126" s="1626" t="str">
        <f>IF('PIM Model'!$B$26=0,"",'PIM Model'!$B$26)</f>
        <v/>
      </c>
      <c r="V126" s="1551"/>
      <c r="W126" s="1551"/>
      <c r="X126" s="1551"/>
      <c r="Y126" s="1551"/>
      <c r="Z126" s="1551" t="str">
        <f>'PIM Model'!$AF$26</f>
        <v/>
      </c>
      <c r="AA126" s="1551"/>
      <c r="AB126" s="1551"/>
      <c r="AC126" s="1551"/>
      <c r="AD126" s="1551"/>
      <c r="AE126" s="1551"/>
      <c r="AF126" s="1619" t="str">
        <f>'PIM Model'!$AG$26</f>
        <v/>
      </c>
      <c r="AG126" s="1620"/>
      <c r="AH126" s="1620"/>
      <c r="AI126" s="1620"/>
      <c r="AJ126" s="1620"/>
      <c r="AK126" s="1620"/>
      <c r="AL126" s="1625"/>
      <c r="AM126" s="1619" t="str">
        <f>'PIM Model'!$AH$26</f>
        <v/>
      </c>
      <c r="AN126" s="1620"/>
      <c r="AO126" s="1620"/>
      <c r="AP126" s="1620"/>
      <c r="AQ126" s="1620"/>
      <c r="AR126" s="1620"/>
      <c r="AS126" s="1621"/>
      <c r="BF126" s="138"/>
    </row>
    <row r="127" spans="2:58" x14ac:dyDescent="0.25">
      <c r="B127" s="137"/>
      <c r="D127" s="1627" t="s">
        <v>94</v>
      </c>
      <c r="E127" s="1628"/>
      <c r="F127" s="1628"/>
      <c r="G127" s="1628"/>
      <c r="H127" s="1628"/>
      <c r="I127" s="1628"/>
      <c r="J127" s="1628"/>
      <c r="K127" s="1628"/>
      <c r="L127" s="1628"/>
      <c r="M127" s="1628"/>
      <c r="N127" s="1628"/>
      <c r="O127" s="1628"/>
      <c r="P127" s="1628"/>
      <c r="Q127" s="1628"/>
      <c r="R127" s="1628"/>
      <c r="S127" s="1628"/>
      <c r="T127" s="1629"/>
      <c r="U127" s="1626" t="str">
        <f>IF('PIM Model'!$B$27=0,"",'PIM Model'!$B$27)</f>
        <v/>
      </c>
      <c r="V127" s="1551"/>
      <c r="W127" s="1551"/>
      <c r="X127" s="1551"/>
      <c r="Y127" s="1551"/>
      <c r="Z127" s="1551" t="str">
        <f>'PIM Model'!$AF$27</f>
        <v/>
      </c>
      <c r="AA127" s="1551"/>
      <c r="AB127" s="1551"/>
      <c r="AC127" s="1551"/>
      <c r="AD127" s="1551"/>
      <c r="AE127" s="1551"/>
      <c r="AF127" s="1619" t="str">
        <f>'PIM Model'!$AG$27</f>
        <v/>
      </c>
      <c r="AG127" s="1620"/>
      <c r="AH127" s="1620"/>
      <c r="AI127" s="1620"/>
      <c r="AJ127" s="1620"/>
      <c r="AK127" s="1620"/>
      <c r="AL127" s="1625"/>
      <c r="AM127" s="1619" t="str">
        <f>'PIM Model'!$AH$27</f>
        <v/>
      </c>
      <c r="AN127" s="1620"/>
      <c r="AO127" s="1620"/>
      <c r="AP127" s="1620"/>
      <c r="AQ127" s="1620"/>
      <c r="AR127" s="1620"/>
      <c r="AS127" s="1621"/>
      <c r="BF127" s="138"/>
    </row>
    <row r="128" spans="2:58" x14ac:dyDescent="0.25">
      <c r="B128" s="137"/>
      <c r="D128" s="1627" t="s">
        <v>86</v>
      </c>
      <c r="E128" s="1628"/>
      <c r="F128" s="1628"/>
      <c r="G128" s="1628"/>
      <c r="H128" s="1628"/>
      <c r="I128" s="1628"/>
      <c r="J128" s="1628"/>
      <c r="K128" s="1628"/>
      <c r="L128" s="1628"/>
      <c r="M128" s="1628"/>
      <c r="N128" s="1628"/>
      <c r="O128" s="1628"/>
      <c r="P128" s="1628"/>
      <c r="Q128" s="1628"/>
      <c r="R128" s="1628"/>
      <c r="S128" s="1628"/>
      <c r="T128" s="1629"/>
      <c r="U128" s="1626" t="str">
        <f>IF('PIM Model'!$B$28=0,"",'PIM Model'!$B$28)</f>
        <v/>
      </c>
      <c r="V128" s="1551"/>
      <c r="W128" s="1551"/>
      <c r="X128" s="1551"/>
      <c r="Y128" s="1551"/>
      <c r="Z128" s="1551" t="str">
        <f>'PIM Model'!$AF$28</f>
        <v/>
      </c>
      <c r="AA128" s="1551"/>
      <c r="AB128" s="1551"/>
      <c r="AC128" s="1551"/>
      <c r="AD128" s="1551"/>
      <c r="AE128" s="1551"/>
      <c r="AF128" s="1619" t="str">
        <f>'PIM Model'!$AG$28</f>
        <v/>
      </c>
      <c r="AG128" s="1620"/>
      <c r="AH128" s="1620"/>
      <c r="AI128" s="1620"/>
      <c r="AJ128" s="1620"/>
      <c r="AK128" s="1620"/>
      <c r="AL128" s="1625"/>
      <c r="AM128" s="1619" t="str">
        <f>'PIM Model'!$AH$28</f>
        <v/>
      </c>
      <c r="AN128" s="1620"/>
      <c r="AO128" s="1620"/>
      <c r="AP128" s="1620"/>
      <c r="AQ128" s="1620"/>
      <c r="AR128" s="1620"/>
      <c r="AS128" s="1621"/>
      <c r="BF128" s="138"/>
    </row>
    <row r="129" spans="2:58" x14ac:dyDescent="0.25">
      <c r="B129" s="137"/>
      <c r="D129" s="1627" t="s">
        <v>88</v>
      </c>
      <c r="E129" s="1628"/>
      <c r="F129" s="1628"/>
      <c r="G129" s="1628"/>
      <c r="H129" s="1628"/>
      <c r="I129" s="1628"/>
      <c r="J129" s="1628"/>
      <c r="K129" s="1628"/>
      <c r="L129" s="1628"/>
      <c r="M129" s="1628"/>
      <c r="N129" s="1628"/>
      <c r="O129" s="1628"/>
      <c r="P129" s="1628"/>
      <c r="Q129" s="1628"/>
      <c r="R129" s="1628"/>
      <c r="S129" s="1628"/>
      <c r="T129" s="1629"/>
      <c r="U129" s="1626" t="str">
        <f>IF('PIM Model'!$B$29=0,"",'PIM Model'!$B$29)</f>
        <v/>
      </c>
      <c r="V129" s="1551"/>
      <c r="W129" s="1551"/>
      <c r="X129" s="1551"/>
      <c r="Y129" s="1551"/>
      <c r="Z129" s="1551" t="str">
        <f>'PIM Model'!$AF$29</f>
        <v/>
      </c>
      <c r="AA129" s="1551"/>
      <c r="AB129" s="1551"/>
      <c r="AC129" s="1551"/>
      <c r="AD129" s="1551"/>
      <c r="AE129" s="1551"/>
      <c r="AF129" s="1619" t="str">
        <f>'PIM Model'!$AG$29</f>
        <v/>
      </c>
      <c r="AG129" s="1620"/>
      <c r="AH129" s="1620"/>
      <c r="AI129" s="1620"/>
      <c r="AJ129" s="1620"/>
      <c r="AK129" s="1620"/>
      <c r="AL129" s="1625"/>
      <c r="AM129" s="1619" t="str">
        <f>'PIM Model'!$AH$29</f>
        <v/>
      </c>
      <c r="AN129" s="1620"/>
      <c r="AO129" s="1620"/>
      <c r="AP129" s="1620"/>
      <c r="AQ129" s="1620"/>
      <c r="AR129" s="1620"/>
      <c r="AS129" s="1621"/>
      <c r="BF129" s="138"/>
    </row>
    <row r="130" spans="2:58" ht="15.75" thickBot="1" x14ac:dyDescent="0.3">
      <c r="B130" s="137"/>
      <c r="D130" s="1633" t="s">
        <v>87</v>
      </c>
      <c r="E130" s="1634"/>
      <c r="F130" s="1634"/>
      <c r="G130" s="1634"/>
      <c r="H130" s="1634"/>
      <c r="I130" s="1634"/>
      <c r="J130" s="1634"/>
      <c r="K130" s="1634"/>
      <c r="L130" s="1634"/>
      <c r="M130" s="1634"/>
      <c r="N130" s="1634"/>
      <c r="O130" s="1634"/>
      <c r="P130" s="1634"/>
      <c r="Q130" s="1634"/>
      <c r="R130" s="1634"/>
      <c r="S130" s="1634"/>
      <c r="T130" s="1635"/>
      <c r="U130" s="1630" t="str">
        <f>IF('PIM Model'!$B$30=0,"",'PIM Model'!$B$30)</f>
        <v/>
      </c>
      <c r="V130" s="1623"/>
      <c r="W130" s="1623"/>
      <c r="X130" s="1623"/>
      <c r="Y130" s="1623"/>
      <c r="Z130" s="1623" t="str">
        <f>'PIM Model'!$AF$30</f>
        <v/>
      </c>
      <c r="AA130" s="1623"/>
      <c r="AB130" s="1623"/>
      <c r="AC130" s="1623"/>
      <c r="AD130" s="1623"/>
      <c r="AE130" s="1623"/>
      <c r="AF130" s="1611" t="str">
        <f>'PIM Model'!$AG$30</f>
        <v/>
      </c>
      <c r="AG130" s="1612"/>
      <c r="AH130" s="1612"/>
      <c r="AI130" s="1612"/>
      <c r="AJ130" s="1612"/>
      <c r="AK130" s="1612"/>
      <c r="AL130" s="1613"/>
      <c r="AM130" s="1611" t="str">
        <f>'PIM Model'!$AH$30</f>
        <v/>
      </c>
      <c r="AN130" s="1612"/>
      <c r="AO130" s="1612"/>
      <c r="AP130" s="1612"/>
      <c r="AQ130" s="1612"/>
      <c r="AR130" s="1612"/>
      <c r="AS130" s="1622"/>
      <c r="BF130" s="138"/>
    </row>
    <row r="131" spans="2:58" ht="16.5" thickTop="1" thickBot="1" x14ac:dyDescent="0.3">
      <c r="B131" s="137"/>
      <c r="D131" s="1602" t="s">
        <v>1014</v>
      </c>
      <c r="E131" s="1603"/>
      <c r="F131" s="1603"/>
      <c r="G131" s="1603"/>
      <c r="H131" s="1603"/>
      <c r="I131" s="1603"/>
      <c r="J131" s="1603"/>
      <c r="K131" s="1603"/>
      <c r="L131" s="1603"/>
      <c r="M131" s="1603"/>
      <c r="N131" s="1603"/>
      <c r="O131" s="1603"/>
      <c r="P131" s="1603"/>
      <c r="Q131" s="1603"/>
      <c r="R131" s="1603"/>
      <c r="S131" s="1603"/>
      <c r="T131" s="1604"/>
      <c r="U131" s="1605">
        <f>COUNT($U$110:$Y$130)</f>
        <v>0</v>
      </c>
      <c r="V131" s="1606"/>
      <c r="W131" s="1606"/>
      <c r="X131" s="1606"/>
      <c r="Y131" s="1606"/>
      <c r="Z131" s="1603">
        <f>COUNTIF($Z$110:$AE$130,"ABOVE")+COUNTIF($Z$110:$AE$130,"BELOW")</f>
        <v>0</v>
      </c>
      <c r="AA131" s="1603"/>
      <c r="AB131" s="1603"/>
      <c r="AC131" s="1603"/>
      <c r="AD131" s="1603"/>
      <c r="AE131" s="1603"/>
      <c r="AF131" s="1607"/>
      <c r="AG131" s="1608"/>
      <c r="AH131" s="1608"/>
      <c r="AI131" s="1608"/>
      <c r="AJ131" s="1608"/>
      <c r="AK131" s="1608"/>
      <c r="AL131" s="1609"/>
      <c r="AM131" s="1607"/>
      <c r="AN131" s="1608"/>
      <c r="AO131" s="1608"/>
      <c r="AP131" s="1608"/>
      <c r="AQ131" s="1608"/>
      <c r="AR131" s="1608"/>
      <c r="AS131" s="161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1" t="s">
        <v>1038</v>
      </c>
      <c r="C2" s="1722"/>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9" t="s">
        <v>854</v>
      </c>
      <c r="C6" s="1720"/>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9" t="s">
        <v>855</v>
      </c>
      <c r="C13" s="1720"/>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31" t="s">
        <v>1517</v>
      </c>
    </row>
    <row r="2" spans="1:5" x14ac:dyDescent="0.25">
      <c r="A2" s="1115">
        <v>1</v>
      </c>
      <c r="B2" s="1112" t="s">
        <v>1518</v>
      </c>
      <c r="C2" s="1112" t="s">
        <v>1518</v>
      </c>
      <c r="D2" s="1112" t="s">
        <v>1519</v>
      </c>
      <c r="E2" s="1332" t="s">
        <v>1520</v>
      </c>
    </row>
    <row r="3" spans="1:5" x14ac:dyDescent="0.25">
      <c r="A3" s="1115">
        <v>2</v>
      </c>
      <c r="B3" s="1112" t="s">
        <v>1518</v>
      </c>
      <c r="C3" s="1112" t="s">
        <v>1518</v>
      </c>
      <c r="D3" s="1112" t="s">
        <v>1519</v>
      </c>
      <c r="E3" s="1332" t="s">
        <v>1521</v>
      </c>
    </row>
    <row r="4" spans="1:5" x14ac:dyDescent="0.25">
      <c r="A4" s="1115">
        <v>3</v>
      </c>
      <c r="B4" s="1112" t="s">
        <v>1522</v>
      </c>
      <c r="C4" s="1112" t="s">
        <v>1518</v>
      </c>
      <c r="D4" s="1112" t="s">
        <v>1519</v>
      </c>
      <c r="E4" s="1332" t="s">
        <v>1523</v>
      </c>
    </row>
    <row r="5" spans="1:5" x14ac:dyDescent="0.25">
      <c r="A5" s="1115">
        <v>4</v>
      </c>
      <c r="B5" s="1112" t="s">
        <v>1481</v>
      </c>
      <c r="C5" s="1112" t="s">
        <v>1524</v>
      </c>
      <c r="D5" s="1112" t="s">
        <v>1525</v>
      </c>
      <c r="E5" s="1332" t="s">
        <v>1510</v>
      </c>
    </row>
    <row r="6" spans="1:5" x14ac:dyDescent="0.25">
      <c r="A6" s="1115">
        <v>5</v>
      </c>
      <c r="B6" s="1112" t="s">
        <v>1481</v>
      </c>
      <c r="C6" s="1112" t="s">
        <v>1524</v>
      </c>
      <c r="D6" s="1112" t="s">
        <v>1526</v>
      </c>
      <c r="E6" s="1332" t="s">
        <v>1511</v>
      </c>
    </row>
    <row r="7" spans="1:5" x14ac:dyDescent="0.25">
      <c r="A7" s="1115">
        <v>6</v>
      </c>
      <c r="B7" s="1112" t="s">
        <v>1509</v>
      </c>
      <c r="C7" s="1112" t="s">
        <v>1524</v>
      </c>
      <c r="D7" s="1115" t="s">
        <v>1527</v>
      </c>
      <c r="E7" s="1332" t="s">
        <v>1528</v>
      </c>
    </row>
    <row r="8" spans="1:5" x14ac:dyDescent="0.25">
      <c r="A8" s="1115">
        <v>7</v>
      </c>
      <c r="B8" s="1112" t="s">
        <v>1509</v>
      </c>
      <c r="C8" s="1112" t="s">
        <v>1524</v>
      </c>
      <c r="D8" s="1115" t="s">
        <v>1527</v>
      </c>
      <c r="E8" s="1332" t="s">
        <v>1529</v>
      </c>
    </row>
    <row r="9" spans="1:5" ht="30" x14ac:dyDescent="0.25">
      <c r="A9" s="1115">
        <v>8</v>
      </c>
      <c r="B9" s="1112" t="s">
        <v>1458</v>
      </c>
      <c r="C9" s="1112" t="s">
        <v>1524</v>
      </c>
      <c r="D9" s="1112" t="s">
        <v>1475</v>
      </c>
      <c r="E9" s="1332" t="s">
        <v>1306</v>
      </c>
    </row>
    <row r="10" spans="1:5" ht="30" x14ac:dyDescent="0.25">
      <c r="A10" s="1115">
        <v>9</v>
      </c>
      <c r="B10" s="1112" t="s">
        <v>1458</v>
      </c>
      <c r="C10" s="1112" t="s">
        <v>1524</v>
      </c>
      <c r="D10" s="1112" t="s">
        <v>1475</v>
      </c>
      <c r="E10" s="1332" t="s">
        <v>1307</v>
      </c>
    </row>
    <row r="11" spans="1:5" x14ac:dyDescent="0.25">
      <c r="A11" s="1115">
        <v>10</v>
      </c>
      <c r="B11" s="1112" t="s">
        <v>1458</v>
      </c>
      <c r="C11" s="1112" t="s">
        <v>1524</v>
      </c>
      <c r="D11" s="1112" t="s">
        <v>1475</v>
      </c>
      <c r="E11" s="1332" t="s">
        <v>1311</v>
      </c>
    </row>
    <row r="12" spans="1:5" x14ac:dyDescent="0.25">
      <c r="A12" s="1115">
        <v>11</v>
      </c>
      <c r="B12" s="1112" t="s">
        <v>1458</v>
      </c>
      <c r="C12" s="1112" t="s">
        <v>1530</v>
      </c>
      <c r="D12" s="1112" t="s">
        <v>1475</v>
      </c>
      <c r="E12" s="1332" t="s">
        <v>1308</v>
      </c>
    </row>
    <row r="13" spans="1:5" x14ac:dyDescent="0.25">
      <c r="A13" s="1115">
        <v>12</v>
      </c>
      <c r="B13" s="1112" t="s">
        <v>1458</v>
      </c>
      <c r="C13" s="1112" t="s">
        <v>1530</v>
      </c>
      <c r="D13" s="1112" t="s">
        <v>1475</v>
      </c>
      <c r="E13" s="1332" t="s">
        <v>1319</v>
      </c>
    </row>
    <row r="14" spans="1:5" x14ac:dyDescent="0.25">
      <c r="A14" s="1115">
        <v>13</v>
      </c>
      <c r="B14" s="1112" t="s">
        <v>1458</v>
      </c>
      <c r="C14" s="1112" t="s">
        <v>1530</v>
      </c>
      <c r="D14" s="1112" t="s">
        <v>1475</v>
      </c>
      <c r="E14" s="1332" t="s">
        <v>1320</v>
      </c>
    </row>
    <row r="15" spans="1:5" x14ac:dyDescent="0.25">
      <c r="A15" s="1115">
        <v>14</v>
      </c>
      <c r="B15" s="1112" t="s">
        <v>1458</v>
      </c>
      <c r="C15" s="1112" t="s">
        <v>1530</v>
      </c>
      <c r="D15" s="1112" t="s">
        <v>1475</v>
      </c>
      <c r="E15" s="1332" t="s">
        <v>1322</v>
      </c>
    </row>
    <row r="16" spans="1:5" x14ac:dyDescent="0.25">
      <c r="A16" s="1115">
        <v>15</v>
      </c>
      <c r="B16" s="1112" t="s">
        <v>1458</v>
      </c>
      <c r="C16" s="1112" t="s">
        <v>1530</v>
      </c>
      <c r="D16" s="1112" t="s">
        <v>1475</v>
      </c>
      <c r="E16" s="1332" t="s">
        <v>1323</v>
      </c>
    </row>
    <row r="17" spans="1:5" ht="30" x14ac:dyDescent="0.25">
      <c r="A17" s="1115">
        <v>16</v>
      </c>
      <c r="B17" s="1112" t="s">
        <v>1458</v>
      </c>
      <c r="C17" s="1112" t="s">
        <v>1530</v>
      </c>
      <c r="D17" s="1112" t="s">
        <v>1475</v>
      </c>
      <c r="E17" s="1332" t="s">
        <v>1324</v>
      </c>
    </row>
    <row r="18" spans="1:5" x14ac:dyDescent="0.25">
      <c r="A18" s="1115">
        <v>17</v>
      </c>
      <c r="B18" s="1112" t="s">
        <v>1458</v>
      </c>
      <c r="C18" s="1112" t="s">
        <v>1530</v>
      </c>
      <c r="D18" s="1112" t="s">
        <v>1531</v>
      </c>
      <c r="E18" s="1332" t="s">
        <v>1312</v>
      </c>
    </row>
    <row r="19" spans="1:5" x14ac:dyDescent="0.25">
      <c r="A19" s="1115">
        <v>18</v>
      </c>
      <c r="B19" s="1112" t="s">
        <v>1458</v>
      </c>
      <c r="C19" s="1112" t="s">
        <v>1530</v>
      </c>
      <c r="D19" s="1112" t="s">
        <v>1531</v>
      </c>
      <c r="E19" s="1332" t="s">
        <v>1313</v>
      </c>
    </row>
    <row r="20" spans="1:5" x14ac:dyDescent="0.25">
      <c r="A20" s="1115">
        <v>19</v>
      </c>
      <c r="B20" s="1112" t="s">
        <v>1481</v>
      </c>
      <c r="C20" s="1112" t="s">
        <v>1530</v>
      </c>
      <c r="D20" s="1112" t="s">
        <v>1475</v>
      </c>
      <c r="E20" s="1332" t="s">
        <v>1512</v>
      </c>
    </row>
    <row r="21" spans="1:5" x14ac:dyDescent="0.25">
      <c r="A21" s="1115">
        <v>20</v>
      </c>
      <c r="B21" s="1112" t="s">
        <v>1481</v>
      </c>
      <c r="C21" s="1112" t="s">
        <v>1532</v>
      </c>
      <c r="D21" s="1116" t="s">
        <v>1533</v>
      </c>
      <c r="E21" s="1332" t="s">
        <v>1513</v>
      </c>
    </row>
    <row r="22" spans="1:5" x14ac:dyDescent="0.25">
      <c r="A22" s="1115">
        <v>21</v>
      </c>
      <c r="B22" s="1112" t="s">
        <v>1481</v>
      </c>
      <c r="C22" s="1112" t="s">
        <v>1532</v>
      </c>
      <c r="D22" s="1116" t="s">
        <v>1533</v>
      </c>
      <c r="E22" s="1332" t="s">
        <v>1534</v>
      </c>
    </row>
    <row r="23" spans="1:5" x14ac:dyDescent="0.25">
      <c r="A23" s="1115">
        <v>22</v>
      </c>
      <c r="B23" s="1112" t="s">
        <v>1481</v>
      </c>
      <c r="C23" s="1112" t="s">
        <v>1532</v>
      </c>
      <c r="D23" s="1116" t="s">
        <v>1533</v>
      </c>
      <c r="E23" s="1332" t="s">
        <v>657</v>
      </c>
    </row>
    <row r="24" spans="1:5" x14ac:dyDescent="0.25">
      <c r="A24" s="1115">
        <v>23</v>
      </c>
      <c r="B24" s="1112" t="s">
        <v>1481</v>
      </c>
      <c r="C24" s="1112" t="s">
        <v>1532</v>
      </c>
      <c r="D24" s="1116" t="s">
        <v>1533</v>
      </c>
      <c r="E24" s="1332" t="s">
        <v>1248</v>
      </c>
    </row>
    <row r="25" spans="1:5" x14ac:dyDescent="0.25">
      <c r="A25" s="1115">
        <v>24</v>
      </c>
      <c r="B25" s="1112" t="s">
        <v>1481</v>
      </c>
      <c r="C25" s="1112" t="s">
        <v>1532</v>
      </c>
      <c r="D25" s="1116" t="s">
        <v>1533</v>
      </c>
      <c r="E25" s="1332" t="s">
        <v>1249</v>
      </c>
    </row>
    <row r="26" spans="1:5" x14ac:dyDescent="0.25">
      <c r="A26" s="1115">
        <v>25</v>
      </c>
      <c r="B26" s="1112" t="s">
        <v>1481</v>
      </c>
      <c r="C26" s="1112" t="s">
        <v>1532</v>
      </c>
      <c r="D26" s="1116" t="s">
        <v>1533</v>
      </c>
      <c r="E26" s="1332" t="s">
        <v>1250</v>
      </c>
    </row>
    <row r="27" spans="1:5" x14ac:dyDescent="0.25">
      <c r="A27" s="1115">
        <v>26</v>
      </c>
      <c r="B27" s="1112" t="s">
        <v>1481</v>
      </c>
      <c r="C27" s="1112" t="s">
        <v>1535</v>
      </c>
      <c r="D27" s="1112" t="s">
        <v>1519</v>
      </c>
      <c r="E27" s="1332" t="s">
        <v>1581</v>
      </c>
    </row>
    <row r="28" spans="1:5" x14ac:dyDescent="0.25">
      <c r="A28" s="1115">
        <v>27</v>
      </c>
      <c r="B28" s="1112" t="s">
        <v>1509</v>
      </c>
      <c r="C28" s="1112" t="s">
        <v>1536</v>
      </c>
      <c r="D28" s="1115" t="s">
        <v>1519</v>
      </c>
      <c r="E28" s="1333" t="s">
        <v>734</v>
      </c>
    </row>
    <row r="29" spans="1:5" x14ac:dyDescent="0.25">
      <c r="A29" s="1115">
        <v>28</v>
      </c>
      <c r="B29" s="1112" t="s">
        <v>917</v>
      </c>
      <c r="C29" s="1112" t="s">
        <v>1536</v>
      </c>
      <c r="D29" s="1115" t="s">
        <v>1519</v>
      </c>
      <c r="E29" s="1332" t="s">
        <v>1274</v>
      </c>
    </row>
    <row r="30" spans="1:5" x14ac:dyDescent="0.25">
      <c r="A30" s="1115">
        <v>29</v>
      </c>
      <c r="B30" s="1112" t="s">
        <v>1509</v>
      </c>
      <c r="C30" s="1112" t="s">
        <v>1536</v>
      </c>
      <c r="D30" s="1115" t="s">
        <v>1519</v>
      </c>
      <c r="E30" s="133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1758</v>
      </c>
    </row>
    <row r="40" spans="1:5" x14ac:dyDescent="0.25">
      <c r="A40" s="1115">
        <v>39</v>
      </c>
      <c r="B40" s="1112" t="s">
        <v>1509</v>
      </c>
      <c r="C40" s="1112" t="s">
        <v>1536</v>
      </c>
      <c r="D40" s="1112" t="s">
        <v>1538</v>
      </c>
      <c r="E40" s="1332" t="s">
        <v>793</v>
      </c>
    </row>
    <row r="41" spans="1:5" x14ac:dyDescent="0.25">
      <c r="A41" s="1115">
        <v>40</v>
      </c>
      <c r="B41" s="1112" t="s">
        <v>1509</v>
      </c>
      <c r="C41" s="1112" t="s">
        <v>1536</v>
      </c>
      <c r="D41" s="1112" t="s">
        <v>1538</v>
      </c>
      <c r="E41" s="1332" t="s">
        <v>1271</v>
      </c>
    </row>
    <row r="42" spans="1:5" x14ac:dyDescent="0.25">
      <c r="A42" s="1115">
        <v>41</v>
      </c>
      <c r="B42" s="1112" t="s">
        <v>1509</v>
      </c>
      <c r="C42" s="1112" t="s">
        <v>1536</v>
      </c>
      <c r="D42" s="1112" t="s">
        <v>1519</v>
      </c>
      <c r="E42" s="1332" t="s">
        <v>1272</v>
      </c>
    </row>
    <row r="43" spans="1:5" x14ac:dyDescent="0.25">
      <c r="A43" s="1115">
        <v>42</v>
      </c>
      <c r="B43" s="1112" t="s">
        <v>1509</v>
      </c>
      <c r="C43" s="1112" t="s">
        <v>1536</v>
      </c>
      <c r="D43" s="1112" t="s">
        <v>1519</v>
      </c>
      <c r="E43" s="1332" t="s">
        <v>1474</v>
      </c>
    </row>
    <row r="44" spans="1:5" x14ac:dyDescent="0.25">
      <c r="A44" s="1115">
        <v>43</v>
      </c>
      <c r="B44" s="1112" t="s">
        <v>1509</v>
      </c>
      <c r="C44" s="1112" t="s">
        <v>1536</v>
      </c>
      <c r="D44" s="1112" t="s">
        <v>1519</v>
      </c>
      <c r="E44" s="1332" t="s">
        <v>1391</v>
      </c>
    </row>
    <row r="45" spans="1:5" x14ac:dyDescent="0.25">
      <c r="A45" s="1115">
        <v>44</v>
      </c>
      <c r="B45" s="1112" t="s">
        <v>1509</v>
      </c>
      <c r="C45" s="1112" t="s">
        <v>1536</v>
      </c>
      <c r="D45" s="1115" t="s">
        <v>1519</v>
      </c>
      <c r="E45" s="1332" t="s">
        <v>795</v>
      </c>
    </row>
    <row r="46" spans="1:5" x14ac:dyDescent="0.25">
      <c r="A46" s="1115">
        <v>45</v>
      </c>
      <c r="B46" s="1112" t="s">
        <v>1509</v>
      </c>
      <c r="C46" s="1112" t="s">
        <v>1536</v>
      </c>
      <c r="D46" s="1115" t="s">
        <v>1519</v>
      </c>
      <c r="E46" s="1332" t="s">
        <v>800</v>
      </c>
    </row>
    <row r="47" spans="1:5" x14ac:dyDescent="0.25">
      <c r="A47" s="1115">
        <v>46</v>
      </c>
      <c r="B47" s="1112" t="s">
        <v>1509</v>
      </c>
      <c r="C47" s="1112" t="s">
        <v>1536</v>
      </c>
      <c r="D47" s="1115" t="s">
        <v>1519</v>
      </c>
      <c r="E47" s="1332" t="s">
        <v>801</v>
      </c>
    </row>
    <row r="48" spans="1:5" x14ac:dyDescent="0.25">
      <c r="A48" s="1115">
        <v>47</v>
      </c>
      <c r="B48" s="1112" t="s">
        <v>1509</v>
      </c>
      <c r="C48" s="1112" t="s">
        <v>1536</v>
      </c>
      <c r="D48" s="1115" t="s">
        <v>1519</v>
      </c>
      <c r="E48" s="1332" t="s">
        <v>204</v>
      </c>
    </row>
    <row r="49" spans="1:5" x14ac:dyDescent="0.25">
      <c r="A49" s="1115">
        <v>48</v>
      </c>
      <c r="B49" s="1112" t="s">
        <v>1509</v>
      </c>
      <c r="C49" s="1112" t="s">
        <v>1539</v>
      </c>
      <c r="D49" s="1115" t="s">
        <v>1519</v>
      </c>
      <c r="E49" s="1333" t="s">
        <v>734</v>
      </c>
    </row>
    <row r="50" spans="1:5" x14ac:dyDescent="0.25">
      <c r="A50" s="1115">
        <v>49</v>
      </c>
      <c r="B50" s="1112" t="s">
        <v>917</v>
      </c>
      <c r="C50" s="1112" t="s">
        <v>1539</v>
      </c>
      <c r="D50" s="1115" t="s">
        <v>1519</v>
      </c>
      <c r="E50" s="1332" t="s">
        <v>1274</v>
      </c>
    </row>
    <row r="51" spans="1:5" x14ac:dyDescent="0.25">
      <c r="A51" s="1115">
        <v>50</v>
      </c>
      <c r="B51" s="1112" t="s">
        <v>1509</v>
      </c>
      <c r="C51" s="1112" t="s">
        <v>1539</v>
      </c>
      <c r="D51" s="1115" t="s">
        <v>1519</v>
      </c>
      <c r="E51" s="133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1758</v>
      </c>
    </row>
    <row r="61" spans="1:5" x14ac:dyDescent="0.25">
      <c r="A61" s="1115">
        <v>60</v>
      </c>
      <c r="B61" s="1112" t="s">
        <v>1509</v>
      </c>
      <c r="C61" s="1112" t="s">
        <v>1539</v>
      </c>
      <c r="D61" s="1112" t="s">
        <v>1538</v>
      </c>
      <c r="E61" s="1332" t="s">
        <v>793</v>
      </c>
    </row>
    <row r="62" spans="1:5" x14ac:dyDescent="0.25">
      <c r="A62" s="1115">
        <v>61</v>
      </c>
      <c r="B62" s="1112" t="s">
        <v>1509</v>
      </c>
      <c r="C62" s="1112" t="s">
        <v>1539</v>
      </c>
      <c r="D62" s="1112" t="s">
        <v>1538</v>
      </c>
      <c r="E62" s="1332" t="s">
        <v>1271</v>
      </c>
    </row>
    <row r="63" spans="1:5" x14ac:dyDescent="0.25">
      <c r="A63" s="1115">
        <v>62</v>
      </c>
      <c r="B63" s="1112" t="s">
        <v>1509</v>
      </c>
      <c r="C63" s="1112" t="s">
        <v>1539</v>
      </c>
      <c r="D63" s="1112" t="s">
        <v>1519</v>
      </c>
      <c r="E63" s="1332" t="s">
        <v>1272</v>
      </c>
    </row>
    <row r="64" spans="1:5" x14ac:dyDescent="0.25">
      <c r="A64" s="1115">
        <v>63</v>
      </c>
      <c r="B64" s="1112" t="s">
        <v>1509</v>
      </c>
      <c r="C64" s="1112" t="s">
        <v>1539</v>
      </c>
      <c r="D64" s="1112" t="s">
        <v>1519</v>
      </c>
      <c r="E64" s="1332" t="s">
        <v>1474</v>
      </c>
    </row>
    <row r="65" spans="1:5" x14ac:dyDescent="0.25">
      <c r="A65" s="1115">
        <v>64</v>
      </c>
      <c r="B65" s="1112" t="s">
        <v>1509</v>
      </c>
      <c r="C65" s="1112" t="s">
        <v>1539</v>
      </c>
      <c r="D65" s="1112" t="s">
        <v>1519</v>
      </c>
      <c r="E65" s="1332" t="s">
        <v>1391</v>
      </c>
    </row>
    <row r="66" spans="1:5" x14ac:dyDescent="0.25">
      <c r="A66" s="1115">
        <v>65</v>
      </c>
      <c r="B66" s="1112" t="s">
        <v>1509</v>
      </c>
      <c r="C66" s="1112" t="s">
        <v>1539</v>
      </c>
      <c r="D66" s="1115" t="s">
        <v>1519</v>
      </c>
      <c r="E66" s="1332" t="s">
        <v>795</v>
      </c>
    </row>
    <row r="67" spans="1:5" x14ac:dyDescent="0.25">
      <c r="A67" s="1115">
        <v>66</v>
      </c>
      <c r="B67" s="1112" t="s">
        <v>1509</v>
      </c>
      <c r="C67" s="1112" t="s">
        <v>1539</v>
      </c>
      <c r="D67" s="1115" t="s">
        <v>1519</v>
      </c>
      <c r="E67" s="1332" t="s">
        <v>800</v>
      </c>
    </row>
    <row r="68" spans="1:5" x14ac:dyDescent="0.25">
      <c r="A68" s="1115">
        <v>67</v>
      </c>
      <c r="B68" s="1112" t="s">
        <v>1509</v>
      </c>
      <c r="C68" s="1112" t="s">
        <v>1539</v>
      </c>
      <c r="D68" s="1115" t="s">
        <v>1519</v>
      </c>
      <c r="E68" s="1332" t="s">
        <v>801</v>
      </c>
    </row>
    <row r="69" spans="1:5" x14ac:dyDescent="0.25">
      <c r="A69" s="1115">
        <v>68</v>
      </c>
      <c r="B69" s="1112" t="s">
        <v>1509</v>
      </c>
      <c r="C69" s="1112" t="s">
        <v>1539</v>
      </c>
      <c r="D69" s="1115" t="s">
        <v>1519</v>
      </c>
      <c r="E69" s="1332" t="s">
        <v>204</v>
      </c>
    </row>
    <row r="70" spans="1:5" x14ac:dyDescent="0.25">
      <c r="A70" s="1115">
        <v>69</v>
      </c>
      <c r="B70" s="1112" t="s">
        <v>1509</v>
      </c>
      <c r="C70" s="1112" t="s">
        <v>1540</v>
      </c>
      <c r="D70" s="1115" t="s">
        <v>1538</v>
      </c>
      <c r="E70" s="1333" t="s">
        <v>734</v>
      </c>
    </row>
    <row r="71" spans="1:5" x14ac:dyDescent="0.25">
      <c r="A71" s="1115">
        <v>70</v>
      </c>
      <c r="B71" s="1112" t="s">
        <v>917</v>
      </c>
      <c r="C71" s="1112" t="s">
        <v>1540</v>
      </c>
      <c r="D71" s="1115" t="s">
        <v>1519</v>
      </c>
      <c r="E71" s="1332" t="s">
        <v>1274</v>
      </c>
    </row>
    <row r="72" spans="1:5" x14ac:dyDescent="0.25">
      <c r="A72" s="1115">
        <v>71</v>
      </c>
      <c r="B72" s="1112" t="s">
        <v>1509</v>
      </c>
      <c r="C72" s="1112" t="s">
        <v>1540</v>
      </c>
      <c r="D72" s="1115" t="s">
        <v>1519</v>
      </c>
      <c r="E72" s="133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1758</v>
      </c>
    </row>
    <row r="82" spans="1:5" x14ac:dyDescent="0.25">
      <c r="A82" s="1115">
        <v>81</v>
      </c>
      <c r="B82" s="1112" t="s">
        <v>1509</v>
      </c>
      <c r="C82" s="1112" t="s">
        <v>1540</v>
      </c>
      <c r="D82" s="1112" t="s">
        <v>1538</v>
      </c>
      <c r="E82" s="1332" t="s">
        <v>793</v>
      </c>
    </row>
    <row r="83" spans="1:5" x14ac:dyDescent="0.25">
      <c r="A83" s="1115">
        <v>82</v>
      </c>
      <c r="B83" s="1112" t="s">
        <v>1509</v>
      </c>
      <c r="C83" s="1112" t="s">
        <v>1540</v>
      </c>
      <c r="D83" s="1112" t="s">
        <v>1538</v>
      </c>
      <c r="E83" s="1332" t="s">
        <v>1271</v>
      </c>
    </row>
    <row r="84" spans="1:5" x14ac:dyDescent="0.25">
      <c r="A84" s="1115">
        <v>83</v>
      </c>
      <c r="B84" s="1112" t="s">
        <v>1509</v>
      </c>
      <c r="C84" s="1112" t="s">
        <v>1540</v>
      </c>
      <c r="D84" s="1112" t="s">
        <v>1519</v>
      </c>
      <c r="E84" s="1332" t="s">
        <v>1272</v>
      </c>
    </row>
    <row r="85" spans="1:5" x14ac:dyDescent="0.25">
      <c r="A85" s="1115">
        <v>84</v>
      </c>
      <c r="B85" s="1112" t="s">
        <v>1509</v>
      </c>
      <c r="C85" s="1112" t="s">
        <v>1540</v>
      </c>
      <c r="D85" s="1112" t="s">
        <v>1519</v>
      </c>
      <c r="E85" s="1332" t="s">
        <v>1474</v>
      </c>
    </row>
    <row r="86" spans="1:5" x14ac:dyDescent="0.25">
      <c r="A86" s="1115">
        <v>85</v>
      </c>
      <c r="B86" s="1112" t="s">
        <v>1509</v>
      </c>
      <c r="C86" s="1112" t="s">
        <v>1540</v>
      </c>
      <c r="D86" s="1112" t="s">
        <v>1519</v>
      </c>
      <c r="E86" s="1332" t="s">
        <v>1391</v>
      </c>
    </row>
    <row r="87" spans="1:5" x14ac:dyDescent="0.25">
      <c r="A87" s="1115">
        <v>86</v>
      </c>
      <c r="B87" s="1112" t="s">
        <v>1509</v>
      </c>
      <c r="C87" s="1112" t="s">
        <v>1540</v>
      </c>
      <c r="D87" s="1115" t="s">
        <v>1519</v>
      </c>
      <c r="E87" s="1332" t="s">
        <v>795</v>
      </c>
    </row>
    <row r="88" spans="1:5" x14ac:dyDescent="0.25">
      <c r="A88" s="1115">
        <v>87</v>
      </c>
      <c r="B88" s="1112" t="s">
        <v>1509</v>
      </c>
      <c r="C88" s="1112" t="s">
        <v>1540</v>
      </c>
      <c r="D88" s="1115" t="s">
        <v>1519</v>
      </c>
      <c r="E88" s="1332" t="s">
        <v>800</v>
      </c>
    </row>
    <row r="89" spans="1:5" x14ac:dyDescent="0.25">
      <c r="A89" s="1115">
        <v>88</v>
      </c>
      <c r="B89" s="1112" t="s">
        <v>1509</v>
      </c>
      <c r="C89" s="1112" t="s">
        <v>1540</v>
      </c>
      <c r="D89" s="1115" t="s">
        <v>1519</v>
      </c>
      <c r="E89" s="1332" t="s">
        <v>801</v>
      </c>
    </row>
    <row r="90" spans="1:5" x14ac:dyDescent="0.25">
      <c r="A90" s="1115">
        <v>89</v>
      </c>
      <c r="B90" s="1112" t="s">
        <v>1509</v>
      </c>
      <c r="C90" s="1112" t="s">
        <v>1540</v>
      </c>
      <c r="D90" s="1115" t="s">
        <v>1519</v>
      </c>
      <c r="E90" s="1332" t="s">
        <v>204</v>
      </c>
    </row>
    <row r="91" spans="1:5" x14ac:dyDescent="0.25">
      <c r="A91" s="1115">
        <v>90</v>
      </c>
      <c r="B91" s="1112" t="s">
        <v>1509</v>
      </c>
      <c r="C91" s="1112" t="s">
        <v>1541</v>
      </c>
      <c r="D91" s="1115" t="s">
        <v>1519</v>
      </c>
      <c r="E91" s="1333" t="s">
        <v>734</v>
      </c>
    </row>
    <row r="92" spans="1:5" x14ac:dyDescent="0.25">
      <c r="A92" s="1115">
        <v>91</v>
      </c>
      <c r="B92" s="1112" t="s">
        <v>917</v>
      </c>
      <c r="C92" s="1112" t="s">
        <v>1541</v>
      </c>
      <c r="D92" s="1115" t="s">
        <v>1519</v>
      </c>
      <c r="E92" s="1332" t="s">
        <v>1274</v>
      </c>
    </row>
    <row r="93" spans="1:5" x14ac:dyDescent="0.25">
      <c r="A93" s="1115">
        <v>92</v>
      </c>
      <c r="B93" s="1112" t="s">
        <v>1509</v>
      </c>
      <c r="C93" s="1112" t="s">
        <v>1541</v>
      </c>
      <c r="D93" s="1115" t="s">
        <v>1519</v>
      </c>
      <c r="E93" s="133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1758</v>
      </c>
    </row>
    <row r="103" spans="1:5" x14ac:dyDescent="0.25">
      <c r="A103" s="1115">
        <v>102</v>
      </c>
      <c r="B103" s="1112" t="s">
        <v>1509</v>
      </c>
      <c r="C103" s="1112" t="s">
        <v>1541</v>
      </c>
      <c r="D103" s="1112" t="s">
        <v>1538</v>
      </c>
      <c r="E103" s="1332" t="s">
        <v>793</v>
      </c>
    </row>
    <row r="104" spans="1:5" x14ac:dyDescent="0.25">
      <c r="A104" s="1115">
        <v>103</v>
      </c>
      <c r="B104" s="1112" t="s">
        <v>1509</v>
      </c>
      <c r="C104" s="1112" t="s">
        <v>1541</v>
      </c>
      <c r="D104" s="1112" t="s">
        <v>1538</v>
      </c>
      <c r="E104" s="1332" t="s">
        <v>1271</v>
      </c>
    </row>
    <row r="105" spans="1:5" x14ac:dyDescent="0.25">
      <c r="A105" s="1115">
        <v>104</v>
      </c>
      <c r="B105" s="1112" t="s">
        <v>1509</v>
      </c>
      <c r="C105" s="1112" t="s">
        <v>1541</v>
      </c>
      <c r="D105" s="1112" t="s">
        <v>1519</v>
      </c>
      <c r="E105" s="1332" t="s">
        <v>1272</v>
      </c>
    </row>
    <row r="106" spans="1:5" x14ac:dyDescent="0.25">
      <c r="A106" s="1115">
        <v>105</v>
      </c>
      <c r="B106" s="1112" t="s">
        <v>1509</v>
      </c>
      <c r="C106" s="1112" t="s">
        <v>1541</v>
      </c>
      <c r="D106" s="1112" t="s">
        <v>1519</v>
      </c>
      <c r="E106" s="1332" t="s">
        <v>1474</v>
      </c>
    </row>
    <row r="107" spans="1:5" x14ac:dyDescent="0.25">
      <c r="A107" s="1115">
        <v>106</v>
      </c>
      <c r="B107" s="1112" t="s">
        <v>1509</v>
      </c>
      <c r="C107" s="1112" t="s">
        <v>1541</v>
      </c>
      <c r="D107" s="1112" t="s">
        <v>1519</v>
      </c>
      <c r="E107" s="1332" t="s">
        <v>1391</v>
      </c>
    </row>
    <row r="108" spans="1:5" x14ac:dyDescent="0.25">
      <c r="A108" s="1115">
        <v>107</v>
      </c>
      <c r="B108" s="1112" t="s">
        <v>1509</v>
      </c>
      <c r="C108" s="1112" t="s">
        <v>1541</v>
      </c>
      <c r="D108" s="1115" t="s">
        <v>1519</v>
      </c>
      <c r="E108" s="1332" t="s">
        <v>795</v>
      </c>
    </row>
    <row r="109" spans="1:5" x14ac:dyDescent="0.25">
      <c r="A109" s="1115">
        <v>108</v>
      </c>
      <c r="B109" s="1112" t="s">
        <v>1509</v>
      </c>
      <c r="C109" s="1112" t="s">
        <v>1541</v>
      </c>
      <c r="D109" s="1115" t="s">
        <v>1519</v>
      </c>
      <c r="E109" s="1332" t="s">
        <v>800</v>
      </c>
    </row>
    <row r="110" spans="1:5" x14ac:dyDescent="0.25">
      <c r="A110" s="1115">
        <v>109</v>
      </c>
      <c r="B110" s="1112" t="s">
        <v>1509</v>
      </c>
      <c r="C110" s="1112" t="s">
        <v>1541</v>
      </c>
      <c r="D110" s="1115" t="s">
        <v>1519</v>
      </c>
      <c r="E110" s="1332" t="s">
        <v>801</v>
      </c>
    </row>
    <row r="111" spans="1:5" x14ac:dyDescent="0.25">
      <c r="A111" s="1115">
        <v>110</v>
      </c>
      <c r="B111" s="1112" t="s">
        <v>1509</v>
      </c>
      <c r="C111" s="1112" t="s">
        <v>1541</v>
      </c>
      <c r="D111" s="1115" t="s">
        <v>1519</v>
      </c>
      <c r="E111" s="1332" t="s">
        <v>204</v>
      </c>
    </row>
    <row r="112" spans="1:5" x14ac:dyDescent="0.25">
      <c r="A112" s="1115">
        <v>111</v>
      </c>
      <c r="B112" s="1112" t="s">
        <v>1509</v>
      </c>
      <c r="C112" s="1112" t="s">
        <v>1542</v>
      </c>
      <c r="D112" s="1115" t="s">
        <v>1519</v>
      </c>
      <c r="E112" s="1333" t="s">
        <v>734</v>
      </c>
    </row>
    <row r="113" spans="1:5" x14ac:dyDescent="0.25">
      <c r="A113" s="1115">
        <v>112</v>
      </c>
      <c r="B113" s="1112" t="s">
        <v>917</v>
      </c>
      <c r="C113" s="1112" t="s">
        <v>1542</v>
      </c>
      <c r="D113" s="1115" t="s">
        <v>1519</v>
      </c>
      <c r="E113" s="1332" t="s">
        <v>1274</v>
      </c>
    </row>
    <row r="114" spans="1:5" x14ac:dyDescent="0.25">
      <c r="A114" s="1115">
        <v>113</v>
      </c>
      <c r="B114" s="1112" t="s">
        <v>1509</v>
      </c>
      <c r="C114" s="1112" t="s">
        <v>1542</v>
      </c>
      <c r="D114" s="1115" t="s">
        <v>1519</v>
      </c>
      <c r="E114" s="133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1758</v>
      </c>
    </row>
    <row r="124" spans="1:5" x14ac:dyDescent="0.25">
      <c r="A124" s="1115">
        <v>123</v>
      </c>
      <c r="B124" s="1112" t="s">
        <v>1509</v>
      </c>
      <c r="C124" s="1112" t="s">
        <v>1542</v>
      </c>
      <c r="D124" s="1112" t="s">
        <v>1538</v>
      </c>
      <c r="E124" s="1332" t="s">
        <v>793</v>
      </c>
    </row>
    <row r="125" spans="1:5" x14ac:dyDescent="0.25">
      <c r="A125" s="1115">
        <v>124</v>
      </c>
      <c r="B125" s="1112" t="s">
        <v>1509</v>
      </c>
      <c r="C125" s="1112" t="s">
        <v>1542</v>
      </c>
      <c r="D125" s="1112" t="s">
        <v>1538</v>
      </c>
      <c r="E125" s="1332" t="s">
        <v>1271</v>
      </c>
    </row>
    <row r="126" spans="1:5" x14ac:dyDescent="0.25">
      <c r="A126" s="1115">
        <v>125</v>
      </c>
      <c r="B126" s="1112" t="s">
        <v>1509</v>
      </c>
      <c r="C126" s="1112" t="s">
        <v>1542</v>
      </c>
      <c r="D126" s="1112" t="s">
        <v>1519</v>
      </c>
      <c r="E126" s="1332" t="s">
        <v>1272</v>
      </c>
    </row>
    <row r="127" spans="1:5" x14ac:dyDescent="0.25">
      <c r="A127" s="1115">
        <v>126</v>
      </c>
      <c r="B127" s="1112" t="s">
        <v>1509</v>
      </c>
      <c r="C127" s="1112" t="s">
        <v>1542</v>
      </c>
      <c r="D127" s="1112" t="s">
        <v>1519</v>
      </c>
      <c r="E127" s="1332" t="s">
        <v>1474</v>
      </c>
    </row>
    <row r="128" spans="1:5" x14ac:dyDescent="0.25">
      <c r="A128" s="1115">
        <v>127</v>
      </c>
      <c r="B128" s="1112" t="s">
        <v>1509</v>
      </c>
      <c r="C128" s="1112" t="s">
        <v>1542</v>
      </c>
      <c r="D128" s="1112" t="s">
        <v>1519</v>
      </c>
      <c r="E128" s="1332" t="s">
        <v>1391</v>
      </c>
    </row>
    <row r="129" spans="1:5" x14ac:dyDescent="0.25">
      <c r="A129" s="1115">
        <v>128</v>
      </c>
      <c r="B129" s="1112" t="s">
        <v>1509</v>
      </c>
      <c r="C129" s="1112" t="s">
        <v>1542</v>
      </c>
      <c r="D129" s="1115" t="s">
        <v>1519</v>
      </c>
      <c r="E129" s="1332" t="s">
        <v>795</v>
      </c>
    </row>
    <row r="130" spans="1:5" x14ac:dyDescent="0.25">
      <c r="A130" s="1115">
        <v>129</v>
      </c>
      <c r="B130" s="1112" t="s">
        <v>1509</v>
      </c>
      <c r="C130" s="1112" t="s">
        <v>1542</v>
      </c>
      <c r="D130" s="1115" t="s">
        <v>1519</v>
      </c>
      <c r="E130" s="1332" t="s">
        <v>800</v>
      </c>
    </row>
    <row r="131" spans="1:5" x14ac:dyDescent="0.25">
      <c r="A131" s="1115">
        <v>130</v>
      </c>
      <c r="B131" s="1112" t="s">
        <v>1509</v>
      </c>
      <c r="C131" s="1112" t="s">
        <v>1542</v>
      </c>
      <c r="D131" s="1115" t="s">
        <v>1519</v>
      </c>
      <c r="E131" s="1332" t="s">
        <v>801</v>
      </c>
    </row>
    <row r="132" spans="1:5" x14ac:dyDescent="0.25">
      <c r="A132" s="1115">
        <v>131</v>
      </c>
      <c r="B132" s="1112" t="s">
        <v>1509</v>
      </c>
      <c r="C132" s="1112" t="s">
        <v>1542</v>
      </c>
      <c r="D132" s="1115" t="s">
        <v>1519</v>
      </c>
      <c r="E132" s="1332" t="s">
        <v>204</v>
      </c>
    </row>
    <row r="133" spans="1:5" x14ac:dyDescent="0.25">
      <c r="A133" s="1115">
        <v>132</v>
      </c>
      <c r="B133" s="1112" t="s">
        <v>1509</v>
      </c>
      <c r="C133" s="1112" t="s">
        <v>1543</v>
      </c>
      <c r="D133" s="1115" t="s">
        <v>1519</v>
      </c>
      <c r="E133" s="1333" t="s">
        <v>734</v>
      </c>
    </row>
    <row r="134" spans="1:5" x14ac:dyDescent="0.25">
      <c r="A134" s="1115">
        <v>133</v>
      </c>
      <c r="B134" s="1112" t="s">
        <v>917</v>
      </c>
      <c r="C134" s="1112" t="s">
        <v>1543</v>
      </c>
      <c r="D134" s="1115" t="s">
        <v>1519</v>
      </c>
      <c r="E134" s="1332" t="s">
        <v>1274</v>
      </c>
    </row>
    <row r="135" spans="1:5" x14ac:dyDescent="0.25">
      <c r="A135" s="1115">
        <v>134</v>
      </c>
      <c r="B135" s="1112" t="s">
        <v>1509</v>
      </c>
      <c r="C135" s="1112" t="s">
        <v>1543</v>
      </c>
      <c r="D135" s="1115" t="s">
        <v>1519</v>
      </c>
      <c r="E135" s="133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1758</v>
      </c>
    </row>
    <row r="145" spans="1:5" x14ac:dyDescent="0.25">
      <c r="A145" s="1115">
        <v>144</v>
      </c>
      <c r="B145" s="1112" t="s">
        <v>1509</v>
      </c>
      <c r="C145" s="1112" t="s">
        <v>1543</v>
      </c>
      <c r="D145" s="1112" t="s">
        <v>1538</v>
      </c>
      <c r="E145" s="1332" t="s">
        <v>793</v>
      </c>
    </row>
    <row r="146" spans="1:5" x14ac:dyDescent="0.25">
      <c r="A146" s="1115">
        <v>145</v>
      </c>
      <c r="B146" s="1112" t="s">
        <v>1509</v>
      </c>
      <c r="C146" s="1112" t="s">
        <v>1543</v>
      </c>
      <c r="D146" s="1112" t="s">
        <v>1538</v>
      </c>
      <c r="E146" s="1332" t="s">
        <v>1271</v>
      </c>
    </row>
    <row r="147" spans="1:5" x14ac:dyDescent="0.25">
      <c r="A147" s="1115">
        <v>146</v>
      </c>
      <c r="B147" s="1112" t="s">
        <v>1509</v>
      </c>
      <c r="C147" s="1112" t="s">
        <v>1543</v>
      </c>
      <c r="D147" s="1112" t="s">
        <v>1519</v>
      </c>
      <c r="E147" s="1332" t="s">
        <v>1272</v>
      </c>
    </row>
    <row r="148" spans="1:5" x14ac:dyDescent="0.25">
      <c r="A148" s="1115">
        <v>147</v>
      </c>
      <c r="B148" s="1112" t="s">
        <v>1509</v>
      </c>
      <c r="C148" s="1112" t="s">
        <v>1543</v>
      </c>
      <c r="D148" s="1112" t="s">
        <v>1519</v>
      </c>
      <c r="E148" s="1332" t="s">
        <v>1474</v>
      </c>
    </row>
    <row r="149" spans="1:5" x14ac:dyDescent="0.25">
      <c r="A149" s="1115">
        <v>148</v>
      </c>
      <c r="B149" s="1112" t="s">
        <v>1509</v>
      </c>
      <c r="C149" s="1112" t="s">
        <v>1543</v>
      </c>
      <c r="D149" s="1112" t="s">
        <v>1519</v>
      </c>
      <c r="E149" s="1332" t="s">
        <v>1391</v>
      </c>
    </row>
    <row r="150" spans="1:5" x14ac:dyDescent="0.25">
      <c r="A150" s="1115">
        <v>149</v>
      </c>
      <c r="B150" s="1112" t="s">
        <v>1509</v>
      </c>
      <c r="C150" s="1112" t="s">
        <v>1543</v>
      </c>
      <c r="D150" s="1115" t="s">
        <v>1519</v>
      </c>
      <c r="E150" s="1332" t="s">
        <v>795</v>
      </c>
    </row>
    <row r="151" spans="1:5" x14ac:dyDescent="0.25">
      <c r="A151" s="1115">
        <v>150</v>
      </c>
      <c r="B151" s="1112" t="s">
        <v>1509</v>
      </c>
      <c r="C151" s="1112" t="s">
        <v>1543</v>
      </c>
      <c r="D151" s="1115" t="s">
        <v>1519</v>
      </c>
      <c r="E151" s="1332" t="s">
        <v>800</v>
      </c>
    </row>
    <row r="152" spans="1:5" x14ac:dyDescent="0.25">
      <c r="A152" s="1115">
        <v>151</v>
      </c>
      <c r="B152" s="1112" t="s">
        <v>1509</v>
      </c>
      <c r="C152" s="1112" t="s">
        <v>1543</v>
      </c>
      <c r="D152" s="1115" t="s">
        <v>1519</v>
      </c>
      <c r="E152" s="1332" t="s">
        <v>801</v>
      </c>
    </row>
    <row r="153" spans="1:5" x14ac:dyDescent="0.25">
      <c r="A153" s="1115">
        <v>152</v>
      </c>
      <c r="B153" s="1112" t="s">
        <v>1509</v>
      </c>
      <c r="C153" s="1112" t="s">
        <v>1543</v>
      </c>
      <c r="D153" s="1115" t="s">
        <v>1519</v>
      </c>
      <c r="E153" s="1332" t="s">
        <v>204</v>
      </c>
    </row>
    <row r="154" spans="1:5" x14ac:dyDescent="0.25">
      <c r="A154" s="1115">
        <v>153</v>
      </c>
      <c r="B154" s="1112" t="s">
        <v>1509</v>
      </c>
      <c r="C154" s="1112" t="s">
        <v>1544</v>
      </c>
      <c r="D154" s="1115" t="s">
        <v>1519</v>
      </c>
      <c r="E154" s="1333" t="s">
        <v>734</v>
      </c>
    </row>
    <row r="155" spans="1:5" x14ac:dyDescent="0.25">
      <c r="A155" s="1115">
        <v>154</v>
      </c>
      <c r="B155" s="1112" t="s">
        <v>917</v>
      </c>
      <c r="C155" s="1112" t="s">
        <v>1544</v>
      </c>
      <c r="D155" s="1115" t="s">
        <v>1519</v>
      </c>
      <c r="E155" s="1332" t="s">
        <v>1274</v>
      </c>
    </row>
    <row r="156" spans="1:5" x14ac:dyDescent="0.25">
      <c r="A156" s="1115">
        <v>155</v>
      </c>
      <c r="B156" s="1112" t="s">
        <v>1509</v>
      </c>
      <c r="C156" s="1112" t="s">
        <v>1544</v>
      </c>
      <c r="D156" s="1115" t="s">
        <v>1519</v>
      </c>
      <c r="E156" s="133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1758</v>
      </c>
    </row>
    <row r="166" spans="1:5" x14ac:dyDescent="0.25">
      <c r="A166" s="1115">
        <v>165</v>
      </c>
      <c r="B166" s="1112" t="s">
        <v>1509</v>
      </c>
      <c r="C166" s="1112" t="s">
        <v>1544</v>
      </c>
      <c r="D166" s="1112" t="s">
        <v>1538</v>
      </c>
      <c r="E166" s="1332" t="s">
        <v>793</v>
      </c>
    </row>
    <row r="167" spans="1:5" x14ac:dyDescent="0.25">
      <c r="A167" s="1115">
        <v>166</v>
      </c>
      <c r="B167" s="1112" t="s">
        <v>1509</v>
      </c>
      <c r="C167" s="1112" t="s">
        <v>1544</v>
      </c>
      <c r="D167" s="1112" t="s">
        <v>1538</v>
      </c>
      <c r="E167" s="1332" t="s">
        <v>1271</v>
      </c>
    </row>
    <row r="168" spans="1:5" x14ac:dyDescent="0.25">
      <c r="A168" s="1115">
        <v>167</v>
      </c>
      <c r="B168" s="1112" t="s">
        <v>1509</v>
      </c>
      <c r="C168" s="1112" t="s">
        <v>1544</v>
      </c>
      <c r="D168" s="1112" t="s">
        <v>1519</v>
      </c>
      <c r="E168" s="1332" t="s">
        <v>1272</v>
      </c>
    </row>
    <row r="169" spans="1:5" x14ac:dyDescent="0.25">
      <c r="A169" s="1115">
        <v>168</v>
      </c>
      <c r="B169" s="1112" t="s">
        <v>1509</v>
      </c>
      <c r="C169" s="1112" t="s">
        <v>1544</v>
      </c>
      <c r="D169" s="1112" t="s">
        <v>1519</v>
      </c>
      <c r="E169" s="1332" t="s">
        <v>1474</v>
      </c>
    </row>
    <row r="170" spans="1:5" x14ac:dyDescent="0.25">
      <c r="A170" s="1115">
        <v>169</v>
      </c>
      <c r="B170" s="1112" t="s">
        <v>1509</v>
      </c>
      <c r="C170" s="1112" t="s">
        <v>1544</v>
      </c>
      <c r="D170" s="1112" t="s">
        <v>1519</v>
      </c>
      <c r="E170" s="1332" t="s">
        <v>1391</v>
      </c>
    </row>
    <row r="171" spans="1:5" x14ac:dyDescent="0.25">
      <c r="A171" s="1115">
        <v>170</v>
      </c>
      <c r="B171" s="1112" t="s">
        <v>1509</v>
      </c>
      <c r="C171" s="1112" t="s">
        <v>1544</v>
      </c>
      <c r="D171" s="1115" t="s">
        <v>1519</v>
      </c>
      <c r="E171" s="1332" t="s">
        <v>795</v>
      </c>
    </row>
    <row r="172" spans="1:5" x14ac:dyDescent="0.25">
      <c r="A172" s="1115">
        <v>171</v>
      </c>
      <c r="B172" s="1112" t="s">
        <v>1509</v>
      </c>
      <c r="C172" s="1112" t="s">
        <v>1544</v>
      </c>
      <c r="D172" s="1115" t="s">
        <v>1519</v>
      </c>
      <c r="E172" s="1332" t="s">
        <v>800</v>
      </c>
    </row>
    <row r="173" spans="1:5" x14ac:dyDescent="0.25">
      <c r="A173" s="1115">
        <v>172</v>
      </c>
      <c r="B173" s="1112" t="s">
        <v>1509</v>
      </c>
      <c r="C173" s="1112" t="s">
        <v>1544</v>
      </c>
      <c r="D173" s="1115" t="s">
        <v>1519</v>
      </c>
      <c r="E173" s="1332" t="s">
        <v>801</v>
      </c>
    </row>
    <row r="174" spans="1:5" x14ac:dyDescent="0.25">
      <c r="A174" s="1115">
        <v>173</v>
      </c>
      <c r="B174" s="1112" t="s">
        <v>1509</v>
      </c>
      <c r="C174" s="1112" t="s">
        <v>1544</v>
      </c>
      <c r="D174" s="1115" t="s">
        <v>1519</v>
      </c>
      <c r="E174" s="1332" t="s">
        <v>204</v>
      </c>
    </row>
    <row r="175" spans="1:5" x14ac:dyDescent="0.25">
      <c r="A175" s="1115">
        <v>174</v>
      </c>
      <c r="B175" s="1112" t="s">
        <v>1509</v>
      </c>
      <c r="C175" s="1112" t="s">
        <v>1545</v>
      </c>
      <c r="D175" s="1115" t="s">
        <v>1519</v>
      </c>
      <c r="E175" s="1333" t="s">
        <v>734</v>
      </c>
    </row>
    <row r="176" spans="1:5" x14ac:dyDescent="0.25">
      <c r="A176" s="1115">
        <v>175</v>
      </c>
      <c r="B176" s="1112" t="s">
        <v>917</v>
      </c>
      <c r="C176" s="1112" t="s">
        <v>1545</v>
      </c>
      <c r="D176" s="1115" t="s">
        <v>1519</v>
      </c>
      <c r="E176" s="1332" t="s">
        <v>1274</v>
      </c>
    </row>
    <row r="177" spans="1:5" x14ac:dyDescent="0.25">
      <c r="A177" s="1115">
        <v>176</v>
      </c>
      <c r="B177" s="1112" t="s">
        <v>1509</v>
      </c>
      <c r="C177" s="1112" t="s">
        <v>1545</v>
      </c>
      <c r="D177" s="1115" t="s">
        <v>1519</v>
      </c>
      <c r="E177" s="133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1758</v>
      </c>
    </row>
    <row r="187" spans="1:5" x14ac:dyDescent="0.25">
      <c r="A187" s="1115">
        <v>186</v>
      </c>
      <c r="B187" s="1112" t="s">
        <v>1509</v>
      </c>
      <c r="C187" s="1112" t="s">
        <v>1545</v>
      </c>
      <c r="D187" s="1112" t="s">
        <v>1538</v>
      </c>
      <c r="E187" s="1332" t="s">
        <v>793</v>
      </c>
    </row>
    <row r="188" spans="1:5" x14ac:dyDescent="0.25">
      <c r="A188" s="1115">
        <v>187</v>
      </c>
      <c r="B188" s="1112" t="s">
        <v>1509</v>
      </c>
      <c r="C188" s="1112" t="s">
        <v>1545</v>
      </c>
      <c r="D188" s="1112" t="s">
        <v>1538</v>
      </c>
      <c r="E188" s="1332" t="s">
        <v>1271</v>
      </c>
    </row>
    <row r="189" spans="1:5" x14ac:dyDescent="0.25">
      <c r="A189" s="1115">
        <v>188</v>
      </c>
      <c r="B189" s="1112" t="s">
        <v>1509</v>
      </c>
      <c r="C189" s="1112" t="s">
        <v>1545</v>
      </c>
      <c r="D189" s="1112" t="s">
        <v>1519</v>
      </c>
      <c r="E189" s="1332" t="s">
        <v>1272</v>
      </c>
    </row>
    <row r="190" spans="1:5" x14ac:dyDescent="0.25">
      <c r="A190" s="1115">
        <v>189</v>
      </c>
      <c r="B190" s="1112" t="s">
        <v>1509</v>
      </c>
      <c r="C190" s="1112" t="s">
        <v>1545</v>
      </c>
      <c r="D190" s="1112" t="s">
        <v>1519</v>
      </c>
      <c r="E190" s="1332" t="s">
        <v>1474</v>
      </c>
    </row>
    <row r="191" spans="1:5" x14ac:dyDescent="0.25">
      <c r="A191" s="1115">
        <v>190</v>
      </c>
      <c r="B191" s="1112" t="s">
        <v>1509</v>
      </c>
      <c r="C191" s="1112" t="s">
        <v>1545</v>
      </c>
      <c r="D191" s="1112" t="s">
        <v>1519</v>
      </c>
      <c r="E191" s="1332" t="s">
        <v>1391</v>
      </c>
    </row>
    <row r="192" spans="1:5" x14ac:dyDescent="0.25">
      <c r="A192" s="1115">
        <v>191</v>
      </c>
      <c r="B192" s="1112" t="s">
        <v>1509</v>
      </c>
      <c r="C192" s="1112" t="s">
        <v>1545</v>
      </c>
      <c r="D192" s="1115" t="s">
        <v>1519</v>
      </c>
      <c r="E192" s="1332" t="s">
        <v>795</v>
      </c>
    </row>
    <row r="193" spans="1:5" x14ac:dyDescent="0.25">
      <c r="A193" s="1115">
        <v>192</v>
      </c>
      <c r="B193" s="1112" t="s">
        <v>1509</v>
      </c>
      <c r="C193" s="1112" t="s">
        <v>1545</v>
      </c>
      <c r="D193" s="1115" t="s">
        <v>1519</v>
      </c>
      <c r="E193" s="1332" t="s">
        <v>800</v>
      </c>
    </row>
    <row r="194" spans="1:5" x14ac:dyDescent="0.25">
      <c r="A194" s="1115">
        <v>193</v>
      </c>
      <c r="B194" s="1112" t="s">
        <v>1509</v>
      </c>
      <c r="C194" s="1112" t="s">
        <v>1545</v>
      </c>
      <c r="D194" s="1115" t="s">
        <v>1519</v>
      </c>
      <c r="E194" s="1332" t="s">
        <v>801</v>
      </c>
    </row>
    <row r="195" spans="1:5" x14ac:dyDescent="0.25">
      <c r="A195" s="1115">
        <v>194</v>
      </c>
      <c r="B195" s="1112" t="s">
        <v>1509</v>
      </c>
      <c r="C195" s="1112" t="s">
        <v>1545</v>
      </c>
      <c r="D195" s="1115" t="s">
        <v>1519</v>
      </c>
      <c r="E195" s="1332" t="s">
        <v>204</v>
      </c>
    </row>
    <row r="196" spans="1:5" x14ac:dyDescent="0.25">
      <c r="A196" s="1115">
        <v>195</v>
      </c>
      <c r="B196" s="1112" t="s">
        <v>1509</v>
      </c>
      <c r="C196" s="1112" t="s">
        <v>1546</v>
      </c>
      <c r="D196" s="1115" t="s">
        <v>1519</v>
      </c>
      <c r="E196" s="1333" t="s">
        <v>734</v>
      </c>
    </row>
    <row r="197" spans="1:5" x14ac:dyDescent="0.25">
      <c r="A197" s="1115">
        <v>196</v>
      </c>
      <c r="B197" s="1112" t="s">
        <v>917</v>
      </c>
      <c r="C197" s="1112" t="s">
        <v>1546</v>
      </c>
      <c r="D197" s="1115" t="s">
        <v>1519</v>
      </c>
      <c r="E197" s="1332" t="s">
        <v>1274</v>
      </c>
    </row>
    <row r="198" spans="1:5" x14ac:dyDescent="0.25">
      <c r="A198" s="1115">
        <v>197</v>
      </c>
      <c r="B198" s="1112" t="s">
        <v>1509</v>
      </c>
      <c r="C198" s="1112" t="s">
        <v>1546</v>
      </c>
      <c r="D198" s="1115" t="s">
        <v>1519</v>
      </c>
      <c r="E198" s="133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1758</v>
      </c>
    </row>
    <row r="208" spans="1:5" x14ac:dyDescent="0.25">
      <c r="A208" s="1115">
        <v>207</v>
      </c>
      <c r="B208" s="1112" t="s">
        <v>1509</v>
      </c>
      <c r="C208" s="1112" t="s">
        <v>1546</v>
      </c>
      <c r="D208" s="1112" t="s">
        <v>1538</v>
      </c>
      <c r="E208" s="1332" t="s">
        <v>793</v>
      </c>
    </row>
    <row r="209" spans="1:5" x14ac:dyDescent="0.25">
      <c r="A209" s="1115">
        <v>208</v>
      </c>
      <c r="B209" s="1112" t="s">
        <v>1509</v>
      </c>
      <c r="C209" s="1112" t="s">
        <v>1546</v>
      </c>
      <c r="D209" s="1112" t="s">
        <v>1538</v>
      </c>
      <c r="E209" s="1332" t="s">
        <v>1271</v>
      </c>
    </row>
    <row r="210" spans="1:5" x14ac:dyDescent="0.25">
      <c r="A210" s="1115">
        <v>209</v>
      </c>
      <c r="B210" s="1112" t="s">
        <v>1509</v>
      </c>
      <c r="C210" s="1112" t="s">
        <v>1546</v>
      </c>
      <c r="D210" s="1112" t="s">
        <v>1519</v>
      </c>
      <c r="E210" s="1332" t="s">
        <v>1272</v>
      </c>
    </row>
    <row r="211" spans="1:5" x14ac:dyDescent="0.25">
      <c r="A211" s="1115">
        <v>210</v>
      </c>
      <c r="B211" s="1112" t="s">
        <v>1509</v>
      </c>
      <c r="C211" s="1112" t="s">
        <v>1546</v>
      </c>
      <c r="D211" s="1112" t="s">
        <v>1519</v>
      </c>
      <c r="E211" s="1332" t="s">
        <v>1474</v>
      </c>
    </row>
    <row r="212" spans="1:5" x14ac:dyDescent="0.25">
      <c r="A212" s="1115">
        <v>211</v>
      </c>
      <c r="B212" s="1112" t="s">
        <v>1509</v>
      </c>
      <c r="C212" s="1112" t="s">
        <v>1546</v>
      </c>
      <c r="D212" s="1112" t="s">
        <v>1519</v>
      </c>
      <c r="E212" s="1332" t="s">
        <v>1391</v>
      </c>
    </row>
    <row r="213" spans="1:5" x14ac:dyDescent="0.25">
      <c r="A213" s="1115">
        <v>212</v>
      </c>
      <c r="B213" s="1112" t="s">
        <v>1509</v>
      </c>
      <c r="C213" s="1112" t="s">
        <v>1546</v>
      </c>
      <c r="D213" s="1115" t="s">
        <v>1519</v>
      </c>
      <c r="E213" s="1332" t="s">
        <v>795</v>
      </c>
    </row>
    <row r="214" spans="1:5" x14ac:dyDescent="0.25">
      <c r="A214" s="1115">
        <v>213</v>
      </c>
      <c r="B214" s="1112" t="s">
        <v>1509</v>
      </c>
      <c r="C214" s="1112" t="s">
        <v>1546</v>
      </c>
      <c r="D214" s="1115" t="s">
        <v>1519</v>
      </c>
      <c r="E214" s="1332" t="s">
        <v>800</v>
      </c>
    </row>
    <row r="215" spans="1:5" x14ac:dyDescent="0.25">
      <c r="A215" s="1115">
        <v>214</v>
      </c>
      <c r="B215" s="1112" t="s">
        <v>1509</v>
      </c>
      <c r="C215" s="1112" t="s">
        <v>1546</v>
      </c>
      <c r="D215" s="1115" t="s">
        <v>1519</v>
      </c>
      <c r="E215" s="1332" t="s">
        <v>801</v>
      </c>
    </row>
    <row r="216" spans="1:5" x14ac:dyDescent="0.25">
      <c r="A216" s="1115">
        <v>215</v>
      </c>
      <c r="B216" s="1112" t="s">
        <v>1509</v>
      </c>
      <c r="C216" s="1112" t="s">
        <v>1546</v>
      </c>
      <c r="D216" s="1115" t="s">
        <v>1519</v>
      </c>
      <c r="E216" s="1332" t="s">
        <v>204</v>
      </c>
    </row>
    <row r="217" spans="1:5" x14ac:dyDescent="0.25">
      <c r="A217" s="1115">
        <v>216</v>
      </c>
      <c r="B217" s="1112" t="s">
        <v>1509</v>
      </c>
      <c r="C217" s="1112" t="s">
        <v>1547</v>
      </c>
      <c r="D217" s="1115" t="s">
        <v>1519</v>
      </c>
      <c r="E217" s="1333" t="s">
        <v>734</v>
      </c>
    </row>
    <row r="218" spans="1:5" x14ac:dyDescent="0.25">
      <c r="A218" s="1115">
        <v>217</v>
      </c>
      <c r="B218" s="1112" t="s">
        <v>917</v>
      </c>
      <c r="C218" s="1112" t="s">
        <v>1547</v>
      </c>
      <c r="D218" s="1115" t="s">
        <v>1519</v>
      </c>
      <c r="E218" s="1332" t="s">
        <v>1274</v>
      </c>
    </row>
    <row r="219" spans="1:5" x14ac:dyDescent="0.25">
      <c r="A219" s="1115">
        <v>218</v>
      </c>
      <c r="B219" s="1112" t="s">
        <v>1509</v>
      </c>
      <c r="C219" s="1112" t="s">
        <v>1547</v>
      </c>
      <c r="D219" s="1115" t="s">
        <v>1519</v>
      </c>
      <c r="E219" s="133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1758</v>
      </c>
    </row>
    <row r="229" spans="1:5" x14ac:dyDescent="0.25">
      <c r="A229" s="1115">
        <v>228</v>
      </c>
      <c r="B229" s="1112" t="s">
        <v>1509</v>
      </c>
      <c r="C229" s="1112" t="s">
        <v>1547</v>
      </c>
      <c r="D229" s="1112" t="s">
        <v>1538</v>
      </c>
      <c r="E229" s="1332" t="s">
        <v>793</v>
      </c>
    </row>
    <row r="230" spans="1:5" x14ac:dyDescent="0.25">
      <c r="A230" s="1115">
        <v>229</v>
      </c>
      <c r="B230" s="1112" t="s">
        <v>1509</v>
      </c>
      <c r="C230" s="1112" t="s">
        <v>1547</v>
      </c>
      <c r="D230" s="1112" t="s">
        <v>1538</v>
      </c>
      <c r="E230" s="1332" t="s">
        <v>1271</v>
      </c>
    </row>
    <row r="231" spans="1:5" x14ac:dyDescent="0.25">
      <c r="A231" s="1115">
        <v>230</v>
      </c>
      <c r="B231" s="1112" t="s">
        <v>1509</v>
      </c>
      <c r="C231" s="1112" t="s">
        <v>1547</v>
      </c>
      <c r="D231" s="1112" t="s">
        <v>1519</v>
      </c>
      <c r="E231" s="1332" t="s">
        <v>1272</v>
      </c>
    </row>
    <row r="232" spans="1:5" x14ac:dyDescent="0.25">
      <c r="A232" s="1115">
        <v>231</v>
      </c>
      <c r="B232" s="1112" t="s">
        <v>1509</v>
      </c>
      <c r="C232" s="1112" t="s">
        <v>1547</v>
      </c>
      <c r="D232" s="1112" t="s">
        <v>1519</v>
      </c>
      <c r="E232" s="1332" t="s">
        <v>1474</v>
      </c>
    </row>
    <row r="233" spans="1:5" x14ac:dyDescent="0.25">
      <c r="A233" s="1115">
        <v>232</v>
      </c>
      <c r="B233" s="1112" t="s">
        <v>1509</v>
      </c>
      <c r="C233" s="1112" t="s">
        <v>1547</v>
      </c>
      <c r="D233" s="1112" t="s">
        <v>1519</v>
      </c>
      <c r="E233" s="1332" t="s">
        <v>1391</v>
      </c>
    </row>
    <row r="234" spans="1:5" x14ac:dyDescent="0.25">
      <c r="A234" s="1115">
        <v>233</v>
      </c>
      <c r="B234" s="1112" t="s">
        <v>1509</v>
      </c>
      <c r="C234" s="1112" t="s">
        <v>1547</v>
      </c>
      <c r="D234" s="1115" t="s">
        <v>1519</v>
      </c>
      <c r="E234" s="1332" t="s">
        <v>795</v>
      </c>
    </row>
    <row r="235" spans="1:5" x14ac:dyDescent="0.25">
      <c r="A235" s="1115">
        <v>234</v>
      </c>
      <c r="B235" s="1112" t="s">
        <v>1509</v>
      </c>
      <c r="C235" s="1112" t="s">
        <v>1547</v>
      </c>
      <c r="D235" s="1115" t="s">
        <v>1519</v>
      </c>
      <c r="E235" s="1332" t="s">
        <v>800</v>
      </c>
    </row>
    <row r="236" spans="1:5" x14ac:dyDescent="0.25">
      <c r="A236" s="1115">
        <v>235</v>
      </c>
      <c r="B236" s="1112" t="s">
        <v>1509</v>
      </c>
      <c r="C236" s="1112" t="s">
        <v>1547</v>
      </c>
      <c r="D236" s="1115" t="s">
        <v>1519</v>
      </c>
      <c r="E236" s="1332" t="s">
        <v>801</v>
      </c>
    </row>
    <row r="237" spans="1:5" x14ac:dyDescent="0.25">
      <c r="A237" s="1115">
        <v>236</v>
      </c>
      <c r="B237" s="1112" t="s">
        <v>1509</v>
      </c>
      <c r="C237" s="1112" t="s">
        <v>1547</v>
      </c>
      <c r="D237" s="1115" t="s">
        <v>1519</v>
      </c>
      <c r="E237" s="1332" t="s">
        <v>204</v>
      </c>
    </row>
    <row r="238" spans="1:5" x14ac:dyDescent="0.25">
      <c r="A238" s="1115">
        <v>237</v>
      </c>
      <c r="B238" s="1112" t="s">
        <v>1373</v>
      </c>
      <c r="C238" s="1112" t="s">
        <v>1548</v>
      </c>
      <c r="D238" s="1115" t="s">
        <v>1549</v>
      </c>
      <c r="E238" s="1332" t="s">
        <v>1550</v>
      </c>
    </row>
    <row r="239" spans="1:5" x14ac:dyDescent="0.25">
      <c r="A239" s="1115">
        <v>238</v>
      </c>
      <c r="B239" s="1112" t="s">
        <v>1373</v>
      </c>
      <c r="C239" s="1112" t="s">
        <v>1548</v>
      </c>
      <c r="D239" s="1115" t="s">
        <v>1551</v>
      </c>
      <c r="E239" s="1332" t="s">
        <v>1485</v>
      </c>
    </row>
    <row r="240" spans="1:5" x14ac:dyDescent="0.25">
      <c r="A240" s="1115">
        <v>239</v>
      </c>
      <c r="B240" s="1112" t="s">
        <v>1373</v>
      </c>
      <c r="C240" s="1112" t="s">
        <v>1548</v>
      </c>
      <c r="D240" s="1112" t="s">
        <v>1552</v>
      </c>
      <c r="E240" s="1332" t="s">
        <v>1361</v>
      </c>
    </row>
    <row r="241" spans="1:5" x14ac:dyDescent="0.25">
      <c r="A241" s="1115">
        <v>240</v>
      </c>
      <c r="B241" s="1112" t="s">
        <v>1373</v>
      </c>
      <c r="C241" s="1112" t="s">
        <v>99</v>
      </c>
      <c r="D241" s="1112" t="s">
        <v>1553</v>
      </c>
      <c r="E241" s="1333" t="s">
        <v>1383</v>
      </c>
    </row>
    <row r="242" spans="1:5" x14ac:dyDescent="0.25">
      <c r="A242" s="1115">
        <v>241</v>
      </c>
      <c r="B242" s="1112" t="s">
        <v>1373</v>
      </c>
      <c r="C242" s="1112" t="s">
        <v>99</v>
      </c>
      <c r="D242" s="1112" t="s">
        <v>1519</v>
      </c>
      <c r="E242" s="1334" t="s">
        <v>254</v>
      </c>
    </row>
    <row r="243" spans="1:5" x14ac:dyDescent="0.25">
      <c r="A243" s="1115">
        <v>243</v>
      </c>
      <c r="B243" s="1112" t="s">
        <v>1373</v>
      </c>
      <c r="C243" s="1112" t="s">
        <v>99</v>
      </c>
      <c r="D243" s="1112" t="s">
        <v>1373</v>
      </c>
      <c r="E243" s="1334" t="s">
        <v>1339</v>
      </c>
    </row>
    <row r="244" spans="1:5" x14ac:dyDescent="0.25">
      <c r="A244" s="1115">
        <v>244</v>
      </c>
      <c r="B244" s="1112" t="s">
        <v>1373</v>
      </c>
      <c r="C244" s="1112" t="s">
        <v>99</v>
      </c>
      <c r="D244" s="1112" t="s">
        <v>1373</v>
      </c>
      <c r="E244" s="133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33" t="s">
        <v>1383</v>
      </c>
    </row>
    <row r="254" spans="1:5" x14ac:dyDescent="0.25">
      <c r="A254" s="1115">
        <v>254</v>
      </c>
      <c r="B254" s="1112" t="s">
        <v>1373</v>
      </c>
      <c r="C254" s="1112" t="s">
        <v>103</v>
      </c>
      <c r="D254" s="1112" t="s">
        <v>1519</v>
      </c>
      <c r="E254" s="1332" t="s">
        <v>254</v>
      </c>
    </row>
    <row r="255" spans="1:5" x14ac:dyDescent="0.25">
      <c r="A255" s="1115">
        <v>256</v>
      </c>
      <c r="B255" s="1112" t="s">
        <v>1373</v>
      </c>
      <c r="C255" s="1112" t="s">
        <v>103</v>
      </c>
      <c r="D255" s="1112" t="s">
        <v>1373</v>
      </c>
      <c r="E255" s="1334" t="s">
        <v>1339</v>
      </c>
    </row>
    <row r="256" spans="1:5" x14ac:dyDescent="0.25">
      <c r="A256" s="1115">
        <v>257</v>
      </c>
      <c r="B256" s="1112" t="s">
        <v>1373</v>
      </c>
      <c r="C256" s="1112" t="s">
        <v>103</v>
      </c>
      <c r="D256" s="1112" t="s">
        <v>1373</v>
      </c>
      <c r="E256" s="133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33" t="s">
        <v>1383</v>
      </c>
    </row>
    <row r="266" spans="1:5" x14ac:dyDescent="0.25">
      <c r="A266" s="1115">
        <v>267</v>
      </c>
      <c r="B266" s="1112" t="s">
        <v>1373</v>
      </c>
      <c r="C266" s="1112" t="s">
        <v>1390</v>
      </c>
      <c r="D266" s="1112" t="s">
        <v>1519</v>
      </c>
      <c r="E266" s="1332" t="s">
        <v>254</v>
      </c>
    </row>
    <row r="267" spans="1:5" x14ac:dyDescent="0.25">
      <c r="A267" s="1115">
        <v>269</v>
      </c>
      <c r="B267" s="1112" t="s">
        <v>1373</v>
      </c>
      <c r="C267" s="1112" t="s">
        <v>1390</v>
      </c>
      <c r="D267" s="1112" t="s">
        <v>1373</v>
      </c>
      <c r="E267" s="1334" t="s">
        <v>1339</v>
      </c>
    </row>
    <row r="268" spans="1:5" x14ac:dyDescent="0.25">
      <c r="A268" s="1115">
        <v>270</v>
      </c>
      <c r="B268" s="1112" t="s">
        <v>1373</v>
      </c>
      <c r="C268" s="1112" t="s">
        <v>1390</v>
      </c>
      <c r="D268" s="1112" t="s">
        <v>1373</v>
      </c>
      <c r="E268" s="133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33" t="s">
        <v>1383</v>
      </c>
    </row>
    <row r="278" spans="1:5" x14ac:dyDescent="0.25">
      <c r="A278" s="1115">
        <v>280</v>
      </c>
      <c r="B278" s="1112" t="s">
        <v>1373</v>
      </c>
      <c r="C278" s="1112" t="s">
        <v>102</v>
      </c>
      <c r="D278" s="1112" t="s">
        <v>1519</v>
      </c>
      <c r="E278" s="1332" t="s">
        <v>254</v>
      </c>
    </row>
    <row r="279" spans="1:5" x14ac:dyDescent="0.25">
      <c r="A279" s="1115">
        <v>281</v>
      </c>
      <c r="B279" s="1112" t="s">
        <v>1373</v>
      </c>
      <c r="C279" s="1112" t="s">
        <v>102</v>
      </c>
      <c r="D279" s="1112" t="s">
        <v>1373</v>
      </c>
      <c r="E279" s="1334" t="s">
        <v>1339</v>
      </c>
    </row>
    <row r="280" spans="1:5" x14ac:dyDescent="0.25">
      <c r="A280" s="1115">
        <v>282</v>
      </c>
      <c r="B280" s="1112" t="s">
        <v>1373</v>
      </c>
      <c r="C280" s="1112" t="s">
        <v>102</v>
      </c>
      <c r="D280" s="1112" t="s">
        <v>1373</v>
      </c>
      <c r="E280" s="133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33" t="s">
        <v>1383</v>
      </c>
    </row>
    <row r="290" spans="1:5" x14ac:dyDescent="0.25">
      <c r="A290" s="1115">
        <v>292</v>
      </c>
      <c r="B290" s="1112" t="s">
        <v>1373</v>
      </c>
      <c r="C290" s="1112" t="s">
        <v>100</v>
      </c>
      <c r="D290" s="1112" t="s">
        <v>1519</v>
      </c>
      <c r="E290" s="1332" t="s">
        <v>254</v>
      </c>
    </row>
    <row r="291" spans="1:5" x14ac:dyDescent="0.25">
      <c r="A291" s="1115">
        <v>293</v>
      </c>
      <c r="B291" s="1112" t="s">
        <v>1373</v>
      </c>
      <c r="C291" s="1112" t="s">
        <v>100</v>
      </c>
      <c r="D291" s="1112" t="s">
        <v>1373</v>
      </c>
      <c r="E291" s="1334" t="s">
        <v>1339</v>
      </c>
    </row>
    <row r="292" spans="1:5" x14ac:dyDescent="0.25">
      <c r="A292" s="1115">
        <v>294</v>
      </c>
      <c r="B292" s="1112" t="s">
        <v>1373</v>
      </c>
      <c r="C292" s="1112" t="s">
        <v>100</v>
      </c>
      <c r="D292" s="1112" t="s">
        <v>1373</v>
      </c>
      <c r="E292" s="133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33" t="s">
        <v>1383</v>
      </c>
    </row>
    <row r="302" spans="1:5" x14ac:dyDescent="0.25">
      <c r="A302" s="1115">
        <v>304</v>
      </c>
      <c r="B302" s="1112" t="s">
        <v>1373</v>
      </c>
      <c r="C302" s="1112" t="s">
        <v>104</v>
      </c>
      <c r="D302" s="1112" t="s">
        <v>1519</v>
      </c>
      <c r="E302" s="1332" t="s">
        <v>254</v>
      </c>
    </row>
    <row r="303" spans="1:5" x14ac:dyDescent="0.25">
      <c r="A303" s="1115">
        <v>305</v>
      </c>
      <c r="B303" s="1112" t="s">
        <v>1373</v>
      </c>
      <c r="C303" s="1112" t="s">
        <v>104</v>
      </c>
      <c r="D303" s="1112" t="s">
        <v>1373</v>
      </c>
      <c r="E303" s="1334" t="s">
        <v>1339</v>
      </c>
    </row>
    <row r="304" spans="1:5" x14ac:dyDescent="0.25">
      <c r="A304" s="1115">
        <v>306</v>
      </c>
      <c r="B304" s="1112" t="s">
        <v>1373</v>
      </c>
      <c r="C304" s="1112" t="s">
        <v>104</v>
      </c>
      <c r="D304" s="1112" t="s">
        <v>1373</v>
      </c>
      <c r="E304" s="133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33" t="s">
        <v>1383</v>
      </c>
    </row>
    <row r="314" spans="1:5" x14ac:dyDescent="0.25">
      <c r="A314" s="1115">
        <v>316</v>
      </c>
      <c r="B314" s="1112" t="s">
        <v>1373</v>
      </c>
      <c r="C314" s="1112" t="s">
        <v>98</v>
      </c>
      <c r="D314" s="1112" t="s">
        <v>1519</v>
      </c>
      <c r="E314" s="1332" t="s">
        <v>254</v>
      </c>
    </row>
    <row r="315" spans="1:5" x14ac:dyDescent="0.25">
      <c r="A315" s="1115">
        <v>317</v>
      </c>
      <c r="B315" s="1112" t="s">
        <v>1373</v>
      </c>
      <c r="C315" s="1112" t="s">
        <v>98</v>
      </c>
      <c r="D315" s="1112" t="s">
        <v>1373</v>
      </c>
      <c r="E315" s="1334" t="s">
        <v>1339</v>
      </c>
    </row>
    <row r="316" spans="1:5" x14ac:dyDescent="0.25">
      <c r="A316" s="1115">
        <v>318</v>
      </c>
      <c r="B316" s="1112" t="s">
        <v>1373</v>
      </c>
      <c r="C316" s="1112" t="s">
        <v>98</v>
      </c>
      <c r="D316" s="1112" t="s">
        <v>1373</v>
      </c>
      <c r="E316" s="133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33" t="s">
        <v>1383</v>
      </c>
    </row>
    <row r="326" spans="1:5" x14ac:dyDescent="0.25">
      <c r="A326" s="1115">
        <v>328</v>
      </c>
      <c r="B326" s="1112" t="s">
        <v>1373</v>
      </c>
      <c r="C326" s="1112" t="s">
        <v>95</v>
      </c>
      <c r="D326" s="1112" t="s">
        <v>1519</v>
      </c>
      <c r="E326" s="1332" t="s">
        <v>254</v>
      </c>
    </row>
    <row r="327" spans="1:5" x14ac:dyDescent="0.25">
      <c r="A327" s="1115">
        <v>329</v>
      </c>
      <c r="B327" s="1112" t="s">
        <v>1373</v>
      </c>
      <c r="C327" s="1112" t="s">
        <v>95</v>
      </c>
      <c r="D327" s="1112" t="s">
        <v>1373</v>
      </c>
      <c r="E327" s="1334" t="s">
        <v>1339</v>
      </c>
    </row>
    <row r="328" spans="1:5" x14ac:dyDescent="0.25">
      <c r="A328" s="1115">
        <v>330</v>
      </c>
      <c r="B328" s="1112" t="s">
        <v>1373</v>
      </c>
      <c r="C328" s="1112" t="s">
        <v>95</v>
      </c>
      <c r="D328" s="1112" t="s">
        <v>1373</v>
      </c>
      <c r="E328" s="133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33" t="s">
        <v>1383</v>
      </c>
    </row>
    <row r="338" spans="1:5" x14ac:dyDescent="0.25">
      <c r="A338" s="1115">
        <v>340</v>
      </c>
      <c r="B338" s="1112" t="s">
        <v>1373</v>
      </c>
      <c r="C338" s="1112" t="s">
        <v>96</v>
      </c>
      <c r="D338" s="1112" t="s">
        <v>1519</v>
      </c>
      <c r="E338" s="1332" t="s">
        <v>254</v>
      </c>
    </row>
    <row r="339" spans="1:5" x14ac:dyDescent="0.25">
      <c r="A339" s="1115">
        <v>341</v>
      </c>
      <c r="B339" s="1112" t="s">
        <v>1373</v>
      </c>
      <c r="C339" s="1112" t="s">
        <v>96</v>
      </c>
      <c r="D339" s="1112" t="s">
        <v>1373</v>
      </c>
      <c r="E339" s="1334" t="s">
        <v>1339</v>
      </c>
    </row>
    <row r="340" spans="1:5" x14ac:dyDescent="0.25">
      <c r="A340" s="1115">
        <v>342</v>
      </c>
      <c r="B340" s="1112" t="s">
        <v>1373</v>
      </c>
      <c r="C340" s="1112" t="s">
        <v>96</v>
      </c>
      <c r="D340" s="1112" t="s">
        <v>1373</v>
      </c>
      <c r="E340" s="133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33" t="s">
        <v>1383</v>
      </c>
    </row>
    <row r="350" spans="1:5" x14ac:dyDescent="0.25">
      <c r="A350" s="1115">
        <v>352</v>
      </c>
      <c r="B350" s="1112" t="s">
        <v>1373</v>
      </c>
      <c r="C350" s="1112" t="s">
        <v>101</v>
      </c>
      <c r="D350" s="1112" t="s">
        <v>1519</v>
      </c>
      <c r="E350" s="1332" t="s">
        <v>254</v>
      </c>
    </row>
    <row r="351" spans="1:5" x14ac:dyDescent="0.25">
      <c r="A351" s="1115">
        <v>353</v>
      </c>
      <c r="B351" s="1112" t="s">
        <v>1373</v>
      </c>
      <c r="C351" s="1112" t="s">
        <v>101</v>
      </c>
      <c r="D351" s="1112" t="s">
        <v>1373</v>
      </c>
      <c r="E351" s="1334" t="s">
        <v>1339</v>
      </c>
    </row>
    <row r="352" spans="1:5" x14ac:dyDescent="0.25">
      <c r="A352" s="1115">
        <v>354</v>
      </c>
      <c r="B352" s="1112" t="s">
        <v>1373</v>
      </c>
      <c r="C352" s="1112" t="s">
        <v>101</v>
      </c>
      <c r="D352" s="1112" t="s">
        <v>1373</v>
      </c>
      <c r="E352" s="133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33" t="s">
        <v>1383</v>
      </c>
    </row>
    <row r="362" spans="1:5" x14ac:dyDescent="0.25">
      <c r="A362" s="1115">
        <v>364</v>
      </c>
      <c r="B362" s="1112" t="s">
        <v>1373</v>
      </c>
      <c r="C362" s="1112" t="s">
        <v>97</v>
      </c>
      <c r="D362" s="1112" t="s">
        <v>1519</v>
      </c>
      <c r="E362" s="1332" t="s">
        <v>254</v>
      </c>
    </row>
    <row r="363" spans="1:5" x14ac:dyDescent="0.25">
      <c r="A363" s="1115">
        <v>365</v>
      </c>
      <c r="B363" s="1112" t="s">
        <v>1373</v>
      </c>
      <c r="C363" s="1112" t="s">
        <v>97</v>
      </c>
      <c r="D363" s="1112" t="s">
        <v>1373</v>
      </c>
      <c r="E363" s="1334" t="s">
        <v>1339</v>
      </c>
    </row>
    <row r="364" spans="1:5" x14ac:dyDescent="0.25">
      <c r="A364" s="1115">
        <v>366</v>
      </c>
      <c r="B364" s="1112" t="s">
        <v>1373</v>
      </c>
      <c r="C364" s="1112" t="s">
        <v>97</v>
      </c>
      <c r="D364" s="1112" t="s">
        <v>1373</v>
      </c>
      <c r="E364" s="133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33" t="s">
        <v>1383</v>
      </c>
    </row>
    <row r="374" spans="1:5" x14ac:dyDescent="0.25">
      <c r="A374" s="1115">
        <v>376</v>
      </c>
      <c r="B374" s="1112" t="s">
        <v>1373</v>
      </c>
      <c r="C374" s="1112" t="s">
        <v>93</v>
      </c>
      <c r="D374" s="1112" t="s">
        <v>1519</v>
      </c>
      <c r="E374" s="1332" t="s">
        <v>254</v>
      </c>
    </row>
    <row r="375" spans="1:5" x14ac:dyDescent="0.25">
      <c r="A375" s="1115">
        <v>377</v>
      </c>
      <c r="B375" s="1112" t="s">
        <v>1373</v>
      </c>
      <c r="C375" s="1112" t="s">
        <v>93</v>
      </c>
      <c r="D375" s="1112" t="s">
        <v>1373</v>
      </c>
      <c r="E375" s="1334" t="s">
        <v>1339</v>
      </c>
    </row>
    <row r="376" spans="1:5" x14ac:dyDescent="0.25">
      <c r="A376" s="1115">
        <v>378</v>
      </c>
      <c r="B376" s="1112" t="s">
        <v>1373</v>
      </c>
      <c r="C376" s="1112" t="s">
        <v>93</v>
      </c>
      <c r="D376" s="1112" t="s">
        <v>1373</v>
      </c>
      <c r="E376" s="133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33" t="s">
        <v>1383</v>
      </c>
    </row>
    <row r="386" spans="1:5" x14ac:dyDescent="0.25">
      <c r="A386" s="1115">
        <v>388</v>
      </c>
      <c r="B386" s="1112" t="s">
        <v>1373</v>
      </c>
      <c r="C386" s="1112" t="s">
        <v>105</v>
      </c>
      <c r="D386" s="1112" t="s">
        <v>1519</v>
      </c>
      <c r="E386" s="1332" t="s">
        <v>254</v>
      </c>
    </row>
    <row r="387" spans="1:5" x14ac:dyDescent="0.25">
      <c r="A387" s="1115">
        <v>389</v>
      </c>
      <c r="B387" s="1112" t="s">
        <v>1373</v>
      </c>
      <c r="C387" s="1112" t="s">
        <v>105</v>
      </c>
      <c r="D387" s="1112" t="s">
        <v>1373</v>
      </c>
      <c r="E387" s="1334" t="s">
        <v>1339</v>
      </c>
    </row>
    <row r="388" spans="1:5" x14ac:dyDescent="0.25">
      <c r="A388" s="1115">
        <v>390</v>
      </c>
      <c r="B388" s="1112" t="s">
        <v>1373</v>
      </c>
      <c r="C388" s="1112" t="s">
        <v>105</v>
      </c>
      <c r="D388" s="1112" t="s">
        <v>1373</v>
      </c>
      <c r="E388" s="133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33" t="s">
        <v>1383</v>
      </c>
    </row>
    <row r="398" spans="1:5" x14ac:dyDescent="0.25">
      <c r="A398" s="1115">
        <v>400</v>
      </c>
      <c r="B398" s="1112" t="s">
        <v>1373</v>
      </c>
      <c r="C398" s="1112" t="s">
        <v>92</v>
      </c>
      <c r="D398" s="1112" t="s">
        <v>1519</v>
      </c>
      <c r="E398" s="1332" t="s">
        <v>254</v>
      </c>
    </row>
    <row r="399" spans="1:5" x14ac:dyDescent="0.25">
      <c r="A399" s="1115">
        <v>401</v>
      </c>
      <c r="B399" s="1112" t="s">
        <v>1373</v>
      </c>
      <c r="C399" s="1112" t="s">
        <v>92</v>
      </c>
      <c r="D399" s="1112" t="s">
        <v>1373</v>
      </c>
      <c r="E399" s="1334" t="s">
        <v>1339</v>
      </c>
    </row>
    <row r="400" spans="1:5" x14ac:dyDescent="0.25">
      <c r="A400" s="1115">
        <v>402</v>
      </c>
      <c r="B400" s="1112" t="s">
        <v>1373</v>
      </c>
      <c r="C400" s="1112" t="s">
        <v>92</v>
      </c>
      <c r="D400" s="1112" t="s">
        <v>1373</v>
      </c>
      <c r="E400" s="133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33" t="s">
        <v>1383</v>
      </c>
    </row>
    <row r="410" spans="1:5" x14ac:dyDescent="0.25">
      <c r="A410" s="1115">
        <v>412</v>
      </c>
      <c r="B410" s="1112" t="s">
        <v>1373</v>
      </c>
      <c r="C410" s="1112" t="s">
        <v>91</v>
      </c>
      <c r="D410" s="1112" t="s">
        <v>1519</v>
      </c>
      <c r="E410" s="1332" t="s">
        <v>254</v>
      </c>
    </row>
    <row r="411" spans="1:5" x14ac:dyDescent="0.25">
      <c r="A411" s="1115">
        <v>413</v>
      </c>
      <c r="B411" s="1112" t="s">
        <v>1373</v>
      </c>
      <c r="C411" s="1112" t="s">
        <v>91</v>
      </c>
      <c r="D411" s="1112" t="s">
        <v>1373</v>
      </c>
      <c r="E411" s="1334" t="s">
        <v>1339</v>
      </c>
    </row>
    <row r="412" spans="1:5" x14ac:dyDescent="0.25">
      <c r="A412" s="1115">
        <v>414</v>
      </c>
      <c r="B412" s="1112" t="s">
        <v>1373</v>
      </c>
      <c r="C412" s="1112" t="s">
        <v>91</v>
      </c>
      <c r="D412" s="1112" t="s">
        <v>1373</v>
      </c>
      <c r="E412" s="133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33" t="s">
        <v>1383</v>
      </c>
    </row>
    <row r="422" spans="1:5" x14ac:dyDescent="0.25">
      <c r="A422" s="1115">
        <v>424</v>
      </c>
      <c r="B422" s="1112" t="s">
        <v>1373</v>
      </c>
      <c r="C422" s="1112" t="s">
        <v>90</v>
      </c>
      <c r="D422" s="1112" t="s">
        <v>1519</v>
      </c>
      <c r="E422" s="1332" t="s">
        <v>254</v>
      </c>
    </row>
    <row r="423" spans="1:5" x14ac:dyDescent="0.25">
      <c r="A423" s="1115">
        <v>425</v>
      </c>
      <c r="B423" s="1112" t="s">
        <v>1373</v>
      </c>
      <c r="C423" s="1112" t="s">
        <v>90</v>
      </c>
      <c r="D423" s="1112" t="s">
        <v>1373</v>
      </c>
      <c r="E423" s="1334" t="s">
        <v>1339</v>
      </c>
    </row>
    <row r="424" spans="1:5" x14ac:dyDescent="0.25">
      <c r="A424" s="1115">
        <v>426</v>
      </c>
      <c r="B424" s="1112" t="s">
        <v>1373</v>
      </c>
      <c r="C424" s="1112" t="s">
        <v>90</v>
      </c>
      <c r="D424" s="1112" t="s">
        <v>1373</v>
      </c>
      <c r="E424" s="133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33" t="s">
        <v>1383</v>
      </c>
    </row>
    <row r="434" spans="1:5" x14ac:dyDescent="0.25">
      <c r="A434" s="1115">
        <v>436</v>
      </c>
      <c r="B434" s="1112" t="s">
        <v>1373</v>
      </c>
      <c r="C434" s="1112" t="s">
        <v>89</v>
      </c>
      <c r="D434" s="1112" t="s">
        <v>1519</v>
      </c>
      <c r="E434" s="1332" t="s">
        <v>254</v>
      </c>
    </row>
    <row r="435" spans="1:5" x14ac:dyDescent="0.25">
      <c r="A435" s="1115">
        <v>437</v>
      </c>
      <c r="B435" s="1112" t="s">
        <v>1373</v>
      </c>
      <c r="C435" s="1112" t="s">
        <v>89</v>
      </c>
      <c r="D435" s="1112" t="s">
        <v>1373</v>
      </c>
      <c r="E435" s="1334" t="s">
        <v>1339</v>
      </c>
    </row>
    <row r="436" spans="1:5" x14ac:dyDescent="0.25">
      <c r="A436" s="1115">
        <v>438</v>
      </c>
      <c r="B436" s="1112" t="s">
        <v>1373</v>
      </c>
      <c r="C436" s="1112" t="s">
        <v>89</v>
      </c>
      <c r="D436" s="1112" t="s">
        <v>1373</v>
      </c>
      <c r="E436" s="133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33" t="s">
        <v>1383</v>
      </c>
    </row>
    <row r="446" spans="1:5" x14ac:dyDescent="0.25">
      <c r="A446" s="1115">
        <v>448</v>
      </c>
      <c r="B446" s="1112" t="s">
        <v>1373</v>
      </c>
      <c r="C446" s="1112" t="s">
        <v>94</v>
      </c>
      <c r="D446" s="1112" t="s">
        <v>1519</v>
      </c>
      <c r="E446" s="1332" t="s">
        <v>254</v>
      </c>
    </row>
    <row r="447" spans="1:5" x14ac:dyDescent="0.25">
      <c r="A447" s="1115">
        <v>449</v>
      </c>
      <c r="B447" s="1112" t="s">
        <v>1373</v>
      </c>
      <c r="C447" s="1112" t="s">
        <v>94</v>
      </c>
      <c r="D447" s="1112" t="s">
        <v>1373</v>
      </c>
      <c r="E447" s="1334" t="s">
        <v>1339</v>
      </c>
    </row>
    <row r="448" spans="1:5" x14ac:dyDescent="0.25">
      <c r="A448" s="1115">
        <v>450</v>
      </c>
      <c r="B448" s="1112" t="s">
        <v>1373</v>
      </c>
      <c r="C448" s="1112" t="s">
        <v>94</v>
      </c>
      <c r="D448" s="1112" t="s">
        <v>1373</v>
      </c>
      <c r="E448" s="133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33" t="s">
        <v>1383</v>
      </c>
    </row>
    <row r="458" spans="1:5" x14ac:dyDescent="0.25">
      <c r="A458" s="1115">
        <v>460</v>
      </c>
      <c r="B458" s="1112" t="s">
        <v>1373</v>
      </c>
      <c r="C458" s="1112" t="s">
        <v>86</v>
      </c>
      <c r="D458" s="1112" t="s">
        <v>1519</v>
      </c>
      <c r="E458" s="1332" t="s">
        <v>254</v>
      </c>
    </row>
    <row r="459" spans="1:5" x14ac:dyDescent="0.25">
      <c r="A459" s="1115">
        <v>461</v>
      </c>
      <c r="B459" s="1112" t="s">
        <v>1373</v>
      </c>
      <c r="C459" s="1112" t="s">
        <v>86</v>
      </c>
      <c r="D459" s="1112" t="s">
        <v>1373</v>
      </c>
      <c r="E459" s="1334" t="s">
        <v>1339</v>
      </c>
    </row>
    <row r="460" spans="1:5" x14ac:dyDescent="0.25">
      <c r="A460" s="1115">
        <v>462</v>
      </c>
      <c r="B460" s="1112" t="s">
        <v>1373</v>
      </c>
      <c r="C460" s="1112" t="s">
        <v>86</v>
      </c>
      <c r="D460" s="1112" t="s">
        <v>1373</v>
      </c>
      <c r="E460" s="133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33" t="s">
        <v>1383</v>
      </c>
    </row>
    <row r="470" spans="1:5" x14ac:dyDescent="0.25">
      <c r="A470" s="1115">
        <v>472</v>
      </c>
      <c r="B470" s="1112" t="s">
        <v>1373</v>
      </c>
      <c r="C470" s="1112" t="s">
        <v>88</v>
      </c>
      <c r="D470" s="1112" t="s">
        <v>1519</v>
      </c>
      <c r="E470" s="1332" t="s">
        <v>254</v>
      </c>
    </row>
    <row r="471" spans="1:5" x14ac:dyDescent="0.25">
      <c r="A471" s="1115">
        <v>473</v>
      </c>
      <c r="B471" s="1112" t="s">
        <v>1373</v>
      </c>
      <c r="C471" s="1112" t="s">
        <v>88</v>
      </c>
      <c r="D471" s="1112" t="s">
        <v>1373</v>
      </c>
      <c r="E471" s="1334" t="s">
        <v>1339</v>
      </c>
    </row>
    <row r="472" spans="1:5" x14ac:dyDescent="0.25">
      <c r="A472" s="1115">
        <v>474</v>
      </c>
      <c r="B472" s="1112" t="s">
        <v>1373</v>
      </c>
      <c r="C472" s="1112" t="s">
        <v>88</v>
      </c>
      <c r="D472" s="1112" t="s">
        <v>1373</v>
      </c>
      <c r="E472" s="133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33" t="s">
        <v>1383</v>
      </c>
    </row>
    <row r="482" spans="1:5" x14ac:dyDescent="0.25">
      <c r="A482" s="1115">
        <v>484</v>
      </c>
      <c r="B482" s="1112" t="s">
        <v>1373</v>
      </c>
      <c r="C482" s="1112" t="s">
        <v>87</v>
      </c>
      <c r="D482" s="1112" t="s">
        <v>1519</v>
      </c>
      <c r="E482" s="1332" t="s">
        <v>254</v>
      </c>
    </row>
    <row r="483" spans="1:5" x14ac:dyDescent="0.25">
      <c r="A483" s="1115">
        <v>485</v>
      </c>
      <c r="B483" s="1112" t="s">
        <v>1373</v>
      </c>
      <c r="C483" s="1112" t="s">
        <v>87</v>
      </c>
      <c r="D483" s="1112" t="s">
        <v>1373</v>
      </c>
      <c r="E483" s="1334" t="s">
        <v>1339</v>
      </c>
    </row>
    <row r="484" spans="1:5" x14ac:dyDescent="0.25">
      <c r="A484" s="1115">
        <v>486</v>
      </c>
      <c r="B484" s="1112" t="s">
        <v>1373</v>
      </c>
      <c r="C484" s="1112" t="s">
        <v>87</v>
      </c>
      <c r="D484" s="1112" t="s">
        <v>1373</v>
      </c>
      <c r="E484" s="133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32" t="s">
        <v>1369</v>
      </c>
    </row>
    <row r="494" spans="1:5" x14ac:dyDescent="0.25">
      <c r="A494" s="1115">
        <v>496</v>
      </c>
      <c r="B494" s="1112" t="s">
        <v>1373</v>
      </c>
      <c r="C494" s="1112" t="s">
        <v>1358</v>
      </c>
      <c r="D494" s="1115" t="s">
        <v>1519</v>
      </c>
      <c r="E494" s="1332" t="s">
        <v>1370</v>
      </c>
    </row>
    <row r="495" spans="1:5" x14ac:dyDescent="0.25">
      <c r="A495" s="1115">
        <v>497</v>
      </c>
      <c r="B495" s="1112" t="s">
        <v>1373</v>
      </c>
      <c r="C495" s="1112" t="s">
        <v>1358</v>
      </c>
      <c r="D495" s="1115" t="s">
        <v>1519</v>
      </c>
      <c r="E495" s="1332" t="s">
        <v>1364</v>
      </c>
    </row>
    <row r="496" spans="1:5" x14ac:dyDescent="0.25">
      <c r="A496" s="1115">
        <v>498</v>
      </c>
      <c r="B496" s="1112" t="s">
        <v>1509</v>
      </c>
      <c r="C496" s="1112" t="s">
        <v>1555</v>
      </c>
      <c r="D496" s="1112" t="s">
        <v>1519</v>
      </c>
      <c r="E496" s="1332" t="s">
        <v>1556</v>
      </c>
    </row>
    <row r="497" spans="1:5" x14ac:dyDescent="0.25">
      <c r="A497" s="1115">
        <v>499</v>
      </c>
      <c r="B497" s="1112" t="s">
        <v>1509</v>
      </c>
      <c r="C497" s="1112" t="s">
        <v>1557</v>
      </c>
      <c r="D497" s="1112" t="s">
        <v>1558</v>
      </c>
      <c r="E497" s="1332" t="s">
        <v>1557</v>
      </c>
    </row>
    <row r="498" spans="1:5" x14ac:dyDescent="0.25">
      <c r="A498" s="1115">
        <v>500</v>
      </c>
      <c r="B498" s="1112" t="s">
        <v>1509</v>
      </c>
      <c r="C498" s="1112" t="s">
        <v>1557</v>
      </c>
      <c r="D498" s="1112" t="s">
        <v>1558</v>
      </c>
      <c r="E498" s="1332" t="s">
        <v>1559</v>
      </c>
    </row>
    <row r="499" spans="1:5" x14ac:dyDescent="0.25">
      <c r="A499" s="1115">
        <v>501</v>
      </c>
      <c r="B499" s="1112" t="s">
        <v>1509</v>
      </c>
      <c r="C499" s="1112" t="s">
        <v>1557</v>
      </c>
      <c r="D499" s="1112" t="s">
        <v>1558</v>
      </c>
      <c r="E499" s="1332" t="s">
        <v>1560</v>
      </c>
    </row>
    <row r="500" spans="1:5" x14ac:dyDescent="0.25">
      <c r="A500" s="1115">
        <v>502</v>
      </c>
      <c r="B500" s="1112" t="s">
        <v>1509</v>
      </c>
      <c r="C500" s="1112" t="s">
        <v>1557</v>
      </c>
      <c r="D500" s="1112" t="s">
        <v>1558</v>
      </c>
      <c r="E500" s="1332" t="s">
        <v>1561</v>
      </c>
    </row>
    <row r="501" spans="1:5" x14ac:dyDescent="0.25">
      <c r="A501" s="1115">
        <v>503</v>
      </c>
      <c r="B501" s="1112" t="s">
        <v>1509</v>
      </c>
      <c r="C501" s="1112" t="s">
        <v>1557</v>
      </c>
      <c r="D501" s="1112" t="s">
        <v>1558</v>
      </c>
      <c r="E501" s="1332" t="s">
        <v>1562</v>
      </c>
    </row>
    <row r="502" spans="1:5" x14ac:dyDescent="0.25">
      <c r="A502" s="1115">
        <v>504</v>
      </c>
      <c r="B502" s="1112" t="s">
        <v>1509</v>
      </c>
      <c r="C502" s="1112" t="s">
        <v>1557</v>
      </c>
      <c r="D502" s="1112" t="s">
        <v>1558</v>
      </c>
      <c r="E502" s="1332" t="s">
        <v>1563</v>
      </c>
    </row>
    <row r="503" spans="1:5" x14ac:dyDescent="0.25">
      <c r="A503" s="1115">
        <v>505</v>
      </c>
      <c r="B503" s="1112" t="s">
        <v>1458</v>
      </c>
      <c r="C503" s="1112" t="s">
        <v>1548</v>
      </c>
      <c r="D503" s="1112" t="s">
        <v>1564</v>
      </c>
      <c r="E503" s="1332" t="s">
        <v>1565</v>
      </c>
    </row>
    <row r="504" spans="1:5" x14ac:dyDescent="0.25">
      <c r="A504" s="1115">
        <v>506</v>
      </c>
      <c r="B504" s="1112" t="s">
        <v>1458</v>
      </c>
      <c r="C504" s="1112" t="s">
        <v>1548</v>
      </c>
      <c r="D504" s="1112" t="s">
        <v>1564</v>
      </c>
      <c r="E504" s="1332" t="s">
        <v>1332</v>
      </c>
    </row>
    <row r="505" spans="1:5" x14ac:dyDescent="0.25">
      <c r="A505" s="1115">
        <v>507</v>
      </c>
      <c r="B505" s="1112" t="s">
        <v>1458</v>
      </c>
      <c r="C505" s="1112" t="s">
        <v>1548</v>
      </c>
      <c r="D505" s="1112" t="s">
        <v>1564</v>
      </c>
      <c r="E505" s="1332" t="s">
        <v>1333</v>
      </c>
    </row>
    <row r="506" spans="1:5" x14ac:dyDescent="0.25">
      <c r="A506" s="1115">
        <v>508</v>
      </c>
      <c r="B506" s="1112" t="s">
        <v>1458</v>
      </c>
      <c r="C506" s="1112" t="s">
        <v>1548</v>
      </c>
      <c r="D506" s="1112" t="s">
        <v>1566</v>
      </c>
      <c r="E506" s="1332" t="s">
        <v>1337</v>
      </c>
    </row>
    <row r="507" spans="1:5" x14ac:dyDescent="0.25">
      <c r="A507" s="1115">
        <v>509</v>
      </c>
      <c r="B507" s="1112" t="s">
        <v>1458</v>
      </c>
      <c r="C507" s="1112" t="s">
        <v>1548</v>
      </c>
      <c r="D507" s="1112" t="s">
        <v>1567</v>
      </c>
      <c r="E507" s="1332" t="s">
        <v>1334</v>
      </c>
    </row>
    <row r="508" spans="1:5" x14ac:dyDescent="0.25">
      <c r="A508" s="1115">
        <v>510</v>
      </c>
      <c r="B508" s="1112" t="s">
        <v>1373</v>
      </c>
      <c r="C508" s="1112" t="s">
        <v>1548</v>
      </c>
      <c r="D508" s="1335" t="s">
        <v>1568</v>
      </c>
      <c r="E508" s="1332" t="s">
        <v>1362</v>
      </c>
    </row>
    <row r="509" spans="1:5" x14ac:dyDescent="0.25">
      <c r="A509" s="1115">
        <v>511</v>
      </c>
      <c r="B509" s="1112" t="s">
        <v>1373</v>
      </c>
      <c r="C509" s="1112" t="s">
        <v>1548</v>
      </c>
      <c r="D509" s="1335" t="s">
        <v>1568</v>
      </c>
      <c r="E509" s="1332" t="s">
        <v>1569</v>
      </c>
    </row>
    <row r="510" spans="1:5" x14ac:dyDescent="0.25">
      <c r="A510" s="1115">
        <v>512</v>
      </c>
      <c r="B510" s="1112" t="s">
        <v>1458</v>
      </c>
      <c r="C510" s="1112" t="s">
        <v>1570</v>
      </c>
      <c r="D510" s="1112" t="s">
        <v>1525</v>
      </c>
      <c r="E510" s="1332" t="s">
        <v>1295</v>
      </c>
    </row>
    <row r="511" spans="1:5" x14ac:dyDescent="0.25">
      <c r="A511" s="1115">
        <v>513</v>
      </c>
      <c r="B511" s="1112" t="s">
        <v>1373</v>
      </c>
      <c r="C511" s="1112" t="s">
        <v>1570</v>
      </c>
      <c r="D511" s="1112" t="s">
        <v>1525</v>
      </c>
      <c r="E511" s="1332" t="s">
        <v>1365</v>
      </c>
    </row>
    <row r="512" spans="1:5" x14ac:dyDescent="0.25">
      <c r="A512" s="1115">
        <v>514</v>
      </c>
      <c r="B512" s="1112" t="s">
        <v>1373</v>
      </c>
      <c r="C512" s="1112" t="s">
        <v>1570</v>
      </c>
      <c r="D512" s="1112" t="s">
        <v>1525</v>
      </c>
      <c r="E512" s="1332" t="s">
        <v>1366</v>
      </c>
    </row>
    <row r="513" spans="1:5" x14ac:dyDescent="0.25">
      <c r="A513" s="1115">
        <v>515</v>
      </c>
      <c r="B513" s="1112" t="s">
        <v>1373</v>
      </c>
      <c r="C513" s="1112" t="s">
        <v>1570</v>
      </c>
      <c r="D513" s="1112" t="s">
        <v>1525</v>
      </c>
      <c r="E513" s="1332" t="s">
        <v>1571</v>
      </c>
    </row>
    <row r="514" spans="1:5" x14ac:dyDescent="0.25">
      <c r="A514" s="1115">
        <v>516</v>
      </c>
      <c r="B514" s="1112" t="s">
        <v>1373</v>
      </c>
      <c r="C514" s="1112" t="s">
        <v>1570</v>
      </c>
      <c r="D514" s="1112" t="s">
        <v>1525</v>
      </c>
      <c r="E514" s="1332" t="s">
        <v>1368</v>
      </c>
    </row>
    <row r="515" spans="1:5" x14ac:dyDescent="0.25">
      <c r="A515" s="1115">
        <v>517</v>
      </c>
      <c r="B515" s="1112" t="s">
        <v>129</v>
      </c>
      <c r="C515" s="1112" t="s">
        <v>1572</v>
      </c>
      <c r="D515" s="1112" t="s">
        <v>1519</v>
      </c>
      <c r="E515" s="1332" t="s">
        <v>1573</v>
      </c>
    </row>
    <row r="516" spans="1:5" ht="30" x14ac:dyDescent="0.25">
      <c r="A516" s="1115">
        <v>518</v>
      </c>
      <c r="B516" s="1112" t="s">
        <v>1656</v>
      </c>
      <c r="C516" s="1112" t="s">
        <v>1657</v>
      </c>
      <c r="D516" s="1113" t="s">
        <v>1658</v>
      </c>
      <c r="E516" s="1336" t="s">
        <v>1603</v>
      </c>
    </row>
    <row r="517" spans="1:5" ht="30" x14ac:dyDescent="0.25">
      <c r="A517" s="1115">
        <v>519</v>
      </c>
      <c r="B517" s="1112" t="s">
        <v>1656</v>
      </c>
      <c r="C517" s="1112" t="s">
        <v>1657</v>
      </c>
      <c r="D517" s="1113" t="s">
        <v>1658</v>
      </c>
      <c r="E517" s="1337" t="s">
        <v>1491</v>
      </c>
    </row>
    <row r="518" spans="1:5" ht="30" x14ac:dyDescent="0.25">
      <c r="A518" s="1115">
        <v>520</v>
      </c>
      <c r="B518" s="1112" t="s">
        <v>1656</v>
      </c>
      <c r="C518" s="1112" t="s">
        <v>1657</v>
      </c>
      <c r="D518" s="1113" t="s">
        <v>1658</v>
      </c>
      <c r="E518" s="1337" t="s">
        <v>1488</v>
      </c>
    </row>
    <row r="519" spans="1:5" ht="30" x14ac:dyDescent="0.25">
      <c r="A519" s="1115">
        <v>521</v>
      </c>
      <c r="B519" s="1112" t="s">
        <v>1656</v>
      </c>
      <c r="C519" s="1112" t="s">
        <v>1657</v>
      </c>
      <c r="D519" s="1113" t="s">
        <v>1658</v>
      </c>
      <c r="E519" s="1337" t="s">
        <v>1489</v>
      </c>
    </row>
    <row r="520" spans="1:5" ht="30" x14ac:dyDescent="0.25">
      <c r="A520" s="1115">
        <v>522</v>
      </c>
      <c r="B520" s="1112" t="s">
        <v>1656</v>
      </c>
      <c r="C520" s="1112" t="s">
        <v>1657</v>
      </c>
      <c r="D520" s="1113" t="s">
        <v>1658</v>
      </c>
      <c r="E520" s="1337" t="s">
        <v>1505</v>
      </c>
    </row>
    <row r="521" spans="1:5" x14ac:dyDescent="0.25">
      <c r="A521" s="1115">
        <v>523</v>
      </c>
      <c r="B521" s="1112" t="s">
        <v>1656</v>
      </c>
      <c r="C521" s="1112" t="s">
        <v>1657</v>
      </c>
      <c r="D521" s="1113" t="s">
        <v>1519</v>
      </c>
      <c r="E521" s="1337" t="s">
        <v>1490</v>
      </c>
    </row>
    <row r="522" spans="1:5" ht="30" x14ac:dyDescent="0.25">
      <c r="A522" s="1115">
        <v>524</v>
      </c>
      <c r="B522" s="1112" t="s">
        <v>1656</v>
      </c>
      <c r="C522" s="1112" t="s">
        <v>1657</v>
      </c>
      <c r="D522" s="1113" t="s">
        <v>1658</v>
      </c>
      <c r="E522" s="1337" t="s">
        <v>1598</v>
      </c>
    </row>
    <row r="523" spans="1:5" ht="30" x14ac:dyDescent="0.25">
      <c r="A523" s="1115">
        <v>525</v>
      </c>
      <c r="B523" s="1112" t="s">
        <v>1656</v>
      </c>
      <c r="C523" s="1112" t="s">
        <v>1657</v>
      </c>
      <c r="D523" s="1113" t="s">
        <v>1658</v>
      </c>
      <c r="E523" s="1337" t="s">
        <v>1599</v>
      </c>
    </row>
    <row r="524" spans="1:5" x14ac:dyDescent="0.25">
      <c r="A524" s="1115">
        <v>526</v>
      </c>
      <c r="B524" s="1112" t="s">
        <v>1656</v>
      </c>
      <c r="C524" s="1112" t="s">
        <v>1657</v>
      </c>
      <c r="D524" s="1113" t="s">
        <v>1519</v>
      </c>
      <c r="E524" s="1337" t="s">
        <v>1600</v>
      </c>
    </row>
    <row r="525" spans="1:5" ht="45" x14ac:dyDescent="0.25">
      <c r="A525" s="1115">
        <v>527</v>
      </c>
      <c r="B525" s="1112" t="s">
        <v>1656</v>
      </c>
      <c r="C525" s="1112" t="s">
        <v>1657</v>
      </c>
      <c r="D525" s="1286" t="s">
        <v>1659</v>
      </c>
      <c r="E525" s="1337" t="s">
        <v>1493</v>
      </c>
    </row>
    <row r="526" spans="1:5" ht="45" x14ac:dyDescent="0.25">
      <c r="A526" s="1115">
        <v>528</v>
      </c>
      <c r="B526" s="1112" t="s">
        <v>1656</v>
      </c>
      <c r="C526" s="1112" t="s">
        <v>1657</v>
      </c>
      <c r="D526" s="1286" t="s">
        <v>1659</v>
      </c>
      <c r="E526" s="1337" t="s">
        <v>1494</v>
      </c>
    </row>
    <row r="527" spans="1:5" ht="45" x14ac:dyDescent="0.25">
      <c r="A527" s="1115">
        <v>529</v>
      </c>
      <c r="B527" s="1112" t="s">
        <v>1656</v>
      </c>
      <c r="C527" s="1112" t="s">
        <v>1657</v>
      </c>
      <c r="D527" s="1286" t="s">
        <v>1659</v>
      </c>
      <c r="E527" s="1337" t="s">
        <v>1607</v>
      </c>
    </row>
    <row r="528" spans="1:5" x14ac:dyDescent="0.25">
      <c r="A528" s="1115">
        <v>530</v>
      </c>
      <c r="B528" s="1112" t="s">
        <v>1656</v>
      </c>
      <c r="C528" s="1112" t="s">
        <v>1657</v>
      </c>
      <c r="D528" s="1113" t="s">
        <v>1519</v>
      </c>
      <c r="E528" s="1337" t="s">
        <v>1604</v>
      </c>
    </row>
    <row r="529" spans="1:5" ht="30" x14ac:dyDescent="0.25">
      <c r="A529" s="1115">
        <v>531</v>
      </c>
      <c r="B529" s="1112" t="s">
        <v>1656</v>
      </c>
      <c r="C529" s="1112" t="s">
        <v>1657</v>
      </c>
      <c r="D529" s="1113" t="s">
        <v>1658</v>
      </c>
      <c r="E529" s="1337" t="s">
        <v>1497</v>
      </c>
    </row>
    <row r="530" spans="1:5" ht="30" x14ac:dyDescent="0.25">
      <c r="A530" s="1115">
        <v>532</v>
      </c>
      <c r="B530" s="1112" t="s">
        <v>1656</v>
      </c>
      <c r="C530" s="1112" t="s">
        <v>1660</v>
      </c>
      <c r="D530" s="1113" t="s">
        <v>1658</v>
      </c>
      <c r="E530" s="1336" t="s">
        <v>1603</v>
      </c>
    </row>
    <row r="531" spans="1:5" ht="30" x14ac:dyDescent="0.25">
      <c r="A531" s="1115">
        <v>533</v>
      </c>
      <c r="B531" s="1112" t="s">
        <v>1656</v>
      </c>
      <c r="C531" s="1112" t="s">
        <v>1660</v>
      </c>
      <c r="D531" s="1113" t="s">
        <v>1658</v>
      </c>
      <c r="E531" s="1337" t="s">
        <v>1491</v>
      </c>
    </row>
    <row r="532" spans="1:5" ht="30" x14ac:dyDescent="0.25">
      <c r="A532" s="1115">
        <v>534</v>
      </c>
      <c r="B532" s="1112" t="s">
        <v>1656</v>
      </c>
      <c r="C532" s="1112" t="s">
        <v>1660</v>
      </c>
      <c r="D532" s="1113" t="s">
        <v>1658</v>
      </c>
      <c r="E532" s="1337" t="s">
        <v>1488</v>
      </c>
    </row>
    <row r="533" spans="1:5" ht="30" x14ac:dyDescent="0.25">
      <c r="A533" s="1115">
        <v>535</v>
      </c>
      <c r="B533" s="1112" t="s">
        <v>1656</v>
      </c>
      <c r="C533" s="1112" t="s">
        <v>1660</v>
      </c>
      <c r="D533" s="1113" t="s">
        <v>1658</v>
      </c>
      <c r="E533" s="1337" t="s">
        <v>1489</v>
      </c>
    </row>
    <row r="534" spans="1:5" ht="30" x14ac:dyDescent="0.25">
      <c r="A534" s="1115">
        <v>536</v>
      </c>
      <c r="B534" s="1112" t="s">
        <v>1656</v>
      </c>
      <c r="C534" s="1112" t="s">
        <v>1660</v>
      </c>
      <c r="D534" s="1113" t="s">
        <v>1658</v>
      </c>
      <c r="E534" s="1337" t="s">
        <v>1505</v>
      </c>
    </row>
    <row r="535" spans="1:5" x14ac:dyDescent="0.25">
      <c r="A535" s="1115">
        <v>537</v>
      </c>
      <c r="B535" s="1112" t="s">
        <v>1656</v>
      </c>
      <c r="C535" s="1112" t="s">
        <v>1660</v>
      </c>
      <c r="D535" s="1113" t="s">
        <v>1519</v>
      </c>
      <c r="E535" s="1337" t="s">
        <v>1490</v>
      </c>
    </row>
    <row r="536" spans="1:5" ht="30" x14ac:dyDescent="0.25">
      <c r="A536" s="1115">
        <v>538</v>
      </c>
      <c r="B536" s="1112" t="s">
        <v>1656</v>
      </c>
      <c r="C536" s="1112" t="s">
        <v>1660</v>
      </c>
      <c r="D536" s="1113" t="s">
        <v>1658</v>
      </c>
      <c r="E536" s="1337" t="s">
        <v>1598</v>
      </c>
    </row>
    <row r="537" spans="1:5" ht="30" x14ac:dyDescent="0.25">
      <c r="A537" s="1115">
        <v>539</v>
      </c>
      <c r="B537" s="1112" t="s">
        <v>1656</v>
      </c>
      <c r="C537" s="1112" t="s">
        <v>1660</v>
      </c>
      <c r="D537" s="1113" t="s">
        <v>1658</v>
      </c>
      <c r="E537" s="1337" t="s">
        <v>1599</v>
      </c>
    </row>
    <row r="538" spans="1:5" x14ac:dyDescent="0.25">
      <c r="A538" s="1115">
        <v>540</v>
      </c>
      <c r="B538" s="1112" t="s">
        <v>1656</v>
      </c>
      <c r="C538" s="1112" t="s">
        <v>1660</v>
      </c>
      <c r="D538" s="1113" t="s">
        <v>1519</v>
      </c>
      <c r="E538" s="1337" t="s">
        <v>1600</v>
      </c>
    </row>
    <row r="539" spans="1:5" ht="45" x14ac:dyDescent="0.25">
      <c r="A539" s="1115">
        <v>541</v>
      </c>
      <c r="B539" s="1112" t="s">
        <v>1656</v>
      </c>
      <c r="C539" s="1112" t="s">
        <v>1660</v>
      </c>
      <c r="D539" s="1286" t="s">
        <v>1659</v>
      </c>
      <c r="E539" s="1337" t="s">
        <v>1493</v>
      </c>
    </row>
    <row r="540" spans="1:5" ht="45" x14ac:dyDescent="0.25">
      <c r="A540" s="1115">
        <v>542</v>
      </c>
      <c r="B540" s="1112" t="s">
        <v>1656</v>
      </c>
      <c r="C540" s="1112" t="s">
        <v>1660</v>
      </c>
      <c r="D540" s="1286" t="s">
        <v>1659</v>
      </c>
      <c r="E540" s="1337" t="s">
        <v>1494</v>
      </c>
    </row>
    <row r="541" spans="1:5" ht="45" x14ac:dyDescent="0.25">
      <c r="A541" s="1115">
        <v>543</v>
      </c>
      <c r="B541" s="1112" t="s">
        <v>1656</v>
      </c>
      <c r="C541" s="1112" t="s">
        <v>1660</v>
      </c>
      <c r="D541" s="1286" t="s">
        <v>1659</v>
      </c>
      <c r="E541" s="1337" t="s">
        <v>1607</v>
      </c>
    </row>
    <row r="542" spans="1:5" x14ac:dyDescent="0.25">
      <c r="A542" s="1115">
        <v>544</v>
      </c>
      <c r="B542" s="1112" t="s">
        <v>1656</v>
      </c>
      <c r="C542" s="1112" t="s">
        <v>1660</v>
      </c>
      <c r="D542" s="1113" t="s">
        <v>1519</v>
      </c>
      <c r="E542" s="1337" t="s">
        <v>1604</v>
      </c>
    </row>
    <row r="543" spans="1:5" ht="30" x14ac:dyDescent="0.25">
      <c r="A543" s="1115">
        <v>545</v>
      </c>
      <c r="B543" s="1112" t="s">
        <v>1656</v>
      </c>
      <c r="C543" s="1112" t="s">
        <v>1660</v>
      </c>
      <c r="D543" s="1113" t="s">
        <v>1658</v>
      </c>
      <c r="E543" s="1337" t="s">
        <v>1497</v>
      </c>
    </row>
    <row r="544" spans="1:5" ht="30" x14ac:dyDescent="0.25">
      <c r="A544" s="1115">
        <v>546</v>
      </c>
      <c r="B544" s="1112" t="s">
        <v>1656</v>
      </c>
      <c r="C544" s="1112" t="s">
        <v>1661</v>
      </c>
      <c r="D544" s="1113" t="s">
        <v>1662</v>
      </c>
      <c r="E544" s="1336" t="s">
        <v>1603</v>
      </c>
    </row>
    <row r="545" spans="1:5" ht="30" x14ac:dyDescent="0.25">
      <c r="A545" s="1115">
        <v>547</v>
      </c>
      <c r="B545" s="1112" t="s">
        <v>1656</v>
      </c>
      <c r="C545" s="1112" t="s">
        <v>1661</v>
      </c>
      <c r="D545" s="1113" t="s">
        <v>1662</v>
      </c>
      <c r="E545" s="1337" t="s">
        <v>1491</v>
      </c>
    </row>
    <row r="546" spans="1:5" ht="30" x14ac:dyDescent="0.25">
      <c r="A546" s="1115">
        <v>548</v>
      </c>
      <c r="B546" s="1112" t="s">
        <v>1656</v>
      </c>
      <c r="C546" s="1112" t="s">
        <v>1661</v>
      </c>
      <c r="D546" s="1113" t="s">
        <v>1662</v>
      </c>
      <c r="E546" s="1337" t="s">
        <v>1488</v>
      </c>
    </row>
    <row r="547" spans="1:5" ht="30" x14ac:dyDescent="0.25">
      <c r="A547" s="1115">
        <v>549</v>
      </c>
      <c r="B547" s="1112" t="s">
        <v>1656</v>
      </c>
      <c r="C547" s="1112" t="s">
        <v>1661</v>
      </c>
      <c r="D547" s="1113" t="s">
        <v>1662</v>
      </c>
      <c r="E547" s="1337" t="s">
        <v>1489</v>
      </c>
    </row>
    <row r="548" spans="1:5" ht="30" x14ac:dyDescent="0.25">
      <c r="A548" s="1115">
        <v>550</v>
      </c>
      <c r="B548" s="1112" t="s">
        <v>1656</v>
      </c>
      <c r="C548" s="1112" t="s">
        <v>1661</v>
      </c>
      <c r="D548" s="1113" t="s">
        <v>1662</v>
      </c>
      <c r="E548" s="1337" t="s">
        <v>1505</v>
      </c>
    </row>
    <row r="549" spans="1:5" x14ac:dyDescent="0.25">
      <c r="A549" s="1115">
        <v>551</v>
      </c>
      <c r="B549" s="1112" t="s">
        <v>1656</v>
      </c>
      <c r="C549" s="1112" t="s">
        <v>1661</v>
      </c>
      <c r="D549" s="1113" t="s">
        <v>1519</v>
      </c>
      <c r="E549" s="1337" t="s">
        <v>1490</v>
      </c>
    </row>
    <row r="550" spans="1:5" ht="30" x14ac:dyDescent="0.25">
      <c r="A550" s="1115">
        <v>552</v>
      </c>
      <c r="B550" s="1112" t="s">
        <v>1656</v>
      </c>
      <c r="C550" s="1112" t="s">
        <v>1663</v>
      </c>
      <c r="D550" s="1113" t="s">
        <v>1662</v>
      </c>
      <c r="E550" s="1337" t="s">
        <v>1598</v>
      </c>
    </row>
    <row r="551" spans="1:5" ht="30" x14ac:dyDescent="0.25">
      <c r="A551" s="1115">
        <v>553</v>
      </c>
      <c r="B551" s="1112" t="s">
        <v>1656</v>
      </c>
      <c r="C551" s="1112" t="s">
        <v>1663</v>
      </c>
      <c r="D551" s="1113" t="s">
        <v>1662</v>
      </c>
      <c r="E551" s="1337" t="s">
        <v>1599</v>
      </c>
    </row>
    <row r="552" spans="1:5" x14ac:dyDescent="0.25">
      <c r="A552" s="1115">
        <v>554</v>
      </c>
      <c r="B552" s="1112" t="s">
        <v>1656</v>
      </c>
      <c r="C552" s="1112" t="s">
        <v>1663</v>
      </c>
      <c r="D552" s="1113" t="s">
        <v>1519</v>
      </c>
      <c r="E552" s="1337" t="s">
        <v>1600</v>
      </c>
    </row>
    <row r="553" spans="1:5" ht="45" x14ac:dyDescent="0.25">
      <c r="A553" s="1115">
        <v>555</v>
      </c>
      <c r="B553" s="1112" t="s">
        <v>1656</v>
      </c>
      <c r="C553" s="1112" t="s">
        <v>1663</v>
      </c>
      <c r="D553" s="1286" t="s">
        <v>1659</v>
      </c>
      <c r="E553" s="1337" t="s">
        <v>1493</v>
      </c>
    </row>
    <row r="554" spans="1:5" ht="45" x14ac:dyDescent="0.25">
      <c r="A554" s="1115">
        <v>556</v>
      </c>
      <c r="B554" s="1112" t="s">
        <v>1656</v>
      </c>
      <c r="C554" s="1112" t="s">
        <v>1663</v>
      </c>
      <c r="D554" s="1286" t="s">
        <v>1659</v>
      </c>
      <c r="E554" s="1337" t="s">
        <v>1494</v>
      </c>
    </row>
    <row r="555" spans="1:5" ht="45" x14ac:dyDescent="0.25">
      <c r="A555" s="1115">
        <v>557</v>
      </c>
      <c r="B555" s="1112" t="s">
        <v>1656</v>
      </c>
      <c r="C555" s="1112" t="s">
        <v>1663</v>
      </c>
      <c r="D555" s="1286" t="s">
        <v>1659</v>
      </c>
      <c r="E555" s="1337" t="s">
        <v>1607</v>
      </c>
    </row>
    <row r="556" spans="1:5" x14ac:dyDescent="0.25">
      <c r="A556" s="1115">
        <v>558</v>
      </c>
      <c r="B556" s="1112" t="s">
        <v>1656</v>
      </c>
      <c r="C556" s="1112" t="s">
        <v>1663</v>
      </c>
      <c r="D556" s="1113" t="s">
        <v>1519</v>
      </c>
      <c r="E556" s="1337" t="s">
        <v>1604</v>
      </c>
    </row>
    <row r="557" spans="1:5" ht="30" x14ac:dyDescent="0.25">
      <c r="A557" s="1115">
        <v>559</v>
      </c>
      <c r="B557" s="1112" t="s">
        <v>1656</v>
      </c>
      <c r="C557" s="1112" t="s">
        <v>1663</v>
      </c>
      <c r="D557" s="1113" t="s">
        <v>1662</v>
      </c>
      <c r="E557" s="1337" t="s">
        <v>1618</v>
      </c>
    </row>
    <row r="558" spans="1:5" ht="30" x14ac:dyDescent="0.25">
      <c r="A558" s="1115">
        <v>560</v>
      </c>
      <c r="B558" s="1112" t="s">
        <v>1656</v>
      </c>
      <c r="C558" s="1112" t="s">
        <v>1664</v>
      </c>
      <c r="D558" s="1113" t="s">
        <v>1662</v>
      </c>
      <c r="E558" s="1337" t="s">
        <v>1495</v>
      </c>
    </row>
    <row r="559" spans="1:5" ht="30" x14ac:dyDescent="0.25">
      <c r="A559" s="1115">
        <v>561</v>
      </c>
      <c r="B559" s="1112" t="s">
        <v>1656</v>
      </c>
      <c r="C559" s="1112" t="s">
        <v>1664</v>
      </c>
      <c r="D559" s="1113" t="s">
        <v>1662</v>
      </c>
      <c r="E559" s="1337" t="s">
        <v>1496</v>
      </c>
    </row>
    <row r="560" spans="1:5" ht="30" x14ac:dyDescent="0.25">
      <c r="A560" s="1115">
        <v>562</v>
      </c>
      <c r="B560" s="1112" t="s">
        <v>1656</v>
      </c>
      <c r="C560" s="1112" t="s">
        <v>1664</v>
      </c>
      <c r="D560" s="1113" t="s">
        <v>1662</v>
      </c>
      <c r="E560" s="1337" t="s">
        <v>1175</v>
      </c>
    </row>
    <row r="561" spans="1:5" ht="30" x14ac:dyDescent="0.25">
      <c r="A561" s="1115">
        <v>563</v>
      </c>
      <c r="B561" s="1112" t="s">
        <v>1656</v>
      </c>
      <c r="C561" s="1112" t="s">
        <v>1663</v>
      </c>
      <c r="D561" s="1113" t="s">
        <v>1662</v>
      </c>
      <c r="E561" s="1337" t="s">
        <v>1620</v>
      </c>
    </row>
    <row r="562" spans="1:5" ht="30" x14ac:dyDescent="0.25">
      <c r="A562" s="1115">
        <v>564</v>
      </c>
      <c r="B562" s="1112" t="s">
        <v>1656</v>
      </c>
      <c r="C562" s="1112" t="s">
        <v>1665</v>
      </c>
      <c r="D562" s="1113" t="s">
        <v>1662</v>
      </c>
      <c r="E562" s="1336" t="s">
        <v>1603</v>
      </c>
    </row>
    <row r="563" spans="1:5" ht="30" x14ac:dyDescent="0.25">
      <c r="A563" s="1115">
        <v>565</v>
      </c>
      <c r="B563" s="1112" t="s">
        <v>1656</v>
      </c>
      <c r="C563" s="1112" t="s">
        <v>1665</v>
      </c>
      <c r="D563" s="1113" t="s">
        <v>1662</v>
      </c>
      <c r="E563" s="1337" t="s">
        <v>1491</v>
      </c>
    </row>
    <row r="564" spans="1:5" ht="30" x14ac:dyDescent="0.25">
      <c r="A564" s="1115">
        <v>566</v>
      </c>
      <c r="B564" s="1112" t="s">
        <v>1656</v>
      </c>
      <c r="C564" s="1112" t="s">
        <v>1665</v>
      </c>
      <c r="D564" s="1113" t="s">
        <v>1662</v>
      </c>
      <c r="E564" s="1337" t="s">
        <v>1488</v>
      </c>
    </row>
    <row r="565" spans="1:5" ht="30" x14ac:dyDescent="0.25">
      <c r="A565" s="1115">
        <v>567</v>
      </c>
      <c r="B565" s="1112" t="s">
        <v>1656</v>
      </c>
      <c r="C565" s="1112" t="s">
        <v>1665</v>
      </c>
      <c r="D565" s="1113" t="s">
        <v>1662</v>
      </c>
      <c r="E565" s="1337" t="s">
        <v>1489</v>
      </c>
    </row>
    <row r="566" spans="1:5" ht="30" x14ac:dyDescent="0.25">
      <c r="A566" s="1115">
        <v>568</v>
      </c>
      <c r="B566" s="1112" t="s">
        <v>1656</v>
      </c>
      <c r="C566" s="1112" t="s">
        <v>1665</v>
      </c>
      <c r="D566" s="1113" t="s">
        <v>1662</v>
      </c>
      <c r="E566" s="1337" t="s">
        <v>1505</v>
      </c>
    </row>
    <row r="567" spans="1:5" x14ac:dyDescent="0.25">
      <c r="A567" s="1115">
        <v>569</v>
      </c>
      <c r="B567" s="1112" t="s">
        <v>1656</v>
      </c>
      <c r="C567" s="1112" t="s">
        <v>1665</v>
      </c>
      <c r="D567" s="1113" t="s">
        <v>1519</v>
      </c>
      <c r="E567" s="1337" t="s">
        <v>1490</v>
      </c>
    </row>
    <row r="568" spans="1:5" ht="30" x14ac:dyDescent="0.25">
      <c r="A568" s="1115">
        <v>570</v>
      </c>
      <c r="B568" s="1112" t="s">
        <v>1656</v>
      </c>
      <c r="C568" s="1112" t="s">
        <v>1665</v>
      </c>
      <c r="D568" s="1113" t="s">
        <v>1662</v>
      </c>
      <c r="E568" s="1337" t="s">
        <v>1598</v>
      </c>
    </row>
    <row r="569" spans="1:5" ht="30" x14ac:dyDescent="0.25">
      <c r="A569" s="1115">
        <v>571</v>
      </c>
      <c r="B569" s="1112" t="s">
        <v>1656</v>
      </c>
      <c r="C569" s="1112" t="s">
        <v>1665</v>
      </c>
      <c r="D569" s="1113" t="s">
        <v>1662</v>
      </c>
      <c r="E569" s="1337" t="s">
        <v>1599</v>
      </c>
    </row>
    <row r="570" spans="1:5" x14ac:dyDescent="0.25">
      <c r="A570" s="1115">
        <v>572</v>
      </c>
      <c r="B570" s="1112" t="s">
        <v>1656</v>
      </c>
      <c r="C570" s="1112" t="s">
        <v>1665</v>
      </c>
      <c r="D570" s="1113" t="s">
        <v>1519</v>
      </c>
      <c r="E570" s="1337" t="s">
        <v>1600</v>
      </c>
    </row>
    <row r="571" spans="1:5" ht="45" x14ac:dyDescent="0.25">
      <c r="A571" s="1115">
        <v>573</v>
      </c>
      <c r="B571" s="1112" t="s">
        <v>1656</v>
      </c>
      <c r="C571" s="1112" t="s">
        <v>1665</v>
      </c>
      <c r="D571" s="1286" t="s">
        <v>1659</v>
      </c>
      <c r="E571" s="1337" t="s">
        <v>1493</v>
      </c>
    </row>
    <row r="572" spans="1:5" ht="45" x14ac:dyDescent="0.25">
      <c r="A572" s="1115">
        <v>574</v>
      </c>
      <c r="B572" s="1112" t="s">
        <v>1656</v>
      </c>
      <c r="C572" s="1112" t="s">
        <v>1665</v>
      </c>
      <c r="D572" s="1286" t="s">
        <v>1659</v>
      </c>
      <c r="E572" s="1337" t="s">
        <v>1494</v>
      </c>
    </row>
    <row r="573" spans="1:5" ht="45" x14ac:dyDescent="0.25">
      <c r="A573" s="1115">
        <v>575</v>
      </c>
      <c r="B573" s="1112" t="s">
        <v>1656</v>
      </c>
      <c r="C573" s="1112" t="s">
        <v>1665</v>
      </c>
      <c r="D573" s="1286" t="s">
        <v>1659</v>
      </c>
      <c r="E573" s="1337" t="s">
        <v>1607</v>
      </c>
    </row>
    <row r="574" spans="1:5" x14ac:dyDescent="0.25">
      <c r="A574" s="1115">
        <v>576</v>
      </c>
      <c r="B574" s="1112" t="s">
        <v>1656</v>
      </c>
      <c r="C574" s="1112" t="s">
        <v>1665</v>
      </c>
      <c r="D574" s="1113" t="s">
        <v>1519</v>
      </c>
      <c r="E574" s="1337" t="s">
        <v>1604</v>
      </c>
    </row>
    <row r="575" spans="1:5" ht="30" x14ac:dyDescent="0.25">
      <c r="A575" s="1115">
        <v>577</v>
      </c>
      <c r="B575" s="1112" t="s">
        <v>1656</v>
      </c>
      <c r="C575" s="1112" t="s">
        <v>1665</v>
      </c>
      <c r="D575" s="1113" t="s">
        <v>1662</v>
      </c>
      <c r="E575" s="1337" t="s">
        <v>1618</v>
      </c>
    </row>
    <row r="576" spans="1:5" ht="30" x14ac:dyDescent="0.25">
      <c r="A576" s="1115">
        <v>578</v>
      </c>
      <c r="B576" s="1112" t="s">
        <v>1656</v>
      </c>
      <c r="C576" s="1112" t="s">
        <v>1666</v>
      </c>
      <c r="D576" s="1113" t="s">
        <v>1662</v>
      </c>
      <c r="E576" s="1337" t="s">
        <v>1495</v>
      </c>
    </row>
    <row r="577" spans="1:5" ht="30" x14ac:dyDescent="0.25">
      <c r="A577" s="1115">
        <v>579</v>
      </c>
      <c r="B577" s="1112" t="s">
        <v>1656</v>
      </c>
      <c r="C577" s="1112" t="s">
        <v>1666</v>
      </c>
      <c r="D577" s="1113" t="s">
        <v>1662</v>
      </c>
      <c r="E577" s="1337" t="s">
        <v>1496</v>
      </c>
    </row>
    <row r="578" spans="1:5" ht="30" x14ac:dyDescent="0.25">
      <c r="A578" s="1115">
        <v>580</v>
      </c>
      <c r="B578" s="1112" t="s">
        <v>1656</v>
      </c>
      <c r="C578" s="1112" t="s">
        <v>1666</v>
      </c>
      <c r="D578" s="1113" t="s">
        <v>1662</v>
      </c>
      <c r="E578" s="1337" t="s">
        <v>1497</v>
      </c>
    </row>
    <row r="579" spans="1:5" ht="30" x14ac:dyDescent="0.25">
      <c r="A579" s="1115">
        <v>581</v>
      </c>
      <c r="B579" s="1112" t="s">
        <v>1656</v>
      </c>
      <c r="C579" s="1112" t="s">
        <v>1665</v>
      </c>
      <c r="D579" s="1113" t="s">
        <v>1662</v>
      </c>
      <c r="E579" s="1337" t="s">
        <v>1620</v>
      </c>
    </row>
    <row r="580" spans="1:5" x14ac:dyDescent="0.25">
      <c r="A580" s="1115">
        <v>582</v>
      </c>
      <c r="B580" s="1112" t="s">
        <v>1656</v>
      </c>
      <c r="C580" s="1112" t="s">
        <v>1667</v>
      </c>
      <c r="D580" s="1113" t="s">
        <v>1625</v>
      </c>
      <c r="E580" s="1336" t="s">
        <v>1603</v>
      </c>
    </row>
    <row r="581" spans="1:5" x14ac:dyDescent="0.25">
      <c r="A581" s="1115">
        <v>583</v>
      </c>
      <c r="B581" s="1112" t="s">
        <v>1656</v>
      </c>
      <c r="C581" s="1112" t="s">
        <v>1667</v>
      </c>
      <c r="D581" s="1113" t="s">
        <v>1625</v>
      </c>
      <c r="E581" s="1337" t="s">
        <v>1491</v>
      </c>
    </row>
    <row r="582" spans="1:5" x14ac:dyDescent="0.25">
      <c r="A582" s="1115">
        <v>584</v>
      </c>
      <c r="B582" s="1112" t="s">
        <v>1656</v>
      </c>
      <c r="C582" s="1112" t="s">
        <v>1667</v>
      </c>
      <c r="D582" s="1113" t="s">
        <v>1625</v>
      </c>
      <c r="E582" s="1337" t="s">
        <v>1488</v>
      </c>
    </row>
    <row r="583" spans="1:5" x14ac:dyDescent="0.25">
      <c r="A583" s="1115">
        <v>585</v>
      </c>
      <c r="B583" s="1112" t="s">
        <v>1656</v>
      </c>
      <c r="C583" s="1112" t="s">
        <v>1667</v>
      </c>
      <c r="D583" s="1113" t="s">
        <v>1625</v>
      </c>
      <c r="E583" s="1337" t="s">
        <v>1489</v>
      </c>
    </row>
    <row r="584" spans="1:5" x14ac:dyDescent="0.25">
      <c r="A584" s="1115">
        <v>586</v>
      </c>
      <c r="B584" s="1112" t="s">
        <v>1656</v>
      </c>
      <c r="C584" s="1112" t="s">
        <v>1667</v>
      </c>
      <c r="D584" s="1113" t="s">
        <v>1625</v>
      </c>
      <c r="E584" s="1337" t="s">
        <v>1505</v>
      </c>
    </row>
    <row r="585" spans="1:5" x14ac:dyDescent="0.25">
      <c r="A585" s="1115">
        <v>587</v>
      </c>
      <c r="B585" s="1112" t="s">
        <v>1656</v>
      </c>
      <c r="C585" s="1112" t="s">
        <v>1667</v>
      </c>
      <c r="D585" s="1113" t="s">
        <v>1625</v>
      </c>
      <c r="E585" s="1337" t="s">
        <v>1490</v>
      </c>
    </row>
    <row r="586" spans="1:5" x14ac:dyDescent="0.25">
      <c r="A586" s="1115">
        <v>588</v>
      </c>
      <c r="B586" s="1112" t="s">
        <v>1656</v>
      </c>
      <c r="C586" s="1112" t="s">
        <v>1667</v>
      </c>
      <c r="D586" s="1113" t="s">
        <v>1625</v>
      </c>
      <c r="E586" s="1337" t="s">
        <v>1598</v>
      </c>
    </row>
    <row r="587" spans="1:5" x14ac:dyDescent="0.25">
      <c r="A587" s="1115">
        <v>589</v>
      </c>
      <c r="B587" s="1112" t="s">
        <v>1656</v>
      </c>
      <c r="C587" s="1112" t="s">
        <v>1667</v>
      </c>
      <c r="D587" s="1113" t="s">
        <v>1625</v>
      </c>
      <c r="E587" s="1337" t="s">
        <v>1599</v>
      </c>
    </row>
    <row r="588" spans="1:5" x14ac:dyDescent="0.25">
      <c r="A588" s="1115">
        <v>590</v>
      </c>
      <c r="B588" s="1112" t="s">
        <v>1656</v>
      </c>
      <c r="C588" s="1112" t="s">
        <v>1667</v>
      </c>
      <c r="D588" s="1113" t="s">
        <v>1519</v>
      </c>
      <c r="E588" s="1337" t="s">
        <v>1600</v>
      </c>
    </row>
    <row r="589" spans="1:5" ht="45" x14ac:dyDescent="0.25">
      <c r="A589" s="1115">
        <v>591</v>
      </c>
      <c r="B589" s="1112" t="s">
        <v>1656</v>
      </c>
      <c r="C589" s="1112" t="s">
        <v>1667</v>
      </c>
      <c r="D589" s="1286" t="s">
        <v>1659</v>
      </c>
      <c r="E589" s="1337" t="s">
        <v>1493</v>
      </c>
    </row>
    <row r="590" spans="1:5" ht="45" x14ac:dyDescent="0.25">
      <c r="A590" s="1115">
        <v>592</v>
      </c>
      <c r="B590" s="1112" t="s">
        <v>1656</v>
      </c>
      <c r="C590" s="1112" t="s">
        <v>1667</v>
      </c>
      <c r="D590" s="1286" t="s">
        <v>1659</v>
      </c>
      <c r="E590" s="1337" t="s">
        <v>1494</v>
      </c>
    </row>
    <row r="591" spans="1:5" ht="45" x14ac:dyDescent="0.25">
      <c r="A591" s="1115">
        <v>593</v>
      </c>
      <c r="B591" s="1112" t="s">
        <v>1656</v>
      </c>
      <c r="C591" s="1112" t="s">
        <v>1667</v>
      </c>
      <c r="D591" s="1286" t="s">
        <v>1659</v>
      </c>
      <c r="E591" s="1337" t="s">
        <v>1607</v>
      </c>
    </row>
    <row r="592" spans="1:5" x14ac:dyDescent="0.25">
      <c r="A592" s="1115">
        <v>594</v>
      </c>
      <c r="B592" s="1112" t="s">
        <v>1656</v>
      </c>
      <c r="C592" s="1112" t="s">
        <v>1667</v>
      </c>
      <c r="D592" s="1113" t="s">
        <v>1519</v>
      </c>
      <c r="E592" s="1337" t="s">
        <v>1604</v>
      </c>
    </row>
    <row r="593" spans="1:5" x14ac:dyDescent="0.25">
      <c r="A593" s="1115">
        <v>595</v>
      </c>
      <c r="B593" s="1112" t="s">
        <v>1656</v>
      </c>
      <c r="C593" s="1112" t="s">
        <v>1667</v>
      </c>
      <c r="D593" s="1113" t="s">
        <v>1625</v>
      </c>
      <c r="E593" s="1337" t="s">
        <v>1618</v>
      </c>
    </row>
    <row r="594" spans="1:5" x14ac:dyDescent="0.25">
      <c r="A594" s="1115">
        <v>596</v>
      </c>
      <c r="B594" s="1112" t="s">
        <v>1656</v>
      </c>
      <c r="C594" s="1112" t="s">
        <v>1668</v>
      </c>
      <c r="D594" s="1113" t="s">
        <v>1625</v>
      </c>
      <c r="E594" s="1337" t="s">
        <v>1495</v>
      </c>
    </row>
    <row r="595" spans="1:5" x14ac:dyDescent="0.25">
      <c r="A595" s="1115">
        <v>597</v>
      </c>
      <c r="B595" s="1112" t="s">
        <v>1656</v>
      </c>
      <c r="C595" s="1112" t="s">
        <v>1668</v>
      </c>
      <c r="D595" s="1113" t="s">
        <v>1625</v>
      </c>
      <c r="E595" s="1337" t="s">
        <v>1496</v>
      </c>
    </row>
    <row r="596" spans="1:5" x14ac:dyDescent="0.25">
      <c r="A596" s="1115">
        <v>598</v>
      </c>
      <c r="B596" s="1112" t="s">
        <v>1656</v>
      </c>
      <c r="C596" s="1112" t="s">
        <v>1668</v>
      </c>
      <c r="D596" s="1113" t="s">
        <v>1625</v>
      </c>
      <c r="E596" s="1337" t="s">
        <v>1497</v>
      </c>
    </row>
    <row r="597" spans="1:5" x14ac:dyDescent="0.25">
      <c r="A597" s="1115">
        <v>599</v>
      </c>
      <c r="B597" s="1112" t="s">
        <v>1656</v>
      </c>
      <c r="C597" s="1112" t="s">
        <v>1669</v>
      </c>
      <c r="D597" s="1113" t="s">
        <v>1625</v>
      </c>
      <c r="E597" s="1337" t="s">
        <v>1495</v>
      </c>
    </row>
    <row r="598" spans="1:5" x14ac:dyDescent="0.25">
      <c r="A598" s="1115">
        <v>600</v>
      </c>
      <c r="B598" s="1112" t="s">
        <v>1656</v>
      </c>
      <c r="C598" s="1112" t="s">
        <v>1669</v>
      </c>
      <c r="D598" s="1113" t="s">
        <v>1625</v>
      </c>
      <c r="E598" s="1337" t="s">
        <v>1496</v>
      </c>
    </row>
    <row r="599" spans="1:5" x14ac:dyDescent="0.25">
      <c r="A599" s="1115">
        <v>601</v>
      </c>
      <c r="B599" s="1112" t="s">
        <v>1656</v>
      </c>
      <c r="C599" s="1112" t="s">
        <v>1669</v>
      </c>
      <c r="D599" s="1113" t="s">
        <v>1625</v>
      </c>
      <c r="E599" s="1337" t="s">
        <v>1497</v>
      </c>
    </row>
    <row r="600" spans="1:5" x14ac:dyDescent="0.25">
      <c r="A600" s="1115">
        <v>602</v>
      </c>
      <c r="B600" s="1112" t="s">
        <v>1656</v>
      </c>
      <c r="C600" s="1112" t="s">
        <v>1670</v>
      </c>
      <c r="D600" s="1113" t="s">
        <v>1625</v>
      </c>
      <c r="E600" s="1337" t="s">
        <v>1495</v>
      </c>
    </row>
    <row r="601" spans="1:5" x14ac:dyDescent="0.25">
      <c r="A601" s="1115">
        <v>603</v>
      </c>
      <c r="B601" s="1112" t="s">
        <v>1656</v>
      </c>
      <c r="C601" s="1112" t="s">
        <v>1670</v>
      </c>
      <c r="D601" s="1113" t="s">
        <v>1625</v>
      </c>
      <c r="E601" s="1337" t="s">
        <v>1496</v>
      </c>
    </row>
    <row r="602" spans="1:5" x14ac:dyDescent="0.25">
      <c r="A602" s="1115">
        <v>604</v>
      </c>
      <c r="B602" s="1112" t="s">
        <v>1656</v>
      </c>
      <c r="C602" s="1112" t="s">
        <v>1670</v>
      </c>
      <c r="D602" s="1113" t="s">
        <v>1625</v>
      </c>
      <c r="E602" s="1337" t="s">
        <v>1497</v>
      </c>
    </row>
    <row r="603" spans="1:5" x14ac:dyDescent="0.25">
      <c r="A603" s="1115">
        <v>605</v>
      </c>
      <c r="B603" s="1112" t="s">
        <v>1656</v>
      </c>
      <c r="C603" s="1112" t="s">
        <v>1671</v>
      </c>
      <c r="D603" s="1113" t="s">
        <v>1625</v>
      </c>
      <c r="E603" s="1337" t="s">
        <v>1495</v>
      </c>
    </row>
    <row r="604" spans="1:5" x14ac:dyDescent="0.25">
      <c r="A604" s="1115">
        <v>606</v>
      </c>
      <c r="B604" s="1112" t="s">
        <v>1656</v>
      </c>
      <c r="C604" s="1112" t="s">
        <v>1671</v>
      </c>
      <c r="D604" s="1113" t="s">
        <v>1625</v>
      </c>
      <c r="E604" s="1337" t="s">
        <v>1496</v>
      </c>
    </row>
    <row r="605" spans="1:5" x14ac:dyDescent="0.25">
      <c r="A605" s="1115">
        <v>607</v>
      </c>
      <c r="B605" s="1112" t="s">
        <v>1656</v>
      </c>
      <c r="C605" s="1112" t="s">
        <v>1671</v>
      </c>
      <c r="D605" s="1113" t="s">
        <v>1625</v>
      </c>
      <c r="E605" s="1337" t="s">
        <v>1497</v>
      </c>
    </row>
    <row r="606" spans="1:5" x14ac:dyDescent="0.25">
      <c r="A606" s="1115">
        <v>608</v>
      </c>
      <c r="B606" s="1112" t="s">
        <v>1656</v>
      </c>
      <c r="C606" s="1112" t="s">
        <v>1672</v>
      </c>
      <c r="D606" s="1113" t="s">
        <v>1625</v>
      </c>
      <c r="E606" s="1337" t="s">
        <v>1495</v>
      </c>
    </row>
    <row r="607" spans="1:5" x14ac:dyDescent="0.25">
      <c r="A607" s="1115">
        <v>609</v>
      </c>
      <c r="B607" s="1112" t="s">
        <v>1656</v>
      </c>
      <c r="C607" s="1112" t="s">
        <v>1672</v>
      </c>
      <c r="D607" s="1113" t="s">
        <v>1625</v>
      </c>
      <c r="E607" s="1337" t="s">
        <v>1496</v>
      </c>
    </row>
    <row r="608" spans="1:5" x14ac:dyDescent="0.25">
      <c r="A608" s="1115">
        <v>610</v>
      </c>
      <c r="B608" s="1112" t="s">
        <v>1656</v>
      </c>
      <c r="C608" s="1112" t="s">
        <v>1672</v>
      </c>
      <c r="D608" s="1113" t="s">
        <v>1625</v>
      </c>
      <c r="E608" s="1337" t="s">
        <v>1497</v>
      </c>
    </row>
    <row r="609" spans="1:5" x14ac:dyDescent="0.25">
      <c r="A609" s="1115">
        <v>611</v>
      </c>
      <c r="B609" s="1112" t="s">
        <v>1656</v>
      </c>
      <c r="C609" s="1112" t="s">
        <v>1667</v>
      </c>
      <c r="D609" s="1113" t="s">
        <v>1620</v>
      </c>
      <c r="E609" s="1337" t="s">
        <v>1620</v>
      </c>
    </row>
    <row r="610" spans="1:5" x14ac:dyDescent="0.25">
      <c r="A610" s="1115">
        <v>612</v>
      </c>
      <c r="B610" s="1112" t="s">
        <v>1656</v>
      </c>
      <c r="C610" s="1112" t="s">
        <v>1673</v>
      </c>
      <c r="D610" s="1113" t="s">
        <v>1625</v>
      </c>
      <c r="E610" s="1336" t="s">
        <v>1603</v>
      </c>
    </row>
    <row r="611" spans="1:5" x14ac:dyDescent="0.25">
      <c r="A611" s="1115">
        <v>613</v>
      </c>
      <c r="B611" s="1112" t="s">
        <v>1656</v>
      </c>
      <c r="C611" s="1112" t="s">
        <v>1673</v>
      </c>
      <c r="D611" s="1113" t="s">
        <v>1625</v>
      </c>
      <c r="E611" s="1337" t="s">
        <v>1491</v>
      </c>
    </row>
    <row r="612" spans="1:5" x14ac:dyDescent="0.25">
      <c r="A612" s="1115">
        <v>614</v>
      </c>
      <c r="B612" s="1112" t="s">
        <v>1656</v>
      </c>
      <c r="C612" s="1112" t="s">
        <v>1673</v>
      </c>
      <c r="D612" s="1113" t="s">
        <v>1625</v>
      </c>
      <c r="E612" s="1337" t="s">
        <v>1488</v>
      </c>
    </row>
    <row r="613" spans="1:5" x14ac:dyDescent="0.25">
      <c r="A613" s="1115">
        <v>615</v>
      </c>
      <c r="B613" s="1112" t="s">
        <v>1656</v>
      </c>
      <c r="C613" s="1112" t="s">
        <v>1673</v>
      </c>
      <c r="D613" s="1113" t="s">
        <v>1625</v>
      </c>
      <c r="E613" s="1337" t="s">
        <v>1489</v>
      </c>
    </row>
    <row r="614" spans="1:5" x14ac:dyDescent="0.25">
      <c r="A614" s="1115">
        <v>616</v>
      </c>
      <c r="B614" s="1112" t="s">
        <v>1656</v>
      </c>
      <c r="C614" s="1112" t="s">
        <v>1673</v>
      </c>
      <c r="D614" s="1113" t="s">
        <v>1625</v>
      </c>
      <c r="E614" s="1337" t="s">
        <v>1505</v>
      </c>
    </row>
    <row r="615" spans="1:5" x14ac:dyDescent="0.25">
      <c r="A615" s="1115">
        <v>617</v>
      </c>
      <c r="B615" s="1112" t="s">
        <v>1656</v>
      </c>
      <c r="C615" s="1112" t="s">
        <v>1673</v>
      </c>
      <c r="D615" s="1113" t="s">
        <v>1625</v>
      </c>
      <c r="E615" s="1337" t="s">
        <v>1490</v>
      </c>
    </row>
    <row r="616" spans="1:5" x14ac:dyDescent="0.25">
      <c r="A616" s="1115">
        <v>618</v>
      </c>
      <c r="B616" s="1112" t="s">
        <v>1656</v>
      </c>
      <c r="C616" s="1112" t="s">
        <v>1673</v>
      </c>
      <c r="D616" s="1113" t="s">
        <v>1625</v>
      </c>
      <c r="E616" s="1337" t="s">
        <v>1598</v>
      </c>
    </row>
    <row r="617" spans="1:5" x14ac:dyDescent="0.25">
      <c r="A617" s="1115">
        <v>619</v>
      </c>
      <c r="B617" s="1112" t="s">
        <v>1656</v>
      </c>
      <c r="C617" s="1112" t="s">
        <v>1673</v>
      </c>
      <c r="D617" s="1113" t="s">
        <v>1625</v>
      </c>
      <c r="E617" s="1337" t="s">
        <v>1599</v>
      </c>
    </row>
    <row r="618" spans="1:5" x14ac:dyDescent="0.25">
      <c r="A618" s="1115">
        <v>620</v>
      </c>
      <c r="B618" s="1112" t="s">
        <v>1656</v>
      </c>
      <c r="C618" s="1112" t="s">
        <v>1673</v>
      </c>
      <c r="D618" s="1113" t="s">
        <v>1519</v>
      </c>
      <c r="E618" s="1337" t="s">
        <v>1600</v>
      </c>
    </row>
    <row r="619" spans="1:5" ht="45" x14ac:dyDescent="0.25">
      <c r="A619" s="1115">
        <v>621</v>
      </c>
      <c r="B619" s="1112" t="s">
        <v>1656</v>
      </c>
      <c r="C619" s="1112" t="s">
        <v>1673</v>
      </c>
      <c r="D619" s="1286" t="s">
        <v>1659</v>
      </c>
      <c r="E619" s="1337" t="s">
        <v>1493</v>
      </c>
    </row>
    <row r="620" spans="1:5" ht="45" x14ac:dyDescent="0.25">
      <c r="A620" s="1115">
        <v>622</v>
      </c>
      <c r="B620" s="1112" t="s">
        <v>1656</v>
      </c>
      <c r="C620" s="1112" t="s">
        <v>1673</v>
      </c>
      <c r="D620" s="1286" t="s">
        <v>1659</v>
      </c>
      <c r="E620" s="1337" t="s">
        <v>1494</v>
      </c>
    </row>
    <row r="621" spans="1:5" ht="45" x14ac:dyDescent="0.25">
      <c r="A621" s="1115">
        <v>623</v>
      </c>
      <c r="B621" s="1112" t="s">
        <v>1656</v>
      </c>
      <c r="C621" s="1112" t="s">
        <v>1673</v>
      </c>
      <c r="D621" s="1286" t="s">
        <v>1659</v>
      </c>
      <c r="E621" s="1337" t="s">
        <v>1607</v>
      </c>
    </row>
    <row r="622" spans="1:5" x14ac:dyDescent="0.25">
      <c r="A622" s="1115">
        <v>624</v>
      </c>
      <c r="B622" s="1112" t="s">
        <v>1656</v>
      </c>
      <c r="C622" s="1112" t="s">
        <v>1673</v>
      </c>
      <c r="D622" s="1113" t="s">
        <v>1519</v>
      </c>
      <c r="E622" s="1337" t="s">
        <v>1604</v>
      </c>
    </row>
    <row r="623" spans="1:5" x14ac:dyDescent="0.25">
      <c r="A623" s="1115">
        <v>625</v>
      </c>
      <c r="B623" s="1112" t="s">
        <v>1656</v>
      </c>
      <c r="C623" s="1112" t="s">
        <v>1673</v>
      </c>
      <c r="D623" s="1113" t="s">
        <v>1625</v>
      </c>
      <c r="E623" s="1337" t="s">
        <v>1618</v>
      </c>
    </row>
    <row r="624" spans="1:5" x14ac:dyDescent="0.25">
      <c r="A624" s="1115">
        <v>626</v>
      </c>
      <c r="B624" s="1112" t="s">
        <v>1656</v>
      </c>
      <c r="C624" s="1112" t="s">
        <v>1674</v>
      </c>
      <c r="D624" s="1113" t="s">
        <v>1625</v>
      </c>
      <c r="E624" s="1337" t="s">
        <v>1495</v>
      </c>
    </row>
    <row r="625" spans="1:5" x14ac:dyDescent="0.25">
      <c r="A625" s="1115">
        <v>627</v>
      </c>
      <c r="B625" s="1112" t="s">
        <v>1656</v>
      </c>
      <c r="C625" s="1112" t="s">
        <v>1674</v>
      </c>
      <c r="D625" s="1113" t="s">
        <v>1625</v>
      </c>
      <c r="E625" s="1337" t="s">
        <v>1496</v>
      </c>
    </row>
    <row r="626" spans="1:5" x14ac:dyDescent="0.25">
      <c r="A626" s="1115">
        <v>628</v>
      </c>
      <c r="B626" s="1112" t="s">
        <v>1656</v>
      </c>
      <c r="C626" s="1112" t="s">
        <v>1674</v>
      </c>
      <c r="D626" s="1113" t="s">
        <v>1625</v>
      </c>
      <c r="E626" s="1337" t="s">
        <v>1497</v>
      </c>
    </row>
    <row r="627" spans="1:5" x14ac:dyDescent="0.25">
      <c r="A627" s="1115">
        <v>629</v>
      </c>
      <c r="B627" s="1112" t="s">
        <v>1656</v>
      </c>
      <c r="C627" s="1112" t="s">
        <v>1675</v>
      </c>
      <c r="D627" s="1113" t="s">
        <v>1625</v>
      </c>
      <c r="E627" s="1337" t="s">
        <v>1495</v>
      </c>
    </row>
    <row r="628" spans="1:5" x14ac:dyDescent="0.25">
      <c r="A628" s="1115">
        <v>630</v>
      </c>
      <c r="B628" s="1112" t="s">
        <v>1656</v>
      </c>
      <c r="C628" s="1112" t="s">
        <v>1675</v>
      </c>
      <c r="D628" s="1113" t="s">
        <v>1625</v>
      </c>
      <c r="E628" s="1337" t="s">
        <v>1496</v>
      </c>
    </row>
    <row r="629" spans="1:5" x14ac:dyDescent="0.25">
      <c r="A629" s="1115">
        <v>631</v>
      </c>
      <c r="B629" s="1112" t="s">
        <v>1656</v>
      </c>
      <c r="C629" s="1112" t="s">
        <v>1675</v>
      </c>
      <c r="D629" s="1113" t="s">
        <v>1625</v>
      </c>
      <c r="E629" s="1337" t="s">
        <v>1497</v>
      </c>
    </row>
    <row r="630" spans="1:5" x14ac:dyDescent="0.25">
      <c r="A630" s="1115">
        <v>632</v>
      </c>
      <c r="B630" s="1112" t="s">
        <v>1656</v>
      </c>
      <c r="C630" s="1112" t="s">
        <v>1676</v>
      </c>
      <c r="D630" s="1113" t="s">
        <v>1625</v>
      </c>
      <c r="E630" s="1337" t="s">
        <v>1495</v>
      </c>
    </row>
    <row r="631" spans="1:5" x14ac:dyDescent="0.25">
      <c r="A631" s="1115">
        <v>633</v>
      </c>
      <c r="B631" s="1112" t="s">
        <v>1656</v>
      </c>
      <c r="C631" s="1112" t="s">
        <v>1676</v>
      </c>
      <c r="D631" s="1113" t="s">
        <v>1625</v>
      </c>
      <c r="E631" s="1337" t="s">
        <v>1496</v>
      </c>
    </row>
    <row r="632" spans="1:5" x14ac:dyDescent="0.25">
      <c r="A632" s="1115">
        <v>634</v>
      </c>
      <c r="B632" s="1112" t="s">
        <v>1656</v>
      </c>
      <c r="C632" s="1112" t="s">
        <v>1676</v>
      </c>
      <c r="D632" s="1113" t="s">
        <v>1625</v>
      </c>
      <c r="E632" s="1337" t="s">
        <v>1497</v>
      </c>
    </row>
    <row r="633" spans="1:5" x14ac:dyDescent="0.25">
      <c r="A633" s="1115">
        <v>635</v>
      </c>
      <c r="B633" s="1112" t="s">
        <v>1656</v>
      </c>
      <c r="C633" s="1112" t="s">
        <v>1677</v>
      </c>
      <c r="D633" s="1113" t="s">
        <v>1625</v>
      </c>
      <c r="E633" s="1337" t="s">
        <v>1495</v>
      </c>
    </row>
    <row r="634" spans="1:5" x14ac:dyDescent="0.25">
      <c r="A634" s="1115">
        <v>636</v>
      </c>
      <c r="B634" s="1112" t="s">
        <v>1656</v>
      </c>
      <c r="C634" s="1112" t="s">
        <v>1677</v>
      </c>
      <c r="D634" s="1113" t="s">
        <v>1625</v>
      </c>
      <c r="E634" s="1337" t="s">
        <v>1496</v>
      </c>
    </row>
    <row r="635" spans="1:5" x14ac:dyDescent="0.25">
      <c r="A635" s="1115">
        <v>637</v>
      </c>
      <c r="B635" s="1112" t="s">
        <v>1656</v>
      </c>
      <c r="C635" s="1112" t="s">
        <v>1677</v>
      </c>
      <c r="D635" s="1113" t="s">
        <v>1625</v>
      </c>
      <c r="E635" s="1337" t="s">
        <v>1497</v>
      </c>
    </row>
    <row r="636" spans="1:5" x14ac:dyDescent="0.25">
      <c r="A636" s="1115">
        <v>638</v>
      </c>
      <c r="B636" s="1112" t="s">
        <v>1656</v>
      </c>
      <c r="C636" s="1112" t="s">
        <v>1678</v>
      </c>
      <c r="D636" s="1113" t="s">
        <v>1625</v>
      </c>
      <c r="E636" s="1337" t="s">
        <v>1495</v>
      </c>
    </row>
    <row r="637" spans="1:5" x14ac:dyDescent="0.25">
      <c r="A637" s="1115">
        <v>639</v>
      </c>
      <c r="B637" s="1112" t="s">
        <v>1656</v>
      </c>
      <c r="C637" s="1112" t="s">
        <v>1678</v>
      </c>
      <c r="D637" s="1113" t="s">
        <v>1625</v>
      </c>
      <c r="E637" s="1337" t="s">
        <v>1496</v>
      </c>
    </row>
    <row r="638" spans="1:5" x14ac:dyDescent="0.25">
      <c r="A638" s="1115">
        <v>640</v>
      </c>
      <c r="B638" s="1112" t="s">
        <v>1656</v>
      </c>
      <c r="C638" s="1112" t="s">
        <v>1678</v>
      </c>
      <c r="D638" s="1113" t="s">
        <v>1625</v>
      </c>
      <c r="E638" s="1337" t="s">
        <v>1497</v>
      </c>
    </row>
    <row r="639" spans="1:5" x14ac:dyDescent="0.25">
      <c r="A639" s="1115">
        <v>641</v>
      </c>
      <c r="B639" s="1112" t="s">
        <v>1656</v>
      </c>
      <c r="C639" s="1112" t="s">
        <v>1673</v>
      </c>
      <c r="D639" s="1113" t="s">
        <v>1620</v>
      </c>
      <c r="E639" s="1337" t="s">
        <v>1620</v>
      </c>
    </row>
    <row r="640" spans="1:5" ht="30" x14ac:dyDescent="0.25">
      <c r="A640" s="1115">
        <v>642</v>
      </c>
      <c r="B640" s="1112" t="s">
        <v>1656</v>
      </c>
      <c r="C640" s="1112" t="s">
        <v>1679</v>
      </c>
      <c r="D640" s="1113" t="s">
        <v>1634</v>
      </c>
      <c r="E640" s="1336" t="s">
        <v>1603</v>
      </c>
    </row>
    <row r="641" spans="1:5" ht="30" x14ac:dyDescent="0.25">
      <c r="A641" s="1115">
        <v>643</v>
      </c>
      <c r="B641" s="1112" t="s">
        <v>1656</v>
      </c>
      <c r="C641" s="1112" t="s">
        <v>1679</v>
      </c>
      <c r="D641" s="1113" t="s">
        <v>1634</v>
      </c>
      <c r="E641" s="1337" t="s">
        <v>1491</v>
      </c>
    </row>
    <row r="642" spans="1:5" ht="30" x14ac:dyDescent="0.25">
      <c r="A642" s="1115">
        <v>644</v>
      </c>
      <c r="B642" s="1112" t="s">
        <v>1656</v>
      </c>
      <c r="C642" s="1112" t="s">
        <v>1679</v>
      </c>
      <c r="D642" s="1113" t="s">
        <v>1634</v>
      </c>
      <c r="E642" s="1337" t="s">
        <v>1488</v>
      </c>
    </row>
    <row r="643" spans="1:5" ht="30" x14ac:dyDescent="0.25">
      <c r="A643" s="1115">
        <v>645</v>
      </c>
      <c r="B643" s="1112" t="s">
        <v>1656</v>
      </c>
      <c r="C643" s="1112" t="s">
        <v>1679</v>
      </c>
      <c r="D643" s="1113" t="s">
        <v>1634</v>
      </c>
      <c r="E643" s="1337" t="s">
        <v>1489</v>
      </c>
    </row>
    <row r="644" spans="1:5" ht="30" x14ac:dyDescent="0.25">
      <c r="A644" s="1115">
        <v>646</v>
      </c>
      <c r="B644" s="1112" t="s">
        <v>1656</v>
      </c>
      <c r="C644" s="1112" t="s">
        <v>1679</v>
      </c>
      <c r="D644" s="1113" t="s">
        <v>1634</v>
      </c>
      <c r="E644" s="1337" t="s">
        <v>1505</v>
      </c>
    </row>
    <row r="645" spans="1:5" ht="30" x14ac:dyDescent="0.25">
      <c r="A645" s="1115">
        <v>647</v>
      </c>
      <c r="B645" s="1112" t="s">
        <v>1656</v>
      </c>
      <c r="C645" s="1112" t="s">
        <v>1679</v>
      </c>
      <c r="D645" s="1113" t="s">
        <v>1634</v>
      </c>
      <c r="E645" s="1337" t="s">
        <v>1490</v>
      </c>
    </row>
    <row r="646" spans="1:5" ht="30" x14ac:dyDescent="0.25">
      <c r="A646" s="1115">
        <v>648</v>
      </c>
      <c r="B646" s="1112" t="s">
        <v>1656</v>
      </c>
      <c r="C646" s="1112" t="s">
        <v>1679</v>
      </c>
      <c r="D646" s="1113" t="s">
        <v>1634</v>
      </c>
      <c r="E646" s="1337" t="s">
        <v>1598</v>
      </c>
    </row>
    <row r="647" spans="1:5" ht="30" x14ac:dyDescent="0.25">
      <c r="A647" s="1115">
        <v>649</v>
      </c>
      <c r="B647" s="1112" t="s">
        <v>1656</v>
      </c>
      <c r="C647" s="1112" t="s">
        <v>1679</v>
      </c>
      <c r="D647" s="1113" t="s">
        <v>1634</v>
      </c>
      <c r="E647" s="1337" t="s">
        <v>1599</v>
      </c>
    </row>
    <row r="648" spans="1:5" x14ac:dyDescent="0.25">
      <c r="A648" s="1115">
        <v>650</v>
      </c>
      <c r="B648" s="1112" t="s">
        <v>1656</v>
      </c>
      <c r="C648" s="1112" t="s">
        <v>1679</v>
      </c>
      <c r="D648" s="1113" t="s">
        <v>1519</v>
      </c>
      <c r="E648" s="1337" t="s">
        <v>1600</v>
      </c>
    </row>
    <row r="649" spans="1:5" ht="45" x14ac:dyDescent="0.25">
      <c r="A649" s="1115">
        <v>651</v>
      </c>
      <c r="B649" s="1112" t="s">
        <v>1656</v>
      </c>
      <c r="C649" s="1112" t="s">
        <v>1679</v>
      </c>
      <c r="D649" s="1286" t="s">
        <v>1659</v>
      </c>
      <c r="E649" s="1337" t="s">
        <v>1493</v>
      </c>
    </row>
    <row r="650" spans="1:5" ht="45" x14ac:dyDescent="0.25">
      <c r="A650" s="1115">
        <v>652</v>
      </c>
      <c r="B650" s="1112" t="s">
        <v>1656</v>
      </c>
      <c r="C650" s="1112" t="s">
        <v>1679</v>
      </c>
      <c r="D650" s="1286" t="s">
        <v>1659</v>
      </c>
      <c r="E650" s="1337" t="s">
        <v>1494</v>
      </c>
    </row>
    <row r="651" spans="1:5" ht="45" x14ac:dyDescent="0.25">
      <c r="A651" s="1115">
        <v>653</v>
      </c>
      <c r="B651" s="1112" t="s">
        <v>1656</v>
      </c>
      <c r="C651" s="1112" t="s">
        <v>1679</v>
      </c>
      <c r="D651" s="1286" t="s">
        <v>1659</v>
      </c>
      <c r="E651" s="1337" t="s">
        <v>1607</v>
      </c>
    </row>
    <row r="652" spans="1:5" x14ac:dyDescent="0.25">
      <c r="A652" s="1115">
        <v>654</v>
      </c>
      <c r="B652" s="1112" t="s">
        <v>1656</v>
      </c>
      <c r="C652" s="1112" t="s">
        <v>1679</v>
      </c>
      <c r="D652" s="1113" t="s">
        <v>1519</v>
      </c>
      <c r="E652" s="1337" t="s">
        <v>1604</v>
      </c>
    </row>
    <row r="653" spans="1:5" ht="30" x14ac:dyDescent="0.25">
      <c r="A653" s="1115">
        <v>655</v>
      </c>
      <c r="B653" s="1112" t="s">
        <v>1656</v>
      </c>
      <c r="C653" s="1112" t="s">
        <v>1679</v>
      </c>
      <c r="D653" s="1113" t="s">
        <v>1634</v>
      </c>
      <c r="E653" s="1337" t="s">
        <v>1618</v>
      </c>
    </row>
    <row r="654" spans="1:5" ht="30" x14ac:dyDescent="0.25">
      <c r="A654" s="1115">
        <v>656</v>
      </c>
      <c r="B654" s="1112" t="s">
        <v>1656</v>
      </c>
      <c r="C654" s="1112" t="s">
        <v>1680</v>
      </c>
      <c r="D654" s="1113" t="s">
        <v>1634</v>
      </c>
      <c r="E654" s="1337" t="s">
        <v>1495</v>
      </c>
    </row>
    <row r="655" spans="1:5" ht="30" x14ac:dyDescent="0.25">
      <c r="A655" s="1115">
        <v>657</v>
      </c>
      <c r="B655" s="1112" t="s">
        <v>1656</v>
      </c>
      <c r="C655" s="1112" t="s">
        <v>1680</v>
      </c>
      <c r="D655" s="1113" t="s">
        <v>1634</v>
      </c>
      <c r="E655" s="1337" t="s">
        <v>1496</v>
      </c>
    </row>
    <row r="656" spans="1:5" ht="30" x14ac:dyDescent="0.25">
      <c r="A656" s="1115">
        <v>658</v>
      </c>
      <c r="B656" s="1112" t="s">
        <v>1656</v>
      </c>
      <c r="C656" s="1112" t="s">
        <v>1680</v>
      </c>
      <c r="D656" s="1113" t="s">
        <v>1634</v>
      </c>
      <c r="E656" s="1337" t="s">
        <v>1497</v>
      </c>
    </row>
    <row r="657" spans="1:5" ht="30" x14ac:dyDescent="0.25">
      <c r="A657" s="1115">
        <v>659</v>
      </c>
      <c r="B657" s="1112" t="s">
        <v>1656</v>
      </c>
      <c r="C657" s="1112" t="s">
        <v>1681</v>
      </c>
      <c r="D657" s="1113" t="s">
        <v>1634</v>
      </c>
      <c r="E657" s="1336" t="s">
        <v>1603</v>
      </c>
    </row>
    <row r="658" spans="1:5" ht="30" x14ac:dyDescent="0.25">
      <c r="A658" s="1115">
        <v>660</v>
      </c>
      <c r="B658" s="1112" t="s">
        <v>1656</v>
      </c>
      <c r="C658" s="1112" t="s">
        <v>1681</v>
      </c>
      <c r="D658" s="1113" t="s">
        <v>1634</v>
      </c>
      <c r="E658" s="1337" t="s">
        <v>1491</v>
      </c>
    </row>
    <row r="659" spans="1:5" ht="30" x14ac:dyDescent="0.25">
      <c r="A659" s="1115">
        <v>661</v>
      </c>
      <c r="B659" s="1112" t="s">
        <v>1656</v>
      </c>
      <c r="C659" s="1112" t="s">
        <v>1681</v>
      </c>
      <c r="D659" s="1113" t="s">
        <v>1634</v>
      </c>
      <c r="E659" s="1337" t="s">
        <v>1488</v>
      </c>
    </row>
    <row r="660" spans="1:5" ht="30" x14ac:dyDescent="0.25">
      <c r="A660" s="1115">
        <v>662</v>
      </c>
      <c r="B660" s="1112" t="s">
        <v>1656</v>
      </c>
      <c r="C660" s="1112" t="s">
        <v>1681</v>
      </c>
      <c r="D660" s="1113" t="s">
        <v>1634</v>
      </c>
      <c r="E660" s="1337" t="s">
        <v>1489</v>
      </c>
    </row>
    <row r="661" spans="1:5" ht="30" x14ac:dyDescent="0.25">
      <c r="A661" s="1115">
        <v>663</v>
      </c>
      <c r="B661" s="1112" t="s">
        <v>1656</v>
      </c>
      <c r="C661" s="1112" t="s">
        <v>1681</v>
      </c>
      <c r="D661" s="1113" t="s">
        <v>1634</v>
      </c>
      <c r="E661" s="1337" t="s">
        <v>1505</v>
      </c>
    </row>
    <row r="662" spans="1:5" ht="30" x14ac:dyDescent="0.25">
      <c r="A662" s="1115">
        <v>664</v>
      </c>
      <c r="B662" s="1112" t="s">
        <v>1656</v>
      </c>
      <c r="C662" s="1112" t="s">
        <v>1681</v>
      </c>
      <c r="D662" s="1113" t="s">
        <v>1634</v>
      </c>
      <c r="E662" s="1337" t="s">
        <v>1490</v>
      </c>
    </row>
    <row r="663" spans="1:5" ht="30" x14ac:dyDescent="0.25">
      <c r="A663" s="1115">
        <v>665</v>
      </c>
      <c r="B663" s="1112" t="s">
        <v>1656</v>
      </c>
      <c r="C663" s="1112" t="s">
        <v>1681</v>
      </c>
      <c r="D663" s="1113" t="s">
        <v>1634</v>
      </c>
      <c r="E663" s="1337" t="s">
        <v>1598</v>
      </c>
    </row>
    <row r="664" spans="1:5" ht="30" x14ac:dyDescent="0.25">
      <c r="A664" s="1115">
        <v>666</v>
      </c>
      <c r="B664" s="1112" t="s">
        <v>1656</v>
      </c>
      <c r="C664" s="1112" t="s">
        <v>1681</v>
      </c>
      <c r="D664" s="1113" t="s">
        <v>1634</v>
      </c>
      <c r="E664" s="1337" t="s">
        <v>1599</v>
      </c>
    </row>
    <row r="665" spans="1:5" x14ac:dyDescent="0.25">
      <c r="A665" s="1115">
        <v>667</v>
      </c>
      <c r="B665" s="1112" t="s">
        <v>1656</v>
      </c>
      <c r="C665" s="1112" t="s">
        <v>1681</v>
      </c>
      <c r="D665" s="1113" t="s">
        <v>1519</v>
      </c>
      <c r="E665" s="1337" t="s">
        <v>1600</v>
      </c>
    </row>
    <row r="666" spans="1:5" ht="45" x14ac:dyDescent="0.25">
      <c r="A666" s="1115">
        <v>668</v>
      </c>
      <c r="B666" s="1112" t="s">
        <v>1656</v>
      </c>
      <c r="C666" s="1112" t="s">
        <v>1681</v>
      </c>
      <c r="D666" s="1286" t="s">
        <v>1659</v>
      </c>
      <c r="E666" s="1337" t="s">
        <v>1493</v>
      </c>
    </row>
    <row r="667" spans="1:5" ht="45" x14ac:dyDescent="0.25">
      <c r="A667" s="1115">
        <v>669</v>
      </c>
      <c r="B667" s="1112" t="s">
        <v>1656</v>
      </c>
      <c r="C667" s="1112" t="s">
        <v>1681</v>
      </c>
      <c r="D667" s="1286" t="s">
        <v>1659</v>
      </c>
      <c r="E667" s="1337" t="s">
        <v>1494</v>
      </c>
    </row>
    <row r="668" spans="1:5" ht="45" x14ac:dyDescent="0.25">
      <c r="A668" s="1115">
        <v>670</v>
      </c>
      <c r="B668" s="1112" t="s">
        <v>1656</v>
      </c>
      <c r="C668" s="1112" t="s">
        <v>1681</v>
      </c>
      <c r="D668" s="1286" t="s">
        <v>1659</v>
      </c>
      <c r="E668" s="1337" t="s">
        <v>1607</v>
      </c>
    </row>
    <row r="669" spans="1:5" x14ac:dyDescent="0.25">
      <c r="A669" s="1115">
        <v>671</v>
      </c>
      <c r="B669" s="1112" t="s">
        <v>1656</v>
      </c>
      <c r="C669" s="1112" t="s">
        <v>1681</v>
      </c>
      <c r="D669" s="1113" t="s">
        <v>1519</v>
      </c>
      <c r="E669" s="1337" t="s">
        <v>1604</v>
      </c>
    </row>
    <row r="670" spans="1:5" ht="30" x14ac:dyDescent="0.25">
      <c r="A670" s="1115">
        <v>672</v>
      </c>
      <c r="B670" s="1112" t="s">
        <v>1656</v>
      </c>
      <c r="C670" s="1112" t="s">
        <v>1681</v>
      </c>
      <c r="D670" s="1113" t="s">
        <v>1634</v>
      </c>
      <c r="E670" s="1337" t="s">
        <v>1618</v>
      </c>
    </row>
    <row r="671" spans="1:5" ht="30" x14ac:dyDescent="0.25">
      <c r="A671" s="1115">
        <v>673</v>
      </c>
      <c r="B671" s="1112" t="s">
        <v>1656</v>
      </c>
      <c r="C671" s="1112" t="s">
        <v>1682</v>
      </c>
      <c r="D671" s="1113" t="s">
        <v>1634</v>
      </c>
      <c r="E671" s="1337" t="s">
        <v>1495</v>
      </c>
    </row>
    <row r="672" spans="1:5" ht="30" x14ac:dyDescent="0.25">
      <c r="A672" s="1115">
        <v>674</v>
      </c>
      <c r="B672" s="1112" t="s">
        <v>1656</v>
      </c>
      <c r="C672" s="1112" t="s">
        <v>1682</v>
      </c>
      <c r="D672" s="1113" t="s">
        <v>1634</v>
      </c>
      <c r="E672" s="1337" t="s">
        <v>1496</v>
      </c>
    </row>
    <row r="673" spans="1:5" ht="30" x14ac:dyDescent="0.25">
      <c r="A673" s="1115">
        <v>675</v>
      </c>
      <c r="B673" s="1112" t="s">
        <v>1656</v>
      </c>
      <c r="C673" s="1112" t="s">
        <v>1682</v>
      </c>
      <c r="D673" s="1113" t="s">
        <v>1634</v>
      </c>
      <c r="E673" s="1337" t="s">
        <v>1497</v>
      </c>
    </row>
    <row r="674" spans="1:5" ht="30" x14ac:dyDescent="0.25">
      <c r="A674" s="1115">
        <v>676</v>
      </c>
      <c r="B674" s="1112" t="s">
        <v>1656</v>
      </c>
      <c r="C674" s="1112" t="s">
        <v>1683</v>
      </c>
      <c r="D674" s="1113" t="s">
        <v>1635</v>
      </c>
      <c r="E674" s="1336" t="s">
        <v>1603</v>
      </c>
    </row>
    <row r="675" spans="1:5" ht="30" x14ac:dyDescent="0.25">
      <c r="A675" s="1115">
        <v>677</v>
      </c>
      <c r="B675" s="1112" t="s">
        <v>1656</v>
      </c>
      <c r="C675" s="1112" t="s">
        <v>1683</v>
      </c>
      <c r="D675" s="1113" t="s">
        <v>1635</v>
      </c>
      <c r="E675" s="1337" t="s">
        <v>1491</v>
      </c>
    </row>
    <row r="676" spans="1:5" ht="30" x14ac:dyDescent="0.25">
      <c r="A676" s="1115">
        <v>678</v>
      </c>
      <c r="B676" s="1112" t="s">
        <v>1656</v>
      </c>
      <c r="C676" s="1112" t="s">
        <v>1683</v>
      </c>
      <c r="D676" s="1113" t="s">
        <v>1635</v>
      </c>
      <c r="E676" s="1337" t="s">
        <v>1488</v>
      </c>
    </row>
    <row r="677" spans="1:5" ht="30" x14ac:dyDescent="0.25">
      <c r="A677" s="1115">
        <v>679</v>
      </c>
      <c r="B677" s="1112" t="s">
        <v>1656</v>
      </c>
      <c r="C677" s="1112" t="s">
        <v>1683</v>
      </c>
      <c r="D677" s="1113" t="s">
        <v>1635</v>
      </c>
      <c r="E677" s="1337" t="s">
        <v>1489</v>
      </c>
    </row>
    <row r="678" spans="1:5" ht="30" x14ac:dyDescent="0.25">
      <c r="A678" s="1115">
        <v>680</v>
      </c>
      <c r="B678" s="1112" t="s">
        <v>1656</v>
      </c>
      <c r="C678" s="1112" t="s">
        <v>1683</v>
      </c>
      <c r="D678" s="1113" t="s">
        <v>1635</v>
      </c>
      <c r="E678" s="1337" t="s">
        <v>1505</v>
      </c>
    </row>
    <row r="679" spans="1:5" ht="30" x14ac:dyDescent="0.25">
      <c r="A679" s="1115">
        <v>681</v>
      </c>
      <c r="B679" s="1112" t="s">
        <v>1656</v>
      </c>
      <c r="C679" s="1112" t="s">
        <v>1683</v>
      </c>
      <c r="D679" s="1113" t="s">
        <v>1635</v>
      </c>
      <c r="E679" s="1337" t="s">
        <v>1490</v>
      </c>
    </row>
    <row r="680" spans="1:5" ht="30" x14ac:dyDescent="0.25">
      <c r="A680" s="1115">
        <v>682</v>
      </c>
      <c r="B680" s="1112" t="s">
        <v>1656</v>
      </c>
      <c r="C680" s="1112" t="s">
        <v>1683</v>
      </c>
      <c r="D680" s="1113" t="s">
        <v>1635</v>
      </c>
      <c r="E680" s="1337" t="s">
        <v>1598</v>
      </c>
    </row>
    <row r="681" spans="1:5" ht="30" x14ac:dyDescent="0.25">
      <c r="A681" s="1115">
        <v>683</v>
      </c>
      <c r="B681" s="1112" t="s">
        <v>1656</v>
      </c>
      <c r="C681" s="1112" t="s">
        <v>1683</v>
      </c>
      <c r="D681" s="1113" t="s">
        <v>1635</v>
      </c>
      <c r="E681" s="1337" t="s">
        <v>1599</v>
      </c>
    </row>
    <row r="682" spans="1:5" x14ac:dyDescent="0.25">
      <c r="A682" s="1115">
        <v>684</v>
      </c>
      <c r="B682" s="1112" t="s">
        <v>1656</v>
      </c>
      <c r="C682" s="1112" t="s">
        <v>1683</v>
      </c>
      <c r="D682" s="1113" t="s">
        <v>1519</v>
      </c>
      <c r="E682" s="1337" t="s">
        <v>1600</v>
      </c>
    </row>
    <row r="683" spans="1:5" ht="45" x14ac:dyDescent="0.25">
      <c r="A683" s="1115">
        <v>685</v>
      </c>
      <c r="B683" s="1112" t="s">
        <v>1656</v>
      </c>
      <c r="C683" s="1112" t="s">
        <v>1683</v>
      </c>
      <c r="D683" s="1286" t="s">
        <v>1659</v>
      </c>
      <c r="E683" s="1337" t="s">
        <v>1493</v>
      </c>
    </row>
    <row r="684" spans="1:5" ht="45" x14ac:dyDescent="0.25">
      <c r="A684" s="1115">
        <v>686</v>
      </c>
      <c r="B684" s="1112" t="s">
        <v>1656</v>
      </c>
      <c r="C684" s="1112" t="s">
        <v>1683</v>
      </c>
      <c r="D684" s="1286" t="s">
        <v>1659</v>
      </c>
      <c r="E684" s="1337" t="s">
        <v>1494</v>
      </c>
    </row>
    <row r="685" spans="1:5" ht="45" x14ac:dyDescent="0.25">
      <c r="A685" s="1115">
        <v>687</v>
      </c>
      <c r="B685" s="1112" t="s">
        <v>1656</v>
      </c>
      <c r="C685" s="1112" t="s">
        <v>1683</v>
      </c>
      <c r="D685" s="1286" t="s">
        <v>1659</v>
      </c>
      <c r="E685" s="1337" t="s">
        <v>1607</v>
      </c>
    </row>
    <row r="686" spans="1:5" x14ac:dyDescent="0.25">
      <c r="A686" s="1115">
        <v>688</v>
      </c>
      <c r="B686" s="1112" t="s">
        <v>1656</v>
      </c>
      <c r="C686" s="1112" t="s">
        <v>1683</v>
      </c>
      <c r="D686" s="1113" t="s">
        <v>1519</v>
      </c>
      <c r="E686" s="1337" t="s">
        <v>1604</v>
      </c>
    </row>
    <row r="687" spans="1:5" ht="30" x14ac:dyDescent="0.25">
      <c r="A687" s="1115">
        <v>689</v>
      </c>
      <c r="B687" s="1112" t="s">
        <v>1656</v>
      </c>
      <c r="C687" s="1112" t="s">
        <v>1683</v>
      </c>
      <c r="D687" s="1113" t="s">
        <v>1635</v>
      </c>
      <c r="E687" s="1337" t="s">
        <v>1618</v>
      </c>
    </row>
    <row r="688" spans="1:5" ht="30" x14ac:dyDescent="0.25">
      <c r="A688" s="1115">
        <v>690</v>
      </c>
      <c r="B688" s="1112" t="s">
        <v>1656</v>
      </c>
      <c r="C688" s="1112" t="s">
        <v>1684</v>
      </c>
      <c r="D688" s="1113" t="s">
        <v>1635</v>
      </c>
      <c r="E688" s="1337" t="s">
        <v>1495</v>
      </c>
    </row>
    <row r="689" spans="1:5" ht="30" x14ac:dyDescent="0.25">
      <c r="A689" s="1115">
        <v>691</v>
      </c>
      <c r="B689" s="1112" t="s">
        <v>1656</v>
      </c>
      <c r="C689" s="1112" t="s">
        <v>1684</v>
      </c>
      <c r="D689" s="1113" t="s">
        <v>1635</v>
      </c>
      <c r="E689" s="1337" t="s">
        <v>1496</v>
      </c>
    </row>
    <row r="690" spans="1:5" ht="30" x14ac:dyDescent="0.25">
      <c r="A690" s="1115">
        <v>692</v>
      </c>
      <c r="B690" s="1112" t="s">
        <v>1656</v>
      </c>
      <c r="C690" s="1112" t="s">
        <v>1684</v>
      </c>
      <c r="D690" s="1113" t="s">
        <v>1635</v>
      </c>
      <c r="E690" s="1337" t="s">
        <v>1497</v>
      </c>
    </row>
    <row r="691" spans="1:5" ht="30" x14ac:dyDescent="0.25">
      <c r="A691" s="1115">
        <v>693</v>
      </c>
      <c r="B691" s="1112" t="s">
        <v>1656</v>
      </c>
      <c r="C691" s="1112" t="s">
        <v>1685</v>
      </c>
      <c r="D691" s="1113" t="s">
        <v>1635</v>
      </c>
      <c r="E691" s="1337" t="s">
        <v>1495</v>
      </c>
    </row>
    <row r="692" spans="1:5" ht="30" x14ac:dyDescent="0.25">
      <c r="A692" s="1115">
        <v>694</v>
      </c>
      <c r="B692" s="1112" t="s">
        <v>1656</v>
      </c>
      <c r="C692" s="1112" t="s">
        <v>1685</v>
      </c>
      <c r="D692" s="1113" t="s">
        <v>1635</v>
      </c>
      <c r="E692" s="1337" t="s">
        <v>1496</v>
      </c>
    </row>
    <row r="693" spans="1:5" ht="30" x14ac:dyDescent="0.25">
      <c r="A693" s="1115">
        <v>695</v>
      </c>
      <c r="B693" s="1112" t="s">
        <v>1656</v>
      </c>
      <c r="C693" s="1112" t="s">
        <v>1685</v>
      </c>
      <c r="D693" s="1113" t="s">
        <v>1635</v>
      </c>
      <c r="E693" s="1337" t="s">
        <v>1497</v>
      </c>
    </row>
    <row r="694" spans="1:5" ht="30" x14ac:dyDescent="0.25">
      <c r="A694" s="1115">
        <v>696</v>
      </c>
      <c r="B694" s="1112" t="s">
        <v>1656</v>
      </c>
      <c r="C694" s="1112" t="s">
        <v>1686</v>
      </c>
      <c r="D694" s="1113" t="s">
        <v>1635</v>
      </c>
      <c r="E694" s="1337" t="s">
        <v>1495</v>
      </c>
    </row>
    <row r="695" spans="1:5" ht="30" x14ac:dyDescent="0.25">
      <c r="A695" s="1115">
        <v>697</v>
      </c>
      <c r="B695" s="1112" t="s">
        <v>1656</v>
      </c>
      <c r="C695" s="1112" t="s">
        <v>1686</v>
      </c>
      <c r="D695" s="1113" t="s">
        <v>1635</v>
      </c>
      <c r="E695" s="1337" t="s">
        <v>1496</v>
      </c>
    </row>
    <row r="696" spans="1:5" ht="30" x14ac:dyDescent="0.25">
      <c r="A696" s="1115">
        <v>698</v>
      </c>
      <c r="B696" s="1112" t="s">
        <v>1656</v>
      </c>
      <c r="C696" s="1112" t="s">
        <v>1686</v>
      </c>
      <c r="D696" s="1113" t="s">
        <v>1635</v>
      </c>
      <c r="E696" s="1337" t="s">
        <v>1497</v>
      </c>
    </row>
    <row r="697" spans="1:5" ht="30" x14ac:dyDescent="0.25">
      <c r="A697" s="1115">
        <v>699</v>
      </c>
      <c r="B697" s="1112" t="s">
        <v>1656</v>
      </c>
      <c r="C697" s="1112" t="s">
        <v>1687</v>
      </c>
      <c r="D697" s="1113" t="s">
        <v>1635</v>
      </c>
      <c r="E697" s="1337" t="s">
        <v>1495</v>
      </c>
    </row>
    <row r="698" spans="1:5" ht="30" x14ac:dyDescent="0.25">
      <c r="A698" s="1115">
        <v>700</v>
      </c>
      <c r="B698" s="1112" t="s">
        <v>1656</v>
      </c>
      <c r="C698" s="1112" t="s">
        <v>1687</v>
      </c>
      <c r="D698" s="1113" t="s">
        <v>1635</v>
      </c>
      <c r="E698" s="1337" t="s">
        <v>1496</v>
      </c>
    </row>
    <row r="699" spans="1:5" ht="30" x14ac:dyDescent="0.25">
      <c r="A699" s="1115">
        <v>701</v>
      </c>
      <c r="B699" s="1112" t="s">
        <v>1656</v>
      </c>
      <c r="C699" s="1112" t="s">
        <v>1687</v>
      </c>
      <c r="D699" s="1113" t="s">
        <v>1635</v>
      </c>
      <c r="E699" s="1337" t="s">
        <v>1497</v>
      </c>
    </row>
    <row r="700" spans="1:5" ht="30" x14ac:dyDescent="0.25">
      <c r="A700" s="1115">
        <v>702</v>
      </c>
      <c r="B700" s="1112" t="s">
        <v>1656</v>
      </c>
      <c r="C700" s="1112" t="s">
        <v>1688</v>
      </c>
      <c r="D700" s="1113" t="s">
        <v>1635</v>
      </c>
      <c r="E700" s="1337" t="s">
        <v>1495</v>
      </c>
    </row>
    <row r="701" spans="1:5" ht="30" x14ac:dyDescent="0.25">
      <c r="A701" s="1115">
        <v>703</v>
      </c>
      <c r="B701" s="1112" t="s">
        <v>1656</v>
      </c>
      <c r="C701" s="1112" t="s">
        <v>1688</v>
      </c>
      <c r="D701" s="1113" t="s">
        <v>1635</v>
      </c>
      <c r="E701" s="1337" t="s">
        <v>1496</v>
      </c>
    </row>
    <row r="702" spans="1:5" ht="30" x14ac:dyDescent="0.25">
      <c r="A702" s="1115">
        <v>704</v>
      </c>
      <c r="B702" s="1112" t="s">
        <v>1656</v>
      </c>
      <c r="C702" s="1112" t="s">
        <v>1688</v>
      </c>
      <c r="D702" s="1113" t="s">
        <v>1635</v>
      </c>
      <c r="E702" s="1337" t="s">
        <v>1497</v>
      </c>
    </row>
    <row r="703" spans="1:5" ht="30" x14ac:dyDescent="0.25">
      <c r="A703" s="1115">
        <v>705</v>
      </c>
      <c r="B703" s="1112" t="s">
        <v>1656</v>
      </c>
      <c r="C703" s="1112" t="s">
        <v>1689</v>
      </c>
      <c r="D703" s="1113" t="s">
        <v>1635</v>
      </c>
      <c r="E703" s="1336" t="s">
        <v>1603</v>
      </c>
    </row>
    <row r="704" spans="1:5" ht="30" x14ac:dyDescent="0.25">
      <c r="A704" s="1115">
        <v>706</v>
      </c>
      <c r="B704" s="1112" t="s">
        <v>1656</v>
      </c>
      <c r="C704" s="1112" t="s">
        <v>1689</v>
      </c>
      <c r="D704" s="1113" t="s">
        <v>1635</v>
      </c>
      <c r="E704" s="1337" t="s">
        <v>1491</v>
      </c>
    </row>
    <row r="705" spans="1:5" ht="30" x14ac:dyDescent="0.25">
      <c r="A705" s="1115">
        <v>707</v>
      </c>
      <c r="B705" s="1112" t="s">
        <v>1656</v>
      </c>
      <c r="C705" s="1112" t="s">
        <v>1689</v>
      </c>
      <c r="D705" s="1113" t="s">
        <v>1635</v>
      </c>
      <c r="E705" s="1337" t="s">
        <v>1488</v>
      </c>
    </row>
    <row r="706" spans="1:5" ht="30" x14ac:dyDescent="0.25">
      <c r="A706" s="1115">
        <v>708</v>
      </c>
      <c r="B706" s="1112" t="s">
        <v>1656</v>
      </c>
      <c r="C706" s="1112" t="s">
        <v>1689</v>
      </c>
      <c r="D706" s="1113" t="s">
        <v>1635</v>
      </c>
      <c r="E706" s="1337" t="s">
        <v>1489</v>
      </c>
    </row>
    <row r="707" spans="1:5" ht="30" x14ac:dyDescent="0.25">
      <c r="A707" s="1115">
        <v>709</v>
      </c>
      <c r="B707" s="1112" t="s">
        <v>1656</v>
      </c>
      <c r="C707" s="1112" t="s">
        <v>1689</v>
      </c>
      <c r="D707" s="1113" t="s">
        <v>1635</v>
      </c>
      <c r="E707" s="1337" t="s">
        <v>1505</v>
      </c>
    </row>
    <row r="708" spans="1:5" ht="30" x14ac:dyDescent="0.25">
      <c r="A708" s="1115">
        <v>710</v>
      </c>
      <c r="B708" s="1112" t="s">
        <v>1656</v>
      </c>
      <c r="C708" s="1112" t="s">
        <v>1689</v>
      </c>
      <c r="D708" s="1113" t="s">
        <v>1635</v>
      </c>
      <c r="E708" s="1337" t="s">
        <v>1490</v>
      </c>
    </row>
    <row r="709" spans="1:5" ht="30" x14ac:dyDescent="0.25">
      <c r="A709" s="1115">
        <v>711</v>
      </c>
      <c r="B709" s="1112" t="s">
        <v>1656</v>
      </c>
      <c r="C709" s="1112" t="s">
        <v>1689</v>
      </c>
      <c r="D709" s="1113" t="s">
        <v>1635</v>
      </c>
      <c r="E709" s="1337" t="s">
        <v>1598</v>
      </c>
    </row>
    <row r="710" spans="1:5" ht="30" x14ac:dyDescent="0.25">
      <c r="A710" s="1115">
        <v>712</v>
      </c>
      <c r="B710" s="1112" t="s">
        <v>1656</v>
      </c>
      <c r="C710" s="1112" t="s">
        <v>1689</v>
      </c>
      <c r="D710" s="1113" t="s">
        <v>1635</v>
      </c>
      <c r="E710" s="1337" t="s">
        <v>1599</v>
      </c>
    </row>
    <row r="711" spans="1:5" x14ac:dyDescent="0.25">
      <c r="A711" s="1115">
        <v>713</v>
      </c>
      <c r="B711" s="1112" t="s">
        <v>1656</v>
      </c>
      <c r="C711" s="1112" t="s">
        <v>1689</v>
      </c>
      <c r="D711" s="1113" t="s">
        <v>1519</v>
      </c>
      <c r="E711" s="1337" t="s">
        <v>1600</v>
      </c>
    </row>
    <row r="712" spans="1:5" ht="45" x14ac:dyDescent="0.25">
      <c r="A712" s="1115">
        <v>714</v>
      </c>
      <c r="B712" s="1112" t="s">
        <v>1656</v>
      </c>
      <c r="C712" s="1112" t="s">
        <v>1689</v>
      </c>
      <c r="D712" s="1286" t="s">
        <v>1659</v>
      </c>
      <c r="E712" s="1337" t="s">
        <v>1493</v>
      </c>
    </row>
    <row r="713" spans="1:5" ht="45" x14ac:dyDescent="0.25">
      <c r="A713" s="1115">
        <v>715</v>
      </c>
      <c r="B713" s="1112" t="s">
        <v>1656</v>
      </c>
      <c r="C713" s="1112" t="s">
        <v>1689</v>
      </c>
      <c r="D713" s="1286" t="s">
        <v>1659</v>
      </c>
      <c r="E713" s="1337" t="s">
        <v>1494</v>
      </c>
    </row>
    <row r="714" spans="1:5" ht="45" x14ac:dyDescent="0.25">
      <c r="A714" s="1115">
        <v>716</v>
      </c>
      <c r="B714" s="1112" t="s">
        <v>1656</v>
      </c>
      <c r="C714" s="1112" t="s">
        <v>1689</v>
      </c>
      <c r="D714" s="1286" t="s">
        <v>1659</v>
      </c>
      <c r="E714" s="1337" t="s">
        <v>1607</v>
      </c>
    </row>
    <row r="715" spans="1:5" x14ac:dyDescent="0.25">
      <c r="A715" s="1115">
        <v>717</v>
      </c>
      <c r="B715" s="1112" t="s">
        <v>1656</v>
      </c>
      <c r="C715" s="1112" t="s">
        <v>1689</v>
      </c>
      <c r="D715" s="1113" t="s">
        <v>1519</v>
      </c>
      <c r="E715" s="1337" t="s">
        <v>1604</v>
      </c>
    </row>
    <row r="716" spans="1:5" ht="30" x14ac:dyDescent="0.25">
      <c r="A716" s="1115">
        <v>718</v>
      </c>
      <c r="B716" s="1112" t="s">
        <v>1656</v>
      </c>
      <c r="C716" s="1112" t="s">
        <v>1689</v>
      </c>
      <c r="D716" s="1113" t="s">
        <v>1635</v>
      </c>
      <c r="E716" s="1337" t="s">
        <v>1618</v>
      </c>
    </row>
    <row r="717" spans="1:5" ht="30" x14ac:dyDescent="0.25">
      <c r="A717" s="1115">
        <v>719</v>
      </c>
      <c r="B717" s="1112" t="s">
        <v>1656</v>
      </c>
      <c r="C717" s="1112" t="s">
        <v>1690</v>
      </c>
      <c r="D717" s="1113" t="s">
        <v>1635</v>
      </c>
      <c r="E717" s="1337" t="s">
        <v>1495</v>
      </c>
    </row>
    <row r="718" spans="1:5" ht="30" x14ac:dyDescent="0.25">
      <c r="A718" s="1115">
        <v>720</v>
      </c>
      <c r="B718" s="1112" t="s">
        <v>1656</v>
      </c>
      <c r="C718" s="1112" t="s">
        <v>1690</v>
      </c>
      <c r="D718" s="1113" t="s">
        <v>1635</v>
      </c>
      <c r="E718" s="1337" t="s">
        <v>1496</v>
      </c>
    </row>
    <row r="719" spans="1:5" ht="30" x14ac:dyDescent="0.25">
      <c r="A719" s="1115">
        <v>721</v>
      </c>
      <c r="B719" s="1112" t="s">
        <v>1656</v>
      </c>
      <c r="C719" s="1112" t="s">
        <v>1690</v>
      </c>
      <c r="D719" s="1113" t="s">
        <v>1635</v>
      </c>
      <c r="E719" s="1337" t="s">
        <v>1497</v>
      </c>
    </row>
    <row r="720" spans="1:5" ht="30" x14ac:dyDescent="0.25">
      <c r="A720" s="1115">
        <v>722</v>
      </c>
      <c r="B720" s="1112" t="s">
        <v>1656</v>
      </c>
      <c r="C720" s="1112" t="s">
        <v>1691</v>
      </c>
      <c r="D720" s="1113" t="s">
        <v>1635</v>
      </c>
      <c r="E720" s="1337" t="s">
        <v>1495</v>
      </c>
    </row>
    <row r="721" spans="1:5" ht="30" x14ac:dyDescent="0.25">
      <c r="A721" s="1115">
        <v>723</v>
      </c>
      <c r="B721" s="1112" t="s">
        <v>1656</v>
      </c>
      <c r="C721" s="1112" t="s">
        <v>1691</v>
      </c>
      <c r="D721" s="1113" t="s">
        <v>1635</v>
      </c>
      <c r="E721" s="1337" t="s">
        <v>1496</v>
      </c>
    </row>
    <row r="722" spans="1:5" ht="30" x14ac:dyDescent="0.25">
      <c r="A722" s="1115">
        <v>724</v>
      </c>
      <c r="B722" s="1112" t="s">
        <v>1656</v>
      </c>
      <c r="C722" s="1112" t="s">
        <v>1691</v>
      </c>
      <c r="D722" s="1113" t="s">
        <v>1635</v>
      </c>
      <c r="E722" s="1337" t="s">
        <v>1497</v>
      </c>
    </row>
    <row r="723" spans="1:5" ht="30" x14ac:dyDescent="0.25">
      <c r="A723" s="1115">
        <v>725</v>
      </c>
      <c r="B723" s="1112" t="s">
        <v>1656</v>
      </c>
      <c r="C723" s="1112" t="s">
        <v>1692</v>
      </c>
      <c r="D723" s="1113" t="s">
        <v>1635</v>
      </c>
      <c r="E723" s="1337" t="s">
        <v>1495</v>
      </c>
    </row>
    <row r="724" spans="1:5" ht="30" x14ac:dyDescent="0.25">
      <c r="A724" s="1115">
        <v>726</v>
      </c>
      <c r="B724" s="1112" t="s">
        <v>1656</v>
      </c>
      <c r="C724" s="1112" t="s">
        <v>1692</v>
      </c>
      <c r="D724" s="1113" t="s">
        <v>1635</v>
      </c>
      <c r="E724" s="1337" t="s">
        <v>1496</v>
      </c>
    </row>
    <row r="725" spans="1:5" ht="30" x14ac:dyDescent="0.25">
      <c r="A725" s="1115">
        <v>727</v>
      </c>
      <c r="B725" s="1112" t="s">
        <v>1656</v>
      </c>
      <c r="C725" s="1112" t="s">
        <v>1692</v>
      </c>
      <c r="D725" s="1113" t="s">
        <v>1635</v>
      </c>
      <c r="E725" s="1337" t="s">
        <v>1497</v>
      </c>
    </row>
    <row r="726" spans="1:5" ht="30" x14ac:dyDescent="0.25">
      <c r="A726" s="1115">
        <v>728</v>
      </c>
      <c r="B726" s="1112" t="s">
        <v>1656</v>
      </c>
      <c r="C726" s="1112" t="s">
        <v>1693</v>
      </c>
      <c r="D726" s="1113" t="s">
        <v>1635</v>
      </c>
      <c r="E726" s="1337" t="s">
        <v>1495</v>
      </c>
    </row>
    <row r="727" spans="1:5" ht="30" x14ac:dyDescent="0.25">
      <c r="A727" s="1115">
        <v>729</v>
      </c>
      <c r="B727" s="1112" t="s">
        <v>1656</v>
      </c>
      <c r="C727" s="1112" t="s">
        <v>1693</v>
      </c>
      <c r="D727" s="1113" t="s">
        <v>1635</v>
      </c>
      <c r="E727" s="1337" t="s">
        <v>1496</v>
      </c>
    </row>
    <row r="728" spans="1:5" ht="30" x14ac:dyDescent="0.25">
      <c r="A728" s="1115">
        <v>730</v>
      </c>
      <c r="B728" s="1112" t="s">
        <v>1656</v>
      </c>
      <c r="C728" s="1112" t="s">
        <v>1693</v>
      </c>
      <c r="D728" s="1113" t="s">
        <v>1635</v>
      </c>
      <c r="E728" s="1337" t="s">
        <v>1497</v>
      </c>
    </row>
    <row r="729" spans="1:5" ht="30" x14ac:dyDescent="0.25">
      <c r="A729" s="1115">
        <v>731</v>
      </c>
      <c r="B729" s="1112" t="s">
        <v>1656</v>
      </c>
      <c r="C729" s="1112" t="s">
        <v>1694</v>
      </c>
      <c r="D729" s="1113" t="s">
        <v>1635</v>
      </c>
      <c r="E729" s="1337" t="s">
        <v>1495</v>
      </c>
    </row>
    <row r="730" spans="1:5" ht="30" x14ac:dyDescent="0.25">
      <c r="A730" s="1115">
        <v>732</v>
      </c>
      <c r="B730" s="1112" t="s">
        <v>1656</v>
      </c>
      <c r="C730" s="1112" t="s">
        <v>1694</v>
      </c>
      <c r="D730" s="1113" t="s">
        <v>1635</v>
      </c>
      <c r="E730" s="1337" t="s">
        <v>1496</v>
      </c>
    </row>
    <row r="731" spans="1:5" ht="30" x14ac:dyDescent="0.25">
      <c r="A731" s="1115">
        <v>733</v>
      </c>
      <c r="B731" s="1112" t="s">
        <v>1656</v>
      </c>
      <c r="C731" s="1112" t="s">
        <v>1694</v>
      </c>
      <c r="D731" s="1113" t="s">
        <v>1635</v>
      </c>
      <c r="E731" s="1337" t="s">
        <v>1497</v>
      </c>
    </row>
    <row r="732" spans="1:5" x14ac:dyDescent="0.25">
      <c r="A732" s="1115">
        <v>734</v>
      </c>
      <c r="B732" s="1112" t="s">
        <v>1656</v>
      </c>
      <c r="C732" s="1112" t="s">
        <v>1695</v>
      </c>
      <c r="D732" s="1113" t="s">
        <v>1696</v>
      </c>
      <c r="E732" s="1336" t="s">
        <v>1603</v>
      </c>
    </row>
    <row r="733" spans="1:5" x14ac:dyDescent="0.25">
      <c r="A733" s="1115">
        <v>735</v>
      </c>
      <c r="B733" s="1112" t="s">
        <v>1656</v>
      </c>
      <c r="C733" s="1112" t="s">
        <v>1695</v>
      </c>
      <c r="D733" s="1113" t="s">
        <v>1696</v>
      </c>
      <c r="E733" s="1337" t="s">
        <v>1491</v>
      </c>
    </row>
    <row r="734" spans="1:5" x14ac:dyDescent="0.25">
      <c r="A734" s="1115">
        <v>736</v>
      </c>
      <c r="B734" s="1112" t="s">
        <v>1656</v>
      </c>
      <c r="C734" s="1112" t="s">
        <v>1695</v>
      </c>
      <c r="D734" s="1113" t="s">
        <v>1696</v>
      </c>
      <c r="E734" s="1337" t="s">
        <v>1488</v>
      </c>
    </row>
    <row r="735" spans="1:5" x14ac:dyDescent="0.25">
      <c r="A735" s="1115">
        <v>737</v>
      </c>
      <c r="B735" s="1112" t="s">
        <v>1656</v>
      </c>
      <c r="C735" s="1112" t="s">
        <v>1695</v>
      </c>
      <c r="D735" s="1113" t="s">
        <v>1696</v>
      </c>
      <c r="E735" s="1337" t="s">
        <v>1489</v>
      </c>
    </row>
    <row r="736" spans="1:5" x14ac:dyDescent="0.25">
      <c r="A736" s="1115">
        <v>738</v>
      </c>
      <c r="B736" s="1112" t="s">
        <v>1656</v>
      </c>
      <c r="C736" s="1112" t="s">
        <v>1695</v>
      </c>
      <c r="D736" s="1113" t="s">
        <v>1696</v>
      </c>
      <c r="E736" s="1337" t="s">
        <v>1505</v>
      </c>
    </row>
    <row r="737" spans="1:5" x14ac:dyDescent="0.25">
      <c r="A737" s="1115">
        <v>739</v>
      </c>
      <c r="B737" s="1112" t="s">
        <v>1656</v>
      </c>
      <c r="C737" s="1112" t="s">
        <v>1695</v>
      </c>
      <c r="D737" s="1113" t="s">
        <v>1519</v>
      </c>
      <c r="E737" s="1337" t="s">
        <v>1490</v>
      </c>
    </row>
    <row r="738" spans="1:5" x14ac:dyDescent="0.25">
      <c r="A738" s="1115">
        <v>740</v>
      </c>
      <c r="B738" s="1112" t="s">
        <v>1656</v>
      </c>
      <c r="C738" s="1112" t="s">
        <v>1695</v>
      </c>
      <c r="D738" s="1113" t="s">
        <v>1696</v>
      </c>
      <c r="E738" s="1337" t="s">
        <v>1598</v>
      </c>
    </row>
    <row r="739" spans="1:5" x14ac:dyDescent="0.25">
      <c r="A739" s="1115">
        <v>741</v>
      </c>
      <c r="B739" s="1112" t="s">
        <v>1656</v>
      </c>
      <c r="C739" s="1112" t="s">
        <v>1695</v>
      </c>
      <c r="D739" s="1113" t="s">
        <v>1696</v>
      </c>
      <c r="E739" s="1337" t="s">
        <v>1599</v>
      </c>
    </row>
    <row r="740" spans="1:5" x14ac:dyDescent="0.25">
      <c r="A740" s="1115">
        <v>742</v>
      </c>
      <c r="B740" s="1112" t="s">
        <v>1656</v>
      </c>
      <c r="C740" s="1112" t="s">
        <v>1695</v>
      </c>
      <c r="D740" s="1113" t="s">
        <v>1519</v>
      </c>
      <c r="E740" s="1337" t="s">
        <v>1600</v>
      </c>
    </row>
    <row r="741" spans="1:5" ht="45" x14ac:dyDescent="0.25">
      <c r="A741" s="1115">
        <v>743</v>
      </c>
      <c r="B741" s="1112" t="s">
        <v>1656</v>
      </c>
      <c r="C741" s="1112" t="s">
        <v>1695</v>
      </c>
      <c r="D741" s="1286" t="s">
        <v>1659</v>
      </c>
      <c r="E741" s="1337" t="s">
        <v>1493</v>
      </c>
    </row>
    <row r="742" spans="1:5" ht="45" x14ac:dyDescent="0.25">
      <c r="A742" s="1115">
        <v>744</v>
      </c>
      <c r="B742" s="1112" t="s">
        <v>1656</v>
      </c>
      <c r="C742" s="1112" t="s">
        <v>1695</v>
      </c>
      <c r="D742" s="1286" t="s">
        <v>1659</v>
      </c>
      <c r="E742" s="1337" t="s">
        <v>1494</v>
      </c>
    </row>
    <row r="743" spans="1:5" ht="45" x14ac:dyDescent="0.25">
      <c r="A743" s="1115">
        <v>745</v>
      </c>
      <c r="B743" s="1112" t="s">
        <v>1656</v>
      </c>
      <c r="C743" s="1112" t="s">
        <v>1695</v>
      </c>
      <c r="D743" s="1286" t="s">
        <v>1659</v>
      </c>
      <c r="E743" s="1337" t="s">
        <v>1607</v>
      </c>
    </row>
    <row r="744" spans="1:5" x14ac:dyDescent="0.25">
      <c r="A744" s="1115">
        <v>746</v>
      </c>
      <c r="B744" s="1112" t="s">
        <v>1656</v>
      </c>
      <c r="C744" s="1112" t="s">
        <v>1695</v>
      </c>
      <c r="D744" s="1113" t="s">
        <v>1519</v>
      </c>
      <c r="E744" s="1337" t="s">
        <v>1604</v>
      </c>
    </row>
    <row r="745" spans="1:5" x14ac:dyDescent="0.25">
      <c r="A745" s="1115">
        <v>747</v>
      </c>
      <c r="B745" s="1112" t="s">
        <v>1656</v>
      </c>
      <c r="C745" s="1112" t="s">
        <v>1695</v>
      </c>
      <c r="D745" s="1113" t="s">
        <v>1696</v>
      </c>
      <c r="E745" s="1337" t="s">
        <v>1497</v>
      </c>
    </row>
    <row r="746" spans="1:5" x14ac:dyDescent="0.25">
      <c r="A746" s="1115">
        <v>748</v>
      </c>
      <c r="B746" s="1112" t="s">
        <v>1656</v>
      </c>
      <c r="C746" s="1112" t="s">
        <v>1697</v>
      </c>
      <c r="D746" s="1113" t="s">
        <v>1696</v>
      </c>
      <c r="E746" s="1336" t="s">
        <v>1603</v>
      </c>
    </row>
    <row r="747" spans="1:5" x14ac:dyDescent="0.25">
      <c r="A747" s="1115">
        <v>749</v>
      </c>
      <c r="B747" s="1112" t="s">
        <v>1656</v>
      </c>
      <c r="C747" s="1112" t="s">
        <v>1697</v>
      </c>
      <c r="D747" s="1113" t="s">
        <v>1696</v>
      </c>
      <c r="E747" s="1337" t="s">
        <v>1491</v>
      </c>
    </row>
    <row r="748" spans="1:5" x14ac:dyDescent="0.25">
      <c r="A748" s="1115">
        <v>750</v>
      </c>
      <c r="B748" s="1112" t="s">
        <v>1656</v>
      </c>
      <c r="C748" s="1112" t="s">
        <v>1697</v>
      </c>
      <c r="D748" s="1113" t="s">
        <v>1696</v>
      </c>
      <c r="E748" s="1337" t="s">
        <v>1488</v>
      </c>
    </row>
    <row r="749" spans="1:5" x14ac:dyDescent="0.25">
      <c r="A749" s="1115">
        <v>751</v>
      </c>
      <c r="B749" s="1112" t="s">
        <v>1656</v>
      </c>
      <c r="C749" s="1112" t="s">
        <v>1697</v>
      </c>
      <c r="D749" s="1113" t="s">
        <v>1696</v>
      </c>
      <c r="E749" s="1337" t="s">
        <v>1489</v>
      </c>
    </row>
    <row r="750" spans="1:5" x14ac:dyDescent="0.25">
      <c r="A750" s="1115">
        <v>752</v>
      </c>
      <c r="B750" s="1112" t="s">
        <v>1656</v>
      </c>
      <c r="C750" s="1112" t="s">
        <v>1697</v>
      </c>
      <c r="D750" s="1113" t="s">
        <v>1696</v>
      </c>
      <c r="E750" s="1337" t="s">
        <v>1505</v>
      </c>
    </row>
    <row r="751" spans="1:5" x14ac:dyDescent="0.25">
      <c r="A751" s="1115">
        <v>753</v>
      </c>
      <c r="B751" s="1112" t="s">
        <v>1656</v>
      </c>
      <c r="C751" s="1112" t="s">
        <v>1697</v>
      </c>
      <c r="D751" s="1113" t="s">
        <v>1519</v>
      </c>
      <c r="E751" s="1337" t="s">
        <v>1490</v>
      </c>
    </row>
    <row r="752" spans="1:5" x14ac:dyDescent="0.25">
      <c r="A752" s="1115">
        <v>754</v>
      </c>
      <c r="B752" s="1112" t="s">
        <v>1656</v>
      </c>
      <c r="C752" s="1112" t="s">
        <v>1697</v>
      </c>
      <c r="D752" s="1113" t="s">
        <v>1696</v>
      </c>
      <c r="E752" s="1337" t="s">
        <v>1598</v>
      </c>
    </row>
    <row r="753" spans="1:5" x14ac:dyDescent="0.25">
      <c r="A753" s="1115">
        <v>755</v>
      </c>
      <c r="B753" s="1112" t="s">
        <v>1656</v>
      </c>
      <c r="C753" s="1112" t="s">
        <v>1697</v>
      </c>
      <c r="D753" s="1113" t="s">
        <v>1696</v>
      </c>
      <c r="E753" s="1337" t="s">
        <v>1599</v>
      </c>
    </row>
    <row r="754" spans="1:5" x14ac:dyDescent="0.25">
      <c r="A754" s="1115">
        <v>756</v>
      </c>
      <c r="B754" s="1112" t="s">
        <v>1656</v>
      </c>
      <c r="C754" s="1112" t="s">
        <v>1697</v>
      </c>
      <c r="D754" s="1113" t="s">
        <v>1519</v>
      </c>
      <c r="E754" s="1337" t="s">
        <v>1600</v>
      </c>
    </row>
    <row r="755" spans="1:5" ht="45" x14ac:dyDescent="0.25">
      <c r="A755" s="1115">
        <v>757</v>
      </c>
      <c r="B755" s="1112" t="s">
        <v>1656</v>
      </c>
      <c r="C755" s="1112" t="s">
        <v>1697</v>
      </c>
      <c r="D755" s="1286" t="s">
        <v>1659</v>
      </c>
      <c r="E755" s="1337" t="s">
        <v>1493</v>
      </c>
    </row>
    <row r="756" spans="1:5" ht="45" x14ac:dyDescent="0.25">
      <c r="A756" s="1115">
        <v>758</v>
      </c>
      <c r="B756" s="1112" t="s">
        <v>1656</v>
      </c>
      <c r="C756" s="1112" t="s">
        <v>1697</v>
      </c>
      <c r="D756" s="1286" t="s">
        <v>1659</v>
      </c>
      <c r="E756" s="1337" t="s">
        <v>1494</v>
      </c>
    </row>
    <row r="757" spans="1:5" ht="45" x14ac:dyDescent="0.25">
      <c r="A757" s="1115">
        <v>759</v>
      </c>
      <c r="B757" s="1112" t="s">
        <v>1656</v>
      </c>
      <c r="C757" s="1112" t="s">
        <v>1697</v>
      </c>
      <c r="D757" s="1286" t="s">
        <v>1659</v>
      </c>
      <c r="E757" s="1337" t="s">
        <v>1607</v>
      </c>
    </row>
    <row r="758" spans="1:5" x14ac:dyDescent="0.25">
      <c r="A758" s="1115">
        <v>760</v>
      </c>
      <c r="B758" s="1112" t="s">
        <v>1656</v>
      </c>
      <c r="C758" s="1112" t="s">
        <v>1697</v>
      </c>
      <c r="D758" s="1113" t="s">
        <v>1519</v>
      </c>
      <c r="E758" s="1337" t="s">
        <v>1604</v>
      </c>
    </row>
    <row r="759" spans="1:5" x14ac:dyDescent="0.25">
      <c r="A759" s="1115">
        <v>761</v>
      </c>
      <c r="B759" s="1112" t="s">
        <v>1656</v>
      </c>
      <c r="C759" s="1112" t="s">
        <v>1697</v>
      </c>
      <c r="D759" s="1113" t="s">
        <v>1696</v>
      </c>
      <c r="E759" s="1337" t="s">
        <v>1497</v>
      </c>
    </row>
    <row r="760" spans="1:5" ht="30" x14ac:dyDescent="0.25">
      <c r="A760" s="1115">
        <v>762</v>
      </c>
      <c r="B760" s="1112" t="s">
        <v>1656</v>
      </c>
      <c r="C760" s="1112" t="s">
        <v>1698</v>
      </c>
      <c r="D760" s="1113" t="s">
        <v>1699</v>
      </c>
      <c r="E760" s="1336" t="s">
        <v>1603</v>
      </c>
    </row>
    <row r="761" spans="1:5" ht="30" x14ac:dyDescent="0.25">
      <c r="A761" s="1115">
        <v>763</v>
      </c>
      <c r="B761" s="1112" t="s">
        <v>1656</v>
      </c>
      <c r="C761" s="1112" t="s">
        <v>1698</v>
      </c>
      <c r="D761" s="1113" t="s">
        <v>1699</v>
      </c>
      <c r="E761" s="1337" t="s">
        <v>1491</v>
      </c>
    </row>
    <row r="762" spans="1:5" ht="30" x14ac:dyDescent="0.25">
      <c r="A762" s="1115">
        <v>764</v>
      </c>
      <c r="B762" s="1112" t="s">
        <v>1656</v>
      </c>
      <c r="C762" s="1112" t="s">
        <v>1698</v>
      </c>
      <c r="D762" s="1113" t="s">
        <v>1699</v>
      </c>
      <c r="E762" s="1337" t="s">
        <v>1488</v>
      </c>
    </row>
    <row r="763" spans="1:5" ht="30" x14ac:dyDescent="0.25">
      <c r="A763" s="1115">
        <v>765</v>
      </c>
      <c r="B763" s="1112" t="s">
        <v>1656</v>
      </c>
      <c r="C763" s="1112" t="s">
        <v>1698</v>
      </c>
      <c r="D763" s="1113" t="s">
        <v>1699</v>
      </c>
      <c r="E763" s="1337" t="s">
        <v>1489</v>
      </c>
    </row>
    <row r="764" spans="1:5" ht="30" x14ac:dyDescent="0.25">
      <c r="A764" s="1115">
        <v>766</v>
      </c>
      <c r="B764" s="1112" t="s">
        <v>1656</v>
      </c>
      <c r="C764" s="1112" t="s">
        <v>1698</v>
      </c>
      <c r="D764" s="1113" t="s">
        <v>1699</v>
      </c>
      <c r="E764" s="1337" t="s">
        <v>1505</v>
      </c>
    </row>
    <row r="765" spans="1:5" x14ac:dyDescent="0.25">
      <c r="A765" s="1115">
        <v>767</v>
      </c>
      <c r="B765" s="1112" t="s">
        <v>1656</v>
      </c>
      <c r="C765" s="1112" t="s">
        <v>1698</v>
      </c>
      <c r="D765" s="1113" t="s">
        <v>1519</v>
      </c>
      <c r="E765" s="1337" t="s">
        <v>1490</v>
      </c>
    </row>
    <row r="766" spans="1:5" ht="30" x14ac:dyDescent="0.25">
      <c r="A766" s="1115">
        <v>768</v>
      </c>
      <c r="B766" s="1112" t="s">
        <v>1656</v>
      </c>
      <c r="C766" s="1112" t="s">
        <v>1700</v>
      </c>
      <c r="D766" s="1113" t="s">
        <v>1699</v>
      </c>
      <c r="E766" s="1337" t="s">
        <v>1598</v>
      </c>
    </row>
    <row r="767" spans="1:5" ht="30" x14ac:dyDescent="0.25">
      <c r="A767" s="1115">
        <v>769</v>
      </c>
      <c r="B767" s="1112" t="s">
        <v>1656</v>
      </c>
      <c r="C767" s="1112" t="s">
        <v>1700</v>
      </c>
      <c r="D767" s="1113" t="s">
        <v>1699</v>
      </c>
      <c r="E767" s="1337" t="s">
        <v>1599</v>
      </c>
    </row>
    <row r="768" spans="1:5" x14ac:dyDescent="0.25">
      <c r="A768" s="1115">
        <v>770</v>
      </c>
      <c r="B768" s="1112" t="s">
        <v>1656</v>
      </c>
      <c r="C768" s="1112" t="s">
        <v>1700</v>
      </c>
      <c r="D768" s="1113" t="s">
        <v>1519</v>
      </c>
      <c r="E768" s="1337" t="s">
        <v>1600</v>
      </c>
    </row>
    <row r="769" spans="1:5" ht="45" x14ac:dyDescent="0.25">
      <c r="A769" s="1115">
        <v>771</v>
      </c>
      <c r="B769" s="1112" t="s">
        <v>1656</v>
      </c>
      <c r="C769" s="1112" t="s">
        <v>1700</v>
      </c>
      <c r="D769" s="1286" t="s">
        <v>1659</v>
      </c>
      <c r="E769" s="1337" t="s">
        <v>1493</v>
      </c>
    </row>
    <row r="770" spans="1:5" ht="45" x14ac:dyDescent="0.25">
      <c r="A770" s="1115">
        <v>772</v>
      </c>
      <c r="B770" s="1112" t="s">
        <v>1656</v>
      </c>
      <c r="C770" s="1112" t="s">
        <v>1700</v>
      </c>
      <c r="D770" s="1286" t="s">
        <v>1659</v>
      </c>
      <c r="E770" s="1337" t="s">
        <v>1494</v>
      </c>
    </row>
    <row r="771" spans="1:5" ht="45" x14ac:dyDescent="0.25">
      <c r="A771" s="1115">
        <v>773</v>
      </c>
      <c r="B771" s="1112" t="s">
        <v>1656</v>
      </c>
      <c r="C771" s="1112" t="s">
        <v>1700</v>
      </c>
      <c r="D771" s="1286" t="s">
        <v>1659</v>
      </c>
      <c r="E771" s="1337" t="s">
        <v>1607</v>
      </c>
    </row>
    <row r="772" spans="1:5" x14ac:dyDescent="0.25">
      <c r="A772" s="1115">
        <v>774</v>
      </c>
      <c r="B772" s="1112" t="s">
        <v>1656</v>
      </c>
      <c r="C772" s="1112" t="s">
        <v>1700</v>
      </c>
      <c r="D772" s="1113" t="s">
        <v>1519</v>
      </c>
      <c r="E772" s="1337" t="s">
        <v>1604</v>
      </c>
    </row>
    <row r="773" spans="1:5" ht="30" x14ac:dyDescent="0.25">
      <c r="A773" s="1115">
        <v>775</v>
      </c>
      <c r="B773" s="1112" t="s">
        <v>1656</v>
      </c>
      <c r="C773" s="1112" t="s">
        <v>1700</v>
      </c>
      <c r="D773" s="1113" t="s">
        <v>1699</v>
      </c>
      <c r="E773" s="1337" t="s">
        <v>1618</v>
      </c>
    </row>
    <row r="774" spans="1:5" ht="30" x14ac:dyDescent="0.25">
      <c r="A774" s="1115">
        <v>776</v>
      </c>
      <c r="B774" s="1112" t="s">
        <v>1656</v>
      </c>
      <c r="C774" s="1112" t="s">
        <v>1701</v>
      </c>
      <c r="D774" s="1113" t="s">
        <v>1699</v>
      </c>
      <c r="E774" s="1337" t="s">
        <v>1495</v>
      </c>
    </row>
    <row r="775" spans="1:5" ht="30" x14ac:dyDescent="0.25">
      <c r="A775" s="1115">
        <v>777</v>
      </c>
      <c r="B775" s="1112" t="s">
        <v>1656</v>
      </c>
      <c r="C775" s="1112" t="s">
        <v>1701</v>
      </c>
      <c r="D775" s="1113" t="s">
        <v>1699</v>
      </c>
      <c r="E775" s="1337" t="s">
        <v>1496</v>
      </c>
    </row>
    <row r="776" spans="1:5" ht="30" x14ac:dyDescent="0.25">
      <c r="A776" s="1115">
        <v>778</v>
      </c>
      <c r="B776" s="1112" t="s">
        <v>1656</v>
      </c>
      <c r="C776" s="1112" t="s">
        <v>1701</v>
      </c>
      <c r="D776" s="1113" t="s">
        <v>1699</v>
      </c>
      <c r="E776" s="1337" t="s">
        <v>1175</v>
      </c>
    </row>
    <row r="777" spans="1:5" ht="30" x14ac:dyDescent="0.25">
      <c r="A777" s="1115">
        <v>779</v>
      </c>
      <c r="B777" s="1112" t="s">
        <v>1656</v>
      </c>
      <c r="C777" s="1112" t="s">
        <v>1702</v>
      </c>
      <c r="D777" s="1113" t="s">
        <v>1699</v>
      </c>
      <c r="E777" s="1336" t="s">
        <v>1603</v>
      </c>
    </row>
    <row r="778" spans="1:5" ht="30" x14ac:dyDescent="0.25">
      <c r="A778" s="1115">
        <v>780</v>
      </c>
      <c r="B778" s="1112" t="s">
        <v>1656</v>
      </c>
      <c r="C778" s="1112" t="s">
        <v>1702</v>
      </c>
      <c r="D778" s="1113" t="s">
        <v>1699</v>
      </c>
      <c r="E778" s="1337" t="s">
        <v>1491</v>
      </c>
    </row>
    <row r="779" spans="1:5" ht="30" x14ac:dyDescent="0.25">
      <c r="A779" s="1115">
        <v>781</v>
      </c>
      <c r="B779" s="1112" t="s">
        <v>1656</v>
      </c>
      <c r="C779" s="1112" t="s">
        <v>1702</v>
      </c>
      <c r="D779" s="1113" t="s">
        <v>1699</v>
      </c>
      <c r="E779" s="1337" t="s">
        <v>1488</v>
      </c>
    </row>
    <row r="780" spans="1:5" ht="30" x14ac:dyDescent="0.25">
      <c r="A780" s="1115">
        <v>782</v>
      </c>
      <c r="B780" s="1112" t="s">
        <v>1656</v>
      </c>
      <c r="C780" s="1112" t="s">
        <v>1702</v>
      </c>
      <c r="D780" s="1113" t="s">
        <v>1699</v>
      </c>
      <c r="E780" s="1337" t="s">
        <v>1489</v>
      </c>
    </row>
    <row r="781" spans="1:5" ht="30" x14ac:dyDescent="0.25">
      <c r="A781" s="1115">
        <v>783</v>
      </c>
      <c r="B781" s="1112" t="s">
        <v>1656</v>
      </c>
      <c r="C781" s="1112" t="s">
        <v>1702</v>
      </c>
      <c r="D781" s="1113" t="s">
        <v>1699</v>
      </c>
      <c r="E781" s="1337" t="s">
        <v>1505</v>
      </c>
    </row>
    <row r="782" spans="1:5" x14ac:dyDescent="0.25">
      <c r="A782" s="1115">
        <v>784</v>
      </c>
      <c r="B782" s="1112" t="s">
        <v>1656</v>
      </c>
      <c r="C782" s="1112" t="s">
        <v>1702</v>
      </c>
      <c r="D782" s="1113" t="s">
        <v>1519</v>
      </c>
      <c r="E782" s="1337" t="s">
        <v>1490</v>
      </c>
    </row>
    <row r="783" spans="1:5" ht="30" x14ac:dyDescent="0.25">
      <c r="A783" s="1115">
        <v>785</v>
      </c>
      <c r="B783" s="1112" t="s">
        <v>1656</v>
      </c>
      <c r="C783" s="1112" t="s">
        <v>1702</v>
      </c>
      <c r="D783" s="1113" t="s">
        <v>1699</v>
      </c>
      <c r="E783" s="1337" t="s">
        <v>1598</v>
      </c>
    </row>
    <row r="784" spans="1:5" ht="30" x14ac:dyDescent="0.25">
      <c r="A784" s="1115">
        <v>786</v>
      </c>
      <c r="B784" s="1112" t="s">
        <v>1656</v>
      </c>
      <c r="C784" s="1112" t="s">
        <v>1702</v>
      </c>
      <c r="D784" s="1113" t="s">
        <v>1699</v>
      </c>
      <c r="E784" s="1337" t="s">
        <v>1599</v>
      </c>
    </row>
    <row r="785" spans="1:5" x14ac:dyDescent="0.25">
      <c r="A785" s="1115">
        <v>787</v>
      </c>
      <c r="B785" s="1112" t="s">
        <v>1656</v>
      </c>
      <c r="C785" s="1112" t="s">
        <v>1702</v>
      </c>
      <c r="D785" s="1113" t="s">
        <v>1519</v>
      </c>
      <c r="E785" s="1337" t="s">
        <v>1600</v>
      </c>
    </row>
    <row r="786" spans="1:5" ht="45" x14ac:dyDescent="0.25">
      <c r="A786" s="1115">
        <v>788</v>
      </c>
      <c r="B786" s="1112" t="s">
        <v>1656</v>
      </c>
      <c r="C786" s="1112" t="s">
        <v>1702</v>
      </c>
      <c r="D786" s="1286" t="s">
        <v>1659</v>
      </c>
      <c r="E786" s="1337" t="s">
        <v>1493</v>
      </c>
    </row>
    <row r="787" spans="1:5" ht="45" x14ac:dyDescent="0.25">
      <c r="A787" s="1115">
        <v>789</v>
      </c>
      <c r="B787" s="1112" t="s">
        <v>1656</v>
      </c>
      <c r="C787" s="1112" t="s">
        <v>1702</v>
      </c>
      <c r="D787" s="1286" t="s">
        <v>1659</v>
      </c>
      <c r="E787" s="1337" t="s">
        <v>1494</v>
      </c>
    </row>
    <row r="788" spans="1:5" ht="45" x14ac:dyDescent="0.25">
      <c r="A788" s="1115">
        <v>790</v>
      </c>
      <c r="B788" s="1112" t="s">
        <v>1656</v>
      </c>
      <c r="C788" s="1112" t="s">
        <v>1702</v>
      </c>
      <c r="D788" s="1286" t="s">
        <v>1659</v>
      </c>
      <c r="E788" s="1337" t="s">
        <v>1607</v>
      </c>
    </row>
    <row r="789" spans="1:5" x14ac:dyDescent="0.25">
      <c r="A789" s="1115">
        <v>791</v>
      </c>
      <c r="B789" s="1112" t="s">
        <v>1656</v>
      </c>
      <c r="C789" s="1112" t="s">
        <v>1702</v>
      </c>
      <c r="D789" s="1113" t="s">
        <v>1519</v>
      </c>
      <c r="E789" s="1337" t="s">
        <v>1604</v>
      </c>
    </row>
    <row r="790" spans="1:5" ht="30" x14ac:dyDescent="0.25">
      <c r="A790" s="1115">
        <v>792</v>
      </c>
      <c r="B790" s="1112" t="s">
        <v>1656</v>
      </c>
      <c r="C790" s="1112" t="s">
        <v>1702</v>
      </c>
      <c r="D790" s="1113" t="s">
        <v>1699</v>
      </c>
      <c r="E790" s="1337" t="s">
        <v>1618</v>
      </c>
    </row>
    <row r="791" spans="1:5" ht="30" x14ac:dyDescent="0.25">
      <c r="A791" s="1115">
        <v>793</v>
      </c>
      <c r="B791" s="1112" t="s">
        <v>1656</v>
      </c>
      <c r="C791" s="1112" t="s">
        <v>1703</v>
      </c>
      <c r="D791" s="1113" t="s">
        <v>1699</v>
      </c>
      <c r="E791" s="1337" t="s">
        <v>1495</v>
      </c>
    </row>
    <row r="792" spans="1:5" ht="30" x14ac:dyDescent="0.25">
      <c r="A792" s="1115">
        <v>794</v>
      </c>
      <c r="B792" s="1112" t="s">
        <v>1656</v>
      </c>
      <c r="C792" s="1112" t="s">
        <v>1703</v>
      </c>
      <c r="D792" s="1113" t="s">
        <v>1699</v>
      </c>
      <c r="E792" s="1337" t="s">
        <v>1496</v>
      </c>
    </row>
    <row r="793" spans="1:5" ht="30" x14ac:dyDescent="0.25">
      <c r="A793" s="1115">
        <v>795</v>
      </c>
      <c r="B793" s="1112" t="s">
        <v>1656</v>
      </c>
      <c r="C793" s="1112" t="s">
        <v>1703</v>
      </c>
      <c r="D793" s="1113" t="s">
        <v>1699</v>
      </c>
      <c r="E793" s="1337" t="s">
        <v>1497</v>
      </c>
    </row>
    <row r="794" spans="1:5" x14ac:dyDescent="0.25">
      <c r="A794" s="1115">
        <v>796</v>
      </c>
      <c r="B794" s="1112" t="s">
        <v>1656</v>
      </c>
      <c r="C794" s="1112" t="s">
        <v>1704</v>
      </c>
      <c r="D794" s="1113" t="s">
        <v>1649</v>
      </c>
      <c r="E794" s="1336" t="s">
        <v>1603</v>
      </c>
    </row>
    <row r="795" spans="1:5" x14ac:dyDescent="0.25">
      <c r="A795" s="1115">
        <v>797</v>
      </c>
      <c r="B795" s="1112" t="s">
        <v>1656</v>
      </c>
      <c r="C795" s="1112" t="s">
        <v>1704</v>
      </c>
      <c r="D795" s="1113" t="s">
        <v>1649</v>
      </c>
      <c r="E795" s="1337" t="s">
        <v>1491</v>
      </c>
    </row>
    <row r="796" spans="1:5" x14ac:dyDescent="0.25">
      <c r="A796" s="1115">
        <v>798</v>
      </c>
      <c r="B796" s="1112" t="s">
        <v>1656</v>
      </c>
      <c r="C796" s="1112" t="s">
        <v>1704</v>
      </c>
      <c r="D796" s="1113" t="s">
        <v>1649</v>
      </c>
      <c r="E796" s="1337" t="s">
        <v>1488</v>
      </c>
    </row>
    <row r="797" spans="1:5" x14ac:dyDescent="0.25">
      <c r="A797" s="1115">
        <v>799</v>
      </c>
      <c r="B797" s="1112" t="s">
        <v>1656</v>
      </c>
      <c r="C797" s="1112" t="s">
        <v>1704</v>
      </c>
      <c r="D797" s="1113" t="s">
        <v>1649</v>
      </c>
      <c r="E797" s="1337" t="s">
        <v>1489</v>
      </c>
    </row>
    <row r="798" spans="1:5" x14ac:dyDescent="0.25">
      <c r="A798" s="1115">
        <v>800</v>
      </c>
      <c r="B798" s="1112" t="s">
        <v>1656</v>
      </c>
      <c r="C798" s="1112" t="s">
        <v>1704</v>
      </c>
      <c r="D798" s="1113" t="s">
        <v>1649</v>
      </c>
      <c r="E798" s="1337" t="s">
        <v>1505</v>
      </c>
    </row>
    <row r="799" spans="1:5" x14ac:dyDescent="0.25">
      <c r="A799" s="1115">
        <v>801</v>
      </c>
      <c r="B799" s="1112" t="s">
        <v>1656</v>
      </c>
      <c r="C799" s="1112" t="s">
        <v>1704</v>
      </c>
      <c r="D799" s="1113" t="s">
        <v>1649</v>
      </c>
      <c r="E799" s="1337" t="s">
        <v>1490</v>
      </c>
    </row>
    <row r="800" spans="1:5" x14ac:dyDescent="0.25">
      <c r="A800" s="1115">
        <v>802</v>
      </c>
      <c r="B800" s="1112" t="s">
        <v>1656</v>
      </c>
      <c r="C800" s="1112" t="s">
        <v>1704</v>
      </c>
      <c r="D800" s="1113" t="s">
        <v>1649</v>
      </c>
      <c r="E800" s="1337" t="s">
        <v>1598</v>
      </c>
    </row>
    <row r="801" spans="1:5" x14ac:dyDescent="0.25">
      <c r="A801" s="1115">
        <v>803</v>
      </c>
      <c r="B801" s="1112" t="s">
        <v>1656</v>
      </c>
      <c r="C801" s="1112" t="s">
        <v>1704</v>
      </c>
      <c r="D801" s="1113" t="s">
        <v>1649</v>
      </c>
      <c r="E801" s="1337" t="s">
        <v>1599</v>
      </c>
    </row>
    <row r="802" spans="1:5" x14ac:dyDescent="0.25">
      <c r="A802" s="1115">
        <v>804</v>
      </c>
      <c r="B802" s="1112" t="s">
        <v>1656</v>
      </c>
      <c r="C802" s="1112" t="s">
        <v>1704</v>
      </c>
      <c r="D802" s="1113" t="s">
        <v>1519</v>
      </c>
      <c r="E802" s="1337" t="s">
        <v>1600</v>
      </c>
    </row>
    <row r="803" spans="1:5" ht="45" x14ac:dyDescent="0.25">
      <c r="A803" s="1115">
        <v>805</v>
      </c>
      <c r="B803" s="1112" t="s">
        <v>1656</v>
      </c>
      <c r="C803" s="1112" t="s">
        <v>1704</v>
      </c>
      <c r="D803" s="1286" t="s">
        <v>1659</v>
      </c>
      <c r="E803" s="1337" t="s">
        <v>1493</v>
      </c>
    </row>
    <row r="804" spans="1:5" ht="45" x14ac:dyDescent="0.25">
      <c r="A804" s="1115">
        <v>806</v>
      </c>
      <c r="B804" s="1112" t="s">
        <v>1656</v>
      </c>
      <c r="C804" s="1112" t="s">
        <v>1704</v>
      </c>
      <c r="D804" s="1286" t="s">
        <v>1659</v>
      </c>
      <c r="E804" s="1337" t="s">
        <v>1494</v>
      </c>
    </row>
    <row r="805" spans="1:5" ht="45" x14ac:dyDescent="0.25">
      <c r="A805" s="1115">
        <v>807</v>
      </c>
      <c r="B805" s="1112" t="s">
        <v>1656</v>
      </c>
      <c r="C805" s="1112" t="s">
        <v>1704</v>
      </c>
      <c r="D805" s="1286" t="s">
        <v>1659</v>
      </c>
      <c r="E805" s="1337" t="s">
        <v>1607</v>
      </c>
    </row>
    <row r="806" spans="1:5" x14ac:dyDescent="0.25">
      <c r="A806" s="1115">
        <v>808</v>
      </c>
      <c r="B806" s="1112" t="s">
        <v>1656</v>
      </c>
      <c r="C806" s="1112" t="s">
        <v>1704</v>
      </c>
      <c r="D806" s="1113" t="s">
        <v>1519</v>
      </c>
      <c r="E806" s="1337" t="s">
        <v>1604</v>
      </c>
    </row>
    <row r="807" spans="1:5" x14ac:dyDescent="0.25">
      <c r="A807" s="1115">
        <v>809</v>
      </c>
      <c r="B807" s="1112" t="s">
        <v>1656</v>
      </c>
      <c r="C807" s="1112" t="s">
        <v>1704</v>
      </c>
      <c r="D807" s="1113" t="s">
        <v>1649</v>
      </c>
      <c r="E807" s="1337" t="s">
        <v>1618</v>
      </c>
    </row>
    <row r="808" spans="1:5" x14ac:dyDescent="0.25">
      <c r="A808" s="1115">
        <v>810</v>
      </c>
      <c r="B808" s="1112" t="s">
        <v>1656</v>
      </c>
      <c r="C808" s="1112" t="s">
        <v>1705</v>
      </c>
      <c r="D808" s="1113" t="s">
        <v>1649</v>
      </c>
      <c r="E808" s="1337" t="s">
        <v>1495</v>
      </c>
    </row>
    <row r="809" spans="1:5" x14ac:dyDescent="0.25">
      <c r="A809" s="1115">
        <v>811</v>
      </c>
      <c r="B809" s="1112" t="s">
        <v>1656</v>
      </c>
      <c r="C809" s="1112" t="s">
        <v>1705</v>
      </c>
      <c r="D809" s="1113" t="s">
        <v>1649</v>
      </c>
      <c r="E809" s="1337" t="s">
        <v>1496</v>
      </c>
    </row>
    <row r="810" spans="1:5" x14ac:dyDescent="0.25">
      <c r="A810" s="1115">
        <v>812</v>
      </c>
      <c r="B810" s="1112" t="s">
        <v>1656</v>
      </c>
      <c r="C810" s="1112" t="s">
        <v>1705</v>
      </c>
      <c r="D810" s="1113" t="s">
        <v>1649</v>
      </c>
      <c r="E810" s="1337" t="s">
        <v>1497</v>
      </c>
    </row>
    <row r="811" spans="1:5" x14ac:dyDescent="0.25">
      <c r="A811" s="1115">
        <v>813</v>
      </c>
      <c r="B811" s="1112" t="s">
        <v>1656</v>
      </c>
      <c r="C811" s="1112" t="s">
        <v>1706</v>
      </c>
      <c r="D811" s="1113" t="s">
        <v>1649</v>
      </c>
      <c r="E811" s="1337" t="s">
        <v>1495</v>
      </c>
    </row>
    <row r="812" spans="1:5" x14ac:dyDescent="0.25">
      <c r="A812" s="1115">
        <v>814</v>
      </c>
      <c r="B812" s="1112" t="s">
        <v>1656</v>
      </c>
      <c r="C812" s="1112" t="s">
        <v>1706</v>
      </c>
      <c r="D812" s="1113" t="s">
        <v>1649</v>
      </c>
      <c r="E812" s="1337" t="s">
        <v>1496</v>
      </c>
    </row>
    <row r="813" spans="1:5" x14ac:dyDescent="0.25">
      <c r="A813" s="1115">
        <v>815</v>
      </c>
      <c r="B813" s="1112" t="s">
        <v>1656</v>
      </c>
      <c r="C813" s="1112" t="s">
        <v>1706</v>
      </c>
      <c r="D813" s="1113" t="s">
        <v>1649</v>
      </c>
      <c r="E813" s="1337" t="s">
        <v>1497</v>
      </c>
    </row>
    <row r="814" spans="1:5" x14ac:dyDescent="0.25">
      <c r="A814" s="1115">
        <v>816</v>
      </c>
      <c r="B814" s="1112" t="s">
        <v>1656</v>
      </c>
      <c r="C814" s="1112" t="s">
        <v>1707</v>
      </c>
      <c r="D814" s="1113" t="s">
        <v>1649</v>
      </c>
      <c r="E814" s="1337" t="s">
        <v>1495</v>
      </c>
    </row>
    <row r="815" spans="1:5" x14ac:dyDescent="0.25">
      <c r="A815" s="1115">
        <v>817</v>
      </c>
      <c r="B815" s="1112" t="s">
        <v>1656</v>
      </c>
      <c r="C815" s="1112" t="s">
        <v>1707</v>
      </c>
      <c r="D815" s="1113" t="s">
        <v>1649</v>
      </c>
      <c r="E815" s="1337" t="s">
        <v>1496</v>
      </c>
    </row>
    <row r="816" spans="1:5" x14ac:dyDescent="0.25">
      <c r="A816" s="1115">
        <v>818</v>
      </c>
      <c r="B816" s="1112" t="s">
        <v>1656</v>
      </c>
      <c r="C816" s="1112" t="s">
        <v>1707</v>
      </c>
      <c r="D816" s="1113" t="s">
        <v>1649</v>
      </c>
      <c r="E816" s="1337" t="s">
        <v>1497</v>
      </c>
    </row>
    <row r="817" spans="1:5" x14ac:dyDescent="0.25">
      <c r="A817" s="1115">
        <v>819</v>
      </c>
      <c r="B817" s="1112" t="s">
        <v>1656</v>
      </c>
      <c r="C817" s="1112" t="s">
        <v>1708</v>
      </c>
      <c r="D817" s="1113" t="s">
        <v>1625</v>
      </c>
      <c r="E817" s="1337" t="s">
        <v>1495</v>
      </c>
    </row>
    <row r="818" spans="1:5" x14ac:dyDescent="0.25">
      <c r="A818" s="1115">
        <v>820</v>
      </c>
      <c r="B818" s="1112" t="s">
        <v>1656</v>
      </c>
      <c r="C818" s="1112" t="s">
        <v>1708</v>
      </c>
      <c r="D818" s="1113" t="s">
        <v>1649</v>
      </c>
      <c r="E818" s="1337" t="s">
        <v>1496</v>
      </c>
    </row>
    <row r="819" spans="1:5" x14ac:dyDescent="0.25">
      <c r="A819" s="1115">
        <v>821</v>
      </c>
      <c r="B819" s="1112" t="s">
        <v>1656</v>
      </c>
      <c r="C819" s="1112" t="s">
        <v>1708</v>
      </c>
      <c r="D819" s="1113" t="s">
        <v>1649</v>
      </c>
      <c r="E819" s="1337" t="s">
        <v>1497</v>
      </c>
    </row>
    <row r="820" spans="1:5" x14ac:dyDescent="0.25">
      <c r="A820" s="1115">
        <v>822</v>
      </c>
      <c r="B820" s="1112" t="s">
        <v>1656</v>
      </c>
      <c r="C820" s="1112" t="s">
        <v>1709</v>
      </c>
      <c r="D820" s="1113" t="s">
        <v>1649</v>
      </c>
      <c r="E820" s="1337" t="s">
        <v>1495</v>
      </c>
    </row>
    <row r="821" spans="1:5" x14ac:dyDescent="0.25">
      <c r="A821" s="1115">
        <v>823</v>
      </c>
      <c r="B821" s="1112" t="s">
        <v>1656</v>
      </c>
      <c r="C821" s="1112" t="s">
        <v>1709</v>
      </c>
      <c r="D821" s="1113" t="s">
        <v>1649</v>
      </c>
      <c r="E821" s="1337" t="s">
        <v>1496</v>
      </c>
    </row>
    <row r="822" spans="1:5" x14ac:dyDescent="0.25">
      <c r="A822" s="1115">
        <v>824</v>
      </c>
      <c r="B822" s="1112" t="s">
        <v>1656</v>
      </c>
      <c r="C822" s="1112" t="s">
        <v>1709</v>
      </c>
      <c r="D822" s="1113" t="s">
        <v>1649</v>
      </c>
      <c r="E822" s="1337" t="s">
        <v>1497</v>
      </c>
    </row>
    <row r="823" spans="1:5" x14ac:dyDescent="0.25">
      <c r="A823" s="1115">
        <v>825</v>
      </c>
      <c r="B823" s="1112" t="s">
        <v>1656</v>
      </c>
      <c r="C823" s="1112" t="s">
        <v>1710</v>
      </c>
      <c r="D823" s="1113" t="s">
        <v>1649</v>
      </c>
      <c r="E823" s="1336" t="s">
        <v>1603</v>
      </c>
    </row>
    <row r="824" spans="1:5" x14ac:dyDescent="0.25">
      <c r="A824" s="1115">
        <v>826</v>
      </c>
      <c r="B824" s="1112" t="s">
        <v>1656</v>
      </c>
      <c r="C824" s="1112" t="s">
        <v>1710</v>
      </c>
      <c r="D824" s="1113" t="s">
        <v>1649</v>
      </c>
      <c r="E824" s="1337" t="s">
        <v>1491</v>
      </c>
    </row>
    <row r="825" spans="1:5" x14ac:dyDescent="0.25">
      <c r="A825" s="1115">
        <v>827</v>
      </c>
      <c r="B825" s="1112" t="s">
        <v>1656</v>
      </c>
      <c r="C825" s="1112" t="s">
        <v>1710</v>
      </c>
      <c r="D825" s="1113" t="s">
        <v>1649</v>
      </c>
      <c r="E825" s="1337" t="s">
        <v>1488</v>
      </c>
    </row>
    <row r="826" spans="1:5" x14ac:dyDescent="0.25">
      <c r="A826" s="1115">
        <v>828</v>
      </c>
      <c r="B826" s="1112" t="s">
        <v>1656</v>
      </c>
      <c r="C826" s="1112" t="s">
        <v>1710</v>
      </c>
      <c r="D826" s="1113" t="s">
        <v>1649</v>
      </c>
      <c r="E826" s="1337" t="s">
        <v>1489</v>
      </c>
    </row>
    <row r="827" spans="1:5" x14ac:dyDescent="0.25">
      <c r="A827" s="1115">
        <v>829</v>
      </c>
      <c r="B827" s="1112" t="s">
        <v>1656</v>
      </c>
      <c r="C827" s="1112" t="s">
        <v>1710</v>
      </c>
      <c r="D827" s="1113" t="s">
        <v>1649</v>
      </c>
      <c r="E827" s="1337" t="s">
        <v>1505</v>
      </c>
    </row>
    <row r="828" spans="1:5" x14ac:dyDescent="0.25">
      <c r="A828" s="1115">
        <v>830</v>
      </c>
      <c r="B828" s="1112" t="s">
        <v>1656</v>
      </c>
      <c r="C828" s="1112" t="s">
        <v>1710</v>
      </c>
      <c r="D828" s="1113" t="s">
        <v>1649</v>
      </c>
      <c r="E828" s="1337" t="s">
        <v>1490</v>
      </c>
    </row>
    <row r="829" spans="1:5" x14ac:dyDescent="0.25">
      <c r="A829" s="1115">
        <v>831</v>
      </c>
      <c r="B829" s="1112" t="s">
        <v>1656</v>
      </c>
      <c r="C829" s="1112" t="s">
        <v>1710</v>
      </c>
      <c r="D829" s="1113" t="s">
        <v>1649</v>
      </c>
      <c r="E829" s="1337" t="s">
        <v>1598</v>
      </c>
    </row>
    <row r="830" spans="1:5" x14ac:dyDescent="0.25">
      <c r="A830" s="1115">
        <v>832</v>
      </c>
      <c r="B830" s="1112" t="s">
        <v>1656</v>
      </c>
      <c r="C830" s="1112" t="s">
        <v>1710</v>
      </c>
      <c r="D830" s="1113" t="s">
        <v>1649</v>
      </c>
      <c r="E830" s="1337" t="s">
        <v>1599</v>
      </c>
    </row>
    <row r="831" spans="1:5" x14ac:dyDescent="0.25">
      <c r="A831" s="1115">
        <v>833</v>
      </c>
      <c r="B831" s="1112" t="s">
        <v>1656</v>
      </c>
      <c r="C831" s="1112" t="s">
        <v>1710</v>
      </c>
      <c r="D831" s="1113" t="s">
        <v>1519</v>
      </c>
      <c r="E831" s="1337" t="s">
        <v>1600</v>
      </c>
    </row>
    <row r="832" spans="1:5" ht="45" x14ac:dyDescent="0.25">
      <c r="A832" s="1115">
        <v>834</v>
      </c>
      <c r="B832" s="1112" t="s">
        <v>1656</v>
      </c>
      <c r="C832" s="1112" t="s">
        <v>1710</v>
      </c>
      <c r="D832" s="1286" t="s">
        <v>1659</v>
      </c>
      <c r="E832" s="1337" t="s">
        <v>1493</v>
      </c>
    </row>
    <row r="833" spans="1:5" ht="45" x14ac:dyDescent="0.25">
      <c r="A833" s="1115">
        <v>835</v>
      </c>
      <c r="B833" s="1112" t="s">
        <v>1656</v>
      </c>
      <c r="C833" s="1112" t="s">
        <v>1710</v>
      </c>
      <c r="D833" s="1286" t="s">
        <v>1659</v>
      </c>
      <c r="E833" s="1337" t="s">
        <v>1494</v>
      </c>
    </row>
    <row r="834" spans="1:5" ht="45" x14ac:dyDescent="0.25">
      <c r="A834" s="1115">
        <v>836</v>
      </c>
      <c r="B834" s="1112" t="s">
        <v>1656</v>
      </c>
      <c r="C834" s="1112" t="s">
        <v>1710</v>
      </c>
      <c r="D834" s="1286" t="s">
        <v>1659</v>
      </c>
      <c r="E834" s="1337" t="s">
        <v>1607</v>
      </c>
    </row>
    <row r="835" spans="1:5" x14ac:dyDescent="0.25">
      <c r="A835" s="1115">
        <v>837</v>
      </c>
      <c r="B835" s="1112" t="s">
        <v>1656</v>
      </c>
      <c r="C835" s="1112" t="s">
        <v>1710</v>
      </c>
      <c r="D835" s="1113" t="s">
        <v>1519</v>
      </c>
      <c r="E835" s="1337" t="s">
        <v>1604</v>
      </c>
    </row>
    <row r="836" spans="1:5" x14ac:dyDescent="0.25">
      <c r="A836" s="1115">
        <v>838</v>
      </c>
      <c r="B836" s="1112" t="s">
        <v>1656</v>
      </c>
      <c r="C836" s="1112" t="s">
        <v>1710</v>
      </c>
      <c r="D836" s="1113" t="s">
        <v>1649</v>
      </c>
      <c r="E836" s="1337" t="s">
        <v>1618</v>
      </c>
    </row>
    <row r="837" spans="1:5" x14ac:dyDescent="0.25">
      <c r="A837" s="1115">
        <v>839</v>
      </c>
      <c r="B837" s="1112" t="s">
        <v>1656</v>
      </c>
      <c r="C837" s="1112" t="s">
        <v>1711</v>
      </c>
      <c r="D837" s="1113" t="s">
        <v>1649</v>
      </c>
      <c r="E837" s="1337" t="s">
        <v>1495</v>
      </c>
    </row>
    <row r="838" spans="1:5" x14ac:dyDescent="0.25">
      <c r="A838" s="1115">
        <v>840</v>
      </c>
      <c r="B838" s="1112" t="s">
        <v>1656</v>
      </c>
      <c r="C838" s="1112" t="s">
        <v>1711</v>
      </c>
      <c r="D838" s="1113" t="s">
        <v>1649</v>
      </c>
      <c r="E838" s="1337" t="s">
        <v>1496</v>
      </c>
    </row>
    <row r="839" spans="1:5" x14ac:dyDescent="0.25">
      <c r="A839" s="1115">
        <v>841</v>
      </c>
      <c r="B839" s="1112" t="s">
        <v>1656</v>
      </c>
      <c r="C839" s="1112" t="s">
        <v>1711</v>
      </c>
      <c r="D839" s="1113" t="s">
        <v>1649</v>
      </c>
      <c r="E839" s="1337" t="s">
        <v>1497</v>
      </c>
    </row>
    <row r="840" spans="1:5" x14ac:dyDescent="0.25">
      <c r="A840" s="1115">
        <v>842</v>
      </c>
      <c r="B840" s="1112" t="s">
        <v>1656</v>
      </c>
      <c r="C840" s="1112" t="s">
        <v>1712</v>
      </c>
      <c r="D840" s="1113" t="s">
        <v>1649</v>
      </c>
      <c r="E840" s="1337" t="s">
        <v>1495</v>
      </c>
    </row>
    <row r="841" spans="1:5" x14ac:dyDescent="0.25">
      <c r="A841" s="1115">
        <v>843</v>
      </c>
      <c r="B841" s="1112" t="s">
        <v>1656</v>
      </c>
      <c r="C841" s="1112" t="s">
        <v>1712</v>
      </c>
      <c r="D841" s="1113" t="s">
        <v>1649</v>
      </c>
      <c r="E841" s="1337" t="s">
        <v>1496</v>
      </c>
    </row>
    <row r="842" spans="1:5" x14ac:dyDescent="0.25">
      <c r="A842" s="1115">
        <v>844</v>
      </c>
      <c r="B842" s="1112" t="s">
        <v>1656</v>
      </c>
      <c r="C842" s="1112" t="s">
        <v>1712</v>
      </c>
      <c r="D842" s="1113" t="s">
        <v>1649</v>
      </c>
      <c r="E842" s="1337" t="s">
        <v>1497</v>
      </c>
    </row>
    <row r="843" spans="1:5" x14ac:dyDescent="0.25">
      <c r="A843" s="1115">
        <v>845</v>
      </c>
      <c r="B843" s="1112" t="s">
        <v>1656</v>
      </c>
      <c r="C843" s="1112" t="s">
        <v>1713</v>
      </c>
      <c r="D843" s="1113" t="s">
        <v>1649</v>
      </c>
      <c r="E843" s="1337" t="s">
        <v>1495</v>
      </c>
    </row>
    <row r="844" spans="1:5" x14ac:dyDescent="0.25">
      <c r="A844" s="1115">
        <v>846</v>
      </c>
      <c r="B844" s="1112" t="s">
        <v>1656</v>
      </c>
      <c r="C844" s="1112" t="s">
        <v>1713</v>
      </c>
      <c r="D844" s="1113" t="s">
        <v>1649</v>
      </c>
      <c r="E844" s="1337" t="s">
        <v>1496</v>
      </c>
    </row>
    <row r="845" spans="1:5" x14ac:dyDescent="0.25">
      <c r="A845" s="1115">
        <v>847</v>
      </c>
      <c r="B845" s="1112" t="s">
        <v>1656</v>
      </c>
      <c r="C845" s="1112" t="s">
        <v>1713</v>
      </c>
      <c r="D845" s="1113" t="s">
        <v>1649</v>
      </c>
      <c r="E845" s="1337" t="s">
        <v>1497</v>
      </c>
    </row>
    <row r="846" spans="1:5" x14ac:dyDescent="0.25">
      <c r="A846" s="1115">
        <v>848</v>
      </c>
      <c r="B846" s="1112" t="s">
        <v>1656</v>
      </c>
      <c r="C846" s="1112" t="s">
        <v>1714</v>
      </c>
      <c r="D846" s="1113" t="s">
        <v>1649</v>
      </c>
      <c r="E846" s="1337" t="s">
        <v>1495</v>
      </c>
    </row>
    <row r="847" spans="1:5" x14ac:dyDescent="0.25">
      <c r="A847" s="1115">
        <v>849</v>
      </c>
      <c r="B847" s="1112" t="s">
        <v>1656</v>
      </c>
      <c r="C847" s="1112" t="s">
        <v>1714</v>
      </c>
      <c r="D847" s="1113" t="s">
        <v>1649</v>
      </c>
      <c r="E847" s="1337" t="s">
        <v>1496</v>
      </c>
    </row>
    <row r="848" spans="1:5" x14ac:dyDescent="0.25">
      <c r="A848" s="1115">
        <v>850</v>
      </c>
      <c r="B848" s="1112" t="s">
        <v>1656</v>
      </c>
      <c r="C848" s="1112" t="s">
        <v>1714</v>
      </c>
      <c r="D848" s="1113" t="s">
        <v>1649</v>
      </c>
      <c r="E848" s="1337" t="s">
        <v>1497</v>
      </c>
    </row>
    <row r="849" spans="1:5" x14ac:dyDescent="0.25">
      <c r="A849" s="1115">
        <v>851</v>
      </c>
      <c r="B849" s="1112" t="s">
        <v>1656</v>
      </c>
      <c r="C849" s="1112" t="s">
        <v>1715</v>
      </c>
      <c r="D849" s="1113" t="s">
        <v>1649</v>
      </c>
      <c r="E849" s="1337" t="s">
        <v>1495</v>
      </c>
    </row>
    <row r="850" spans="1:5" x14ac:dyDescent="0.25">
      <c r="A850" s="1115">
        <v>852</v>
      </c>
      <c r="B850" s="1112" t="s">
        <v>1656</v>
      </c>
      <c r="C850" s="1112" t="s">
        <v>1715</v>
      </c>
      <c r="D850" s="1113" t="s">
        <v>1649</v>
      </c>
      <c r="E850" s="1337" t="s">
        <v>1496</v>
      </c>
    </row>
    <row r="851" spans="1:5" x14ac:dyDescent="0.25">
      <c r="A851" s="1115">
        <v>853</v>
      </c>
      <c r="B851" s="1112" t="s">
        <v>1656</v>
      </c>
      <c r="C851" s="1112" t="s">
        <v>1715</v>
      </c>
      <c r="D851" s="1113" t="s">
        <v>1649</v>
      </c>
      <c r="E851" s="1337" t="s">
        <v>1497</v>
      </c>
    </row>
    <row r="852" spans="1:5" ht="30" x14ac:dyDescent="0.25">
      <c r="A852" s="1115">
        <v>854</v>
      </c>
      <c r="B852" s="1112" t="s">
        <v>1656</v>
      </c>
      <c r="C852" s="1112" t="s">
        <v>1716</v>
      </c>
      <c r="D852" s="1113" t="s">
        <v>1717</v>
      </c>
      <c r="E852" s="1336" t="s">
        <v>1603</v>
      </c>
    </row>
    <row r="853" spans="1:5" ht="30" x14ac:dyDescent="0.25">
      <c r="A853" s="1115">
        <v>855</v>
      </c>
      <c r="B853" s="1112" t="s">
        <v>1656</v>
      </c>
      <c r="C853" s="1112" t="s">
        <v>1716</v>
      </c>
      <c r="D853" s="1113" t="s">
        <v>1717</v>
      </c>
      <c r="E853" s="1337" t="s">
        <v>1491</v>
      </c>
    </row>
    <row r="854" spans="1:5" ht="30" x14ac:dyDescent="0.25">
      <c r="A854" s="1115">
        <v>856</v>
      </c>
      <c r="B854" s="1112" t="s">
        <v>1656</v>
      </c>
      <c r="C854" s="1112" t="s">
        <v>1716</v>
      </c>
      <c r="D854" s="1113" t="s">
        <v>1717</v>
      </c>
      <c r="E854" s="1337" t="s">
        <v>1488</v>
      </c>
    </row>
    <row r="855" spans="1:5" ht="30" x14ac:dyDescent="0.25">
      <c r="A855" s="1115">
        <v>857</v>
      </c>
      <c r="B855" s="1112" t="s">
        <v>1656</v>
      </c>
      <c r="C855" s="1112" t="s">
        <v>1716</v>
      </c>
      <c r="D855" s="1113" t="s">
        <v>1717</v>
      </c>
      <c r="E855" s="1337" t="s">
        <v>1489</v>
      </c>
    </row>
    <row r="856" spans="1:5" ht="30" x14ac:dyDescent="0.25">
      <c r="A856" s="1115">
        <v>858</v>
      </c>
      <c r="B856" s="1112" t="s">
        <v>1656</v>
      </c>
      <c r="C856" s="1112" t="s">
        <v>1716</v>
      </c>
      <c r="D856" s="1113" t="s">
        <v>1717</v>
      </c>
      <c r="E856" s="1337" t="s">
        <v>1505</v>
      </c>
    </row>
    <row r="857" spans="1:5" x14ac:dyDescent="0.25">
      <c r="A857" s="1115">
        <v>859</v>
      </c>
      <c r="B857" s="1112" t="s">
        <v>1656</v>
      </c>
      <c r="C857" s="1112" t="s">
        <v>1716</v>
      </c>
      <c r="D857" s="1113" t="s">
        <v>1519</v>
      </c>
      <c r="E857" s="1337" t="s">
        <v>1490</v>
      </c>
    </row>
    <row r="858" spans="1:5" ht="30" x14ac:dyDescent="0.25">
      <c r="A858" s="1115">
        <v>860</v>
      </c>
      <c r="B858" s="1112" t="s">
        <v>1656</v>
      </c>
      <c r="C858" s="1112" t="s">
        <v>1718</v>
      </c>
      <c r="D858" s="1113" t="s">
        <v>1717</v>
      </c>
      <c r="E858" s="1337" t="s">
        <v>1598</v>
      </c>
    </row>
    <row r="859" spans="1:5" ht="30" x14ac:dyDescent="0.25">
      <c r="A859" s="1115">
        <v>861</v>
      </c>
      <c r="B859" s="1112" t="s">
        <v>1656</v>
      </c>
      <c r="C859" s="1112" t="s">
        <v>1718</v>
      </c>
      <c r="D859" s="1113" t="s">
        <v>1717</v>
      </c>
      <c r="E859" s="1337" t="s">
        <v>1599</v>
      </c>
    </row>
    <row r="860" spans="1:5" x14ac:dyDescent="0.25">
      <c r="A860" s="1115">
        <v>862</v>
      </c>
      <c r="B860" s="1112" t="s">
        <v>1656</v>
      </c>
      <c r="C860" s="1112" t="s">
        <v>1718</v>
      </c>
      <c r="D860" s="1113" t="s">
        <v>1519</v>
      </c>
      <c r="E860" s="1337" t="s">
        <v>1600</v>
      </c>
    </row>
    <row r="861" spans="1:5" ht="45" x14ac:dyDescent="0.25">
      <c r="A861" s="1115">
        <v>863</v>
      </c>
      <c r="B861" s="1112" t="s">
        <v>1656</v>
      </c>
      <c r="C861" s="1112" t="s">
        <v>1718</v>
      </c>
      <c r="D861" s="1286" t="s">
        <v>1659</v>
      </c>
      <c r="E861" s="1337" t="s">
        <v>1493</v>
      </c>
    </row>
    <row r="862" spans="1:5" ht="45" x14ac:dyDescent="0.25">
      <c r="A862" s="1115">
        <v>864</v>
      </c>
      <c r="B862" s="1112" t="s">
        <v>1656</v>
      </c>
      <c r="C862" s="1112" t="s">
        <v>1718</v>
      </c>
      <c r="D862" s="1286" t="s">
        <v>1659</v>
      </c>
      <c r="E862" s="1337" t="s">
        <v>1494</v>
      </c>
    </row>
    <row r="863" spans="1:5" ht="45" x14ac:dyDescent="0.25">
      <c r="A863" s="1115">
        <v>865</v>
      </c>
      <c r="B863" s="1112" t="s">
        <v>1656</v>
      </c>
      <c r="C863" s="1112" t="s">
        <v>1718</v>
      </c>
      <c r="D863" s="1286" t="s">
        <v>1659</v>
      </c>
      <c r="E863" s="1337" t="s">
        <v>1607</v>
      </c>
    </row>
    <row r="864" spans="1:5" x14ac:dyDescent="0.25">
      <c r="A864" s="1115">
        <v>866</v>
      </c>
      <c r="B864" s="1112" t="s">
        <v>1656</v>
      </c>
      <c r="C864" s="1112" t="s">
        <v>1718</v>
      </c>
      <c r="D864" s="1113" t="s">
        <v>1519</v>
      </c>
      <c r="E864" s="1337" t="s">
        <v>1604</v>
      </c>
    </row>
    <row r="865" spans="1:5" ht="30" x14ac:dyDescent="0.25">
      <c r="A865" s="1115">
        <v>867</v>
      </c>
      <c r="B865" s="1112" t="s">
        <v>1656</v>
      </c>
      <c r="C865" s="1112" t="s">
        <v>1718</v>
      </c>
      <c r="D865" s="1113" t="s">
        <v>1717</v>
      </c>
      <c r="E865" s="1337" t="s">
        <v>1618</v>
      </c>
    </row>
    <row r="866" spans="1:5" ht="30" x14ac:dyDescent="0.25">
      <c r="A866" s="1115">
        <v>868</v>
      </c>
      <c r="B866" s="1112" t="s">
        <v>1656</v>
      </c>
      <c r="C866" s="1112" t="s">
        <v>1719</v>
      </c>
      <c r="D866" s="1113" t="s">
        <v>1717</v>
      </c>
      <c r="E866" s="1337" t="s">
        <v>1495</v>
      </c>
    </row>
    <row r="867" spans="1:5" ht="30" x14ac:dyDescent="0.25">
      <c r="A867" s="1115">
        <v>869</v>
      </c>
      <c r="B867" s="1112" t="s">
        <v>1656</v>
      </c>
      <c r="C867" s="1112" t="s">
        <v>1719</v>
      </c>
      <c r="D867" s="1113" t="s">
        <v>1717</v>
      </c>
      <c r="E867" s="1337" t="s">
        <v>1496</v>
      </c>
    </row>
    <row r="868" spans="1:5" ht="30" x14ac:dyDescent="0.25">
      <c r="A868" s="1115">
        <v>870</v>
      </c>
      <c r="B868" s="1112" t="s">
        <v>1656</v>
      </c>
      <c r="C868" s="1112" t="s">
        <v>1719</v>
      </c>
      <c r="D868" s="1113" t="s">
        <v>1717</v>
      </c>
      <c r="E868" s="1337" t="s">
        <v>1175</v>
      </c>
    </row>
    <row r="869" spans="1:5" ht="30" x14ac:dyDescent="0.25">
      <c r="A869" s="1115">
        <v>871</v>
      </c>
      <c r="B869" s="1112" t="s">
        <v>1656</v>
      </c>
      <c r="C869" s="1112" t="s">
        <v>1718</v>
      </c>
      <c r="D869" s="1113" t="s">
        <v>1717</v>
      </c>
      <c r="E869" s="1337" t="s">
        <v>1620</v>
      </c>
    </row>
    <row r="870" spans="1:5" ht="30" x14ac:dyDescent="0.25">
      <c r="A870" s="1115">
        <v>872</v>
      </c>
      <c r="B870" s="1329" t="s">
        <v>1656</v>
      </c>
      <c r="C870" s="1329" t="s">
        <v>1718</v>
      </c>
      <c r="D870" s="1047" t="s">
        <v>1717</v>
      </c>
      <c r="E870" s="262" t="s">
        <v>1620</v>
      </c>
    </row>
    <row r="871" spans="1:5" ht="30" x14ac:dyDescent="0.25">
      <c r="A871" s="1115">
        <v>873</v>
      </c>
      <c r="B871" s="1329" t="s">
        <v>1656</v>
      </c>
      <c r="C871" s="1329" t="s">
        <v>1790</v>
      </c>
      <c r="D871" s="1047" t="s">
        <v>1791</v>
      </c>
      <c r="E871" s="1338" t="s">
        <v>1603</v>
      </c>
    </row>
    <row r="872" spans="1:5" ht="30" x14ac:dyDescent="0.25">
      <c r="A872" s="1115">
        <v>874</v>
      </c>
      <c r="B872" s="1329" t="s">
        <v>1656</v>
      </c>
      <c r="C872" s="1329" t="s">
        <v>1790</v>
      </c>
      <c r="D872" s="1047" t="s">
        <v>1791</v>
      </c>
      <c r="E872" s="262" t="s">
        <v>1491</v>
      </c>
    </row>
    <row r="873" spans="1:5" ht="30" x14ac:dyDescent="0.25">
      <c r="A873" s="1115">
        <v>875</v>
      </c>
      <c r="B873" s="1329" t="s">
        <v>1656</v>
      </c>
      <c r="C873" s="1329" t="s">
        <v>1790</v>
      </c>
      <c r="D873" s="1047" t="s">
        <v>1791</v>
      </c>
      <c r="E873" s="262" t="s">
        <v>1488</v>
      </c>
    </row>
    <row r="874" spans="1:5" ht="30" x14ac:dyDescent="0.25">
      <c r="A874" s="1115">
        <v>876</v>
      </c>
      <c r="B874" s="1329" t="s">
        <v>1656</v>
      </c>
      <c r="C874" s="1329" t="s">
        <v>1790</v>
      </c>
      <c r="D874" s="1047" t="s">
        <v>1791</v>
      </c>
      <c r="E874" s="262" t="s">
        <v>1489</v>
      </c>
    </row>
    <row r="875" spans="1:5" ht="30" x14ac:dyDescent="0.25">
      <c r="A875" s="1115">
        <v>877</v>
      </c>
      <c r="B875" s="1329" t="s">
        <v>1656</v>
      </c>
      <c r="C875" s="1329" t="s">
        <v>1790</v>
      </c>
      <c r="D875" s="1047" t="s">
        <v>1791</v>
      </c>
      <c r="E875" s="262" t="s">
        <v>1505</v>
      </c>
    </row>
    <row r="876" spans="1:5" x14ac:dyDescent="0.25">
      <c r="A876" s="1115">
        <v>878</v>
      </c>
      <c r="B876" s="1329" t="s">
        <v>1656</v>
      </c>
      <c r="C876" s="1329" t="s">
        <v>1790</v>
      </c>
      <c r="D876" s="1047" t="s">
        <v>1519</v>
      </c>
      <c r="E876" s="262" t="s">
        <v>1490</v>
      </c>
    </row>
    <row r="877" spans="1:5" ht="30" x14ac:dyDescent="0.25">
      <c r="A877" s="1115">
        <v>879</v>
      </c>
      <c r="B877" s="1329" t="s">
        <v>1656</v>
      </c>
      <c r="C877" s="1329" t="s">
        <v>1792</v>
      </c>
      <c r="D877" s="1047" t="s">
        <v>1791</v>
      </c>
      <c r="E877" s="262" t="s">
        <v>1598</v>
      </c>
    </row>
    <row r="878" spans="1:5" ht="30" x14ac:dyDescent="0.25">
      <c r="A878" s="1115">
        <v>880</v>
      </c>
      <c r="B878" s="1329" t="s">
        <v>1656</v>
      </c>
      <c r="C878" s="1329" t="s">
        <v>1792</v>
      </c>
      <c r="D878" s="1047" t="s">
        <v>1791</v>
      </c>
      <c r="E878" s="262" t="s">
        <v>1599</v>
      </c>
    </row>
    <row r="879" spans="1:5" x14ac:dyDescent="0.25">
      <c r="A879" s="1115">
        <v>881</v>
      </c>
      <c r="B879" s="1329" t="s">
        <v>1656</v>
      </c>
      <c r="C879" s="1329" t="s">
        <v>1792</v>
      </c>
      <c r="D879" s="1047" t="s">
        <v>1519</v>
      </c>
      <c r="E879" s="262" t="s">
        <v>1600</v>
      </c>
    </row>
    <row r="880" spans="1:5" ht="45" x14ac:dyDescent="0.25">
      <c r="A880" s="1115">
        <v>882</v>
      </c>
      <c r="B880" s="1329" t="s">
        <v>1656</v>
      </c>
      <c r="C880" s="1329" t="s">
        <v>1792</v>
      </c>
      <c r="D880" s="1339" t="s">
        <v>1659</v>
      </c>
      <c r="E880" s="262" t="s">
        <v>1493</v>
      </c>
    </row>
    <row r="881" spans="1:5" ht="45" x14ac:dyDescent="0.25">
      <c r="A881" s="1115">
        <v>883</v>
      </c>
      <c r="B881" s="1329" t="s">
        <v>1656</v>
      </c>
      <c r="C881" s="1329" t="s">
        <v>1792</v>
      </c>
      <c r="D881" s="1339" t="s">
        <v>1659</v>
      </c>
      <c r="E881" s="262" t="s">
        <v>1494</v>
      </c>
    </row>
    <row r="882" spans="1:5" ht="45" x14ac:dyDescent="0.25">
      <c r="A882" s="1115">
        <v>884</v>
      </c>
      <c r="B882" s="1329" t="s">
        <v>1656</v>
      </c>
      <c r="C882" s="1329" t="s">
        <v>1792</v>
      </c>
      <c r="D882" s="1339" t="s">
        <v>1659</v>
      </c>
      <c r="E882" s="262" t="s">
        <v>1607</v>
      </c>
    </row>
    <row r="883" spans="1:5" x14ac:dyDescent="0.25">
      <c r="A883" s="1115">
        <v>885</v>
      </c>
      <c r="B883" s="1329" t="s">
        <v>1656</v>
      </c>
      <c r="C883" s="1329" t="s">
        <v>1792</v>
      </c>
      <c r="D883" s="1047" t="s">
        <v>1519</v>
      </c>
      <c r="E883" s="262" t="s">
        <v>1604</v>
      </c>
    </row>
    <row r="884" spans="1:5" ht="30" x14ac:dyDescent="0.25">
      <c r="A884" s="1115">
        <v>886</v>
      </c>
      <c r="B884" s="1329" t="s">
        <v>1656</v>
      </c>
      <c r="C884" s="1329" t="s">
        <v>1792</v>
      </c>
      <c r="D884" s="1047" t="s">
        <v>1791</v>
      </c>
      <c r="E884" s="262" t="s">
        <v>1618</v>
      </c>
    </row>
    <row r="885" spans="1:5" ht="30" x14ac:dyDescent="0.25">
      <c r="A885" s="1115">
        <v>887</v>
      </c>
      <c r="B885" s="1329" t="s">
        <v>1656</v>
      </c>
      <c r="C885" s="1329" t="s">
        <v>1793</v>
      </c>
      <c r="D885" s="1047" t="s">
        <v>1791</v>
      </c>
      <c r="E885" s="262" t="s">
        <v>1495</v>
      </c>
    </row>
    <row r="886" spans="1:5" ht="30" x14ac:dyDescent="0.25">
      <c r="A886" s="1115">
        <v>888</v>
      </c>
      <c r="B886" s="1329" t="s">
        <v>1656</v>
      </c>
      <c r="C886" s="1329" t="s">
        <v>1793</v>
      </c>
      <c r="D886" s="1047" t="s">
        <v>1791</v>
      </c>
      <c r="E886" s="262" t="s">
        <v>1496</v>
      </c>
    </row>
    <row r="887" spans="1:5" ht="30" x14ac:dyDescent="0.25">
      <c r="A887" s="1115">
        <v>889</v>
      </c>
      <c r="B887" s="1329" t="s">
        <v>1656</v>
      </c>
      <c r="C887" s="1329" t="s">
        <v>1793</v>
      </c>
      <c r="D887" s="1047" t="s">
        <v>1791</v>
      </c>
      <c r="E887" s="262" t="s">
        <v>1175</v>
      </c>
    </row>
    <row r="888" spans="1:5" ht="30" x14ac:dyDescent="0.25">
      <c r="A888" s="1115">
        <v>890</v>
      </c>
      <c r="B888" s="1329" t="s">
        <v>1656</v>
      </c>
      <c r="C888" s="1329" t="s">
        <v>1794</v>
      </c>
      <c r="D888" s="1047" t="s">
        <v>1795</v>
      </c>
      <c r="E888" s="1338" t="s">
        <v>1603</v>
      </c>
    </row>
    <row r="889" spans="1:5" ht="30" x14ac:dyDescent="0.25">
      <c r="A889" s="1115">
        <v>891</v>
      </c>
      <c r="B889" s="1329" t="s">
        <v>1656</v>
      </c>
      <c r="C889" s="1329" t="s">
        <v>1794</v>
      </c>
      <c r="D889" s="1047" t="s">
        <v>1795</v>
      </c>
      <c r="E889" s="262" t="s">
        <v>1491</v>
      </c>
    </row>
    <row r="890" spans="1:5" ht="30" x14ac:dyDescent="0.25">
      <c r="A890" s="1115">
        <v>892</v>
      </c>
      <c r="B890" s="1329" t="s">
        <v>1656</v>
      </c>
      <c r="C890" s="1329" t="s">
        <v>1794</v>
      </c>
      <c r="D890" s="1047" t="s">
        <v>1795</v>
      </c>
      <c r="E890" s="262" t="s">
        <v>1489</v>
      </c>
    </row>
    <row r="891" spans="1:5" ht="30" x14ac:dyDescent="0.25">
      <c r="A891" s="1115">
        <v>893</v>
      </c>
      <c r="B891" s="1329" t="s">
        <v>1656</v>
      </c>
      <c r="C891" s="1329" t="s">
        <v>1794</v>
      </c>
      <c r="D891" s="1047" t="s">
        <v>1795</v>
      </c>
      <c r="E891" s="262" t="s">
        <v>1505</v>
      </c>
    </row>
    <row r="892" spans="1:5" x14ac:dyDescent="0.25">
      <c r="A892" s="1115">
        <v>894</v>
      </c>
      <c r="B892" s="1329" t="s">
        <v>1656</v>
      </c>
      <c r="C892" s="1329" t="s">
        <v>1794</v>
      </c>
      <c r="D892" s="1047" t="s">
        <v>1519</v>
      </c>
      <c r="E892" s="262" t="s">
        <v>1490</v>
      </c>
    </row>
    <row r="893" spans="1:5" ht="45" x14ac:dyDescent="0.25">
      <c r="A893" s="1115">
        <v>895</v>
      </c>
      <c r="B893" s="1329" t="s">
        <v>1656</v>
      </c>
      <c r="C893" s="1329" t="s">
        <v>1796</v>
      </c>
      <c r="D893" s="1339" t="s">
        <v>1659</v>
      </c>
      <c r="E893" s="262" t="s">
        <v>1493</v>
      </c>
    </row>
    <row r="894" spans="1:5" ht="45" x14ac:dyDescent="0.25">
      <c r="A894" s="1115">
        <v>896</v>
      </c>
      <c r="B894" s="1329" t="s">
        <v>1656</v>
      </c>
      <c r="C894" s="1329" t="s">
        <v>1796</v>
      </c>
      <c r="D894" s="1339" t="s">
        <v>1659</v>
      </c>
      <c r="E894" s="262" t="s">
        <v>1494</v>
      </c>
    </row>
    <row r="895" spans="1:5" ht="45" x14ac:dyDescent="0.25">
      <c r="A895" s="1115">
        <v>897</v>
      </c>
      <c r="B895" s="1329" t="s">
        <v>1656</v>
      </c>
      <c r="C895" s="1329" t="s">
        <v>1796</v>
      </c>
      <c r="D895" s="1339" t="s">
        <v>1659</v>
      </c>
      <c r="E895" s="262" t="s">
        <v>1607</v>
      </c>
    </row>
    <row r="896" spans="1:5" x14ac:dyDescent="0.25">
      <c r="A896" s="1115">
        <v>898</v>
      </c>
      <c r="B896" s="1329" t="s">
        <v>1656</v>
      </c>
      <c r="C896" s="1329" t="s">
        <v>1796</v>
      </c>
      <c r="D896" s="1047" t="s">
        <v>1519</v>
      </c>
      <c r="E896" s="262" t="s">
        <v>1604</v>
      </c>
    </row>
    <row r="897" spans="1:5" x14ac:dyDescent="0.25">
      <c r="A897" s="1115">
        <v>899</v>
      </c>
      <c r="B897" s="1329" t="s">
        <v>1656</v>
      </c>
      <c r="C897" s="1329" t="s">
        <v>1796</v>
      </c>
      <c r="D897" s="1047" t="s">
        <v>1519</v>
      </c>
      <c r="E897" s="262" t="s">
        <v>1504</v>
      </c>
    </row>
    <row r="898" spans="1:5" ht="30" x14ac:dyDescent="0.25">
      <c r="A898" s="1115">
        <v>900</v>
      </c>
      <c r="B898" s="1329" t="s">
        <v>1656</v>
      </c>
      <c r="C898" s="1329" t="s">
        <v>1797</v>
      </c>
      <c r="D898" s="1047" t="s">
        <v>1795</v>
      </c>
      <c r="E898" s="1338" t="s">
        <v>1603</v>
      </c>
    </row>
    <row r="899" spans="1:5" ht="30" x14ac:dyDescent="0.25">
      <c r="A899" s="1115">
        <v>901</v>
      </c>
      <c r="B899" s="1329" t="s">
        <v>1656</v>
      </c>
      <c r="C899" s="1329" t="s">
        <v>1797</v>
      </c>
      <c r="D899" s="1047" t="s">
        <v>1795</v>
      </c>
      <c r="E899" s="262" t="s">
        <v>1491</v>
      </c>
    </row>
    <row r="900" spans="1:5" ht="30" x14ac:dyDescent="0.25">
      <c r="A900" s="1115">
        <v>902</v>
      </c>
      <c r="B900" s="1329" t="s">
        <v>1656</v>
      </c>
      <c r="C900" s="1329" t="s">
        <v>1797</v>
      </c>
      <c r="D900" s="1047" t="s">
        <v>1795</v>
      </c>
      <c r="E900" s="262" t="s">
        <v>1489</v>
      </c>
    </row>
    <row r="901" spans="1:5" ht="30" x14ac:dyDescent="0.25">
      <c r="A901" s="1115">
        <v>903</v>
      </c>
      <c r="B901" s="1329" t="s">
        <v>1656</v>
      </c>
      <c r="C901" s="1329" t="s">
        <v>1797</v>
      </c>
      <c r="D901" s="1047" t="s">
        <v>1795</v>
      </c>
      <c r="E901" s="262" t="s">
        <v>1505</v>
      </c>
    </row>
    <row r="902" spans="1:5" x14ac:dyDescent="0.25">
      <c r="A902" s="1115">
        <v>904</v>
      </c>
      <c r="B902" s="1329" t="s">
        <v>1656</v>
      </c>
      <c r="C902" s="1329" t="s">
        <v>1797</v>
      </c>
      <c r="D902" s="1047" t="s">
        <v>1519</v>
      </c>
      <c r="E902" s="262" t="s">
        <v>1490</v>
      </c>
    </row>
    <row r="903" spans="1:5" ht="45" x14ac:dyDescent="0.25">
      <c r="A903" s="1115">
        <v>905</v>
      </c>
      <c r="B903" s="1329" t="s">
        <v>1656</v>
      </c>
      <c r="C903" s="1329" t="s">
        <v>1798</v>
      </c>
      <c r="D903" s="1339" t="s">
        <v>1659</v>
      </c>
      <c r="E903" s="262" t="s">
        <v>1493</v>
      </c>
    </row>
    <row r="904" spans="1:5" ht="45" x14ac:dyDescent="0.25">
      <c r="A904" s="1115">
        <v>906</v>
      </c>
      <c r="B904" s="1329" t="s">
        <v>1656</v>
      </c>
      <c r="C904" s="1329" t="s">
        <v>1798</v>
      </c>
      <c r="D904" s="1339" t="s">
        <v>1659</v>
      </c>
      <c r="E904" s="262" t="s">
        <v>1494</v>
      </c>
    </row>
    <row r="905" spans="1:5" ht="45" x14ac:dyDescent="0.25">
      <c r="A905" s="1115">
        <v>907</v>
      </c>
      <c r="B905" s="1329" t="s">
        <v>1656</v>
      </c>
      <c r="C905" s="1329" t="s">
        <v>1798</v>
      </c>
      <c r="D905" s="1339" t="s">
        <v>1659</v>
      </c>
      <c r="E905" s="262" t="s">
        <v>1607</v>
      </c>
    </row>
    <row r="906" spans="1:5" x14ac:dyDescent="0.25">
      <c r="A906" s="1115">
        <v>908</v>
      </c>
      <c r="B906" s="1329" t="s">
        <v>1656</v>
      </c>
      <c r="C906" s="1329" t="s">
        <v>1798</v>
      </c>
      <c r="D906" s="1047" t="s">
        <v>1519</v>
      </c>
      <c r="E906" s="262" t="s">
        <v>1604</v>
      </c>
    </row>
    <row r="907" spans="1:5" x14ac:dyDescent="0.25">
      <c r="A907" s="1115">
        <v>909</v>
      </c>
      <c r="B907" s="1329" t="s">
        <v>1656</v>
      </c>
      <c r="C907" s="1329" t="s">
        <v>1798</v>
      </c>
      <c r="D907" s="1047" t="s">
        <v>1519</v>
      </c>
      <c r="E907" s="262" t="s">
        <v>1504</v>
      </c>
    </row>
    <row r="908" spans="1:5" ht="30" x14ac:dyDescent="0.25">
      <c r="A908" s="1115">
        <v>910</v>
      </c>
      <c r="B908" s="1329" t="s">
        <v>1656</v>
      </c>
      <c r="C908" s="1329" t="s">
        <v>1799</v>
      </c>
      <c r="D908" s="1047" t="s">
        <v>1795</v>
      </c>
      <c r="E908" s="1338" t="s">
        <v>1603</v>
      </c>
    </row>
    <row r="909" spans="1:5" ht="30" x14ac:dyDescent="0.25">
      <c r="A909" s="1115">
        <v>911</v>
      </c>
      <c r="B909" s="1329" t="s">
        <v>1656</v>
      </c>
      <c r="C909" s="1329" t="s">
        <v>1799</v>
      </c>
      <c r="D909" s="1047" t="s">
        <v>1795</v>
      </c>
      <c r="E909" s="262" t="s">
        <v>1491</v>
      </c>
    </row>
    <row r="910" spans="1:5" ht="30" x14ac:dyDescent="0.25">
      <c r="A910" s="1115">
        <v>912</v>
      </c>
      <c r="B910" s="1329" t="s">
        <v>1656</v>
      </c>
      <c r="C910" s="1329" t="s">
        <v>1799</v>
      </c>
      <c r="D910" s="1047" t="s">
        <v>1795</v>
      </c>
      <c r="E910" s="262" t="s">
        <v>1489</v>
      </c>
    </row>
    <row r="911" spans="1:5" ht="30" x14ac:dyDescent="0.25">
      <c r="A911" s="1115">
        <v>913</v>
      </c>
      <c r="B911" s="1329" t="s">
        <v>1656</v>
      </c>
      <c r="C911" s="1329" t="s">
        <v>1799</v>
      </c>
      <c r="D911" s="1047" t="s">
        <v>1795</v>
      </c>
      <c r="E911" s="262" t="s">
        <v>1505</v>
      </c>
    </row>
    <row r="912" spans="1:5" x14ac:dyDescent="0.25">
      <c r="A912" s="1115">
        <v>914</v>
      </c>
      <c r="B912" s="1329" t="s">
        <v>1656</v>
      </c>
      <c r="C912" s="1329" t="s">
        <v>1799</v>
      </c>
      <c r="D912" s="1047" t="s">
        <v>1519</v>
      </c>
      <c r="E912" s="262" t="s">
        <v>1490</v>
      </c>
    </row>
    <row r="913" spans="1:5" ht="45" x14ac:dyDescent="0.25">
      <c r="A913" s="1115">
        <v>915</v>
      </c>
      <c r="B913" s="1329" t="s">
        <v>1656</v>
      </c>
      <c r="C913" s="1329" t="s">
        <v>1800</v>
      </c>
      <c r="D913" s="1339" t="s">
        <v>1659</v>
      </c>
      <c r="E913" s="262" t="s">
        <v>1493</v>
      </c>
    </row>
    <row r="914" spans="1:5" ht="45" x14ac:dyDescent="0.25">
      <c r="A914" s="1115">
        <v>916</v>
      </c>
      <c r="B914" s="1329" t="s">
        <v>1656</v>
      </c>
      <c r="C914" s="1329" t="s">
        <v>1800</v>
      </c>
      <c r="D914" s="1339" t="s">
        <v>1659</v>
      </c>
      <c r="E914" s="262" t="s">
        <v>1494</v>
      </c>
    </row>
    <row r="915" spans="1:5" ht="45" x14ac:dyDescent="0.25">
      <c r="A915" s="1115">
        <v>917</v>
      </c>
      <c r="B915" s="1329" t="s">
        <v>1656</v>
      </c>
      <c r="C915" s="1329" t="s">
        <v>1800</v>
      </c>
      <c r="D915" s="1339" t="s">
        <v>1659</v>
      </c>
      <c r="E915" s="262" t="s">
        <v>1607</v>
      </c>
    </row>
    <row r="916" spans="1:5" x14ac:dyDescent="0.25">
      <c r="A916" s="1115">
        <v>918</v>
      </c>
      <c r="B916" s="1329" t="s">
        <v>1656</v>
      </c>
      <c r="C916" s="1329" t="s">
        <v>1800</v>
      </c>
      <c r="D916" s="1047" t="s">
        <v>1519</v>
      </c>
      <c r="E916" s="262" t="s">
        <v>1604</v>
      </c>
    </row>
    <row r="917" spans="1:5" x14ac:dyDescent="0.25">
      <c r="A917" s="1115">
        <v>919</v>
      </c>
      <c r="B917" s="1329" t="s">
        <v>1656</v>
      </c>
      <c r="C917" s="1329" t="s">
        <v>1800</v>
      </c>
      <c r="D917" s="1047" t="s">
        <v>1519</v>
      </c>
      <c r="E917" s="262" t="s">
        <v>1504</v>
      </c>
    </row>
    <row r="918" spans="1:5" ht="30" x14ac:dyDescent="0.25">
      <c r="A918" s="1115">
        <v>920</v>
      </c>
      <c r="B918" s="1329" t="s">
        <v>1656</v>
      </c>
      <c r="C918" s="1329" t="s">
        <v>1801</v>
      </c>
      <c r="D918" s="1047" t="s">
        <v>1802</v>
      </c>
      <c r="E918" s="1338" t="s">
        <v>1603</v>
      </c>
    </row>
    <row r="919" spans="1:5" ht="30" x14ac:dyDescent="0.25">
      <c r="A919" s="1115">
        <v>921</v>
      </c>
      <c r="B919" s="1329" t="s">
        <v>1656</v>
      </c>
      <c r="C919" s="1329" t="s">
        <v>1801</v>
      </c>
      <c r="D919" s="1047" t="s">
        <v>1802</v>
      </c>
      <c r="E919" s="262" t="s">
        <v>1491</v>
      </c>
    </row>
    <row r="920" spans="1:5" ht="30" x14ac:dyDescent="0.25">
      <c r="A920" s="1115">
        <v>922</v>
      </c>
      <c r="B920" s="1329" t="s">
        <v>1656</v>
      </c>
      <c r="C920" s="1329" t="s">
        <v>1801</v>
      </c>
      <c r="D920" s="1047" t="s">
        <v>1802</v>
      </c>
      <c r="E920" s="262" t="s">
        <v>1489</v>
      </c>
    </row>
    <row r="921" spans="1:5" ht="30" x14ac:dyDescent="0.25">
      <c r="A921" s="1115">
        <v>923</v>
      </c>
      <c r="B921" s="1329" t="s">
        <v>1656</v>
      </c>
      <c r="C921" s="1329" t="s">
        <v>1801</v>
      </c>
      <c r="D921" s="1047" t="s">
        <v>1802</v>
      </c>
      <c r="E921" s="262" t="s">
        <v>1505</v>
      </c>
    </row>
    <row r="922" spans="1:5" x14ac:dyDescent="0.25">
      <c r="A922" s="1115">
        <v>924</v>
      </c>
      <c r="B922" s="1329" t="s">
        <v>1656</v>
      </c>
      <c r="C922" s="1329" t="s">
        <v>1801</v>
      </c>
      <c r="D922" s="1047" t="s">
        <v>1519</v>
      </c>
      <c r="E922" s="262" t="s">
        <v>1490</v>
      </c>
    </row>
    <row r="923" spans="1:5" ht="30" x14ac:dyDescent="0.25">
      <c r="A923" s="1115">
        <v>925</v>
      </c>
      <c r="B923" s="1329" t="s">
        <v>1656</v>
      </c>
      <c r="C923" s="1329" t="s">
        <v>1801</v>
      </c>
      <c r="D923" s="1047" t="s">
        <v>1802</v>
      </c>
      <c r="E923" s="262" t="s">
        <v>1598</v>
      </c>
    </row>
    <row r="924" spans="1:5" ht="30" x14ac:dyDescent="0.25">
      <c r="A924" s="1115">
        <v>926</v>
      </c>
      <c r="B924" s="1329" t="s">
        <v>1656</v>
      </c>
      <c r="C924" s="1329" t="s">
        <v>1801</v>
      </c>
      <c r="D924" s="1047" t="s">
        <v>1802</v>
      </c>
      <c r="E924" s="262" t="s">
        <v>1599</v>
      </c>
    </row>
    <row r="925" spans="1:5" x14ac:dyDescent="0.25">
      <c r="A925" s="1115">
        <v>927</v>
      </c>
      <c r="B925" s="1329" t="s">
        <v>1656</v>
      </c>
      <c r="C925" s="1329" t="s">
        <v>1801</v>
      </c>
      <c r="D925" s="1047" t="s">
        <v>1519</v>
      </c>
      <c r="E925" s="262" t="s">
        <v>1600</v>
      </c>
    </row>
    <row r="926" spans="1:5" ht="45" x14ac:dyDescent="0.25">
      <c r="A926" s="1115">
        <v>928</v>
      </c>
      <c r="B926" s="1329" t="s">
        <v>1656</v>
      </c>
      <c r="C926" s="1329" t="s">
        <v>1801</v>
      </c>
      <c r="D926" s="1339" t="s">
        <v>1659</v>
      </c>
      <c r="E926" s="262" t="s">
        <v>1493</v>
      </c>
    </row>
    <row r="927" spans="1:5" ht="45" x14ac:dyDescent="0.25">
      <c r="A927" s="1115">
        <v>929</v>
      </c>
      <c r="B927" s="1329" t="s">
        <v>1656</v>
      </c>
      <c r="C927" s="1329" t="s">
        <v>1801</v>
      </c>
      <c r="D927" s="1339" t="s">
        <v>1659</v>
      </c>
      <c r="E927" s="262" t="s">
        <v>1494</v>
      </c>
    </row>
    <row r="928" spans="1:5" ht="45" x14ac:dyDescent="0.25">
      <c r="A928" s="1115">
        <v>930</v>
      </c>
      <c r="B928" s="1329" t="s">
        <v>1656</v>
      </c>
      <c r="C928" s="1329" t="s">
        <v>1801</v>
      </c>
      <c r="D928" s="1339" t="s">
        <v>1659</v>
      </c>
      <c r="E928" s="262" t="s">
        <v>1607</v>
      </c>
    </row>
    <row r="929" spans="1:5" x14ac:dyDescent="0.25">
      <c r="A929" s="1115">
        <v>931</v>
      </c>
      <c r="B929" s="1329" t="s">
        <v>1656</v>
      </c>
      <c r="C929" s="1329" t="s">
        <v>1801</v>
      </c>
      <c r="D929" s="1047" t="s">
        <v>1519</v>
      </c>
      <c r="E929" s="262" t="s">
        <v>1604</v>
      </c>
    </row>
    <row r="930" spans="1:5" ht="30" x14ac:dyDescent="0.25">
      <c r="A930" s="1115">
        <v>932</v>
      </c>
      <c r="B930" s="1329" t="s">
        <v>1656</v>
      </c>
      <c r="C930" s="1329" t="s">
        <v>1801</v>
      </c>
      <c r="D930" s="1047" t="s">
        <v>1802</v>
      </c>
      <c r="E930" s="262" t="s">
        <v>1497</v>
      </c>
    </row>
    <row r="931" spans="1:5" x14ac:dyDescent="0.25">
      <c r="A931" s="1115">
        <v>933</v>
      </c>
      <c r="B931" s="1329" t="s">
        <v>1656</v>
      </c>
      <c r="C931" s="1329" t="s">
        <v>1803</v>
      </c>
      <c r="D931" s="1047" t="s">
        <v>1804</v>
      </c>
      <c r="E931" s="1338" t="s">
        <v>1603</v>
      </c>
    </row>
    <row r="932" spans="1:5" x14ac:dyDescent="0.25">
      <c r="A932" s="1115">
        <v>934</v>
      </c>
      <c r="B932" s="1329" t="s">
        <v>1656</v>
      </c>
      <c r="C932" s="1329" t="s">
        <v>1803</v>
      </c>
      <c r="D932" s="1047" t="s">
        <v>1804</v>
      </c>
      <c r="E932" s="262" t="s">
        <v>1491</v>
      </c>
    </row>
    <row r="933" spans="1:5" x14ac:dyDescent="0.25">
      <c r="A933" s="1115">
        <v>935</v>
      </c>
      <c r="B933" s="1329" t="s">
        <v>1656</v>
      </c>
      <c r="C933" s="1329" t="s">
        <v>1803</v>
      </c>
      <c r="D933" s="1047" t="s">
        <v>1804</v>
      </c>
      <c r="E933" s="262" t="s">
        <v>1489</v>
      </c>
    </row>
    <row r="934" spans="1:5" x14ac:dyDescent="0.25">
      <c r="A934" s="1115">
        <v>936</v>
      </c>
      <c r="B934" s="1329" t="s">
        <v>1656</v>
      </c>
      <c r="C934" s="1329" t="s">
        <v>1803</v>
      </c>
      <c r="D934" s="1047" t="s">
        <v>1519</v>
      </c>
      <c r="E934" s="262" t="s">
        <v>1490</v>
      </c>
    </row>
    <row r="935" spans="1:5" ht="45" x14ac:dyDescent="0.25">
      <c r="A935" s="1115">
        <v>937</v>
      </c>
      <c r="B935" s="1329" t="s">
        <v>1656</v>
      </c>
      <c r="C935" s="1329" t="s">
        <v>1803</v>
      </c>
      <c r="D935" s="1339" t="s">
        <v>1659</v>
      </c>
      <c r="E935" s="262" t="s">
        <v>1493</v>
      </c>
    </row>
    <row r="936" spans="1:5" ht="45" x14ac:dyDescent="0.25">
      <c r="A936" s="1115">
        <v>938</v>
      </c>
      <c r="B936" s="1329" t="s">
        <v>1656</v>
      </c>
      <c r="C936" s="1329" t="s">
        <v>1803</v>
      </c>
      <c r="D936" s="1339" t="s">
        <v>1659</v>
      </c>
      <c r="E936" s="262" t="s">
        <v>1494</v>
      </c>
    </row>
    <row r="937" spans="1:5" ht="45" x14ac:dyDescent="0.25">
      <c r="A937" s="1115">
        <v>939</v>
      </c>
      <c r="B937" s="1329" t="s">
        <v>1656</v>
      </c>
      <c r="C937" s="1329" t="s">
        <v>1803</v>
      </c>
      <c r="D937" s="1339" t="s">
        <v>1659</v>
      </c>
      <c r="E937" s="262" t="s">
        <v>1607</v>
      </c>
    </row>
    <row r="938" spans="1:5" x14ac:dyDescent="0.25">
      <c r="A938" s="1115">
        <v>940</v>
      </c>
      <c r="B938" s="1329" t="s">
        <v>1656</v>
      </c>
      <c r="C938" s="1329" t="s">
        <v>1803</v>
      </c>
      <c r="D938" s="1047" t="s">
        <v>1519</v>
      </c>
      <c r="E938" s="262" t="s">
        <v>1604</v>
      </c>
    </row>
    <row r="939" spans="1:5" x14ac:dyDescent="0.25">
      <c r="A939" s="1115">
        <v>941</v>
      </c>
      <c r="B939" s="1329" t="s">
        <v>1656</v>
      </c>
      <c r="C939" s="1329" t="s">
        <v>1803</v>
      </c>
      <c r="D939" s="1047" t="s">
        <v>1804</v>
      </c>
      <c r="E939" s="262" t="s">
        <v>1504</v>
      </c>
    </row>
    <row r="940" spans="1:5" x14ac:dyDescent="0.25">
      <c r="A940" s="1115">
        <v>942</v>
      </c>
      <c r="B940" s="1329" t="s">
        <v>1656</v>
      </c>
      <c r="C940" s="1329" t="s">
        <v>1803</v>
      </c>
      <c r="D940" s="1047" t="s">
        <v>1804</v>
      </c>
      <c r="E940" s="262" t="s">
        <v>1805</v>
      </c>
    </row>
    <row r="941" spans="1:5" x14ac:dyDescent="0.25">
      <c r="A941" s="1115">
        <v>943</v>
      </c>
      <c r="B941" s="1329" t="s">
        <v>1656</v>
      </c>
      <c r="C941" s="1329" t="s">
        <v>1803</v>
      </c>
      <c r="D941" s="1047" t="s">
        <v>1804</v>
      </c>
      <c r="E941" s="262" t="s">
        <v>1586</v>
      </c>
    </row>
    <row r="942" spans="1:5" ht="30" x14ac:dyDescent="0.25">
      <c r="A942" s="1115">
        <v>944</v>
      </c>
      <c r="B942" s="1329" t="s">
        <v>1656</v>
      </c>
      <c r="C942" s="1329" t="s">
        <v>1806</v>
      </c>
      <c r="D942" s="1047" t="s">
        <v>1807</v>
      </c>
      <c r="E942" s="1338" t="s">
        <v>1603</v>
      </c>
    </row>
    <row r="943" spans="1:5" ht="30" x14ac:dyDescent="0.25">
      <c r="A943" s="1115">
        <v>945</v>
      </c>
      <c r="B943" s="1329" t="s">
        <v>1656</v>
      </c>
      <c r="C943" s="1329" t="s">
        <v>1806</v>
      </c>
      <c r="D943" s="1047" t="s">
        <v>1807</v>
      </c>
      <c r="E943" s="262" t="s">
        <v>1491</v>
      </c>
    </row>
    <row r="944" spans="1:5" ht="30" x14ac:dyDescent="0.25">
      <c r="A944" s="1115">
        <v>946</v>
      </c>
      <c r="B944" s="1329" t="s">
        <v>1656</v>
      </c>
      <c r="C944" s="1329" t="s">
        <v>1806</v>
      </c>
      <c r="D944" s="1047" t="s">
        <v>1807</v>
      </c>
      <c r="E944" s="262" t="s">
        <v>1489</v>
      </c>
    </row>
    <row r="945" spans="1:5" x14ac:dyDescent="0.25">
      <c r="A945" s="1115">
        <v>947</v>
      </c>
      <c r="B945" s="1329" t="s">
        <v>1656</v>
      </c>
      <c r="C945" s="1329" t="s">
        <v>1806</v>
      </c>
      <c r="D945" s="1047" t="s">
        <v>1519</v>
      </c>
      <c r="E945" s="262" t="s">
        <v>1490</v>
      </c>
    </row>
    <row r="946" spans="1:5" ht="45" x14ac:dyDescent="0.25">
      <c r="A946" s="1115">
        <v>948</v>
      </c>
      <c r="B946" s="1329" t="s">
        <v>1656</v>
      </c>
      <c r="C946" s="1329" t="s">
        <v>1806</v>
      </c>
      <c r="D946" s="1339" t="s">
        <v>1659</v>
      </c>
      <c r="E946" s="262" t="s">
        <v>1493</v>
      </c>
    </row>
    <row r="947" spans="1:5" ht="45" x14ac:dyDescent="0.25">
      <c r="A947" s="1115">
        <v>949</v>
      </c>
      <c r="B947" s="1329" t="s">
        <v>1656</v>
      </c>
      <c r="C947" s="1329" t="s">
        <v>1806</v>
      </c>
      <c r="D947" s="1339" t="s">
        <v>1659</v>
      </c>
      <c r="E947" s="262" t="s">
        <v>1494</v>
      </c>
    </row>
    <row r="948" spans="1:5" ht="45" x14ac:dyDescent="0.25">
      <c r="A948" s="1115">
        <v>950</v>
      </c>
      <c r="B948" s="1329" t="s">
        <v>1656</v>
      </c>
      <c r="C948" s="1329" t="s">
        <v>1806</v>
      </c>
      <c r="D948" s="1339" t="s">
        <v>1659</v>
      </c>
      <c r="E948" s="262" t="s">
        <v>1607</v>
      </c>
    </row>
    <row r="949" spans="1:5" x14ac:dyDescent="0.25">
      <c r="A949" s="1115">
        <v>951</v>
      </c>
      <c r="B949" s="1329" t="s">
        <v>1656</v>
      </c>
      <c r="C949" s="1329" t="s">
        <v>1806</v>
      </c>
      <c r="D949" s="1047" t="s">
        <v>1519</v>
      </c>
      <c r="E949" s="262" t="s">
        <v>1604</v>
      </c>
    </row>
    <row r="950" spans="1:5" ht="30" x14ac:dyDescent="0.25">
      <c r="A950" s="1115">
        <v>952</v>
      </c>
      <c r="B950" s="1329" t="s">
        <v>1656</v>
      </c>
      <c r="C950" s="1329" t="s">
        <v>1806</v>
      </c>
      <c r="D950" s="1047" t="s">
        <v>1807</v>
      </c>
      <c r="E950" s="262" t="s">
        <v>1504</v>
      </c>
    </row>
    <row r="951" spans="1:5" ht="30" x14ac:dyDescent="0.25">
      <c r="A951" s="1115">
        <v>953</v>
      </c>
      <c r="B951" s="1329" t="s">
        <v>1656</v>
      </c>
      <c r="C951" s="1329" t="s">
        <v>1806</v>
      </c>
      <c r="D951" s="1047" t="s">
        <v>1807</v>
      </c>
      <c r="E951" s="262" t="s">
        <v>1805</v>
      </c>
    </row>
    <row r="952" spans="1:5" ht="30" x14ac:dyDescent="0.25">
      <c r="A952" s="1115">
        <v>954</v>
      </c>
      <c r="B952" s="1329" t="s">
        <v>1656</v>
      </c>
      <c r="C952" s="1329" t="s">
        <v>1808</v>
      </c>
      <c r="D952" s="1047" t="s">
        <v>1809</v>
      </c>
      <c r="E952" s="1338" t="s">
        <v>1603</v>
      </c>
    </row>
    <row r="953" spans="1:5" ht="30" x14ac:dyDescent="0.25">
      <c r="A953" s="1115">
        <v>955</v>
      </c>
      <c r="B953" s="1329" t="s">
        <v>1656</v>
      </c>
      <c r="C953" s="1329" t="s">
        <v>1808</v>
      </c>
      <c r="D953" s="1047" t="s">
        <v>1809</v>
      </c>
      <c r="E953" s="262" t="s">
        <v>1491</v>
      </c>
    </row>
    <row r="954" spans="1:5" ht="30" x14ac:dyDescent="0.25">
      <c r="A954" s="1115">
        <v>956</v>
      </c>
      <c r="B954" s="1329" t="s">
        <v>1656</v>
      </c>
      <c r="C954" s="1329" t="s">
        <v>1808</v>
      </c>
      <c r="D954" s="1047" t="s">
        <v>1809</v>
      </c>
      <c r="E954" s="262" t="s">
        <v>1489</v>
      </c>
    </row>
    <row r="955" spans="1:5" x14ac:dyDescent="0.25">
      <c r="A955" s="1115">
        <v>957</v>
      </c>
      <c r="B955" s="1329" t="s">
        <v>1656</v>
      </c>
      <c r="C955" s="1329" t="s">
        <v>1808</v>
      </c>
      <c r="D955" s="1047" t="s">
        <v>1519</v>
      </c>
      <c r="E955" s="262" t="s">
        <v>1490</v>
      </c>
    </row>
    <row r="956" spans="1:5" ht="45" x14ac:dyDescent="0.25">
      <c r="A956" s="1115">
        <v>958</v>
      </c>
      <c r="B956" s="1329" t="s">
        <v>1656</v>
      </c>
      <c r="C956" s="1329" t="s">
        <v>1808</v>
      </c>
      <c r="D956" s="1339" t="s">
        <v>1659</v>
      </c>
      <c r="E956" s="262" t="s">
        <v>1493</v>
      </c>
    </row>
    <row r="957" spans="1:5" ht="45" x14ac:dyDescent="0.25">
      <c r="A957" s="1115">
        <v>959</v>
      </c>
      <c r="B957" s="1329" t="s">
        <v>1656</v>
      </c>
      <c r="C957" s="1329" t="s">
        <v>1808</v>
      </c>
      <c r="D957" s="1339" t="s">
        <v>1659</v>
      </c>
      <c r="E957" s="262" t="s">
        <v>1494</v>
      </c>
    </row>
    <row r="958" spans="1:5" ht="45" x14ac:dyDescent="0.25">
      <c r="A958" s="1115">
        <v>960</v>
      </c>
      <c r="B958" s="1329" t="s">
        <v>1656</v>
      </c>
      <c r="C958" s="1329" t="s">
        <v>1808</v>
      </c>
      <c r="D958" s="1339" t="s">
        <v>1659</v>
      </c>
      <c r="E958" s="262" t="s">
        <v>1607</v>
      </c>
    </row>
    <row r="959" spans="1:5" x14ac:dyDescent="0.25">
      <c r="A959" s="1115">
        <v>961</v>
      </c>
      <c r="B959" s="1329" t="s">
        <v>1656</v>
      </c>
      <c r="C959" s="1329" t="s">
        <v>1808</v>
      </c>
      <c r="D959" s="1047" t="s">
        <v>1519</v>
      </c>
      <c r="E959" s="262" t="s">
        <v>1604</v>
      </c>
    </row>
    <row r="960" spans="1:5" ht="30" x14ac:dyDescent="0.25">
      <c r="A960" s="1115">
        <v>962</v>
      </c>
      <c r="B960" s="1329" t="s">
        <v>1656</v>
      </c>
      <c r="C960" s="1329" t="s">
        <v>1808</v>
      </c>
      <c r="D960" s="1047" t="s">
        <v>1809</v>
      </c>
      <c r="E960" s="262" t="s">
        <v>1504</v>
      </c>
    </row>
    <row r="961" spans="1:5" ht="30" x14ac:dyDescent="0.25">
      <c r="A961" s="1115">
        <v>963</v>
      </c>
      <c r="B961" s="1329" t="s">
        <v>1656</v>
      </c>
      <c r="C961" s="1329" t="s">
        <v>1810</v>
      </c>
      <c r="D961" s="1047" t="s">
        <v>1809</v>
      </c>
      <c r="E961" s="1338" t="s">
        <v>1603</v>
      </c>
    </row>
    <row r="962" spans="1:5" ht="30" x14ac:dyDescent="0.25">
      <c r="A962" s="1115">
        <v>964</v>
      </c>
      <c r="B962" s="1329" t="s">
        <v>1656</v>
      </c>
      <c r="C962" s="1329" t="s">
        <v>1810</v>
      </c>
      <c r="D962" s="1047" t="s">
        <v>1809</v>
      </c>
      <c r="E962" s="262" t="s">
        <v>1491</v>
      </c>
    </row>
    <row r="963" spans="1:5" ht="30" x14ac:dyDescent="0.25">
      <c r="A963" s="1115">
        <v>965</v>
      </c>
      <c r="B963" s="1329" t="s">
        <v>1656</v>
      </c>
      <c r="C963" s="1329" t="s">
        <v>1810</v>
      </c>
      <c r="D963" s="1047" t="s">
        <v>1809</v>
      </c>
      <c r="E963" s="262" t="s">
        <v>1489</v>
      </c>
    </row>
    <row r="964" spans="1:5" x14ac:dyDescent="0.25">
      <c r="A964" s="1115">
        <v>966</v>
      </c>
      <c r="B964" s="1329" t="s">
        <v>1656</v>
      </c>
      <c r="C964" s="1329" t="s">
        <v>1810</v>
      </c>
      <c r="D964" s="1047" t="s">
        <v>1519</v>
      </c>
      <c r="E964" s="262" t="s">
        <v>1490</v>
      </c>
    </row>
    <row r="965" spans="1:5" ht="45" x14ac:dyDescent="0.25">
      <c r="A965" s="1115">
        <v>967</v>
      </c>
      <c r="B965" s="1329" t="s">
        <v>1656</v>
      </c>
      <c r="C965" s="1329" t="s">
        <v>1810</v>
      </c>
      <c r="D965" s="1339" t="s">
        <v>1659</v>
      </c>
      <c r="E965" s="262" t="s">
        <v>1493</v>
      </c>
    </row>
    <row r="966" spans="1:5" ht="45" x14ac:dyDescent="0.25">
      <c r="A966" s="1115">
        <v>968</v>
      </c>
      <c r="B966" s="1329" t="s">
        <v>1656</v>
      </c>
      <c r="C966" s="1329" t="s">
        <v>1810</v>
      </c>
      <c r="D966" s="1339" t="s">
        <v>1659</v>
      </c>
      <c r="E966" s="262" t="s">
        <v>1494</v>
      </c>
    </row>
    <row r="967" spans="1:5" ht="45" x14ac:dyDescent="0.25">
      <c r="A967" s="1115">
        <v>969</v>
      </c>
      <c r="B967" s="1329" t="s">
        <v>1656</v>
      </c>
      <c r="C967" s="1329" t="s">
        <v>1810</v>
      </c>
      <c r="D967" s="1339" t="s">
        <v>1659</v>
      </c>
      <c r="E967" s="262" t="s">
        <v>1607</v>
      </c>
    </row>
    <row r="968" spans="1:5" x14ac:dyDescent="0.25">
      <c r="A968" s="1115">
        <v>970</v>
      </c>
      <c r="B968" s="1329" t="s">
        <v>1656</v>
      </c>
      <c r="C968" s="1329" t="s">
        <v>1810</v>
      </c>
      <c r="D968" s="1047" t="s">
        <v>1519</v>
      </c>
      <c r="E968" s="262" t="s">
        <v>1604</v>
      </c>
    </row>
    <row r="969" spans="1:5" ht="30" x14ac:dyDescent="0.25">
      <c r="A969" s="1115">
        <v>971</v>
      </c>
      <c r="B969" s="1329" t="s">
        <v>1656</v>
      </c>
      <c r="C969" s="1329" t="s">
        <v>1810</v>
      </c>
      <c r="D969" s="1047" t="s">
        <v>1809</v>
      </c>
      <c r="E969" s="262" t="s">
        <v>1504</v>
      </c>
    </row>
    <row r="970" spans="1:5" ht="30" x14ac:dyDescent="0.25">
      <c r="A970" s="1115">
        <v>972</v>
      </c>
      <c r="B970" s="1329" t="s">
        <v>1656</v>
      </c>
      <c r="C970" s="1329" t="s">
        <v>1811</v>
      </c>
      <c r="D970" s="1047" t="s">
        <v>1812</v>
      </c>
      <c r="E970" s="1338" t="s">
        <v>1603</v>
      </c>
    </row>
    <row r="971" spans="1:5" ht="30" x14ac:dyDescent="0.25">
      <c r="A971" s="1115">
        <v>973</v>
      </c>
      <c r="B971" s="1329" t="s">
        <v>1656</v>
      </c>
      <c r="C971" s="1329" t="s">
        <v>1811</v>
      </c>
      <c r="D971" s="1047" t="s">
        <v>1812</v>
      </c>
      <c r="E971" s="262" t="s">
        <v>1491</v>
      </c>
    </row>
    <row r="972" spans="1:5" ht="30" x14ac:dyDescent="0.25">
      <c r="A972" s="1115">
        <v>974</v>
      </c>
      <c r="B972" s="1329" t="s">
        <v>1656</v>
      </c>
      <c r="C972" s="1329" t="s">
        <v>1811</v>
      </c>
      <c r="D972" s="1047" t="s">
        <v>1809</v>
      </c>
      <c r="E972" s="262" t="s">
        <v>1488</v>
      </c>
    </row>
    <row r="973" spans="1:5" ht="30" x14ac:dyDescent="0.25">
      <c r="A973" s="1115">
        <v>975</v>
      </c>
      <c r="B973" s="1329" t="s">
        <v>1656</v>
      </c>
      <c r="C973" s="1329" t="s">
        <v>1811</v>
      </c>
      <c r="D973" s="1047" t="s">
        <v>1812</v>
      </c>
      <c r="E973" s="262" t="s">
        <v>1489</v>
      </c>
    </row>
    <row r="974" spans="1:5" x14ac:dyDescent="0.25">
      <c r="A974" s="1115">
        <v>976</v>
      </c>
      <c r="B974" s="1329" t="s">
        <v>1656</v>
      </c>
      <c r="C974" s="1329" t="s">
        <v>1811</v>
      </c>
      <c r="D974" s="1047" t="s">
        <v>1519</v>
      </c>
      <c r="E974" s="262" t="s">
        <v>1490</v>
      </c>
    </row>
    <row r="975" spans="1:5" ht="30" x14ac:dyDescent="0.25">
      <c r="A975" s="1115">
        <v>977</v>
      </c>
      <c r="B975" s="1329" t="s">
        <v>1656</v>
      </c>
      <c r="C975" s="1329" t="s">
        <v>1811</v>
      </c>
      <c r="D975" s="1047" t="s">
        <v>1812</v>
      </c>
      <c r="E975" s="262" t="s">
        <v>1599</v>
      </c>
    </row>
    <row r="976" spans="1:5" x14ac:dyDescent="0.25">
      <c r="A976" s="1115">
        <v>978</v>
      </c>
      <c r="B976" s="1329" t="s">
        <v>1656</v>
      </c>
      <c r="C976" s="1329" t="s">
        <v>1811</v>
      </c>
      <c r="D976" s="1047" t="s">
        <v>1519</v>
      </c>
      <c r="E976" s="262" t="s">
        <v>1600</v>
      </c>
    </row>
    <row r="977" spans="1:5" ht="45" x14ac:dyDescent="0.25">
      <c r="A977" s="1115">
        <v>979</v>
      </c>
      <c r="B977" s="1329" t="s">
        <v>1656</v>
      </c>
      <c r="C977" s="1329" t="s">
        <v>1811</v>
      </c>
      <c r="D977" s="1339" t="s">
        <v>1659</v>
      </c>
      <c r="E977" s="262" t="s">
        <v>1493</v>
      </c>
    </row>
    <row r="978" spans="1:5" ht="45" x14ac:dyDescent="0.25">
      <c r="A978" s="1115">
        <v>980</v>
      </c>
      <c r="B978" s="1329" t="s">
        <v>1656</v>
      </c>
      <c r="C978" s="1329" t="s">
        <v>1811</v>
      </c>
      <c r="D978" s="1339" t="s">
        <v>1659</v>
      </c>
      <c r="E978" s="262" t="s">
        <v>1494</v>
      </c>
    </row>
    <row r="979" spans="1:5" ht="45" x14ac:dyDescent="0.25">
      <c r="A979" s="1115">
        <v>981</v>
      </c>
      <c r="B979" s="1329" t="s">
        <v>1656</v>
      </c>
      <c r="C979" s="1329" t="s">
        <v>1811</v>
      </c>
      <c r="D979" s="1339" t="s">
        <v>1659</v>
      </c>
      <c r="E979" s="262" t="s">
        <v>1607</v>
      </c>
    </row>
    <row r="980" spans="1:5" x14ac:dyDescent="0.25">
      <c r="A980" s="1115">
        <v>982</v>
      </c>
      <c r="B980" s="1329" t="s">
        <v>1656</v>
      </c>
      <c r="C980" s="1329" t="s">
        <v>1811</v>
      </c>
      <c r="D980" s="1047" t="s">
        <v>1519</v>
      </c>
      <c r="E980" s="262" t="s">
        <v>1604</v>
      </c>
    </row>
    <row r="981" spans="1:5" ht="30" x14ac:dyDescent="0.25">
      <c r="A981" s="1115">
        <v>983</v>
      </c>
      <c r="B981" s="1329" t="s">
        <v>1656</v>
      </c>
      <c r="C981" s="1329" t="s">
        <v>1811</v>
      </c>
      <c r="D981" s="1047" t="s">
        <v>1812</v>
      </c>
      <c r="E981" s="262" t="s">
        <v>1497</v>
      </c>
    </row>
    <row r="982" spans="1:5" ht="30" x14ac:dyDescent="0.25">
      <c r="A982" s="1115">
        <v>984</v>
      </c>
      <c r="B982" s="1329" t="s">
        <v>1656</v>
      </c>
      <c r="C982" s="1329" t="s">
        <v>1811</v>
      </c>
      <c r="D982" s="1047" t="s">
        <v>1812</v>
      </c>
      <c r="E982" s="262" t="s">
        <v>1504</v>
      </c>
    </row>
    <row r="983" spans="1:5" ht="30" x14ac:dyDescent="0.25">
      <c r="A983" s="1115">
        <v>985</v>
      </c>
      <c r="B983" s="1329" t="s">
        <v>1656</v>
      </c>
      <c r="C983" s="1329" t="s">
        <v>1813</v>
      </c>
      <c r="D983" s="1047" t="s">
        <v>1812</v>
      </c>
      <c r="E983" s="262" t="s">
        <v>1592</v>
      </c>
    </row>
    <row r="984" spans="1:5" ht="30" x14ac:dyDescent="0.25">
      <c r="A984" s="1115">
        <v>986</v>
      </c>
      <c r="B984" s="1329" t="s">
        <v>1656</v>
      </c>
      <c r="C984" s="1329" t="s">
        <v>1813</v>
      </c>
      <c r="D984" s="1047" t="s">
        <v>1812</v>
      </c>
      <c r="E984" s="262" t="s">
        <v>751</v>
      </c>
    </row>
    <row r="985" spans="1:5" ht="30" x14ac:dyDescent="0.25">
      <c r="A985" s="1115">
        <v>987</v>
      </c>
      <c r="B985" s="1329" t="s">
        <v>1656</v>
      </c>
      <c r="C985" s="1329" t="s">
        <v>1813</v>
      </c>
      <c r="D985" s="1047" t="s">
        <v>1812</v>
      </c>
      <c r="E985" s="262" t="s">
        <v>1593</v>
      </c>
    </row>
    <row r="986" spans="1:5" ht="30" x14ac:dyDescent="0.25">
      <c r="A986" s="1115">
        <v>988</v>
      </c>
      <c r="B986" s="1329" t="s">
        <v>1656</v>
      </c>
      <c r="C986" s="1329" t="s">
        <v>1814</v>
      </c>
      <c r="D986" s="1047" t="s">
        <v>1812</v>
      </c>
      <c r="E986" s="262" t="s">
        <v>1592</v>
      </c>
    </row>
    <row r="987" spans="1:5" ht="30" x14ac:dyDescent="0.25">
      <c r="A987" s="1115">
        <v>989</v>
      </c>
      <c r="B987" s="1329" t="s">
        <v>1656</v>
      </c>
      <c r="C987" s="1329" t="s">
        <v>1814</v>
      </c>
      <c r="D987" s="1047" t="s">
        <v>1812</v>
      </c>
      <c r="E987" s="262" t="s">
        <v>751</v>
      </c>
    </row>
    <row r="988" spans="1:5" ht="30" x14ac:dyDescent="0.25">
      <c r="A988" s="1115">
        <v>990</v>
      </c>
      <c r="B988" s="1329" t="s">
        <v>1656</v>
      </c>
      <c r="C988" s="1329" t="s">
        <v>1814</v>
      </c>
      <c r="D988" s="1047" t="s">
        <v>1812</v>
      </c>
      <c r="E988" s="262" t="s">
        <v>1593</v>
      </c>
    </row>
    <row r="989" spans="1:5" ht="30" x14ac:dyDescent="0.25">
      <c r="A989" s="1115">
        <v>991</v>
      </c>
      <c r="B989" s="1329" t="s">
        <v>1656</v>
      </c>
      <c r="C989" s="1329" t="s">
        <v>1815</v>
      </c>
      <c r="D989" s="1047" t="s">
        <v>1812</v>
      </c>
      <c r="E989" s="262" t="s">
        <v>1592</v>
      </c>
    </row>
    <row r="990" spans="1:5" ht="30" x14ac:dyDescent="0.25">
      <c r="A990" s="1115">
        <v>992</v>
      </c>
      <c r="B990" s="1329" t="s">
        <v>1656</v>
      </c>
      <c r="C990" s="1329" t="s">
        <v>1815</v>
      </c>
      <c r="D990" s="1047" t="s">
        <v>1812</v>
      </c>
      <c r="E990" s="262" t="s">
        <v>751</v>
      </c>
    </row>
    <row r="991" spans="1:5" ht="30" x14ac:dyDescent="0.25">
      <c r="A991" s="1115">
        <v>993</v>
      </c>
      <c r="B991" s="1329" t="s">
        <v>1656</v>
      </c>
      <c r="C991" s="1329" t="s">
        <v>1815</v>
      </c>
      <c r="D991" s="1047" t="s">
        <v>1812</v>
      </c>
      <c r="E991" s="262" t="s">
        <v>1593</v>
      </c>
    </row>
    <row r="992" spans="1:5" ht="30" x14ac:dyDescent="0.25">
      <c r="A992" s="1115">
        <v>994</v>
      </c>
      <c r="B992" s="1329" t="s">
        <v>1656</v>
      </c>
      <c r="C992" s="1329" t="s">
        <v>1816</v>
      </c>
      <c r="D992" s="1047" t="s">
        <v>1812</v>
      </c>
      <c r="E992" s="262" t="s">
        <v>1592</v>
      </c>
    </row>
    <row r="993" spans="1:5" ht="30" x14ac:dyDescent="0.25">
      <c r="A993" s="1115">
        <v>995</v>
      </c>
      <c r="B993" s="1329" t="s">
        <v>1656</v>
      </c>
      <c r="C993" s="1329" t="s">
        <v>1816</v>
      </c>
      <c r="D993" s="1047" t="s">
        <v>1812</v>
      </c>
      <c r="E993" s="262" t="s">
        <v>751</v>
      </c>
    </row>
    <row r="994" spans="1:5" ht="30" x14ac:dyDescent="0.25">
      <c r="A994" s="1115">
        <v>996</v>
      </c>
      <c r="B994" s="1329" t="s">
        <v>1656</v>
      </c>
      <c r="C994" s="1329" t="s">
        <v>1816</v>
      </c>
      <c r="D994" s="1047" t="s">
        <v>1812</v>
      </c>
      <c r="E994" s="262" t="s">
        <v>1593</v>
      </c>
    </row>
    <row r="995" spans="1:5" ht="30" x14ac:dyDescent="0.25">
      <c r="A995" s="1115">
        <v>997</v>
      </c>
      <c r="B995" s="1329" t="s">
        <v>1656</v>
      </c>
      <c r="C995" s="1329" t="s">
        <v>1817</v>
      </c>
      <c r="D995" s="1047" t="s">
        <v>1812</v>
      </c>
      <c r="E995" s="262" t="s">
        <v>1592</v>
      </c>
    </row>
    <row r="996" spans="1:5" ht="30" x14ac:dyDescent="0.25">
      <c r="A996" s="1115">
        <v>998</v>
      </c>
      <c r="B996" s="1329" t="s">
        <v>1656</v>
      </c>
      <c r="C996" s="1329" t="s">
        <v>1817</v>
      </c>
      <c r="D996" s="1047" t="s">
        <v>1812</v>
      </c>
      <c r="E996" s="262" t="s">
        <v>751</v>
      </c>
    </row>
    <row r="997" spans="1:5" ht="30" x14ac:dyDescent="0.25">
      <c r="A997" s="1115">
        <v>999</v>
      </c>
      <c r="B997" s="1329" t="s">
        <v>1656</v>
      </c>
      <c r="C997" s="1329" t="s">
        <v>1817</v>
      </c>
      <c r="D997" s="1047" t="s">
        <v>1812</v>
      </c>
      <c r="E997" s="262" t="s">
        <v>1593</v>
      </c>
    </row>
    <row r="998" spans="1:5" ht="30" x14ac:dyDescent="0.25">
      <c r="A998" s="1115">
        <v>1000</v>
      </c>
      <c r="B998" s="1329" t="s">
        <v>1656</v>
      </c>
      <c r="C998" s="1329" t="s">
        <v>1818</v>
      </c>
      <c r="D998" s="1047" t="s">
        <v>1812</v>
      </c>
      <c r="E998" s="1338" t="s">
        <v>1603</v>
      </c>
    </row>
    <row r="999" spans="1:5" ht="30" x14ac:dyDescent="0.25">
      <c r="A999" s="1115">
        <v>1001</v>
      </c>
      <c r="B999" s="1329" t="s">
        <v>1656</v>
      </c>
      <c r="C999" s="1329" t="s">
        <v>1818</v>
      </c>
      <c r="D999" s="1047" t="s">
        <v>1812</v>
      </c>
      <c r="E999" s="262" t="s">
        <v>1491</v>
      </c>
    </row>
    <row r="1000" spans="1:5" ht="30" x14ac:dyDescent="0.25">
      <c r="A1000" s="1115">
        <v>1002</v>
      </c>
      <c r="B1000" s="1329" t="s">
        <v>1656</v>
      </c>
      <c r="C1000" s="1329" t="s">
        <v>1818</v>
      </c>
      <c r="D1000" s="1047" t="s">
        <v>1809</v>
      </c>
      <c r="E1000" s="262" t="s">
        <v>1488</v>
      </c>
    </row>
    <row r="1001" spans="1:5" ht="30" x14ac:dyDescent="0.25">
      <c r="A1001" s="1115">
        <v>1003</v>
      </c>
      <c r="B1001" s="1329" t="s">
        <v>1656</v>
      </c>
      <c r="C1001" s="1329" t="s">
        <v>1818</v>
      </c>
      <c r="D1001" s="1047" t="s">
        <v>1812</v>
      </c>
      <c r="E1001" s="262" t="s">
        <v>1489</v>
      </c>
    </row>
    <row r="1002" spans="1:5" x14ac:dyDescent="0.25">
      <c r="A1002" s="1115">
        <v>1004</v>
      </c>
      <c r="B1002" s="1329" t="s">
        <v>1656</v>
      </c>
      <c r="C1002" s="1329" t="s">
        <v>1818</v>
      </c>
      <c r="D1002" s="1047" t="s">
        <v>1519</v>
      </c>
      <c r="E1002" s="262" t="s">
        <v>1490</v>
      </c>
    </row>
    <row r="1003" spans="1:5" ht="30" x14ac:dyDescent="0.25">
      <c r="A1003" s="1115">
        <v>1005</v>
      </c>
      <c r="B1003" s="1329" t="s">
        <v>1656</v>
      </c>
      <c r="C1003" s="1329" t="s">
        <v>1818</v>
      </c>
      <c r="D1003" s="1047" t="s">
        <v>1812</v>
      </c>
      <c r="E1003" s="262" t="s">
        <v>1599</v>
      </c>
    </row>
    <row r="1004" spans="1:5" x14ac:dyDescent="0.25">
      <c r="A1004" s="1115">
        <v>1006</v>
      </c>
      <c r="B1004" s="1329" t="s">
        <v>1656</v>
      </c>
      <c r="C1004" s="1329" t="s">
        <v>1818</v>
      </c>
      <c r="D1004" s="1047" t="s">
        <v>1519</v>
      </c>
      <c r="E1004" s="262" t="s">
        <v>1600</v>
      </c>
    </row>
    <row r="1005" spans="1:5" ht="45" x14ac:dyDescent="0.25">
      <c r="A1005" s="1115">
        <v>1007</v>
      </c>
      <c r="B1005" s="1329" t="s">
        <v>1656</v>
      </c>
      <c r="C1005" s="1329" t="s">
        <v>1818</v>
      </c>
      <c r="D1005" s="1339" t="s">
        <v>1659</v>
      </c>
      <c r="E1005" s="262" t="s">
        <v>1493</v>
      </c>
    </row>
    <row r="1006" spans="1:5" ht="45" x14ac:dyDescent="0.25">
      <c r="A1006" s="1115">
        <v>1008</v>
      </c>
      <c r="B1006" s="1329" t="s">
        <v>1656</v>
      </c>
      <c r="C1006" s="1329" t="s">
        <v>1818</v>
      </c>
      <c r="D1006" s="1339" t="s">
        <v>1659</v>
      </c>
      <c r="E1006" s="262" t="s">
        <v>1494</v>
      </c>
    </row>
    <row r="1007" spans="1:5" ht="45" x14ac:dyDescent="0.25">
      <c r="A1007" s="1115">
        <v>1009</v>
      </c>
      <c r="B1007" s="1329" t="s">
        <v>1656</v>
      </c>
      <c r="C1007" s="1329" t="s">
        <v>1818</v>
      </c>
      <c r="D1007" s="1339" t="s">
        <v>1659</v>
      </c>
      <c r="E1007" s="262" t="s">
        <v>1607</v>
      </c>
    </row>
    <row r="1008" spans="1:5" x14ac:dyDescent="0.25">
      <c r="A1008" s="1115">
        <v>1010</v>
      </c>
      <c r="B1008" s="1329" t="s">
        <v>1656</v>
      </c>
      <c r="C1008" s="1329" t="s">
        <v>1818</v>
      </c>
      <c r="D1008" s="1047" t="s">
        <v>1519</v>
      </c>
      <c r="E1008" s="262" t="s">
        <v>1604</v>
      </c>
    </row>
    <row r="1009" spans="1:5" ht="30" x14ac:dyDescent="0.25">
      <c r="A1009" s="1115">
        <v>1011</v>
      </c>
      <c r="B1009" s="1329" t="s">
        <v>1656</v>
      </c>
      <c r="C1009" s="1329" t="s">
        <v>1818</v>
      </c>
      <c r="D1009" s="1047" t="s">
        <v>1812</v>
      </c>
      <c r="E1009" s="262" t="s">
        <v>1497</v>
      </c>
    </row>
    <row r="1010" spans="1:5" ht="30" x14ac:dyDescent="0.25">
      <c r="A1010" s="1115">
        <v>1012</v>
      </c>
      <c r="B1010" s="1329" t="s">
        <v>1656</v>
      </c>
      <c r="C1010" s="1329" t="s">
        <v>1818</v>
      </c>
      <c r="D1010" s="1047" t="s">
        <v>1812</v>
      </c>
      <c r="E1010" s="262" t="s">
        <v>1504</v>
      </c>
    </row>
    <row r="1011" spans="1:5" ht="30" x14ac:dyDescent="0.25">
      <c r="A1011" s="1115">
        <v>1013</v>
      </c>
      <c r="B1011" s="1329" t="s">
        <v>1656</v>
      </c>
      <c r="C1011" s="1329" t="s">
        <v>1819</v>
      </c>
      <c r="D1011" s="1047" t="s">
        <v>1812</v>
      </c>
      <c r="E1011" s="262" t="s">
        <v>1592</v>
      </c>
    </row>
    <row r="1012" spans="1:5" ht="30" x14ac:dyDescent="0.25">
      <c r="A1012" s="1115">
        <v>1014</v>
      </c>
      <c r="B1012" s="1329" t="s">
        <v>1656</v>
      </c>
      <c r="C1012" s="1329" t="s">
        <v>1819</v>
      </c>
      <c r="D1012" s="1047" t="s">
        <v>1812</v>
      </c>
      <c r="E1012" s="262" t="s">
        <v>751</v>
      </c>
    </row>
    <row r="1013" spans="1:5" ht="30" x14ac:dyDescent="0.25">
      <c r="A1013" s="1115">
        <v>1015</v>
      </c>
      <c r="B1013" s="1329" t="s">
        <v>1656</v>
      </c>
      <c r="C1013" s="1329" t="s">
        <v>1819</v>
      </c>
      <c r="D1013" s="1047" t="s">
        <v>1812</v>
      </c>
      <c r="E1013" s="262" t="s">
        <v>1593</v>
      </c>
    </row>
    <row r="1014" spans="1:5" ht="30" x14ac:dyDescent="0.25">
      <c r="A1014" s="1115">
        <v>1016</v>
      </c>
      <c r="B1014" s="1329" t="s">
        <v>1656</v>
      </c>
      <c r="C1014" s="1329" t="s">
        <v>1820</v>
      </c>
      <c r="D1014" s="1047" t="s">
        <v>1812</v>
      </c>
      <c r="E1014" s="262" t="s">
        <v>1592</v>
      </c>
    </row>
    <row r="1015" spans="1:5" ht="30" x14ac:dyDescent="0.25">
      <c r="A1015" s="1115">
        <v>1017</v>
      </c>
      <c r="B1015" s="1329" t="s">
        <v>1656</v>
      </c>
      <c r="C1015" s="1329" t="s">
        <v>1820</v>
      </c>
      <c r="D1015" s="1047" t="s">
        <v>1812</v>
      </c>
      <c r="E1015" s="262" t="s">
        <v>751</v>
      </c>
    </row>
    <row r="1016" spans="1:5" ht="30" x14ac:dyDescent="0.25">
      <c r="A1016" s="1115">
        <v>1018</v>
      </c>
      <c r="B1016" s="1329" t="s">
        <v>1656</v>
      </c>
      <c r="C1016" s="1329" t="s">
        <v>1820</v>
      </c>
      <c r="D1016" s="1047" t="s">
        <v>1812</v>
      </c>
      <c r="E1016" s="262" t="s">
        <v>1593</v>
      </c>
    </row>
    <row r="1017" spans="1:5" ht="30" x14ac:dyDescent="0.25">
      <c r="A1017" s="1115">
        <v>1019</v>
      </c>
      <c r="B1017" s="1329" t="s">
        <v>1656</v>
      </c>
      <c r="C1017" s="1329" t="s">
        <v>1821</v>
      </c>
      <c r="D1017" s="1047" t="s">
        <v>1812</v>
      </c>
      <c r="E1017" s="262" t="s">
        <v>1592</v>
      </c>
    </row>
    <row r="1018" spans="1:5" ht="30" x14ac:dyDescent="0.25">
      <c r="A1018" s="1115">
        <v>1020</v>
      </c>
      <c r="B1018" s="1329" t="s">
        <v>1656</v>
      </c>
      <c r="C1018" s="1329" t="s">
        <v>1821</v>
      </c>
      <c r="D1018" s="1047" t="s">
        <v>1812</v>
      </c>
      <c r="E1018" s="262" t="s">
        <v>751</v>
      </c>
    </row>
    <row r="1019" spans="1:5" ht="30" x14ac:dyDescent="0.25">
      <c r="A1019" s="1115">
        <v>1021</v>
      </c>
      <c r="B1019" s="1329" t="s">
        <v>1656</v>
      </c>
      <c r="C1019" s="1329" t="s">
        <v>1821</v>
      </c>
      <c r="D1019" s="1047" t="s">
        <v>1812</v>
      </c>
      <c r="E1019" s="262" t="s">
        <v>1593</v>
      </c>
    </row>
    <row r="1020" spans="1:5" ht="30" x14ac:dyDescent="0.25">
      <c r="A1020" s="1115">
        <v>1022</v>
      </c>
      <c r="B1020" s="1329" t="s">
        <v>1656</v>
      </c>
      <c r="C1020" s="1329" t="s">
        <v>1822</v>
      </c>
      <c r="D1020" s="1047" t="s">
        <v>1812</v>
      </c>
      <c r="E1020" s="262" t="s">
        <v>1592</v>
      </c>
    </row>
    <row r="1021" spans="1:5" ht="30" x14ac:dyDescent="0.25">
      <c r="A1021" s="1115">
        <v>1023</v>
      </c>
      <c r="B1021" s="1329" t="s">
        <v>1656</v>
      </c>
      <c r="C1021" s="1329" t="s">
        <v>1822</v>
      </c>
      <c r="D1021" s="1047" t="s">
        <v>1812</v>
      </c>
      <c r="E1021" s="262" t="s">
        <v>751</v>
      </c>
    </row>
    <row r="1022" spans="1:5" ht="30" x14ac:dyDescent="0.25">
      <c r="A1022" s="1115">
        <v>1024</v>
      </c>
      <c r="B1022" s="1329" t="s">
        <v>1656</v>
      </c>
      <c r="C1022" s="1329" t="s">
        <v>1822</v>
      </c>
      <c r="D1022" s="1047" t="s">
        <v>1812</v>
      </c>
      <c r="E1022" s="262" t="s">
        <v>1593</v>
      </c>
    </row>
    <row r="1023" spans="1:5" ht="30" x14ac:dyDescent="0.25">
      <c r="A1023" s="1115">
        <v>1025</v>
      </c>
      <c r="B1023" s="1329" t="s">
        <v>1656</v>
      </c>
      <c r="C1023" s="1329" t="s">
        <v>1823</v>
      </c>
      <c r="D1023" s="1047" t="s">
        <v>1812</v>
      </c>
      <c r="E1023" s="262" t="s">
        <v>1592</v>
      </c>
    </row>
    <row r="1024" spans="1:5" ht="30" x14ac:dyDescent="0.25">
      <c r="A1024" s="1115">
        <v>1026</v>
      </c>
      <c r="B1024" s="1329" t="s">
        <v>1656</v>
      </c>
      <c r="C1024" s="1329" t="s">
        <v>1823</v>
      </c>
      <c r="D1024" s="1047" t="s">
        <v>1812</v>
      </c>
      <c r="E1024" s="262" t="s">
        <v>751</v>
      </c>
    </row>
    <row r="1025" spans="1:5" ht="30" x14ac:dyDescent="0.25">
      <c r="A1025" s="1115">
        <v>1027</v>
      </c>
      <c r="B1025" s="1329" t="s">
        <v>1656</v>
      </c>
      <c r="C1025" s="1329" t="s">
        <v>1823</v>
      </c>
      <c r="D1025" s="1047" t="s">
        <v>1812</v>
      </c>
      <c r="E1025" s="262" t="s">
        <v>1593</v>
      </c>
    </row>
    <row r="1026" spans="1:5" ht="30" x14ac:dyDescent="0.25">
      <c r="A1026" s="1115">
        <v>1028</v>
      </c>
      <c r="B1026" s="1329" t="s">
        <v>1656</v>
      </c>
      <c r="C1026" s="1329" t="s">
        <v>1824</v>
      </c>
      <c r="D1026" s="1047" t="s">
        <v>1825</v>
      </c>
      <c r="E1026" s="1338" t="s">
        <v>1603</v>
      </c>
    </row>
    <row r="1027" spans="1:5" ht="30" x14ac:dyDescent="0.25">
      <c r="A1027" s="1115">
        <v>1029</v>
      </c>
      <c r="B1027" s="1329" t="s">
        <v>1656</v>
      </c>
      <c r="C1027" s="1329" t="s">
        <v>1824</v>
      </c>
      <c r="D1027" s="1047" t="s">
        <v>1825</v>
      </c>
      <c r="E1027" s="262" t="s">
        <v>1491</v>
      </c>
    </row>
    <row r="1028" spans="1:5" ht="30" x14ac:dyDescent="0.25">
      <c r="A1028" s="1115">
        <v>1030</v>
      </c>
      <c r="B1028" s="1329" t="s">
        <v>1656</v>
      </c>
      <c r="C1028" s="1329" t="s">
        <v>1824</v>
      </c>
      <c r="D1028" s="1047" t="s">
        <v>1825</v>
      </c>
      <c r="E1028" s="262" t="s">
        <v>1489</v>
      </c>
    </row>
    <row r="1029" spans="1:5" x14ac:dyDescent="0.25">
      <c r="A1029" s="1115">
        <v>1031</v>
      </c>
      <c r="B1029" s="1329" t="s">
        <v>1656</v>
      </c>
      <c r="C1029" s="1329" t="s">
        <v>1824</v>
      </c>
      <c r="D1029" s="1047" t="s">
        <v>1519</v>
      </c>
      <c r="E1029" s="262" t="s">
        <v>1490</v>
      </c>
    </row>
    <row r="1030" spans="1:5" ht="45" x14ac:dyDescent="0.25">
      <c r="A1030" s="1115">
        <v>1032</v>
      </c>
      <c r="B1030" s="1329" t="s">
        <v>1656</v>
      </c>
      <c r="C1030" s="1329" t="s">
        <v>1824</v>
      </c>
      <c r="D1030" s="1339" t="s">
        <v>1659</v>
      </c>
      <c r="E1030" s="262" t="s">
        <v>1493</v>
      </c>
    </row>
    <row r="1031" spans="1:5" ht="45" x14ac:dyDescent="0.25">
      <c r="A1031" s="1115">
        <v>1033</v>
      </c>
      <c r="B1031" s="1329" t="s">
        <v>1656</v>
      </c>
      <c r="C1031" s="1329" t="s">
        <v>1824</v>
      </c>
      <c r="D1031" s="1339" t="s">
        <v>1659</v>
      </c>
      <c r="E1031" s="262" t="s">
        <v>1494</v>
      </c>
    </row>
    <row r="1032" spans="1:5" ht="45" x14ac:dyDescent="0.25">
      <c r="A1032" s="1115">
        <v>1034</v>
      </c>
      <c r="B1032" s="1329" t="s">
        <v>1656</v>
      </c>
      <c r="C1032" s="1329" t="s">
        <v>1824</v>
      </c>
      <c r="D1032" s="1339" t="s">
        <v>1659</v>
      </c>
      <c r="E1032" s="262" t="s">
        <v>1607</v>
      </c>
    </row>
    <row r="1033" spans="1:5" x14ac:dyDescent="0.25">
      <c r="A1033" s="1115">
        <v>1035</v>
      </c>
      <c r="B1033" s="1329" t="s">
        <v>1656</v>
      </c>
      <c r="C1033" s="1329" t="s">
        <v>1824</v>
      </c>
      <c r="D1033" s="1047" t="s">
        <v>1519</v>
      </c>
      <c r="E1033" s="262" t="s">
        <v>1604</v>
      </c>
    </row>
    <row r="1034" spans="1:5" ht="30" x14ac:dyDescent="0.25">
      <c r="A1034" s="1115">
        <v>1036</v>
      </c>
      <c r="B1034" s="1329" t="s">
        <v>1656</v>
      </c>
      <c r="C1034" s="1329" t="s">
        <v>1824</v>
      </c>
      <c r="D1034" s="1047" t="s">
        <v>1825</v>
      </c>
      <c r="E1034" s="262" t="s">
        <v>1504</v>
      </c>
    </row>
    <row r="1035" spans="1:5" ht="30" x14ac:dyDescent="0.25">
      <c r="A1035" s="1115">
        <v>1037</v>
      </c>
      <c r="B1035" s="1329" t="s">
        <v>1656</v>
      </c>
      <c r="C1035" s="1329" t="s">
        <v>1826</v>
      </c>
      <c r="D1035" s="1047" t="s">
        <v>1825</v>
      </c>
      <c r="E1035" s="262" t="s">
        <v>1592</v>
      </c>
    </row>
    <row r="1036" spans="1:5" ht="30" x14ac:dyDescent="0.25">
      <c r="A1036" s="1115">
        <v>1038</v>
      </c>
      <c r="B1036" s="1329" t="s">
        <v>1656</v>
      </c>
      <c r="C1036" s="1329" t="s">
        <v>1826</v>
      </c>
      <c r="D1036" s="1047" t="s">
        <v>1825</v>
      </c>
      <c r="E1036" s="262" t="s">
        <v>751</v>
      </c>
    </row>
    <row r="1037" spans="1:5" ht="30" x14ac:dyDescent="0.25">
      <c r="A1037" s="1115">
        <v>1039</v>
      </c>
      <c r="B1037" s="1329" t="s">
        <v>1656</v>
      </c>
      <c r="C1037" s="1329" t="s">
        <v>1826</v>
      </c>
      <c r="D1037" s="1047" t="s">
        <v>1825</v>
      </c>
      <c r="E1037" s="262" t="s">
        <v>1827</v>
      </c>
    </row>
    <row r="1038" spans="1:5" ht="30" x14ac:dyDescent="0.25">
      <c r="A1038" s="1115">
        <v>1040</v>
      </c>
      <c r="B1038" s="1329" t="s">
        <v>1656</v>
      </c>
      <c r="C1038" s="1329" t="s">
        <v>1828</v>
      </c>
      <c r="D1038" s="1047" t="s">
        <v>1825</v>
      </c>
      <c r="E1038" s="262" t="s">
        <v>1592</v>
      </c>
    </row>
    <row r="1039" spans="1:5" ht="30" x14ac:dyDescent="0.25">
      <c r="A1039" s="1115">
        <v>1041</v>
      </c>
      <c r="B1039" s="1329" t="s">
        <v>1656</v>
      </c>
      <c r="C1039" s="1329" t="s">
        <v>1828</v>
      </c>
      <c r="D1039" s="1047" t="s">
        <v>1825</v>
      </c>
      <c r="E1039" s="262" t="s">
        <v>751</v>
      </c>
    </row>
    <row r="1040" spans="1:5" ht="30" x14ac:dyDescent="0.25">
      <c r="A1040" s="1115">
        <v>1042</v>
      </c>
      <c r="B1040" s="1329" t="s">
        <v>1656</v>
      </c>
      <c r="C1040" s="1329" t="s">
        <v>1828</v>
      </c>
      <c r="D1040" s="1047" t="s">
        <v>1825</v>
      </c>
      <c r="E1040" s="262" t="s">
        <v>1827</v>
      </c>
    </row>
    <row r="1041" spans="1:5" ht="30" x14ac:dyDescent="0.25">
      <c r="A1041" s="1115">
        <v>1043</v>
      </c>
      <c r="B1041" s="1329" t="s">
        <v>1656</v>
      </c>
      <c r="C1041" s="1329" t="s">
        <v>1829</v>
      </c>
      <c r="D1041" s="1047" t="s">
        <v>1825</v>
      </c>
      <c r="E1041" s="262" t="s">
        <v>1592</v>
      </c>
    </row>
    <row r="1042" spans="1:5" ht="30" x14ac:dyDescent="0.25">
      <c r="A1042" s="1115">
        <v>1044</v>
      </c>
      <c r="B1042" s="1329" t="s">
        <v>1656</v>
      </c>
      <c r="C1042" s="1329" t="s">
        <v>1829</v>
      </c>
      <c r="D1042" s="1047" t="s">
        <v>1825</v>
      </c>
      <c r="E1042" s="262" t="s">
        <v>751</v>
      </c>
    </row>
    <row r="1043" spans="1:5" ht="30" x14ac:dyDescent="0.25">
      <c r="A1043" s="1115">
        <v>1045</v>
      </c>
      <c r="B1043" s="1329" t="s">
        <v>1656</v>
      </c>
      <c r="C1043" s="1329" t="s">
        <v>1829</v>
      </c>
      <c r="D1043" s="1047" t="s">
        <v>1825</v>
      </c>
      <c r="E1043" s="262" t="s">
        <v>1827</v>
      </c>
    </row>
    <row r="1044" spans="1:5" ht="30" x14ac:dyDescent="0.25">
      <c r="A1044" s="1115">
        <v>1046</v>
      </c>
      <c r="B1044" s="1329" t="s">
        <v>1656</v>
      </c>
      <c r="C1044" s="1329" t="s">
        <v>1830</v>
      </c>
      <c r="D1044" s="1047" t="s">
        <v>1825</v>
      </c>
      <c r="E1044" s="262" t="s">
        <v>1592</v>
      </c>
    </row>
    <row r="1045" spans="1:5" ht="30" x14ac:dyDescent="0.25">
      <c r="A1045" s="1115">
        <v>1047</v>
      </c>
      <c r="B1045" s="1329" t="s">
        <v>1656</v>
      </c>
      <c r="C1045" s="1329" t="s">
        <v>1830</v>
      </c>
      <c r="D1045" s="1047" t="s">
        <v>1825</v>
      </c>
      <c r="E1045" s="262" t="s">
        <v>751</v>
      </c>
    </row>
    <row r="1046" spans="1:5" ht="30" x14ac:dyDescent="0.25">
      <c r="A1046" s="1115">
        <v>1048</v>
      </c>
      <c r="B1046" s="1329" t="s">
        <v>1656</v>
      </c>
      <c r="C1046" s="1329" t="s">
        <v>1830</v>
      </c>
      <c r="D1046" s="1047" t="s">
        <v>1825</v>
      </c>
      <c r="E1046" s="262" t="s">
        <v>1827</v>
      </c>
    </row>
    <row r="1047" spans="1:5" ht="30" x14ac:dyDescent="0.25">
      <c r="A1047" s="1115">
        <v>1049</v>
      </c>
      <c r="B1047" s="1329" t="s">
        <v>1656</v>
      </c>
      <c r="C1047" s="1329" t="s">
        <v>1831</v>
      </c>
      <c r="D1047" s="1047" t="s">
        <v>1825</v>
      </c>
      <c r="E1047" s="262" t="s">
        <v>1592</v>
      </c>
    </row>
    <row r="1048" spans="1:5" ht="30" x14ac:dyDescent="0.25">
      <c r="A1048" s="1115">
        <v>1050</v>
      </c>
      <c r="B1048" s="1329" t="s">
        <v>1656</v>
      </c>
      <c r="C1048" s="1329" t="s">
        <v>1831</v>
      </c>
      <c r="D1048" s="1047" t="s">
        <v>1825</v>
      </c>
      <c r="E1048" s="262" t="s">
        <v>751</v>
      </c>
    </row>
    <row r="1049" spans="1:5" ht="30" x14ac:dyDescent="0.25">
      <c r="A1049" s="1115">
        <v>1051</v>
      </c>
      <c r="B1049" s="1329" t="s">
        <v>1656</v>
      </c>
      <c r="C1049" s="1329" t="s">
        <v>1831</v>
      </c>
      <c r="D1049" s="1047" t="s">
        <v>1825</v>
      </c>
      <c r="E1049" s="262" t="s">
        <v>1827</v>
      </c>
    </row>
    <row r="1050" spans="1:5" ht="30" x14ac:dyDescent="0.25">
      <c r="A1050" s="1115">
        <v>1052</v>
      </c>
      <c r="B1050" s="1329" t="s">
        <v>1656</v>
      </c>
      <c r="C1050" s="1329" t="s">
        <v>1832</v>
      </c>
      <c r="D1050" s="1047" t="s">
        <v>1825</v>
      </c>
      <c r="E1050" s="1338" t="s">
        <v>1603</v>
      </c>
    </row>
    <row r="1051" spans="1:5" ht="30" x14ac:dyDescent="0.25">
      <c r="A1051" s="1115">
        <v>1053</v>
      </c>
      <c r="B1051" s="1329" t="s">
        <v>1656</v>
      </c>
      <c r="C1051" s="1329" t="s">
        <v>1832</v>
      </c>
      <c r="D1051" s="1047" t="s">
        <v>1825</v>
      </c>
      <c r="E1051" s="262" t="s">
        <v>1491</v>
      </c>
    </row>
    <row r="1052" spans="1:5" ht="30" x14ac:dyDescent="0.25">
      <c r="A1052" s="1115">
        <v>1054</v>
      </c>
      <c r="B1052" s="1329" t="s">
        <v>1656</v>
      </c>
      <c r="C1052" s="1329" t="s">
        <v>1832</v>
      </c>
      <c r="D1052" s="1047" t="s">
        <v>1825</v>
      </c>
      <c r="E1052" s="262" t="s">
        <v>1489</v>
      </c>
    </row>
    <row r="1053" spans="1:5" x14ac:dyDescent="0.25">
      <c r="A1053" s="1115">
        <v>1055</v>
      </c>
      <c r="B1053" s="1329" t="s">
        <v>1656</v>
      </c>
      <c r="C1053" s="1329" t="s">
        <v>1832</v>
      </c>
      <c r="D1053" s="1047" t="s">
        <v>1519</v>
      </c>
      <c r="E1053" s="262" t="s">
        <v>1490</v>
      </c>
    </row>
    <row r="1054" spans="1:5" ht="45" x14ac:dyDescent="0.25">
      <c r="A1054" s="1115">
        <v>1056</v>
      </c>
      <c r="B1054" s="1329" t="s">
        <v>1656</v>
      </c>
      <c r="C1054" s="1329" t="s">
        <v>1832</v>
      </c>
      <c r="D1054" s="1339" t="s">
        <v>1659</v>
      </c>
      <c r="E1054" s="262" t="s">
        <v>1493</v>
      </c>
    </row>
    <row r="1055" spans="1:5" ht="45" x14ac:dyDescent="0.25">
      <c r="A1055" s="1115">
        <v>1057</v>
      </c>
      <c r="B1055" s="1329" t="s">
        <v>1656</v>
      </c>
      <c r="C1055" s="1329" t="s">
        <v>1832</v>
      </c>
      <c r="D1055" s="1339" t="s">
        <v>1659</v>
      </c>
      <c r="E1055" s="262" t="s">
        <v>1494</v>
      </c>
    </row>
    <row r="1056" spans="1:5" ht="45" x14ac:dyDescent="0.25">
      <c r="A1056" s="1115">
        <v>1058</v>
      </c>
      <c r="B1056" s="1329" t="s">
        <v>1656</v>
      </c>
      <c r="C1056" s="1329" t="s">
        <v>1832</v>
      </c>
      <c r="D1056" s="1339" t="s">
        <v>1659</v>
      </c>
      <c r="E1056" s="262" t="s">
        <v>1607</v>
      </c>
    </row>
    <row r="1057" spans="1:5" x14ac:dyDescent="0.25">
      <c r="A1057" s="1115">
        <v>1059</v>
      </c>
      <c r="B1057" s="1329" t="s">
        <v>1656</v>
      </c>
      <c r="C1057" s="1329" t="s">
        <v>1832</v>
      </c>
      <c r="D1057" s="1047" t="s">
        <v>1519</v>
      </c>
      <c r="E1057" s="262" t="s">
        <v>1604</v>
      </c>
    </row>
    <row r="1058" spans="1:5" ht="30" x14ac:dyDescent="0.25">
      <c r="A1058" s="1115">
        <v>1060</v>
      </c>
      <c r="B1058" s="1329" t="s">
        <v>1656</v>
      </c>
      <c r="C1058" s="1329" t="s">
        <v>1832</v>
      </c>
      <c r="D1058" s="1047" t="s">
        <v>1825</v>
      </c>
      <c r="E1058" s="262" t="s">
        <v>1504</v>
      </c>
    </row>
    <row r="1059" spans="1:5" ht="30" x14ac:dyDescent="0.25">
      <c r="A1059" s="1115">
        <v>1061</v>
      </c>
      <c r="B1059" s="1329" t="s">
        <v>1656</v>
      </c>
      <c r="C1059" s="1329" t="s">
        <v>1833</v>
      </c>
      <c r="D1059" s="1047" t="s">
        <v>1825</v>
      </c>
      <c r="E1059" s="262" t="s">
        <v>1592</v>
      </c>
    </row>
    <row r="1060" spans="1:5" ht="30" x14ac:dyDescent="0.25">
      <c r="A1060" s="1115">
        <v>1062</v>
      </c>
      <c r="B1060" s="1329" t="s">
        <v>1656</v>
      </c>
      <c r="C1060" s="1329" t="s">
        <v>1833</v>
      </c>
      <c r="D1060" s="1047" t="s">
        <v>1825</v>
      </c>
      <c r="E1060" s="262" t="s">
        <v>751</v>
      </c>
    </row>
    <row r="1061" spans="1:5" ht="30" x14ac:dyDescent="0.25">
      <c r="A1061" s="1115">
        <v>1063</v>
      </c>
      <c r="B1061" s="1329" t="s">
        <v>1656</v>
      </c>
      <c r="C1061" s="1329" t="s">
        <v>1833</v>
      </c>
      <c r="D1061" s="1047" t="s">
        <v>1825</v>
      </c>
      <c r="E1061" s="262" t="s">
        <v>1827</v>
      </c>
    </row>
    <row r="1062" spans="1:5" ht="30" x14ac:dyDescent="0.25">
      <c r="A1062" s="1115">
        <v>1064</v>
      </c>
      <c r="B1062" s="1329" t="s">
        <v>1656</v>
      </c>
      <c r="C1062" s="1329" t="s">
        <v>1834</v>
      </c>
      <c r="D1062" s="1047" t="s">
        <v>1825</v>
      </c>
      <c r="E1062" s="262" t="s">
        <v>1592</v>
      </c>
    </row>
    <row r="1063" spans="1:5" ht="30" x14ac:dyDescent="0.25">
      <c r="A1063" s="1115">
        <v>1065</v>
      </c>
      <c r="B1063" s="1329" t="s">
        <v>1656</v>
      </c>
      <c r="C1063" s="1329" t="s">
        <v>1834</v>
      </c>
      <c r="D1063" s="1047" t="s">
        <v>1825</v>
      </c>
      <c r="E1063" s="262" t="s">
        <v>751</v>
      </c>
    </row>
    <row r="1064" spans="1:5" ht="30" x14ac:dyDescent="0.25">
      <c r="A1064" s="1115">
        <v>1066</v>
      </c>
      <c r="B1064" s="1329" t="s">
        <v>1656</v>
      </c>
      <c r="C1064" s="1329" t="s">
        <v>1834</v>
      </c>
      <c r="D1064" s="1047" t="s">
        <v>1825</v>
      </c>
      <c r="E1064" s="262" t="s">
        <v>1827</v>
      </c>
    </row>
    <row r="1065" spans="1:5" ht="30" x14ac:dyDescent="0.25">
      <c r="A1065" s="1115">
        <v>1067</v>
      </c>
      <c r="B1065" s="1329" t="s">
        <v>1656</v>
      </c>
      <c r="C1065" s="1329" t="s">
        <v>1835</v>
      </c>
      <c r="D1065" s="1047" t="s">
        <v>1825</v>
      </c>
      <c r="E1065" s="262" t="s">
        <v>1592</v>
      </c>
    </row>
    <row r="1066" spans="1:5" ht="30" x14ac:dyDescent="0.25">
      <c r="A1066" s="1115">
        <v>1068</v>
      </c>
      <c r="B1066" s="1329" t="s">
        <v>1656</v>
      </c>
      <c r="C1066" s="1329" t="s">
        <v>1835</v>
      </c>
      <c r="D1066" s="1047" t="s">
        <v>1825</v>
      </c>
      <c r="E1066" s="262" t="s">
        <v>751</v>
      </c>
    </row>
    <row r="1067" spans="1:5" ht="30" x14ac:dyDescent="0.25">
      <c r="A1067" s="1115">
        <v>1069</v>
      </c>
      <c r="B1067" s="1329" t="s">
        <v>1656</v>
      </c>
      <c r="C1067" s="1329" t="s">
        <v>1835</v>
      </c>
      <c r="D1067" s="1047" t="s">
        <v>1825</v>
      </c>
      <c r="E1067" s="262" t="s">
        <v>1827</v>
      </c>
    </row>
    <row r="1068" spans="1:5" ht="30" x14ac:dyDescent="0.25">
      <c r="A1068" s="1115">
        <v>1070</v>
      </c>
      <c r="B1068" s="1329" t="s">
        <v>1656</v>
      </c>
      <c r="C1068" s="1329" t="s">
        <v>1836</v>
      </c>
      <c r="D1068" s="1047" t="s">
        <v>1825</v>
      </c>
      <c r="E1068" s="262" t="s">
        <v>1592</v>
      </c>
    </row>
    <row r="1069" spans="1:5" ht="30" x14ac:dyDescent="0.25">
      <c r="A1069" s="1115">
        <v>1071</v>
      </c>
      <c r="B1069" s="1329" t="s">
        <v>1656</v>
      </c>
      <c r="C1069" s="1329" t="s">
        <v>1836</v>
      </c>
      <c r="D1069" s="1047" t="s">
        <v>1825</v>
      </c>
      <c r="E1069" s="262" t="s">
        <v>751</v>
      </c>
    </row>
    <row r="1070" spans="1:5" ht="30" x14ac:dyDescent="0.25">
      <c r="A1070" s="1115">
        <v>1072</v>
      </c>
      <c r="B1070" s="1329" t="s">
        <v>1656</v>
      </c>
      <c r="C1070" s="1329" t="s">
        <v>1836</v>
      </c>
      <c r="D1070" s="1047" t="s">
        <v>1825</v>
      </c>
      <c r="E1070" s="262" t="s">
        <v>1827</v>
      </c>
    </row>
    <row r="1071" spans="1:5" ht="30" x14ac:dyDescent="0.25">
      <c r="A1071" s="1115">
        <v>1073</v>
      </c>
      <c r="B1071" s="1329" t="s">
        <v>1656</v>
      </c>
      <c r="C1071" s="1329" t="s">
        <v>1837</v>
      </c>
      <c r="D1071" s="1047" t="s">
        <v>1825</v>
      </c>
      <c r="E1071" s="262" t="s">
        <v>1592</v>
      </c>
    </row>
    <row r="1072" spans="1:5" ht="30" x14ac:dyDescent="0.25">
      <c r="A1072" s="1115">
        <v>1074</v>
      </c>
      <c r="B1072" s="1329" t="s">
        <v>1656</v>
      </c>
      <c r="C1072" s="1329" t="s">
        <v>1837</v>
      </c>
      <c r="D1072" s="1047" t="s">
        <v>1825</v>
      </c>
      <c r="E1072" s="262" t="s">
        <v>751</v>
      </c>
    </row>
    <row r="1073" spans="1:5" ht="30" x14ac:dyDescent="0.25">
      <c r="A1073" s="1115">
        <v>1075</v>
      </c>
      <c r="B1073" s="1329" t="s">
        <v>1656</v>
      </c>
      <c r="C1073" s="1329" t="s">
        <v>1837</v>
      </c>
      <c r="D1073" s="1047" t="s">
        <v>1825</v>
      </c>
      <c r="E1073" s="262" t="s">
        <v>1827</v>
      </c>
    </row>
    <row r="1074" spans="1:5" ht="30" x14ac:dyDescent="0.25">
      <c r="A1074" s="1115">
        <v>1076</v>
      </c>
      <c r="B1074" s="1329" t="s">
        <v>1656</v>
      </c>
      <c r="C1074" s="1329" t="s">
        <v>1838</v>
      </c>
      <c r="D1074" s="1332" t="s">
        <v>1839</v>
      </c>
      <c r="E1074" s="1338" t="s">
        <v>1603</v>
      </c>
    </row>
    <row r="1075" spans="1:5" ht="30" x14ac:dyDescent="0.25">
      <c r="A1075" s="1115">
        <v>1077</v>
      </c>
      <c r="B1075" s="1329" t="s">
        <v>1656</v>
      </c>
      <c r="C1075" s="1329" t="s">
        <v>1838</v>
      </c>
      <c r="D1075" s="1332" t="s">
        <v>1839</v>
      </c>
      <c r="E1075" s="262" t="s">
        <v>1491</v>
      </c>
    </row>
    <row r="1076" spans="1:5" ht="30" x14ac:dyDescent="0.25">
      <c r="A1076" s="1115">
        <v>1078</v>
      </c>
      <c r="B1076" s="1329" t="s">
        <v>1656</v>
      </c>
      <c r="C1076" s="1329" t="s">
        <v>1838</v>
      </c>
      <c r="D1076" s="1332" t="s">
        <v>1839</v>
      </c>
      <c r="E1076" s="262" t="s">
        <v>1489</v>
      </c>
    </row>
    <row r="1077" spans="1:5" ht="45" x14ac:dyDescent="0.25">
      <c r="A1077" s="1115">
        <v>1079</v>
      </c>
      <c r="B1077" s="1329" t="s">
        <v>1656</v>
      </c>
      <c r="C1077" s="1329" t="s">
        <v>1838</v>
      </c>
      <c r="D1077" s="1339" t="s">
        <v>1659</v>
      </c>
      <c r="E1077" s="262" t="s">
        <v>1493</v>
      </c>
    </row>
    <row r="1078" spans="1:5" ht="45" x14ac:dyDescent="0.25">
      <c r="A1078" s="1115">
        <v>1080</v>
      </c>
      <c r="B1078" s="1329" t="s">
        <v>1656</v>
      </c>
      <c r="C1078" s="1329" t="s">
        <v>1838</v>
      </c>
      <c r="D1078" s="1339" t="s">
        <v>1659</v>
      </c>
      <c r="E1078" s="262" t="s">
        <v>1494</v>
      </c>
    </row>
    <row r="1079" spans="1:5" ht="45" x14ac:dyDescent="0.25">
      <c r="A1079" s="1115">
        <v>1081</v>
      </c>
      <c r="B1079" s="1329" t="s">
        <v>1656</v>
      </c>
      <c r="C1079" s="1329" t="s">
        <v>1838</v>
      </c>
      <c r="D1079" s="1339" t="s">
        <v>1659</v>
      </c>
      <c r="E1079" s="262" t="s">
        <v>1607</v>
      </c>
    </row>
    <row r="1080" spans="1:5" ht="30" x14ac:dyDescent="0.25">
      <c r="A1080" s="1115">
        <v>1082</v>
      </c>
      <c r="B1080" s="1329" t="s">
        <v>1656</v>
      </c>
      <c r="C1080" s="1329" t="s">
        <v>1838</v>
      </c>
      <c r="D1080" s="1047" t="s">
        <v>1812</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C18" sqref="C18"/>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3" t="s">
        <v>1448</v>
      </c>
      <c r="B1" s="1723"/>
      <c r="C1" s="1723"/>
      <c r="D1" s="1723"/>
      <c r="E1" s="1723"/>
      <c r="F1" s="1723" t="s">
        <v>1449</v>
      </c>
      <c r="G1" s="1723"/>
      <c r="H1" s="1723"/>
      <c r="I1" s="1723" t="s">
        <v>1450</v>
      </c>
      <c r="J1" s="1723"/>
      <c r="K1" s="1723"/>
      <c r="L1" s="1723" t="s">
        <v>1451</v>
      </c>
      <c r="M1" s="1723"/>
      <c r="N1" s="1723"/>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60"/>
    </row>
    <row r="3" spans="1:15" x14ac:dyDescent="0.25">
      <c r="A3" s="1047" t="s">
        <v>376</v>
      </c>
      <c r="B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Sheet'!A3,INDIRECT("'"&amp;E3&amp;"'"&amp;"!A15:Z15"),0),4),1,""),IFERROR(SUBSTITUTE(ADDRESS(1,MATCH('[2]Mapping Sheet'!A3,INDIRECT("'"&amp;E3&amp;"'"&amp;"!A17:Z17"),0),4),1,""),""))))),4)</f>
        <v>B4</v>
      </c>
      <c r="C3" s="1050" t="str">
        <f ca="1">_xlfn.CONCAT(IFERROR(SUBSTITUTE(ADDRESS(1,MATCH('[2]Mapping Sheet'!A3,INDIRECT("'"&amp;E3&amp;"'"&amp;"!A4:Z4"),0),4),1,""),IFERROR(SUBSTITUTE(ADDRESS(1,MATCH('[2]Mapping Sheet'!A3,INDIRECT("'"&amp;E3&amp;"'"&amp;"!A9:Z9"),0),4),1,""),IFERROR(SUBSTITUTE(ADDRESS(1,MATCH('[2]Mapping Sheet'!A3,INDIRECT("'"&amp;E3&amp;"'"&amp;"!A12:Z12"),0),4),1,""),IFERROR(SUBSTITUTE(ADDRESS(1,MATCH('[2]Mapping Sheet'!A3,INDIRECT("'"&amp;E3&amp;"'"&amp;"!A15:Z15"),0),4),1,""),"")))),5)</f>
        <v>B5</v>
      </c>
      <c r="D3" s="1047" t="s">
        <v>1457</v>
      </c>
      <c r="E3" s="1050" t="s">
        <v>1458</v>
      </c>
      <c r="F3" s="1047" t="s">
        <v>1459</v>
      </c>
      <c r="G3" s="1047" t="s">
        <v>1460</v>
      </c>
      <c r="H3" s="1047" t="s">
        <v>1461</v>
      </c>
      <c r="I3" s="1329"/>
      <c r="J3" s="1329"/>
      <c r="K3" s="1329"/>
      <c r="L3" s="1329"/>
      <c r="M3" s="1329"/>
      <c r="N3" s="1329"/>
      <c r="O3" s="1328"/>
    </row>
    <row r="4" spans="1:15" x14ac:dyDescent="0.25">
      <c r="A4" s="1047" t="s">
        <v>1292</v>
      </c>
      <c r="B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Sheet'!A4,INDIRECT("'"&amp;E4&amp;"'"&amp;"!A15:Z15"),0),4),1,""),IFERROR(SUBSTITUTE(ADDRESS(1,MATCH('[2]Mapping Sheet'!A4,INDIRECT("'"&amp;E4&amp;"'"&amp;"!A17:Z17"),0),4),1,""),""))))),4)</f>
        <v>C4</v>
      </c>
      <c r="C4" s="1050" t="str">
        <f ca="1">_xlfn.CONCAT(IFERROR(SUBSTITUTE(ADDRESS(1,MATCH('[2]Mapping Sheet'!A4,INDIRECT("'"&amp;E4&amp;"'"&amp;"!A4:Z4"),0),4),1,""),IFERROR(SUBSTITUTE(ADDRESS(1,MATCH('[2]Mapping Sheet'!A4,INDIRECT("'"&amp;E4&amp;"'"&amp;"!A9:Z9"),0),4),1,""),IFERROR(SUBSTITUTE(ADDRESS(1,MATCH('[2]Mapping Sheet'!A4,INDIRECT("'"&amp;E4&amp;"'"&amp;"!A12:Z12"),0),4),1,""),IFERROR(SUBSTITUTE(ADDRESS(1,MATCH('[2]Mapping Sheet'!A4,INDIRECT("'"&amp;E4&amp;"'"&amp;"!A15:Z15"),0),4),1,""),"")))),5)</f>
        <v>C5</v>
      </c>
      <c r="D4" s="1047" t="s">
        <v>1457</v>
      </c>
      <c r="E4" s="1047" t="s">
        <v>1458</v>
      </c>
      <c r="F4" s="1048" t="s">
        <v>1292</v>
      </c>
      <c r="G4" s="1047" t="s">
        <v>1462</v>
      </c>
      <c r="H4" s="1047" t="s">
        <v>1461</v>
      </c>
      <c r="I4" s="1329"/>
      <c r="J4" s="1329"/>
      <c r="K4" s="1329"/>
      <c r="L4" s="1329"/>
      <c r="M4" s="1329"/>
      <c r="N4" s="1329"/>
      <c r="O4" s="132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9"/>
      <c r="J5" s="1329"/>
      <c r="K5" s="1329"/>
      <c r="L5" s="1329"/>
      <c r="M5" s="1329"/>
      <c r="N5" s="1329"/>
      <c r="O5" s="132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9"/>
      <c r="J6" s="1329"/>
      <c r="K6" s="1329"/>
      <c r="L6" s="1329" t="s">
        <v>793</v>
      </c>
      <c r="M6" s="1329">
        <v>40</v>
      </c>
      <c r="N6" s="1329"/>
      <c r="O6" s="132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9"/>
      <c r="J7" s="1329"/>
      <c r="K7" s="1329"/>
      <c r="L7" s="1329"/>
      <c r="M7" s="1329"/>
      <c r="N7" s="1329"/>
      <c r="O7" s="132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9"/>
      <c r="J8" s="1329"/>
      <c r="K8" s="1329"/>
      <c r="L8" s="1329"/>
      <c r="M8" s="1329"/>
      <c r="N8" s="1329"/>
      <c r="O8" s="132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9"/>
      <c r="J9" s="1329"/>
      <c r="K9" s="1329"/>
      <c r="L9" s="1329"/>
      <c r="M9" s="1329"/>
      <c r="N9" s="1329"/>
      <c r="O9" s="132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9"/>
      <c r="J10" s="1329"/>
      <c r="K10" s="1329"/>
      <c r="L10" s="1329"/>
      <c r="M10" s="1329"/>
      <c r="N10" s="1329"/>
      <c r="O10" s="132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9"/>
      <c r="J11" s="1329"/>
      <c r="K11" s="1329"/>
      <c r="L11" s="1329"/>
      <c r="M11" s="1329"/>
      <c r="N11" s="1329"/>
      <c r="O11" s="1328"/>
    </row>
    <row r="12" spans="1:15" ht="30" x14ac:dyDescent="0.25">
      <c r="A12" s="1050" t="s">
        <v>1306</v>
      </c>
      <c r="B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Sheet'!A12,INDIRECT("'"&amp;E12&amp;"'"&amp;"!A15:Z15"),0),4),1,""),"")))),9)</f>
        <v>B9</v>
      </c>
      <c r="C12" s="1050" t="str">
        <f ca="1">_xlfn.CONCAT(IFERROR(SUBSTITUTE(ADDRESS(1,MATCH('[2]Mapping Sheet'!A12,INDIRECT("'"&amp;E12&amp;"'"&amp;"!A4:Z4"),0),4),1,""),IFERROR(SUBSTITUTE(ADDRESS(1,MATCH('[2]Mapping Sheet'!A12,INDIRECT("'"&amp;E12&amp;"'"&amp;"!A9:Z9"),0),4),1,""),IFERROR(SUBSTITUTE(ADDRESS(1,MATCH('[2]Mapping Sheet'!A12,INDIRECT("'"&amp;E12&amp;"'"&amp;"!A12:Z12"),0),4),1,""),IFERROR(SUBSTITUTE(ADDRESS(1,MATCH('[2]Mapping Sheet'!A12,INDIRECT("'"&amp;E12&amp;"'"&amp;"!A15:Z15"),0),4),1,""),"")))),10)</f>
        <v>B10</v>
      </c>
      <c r="D12" s="1050" t="s">
        <v>1457</v>
      </c>
      <c r="E12" s="1050" t="s">
        <v>1458</v>
      </c>
      <c r="F12" s="1050" t="s">
        <v>1306</v>
      </c>
      <c r="G12" s="1050" t="s">
        <v>1460</v>
      </c>
      <c r="H12" s="1050" t="s">
        <v>1475</v>
      </c>
      <c r="I12" s="1329"/>
      <c r="J12" s="1329"/>
      <c r="K12" s="1329"/>
      <c r="L12" s="1050" t="s">
        <v>1306</v>
      </c>
      <c r="M12" s="1329">
        <v>9</v>
      </c>
      <c r="N12" s="1329"/>
      <c r="O12" s="1328"/>
    </row>
    <row r="13" spans="1:15" x14ac:dyDescent="0.25">
      <c r="A13" s="1050" t="s">
        <v>1254</v>
      </c>
      <c r="B13" s="1329" t="str">
        <f>IFERROR(_xlfn.CONCAT("D",MATCH(A13,'[2]Tracking &amp; Profitability'!C$1:C$60,0)),"")</f>
        <v>D8</v>
      </c>
      <c r="C13" s="1329" t="str">
        <f>IFERROR(_xlfn.CONCAT("E",MATCH(A13,'[2]Tracking &amp; Profitability'!C$1:C$60,0)),"")</f>
        <v>E8</v>
      </c>
      <c r="D13" s="1050" t="s">
        <v>1457</v>
      </c>
      <c r="E13" s="1050" t="s">
        <v>129</v>
      </c>
      <c r="F13" s="1050" t="s">
        <v>1476</v>
      </c>
      <c r="G13" s="1050" t="s">
        <v>1462</v>
      </c>
      <c r="H13" s="1050" t="s">
        <v>1475</v>
      </c>
      <c r="I13" s="1329"/>
      <c r="J13" s="1329"/>
      <c r="K13" s="1329"/>
      <c r="L13" s="1329"/>
      <c r="M13" s="1329"/>
      <c r="N13" s="1329"/>
      <c r="O13" s="1328"/>
    </row>
    <row r="14" spans="1:15" x14ac:dyDescent="0.25">
      <c r="A14" s="1050" t="s">
        <v>1296</v>
      </c>
      <c r="B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Sheet'!A14,INDIRECT("'"&amp;E14&amp;"'"&amp;"!A15:Z15"),0),4),1,""),"")))),4)</f>
        <v>G4</v>
      </c>
      <c r="C14" s="1050" t="str">
        <f ca="1">_xlfn.CONCAT(IFERROR(SUBSTITUTE(ADDRESS(1,MATCH('[2]Mapping Sheet'!A14,INDIRECT("'"&amp;E14&amp;"'"&amp;"!A4:Z4"),0),4),1,""),IFERROR(SUBSTITUTE(ADDRESS(1,MATCH('[2]Mapping Sheet'!A14,INDIRECT("'"&amp;E14&amp;"'"&amp;"!A9:Z9"),0),4),1,""),IFERROR(SUBSTITUTE(ADDRESS(1,MATCH('[2]Mapping Sheet'!A14,INDIRECT("'"&amp;E14&amp;"'"&amp;"!A12:Z12"),0),4),1,""),IFERROR(SUBSTITUTE(ADDRESS(1,MATCH('[2]Mapping Sheet'!A14,INDIRECT("'"&amp;E14&amp;"'"&amp;"!A15:Z15"),0),4),1,""),"")))),5)</f>
        <v>G5</v>
      </c>
      <c r="D14" s="1050" t="s">
        <v>1457</v>
      </c>
      <c r="E14" s="1050" t="s">
        <v>1458</v>
      </c>
      <c r="F14" s="1050" t="s">
        <v>1296</v>
      </c>
      <c r="G14" s="1050" t="s">
        <v>1477</v>
      </c>
      <c r="H14" s="1050" t="s">
        <v>1475</v>
      </c>
      <c r="I14" s="1329"/>
      <c r="J14" s="1329"/>
      <c r="K14" s="1329"/>
      <c r="L14" s="1329"/>
      <c r="M14" s="1329"/>
      <c r="N14" s="1329"/>
      <c r="O14" s="1328"/>
    </row>
    <row r="15" spans="1:15" x14ac:dyDescent="0.25">
      <c r="A15" s="1050" t="s">
        <v>1297</v>
      </c>
      <c r="B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Sheet'!A15,INDIRECT("'"&amp;E15&amp;"'"&amp;"!A15:Z15"),0),4),1,""),"")))),4)</f>
        <v>H4</v>
      </c>
      <c r="C15" s="1050" t="str">
        <f ca="1">_xlfn.CONCAT(IFERROR(SUBSTITUTE(ADDRESS(1,MATCH('[2]Mapping Sheet'!A15,INDIRECT("'"&amp;E15&amp;"'"&amp;"!A4:Z4"),0),4),1,""),IFERROR(SUBSTITUTE(ADDRESS(1,MATCH('[2]Mapping Sheet'!A15,INDIRECT("'"&amp;E15&amp;"'"&amp;"!A9:Z9"),0),4),1,""),IFERROR(SUBSTITUTE(ADDRESS(1,MATCH('[2]Mapping Sheet'!A15,INDIRECT("'"&amp;E15&amp;"'"&amp;"!A12:Z12"),0),4),1,""),IFERROR(SUBSTITUTE(ADDRESS(1,MATCH('[2]Mapping Sheet'!A15,INDIRECT("'"&amp;E15&amp;"'"&amp;"!A15:Z15"),0),4),1,""),"")))),5)</f>
        <v>H5</v>
      </c>
      <c r="D15" s="1050" t="s">
        <v>1457</v>
      </c>
      <c r="E15" s="1050" t="s">
        <v>1458</v>
      </c>
      <c r="F15" s="1050" t="s">
        <v>1297</v>
      </c>
      <c r="G15" s="1051" t="s">
        <v>662</v>
      </c>
      <c r="H15" s="1050" t="s">
        <v>1475</v>
      </c>
      <c r="I15" s="1329"/>
      <c r="J15" s="1329"/>
      <c r="K15" s="1329"/>
      <c r="L15" s="1329"/>
      <c r="M15" s="1329"/>
      <c r="N15" s="1329"/>
      <c r="O15" s="1328"/>
    </row>
    <row r="16" spans="1:15" x14ac:dyDescent="0.25">
      <c r="A16" s="1050" t="s">
        <v>1298</v>
      </c>
      <c r="B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Sheet'!A16,INDIRECT("'"&amp;E16&amp;"'"&amp;"!A15:Z15"),0),4),1,""),"")))),4)</f>
        <v>I4</v>
      </c>
      <c r="C16" s="1050" t="str">
        <f ca="1">_xlfn.CONCAT(IFERROR(SUBSTITUTE(ADDRESS(1,MATCH('[2]Mapping Sheet'!A16,INDIRECT("'"&amp;E16&amp;"'"&amp;"!A4:Z4"),0),4),1,""),IFERROR(SUBSTITUTE(ADDRESS(1,MATCH('[2]Mapping Sheet'!A16,INDIRECT("'"&amp;E16&amp;"'"&amp;"!A9:Z9"),0),4),1,""),IFERROR(SUBSTITUTE(ADDRESS(1,MATCH('[2]Mapping Sheet'!A16,INDIRECT("'"&amp;E16&amp;"'"&amp;"!A12:Z12"),0),4),1,""),IFERROR(SUBSTITUTE(ADDRESS(1,MATCH('[2]Mapping Sheet'!A16,INDIRECT("'"&amp;E16&amp;"'"&amp;"!A15:Z15"),0),4),1,""),"")))),5)</f>
        <v>I5</v>
      </c>
      <c r="D16" s="1050" t="s">
        <v>1457</v>
      </c>
      <c r="E16" s="1050" t="s">
        <v>1458</v>
      </c>
      <c r="F16" s="1050" t="s">
        <v>1298</v>
      </c>
      <c r="G16" s="1050" t="s">
        <v>1463</v>
      </c>
      <c r="H16" s="1050" t="s">
        <v>1475</v>
      </c>
      <c r="I16" s="1329"/>
      <c r="J16" s="1329"/>
      <c r="K16" s="1329"/>
      <c r="L16" s="1329"/>
      <c r="M16" s="1329"/>
      <c r="N16" s="1329"/>
      <c r="O16" s="1328"/>
    </row>
    <row r="17" spans="1:15" x14ac:dyDescent="0.25">
      <c r="A17" s="1050" t="s">
        <v>1253</v>
      </c>
      <c r="B17" s="1329" t="str">
        <f>IFERROR(_xlfn.CONCAT("D",MATCH(A17,'[2]Tracking &amp; Profitability'!C$1:C$60,0)),"")</f>
        <v>D7</v>
      </c>
      <c r="C17" s="1329" t="str">
        <f>IFERROR(_xlfn.CONCAT("E",MATCH(A17,'[2]Tracking &amp; Profitability'!C$1:C$60,0)),"")</f>
        <v>E7</v>
      </c>
      <c r="D17" s="1050" t="s">
        <v>1457</v>
      </c>
      <c r="E17" s="1050" t="s">
        <v>129</v>
      </c>
      <c r="F17" s="1050" t="s">
        <v>1278</v>
      </c>
      <c r="G17" s="1050" t="s">
        <v>1468</v>
      </c>
      <c r="H17" s="1050" t="s">
        <v>1475</v>
      </c>
      <c r="I17" s="1329"/>
      <c r="J17" s="1329"/>
      <c r="K17" s="1329"/>
      <c r="L17" s="1329"/>
      <c r="M17" s="1329"/>
      <c r="N17" s="1329"/>
      <c r="O17" s="1328"/>
    </row>
    <row r="18" spans="1:15" ht="30" x14ac:dyDescent="0.25">
      <c r="A18" s="1050" t="s">
        <v>1307</v>
      </c>
      <c r="B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Sheet'!A18,INDIRECT("'"&amp;E18&amp;"'"&amp;"!A17:Z17"),0),4),1,""),""))))),9)</f>
        <v>C9</v>
      </c>
      <c r="C18" s="1050" t="str">
        <f ca="1">_xlfn.CONCAT(IFERROR(SUBSTITUTE(ADDRESS(1,MATCH('[2]Mapping Sheet'!A18,INDIRECT("'"&amp;E18&amp;"'"&amp;"!A4:Z4"),0),4),1,""),IFERROR(SUBSTITUTE(ADDRESS(1,MATCH('[2]Mapping Sheet'!A18,INDIRECT("'"&amp;E18&amp;"'"&amp;"!A9:Z9"),0),4),1,""),IFERROR(SUBSTITUTE(ADDRESS(1,MATCH('[2]Mapping Sheet'!A18,INDIRECT("'"&amp;E18&amp;"'"&amp;"!A12:Z12"),0),4),1,""),IFERROR(SUBSTITUTE(ADDRESS(1,MATCH('[2]Mapping Sheet'!A18,INDIRECT("'"&amp;E18&amp;"'"&amp;"!A15:Z15"),0),4),1,""),IFERROR(SUBSTITUTE(ADDRESS(1,MATCH('[2]Mapping Sheet'!A18,INDIRECT("'"&amp;E18&amp;"'"&amp;"!A17:Z17"),0),4),1,""),""))))),10)</f>
        <v>C10</v>
      </c>
      <c r="D18" s="1050" t="s">
        <v>1457</v>
      </c>
      <c r="E18" s="1050" t="s">
        <v>1458</v>
      </c>
      <c r="F18" s="1050" t="s">
        <v>1307</v>
      </c>
      <c r="G18" s="1050" t="s">
        <v>1469</v>
      </c>
      <c r="H18" s="1050" t="s">
        <v>1475</v>
      </c>
      <c r="I18" s="1329"/>
      <c r="J18" s="1329"/>
      <c r="K18" s="1329"/>
      <c r="L18" s="1050" t="s">
        <v>1307</v>
      </c>
      <c r="M18" s="1329">
        <v>10</v>
      </c>
      <c r="N18" s="1329"/>
      <c r="O18" s="1328"/>
    </row>
    <row r="19" spans="1:15" x14ac:dyDescent="0.25">
      <c r="A19" s="1050" t="s">
        <v>1309</v>
      </c>
      <c r="B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Sheet'!A19,INDIRECT("'"&amp;E19&amp;"'"&amp;"!A17:Z17"),0),4),1,""),""))))),9)</f>
        <v>E9</v>
      </c>
      <c r="C19" s="1050" t="str">
        <f ca="1">_xlfn.CONCAT(IFERROR(SUBSTITUTE(ADDRESS(1,MATCH('[2]Mapping Sheet'!A19,INDIRECT("'"&amp;E19&amp;"'"&amp;"!A4:Z4"),0),4),1,""),IFERROR(SUBSTITUTE(ADDRESS(1,MATCH('[2]Mapping Sheet'!A19,INDIRECT("'"&amp;E19&amp;"'"&amp;"!A9:Z9"),0),4),1,""),IFERROR(SUBSTITUTE(ADDRESS(1,MATCH('[2]Mapping Sheet'!A19,INDIRECT("'"&amp;E19&amp;"'"&amp;"!A12:Z12"),0),4),1,""),IFERROR(SUBSTITUTE(ADDRESS(1,MATCH('[2]Mapping Sheet'!A19,INDIRECT("'"&amp;E19&amp;"'"&amp;"!A15:Z15"),0),4),1,""),IFERROR(SUBSTITUTE(ADDRESS(1,MATCH('[2]Mapping Sheet'!A19,INDIRECT("'"&amp;E19&amp;"'"&amp;"!A17:Z17"),0),4),1,""),""))))),10)</f>
        <v>E10</v>
      </c>
      <c r="D19" s="1050" t="s">
        <v>1457</v>
      </c>
      <c r="E19" s="1050" t="s">
        <v>1458</v>
      </c>
      <c r="F19" s="1050" t="s">
        <v>1309</v>
      </c>
      <c r="G19" s="1050" t="s">
        <v>1470</v>
      </c>
      <c r="H19" s="1050" t="s">
        <v>1475</v>
      </c>
      <c r="I19" s="1329"/>
      <c r="J19" s="1329"/>
      <c r="K19" s="1329"/>
      <c r="L19" s="1329"/>
      <c r="M19" s="1329"/>
      <c r="N19" s="1329"/>
      <c r="O19" s="1328"/>
    </row>
    <row r="20" spans="1:15" x14ac:dyDescent="0.25">
      <c r="A20" s="1050" t="s">
        <v>1310</v>
      </c>
      <c r="B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Sheet'!A20,INDIRECT("'"&amp;E20&amp;"'"&amp;"!A17:Z17"),0),4),1,""),""))))),9)</f>
        <v>F9</v>
      </c>
      <c r="C20" s="1050" t="str">
        <f ca="1">_xlfn.CONCAT(IFERROR(SUBSTITUTE(ADDRESS(1,MATCH('[2]Mapping Sheet'!A20,INDIRECT("'"&amp;E20&amp;"'"&amp;"!A4:Z4"),0),4),1,""),IFERROR(SUBSTITUTE(ADDRESS(1,MATCH('[2]Mapping Sheet'!A20,INDIRECT("'"&amp;E20&amp;"'"&amp;"!A9:Z9"),0),4),1,""),IFERROR(SUBSTITUTE(ADDRESS(1,MATCH('[2]Mapping Sheet'!A20,INDIRECT("'"&amp;E20&amp;"'"&amp;"!A12:Z12"),0),4),1,""),IFERROR(SUBSTITUTE(ADDRESS(1,MATCH('[2]Mapping Sheet'!A20,INDIRECT("'"&amp;E20&amp;"'"&amp;"!A15:Z15"),0),4),1,""),IFERROR(SUBSTITUTE(ADDRESS(1,MATCH('[2]Mapping Sheet'!A20,INDIRECT("'"&amp;E20&amp;"'"&amp;"!A17:Z17"),0),4),1,""),""))))),10)</f>
        <v>F10</v>
      </c>
      <c r="D20" s="1050" t="s">
        <v>1457</v>
      </c>
      <c r="E20" s="1050" t="s">
        <v>1458</v>
      </c>
      <c r="F20" s="1050" t="s">
        <v>1310</v>
      </c>
      <c r="G20" s="1050" t="s">
        <v>1471</v>
      </c>
      <c r="H20" s="1050" t="s">
        <v>1475</v>
      </c>
      <c r="I20" s="1329"/>
      <c r="J20" s="1329"/>
      <c r="K20" s="1329"/>
      <c r="L20" s="1329"/>
      <c r="M20" s="1329"/>
      <c r="N20" s="1329"/>
      <c r="O20" s="1328"/>
    </row>
    <row r="21" spans="1:15" x14ac:dyDescent="0.25">
      <c r="A21" s="1050" t="s">
        <v>1319</v>
      </c>
      <c r="B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Sheet'!A21,INDIRECT("'"&amp;E21&amp;"'"&amp;"!A17:Z17"),0),4),1,""),""))))),12)</f>
        <v>C12</v>
      </c>
      <c r="C21" s="1050" t="str">
        <f ca="1">_xlfn.CONCAT(IFERROR(SUBSTITUTE(ADDRESS(1,MATCH('[2]Mapping Sheet'!A21,INDIRECT("'"&amp;E21&amp;"'"&amp;"!A4:Z4"),0),4),1,""),IFERROR(SUBSTITUTE(ADDRESS(1,MATCH('[2]Mapping Sheet'!A21,INDIRECT("'"&amp;E21&amp;"'"&amp;"!A9:Z9"),0),4),1,""),IFERROR(SUBSTITUTE(ADDRESS(1,MATCH('[2]Mapping Sheet'!A21,INDIRECT("'"&amp;E21&amp;"'"&amp;"!A12:Z12"),0),4),1,""),IFERROR(SUBSTITUTE(ADDRESS(1,MATCH('[2]Mapping Sheet'!A21,INDIRECT("'"&amp;E21&amp;"'"&amp;"!A15:Z15"),0),4),1,""),IFERROR(SUBSTITUTE(ADDRESS(1,MATCH('[2]Mapping Sheet'!A21,INDIRECT("'"&amp;E21&amp;"'"&amp;"!A17:Z17"),0),4),1,""),""))))),13)</f>
        <v>C13</v>
      </c>
      <c r="D21" s="1050" t="s">
        <v>1457</v>
      </c>
      <c r="E21" s="1050" t="s">
        <v>1458</v>
      </c>
      <c r="F21" s="1050" t="s">
        <v>1319</v>
      </c>
      <c r="G21" s="1050" t="s">
        <v>1473</v>
      </c>
      <c r="H21" s="1050" t="s">
        <v>1475</v>
      </c>
      <c r="I21" s="1329"/>
      <c r="J21" s="1329"/>
      <c r="K21" s="1329"/>
      <c r="L21" s="1050" t="s">
        <v>1319</v>
      </c>
      <c r="M21" s="1329">
        <v>13</v>
      </c>
      <c r="N21" s="1329"/>
      <c r="O21" s="1328"/>
    </row>
    <row r="22" spans="1:15" x14ac:dyDescent="0.25">
      <c r="A22" s="1050" t="s">
        <v>1320</v>
      </c>
      <c r="B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Sheet'!A22,INDIRECT("'"&amp;E22&amp;"'"&amp;"!A17:Z17"),0),4),1,""),""))))),12)</f>
        <v>D12</v>
      </c>
      <c r="C22" s="1050" t="str">
        <f ca="1">_xlfn.CONCAT(IFERROR(SUBSTITUTE(ADDRESS(1,MATCH('[2]Mapping Sheet'!A22,INDIRECT("'"&amp;E22&amp;"'"&amp;"!A4:Z4"),0),4),1,""),IFERROR(SUBSTITUTE(ADDRESS(1,MATCH('[2]Mapping Sheet'!A22,INDIRECT("'"&amp;E22&amp;"'"&amp;"!A9:Z9"),0),4),1,""),IFERROR(SUBSTITUTE(ADDRESS(1,MATCH('[2]Mapping Sheet'!A22,INDIRECT("'"&amp;E22&amp;"'"&amp;"!A12:Z12"),0),4),1,""),IFERROR(SUBSTITUTE(ADDRESS(1,MATCH('[2]Mapping Sheet'!A22,INDIRECT("'"&amp;E22&amp;"'"&amp;"!A15:Z15"),0),4),1,""),IFERROR(SUBSTITUTE(ADDRESS(1,MATCH('[2]Mapping Sheet'!A22,INDIRECT("'"&amp;E22&amp;"'"&amp;"!A17:Z17"),0),4),1,""),""))))),13)</f>
        <v>D13</v>
      </c>
      <c r="D22" s="1050" t="s">
        <v>1457</v>
      </c>
      <c r="E22" s="1050" t="s">
        <v>1458</v>
      </c>
      <c r="F22" s="1050" t="s">
        <v>1320</v>
      </c>
      <c r="G22" s="1050" t="s">
        <v>1467</v>
      </c>
      <c r="H22" s="1050" t="s">
        <v>1475</v>
      </c>
      <c r="I22" s="1329"/>
      <c r="J22" s="1329"/>
      <c r="K22" s="1329"/>
      <c r="L22" s="1050" t="s">
        <v>1320</v>
      </c>
      <c r="M22" s="1329">
        <v>14</v>
      </c>
      <c r="N22" s="1329"/>
      <c r="O22" s="1328"/>
    </row>
    <row r="23" spans="1:15" x14ac:dyDescent="0.25">
      <c r="A23" s="1050" t="s">
        <v>1478</v>
      </c>
      <c r="B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Sheet'!A23,INDIRECT("'"&amp;E23&amp;"'"&amp;"!A17:Z17"),0),4),1,""),""))))),12)</f>
        <v>F12</v>
      </c>
      <c r="C23" s="1050" t="str">
        <f ca="1">_xlfn.CONCAT(IFERROR(SUBSTITUTE(ADDRESS(1,MATCH('[2]Mapping Sheet'!A23,INDIRECT("'"&amp;E23&amp;"'"&amp;"!A4:Z4"),0),4),1,""),IFERROR(SUBSTITUTE(ADDRESS(1,MATCH('[2]Mapping Sheet'!A23,INDIRECT("'"&amp;E23&amp;"'"&amp;"!A9:Z9"),0),4),1,""),IFERROR(SUBSTITUTE(ADDRESS(1,MATCH('[2]Mapping Sheet'!A23,INDIRECT("'"&amp;E23&amp;"'"&amp;"!A12:Z12"),0),4),1,""),IFERROR(SUBSTITUTE(ADDRESS(1,MATCH('[2]Mapping Sheet'!A23,INDIRECT("'"&amp;E23&amp;"'"&amp;"!A15:Z15"),0),4),1,""),IFERROR(SUBSTITUTE(ADDRESS(1,MATCH('[2]Mapping Sheet'!A23,INDIRECT("'"&amp;E23&amp;"'"&amp;"!A17:Z17"),0),4),1,""),""))))),13)</f>
        <v>F13</v>
      </c>
      <c r="D23" s="1050" t="s">
        <v>1457</v>
      </c>
      <c r="E23" s="1050" t="s">
        <v>1458</v>
      </c>
      <c r="F23" s="1050" t="s">
        <v>1478</v>
      </c>
      <c r="G23" s="1050" t="s">
        <v>134</v>
      </c>
      <c r="H23" s="1050" t="s">
        <v>1475</v>
      </c>
      <c r="I23" s="1329"/>
      <c r="J23" s="1329"/>
      <c r="K23" s="1329"/>
      <c r="L23" s="1050" t="s">
        <v>1478</v>
      </c>
      <c r="M23" s="1329">
        <v>15</v>
      </c>
      <c r="N23" s="1329"/>
      <c r="O23" s="1328"/>
    </row>
    <row r="24" spans="1:15" ht="30" x14ac:dyDescent="0.25">
      <c r="A24" s="1050" t="s">
        <v>1323</v>
      </c>
      <c r="B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Sheet'!A24,INDIRECT("'"&amp;E24&amp;"'"&amp;"!A17:Z17"),0),4),1,""),""))))),12)</f>
        <v>G12</v>
      </c>
      <c r="C24" s="1050" t="str">
        <f ca="1">_xlfn.CONCAT(IFERROR(SUBSTITUTE(ADDRESS(1,MATCH('[2]Mapping Sheet'!A24,INDIRECT("'"&amp;E24&amp;"'"&amp;"!A4:Z4"),0),4),1,""),IFERROR(SUBSTITUTE(ADDRESS(1,MATCH('[2]Mapping Sheet'!A24,INDIRECT("'"&amp;E24&amp;"'"&amp;"!A9:Z9"),0),4),1,""),IFERROR(SUBSTITUTE(ADDRESS(1,MATCH('[2]Mapping Sheet'!A24,INDIRECT("'"&amp;E24&amp;"'"&amp;"!A12:Z12"),0),4),1,""),IFERROR(SUBSTITUTE(ADDRESS(1,MATCH('[2]Mapping Sheet'!A24,INDIRECT("'"&amp;E24&amp;"'"&amp;"!A15:Z15"),0),4),1,""),IFERROR(SUBSTITUTE(ADDRESS(1,MATCH('[2]Mapping Sheet'!A24,INDIRECT("'"&amp;E24&amp;"'"&amp;"!A17:Z17"),0),4),1,""),""))))),13)</f>
        <v>G13</v>
      </c>
      <c r="D24" s="1050" t="s">
        <v>1457</v>
      </c>
      <c r="E24" s="1050" t="s">
        <v>1458</v>
      </c>
      <c r="F24" s="1050" t="s">
        <v>1479</v>
      </c>
      <c r="G24" s="1050" t="s">
        <v>663</v>
      </c>
      <c r="H24" s="1050" t="s">
        <v>1475</v>
      </c>
      <c r="I24" s="1329"/>
      <c r="J24" s="1329"/>
      <c r="K24" s="1329"/>
      <c r="L24" s="1050" t="s">
        <v>1323</v>
      </c>
      <c r="M24" s="1329">
        <v>16</v>
      </c>
      <c r="N24" s="1329"/>
      <c r="O24" s="1328"/>
    </row>
    <row r="25" spans="1:15" ht="30" x14ac:dyDescent="0.25">
      <c r="A25" s="1050" t="s">
        <v>1324</v>
      </c>
      <c r="B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Sheet'!A25,INDIRECT("'"&amp;E25&amp;"'"&amp;"!A17:Z17"),0),4),1,""),""))))),12)</f>
        <v>H12</v>
      </c>
      <c r="C25" s="1050" t="str">
        <f ca="1">_xlfn.CONCAT(IFERROR(SUBSTITUTE(ADDRESS(1,MATCH('[2]Mapping Sheet'!A25,INDIRECT("'"&amp;E25&amp;"'"&amp;"!A4:Z4"),0),4),1,""),IFERROR(SUBSTITUTE(ADDRESS(1,MATCH('[2]Mapping Sheet'!A25,INDIRECT("'"&amp;E25&amp;"'"&amp;"!A9:Z9"),0),4),1,""),IFERROR(SUBSTITUTE(ADDRESS(1,MATCH('[2]Mapping Sheet'!A25,INDIRECT("'"&amp;E25&amp;"'"&amp;"!A12:Z12"),0),4),1,""),IFERROR(SUBSTITUTE(ADDRESS(1,MATCH('[2]Mapping Sheet'!A25,INDIRECT("'"&amp;E25&amp;"'"&amp;"!A15:Z15"),0),4),1,""),IFERROR(SUBSTITUTE(ADDRESS(1,MATCH('[2]Mapping Sheet'!A25,INDIRECT("'"&amp;E25&amp;"'"&amp;"!A17:Z17"),0),4),1,""),""))))),13)</f>
        <v>H13</v>
      </c>
      <c r="D25" s="1050" t="s">
        <v>1457</v>
      </c>
      <c r="E25" s="1050" t="s">
        <v>1458</v>
      </c>
      <c r="F25" s="1050" t="s">
        <v>1324</v>
      </c>
      <c r="G25" s="1050" t="s">
        <v>242</v>
      </c>
      <c r="H25" s="1050" t="s">
        <v>1475</v>
      </c>
      <c r="I25" s="1329"/>
      <c r="J25" s="1329"/>
      <c r="K25" s="1329"/>
      <c r="L25" s="1050" t="s">
        <v>1324</v>
      </c>
      <c r="M25" s="1329">
        <v>17</v>
      </c>
      <c r="N25" s="1329"/>
      <c r="O25" s="1328"/>
    </row>
    <row r="26" spans="1:15" x14ac:dyDescent="0.25">
      <c r="A26" s="1050" t="s">
        <v>1311</v>
      </c>
      <c r="B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Sheet'!A26,INDIRECT("'"&amp;E26&amp;"'"&amp;"!A17:Z17"),0),4),1,""),""))))),9)</f>
        <v>G9</v>
      </c>
      <c r="C26" s="1050" t="str">
        <f ca="1">_xlfn.CONCAT(IFERROR(SUBSTITUTE(ADDRESS(1,MATCH('[2]Mapping Sheet'!A26,INDIRECT("'"&amp;E26&amp;"'"&amp;"!A4:Z4"),0),4),1,""),IFERROR(SUBSTITUTE(ADDRESS(1,MATCH('[2]Mapping Sheet'!A26,INDIRECT("'"&amp;E26&amp;"'"&amp;"!A9:Z9"),0),4),1,""),IFERROR(SUBSTITUTE(ADDRESS(1,MATCH('[2]Mapping Sheet'!A26,INDIRECT("'"&amp;E26&amp;"'"&amp;"!A12:Z12"),0),4),1,""),IFERROR(SUBSTITUTE(ADDRESS(1,MATCH('[2]Mapping Sheet'!A26,INDIRECT("'"&amp;E26&amp;"'"&amp;"!A15:Z15"),0),4),1,""),IFERROR(SUBSTITUTE(ADDRESS(1,MATCH('[2]Mapping Sheet'!A26,INDIRECT("'"&amp;E26&amp;"'"&amp;"!A17:Z17"),0),4),1,""),""))))),10)</f>
        <v>G10</v>
      </c>
      <c r="D26" s="1050" t="s">
        <v>1457</v>
      </c>
      <c r="E26" s="1050" t="s">
        <v>1458</v>
      </c>
      <c r="F26" s="1050" t="s">
        <v>1311</v>
      </c>
      <c r="G26" s="1050" t="s">
        <v>1472</v>
      </c>
      <c r="H26" s="1050" t="s">
        <v>1475</v>
      </c>
      <c r="I26" s="1329"/>
      <c r="J26" s="1329"/>
      <c r="K26" s="1329"/>
      <c r="L26" s="1050" t="s">
        <v>1311</v>
      </c>
      <c r="M26" s="1329">
        <v>11</v>
      </c>
      <c r="N26" s="1329"/>
      <c r="O26" s="1328"/>
    </row>
    <row r="27" spans="1:15" x14ac:dyDescent="0.25">
      <c r="A27" s="1050" t="s">
        <v>1325</v>
      </c>
      <c r="B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Sheet'!A27,INDIRECT("'"&amp;E27&amp;"'"&amp;"!A17:Z17"),0),4),1,""),""))))),12)</f>
        <v>I12</v>
      </c>
      <c r="C27" s="1050" t="str">
        <f ca="1">_xlfn.CONCAT(IFERROR(SUBSTITUTE(ADDRESS(1,MATCH('[2]Mapping Sheet'!A27,INDIRECT("'"&amp;E27&amp;"'"&amp;"!A4:Z4"),0),4),1,""),IFERROR(SUBSTITUTE(ADDRESS(1,MATCH('[2]Mapping Sheet'!A27,INDIRECT("'"&amp;E27&amp;"'"&amp;"!A9:Z9"),0),4),1,""),IFERROR(SUBSTITUTE(ADDRESS(1,MATCH('[2]Mapping Sheet'!A27,INDIRECT("'"&amp;E27&amp;"'"&amp;"!A12:Z12"),0),4),1,""),IFERROR(SUBSTITUTE(ADDRESS(1,MATCH('[2]Mapping Sheet'!A27,INDIRECT("'"&amp;E27&amp;"'"&amp;"!A15:Z15"),0),4),1,""),IFERROR(SUBSTITUTE(ADDRESS(1,MATCH('[2]Mapping Sheet'!A27,INDIRECT("'"&amp;E27&amp;"'"&amp;"!A17:Z17"),0),4),1,""),""))))),13)</f>
        <v>I13</v>
      </c>
      <c r="D27" s="1050" t="s">
        <v>1457</v>
      </c>
      <c r="E27" s="1050" t="s">
        <v>1458</v>
      </c>
      <c r="F27" s="1050" t="s">
        <v>1325</v>
      </c>
      <c r="G27" s="1050" t="s">
        <v>1480</v>
      </c>
      <c r="H27" s="1050" t="s">
        <v>1475</v>
      </c>
      <c r="I27" s="1329"/>
      <c r="J27" s="1329"/>
      <c r="K27" s="1329"/>
      <c r="L27" s="1329"/>
      <c r="M27" s="1329"/>
      <c r="N27" s="1329"/>
      <c r="O27" s="132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9"/>
      <c r="J28" s="1329"/>
      <c r="K28" s="1329"/>
      <c r="L28" s="1112" t="s">
        <v>1550</v>
      </c>
      <c r="M28" s="1329">
        <v>238</v>
      </c>
      <c r="N28" s="1329"/>
      <c r="O28" s="132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9"/>
      <c r="J29" s="1329"/>
      <c r="K29" s="1329"/>
      <c r="L29" s="1112" t="s">
        <v>1485</v>
      </c>
      <c r="M29" s="1329">
        <v>239</v>
      </c>
      <c r="N29" s="1329"/>
      <c r="O29" s="132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9"/>
      <c r="J30" s="1329"/>
      <c r="K30" s="1329"/>
      <c r="L30" s="1112" t="s">
        <v>1361</v>
      </c>
      <c r="M30" s="1329">
        <v>240</v>
      </c>
      <c r="N30" s="1329"/>
      <c r="O30" s="1328"/>
    </row>
    <row r="31" spans="1:15" x14ac:dyDescent="0.25">
      <c r="A31" s="1050" t="s">
        <v>1579</v>
      </c>
      <c r="B31" s="1047" t="str">
        <f>IFERROR(_xlfn.CONCAT("C",MATCH(A31,[2]Welcome!C$1:C$60,0)),"")</f>
        <v>C20</v>
      </c>
      <c r="C31" s="1047" t="str">
        <f>IFERROR(_xlfn.CONCAT("D",MATCH(A31,[2]Welcome!C$1:C$61,0)),"")</f>
        <v>D20</v>
      </c>
      <c r="D31" s="1050" t="s">
        <v>1457</v>
      </c>
      <c r="E31" s="1050" t="s">
        <v>1481</v>
      </c>
      <c r="F31" s="1050" t="s">
        <v>1482</v>
      </c>
      <c r="G31" s="1050" t="s">
        <v>1483</v>
      </c>
      <c r="H31" s="1050" t="s">
        <v>1475</v>
      </c>
      <c r="I31" s="1329"/>
      <c r="J31" s="1329"/>
      <c r="K31" s="1329"/>
      <c r="L31" s="1329" t="s">
        <v>1534</v>
      </c>
      <c r="M31" s="1329">
        <v>22</v>
      </c>
      <c r="N31" s="1329"/>
      <c r="O31" s="1328"/>
    </row>
    <row r="32" spans="1:15" x14ac:dyDescent="0.25">
      <c r="A32" s="1050" t="s">
        <v>245</v>
      </c>
      <c r="B32" s="1047" t="str">
        <f ca="1">_xlfn.CONCAT(IFERROR(SUBSTITUTE(ADDRESS(1,MATCH('[2]Mapping Sheet'!A32,INDIRECT("'"&amp;E32&amp;"'"&amp;"!A25:Z25"),0),4),1,""),""),25)</f>
        <v>C25</v>
      </c>
      <c r="C32" s="1050" t="str">
        <f ca="1">_xlfn.CONCAT(IFERROR(SUBSTITUTE(ADDRESS(1,MATCH('[2]Mapping Sheet'!A32,INDIRECT("'"&amp;E32&amp;"'"&amp;"!A25:Z25"),0),4),1,""),""),26)</f>
        <v>C26</v>
      </c>
      <c r="D32" s="1050" t="s">
        <v>1457</v>
      </c>
      <c r="E32" s="1050" t="s">
        <v>1481</v>
      </c>
      <c r="F32" s="1050" t="s">
        <v>84</v>
      </c>
      <c r="G32" s="1050" t="s">
        <v>1460</v>
      </c>
      <c r="H32" s="1050" t="s">
        <v>1484</v>
      </c>
      <c r="I32" s="1329"/>
      <c r="J32" s="1329"/>
      <c r="K32" s="1329"/>
      <c r="L32" s="1329"/>
      <c r="M32" s="1329"/>
      <c r="N32" s="1329"/>
      <c r="O32" s="1328"/>
    </row>
    <row r="33" spans="1:15" x14ac:dyDescent="0.25">
      <c r="A33" s="1050" t="s">
        <v>266</v>
      </c>
      <c r="B33" s="1047" t="str">
        <f ca="1">_xlfn.CONCAT(IFERROR(SUBSTITUTE(ADDRESS(1,MATCH('[2]Mapping Sheet'!A33,INDIRECT("'"&amp;E33&amp;"'"&amp;"!A25:Z25"),0),4),1,""),""),25)</f>
        <v>G25</v>
      </c>
      <c r="C33" s="1050" t="str">
        <f ca="1">_xlfn.CONCAT(IFERROR(SUBSTITUTE(ADDRESS(1,MATCH('[2]Mapping Sheet'!A33,INDIRECT("'"&amp;E33&amp;"'"&amp;"!A25:Z25"),0),4),1,""),""),26)</f>
        <v>G26</v>
      </c>
      <c r="D33" s="1050" t="s">
        <v>1457</v>
      </c>
      <c r="E33" s="1050" t="s">
        <v>1481</v>
      </c>
      <c r="F33" s="1050" t="s">
        <v>266</v>
      </c>
      <c r="G33" s="1050" t="s">
        <v>1462</v>
      </c>
      <c r="H33" s="1050" t="s">
        <v>1484</v>
      </c>
      <c r="I33" s="1329"/>
      <c r="J33" s="1329"/>
      <c r="K33" s="1329"/>
      <c r="L33" s="1329"/>
      <c r="M33" s="1329"/>
      <c r="N33" s="1329"/>
      <c r="O33" s="1328"/>
    </row>
    <row r="34" spans="1:15" x14ac:dyDescent="0.25">
      <c r="A34" s="1050" t="s">
        <v>657</v>
      </c>
      <c r="B34" s="1047" t="str">
        <f ca="1">_xlfn.CONCAT(IFERROR(SUBSTITUTE(ADDRESS(1,MATCH('[2]Mapping Sheet'!A34,INDIRECT("'"&amp;E34&amp;"'"&amp;"!A25:Z25"),0),4),1,""),""),25)</f>
        <v>D25</v>
      </c>
      <c r="C34" s="1050" t="str">
        <f ca="1">_xlfn.CONCAT(IFERROR(SUBSTITUTE(ADDRESS(1,MATCH('[2]Mapping Sheet'!A34,INDIRECT("'"&amp;E34&amp;"'"&amp;"!A25:Z25"),0),4),1,""),""),26)</f>
        <v>D26</v>
      </c>
      <c r="D34" s="1050" t="s">
        <v>1457</v>
      </c>
      <c r="E34" s="1050" t="s">
        <v>1481</v>
      </c>
      <c r="F34" s="1050" t="s">
        <v>657</v>
      </c>
      <c r="G34" s="1050" t="s">
        <v>1477</v>
      </c>
      <c r="H34" s="1050" t="s">
        <v>1484</v>
      </c>
      <c r="I34" s="1329"/>
      <c r="J34" s="1329"/>
      <c r="K34" s="1329"/>
      <c r="L34" s="1329" t="s">
        <v>657</v>
      </c>
      <c r="M34" s="1329">
        <v>23</v>
      </c>
      <c r="N34" s="1329"/>
      <c r="O34" s="1328"/>
    </row>
    <row r="35" spans="1:15" x14ac:dyDescent="0.25">
      <c r="A35" s="1050" t="s">
        <v>1248</v>
      </c>
      <c r="B35" s="1047" t="str">
        <f ca="1">_xlfn.CONCAT(IFERROR(SUBSTITUTE(ADDRESS(1,MATCH('[2]Mapping Sheet'!A35,INDIRECT("'"&amp;E35&amp;"'"&amp;"!A25:Z25"),0),4),1,""),""),25)</f>
        <v>E25</v>
      </c>
      <c r="C35" s="1050" t="str">
        <f ca="1">_xlfn.CONCAT(IFERROR(SUBSTITUTE(ADDRESS(1,MATCH('[2]Mapping Sheet'!A35,INDIRECT("'"&amp;E35&amp;"'"&amp;"!A25:Z25"),0),4),1,""),""),26)</f>
        <v>E26</v>
      </c>
      <c r="D35" s="1050" t="s">
        <v>1457</v>
      </c>
      <c r="E35" s="1050" t="s">
        <v>1481</v>
      </c>
      <c r="F35" s="1050" t="s">
        <v>1248</v>
      </c>
      <c r="G35" s="1050" t="s">
        <v>662</v>
      </c>
      <c r="H35" s="1050" t="s">
        <v>1484</v>
      </c>
      <c r="I35" s="1329"/>
      <c r="J35" s="1329"/>
      <c r="K35" s="1329"/>
      <c r="L35" s="1329" t="s">
        <v>1248</v>
      </c>
      <c r="M35" s="1329">
        <v>24</v>
      </c>
      <c r="N35" s="1329"/>
      <c r="O35" s="1328"/>
    </row>
    <row r="36" spans="1:15" x14ac:dyDescent="0.25">
      <c r="A36" s="1050" t="s">
        <v>1249</v>
      </c>
      <c r="B36" s="1047" t="str">
        <f ca="1">_xlfn.CONCAT(IFERROR(SUBSTITUTE(ADDRESS(1,MATCH('[2]Mapping Sheet'!A36,INDIRECT("'"&amp;E36&amp;"'"&amp;"!A25:Z25"),0),4),1,""),""),25)</f>
        <v>F25</v>
      </c>
      <c r="C36" s="1050" t="str">
        <f ca="1">_xlfn.CONCAT(IFERROR(SUBSTITUTE(ADDRESS(1,MATCH('[2]Mapping Sheet'!A36,INDIRECT("'"&amp;E36&amp;"'"&amp;"!A25:Z25"),0),4),1,""),""),26)</f>
        <v>F26</v>
      </c>
      <c r="D36" s="1050" t="s">
        <v>1457</v>
      </c>
      <c r="E36" s="1050" t="s">
        <v>1481</v>
      </c>
      <c r="F36" s="1050" t="s">
        <v>1249</v>
      </c>
      <c r="G36" s="1050" t="s">
        <v>1463</v>
      </c>
      <c r="H36" s="1050" t="s">
        <v>1484</v>
      </c>
      <c r="I36" s="1329"/>
      <c r="J36" s="1329"/>
      <c r="K36" s="1329"/>
      <c r="L36" s="1329" t="s">
        <v>1249</v>
      </c>
      <c r="M36" s="1329">
        <v>25</v>
      </c>
      <c r="N36" s="1329"/>
      <c r="O36" s="1328"/>
    </row>
    <row r="37" spans="1:15" x14ac:dyDescent="0.25">
      <c r="A37" s="1050" t="s">
        <v>1250</v>
      </c>
      <c r="B37" s="1047" t="str">
        <f ca="1">_xlfn.CONCAT(IFERROR(SUBSTITUTE(ADDRESS(1,MATCH('[2]Mapping Sheet'!A37,INDIRECT("'"&amp;E37&amp;"'"&amp;"!A25:Z25"),0),4),1,""),""),25)</f>
        <v>H25</v>
      </c>
      <c r="C37" s="1050" t="str">
        <f ca="1">_xlfn.CONCAT(IFERROR(SUBSTITUTE(ADDRESS(1,MATCH('[2]Mapping Sheet'!A37,INDIRECT("'"&amp;E37&amp;"'"&amp;"!A25:Z25"),0),4),1,""),""),26)</f>
        <v>H26</v>
      </c>
      <c r="D37" s="1050" t="s">
        <v>1457</v>
      </c>
      <c r="E37" s="1050" t="s">
        <v>1481</v>
      </c>
      <c r="F37" s="1050" t="s">
        <v>1250</v>
      </c>
      <c r="G37" s="1050" t="s">
        <v>1468</v>
      </c>
      <c r="H37" s="1050" t="s">
        <v>1484</v>
      </c>
      <c r="I37" s="1329"/>
      <c r="J37" s="1329"/>
      <c r="K37" s="1329"/>
      <c r="L37" s="1329" t="s">
        <v>1250</v>
      </c>
      <c r="M37" s="1329">
        <v>26</v>
      </c>
      <c r="N37" s="1329"/>
      <c r="O37" s="1328"/>
    </row>
    <row r="38" spans="1:15" x14ac:dyDescent="0.25">
      <c r="A38" s="1050" t="s">
        <v>1269</v>
      </c>
      <c r="B38" s="1047" t="str">
        <f>IFERROR(_xlfn.CONCAT("C",MATCH(A38,[2]Welcome!C$1:C$60,0)),"")</f>
        <v>C8</v>
      </c>
      <c r="C38" s="1047" t="str">
        <f>IFERROR(_xlfn.CONCAT("D",MATCH(A38,[2]Welcome!C$1:C$61,0)),"")</f>
        <v>D8</v>
      </c>
      <c r="D38" s="1050" t="s">
        <v>1457</v>
      </c>
      <c r="E38" s="1050" t="s">
        <v>1481</v>
      </c>
      <c r="F38" s="1050"/>
      <c r="G38" s="1050"/>
      <c r="H38" s="1050"/>
      <c r="I38" s="1329"/>
      <c r="J38" s="1329"/>
      <c r="K38" s="1329"/>
      <c r="L38" s="1329" t="s">
        <v>1510</v>
      </c>
      <c r="M38" s="1329">
        <v>5</v>
      </c>
      <c r="N38" s="1329"/>
      <c r="O38" s="1328"/>
    </row>
    <row r="39" spans="1:15" x14ac:dyDescent="0.25">
      <c r="A39" s="1050" t="s">
        <v>1506</v>
      </c>
      <c r="B39" s="1047" t="str">
        <f>IFERROR(_xlfn.CONCAT("C",MATCH(A39,[2]Welcome!C$1:C$60,0)),"")</f>
        <v>C12</v>
      </c>
      <c r="C39" s="1047" t="str">
        <f>IFERROR(_xlfn.CONCAT("D",MATCH(A39,[2]Welcome!C$1:C$61,0)),"")</f>
        <v>D12</v>
      </c>
      <c r="D39" s="1050" t="s">
        <v>1457</v>
      </c>
      <c r="E39" s="1050" t="s">
        <v>1481</v>
      </c>
      <c r="F39" s="1050"/>
      <c r="G39" s="1050"/>
      <c r="H39" s="1050"/>
      <c r="I39" s="1329"/>
      <c r="J39" s="1329"/>
      <c r="K39" s="1328"/>
      <c r="L39" s="1329" t="s">
        <v>1511</v>
      </c>
      <c r="M39" s="1329">
        <v>6</v>
      </c>
      <c r="N39" s="1329"/>
      <c r="O39" s="1328"/>
    </row>
    <row r="40" spans="1:15" x14ac:dyDescent="0.25">
      <c r="A40" s="1050" t="s">
        <v>1507</v>
      </c>
      <c r="B40" s="1047" t="str">
        <f>IFERROR(_xlfn.CONCAT("C",MATCH(A40,[2]Welcome!C$1:C$60,0)),"")</f>
        <v>C16</v>
      </c>
      <c r="C40" s="1047" t="str">
        <f>IFERROR(_xlfn.CONCAT("D",MATCH(A40,[2]Welcome!C$1:C$61,0)),"")</f>
        <v>D16</v>
      </c>
      <c r="D40" s="1050" t="s">
        <v>1457</v>
      </c>
      <c r="E40" s="1050" t="s">
        <v>1481</v>
      </c>
      <c r="F40" s="1050"/>
      <c r="G40" s="1050"/>
      <c r="H40" s="1050"/>
      <c r="I40" s="1329"/>
      <c r="J40" s="1329"/>
      <c r="K40" s="1328"/>
      <c r="L40" s="1329" t="s">
        <v>1512</v>
      </c>
      <c r="M40" s="1329">
        <v>20</v>
      </c>
      <c r="N40" s="1329"/>
      <c r="O40" s="1328"/>
    </row>
    <row r="41" spans="1:15" x14ac:dyDescent="0.25">
      <c r="A41" s="1050" t="s">
        <v>1508</v>
      </c>
      <c r="B41" s="1047" t="str">
        <f>IFERROR(_xlfn.CONCAT("C",MATCH(A41,[2]Welcome!C$1:C$60,0)),"")</f>
        <v>C18</v>
      </c>
      <c r="C41" s="1047" t="str">
        <f>IFERROR(_xlfn.CONCAT("D",MATCH(A41,[2]Welcome!C$1:C$61,0)),"")</f>
        <v>D18</v>
      </c>
      <c r="D41" s="1050" t="s">
        <v>1457</v>
      </c>
      <c r="E41" s="1050" t="s">
        <v>1481</v>
      </c>
      <c r="F41" s="1050"/>
      <c r="G41" s="1050"/>
      <c r="H41" s="1050"/>
      <c r="I41" s="1329"/>
      <c r="J41" s="1329"/>
      <c r="K41" s="1328"/>
      <c r="L41" s="1329" t="s">
        <v>1513</v>
      </c>
      <c r="M41" s="1329">
        <v>21</v>
      </c>
      <c r="N41" s="1329"/>
      <c r="O41" s="1328"/>
    </row>
    <row r="42" spans="1:15" x14ac:dyDescent="0.25">
      <c r="A42" s="1050" t="s">
        <v>1577</v>
      </c>
      <c r="B42" s="1047" t="str">
        <f>IFERROR(_xlfn.CONCAT("C",MATCH(A42,[2]Welcome!C$1:C$60,0)),"")</f>
        <v>C14</v>
      </c>
      <c r="C42" s="1047" t="str">
        <f>IFERROR(_xlfn.CONCAT("D",MATCH(A42,[2]Welcome!C$1:C$61,0)),"")</f>
        <v>D14</v>
      </c>
      <c r="D42" s="1050" t="s">
        <v>1457</v>
      </c>
      <c r="E42" s="1050" t="s">
        <v>1481</v>
      </c>
      <c r="F42" s="1050"/>
      <c r="G42" s="1050"/>
      <c r="H42" s="1050"/>
      <c r="I42" s="1329"/>
      <c r="J42" s="1329"/>
      <c r="K42" s="1328"/>
      <c r="L42" s="1329" t="s">
        <v>1581</v>
      </c>
      <c r="M42" s="1329">
        <v>27</v>
      </c>
      <c r="N42" s="1329"/>
      <c r="O42" s="132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8"/>
    </row>
    <row r="46" spans="1:15" x14ac:dyDescent="0.25">
      <c r="A46" s="1129" t="s">
        <v>1277</v>
      </c>
      <c r="B46" s="1050" t="str">
        <f ca="1">_xlfn.IFNA(_xlfn.CONCAT(IF('[2]Customer Inputs'!$U$6="Existing",SUBSTITUTE(ADDRESS(1,MATCH(O46,INDIRECT("'"&amp;E46&amp;"'"&amp;"!$A$5:$Z$5"),0),4),1,""),SUBSTITUTE(ADDRESS(1,MATCH(A46,INDIRECT("'"&amp;E46&amp;"'"&amp;"!A$5:Z$5"),0),4),1,"")),6),"")</f>
        <v>P6</v>
      </c>
      <c r="C46" s="1050" t="str">
        <f ca="1">_xlfn.IFNA(IF('[2]Customer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8" t="s">
        <v>915</v>
      </c>
    </row>
    <row r="47" spans="1:15" x14ac:dyDescent="0.25">
      <c r="A47" s="1132" t="s">
        <v>1278</v>
      </c>
      <c r="B47" s="1050" t="str">
        <f ca="1">_xlfn.IFNA(_xlfn.CONCAT(IF('[2]Customer Inputs'!$U$6="Existing",SUBSTITUTE(ADDRESS(1,MATCH(O47,INDIRECT("'"&amp;E47&amp;"'"&amp;"!$A$5:$Z$5"),0),4),1,""),SUBSTITUTE(ADDRESS(1,MATCH(A47,INDIRECT("'"&amp;E47&amp;"'"&amp;"!A$5:Z$5"),0),4),1,"")),6),"")</f>
        <v>Q6</v>
      </c>
      <c r="C47" s="1050" t="str">
        <f ca="1">_xlfn.IFNA(IF('[2]Customer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8" t="s">
        <v>1275</v>
      </c>
    </row>
    <row r="48" spans="1:15" x14ac:dyDescent="0.25">
      <c r="A48" s="1132" t="s">
        <v>1279</v>
      </c>
      <c r="B48" s="1050" t="str">
        <f ca="1">_xlfn.IFNA(_xlfn.CONCAT(IF('[2]Customer Inputs'!$U$6="Existing",SUBSTITUTE(ADDRESS(1,MATCH(O48,INDIRECT("'"&amp;E48&amp;"'"&amp;"!$A$5:$Z$5"),0),4),1,""),SUBSTITUTE(ADDRESS(1,MATCH(A48,INDIRECT("'"&amp;E48&amp;"'"&amp;"!A$5:Z$5"),0),4),1,"")),6),"")</f>
        <v>R6</v>
      </c>
      <c r="C48" s="1050" t="str">
        <f ca="1">_xlfn.IFNA(IF('[2]Customer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8" t="s">
        <v>1282</v>
      </c>
    </row>
    <row r="49" spans="1:15" x14ac:dyDescent="0.25">
      <c r="A49" s="1132" t="s">
        <v>1280</v>
      </c>
      <c r="B49" s="1050" t="str">
        <f ca="1">_xlfn.IFNA(_xlfn.CONCAT(IF('[2]Customer Inputs'!$U$6="Existing",SUBSTITUTE(ADDRESS(1,MATCH(O49,INDIRECT("'"&amp;E49&amp;"'"&amp;"!$A$5:$Z$5"),0),4),1,""),SUBSTITUTE(ADDRESS(1,MATCH(A49,INDIRECT("'"&amp;E49&amp;"'"&amp;"!A$5:Z$5"),0),4),1,"")),6),"")</f>
        <v>T6</v>
      </c>
      <c r="C49" s="1050" t="str">
        <f ca="1">_xlfn.IFNA(IF('[2]Customer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8"/>
    </row>
    <row r="52" spans="1:15" x14ac:dyDescent="0.25">
      <c r="A52" s="1132" t="s">
        <v>1758</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1758</v>
      </c>
      <c r="M52" s="1050"/>
      <c r="N52" s="1050"/>
      <c r="O52" s="132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8"/>
    </row>
    <row r="56" spans="1:15" x14ac:dyDescent="0.25">
      <c r="A56" s="1133" t="s">
        <v>1277</v>
      </c>
      <c r="B56" s="1050" t="str">
        <f ca="1">_xlfn.IFNA(_xlfn.CONCAT(IF('[2]Customer Inputs'!$U$7="Existing",SUBSTITUTE(ADDRESS(1,MATCH(O56,INDIRECT("'"&amp;E56&amp;"'"&amp;"!A5:Z5"),0),4),1,""),SUBSTITUTE(ADDRESS(1,MATCH(A56,INDIRECT("'"&amp;E56&amp;"'"&amp;"!A5:Z5"),0),4),1,"")),7),"")</f>
        <v>P7</v>
      </c>
      <c r="C56" s="1050" t="str">
        <f ca="1">_xlfn.IFNA(IF('[2]Customer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8" t="s">
        <v>915</v>
      </c>
    </row>
    <row r="57" spans="1:15" x14ac:dyDescent="0.25">
      <c r="A57" s="1135" t="s">
        <v>1278</v>
      </c>
      <c r="B57" s="1050" t="str">
        <f ca="1">_xlfn.IFNA(_xlfn.CONCAT(IF('[2]Customer Inputs'!$U$7="Existing",SUBSTITUTE(ADDRESS(1,MATCH(O57,INDIRECT("'"&amp;E57&amp;"'"&amp;"!A5:Z5"),0),4),1,""),SUBSTITUTE(ADDRESS(1,MATCH(A57,INDIRECT("'"&amp;E57&amp;"'"&amp;"!A5:Z5"),0),4),1,"")),7),"")</f>
        <v>Q7</v>
      </c>
      <c r="C57" s="1050" t="str">
        <f ca="1">_xlfn.IFNA(IF('[2]Customer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8" t="s">
        <v>1275</v>
      </c>
    </row>
    <row r="58" spans="1:15" x14ac:dyDescent="0.25">
      <c r="A58" s="1135" t="s">
        <v>1279</v>
      </c>
      <c r="B58" s="1050" t="str">
        <f ca="1">_xlfn.IFNA(_xlfn.CONCAT(IF('[2]Customer Inputs'!$U$7="Existing",SUBSTITUTE(ADDRESS(1,MATCH(O58,INDIRECT("'"&amp;E58&amp;"'"&amp;"!A5:Z5"),0),4),1,""),SUBSTITUTE(ADDRESS(1,MATCH(A58,INDIRECT("'"&amp;E58&amp;"'"&amp;"!A5:Z5"),0),4),1,"")),7),"")</f>
        <v>R7</v>
      </c>
      <c r="C58" s="1050" t="str">
        <f ca="1">_xlfn.IFNA(IF('[2]Customer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8" t="s">
        <v>1282</v>
      </c>
    </row>
    <row r="59" spans="1:15" x14ac:dyDescent="0.25">
      <c r="A59" s="1135" t="s">
        <v>1280</v>
      </c>
      <c r="B59" s="1050" t="str">
        <f ca="1">_xlfn.IFNA(_xlfn.CONCAT(IF('[2]Customer Inputs'!$U$7="Existing",SUBSTITUTE(ADDRESS(1,MATCH(O59,INDIRECT("'"&amp;E59&amp;"'"&amp;"!A5:Z5"),0),4),1,""),SUBSTITUTE(ADDRESS(1,MATCH(A59,INDIRECT("'"&amp;E59&amp;"'"&amp;"!A5:Z5"),0),4),1,"")),7),"")</f>
        <v>T7</v>
      </c>
      <c r="C59" s="1050" t="str">
        <f ca="1">_xlfn.IFNA(IF('[2]Customer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8"/>
    </row>
    <row r="62" spans="1:15" x14ac:dyDescent="0.25">
      <c r="A62" s="1135" t="s">
        <v>1758</v>
      </c>
      <c r="B62" s="1050" t="str">
        <f t="shared" ca="1" si="6"/>
        <v/>
      </c>
      <c r="C62" s="1050" t="str">
        <f t="shared" ca="1" si="5"/>
        <v/>
      </c>
      <c r="D62" s="1050" t="s">
        <v>1464</v>
      </c>
      <c r="E62" s="1050" t="s">
        <v>917</v>
      </c>
      <c r="F62" s="1050"/>
      <c r="G62" s="1050"/>
      <c r="H62" s="1050"/>
      <c r="I62" s="1050"/>
      <c r="J62" s="1050"/>
      <c r="K62" s="1050"/>
      <c r="L62" s="1111" t="s">
        <v>1758</v>
      </c>
      <c r="M62" s="1050"/>
      <c r="N62" s="1050"/>
      <c r="O62" s="132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8"/>
    </row>
    <row r="66" spans="1:15" x14ac:dyDescent="0.25">
      <c r="A66" s="1129" t="s">
        <v>1277</v>
      </c>
      <c r="B66" s="1050" t="str">
        <f ca="1">_xlfn.IFNA(_xlfn.CONCAT(IF('[2]Customer Inputs'!$U$8="Existing",SUBSTITUTE(ADDRESS(1,MATCH(O66,INDIRECT("'"&amp;E66&amp;"'"&amp;"!A5:Z5"),0),4),1,""),SUBSTITUTE(ADDRESS(1,MATCH(A66,INDIRECT("'"&amp;E66&amp;"'"&amp;"!A5:Z5"),0),4),1,"")),8),"")</f>
        <v>P8</v>
      </c>
      <c r="C66" s="1050" t="str">
        <f ca="1">_xlfn.IFNA(IF('[2]Customer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8" t="s">
        <v>915</v>
      </c>
    </row>
    <row r="67" spans="1:15" x14ac:dyDescent="0.25">
      <c r="A67" s="1132" t="s">
        <v>1278</v>
      </c>
      <c r="B67" s="1050" t="str">
        <f ca="1">_xlfn.IFNA(_xlfn.CONCAT(IF('[2]Customer Inputs'!$U$8="Existing",SUBSTITUTE(ADDRESS(1,MATCH(O67,INDIRECT("'"&amp;E67&amp;"'"&amp;"!A5:Z5"),0),4),1,""),SUBSTITUTE(ADDRESS(1,MATCH(A67,INDIRECT("'"&amp;E67&amp;"'"&amp;"!A5:Z5"),0),4),1,"")),8),"")</f>
        <v>Q8</v>
      </c>
      <c r="C67" s="1050" t="str">
        <f ca="1">_xlfn.IFNA(IF('[2]Customer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8" t="s">
        <v>1275</v>
      </c>
    </row>
    <row r="68" spans="1:15" x14ac:dyDescent="0.25">
      <c r="A68" s="1132" t="s">
        <v>1279</v>
      </c>
      <c r="B68" s="1050" t="str">
        <f ca="1">_xlfn.IFNA(_xlfn.CONCAT(IF('[2]Customer Inputs'!$U$8="Existing",SUBSTITUTE(ADDRESS(1,MATCH(O68,INDIRECT("'"&amp;E68&amp;"'"&amp;"!A5:Z5"),0),4),1,""),SUBSTITUTE(ADDRESS(1,MATCH(A68,INDIRECT("'"&amp;E68&amp;"'"&amp;"!A5:Z5"),0),4),1,"")),8),"")</f>
        <v>R8</v>
      </c>
      <c r="C68" s="1050" t="str">
        <f ca="1">_xlfn.IFNA(IF('[2]Customer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8" t="s">
        <v>1282</v>
      </c>
    </row>
    <row r="69" spans="1:15" x14ac:dyDescent="0.25">
      <c r="A69" s="1132" t="s">
        <v>1280</v>
      </c>
      <c r="B69" s="1050" t="str">
        <f ca="1">_xlfn.IFNA(_xlfn.CONCAT(IF('[2]Customer Inputs'!$U$8="Existing",SUBSTITUTE(ADDRESS(1,MATCH(O69,INDIRECT("'"&amp;E69&amp;"'"&amp;"!A5:Z5"),0),4),1,""),SUBSTITUTE(ADDRESS(1,MATCH(A69,INDIRECT("'"&amp;E69&amp;"'"&amp;"!A5:Z5"),0),4),1,"")),8),"")</f>
        <v>T8</v>
      </c>
      <c r="C69" s="1050" t="str">
        <f ca="1">_xlfn.IFNA(IF('[2]Customer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8"/>
    </row>
    <row r="72" spans="1:15" x14ac:dyDescent="0.25">
      <c r="A72" s="1132" t="s">
        <v>1758</v>
      </c>
      <c r="B72" s="1050" t="str">
        <f t="shared" ca="1" si="7"/>
        <v/>
      </c>
      <c r="C72" s="1050" t="str">
        <f t="shared" ca="1" si="5"/>
        <v/>
      </c>
      <c r="D72" s="1050" t="s">
        <v>1464</v>
      </c>
      <c r="E72" s="1050" t="s">
        <v>917</v>
      </c>
      <c r="F72" s="1050"/>
      <c r="G72" s="1050"/>
      <c r="H72" s="1050"/>
      <c r="I72" s="1050"/>
      <c r="J72" s="1050"/>
      <c r="K72" s="1050"/>
      <c r="L72" s="1111" t="s">
        <v>1758</v>
      </c>
      <c r="M72" s="1050"/>
      <c r="N72" s="1050"/>
      <c r="O72" s="132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8"/>
    </row>
    <row r="76" spans="1:15" x14ac:dyDescent="0.25">
      <c r="A76" s="1133" t="s">
        <v>1277</v>
      </c>
      <c r="B76" s="1050" t="str">
        <f ca="1">_xlfn.IFNA(_xlfn.CONCAT(IF('[2]Customer Inputs'!$U$9="Existing",SUBSTITUTE(ADDRESS(1,MATCH(O76,INDIRECT("'"&amp;E76&amp;"'"&amp;"!A5:Z5"),0),4),1,""),SUBSTITUTE(ADDRESS(1,MATCH(A76,INDIRECT("'"&amp;E76&amp;"'"&amp;"!A5:Z5"),0),4),1,"")),9),"")</f>
        <v>P9</v>
      </c>
      <c r="C76" s="1050" t="str">
        <f ca="1">_xlfn.IFNA(IF('[2]Customer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8" t="s">
        <v>915</v>
      </c>
    </row>
    <row r="77" spans="1:15" x14ac:dyDescent="0.25">
      <c r="A77" s="1135" t="s">
        <v>1278</v>
      </c>
      <c r="B77" s="1050" t="str">
        <f ca="1">_xlfn.IFNA(_xlfn.CONCAT(IF('[2]Customer Inputs'!$U$9="Existing",SUBSTITUTE(ADDRESS(1,MATCH(O77,INDIRECT("'"&amp;E77&amp;"'"&amp;"!A5:Z5"),0),4),1,""),SUBSTITUTE(ADDRESS(1,MATCH(A77,INDIRECT("'"&amp;E77&amp;"'"&amp;"!A5:Z5"),0),4),1,"")),9),"")</f>
        <v>Q9</v>
      </c>
      <c r="C77" s="1050" t="str">
        <f ca="1">_xlfn.IFNA(IF('[2]Customer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8" t="s">
        <v>1275</v>
      </c>
    </row>
    <row r="78" spans="1:15" x14ac:dyDescent="0.25">
      <c r="A78" s="1135" t="s">
        <v>1279</v>
      </c>
      <c r="B78" s="1050" t="str">
        <f ca="1">_xlfn.IFNA(_xlfn.CONCAT(IF('[2]Customer Inputs'!$U$9="Existing",SUBSTITUTE(ADDRESS(1,MATCH(O78,INDIRECT("'"&amp;E78&amp;"'"&amp;"!A5:Z5"),0),4),1,""),SUBSTITUTE(ADDRESS(1,MATCH(A78,INDIRECT("'"&amp;E78&amp;"'"&amp;"!A5:Z5"),0),4),1,"")),9),"")</f>
        <v>R9</v>
      </c>
      <c r="C78" s="1050" t="str">
        <f ca="1">_xlfn.IFNA(IF('[2]Customer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8" t="s">
        <v>1282</v>
      </c>
    </row>
    <row r="79" spans="1:15" x14ac:dyDescent="0.25">
      <c r="A79" s="1135" t="s">
        <v>1280</v>
      </c>
      <c r="B79" s="1050" t="str">
        <f ca="1">_xlfn.IFNA(_xlfn.CONCAT(IF('[2]Customer Inputs'!$U$9="Existing",SUBSTITUTE(ADDRESS(1,MATCH(O79,INDIRECT("'"&amp;E79&amp;"'"&amp;"!A5:Z5"),0),4),1,""),SUBSTITUTE(ADDRESS(1,MATCH(A79,INDIRECT("'"&amp;E79&amp;"'"&amp;"!A5:Z5"),0),4),1,"")),9),"")</f>
        <v>T9</v>
      </c>
      <c r="C79" s="1050" t="str">
        <f ca="1">_xlfn.IFNA(IF('[2]Customer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8"/>
    </row>
    <row r="82" spans="1:15" x14ac:dyDescent="0.25">
      <c r="A82" s="1135" t="s">
        <v>1758</v>
      </c>
      <c r="B82" s="1050" t="str">
        <f t="shared" ca="1" si="8"/>
        <v/>
      </c>
      <c r="C82" s="1050" t="str">
        <f t="shared" ca="1" si="5"/>
        <v/>
      </c>
      <c r="D82" s="1050" t="s">
        <v>1464</v>
      </c>
      <c r="E82" s="1050" t="s">
        <v>917</v>
      </c>
      <c r="F82" s="1050"/>
      <c r="G82" s="1050"/>
      <c r="H82" s="1050"/>
      <c r="I82" s="1050"/>
      <c r="J82" s="1050"/>
      <c r="K82" s="1050"/>
      <c r="L82" s="1111" t="s">
        <v>1758</v>
      </c>
      <c r="M82" s="1050"/>
      <c r="N82" s="1050"/>
      <c r="O82" s="132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8"/>
    </row>
    <row r="86" spans="1:15" x14ac:dyDescent="0.25">
      <c r="A86" s="1129" t="s">
        <v>1277</v>
      </c>
      <c r="B86" s="1050" t="str">
        <f ca="1">_xlfn.IFNA(_xlfn.CONCAT(IF('[2]Customer Inputs'!$U$10="Existing",SUBSTITUTE(ADDRESS(1,MATCH(O86,INDIRECT("'"&amp;E86&amp;"'"&amp;"!A5:Z5"),0),4),1,""),SUBSTITUTE(ADDRESS(1,MATCH(A86,INDIRECT("'"&amp;E86&amp;"'"&amp;"!A5:Z5"),0),4),1,"")),10),"")</f>
        <v>P10</v>
      </c>
      <c r="C86" s="1050" t="str">
        <f ca="1">_xlfn.IFNA(IF('[2]Customer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8" t="s">
        <v>915</v>
      </c>
    </row>
    <row r="87" spans="1:15" x14ac:dyDescent="0.25">
      <c r="A87" s="1132" t="s">
        <v>1278</v>
      </c>
      <c r="B87" s="1050" t="str">
        <f ca="1">_xlfn.IFNA(_xlfn.CONCAT(IF('[2]Customer Inputs'!$U$10="Existing",SUBSTITUTE(ADDRESS(1,MATCH(O87,INDIRECT("'"&amp;E87&amp;"'"&amp;"!A5:Z5"),0),4),1,""),SUBSTITUTE(ADDRESS(1,MATCH(A87,INDIRECT("'"&amp;E87&amp;"'"&amp;"!A5:Z5"),0),4),1,"")),10),"")</f>
        <v>Q10</v>
      </c>
      <c r="C87" s="1050" t="str">
        <f ca="1">_xlfn.IFNA(IF('[2]Customer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8" t="s">
        <v>1275</v>
      </c>
    </row>
    <row r="88" spans="1:15" x14ac:dyDescent="0.25">
      <c r="A88" s="1132" t="s">
        <v>1279</v>
      </c>
      <c r="B88" s="1050" t="str">
        <f ca="1">_xlfn.IFNA(_xlfn.CONCAT(IF('[2]Customer Inputs'!$U$10="Existing",SUBSTITUTE(ADDRESS(1,MATCH(O88,INDIRECT("'"&amp;E88&amp;"'"&amp;"!A5:Z5"),0),4),1,""),SUBSTITUTE(ADDRESS(1,MATCH(A88,INDIRECT("'"&amp;E88&amp;"'"&amp;"!A5:Z5"),0),4),1,"")),10),"")</f>
        <v>R10</v>
      </c>
      <c r="C88" s="1050" t="str">
        <f ca="1">_xlfn.IFNA(IF('[2]Customer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8" t="s">
        <v>1282</v>
      </c>
    </row>
    <row r="89" spans="1:15" x14ac:dyDescent="0.25">
      <c r="A89" s="1132" t="s">
        <v>1280</v>
      </c>
      <c r="B89" s="1050" t="str">
        <f ca="1">_xlfn.IFNA(_xlfn.CONCAT(IF('[2]Customer Inputs'!$U$10="Existing",SUBSTITUTE(ADDRESS(1,MATCH(O89,INDIRECT("'"&amp;E89&amp;"'"&amp;"!A5:Z5"),0),4),1,""),SUBSTITUTE(ADDRESS(1,MATCH(A89,INDIRECT("'"&amp;E89&amp;"'"&amp;"!A5:Z5"),0),4),1,"")),10),"")</f>
        <v>T10</v>
      </c>
      <c r="C89" s="1050" t="str">
        <f ca="1">_xlfn.IFNA(IF('[2]Customer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8"/>
    </row>
    <row r="92" spans="1:15" x14ac:dyDescent="0.25">
      <c r="A92" s="1132" t="s">
        <v>1758</v>
      </c>
      <c r="B92" s="1050" t="str">
        <f t="shared" ca="1" si="9"/>
        <v/>
      </c>
      <c r="C92" s="1050" t="str">
        <f t="shared" ca="1" si="5"/>
        <v/>
      </c>
      <c r="D92" s="1050" t="s">
        <v>1464</v>
      </c>
      <c r="E92" s="1050" t="s">
        <v>917</v>
      </c>
      <c r="F92" s="1050"/>
      <c r="G92" s="1050"/>
      <c r="H92" s="1050"/>
      <c r="I92" s="1050"/>
      <c r="J92" s="1050"/>
      <c r="K92" s="1050"/>
      <c r="L92" s="1111" t="s">
        <v>1758</v>
      </c>
      <c r="M92" s="1050"/>
      <c r="N92" s="1050"/>
      <c r="O92" s="132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8"/>
    </row>
    <row r="96" spans="1:15" x14ac:dyDescent="0.25">
      <c r="A96" s="1133" t="s">
        <v>1277</v>
      </c>
      <c r="B96" s="1050" t="str">
        <f ca="1">_xlfn.IFNA(_xlfn.CONCAT(IF('[2]Customer Inputs'!$U$11="Existing",SUBSTITUTE(ADDRESS(1,MATCH(O96,INDIRECT("'"&amp;E96&amp;"'"&amp;"!A5:Z5"),0),4),1,""),SUBSTITUTE(ADDRESS(1,MATCH(A96,INDIRECT("'"&amp;E96&amp;"'"&amp;"!A5:Z5"),0),4),1,"")),11),"")</f>
        <v>P11</v>
      </c>
      <c r="C96" s="1050" t="str">
        <f ca="1">_xlfn.IFNA(IF('[2]Customer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8" t="s">
        <v>915</v>
      </c>
    </row>
    <row r="97" spans="1:15" x14ac:dyDescent="0.25">
      <c r="A97" s="1135" t="s">
        <v>1278</v>
      </c>
      <c r="B97" s="1050" t="str">
        <f ca="1">_xlfn.IFNA(_xlfn.CONCAT(IF('[2]Customer Inputs'!$U$11="Existing",SUBSTITUTE(ADDRESS(1,MATCH(O97,INDIRECT("'"&amp;E97&amp;"'"&amp;"!A5:Z5"),0),4),1,""),SUBSTITUTE(ADDRESS(1,MATCH(A97,INDIRECT("'"&amp;E97&amp;"'"&amp;"!A5:Z5"),0),4),1,"")),11),"")</f>
        <v>Q11</v>
      </c>
      <c r="C97" s="1050" t="str">
        <f ca="1">_xlfn.IFNA(IF('[2]Customer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8" t="s">
        <v>1275</v>
      </c>
    </row>
    <row r="98" spans="1:15" x14ac:dyDescent="0.25">
      <c r="A98" s="1135" t="s">
        <v>1279</v>
      </c>
      <c r="B98" s="1050" t="str">
        <f ca="1">_xlfn.IFNA(_xlfn.CONCAT(IF('[2]Customer Inputs'!$U$11="Existing",SUBSTITUTE(ADDRESS(1,MATCH(O98,INDIRECT("'"&amp;E98&amp;"'"&amp;"!A5:Z5"),0),4),1,""),SUBSTITUTE(ADDRESS(1,MATCH(A98,INDIRECT("'"&amp;E98&amp;"'"&amp;"!A5:Z5"),0),4),1,"")),11),"")</f>
        <v>R11</v>
      </c>
      <c r="C98" s="1050" t="str">
        <f ca="1">_xlfn.IFNA(IF('[2]Customer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8" t="s">
        <v>1282</v>
      </c>
    </row>
    <row r="99" spans="1:15" x14ac:dyDescent="0.25">
      <c r="A99" s="1135" t="s">
        <v>1280</v>
      </c>
      <c r="B99" s="1050" t="str">
        <f ca="1">_xlfn.IFNA(_xlfn.CONCAT(IF('[2]Customer Inputs'!$U$11="Existing",SUBSTITUTE(ADDRESS(1,MATCH(O99,INDIRECT("'"&amp;E99&amp;"'"&amp;"!A5:Z5"),0),4),1,""),SUBSTITUTE(ADDRESS(1,MATCH(A99,INDIRECT("'"&amp;E99&amp;"'"&amp;"!A5:Z5"),0),4),1,"")),11),"")</f>
        <v>T11</v>
      </c>
      <c r="C99" s="1050" t="str">
        <f ca="1">_xlfn.IFNA(IF('[2]Customer Inputs'!$U$11="Existing",SUBSTITUTE(ADDRESS(1,MATCH(O99,INDIRECT("'"&amp;E99&amp;"'"&amp;"!A5:Z5"),0),4),1,""),SUBSTITUTE(ADDRESS(1,MATCH(A99,INDIRECT("'"&amp;E99&amp;"'"&amp;"!A5:Z5"),0),4),1,"")),"")</f>
        <v>T</v>
      </c>
      <c r="D99" s="1050" t="s">
        <v>1464</v>
      </c>
      <c r="E99" s="1136" t="s">
        <v>917</v>
      </c>
      <c r="F99" s="1329"/>
      <c r="G99" s="1329"/>
      <c r="H99" s="1329"/>
      <c r="I99" s="1329"/>
      <c r="J99" s="1329"/>
      <c r="K99" s="1329"/>
      <c r="L99" s="1111" t="s">
        <v>1280</v>
      </c>
      <c r="M99" s="1329">
        <v>141</v>
      </c>
      <c r="N99" s="1329"/>
      <c r="O99" s="1328" t="s">
        <v>1276</v>
      </c>
    </row>
    <row r="100" spans="1:15" x14ac:dyDescent="0.25">
      <c r="A100" s="1135" t="s">
        <v>1281</v>
      </c>
      <c r="B100" s="1050" t="str">
        <f t="shared" ca="1" si="10"/>
        <v>U11</v>
      </c>
      <c r="C100" s="1050" t="str">
        <f t="shared" ca="1" si="5"/>
        <v>U</v>
      </c>
      <c r="D100" s="1050" t="s">
        <v>1464</v>
      </c>
      <c r="E100" s="1136" t="s">
        <v>917</v>
      </c>
      <c r="F100" s="1329"/>
      <c r="G100" s="1329"/>
      <c r="H100" s="1329"/>
      <c r="I100" s="1329"/>
      <c r="J100" s="1329"/>
      <c r="K100" s="1329"/>
      <c r="L100" s="1111" t="s">
        <v>1281</v>
      </c>
      <c r="M100" s="1329">
        <v>142</v>
      </c>
      <c r="N100" s="1329"/>
      <c r="O100" s="1328"/>
    </row>
    <row r="101" spans="1:15" x14ac:dyDescent="0.25">
      <c r="A101" s="1135" t="s">
        <v>1446</v>
      </c>
      <c r="B101" s="1050" t="str">
        <f t="shared" ca="1" si="10"/>
        <v>V11</v>
      </c>
      <c r="C101" s="1050" t="str">
        <f t="shared" ca="1" si="5"/>
        <v>V</v>
      </c>
      <c r="D101" s="1050" t="s">
        <v>1464</v>
      </c>
      <c r="E101" s="1136" t="s">
        <v>917</v>
      </c>
      <c r="F101" s="1329"/>
      <c r="G101" s="1329"/>
      <c r="H101" s="1329"/>
      <c r="I101" s="1329"/>
      <c r="J101" s="1329"/>
      <c r="K101" s="1329"/>
      <c r="L101" s="1111" t="s">
        <v>1537</v>
      </c>
      <c r="M101" s="1329">
        <v>143</v>
      </c>
      <c r="N101" s="1329"/>
      <c r="O101" s="1328"/>
    </row>
    <row r="102" spans="1:15" x14ac:dyDescent="0.25">
      <c r="A102" s="1135" t="s">
        <v>1758</v>
      </c>
      <c r="B102" s="1050" t="str">
        <f t="shared" ca="1" si="10"/>
        <v/>
      </c>
      <c r="C102" s="1050" t="str">
        <f t="shared" ca="1" si="5"/>
        <v/>
      </c>
      <c r="D102" s="1050" t="s">
        <v>1464</v>
      </c>
      <c r="E102" s="1136" t="s">
        <v>917</v>
      </c>
      <c r="F102" s="1329"/>
      <c r="G102" s="1329"/>
      <c r="H102" s="1329"/>
      <c r="I102" s="1329"/>
      <c r="J102" s="1329"/>
      <c r="K102" s="1329"/>
      <c r="L102" s="1111" t="s">
        <v>1758</v>
      </c>
      <c r="M102" s="1329"/>
      <c r="N102" s="1329"/>
      <c r="O102" s="132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9"/>
      <c r="G103" s="1329"/>
      <c r="H103" s="1329"/>
      <c r="I103" s="1329"/>
      <c r="J103" s="1329"/>
      <c r="K103" s="1329"/>
      <c r="L103" s="1050" t="s">
        <v>1274</v>
      </c>
      <c r="M103" s="1329">
        <v>155</v>
      </c>
      <c r="N103" s="1329"/>
      <c r="O103" s="132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9"/>
      <c r="G104" s="1329"/>
      <c r="H104" s="1329"/>
      <c r="I104" s="1329"/>
      <c r="J104" s="1329"/>
      <c r="K104" s="1329"/>
      <c r="L104" s="52" t="s">
        <v>1356</v>
      </c>
      <c r="M104" s="1329">
        <v>157</v>
      </c>
      <c r="N104" s="1329"/>
      <c r="O104" s="1328"/>
    </row>
    <row r="105" spans="1:15" ht="30" x14ac:dyDescent="0.25">
      <c r="A105" s="1129" t="s">
        <v>1357</v>
      </c>
      <c r="B105" s="1050" t="str">
        <f t="shared" ca="1" si="11"/>
        <v>J12</v>
      </c>
      <c r="C105" s="1050" t="str">
        <f t="shared" ca="1" si="5"/>
        <v>J</v>
      </c>
      <c r="D105" s="1050" t="s">
        <v>1464</v>
      </c>
      <c r="E105" s="1136" t="s">
        <v>917</v>
      </c>
      <c r="F105" s="1329"/>
      <c r="G105" s="1329"/>
      <c r="H105" s="1329"/>
      <c r="I105" s="1329"/>
      <c r="J105" s="1329"/>
      <c r="K105" s="1329"/>
      <c r="L105" s="1050" t="s">
        <v>1357</v>
      </c>
      <c r="M105" s="1329">
        <v>158</v>
      </c>
      <c r="N105" s="1329"/>
      <c r="O105" s="1328"/>
    </row>
    <row r="106" spans="1:15" x14ac:dyDescent="0.25">
      <c r="A106" s="1129" t="s">
        <v>1277</v>
      </c>
      <c r="B106" s="1050" t="str">
        <f ca="1">_xlfn.IFNA(_xlfn.CONCAT(IF('[2]Customer Inputs'!$U$12="Existing",SUBSTITUTE(ADDRESS(1,MATCH(O106,INDIRECT("'"&amp;E106&amp;"'"&amp;"!A5:Z5"),0),4),1,""),SUBSTITUTE(ADDRESS(1,MATCH(A106,INDIRECT("'"&amp;E106&amp;"'"&amp;"!A5:Z5"),0),4),1,"")),12),"")</f>
        <v>P12</v>
      </c>
      <c r="C106" s="1050" t="str">
        <f ca="1">_xlfn.IFNA(IF('[2]Customer Inputs'!$U$12="Existing",SUBSTITUTE(ADDRESS(1,MATCH(O106,INDIRECT("'"&amp;E106&amp;"'"&amp;"!A5:Z5"),0),4),1,""),SUBSTITUTE(ADDRESS(1,MATCH(A106,INDIRECT("'"&amp;E106&amp;"'"&amp;"!A5:Z5"),0),4),1,"")),"")</f>
        <v>P</v>
      </c>
      <c r="D106" s="1050" t="s">
        <v>1464</v>
      </c>
      <c r="E106" s="1136" t="s">
        <v>917</v>
      </c>
      <c r="F106" s="1329"/>
      <c r="G106" s="1329"/>
      <c r="H106" s="1329"/>
      <c r="I106" s="1329"/>
      <c r="J106" s="1329"/>
      <c r="K106" s="1329"/>
      <c r="L106" s="1050" t="s">
        <v>1277</v>
      </c>
      <c r="M106" s="1329">
        <v>159</v>
      </c>
      <c r="N106" s="1329"/>
      <c r="O106" s="1328" t="s">
        <v>915</v>
      </c>
    </row>
    <row r="107" spans="1:15" x14ac:dyDescent="0.25">
      <c r="A107" s="1132" t="s">
        <v>1278</v>
      </c>
      <c r="B107" s="1050" t="str">
        <f ca="1">_xlfn.IFNA(_xlfn.CONCAT(IF('[2]Customer Inputs'!$U$12="Existing",SUBSTITUTE(ADDRESS(1,MATCH(O107,INDIRECT("'"&amp;E107&amp;"'"&amp;"!A5:Z5"),0),4),1,""),SUBSTITUTE(ADDRESS(1,MATCH(A107,INDIRECT("'"&amp;E107&amp;"'"&amp;"!A5:Z5"),0),4),1,"")),12),"")</f>
        <v>Q12</v>
      </c>
      <c r="C107" s="1050" t="str">
        <f ca="1">_xlfn.IFNA(IF('[2]Customer Inputs'!$U$12="Existing",SUBSTITUTE(ADDRESS(1,MATCH(O107,INDIRECT("'"&amp;E107&amp;"'"&amp;"!A5:Z5"),0),4),1,""),SUBSTITUTE(ADDRESS(1,MATCH(A107,INDIRECT("'"&amp;E107&amp;"'"&amp;"!A5:Z5"),0),4),1,"")),"")</f>
        <v>Q</v>
      </c>
      <c r="D107" s="1050" t="s">
        <v>1464</v>
      </c>
      <c r="E107" s="1136" t="s">
        <v>917</v>
      </c>
      <c r="F107" s="1329"/>
      <c r="G107" s="1329"/>
      <c r="H107" s="1329"/>
      <c r="I107" s="1329"/>
      <c r="J107" s="1329"/>
      <c r="K107" s="1329"/>
      <c r="L107" s="1111" t="s">
        <v>1278</v>
      </c>
      <c r="M107" s="1329">
        <v>160</v>
      </c>
      <c r="N107" s="1329"/>
      <c r="O107" s="1328" t="s">
        <v>1275</v>
      </c>
    </row>
    <row r="108" spans="1:15" x14ac:dyDescent="0.25">
      <c r="A108" s="1132" t="s">
        <v>1279</v>
      </c>
      <c r="B108" s="1050" t="str">
        <f ca="1">_xlfn.IFNA(_xlfn.CONCAT(IF('[2]Customer Inputs'!$U$12="Existing",SUBSTITUTE(ADDRESS(1,MATCH(O108,INDIRECT("'"&amp;E108&amp;"'"&amp;"!A5:Z5"),0),4),1,""),SUBSTITUTE(ADDRESS(1,MATCH(A108,INDIRECT("'"&amp;E108&amp;"'"&amp;"!A5:Z5"),0),4),1,"")),12),"")</f>
        <v>R12</v>
      </c>
      <c r="C108" s="1050" t="str">
        <f ca="1">_xlfn.IFNA(IF('[2]Customer Inputs'!$U$12="Existing",SUBSTITUTE(ADDRESS(1,MATCH(O108,INDIRECT("'"&amp;E108&amp;"'"&amp;"!A5:Z5"),0),4),1,""),SUBSTITUTE(ADDRESS(1,MATCH(A108,INDIRECT("'"&amp;E108&amp;"'"&amp;"!A5:Z5"),0),4),1,"")),"")</f>
        <v>R</v>
      </c>
      <c r="D108" s="1050" t="s">
        <v>1464</v>
      </c>
      <c r="E108" s="1136" t="s">
        <v>917</v>
      </c>
      <c r="F108" s="1329"/>
      <c r="G108" s="1329"/>
      <c r="H108" s="1329"/>
      <c r="I108" s="1329"/>
      <c r="J108" s="1329"/>
      <c r="K108" s="1329"/>
      <c r="L108" s="1111" t="s">
        <v>1279</v>
      </c>
      <c r="M108" s="1329">
        <v>161</v>
      </c>
      <c r="N108" s="1329"/>
      <c r="O108" s="1328" t="s">
        <v>1282</v>
      </c>
    </row>
    <row r="109" spans="1:15" x14ac:dyDescent="0.25">
      <c r="A109" s="1132" t="s">
        <v>1280</v>
      </c>
      <c r="B109" s="1050" t="str">
        <f ca="1">_xlfn.IFNA(_xlfn.CONCAT(IF('[2]Customer Inputs'!$U$12="Existing",SUBSTITUTE(ADDRESS(1,MATCH(O109,INDIRECT("'"&amp;E109&amp;"'"&amp;"!A5:Z5"),0),4),1,""),SUBSTITUTE(ADDRESS(1,MATCH(A109,INDIRECT("'"&amp;E109&amp;"'"&amp;"!A5:Z5"),0),4),1,"")),12),"")</f>
        <v>T12</v>
      </c>
      <c r="C109" s="1050" t="str">
        <f ca="1">_xlfn.IFNA(IF('[2]Customer Inputs'!$U$12="Existing",SUBSTITUTE(ADDRESS(1,MATCH(O109,INDIRECT("'"&amp;E109&amp;"'"&amp;"!A5:Z5"),0),4),1,""),SUBSTITUTE(ADDRESS(1,MATCH(A109,INDIRECT("'"&amp;E109&amp;"'"&amp;"!A5:Z5"),0),4),1,"")),"")</f>
        <v>T</v>
      </c>
      <c r="D109" s="1050" t="s">
        <v>1464</v>
      </c>
      <c r="E109" s="1136" t="s">
        <v>917</v>
      </c>
      <c r="F109" s="1329"/>
      <c r="G109" s="1329"/>
      <c r="H109" s="1329"/>
      <c r="I109" s="1329"/>
      <c r="J109" s="1329"/>
      <c r="K109" s="1329"/>
      <c r="L109" s="1111" t="s">
        <v>1280</v>
      </c>
      <c r="M109" s="1329">
        <v>162</v>
      </c>
      <c r="N109" s="1329"/>
      <c r="O109" s="1328" t="s">
        <v>1276</v>
      </c>
    </row>
    <row r="110" spans="1:15" x14ac:dyDescent="0.25">
      <c r="A110" s="1132" t="s">
        <v>1281</v>
      </c>
      <c r="B110" s="1050" t="str">
        <f t="shared" ca="1" si="11"/>
        <v>U12</v>
      </c>
      <c r="C110" s="1050" t="str">
        <f t="shared" ca="1" si="5"/>
        <v>U</v>
      </c>
      <c r="D110" s="1050" t="s">
        <v>1464</v>
      </c>
      <c r="E110" s="1136" t="s">
        <v>917</v>
      </c>
      <c r="F110" s="1329"/>
      <c r="G110" s="1329"/>
      <c r="H110" s="1329"/>
      <c r="I110" s="1329"/>
      <c r="J110" s="1329"/>
      <c r="K110" s="1329"/>
      <c r="L110" s="1111" t="s">
        <v>1281</v>
      </c>
      <c r="M110" s="1329">
        <v>163</v>
      </c>
      <c r="N110" s="1329"/>
      <c r="O110" s="1328"/>
    </row>
    <row r="111" spans="1:15" x14ac:dyDescent="0.25">
      <c r="A111" s="1132" t="s">
        <v>1446</v>
      </c>
      <c r="B111" s="1050" t="str">
        <f t="shared" ca="1" si="11"/>
        <v>V12</v>
      </c>
      <c r="C111" s="1050" t="str">
        <f t="shared" ca="1" si="5"/>
        <v>V</v>
      </c>
      <c r="D111" s="1050" t="s">
        <v>1464</v>
      </c>
      <c r="E111" s="1136" t="s">
        <v>917</v>
      </c>
      <c r="F111" s="1329"/>
      <c r="G111" s="1329"/>
      <c r="H111" s="1329"/>
      <c r="I111" s="1329"/>
      <c r="J111" s="1329"/>
      <c r="K111" s="1329"/>
      <c r="L111" s="1111" t="s">
        <v>1537</v>
      </c>
      <c r="M111" s="1329">
        <v>164</v>
      </c>
      <c r="N111" s="1329"/>
      <c r="O111" s="1328"/>
    </row>
    <row r="112" spans="1:15" x14ac:dyDescent="0.25">
      <c r="A112" s="1132" t="s">
        <v>1758</v>
      </c>
      <c r="B112" s="1050" t="str">
        <f t="shared" ca="1" si="11"/>
        <v/>
      </c>
      <c r="C112" s="1050" t="str">
        <f t="shared" ca="1" si="5"/>
        <v/>
      </c>
      <c r="D112" s="1050" t="s">
        <v>1464</v>
      </c>
      <c r="E112" s="1136" t="s">
        <v>917</v>
      </c>
      <c r="F112" s="1329"/>
      <c r="G112" s="1329"/>
      <c r="H112" s="1329"/>
      <c r="I112" s="1329"/>
      <c r="J112" s="1329"/>
      <c r="K112" s="1329"/>
      <c r="L112" s="1111" t="s">
        <v>1758</v>
      </c>
      <c r="M112" s="1329"/>
      <c r="N112" s="1329"/>
      <c r="O112" s="132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9"/>
      <c r="G113" s="1329"/>
      <c r="H113" s="1329"/>
      <c r="I113" s="1329"/>
      <c r="J113" s="1329"/>
      <c r="K113" s="1329"/>
      <c r="L113" s="1050" t="s">
        <v>1274</v>
      </c>
      <c r="M113" s="1329">
        <v>176</v>
      </c>
      <c r="N113" s="1329"/>
      <c r="O113" s="132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9"/>
      <c r="G114" s="1329"/>
      <c r="H114" s="1329"/>
      <c r="I114" s="1329"/>
      <c r="J114" s="1329"/>
      <c r="K114" s="1329"/>
      <c r="L114" s="52" t="s">
        <v>1356</v>
      </c>
      <c r="M114" s="1329">
        <v>178</v>
      </c>
      <c r="N114" s="1329"/>
      <c r="O114" s="1328"/>
    </row>
    <row r="115" spans="1:15" ht="30" x14ac:dyDescent="0.25">
      <c r="A115" s="1133" t="s">
        <v>1357</v>
      </c>
      <c r="B115" s="1050" t="str">
        <f t="shared" ca="1" si="12"/>
        <v>J13</v>
      </c>
      <c r="C115" s="1050" t="str">
        <f t="shared" ca="1" si="5"/>
        <v>J</v>
      </c>
      <c r="D115" s="1050" t="s">
        <v>1464</v>
      </c>
      <c r="E115" s="1136" t="s">
        <v>917</v>
      </c>
      <c r="F115" s="1329"/>
      <c r="G115" s="1329"/>
      <c r="H115" s="1329"/>
      <c r="I115" s="1329"/>
      <c r="J115" s="1329"/>
      <c r="K115" s="1329"/>
      <c r="L115" s="1050" t="s">
        <v>1357</v>
      </c>
      <c r="M115" s="1329">
        <v>179</v>
      </c>
      <c r="N115" s="1329"/>
      <c r="O115" s="1328"/>
    </row>
    <row r="116" spans="1:15" x14ac:dyDescent="0.25">
      <c r="A116" s="1133" t="s">
        <v>1277</v>
      </c>
      <c r="B116" s="1050" t="str">
        <f ca="1">_xlfn.IFNA(_xlfn.CONCAT(IF('[2]Customer Inputs'!$U$13="Existing",SUBSTITUTE(ADDRESS(1,MATCH(O116,INDIRECT("'"&amp;E116&amp;"'"&amp;"!A5:Z5"),0),4),1,""),SUBSTITUTE(ADDRESS(1,MATCH(A116,INDIRECT("'"&amp;E116&amp;"'"&amp;"!A5:Z5"),0),4),1,"")),13),"")</f>
        <v>P13</v>
      </c>
      <c r="C116" s="1050" t="str">
        <f ca="1">_xlfn.IFNA(IF('[2]Customer Inputs'!$U$13="Existing",SUBSTITUTE(ADDRESS(1,MATCH(O116,INDIRECT("'"&amp;E116&amp;"'"&amp;"!A5:Z5"),0),4),1,""),SUBSTITUTE(ADDRESS(1,MATCH(A116,INDIRECT("'"&amp;E116&amp;"'"&amp;"!A5:Z5"),0),4),1,"")),"")</f>
        <v>P</v>
      </c>
      <c r="D116" s="1050" t="s">
        <v>1464</v>
      </c>
      <c r="E116" s="1136" t="s">
        <v>917</v>
      </c>
      <c r="F116" s="1329"/>
      <c r="G116" s="1329"/>
      <c r="H116" s="1329"/>
      <c r="I116" s="1329"/>
      <c r="J116" s="1329"/>
      <c r="K116" s="1329"/>
      <c r="L116" s="1050" t="s">
        <v>1277</v>
      </c>
      <c r="M116" s="1329">
        <v>180</v>
      </c>
      <c r="N116" s="1329"/>
      <c r="O116" s="1328" t="s">
        <v>915</v>
      </c>
    </row>
    <row r="117" spans="1:15" x14ac:dyDescent="0.25">
      <c r="A117" s="1135" t="s">
        <v>1278</v>
      </c>
      <c r="B117" s="1050" t="str">
        <f ca="1">_xlfn.IFNA(_xlfn.CONCAT(IF('[2]Customer Inputs'!$U$13="Existing",SUBSTITUTE(ADDRESS(1,MATCH(O117,INDIRECT("'"&amp;E117&amp;"'"&amp;"!A5:Z5"),0),4),1,""),SUBSTITUTE(ADDRESS(1,MATCH(A117,INDIRECT("'"&amp;E117&amp;"'"&amp;"!A5:Z5"),0),4),1,"")),13),"")</f>
        <v>Q13</v>
      </c>
      <c r="C117" s="1050" t="str">
        <f ca="1">_xlfn.IFNA(IF('[2]Customer Inputs'!$U$13="Existing",SUBSTITUTE(ADDRESS(1,MATCH(O117,INDIRECT("'"&amp;E117&amp;"'"&amp;"!A5:Z5"),0),4),1,""),SUBSTITUTE(ADDRESS(1,MATCH(A117,INDIRECT("'"&amp;E117&amp;"'"&amp;"!A5:Z5"),0),4),1,"")),"")</f>
        <v>Q</v>
      </c>
      <c r="D117" s="1050" t="s">
        <v>1464</v>
      </c>
      <c r="E117" s="1136" t="s">
        <v>917</v>
      </c>
      <c r="F117" s="1329"/>
      <c r="G117" s="1329"/>
      <c r="H117" s="1329"/>
      <c r="I117" s="1329"/>
      <c r="J117" s="1329"/>
      <c r="K117" s="1329"/>
      <c r="L117" s="1111" t="s">
        <v>1278</v>
      </c>
      <c r="M117" s="1329">
        <v>181</v>
      </c>
      <c r="N117" s="1329"/>
      <c r="O117" s="1328" t="s">
        <v>1275</v>
      </c>
    </row>
    <row r="118" spans="1:15" x14ac:dyDescent="0.25">
      <c r="A118" s="1135" t="s">
        <v>1279</v>
      </c>
      <c r="B118" s="1050" t="str">
        <f ca="1">_xlfn.IFNA(_xlfn.CONCAT(IF('[2]Customer Inputs'!$U$13="Existing",SUBSTITUTE(ADDRESS(1,MATCH(O118,INDIRECT("'"&amp;E118&amp;"'"&amp;"!A5:Z5"),0),4),1,""),SUBSTITUTE(ADDRESS(1,MATCH(A118,INDIRECT("'"&amp;E118&amp;"'"&amp;"!A5:Z5"),0),4),1,"")),13),"")</f>
        <v>R13</v>
      </c>
      <c r="C118" s="1050" t="str">
        <f ca="1">_xlfn.IFNA(IF('[2]Customer Inputs'!$U$13="Existing",SUBSTITUTE(ADDRESS(1,MATCH(O118,INDIRECT("'"&amp;E118&amp;"'"&amp;"!A5:Z5"),0),4),1,""),SUBSTITUTE(ADDRESS(1,MATCH(A118,INDIRECT("'"&amp;E118&amp;"'"&amp;"!A5:Z5"),0),4),1,"")),"")</f>
        <v>R</v>
      </c>
      <c r="D118" s="1050" t="s">
        <v>1464</v>
      </c>
      <c r="E118" s="1136" t="s">
        <v>917</v>
      </c>
      <c r="F118" s="1329"/>
      <c r="G118" s="1329"/>
      <c r="H118" s="1329"/>
      <c r="I118" s="1329"/>
      <c r="J118" s="1329"/>
      <c r="K118" s="1329"/>
      <c r="L118" s="1111" t="s">
        <v>1279</v>
      </c>
      <c r="M118" s="1329">
        <v>182</v>
      </c>
      <c r="N118" s="1329"/>
      <c r="O118" s="1328" t="s">
        <v>1282</v>
      </c>
    </row>
    <row r="119" spans="1:15" x14ac:dyDescent="0.25">
      <c r="A119" s="1135" t="s">
        <v>1280</v>
      </c>
      <c r="B119" s="1050" t="str">
        <f ca="1">_xlfn.IFNA(_xlfn.CONCAT(IF('[2]Customer Inputs'!$U$13="Existing",SUBSTITUTE(ADDRESS(1,MATCH(O119,INDIRECT("'"&amp;E119&amp;"'"&amp;"!A5:Z5"),0),4),1,""),SUBSTITUTE(ADDRESS(1,MATCH(A119,INDIRECT("'"&amp;E119&amp;"'"&amp;"!A5:Z5"),0),4),1,"")),13),"")</f>
        <v>T13</v>
      </c>
      <c r="C119" s="1050" t="str">
        <f ca="1">_xlfn.IFNA(IF('[2]Customer Inputs'!$U$13="Existing",SUBSTITUTE(ADDRESS(1,MATCH(O119,INDIRECT("'"&amp;E119&amp;"'"&amp;"!A5:Z5"),0),4),1,""),SUBSTITUTE(ADDRESS(1,MATCH(A119,INDIRECT("'"&amp;E119&amp;"'"&amp;"!A5:Z5"),0),4),1,"")),"")</f>
        <v>T</v>
      </c>
      <c r="D119" s="1050" t="s">
        <v>1464</v>
      </c>
      <c r="E119" s="1136" t="s">
        <v>917</v>
      </c>
      <c r="F119" s="1329"/>
      <c r="G119" s="1329"/>
      <c r="H119" s="1329"/>
      <c r="I119" s="1329"/>
      <c r="J119" s="1329"/>
      <c r="K119" s="1329"/>
      <c r="L119" s="1111" t="s">
        <v>1280</v>
      </c>
      <c r="M119" s="1329">
        <v>183</v>
      </c>
      <c r="N119" s="1329"/>
      <c r="O119" s="132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9"/>
      <c r="G120" s="1329"/>
      <c r="H120" s="1329"/>
      <c r="I120" s="1329"/>
      <c r="J120" s="1329"/>
      <c r="K120" s="1329"/>
      <c r="L120" s="1111" t="s">
        <v>1281</v>
      </c>
      <c r="M120" s="1329">
        <v>184</v>
      </c>
      <c r="N120" s="1329"/>
      <c r="O120" s="1328"/>
    </row>
    <row r="121" spans="1:15" x14ac:dyDescent="0.25">
      <c r="A121" s="1135" t="s">
        <v>1446</v>
      </c>
      <c r="B121" s="1050" t="str">
        <f t="shared" ca="1" si="12"/>
        <v>V13</v>
      </c>
      <c r="C121" s="1050" t="str">
        <f t="shared" ca="1" si="13"/>
        <v>V</v>
      </c>
      <c r="D121" s="1050" t="s">
        <v>1464</v>
      </c>
      <c r="E121" s="1136" t="s">
        <v>917</v>
      </c>
      <c r="F121" s="1329"/>
      <c r="G121" s="1329"/>
      <c r="H121" s="1329"/>
      <c r="I121" s="1329"/>
      <c r="J121" s="1329"/>
      <c r="K121" s="1329"/>
      <c r="L121" s="1111" t="s">
        <v>1537</v>
      </c>
      <c r="M121" s="1329">
        <v>185</v>
      </c>
      <c r="N121" s="1329"/>
      <c r="O121" s="1328"/>
    </row>
    <row r="122" spans="1:15" x14ac:dyDescent="0.25">
      <c r="A122" s="1135" t="s">
        <v>1758</v>
      </c>
      <c r="B122" s="1050" t="str">
        <f t="shared" ca="1" si="12"/>
        <v/>
      </c>
      <c r="C122" s="1050" t="str">
        <f t="shared" ca="1" si="13"/>
        <v/>
      </c>
      <c r="D122" s="1050" t="s">
        <v>1464</v>
      </c>
      <c r="E122" s="1136" t="s">
        <v>917</v>
      </c>
      <c r="F122" s="1329"/>
      <c r="G122" s="1329"/>
      <c r="H122" s="1329"/>
      <c r="I122" s="1329"/>
      <c r="J122" s="1329"/>
      <c r="K122" s="1329"/>
      <c r="L122" s="1111" t="s">
        <v>1758</v>
      </c>
      <c r="M122" s="1329"/>
      <c r="N122" s="1329"/>
      <c r="O122" s="132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9"/>
      <c r="G123" s="1329"/>
      <c r="H123" s="1329"/>
      <c r="I123" s="1329"/>
      <c r="J123" s="1329"/>
      <c r="K123" s="1329"/>
      <c r="L123" s="1050" t="s">
        <v>1274</v>
      </c>
      <c r="M123" s="1329">
        <v>197</v>
      </c>
      <c r="N123" s="1329"/>
      <c r="O123" s="132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9"/>
      <c r="G124" s="1329"/>
      <c r="H124" s="1329"/>
      <c r="I124" s="1329"/>
      <c r="J124" s="1329"/>
      <c r="K124" s="1329"/>
      <c r="L124" s="52" t="s">
        <v>1356</v>
      </c>
      <c r="M124" s="1329">
        <v>199</v>
      </c>
      <c r="N124" s="1329"/>
      <c r="O124" s="1328"/>
    </row>
    <row r="125" spans="1:15" ht="30" x14ac:dyDescent="0.25">
      <c r="A125" s="1129" t="s">
        <v>1357</v>
      </c>
      <c r="B125" s="1050" t="str">
        <f t="shared" ca="1" si="14"/>
        <v>J14</v>
      </c>
      <c r="C125" s="1050" t="str">
        <f t="shared" ca="1" si="13"/>
        <v>J</v>
      </c>
      <c r="D125" s="1050" t="s">
        <v>1464</v>
      </c>
      <c r="E125" s="1136" t="s">
        <v>917</v>
      </c>
      <c r="F125" s="1329"/>
      <c r="G125" s="1329"/>
      <c r="H125" s="1329"/>
      <c r="I125" s="1329"/>
      <c r="J125" s="1329"/>
      <c r="K125" s="1329"/>
      <c r="L125" s="1050" t="s">
        <v>1357</v>
      </c>
      <c r="M125" s="1329">
        <v>200</v>
      </c>
      <c r="N125" s="1329"/>
      <c r="O125" s="1328"/>
    </row>
    <row r="126" spans="1:15" x14ac:dyDescent="0.25">
      <c r="A126" s="1129" t="s">
        <v>1277</v>
      </c>
      <c r="B126" s="1050" t="str">
        <f ca="1">_xlfn.IFNA(_xlfn.CONCAT(IF('[2]Customer Inputs'!$U$14="Existing",SUBSTITUTE(ADDRESS(1,MATCH(O126,INDIRECT("'"&amp;E126&amp;"'"&amp;"!A5:Z5"),0),4),1,""),SUBSTITUTE(ADDRESS(1,MATCH(A126,INDIRECT("'"&amp;E126&amp;"'"&amp;"!A5:Z5"),0),4),1,"")),14),"")</f>
        <v>P14</v>
      </c>
      <c r="C126" s="1050" t="str">
        <f ca="1">_xlfn.IFNA(IF('[2]Customer Inputs'!$U$14="Existing",SUBSTITUTE(ADDRESS(1,MATCH(O126,INDIRECT("'"&amp;E126&amp;"'"&amp;"!A5:Z5"),0),4),1,""),SUBSTITUTE(ADDRESS(1,MATCH(A126,INDIRECT("'"&amp;E126&amp;"'"&amp;"!A5:Z5"),0),4),1,"")),"")</f>
        <v>P</v>
      </c>
      <c r="D126" s="1050" t="s">
        <v>1464</v>
      </c>
      <c r="E126" s="1136" t="s">
        <v>917</v>
      </c>
      <c r="F126" s="1329"/>
      <c r="G126" s="1329"/>
      <c r="H126" s="1329"/>
      <c r="I126" s="1329"/>
      <c r="J126" s="1329"/>
      <c r="K126" s="1329"/>
      <c r="L126" s="1050" t="s">
        <v>1277</v>
      </c>
      <c r="M126" s="1329">
        <v>201</v>
      </c>
      <c r="N126" s="1329"/>
      <c r="O126" s="1328" t="s">
        <v>915</v>
      </c>
    </row>
    <row r="127" spans="1:15" x14ac:dyDescent="0.25">
      <c r="A127" s="1132" t="s">
        <v>1278</v>
      </c>
      <c r="B127" s="1050" t="str">
        <f ca="1">_xlfn.IFNA(_xlfn.CONCAT(IF('[2]Customer Inputs'!$U$14="Existing",SUBSTITUTE(ADDRESS(1,MATCH(O127,INDIRECT("'"&amp;E127&amp;"'"&amp;"!A5:Z5"),0),4),1,""),SUBSTITUTE(ADDRESS(1,MATCH(A127,INDIRECT("'"&amp;E127&amp;"'"&amp;"!A5:Z5"),0),4),1,"")),14),"")</f>
        <v>Q14</v>
      </c>
      <c r="C127" s="1050" t="str">
        <f ca="1">_xlfn.IFNA(IF('[2]Customer Inputs'!$U$14="Existing",SUBSTITUTE(ADDRESS(1,MATCH(O127,INDIRECT("'"&amp;E127&amp;"'"&amp;"!A5:Z5"),0),4),1,""),SUBSTITUTE(ADDRESS(1,MATCH(A127,INDIRECT("'"&amp;E127&amp;"'"&amp;"!A5:Z5"),0),4),1,"")),"")</f>
        <v>Q</v>
      </c>
      <c r="D127" s="1050" t="s">
        <v>1464</v>
      </c>
      <c r="E127" s="1136" t="s">
        <v>917</v>
      </c>
      <c r="F127" s="1329"/>
      <c r="G127" s="1329"/>
      <c r="H127" s="1329"/>
      <c r="I127" s="1329"/>
      <c r="J127" s="1329"/>
      <c r="K127" s="1329"/>
      <c r="L127" s="1111" t="s">
        <v>1278</v>
      </c>
      <c r="M127" s="1329">
        <v>202</v>
      </c>
      <c r="N127" s="1329"/>
      <c r="O127" s="1328" t="s">
        <v>1275</v>
      </c>
    </row>
    <row r="128" spans="1:15" x14ac:dyDescent="0.25">
      <c r="A128" s="1132" t="s">
        <v>1279</v>
      </c>
      <c r="B128" s="1050" t="str">
        <f ca="1">_xlfn.IFNA(_xlfn.CONCAT(IF('[2]Customer Inputs'!$U$14="Existing",SUBSTITUTE(ADDRESS(1,MATCH(O128,INDIRECT("'"&amp;E128&amp;"'"&amp;"!A5:Z5"),0),4),1,""),SUBSTITUTE(ADDRESS(1,MATCH(A128,INDIRECT("'"&amp;E128&amp;"'"&amp;"!A5:Z5"),0),4),1,"")),14),"")</f>
        <v>R14</v>
      </c>
      <c r="C128" s="1050" t="str">
        <f ca="1">_xlfn.IFNA(IF('[2]Customer Inputs'!$U$14="Existing",SUBSTITUTE(ADDRESS(1,MATCH(O128,INDIRECT("'"&amp;E128&amp;"'"&amp;"!A5:Z5"),0),4),1,""),SUBSTITUTE(ADDRESS(1,MATCH(A128,INDIRECT("'"&amp;E128&amp;"'"&amp;"!A5:Z5"),0),4),1,"")),"")</f>
        <v>R</v>
      </c>
      <c r="D128" s="1050" t="s">
        <v>1464</v>
      </c>
      <c r="E128" s="1136" t="s">
        <v>917</v>
      </c>
      <c r="F128" s="1329"/>
      <c r="G128" s="1329"/>
      <c r="H128" s="1329"/>
      <c r="I128" s="1329"/>
      <c r="J128" s="1329"/>
      <c r="K128" s="1329"/>
      <c r="L128" s="1111" t="s">
        <v>1279</v>
      </c>
      <c r="M128" s="1329">
        <v>203</v>
      </c>
      <c r="N128" s="1329"/>
      <c r="O128" s="1328" t="s">
        <v>1282</v>
      </c>
    </row>
    <row r="129" spans="1:15" x14ac:dyDescent="0.25">
      <c r="A129" s="1132" t="s">
        <v>1280</v>
      </c>
      <c r="B129" s="1050" t="str">
        <f ca="1">_xlfn.IFNA(_xlfn.CONCAT(IF('[2]Customer Inputs'!$U$14="Existing",SUBSTITUTE(ADDRESS(1,MATCH(O129,INDIRECT("'"&amp;E129&amp;"'"&amp;"!A5:Z5"),0),4),1,""),SUBSTITUTE(ADDRESS(1,MATCH(A129,INDIRECT("'"&amp;E129&amp;"'"&amp;"!A5:Z5"),0),4),1,"")),14),"")</f>
        <v>T14</v>
      </c>
      <c r="C129" s="1050" t="str">
        <f ca="1">_xlfn.IFNA(IF('[2]Customer Inputs'!$U$14="Existing",SUBSTITUTE(ADDRESS(1,MATCH(O129,INDIRECT("'"&amp;E129&amp;"'"&amp;"!A5:Z5"),0),4),1,""),SUBSTITUTE(ADDRESS(1,MATCH(A129,INDIRECT("'"&amp;E129&amp;"'"&amp;"!A5:Z5"),0),4),1,"")),"")</f>
        <v>T</v>
      </c>
      <c r="D129" s="1050" t="s">
        <v>1464</v>
      </c>
      <c r="E129" s="1136" t="s">
        <v>917</v>
      </c>
      <c r="F129" s="1329"/>
      <c r="G129" s="1329"/>
      <c r="H129" s="1329"/>
      <c r="I129" s="1329"/>
      <c r="J129" s="1329"/>
      <c r="K129" s="1329"/>
      <c r="L129" s="1111" t="s">
        <v>1280</v>
      </c>
      <c r="M129" s="1329">
        <v>204</v>
      </c>
      <c r="N129" s="1329"/>
      <c r="O129" s="1328" t="s">
        <v>1276</v>
      </c>
    </row>
    <row r="130" spans="1:15" x14ac:dyDescent="0.25">
      <c r="A130" s="1132" t="s">
        <v>1281</v>
      </c>
      <c r="B130" s="1050" t="str">
        <f t="shared" ca="1" si="14"/>
        <v>U14</v>
      </c>
      <c r="C130" s="1050" t="str">
        <f t="shared" ca="1" si="13"/>
        <v>U</v>
      </c>
      <c r="D130" s="1050" t="s">
        <v>1464</v>
      </c>
      <c r="E130" s="1136" t="s">
        <v>917</v>
      </c>
      <c r="F130" s="1329"/>
      <c r="G130" s="1329"/>
      <c r="H130" s="1329"/>
      <c r="I130" s="1329"/>
      <c r="J130" s="1329"/>
      <c r="K130" s="1329"/>
      <c r="L130" s="1111" t="s">
        <v>1281</v>
      </c>
      <c r="M130" s="1329">
        <v>205</v>
      </c>
      <c r="N130" s="1329"/>
      <c r="O130" s="1328"/>
    </row>
    <row r="131" spans="1:15" x14ac:dyDescent="0.25">
      <c r="A131" s="1132" t="s">
        <v>1446</v>
      </c>
      <c r="B131" s="1050" t="str">
        <f t="shared" ca="1" si="14"/>
        <v>V14</v>
      </c>
      <c r="C131" s="1050" t="str">
        <f t="shared" ca="1" si="13"/>
        <v>V</v>
      </c>
      <c r="D131" s="1050" t="s">
        <v>1464</v>
      </c>
      <c r="E131" s="1136" t="s">
        <v>917</v>
      </c>
      <c r="F131" s="1329"/>
      <c r="G131" s="1329"/>
      <c r="H131" s="1329"/>
      <c r="I131" s="1329"/>
      <c r="J131" s="1329"/>
      <c r="K131" s="1329"/>
      <c r="L131" s="1111" t="s">
        <v>1537</v>
      </c>
      <c r="M131" s="1329">
        <v>206</v>
      </c>
      <c r="N131" s="1329"/>
      <c r="O131" s="1328"/>
    </row>
    <row r="132" spans="1:15" x14ac:dyDescent="0.25">
      <c r="A132" s="1132" t="s">
        <v>1758</v>
      </c>
      <c r="B132" s="1050" t="str">
        <f t="shared" ca="1" si="14"/>
        <v/>
      </c>
      <c r="C132" s="1050" t="str">
        <f t="shared" ca="1" si="13"/>
        <v/>
      </c>
      <c r="D132" s="1050" t="s">
        <v>1464</v>
      </c>
      <c r="E132" s="1136" t="s">
        <v>917</v>
      </c>
      <c r="F132" s="1329"/>
      <c r="G132" s="1329"/>
      <c r="H132" s="1329"/>
      <c r="I132" s="1329"/>
      <c r="J132" s="1329"/>
      <c r="K132" s="1329"/>
      <c r="L132" s="1111" t="s">
        <v>1758</v>
      </c>
      <c r="M132" s="1329"/>
      <c r="N132" s="1329"/>
      <c r="O132" s="132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9"/>
      <c r="G133" s="1329"/>
      <c r="H133" s="1329"/>
      <c r="I133" s="1329"/>
      <c r="J133" s="1329"/>
      <c r="K133" s="1329"/>
      <c r="L133" s="1050" t="s">
        <v>1274</v>
      </c>
      <c r="M133" s="1329">
        <v>218</v>
      </c>
      <c r="N133" s="1329"/>
      <c r="O133" s="132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9"/>
      <c r="G134" s="1329"/>
      <c r="H134" s="1329"/>
      <c r="I134" s="1329"/>
      <c r="J134" s="1329"/>
      <c r="K134" s="1329"/>
      <c r="L134" s="52" t="s">
        <v>1356</v>
      </c>
      <c r="M134" s="1329">
        <v>220</v>
      </c>
      <c r="N134" s="1329"/>
      <c r="O134" s="1328"/>
    </row>
    <row r="135" spans="1:15" ht="30" x14ac:dyDescent="0.25">
      <c r="A135" s="1133" t="s">
        <v>1357</v>
      </c>
      <c r="B135" s="1050" t="str">
        <f t="shared" ca="1" si="15"/>
        <v>J15</v>
      </c>
      <c r="C135" s="1050" t="str">
        <f t="shared" ca="1" si="13"/>
        <v>J</v>
      </c>
      <c r="D135" s="1050" t="s">
        <v>1464</v>
      </c>
      <c r="E135" s="1136" t="s">
        <v>917</v>
      </c>
      <c r="F135" s="1329"/>
      <c r="G135" s="1329"/>
      <c r="H135" s="1329"/>
      <c r="I135" s="1329"/>
      <c r="J135" s="1329"/>
      <c r="K135" s="1329"/>
      <c r="L135" s="1050" t="s">
        <v>1357</v>
      </c>
      <c r="M135" s="1329">
        <v>221</v>
      </c>
      <c r="N135" s="1329"/>
      <c r="O135" s="1328"/>
    </row>
    <row r="136" spans="1:15" x14ac:dyDescent="0.25">
      <c r="A136" s="1133" t="s">
        <v>1277</v>
      </c>
      <c r="B136" s="1050" t="str">
        <f ca="1">_xlfn.IFNA(_xlfn.CONCAT(IF('[2]Customer Inputs'!$U$15="Existing",SUBSTITUTE(ADDRESS(1,MATCH(O136,INDIRECT("'"&amp;E136&amp;"'"&amp;"!A5:Z5"),0),4),1,""),SUBSTITUTE(ADDRESS(1,MATCH(A136,INDIRECT("'"&amp;E136&amp;"'"&amp;"!A5:Z5"),0),4),1,"")),15),"")</f>
        <v>P15</v>
      </c>
      <c r="C136" s="1050" t="str">
        <f ca="1">_xlfn.IFNA(IF('[2]Customer Inputs'!$U$15="Existing",SUBSTITUTE(ADDRESS(1,MATCH(O136,INDIRECT("'"&amp;E136&amp;"'"&amp;"!A5:Z5"),0),4),1,""),SUBSTITUTE(ADDRESS(1,MATCH(A136,INDIRECT("'"&amp;E136&amp;"'"&amp;"!A5:Z5"),0),4),1,"")),"")</f>
        <v>P</v>
      </c>
      <c r="D136" s="1050" t="s">
        <v>1464</v>
      </c>
      <c r="E136" s="1136" t="s">
        <v>917</v>
      </c>
      <c r="F136" s="1329"/>
      <c r="G136" s="1329"/>
      <c r="H136" s="1329"/>
      <c r="I136" s="1329"/>
      <c r="J136" s="1329"/>
      <c r="K136" s="1329"/>
      <c r="L136" s="1050" t="s">
        <v>1277</v>
      </c>
      <c r="M136" s="1329">
        <v>222</v>
      </c>
      <c r="N136" s="1329"/>
      <c r="O136" s="1328" t="s">
        <v>915</v>
      </c>
    </row>
    <row r="137" spans="1:15" x14ac:dyDescent="0.25">
      <c r="A137" s="1135" t="s">
        <v>1278</v>
      </c>
      <c r="B137" s="1050" t="str">
        <f ca="1">_xlfn.IFNA(_xlfn.CONCAT(IF('[2]Customer Inputs'!$U$15="Existing",SUBSTITUTE(ADDRESS(1,MATCH(O137,INDIRECT("'"&amp;E137&amp;"'"&amp;"!A5:Z5"),0),4),1,""),SUBSTITUTE(ADDRESS(1,MATCH(A137,INDIRECT("'"&amp;E137&amp;"'"&amp;"!A5:Z5"),0),4),1,"")),15),"")</f>
        <v>Q15</v>
      </c>
      <c r="C137" s="1050" t="str">
        <f ca="1">_xlfn.IFNA(IF('[2]Customer Inputs'!$U$15="Existing",SUBSTITUTE(ADDRESS(1,MATCH(O137,INDIRECT("'"&amp;E137&amp;"'"&amp;"!A5:Z5"),0),4),1,""),SUBSTITUTE(ADDRESS(1,MATCH(A137,INDIRECT("'"&amp;E137&amp;"'"&amp;"!A5:Z5"),0),4),1,"")),"")</f>
        <v>Q</v>
      </c>
      <c r="D137" s="1050" t="s">
        <v>1464</v>
      </c>
      <c r="E137" s="1136" t="s">
        <v>917</v>
      </c>
      <c r="F137" s="1329"/>
      <c r="G137" s="1329"/>
      <c r="H137" s="1329"/>
      <c r="I137" s="1329"/>
      <c r="J137" s="1329"/>
      <c r="K137" s="1329"/>
      <c r="L137" s="1111" t="s">
        <v>1278</v>
      </c>
      <c r="M137" s="1329">
        <v>223</v>
      </c>
      <c r="N137" s="1329"/>
      <c r="O137" s="1328" t="s">
        <v>1275</v>
      </c>
    </row>
    <row r="138" spans="1:15" x14ac:dyDescent="0.25">
      <c r="A138" s="1135" t="s">
        <v>1279</v>
      </c>
      <c r="B138" s="1050" t="str">
        <f ca="1">_xlfn.IFNA(_xlfn.CONCAT(IF('[2]Customer Inputs'!$U$15="Existing",SUBSTITUTE(ADDRESS(1,MATCH(O138,INDIRECT("'"&amp;E138&amp;"'"&amp;"!A5:Z5"),0),4),1,""),SUBSTITUTE(ADDRESS(1,MATCH(A138,INDIRECT("'"&amp;E138&amp;"'"&amp;"!A5:Z5"),0),4),1,"")),15),"")</f>
        <v>R15</v>
      </c>
      <c r="C138" s="1050" t="str">
        <f ca="1">_xlfn.IFNA(IF('[2]Customer Inputs'!$U$15="Existing",SUBSTITUTE(ADDRESS(1,MATCH(O138,INDIRECT("'"&amp;E138&amp;"'"&amp;"!A5:Z5"),0),4),1,""),SUBSTITUTE(ADDRESS(1,MATCH(A138,INDIRECT("'"&amp;E138&amp;"'"&amp;"!A5:Z5"),0),4),1,"")),"")</f>
        <v>R</v>
      </c>
      <c r="D138" s="1050" t="s">
        <v>1464</v>
      </c>
      <c r="E138" s="1136" t="s">
        <v>917</v>
      </c>
      <c r="F138" s="1329"/>
      <c r="G138" s="1329"/>
      <c r="H138" s="1329"/>
      <c r="I138" s="1329"/>
      <c r="J138" s="1329"/>
      <c r="K138" s="1329"/>
      <c r="L138" s="1111" t="s">
        <v>1279</v>
      </c>
      <c r="M138" s="1329">
        <v>224</v>
      </c>
      <c r="N138" s="1329"/>
      <c r="O138" s="1328" t="s">
        <v>1282</v>
      </c>
    </row>
    <row r="139" spans="1:15" x14ac:dyDescent="0.25">
      <c r="A139" s="1135" t="s">
        <v>1280</v>
      </c>
      <c r="B139" s="1050" t="str">
        <f ca="1">_xlfn.IFNA(_xlfn.CONCAT(IF('[2]Customer Inputs'!$U$15="Existing",SUBSTITUTE(ADDRESS(1,MATCH(O139,INDIRECT("'"&amp;E139&amp;"'"&amp;"!A5:Z5"),0),4),1,""),SUBSTITUTE(ADDRESS(1,MATCH(A139,INDIRECT("'"&amp;E139&amp;"'"&amp;"!A5:Z5"),0),4),1,"")),15),"")</f>
        <v>T15</v>
      </c>
      <c r="C139" s="1050" t="str">
        <f ca="1">_xlfn.IFNA(IF('[2]Customer Inputs'!$U$15="Existing",SUBSTITUTE(ADDRESS(1,MATCH(O139,INDIRECT("'"&amp;E139&amp;"'"&amp;"!A5:Z5"),0),4),1,""),SUBSTITUTE(ADDRESS(1,MATCH(A139,INDIRECT("'"&amp;E139&amp;"'"&amp;"!A5:Z5"),0),4),1,"")),"")</f>
        <v>T</v>
      </c>
      <c r="D139" s="1050" t="s">
        <v>1464</v>
      </c>
      <c r="E139" s="1136" t="s">
        <v>917</v>
      </c>
      <c r="F139" s="1329"/>
      <c r="G139" s="1329"/>
      <c r="H139" s="1329"/>
      <c r="I139" s="1329"/>
      <c r="J139" s="1329"/>
      <c r="K139" s="1329"/>
      <c r="L139" s="1111" t="s">
        <v>1280</v>
      </c>
      <c r="M139" s="1329">
        <v>225</v>
      </c>
      <c r="N139" s="1329"/>
      <c r="O139" s="132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9"/>
      <c r="G140" s="1329"/>
      <c r="H140" s="1329"/>
      <c r="I140" s="1329"/>
      <c r="J140" s="1329"/>
      <c r="K140" s="1329"/>
      <c r="L140" s="1111" t="s">
        <v>1281</v>
      </c>
      <c r="M140" s="1329">
        <v>226</v>
      </c>
      <c r="N140" s="1329"/>
      <c r="O140" s="1328"/>
    </row>
    <row r="141" spans="1:15" x14ac:dyDescent="0.25">
      <c r="A141" s="1135" t="s">
        <v>1446</v>
      </c>
      <c r="B141" s="1050" t="str">
        <f t="shared" ca="1" si="16"/>
        <v>V15</v>
      </c>
      <c r="C141" s="1050" t="str">
        <f t="shared" ca="1" si="17"/>
        <v>V</v>
      </c>
      <c r="D141" s="1050" t="s">
        <v>1464</v>
      </c>
      <c r="E141" s="1136" t="s">
        <v>917</v>
      </c>
      <c r="F141" s="1329"/>
      <c r="G141" s="1329"/>
      <c r="H141" s="1329"/>
      <c r="I141" s="1329"/>
      <c r="J141" s="1329"/>
      <c r="K141" s="1329"/>
      <c r="L141" s="1111" t="s">
        <v>1537</v>
      </c>
      <c r="M141" s="1329">
        <v>227</v>
      </c>
      <c r="N141" s="1329"/>
      <c r="O141" s="1328"/>
    </row>
    <row r="142" spans="1:15" x14ac:dyDescent="0.25">
      <c r="A142" s="1135" t="s">
        <v>1758</v>
      </c>
      <c r="B142" s="1050" t="str">
        <f t="shared" ca="1" si="16"/>
        <v/>
      </c>
      <c r="C142" s="1050" t="str">
        <f t="shared" ca="1" si="17"/>
        <v/>
      </c>
      <c r="D142" s="1050" t="s">
        <v>1464</v>
      </c>
      <c r="E142" s="1136" t="s">
        <v>917</v>
      </c>
      <c r="F142" s="1329"/>
      <c r="G142" s="1329"/>
      <c r="H142" s="1329"/>
      <c r="I142" s="1329"/>
      <c r="J142" s="1329"/>
      <c r="K142" s="1329"/>
      <c r="L142" s="1111" t="s">
        <v>1758</v>
      </c>
      <c r="M142" s="1329"/>
      <c r="N142" s="1329"/>
      <c r="O142" s="1328"/>
    </row>
    <row r="143" spans="1:15" x14ac:dyDescent="0.25">
      <c r="A143" s="1329" t="s">
        <v>1308</v>
      </c>
      <c r="B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Sheet'!A143,INDIRECT("'"&amp;E143&amp;"'"&amp;"!A17:Z17"),0),4),1,""),""))))),9)</f>
        <v>D9</v>
      </c>
      <c r="C143" s="1050" t="str">
        <f ca="1">_xlfn.CONCAT(IFERROR(SUBSTITUTE(ADDRESS(1,MATCH('[2]Mapping Sheet'!A143,INDIRECT("'"&amp;E143&amp;"'"&amp;"!A4:Z4"),0),4),1,""),IFERROR(SUBSTITUTE(ADDRESS(1,MATCH('[2]Mapping Sheet'!A143,INDIRECT("'"&amp;E143&amp;"'"&amp;"!A9:Z9"),0),4),1,""),IFERROR(SUBSTITUTE(ADDRESS(1,MATCH('[2]Mapping Sheet'!A143,INDIRECT("'"&amp;E143&amp;"'"&amp;"!A12:Z12"),0),4),1,""),IFERROR(SUBSTITUTE(ADDRESS(1,MATCH('[2]Mapping Sheet'!A143,INDIRECT("'"&amp;E143&amp;"'"&amp;"!A15:Z15"),0),4),1,""),IFERROR(SUBSTITUTE(ADDRESS(1,MATCH('[2]Mapping Sheet'!A143,INDIRECT("'"&amp;E143&amp;"'"&amp;"!A17:Z17"),0),4),1,""),""))))),10)</f>
        <v>D10</v>
      </c>
      <c r="D143" s="1050" t="s">
        <v>1457</v>
      </c>
      <c r="E143" s="1050" t="s">
        <v>1458</v>
      </c>
      <c r="F143" s="1329"/>
      <c r="G143" s="1329"/>
      <c r="H143" s="1329"/>
      <c r="I143" s="1329"/>
      <c r="J143" s="1329"/>
      <c r="K143" s="1329"/>
      <c r="L143" s="1329" t="s">
        <v>1308</v>
      </c>
      <c r="M143" s="1329">
        <v>12</v>
      </c>
      <c r="N143" s="1329"/>
      <c r="O143" s="1328"/>
    </row>
    <row r="144" spans="1:15" x14ac:dyDescent="0.25">
      <c r="A144" s="1137" t="s">
        <v>1312</v>
      </c>
      <c r="B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Sheet'!A144,INDIRECT("'"&amp;E144&amp;"'"&amp;"!A17:Z17"),0),4),1,""),""))))),9)</f>
        <v>H9</v>
      </c>
      <c r="C144" s="1050" t="str">
        <f ca="1">_xlfn.CONCAT(IFERROR(SUBSTITUTE(ADDRESS(1,MATCH('[2]Mapping Sheet'!A144,INDIRECT("'"&amp;E144&amp;"'"&amp;"!A4:Z4"),0),4),1,""),IFERROR(SUBSTITUTE(ADDRESS(1,MATCH('[2]Mapping Sheet'!A144,INDIRECT("'"&amp;E144&amp;"'"&amp;"!A9:Z9"),0),4),1,""),IFERROR(SUBSTITUTE(ADDRESS(1,MATCH('[2]Mapping Sheet'!A144,INDIRECT("'"&amp;E144&amp;"'"&amp;"!A12:Z12"),0),4),1,""),IFERROR(SUBSTITUTE(ADDRESS(1,MATCH('[2]Mapping Sheet'!A144,INDIRECT("'"&amp;E144&amp;"'"&amp;"!A15:Z15"),0),4),1,""),IFERROR(SUBSTITUTE(ADDRESS(1,MATCH('[2]Mapping Sheet'!A144,INDIRECT("'"&amp;E144&amp;"'"&amp;"!A17:Z17"),0),4),1,""),""))))),10)</f>
        <v>H10</v>
      </c>
      <c r="D144" s="1050" t="s">
        <v>1457</v>
      </c>
      <c r="E144" s="1050" t="s">
        <v>1458</v>
      </c>
      <c r="F144" s="1329"/>
      <c r="G144" s="1329"/>
      <c r="H144" s="1329"/>
      <c r="I144" s="1329"/>
      <c r="J144" s="1329"/>
      <c r="K144" s="1329"/>
      <c r="L144" s="1137" t="s">
        <v>1312</v>
      </c>
      <c r="M144" s="1329">
        <v>18</v>
      </c>
      <c r="N144" s="1329"/>
      <c r="O144" s="1328"/>
    </row>
    <row r="145" spans="1:15" x14ac:dyDescent="0.25">
      <c r="A145" s="1137" t="s">
        <v>1313</v>
      </c>
      <c r="B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Sheet'!A145,INDIRECT("'"&amp;E145&amp;"'"&amp;"!A17:Z17"),0),4),1,""),""))))),9)</f>
        <v>I9</v>
      </c>
      <c r="C145" s="1050" t="str">
        <f ca="1">_xlfn.CONCAT(IFERROR(SUBSTITUTE(ADDRESS(1,MATCH('[2]Mapping Sheet'!A145,INDIRECT("'"&amp;E145&amp;"'"&amp;"!A4:Z4"),0),4),1,""),IFERROR(SUBSTITUTE(ADDRESS(1,MATCH('[2]Mapping Sheet'!A145,INDIRECT("'"&amp;E145&amp;"'"&amp;"!A9:Z9"),0),4),1,""),IFERROR(SUBSTITUTE(ADDRESS(1,MATCH('[2]Mapping Sheet'!A145,INDIRECT("'"&amp;E145&amp;"'"&amp;"!A12:Z12"),0),4),1,""),IFERROR(SUBSTITUTE(ADDRESS(1,MATCH('[2]Mapping Sheet'!A145,INDIRECT("'"&amp;E145&amp;"'"&amp;"!A15:Z15"),0),4),1,""),IFERROR(SUBSTITUTE(ADDRESS(1,MATCH('[2]Mapping Sheet'!A145,INDIRECT("'"&amp;E145&amp;"'"&amp;"!A17:Z17"),0),4),1,""),""))))),10)</f>
        <v>I10</v>
      </c>
      <c r="D145" s="1050" t="s">
        <v>1457</v>
      </c>
      <c r="E145" s="1050" t="s">
        <v>1458</v>
      </c>
      <c r="F145" s="1329"/>
      <c r="G145" s="1329"/>
      <c r="H145" s="1329"/>
      <c r="I145" s="1329"/>
      <c r="J145" s="1329"/>
      <c r="K145" s="1329"/>
      <c r="L145" s="1137" t="s">
        <v>1313</v>
      </c>
      <c r="M145" s="1329">
        <v>19</v>
      </c>
      <c r="N145" s="1329"/>
      <c r="O145" s="1328"/>
    </row>
    <row r="146" spans="1:15" x14ac:dyDescent="0.25">
      <c r="A146" s="1137" t="s">
        <v>1336</v>
      </c>
      <c r="B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Sheet'!A146,INDIRECT("'"&amp;E146&amp;"'"&amp;"!A17:Z17"),0),4),1,""),""))))),17)</f>
        <v>B17</v>
      </c>
      <c r="C146" s="1050" t="str">
        <f ca="1">_xlfn.CONCAT(IFERROR(SUBSTITUTE(ADDRESS(1,MATCH('[2]Mapping Sheet'!A146,INDIRECT("'"&amp;E146&amp;"'"&amp;"!A4:Z4"),0),4),1,""),IFERROR(SUBSTITUTE(ADDRESS(1,MATCH('[2]Mapping Sheet'!A146,INDIRECT("'"&amp;E146&amp;"'"&amp;"!A9:Z9"),0),4),1,""),IFERROR(SUBSTITUTE(ADDRESS(1,MATCH('[2]Mapping Sheet'!A146,INDIRECT("'"&amp;E146&amp;"'"&amp;"!A12:Z12"),0),4),1,""),IFERROR(SUBSTITUTE(ADDRESS(1,MATCH('[2]Mapping Sheet'!A146,INDIRECT("'"&amp;E146&amp;"'"&amp;"!A15:Z15"),0),4),1,""),IFERROR(SUBSTITUTE(ADDRESS(1,MATCH('[2]Mapping Sheet'!A146,INDIRECT("'"&amp;E146&amp;"'"&amp;"!A17:Z17"),0),4),1,""),""))))),18)</f>
        <v>B18</v>
      </c>
      <c r="D146" s="1050" t="s">
        <v>1457</v>
      </c>
      <c r="E146" s="1050" t="s">
        <v>1458</v>
      </c>
      <c r="F146" s="1329"/>
      <c r="G146" s="1329"/>
      <c r="H146" s="1329"/>
      <c r="I146" s="1329"/>
      <c r="J146" s="1329"/>
      <c r="K146" s="1329"/>
      <c r="L146" s="1137" t="s">
        <v>1336</v>
      </c>
      <c r="M146" s="1329">
        <v>503</v>
      </c>
      <c r="N146" s="1329"/>
      <c r="O146" s="1328"/>
    </row>
    <row r="147" spans="1:15" x14ac:dyDescent="0.25">
      <c r="A147" s="1137" t="s">
        <v>1332</v>
      </c>
      <c r="B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Sheet'!A147,INDIRECT("'"&amp;E147&amp;"'"&amp;"!A17:Z17"),0),4),1,""),""))))),17)</f>
        <v>C17</v>
      </c>
      <c r="C147" s="1050" t="str">
        <f ca="1">_xlfn.CONCAT(IFERROR(SUBSTITUTE(ADDRESS(1,MATCH('[2]Mapping Sheet'!A147,INDIRECT("'"&amp;E147&amp;"'"&amp;"!A4:Z4"),0),4),1,""),IFERROR(SUBSTITUTE(ADDRESS(1,MATCH('[2]Mapping Sheet'!A147,INDIRECT("'"&amp;E147&amp;"'"&amp;"!A9:Z9"),0),4),1,""),IFERROR(SUBSTITUTE(ADDRESS(1,MATCH('[2]Mapping Sheet'!A147,INDIRECT("'"&amp;E147&amp;"'"&amp;"!A12:Z12"),0),4),1,""),IFERROR(SUBSTITUTE(ADDRESS(1,MATCH('[2]Mapping Sheet'!A147,INDIRECT("'"&amp;E147&amp;"'"&amp;"!A15:Z15"),0),4),1,""),IFERROR(SUBSTITUTE(ADDRESS(1,MATCH('[2]Mapping Sheet'!A147,INDIRECT("'"&amp;E147&amp;"'"&amp;"!A17:Z17"),0),4),1,""),""))))),18)</f>
        <v>C18</v>
      </c>
      <c r="D147" s="1050" t="s">
        <v>1457</v>
      </c>
      <c r="E147" s="1050" t="s">
        <v>1458</v>
      </c>
      <c r="F147" s="1328"/>
      <c r="G147" s="1328"/>
      <c r="H147" s="1328"/>
      <c r="I147" s="1328"/>
      <c r="J147" s="1328"/>
      <c r="K147" s="1328"/>
      <c r="L147" s="1137" t="s">
        <v>1332</v>
      </c>
      <c r="M147" s="1329">
        <v>504</v>
      </c>
      <c r="N147" s="1329"/>
      <c r="O147" s="1328"/>
    </row>
    <row r="148" spans="1:15" x14ac:dyDescent="0.25">
      <c r="A148" s="1137" t="s">
        <v>1333</v>
      </c>
      <c r="B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Sheet'!A148,INDIRECT("'"&amp;E148&amp;"'"&amp;"!A17:Z17"),0),4),1,""),""))))),17)</f>
        <v>D17</v>
      </c>
      <c r="C148" s="1050" t="str">
        <f ca="1">_xlfn.CONCAT(IFERROR(SUBSTITUTE(ADDRESS(1,MATCH('[2]Mapping Sheet'!A148,INDIRECT("'"&amp;E148&amp;"'"&amp;"!A4:Z4"),0),4),1,""),IFERROR(SUBSTITUTE(ADDRESS(1,MATCH('[2]Mapping Sheet'!A148,INDIRECT("'"&amp;E148&amp;"'"&amp;"!A9:Z9"),0),4),1,""),IFERROR(SUBSTITUTE(ADDRESS(1,MATCH('[2]Mapping Sheet'!A148,INDIRECT("'"&amp;E148&amp;"'"&amp;"!A12:Z12"),0),4),1,""),IFERROR(SUBSTITUTE(ADDRESS(1,MATCH('[2]Mapping Sheet'!A148,INDIRECT("'"&amp;E148&amp;"'"&amp;"!A15:Z15"),0),4),1,""),IFERROR(SUBSTITUTE(ADDRESS(1,MATCH('[2]Mapping Sheet'!A148,INDIRECT("'"&amp;E148&amp;"'"&amp;"!A17:Z17"),0),4),1,""),""))))),18)</f>
        <v>D18</v>
      </c>
      <c r="D148" s="1050" t="s">
        <v>1457</v>
      </c>
      <c r="E148" s="1050" t="s">
        <v>1458</v>
      </c>
      <c r="F148" s="1328"/>
      <c r="G148" s="1328"/>
      <c r="H148" s="1328"/>
      <c r="I148" s="1328"/>
      <c r="J148" s="1328"/>
      <c r="K148" s="1328"/>
      <c r="L148" s="1137" t="s">
        <v>1333</v>
      </c>
      <c r="M148" s="1329">
        <v>505</v>
      </c>
      <c r="N148" s="1329"/>
      <c r="O148" s="1328"/>
    </row>
    <row r="149" spans="1:15" x14ac:dyDescent="0.25">
      <c r="A149" s="1137" t="s">
        <v>1337</v>
      </c>
      <c r="B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Sheet'!A149,INDIRECT("'"&amp;E149&amp;"'"&amp;"!A17:Z17"),0),4),1,""),""))))),17)</f>
        <v>E17</v>
      </c>
      <c r="C149" s="1050" t="str">
        <f ca="1">_xlfn.CONCAT(IFERROR(SUBSTITUTE(ADDRESS(1,MATCH('[2]Mapping Sheet'!A149,INDIRECT("'"&amp;E149&amp;"'"&amp;"!A4:Z4"),0),4),1,""),IFERROR(SUBSTITUTE(ADDRESS(1,MATCH('[2]Mapping Sheet'!A149,INDIRECT("'"&amp;E149&amp;"'"&amp;"!A9:Z9"),0),4),1,""),IFERROR(SUBSTITUTE(ADDRESS(1,MATCH('[2]Mapping Sheet'!A149,INDIRECT("'"&amp;E149&amp;"'"&amp;"!A12:Z12"),0),4),1,""),IFERROR(SUBSTITUTE(ADDRESS(1,MATCH('[2]Mapping Sheet'!A149,INDIRECT("'"&amp;E149&amp;"'"&amp;"!A15:Z15"),0),4),1,""),IFERROR(SUBSTITUTE(ADDRESS(1,MATCH('[2]Mapping Sheet'!A149,INDIRECT("'"&amp;E149&amp;"'"&amp;"!A17:Z17"),0),4),1,""),""))))),18)</f>
        <v>E18</v>
      </c>
      <c r="D149" s="1050" t="s">
        <v>1457</v>
      </c>
      <c r="E149" s="1050" t="s">
        <v>1458</v>
      </c>
      <c r="F149" s="1328"/>
      <c r="G149" s="1328"/>
      <c r="H149" s="1328"/>
      <c r="I149" s="1328"/>
      <c r="J149" s="1328"/>
      <c r="K149" s="1328"/>
      <c r="L149" s="1137" t="s">
        <v>1337</v>
      </c>
      <c r="M149" s="1329">
        <v>506</v>
      </c>
      <c r="N149" s="1329"/>
      <c r="O149" s="1328"/>
    </row>
    <row r="150" spans="1:15" x14ac:dyDescent="0.25">
      <c r="A150" s="1137" t="s">
        <v>1334</v>
      </c>
      <c r="B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Sheet'!A150,INDIRECT("'"&amp;E150&amp;"'"&amp;"!A17:Z17"),0),4),1,""),""))))),17)</f>
        <v>F17</v>
      </c>
      <c r="C150" s="1050" t="str">
        <f ca="1">_xlfn.CONCAT(IFERROR(SUBSTITUTE(ADDRESS(1,MATCH('[2]Mapping Sheet'!A150,INDIRECT("'"&amp;E150&amp;"'"&amp;"!A4:Z4"),0),4),1,""),IFERROR(SUBSTITUTE(ADDRESS(1,MATCH('[2]Mapping Sheet'!A150,INDIRECT("'"&amp;E150&amp;"'"&amp;"!A9:Z9"),0),4),1,""),IFERROR(SUBSTITUTE(ADDRESS(1,MATCH('[2]Mapping Sheet'!A150,INDIRECT("'"&amp;E150&amp;"'"&amp;"!A12:Z12"),0),4),1,""),IFERROR(SUBSTITUTE(ADDRESS(1,MATCH('[2]Mapping Sheet'!A150,INDIRECT("'"&amp;E150&amp;"'"&amp;"!A15:Z15"),0),4),1,""),IFERROR(SUBSTITUTE(ADDRESS(1,MATCH('[2]Mapping Sheet'!A150,INDIRECT("'"&amp;E150&amp;"'"&amp;"!A17:Z17"),0),4),1,""),""))))),18)</f>
        <v>F18</v>
      </c>
      <c r="D150" s="1050" t="s">
        <v>1457</v>
      </c>
      <c r="E150" s="1050" t="s">
        <v>1458</v>
      </c>
      <c r="F150" s="1328"/>
      <c r="G150" s="1328"/>
      <c r="H150" s="1328"/>
      <c r="I150" s="1328"/>
      <c r="J150" s="1328"/>
      <c r="K150" s="1328"/>
      <c r="L150" s="1137" t="s">
        <v>1334</v>
      </c>
      <c r="M150" s="1329">
        <v>507</v>
      </c>
      <c r="N150" s="1329"/>
      <c r="O150" s="1328"/>
    </row>
    <row r="151" spans="1:15" x14ac:dyDescent="0.25">
      <c r="A151" s="1137" t="s">
        <v>1295</v>
      </c>
      <c r="B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Sheet'!A151,INDIRECT("'"&amp;E151&amp;"'"&amp;"!A17:Z17"),0),4),1,""),""))))),4)</f>
        <v>F4</v>
      </c>
      <c r="C151" s="1050" t="str">
        <f ca="1">_xlfn.CONCAT(IFERROR(SUBSTITUTE(ADDRESS(1,MATCH('[2]Mapping Sheet'!A151,INDIRECT("'"&amp;E151&amp;"'"&amp;"!A4:Z4"),0),4),1,""),IFERROR(SUBSTITUTE(ADDRESS(1,MATCH('[2]Mapping Sheet'!A151,INDIRECT("'"&amp;E151&amp;"'"&amp;"!A9:Z9"),0),4),1,""),IFERROR(SUBSTITUTE(ADDRESS(1,MATCH('[2]Mapping Sheet'!A151,INDIRECT("'"&amp;E151&amp;"'"&amp;"!A12:Z12"),0),4),1,""),IFERROR(SUBSTITUTE(ADDRESS(1,MATCH('[2]Mapping Sheet'!A151,INDIRECT("'"&amp;E151&amp;"'"&amp;"!A15:Z15"),0),4),1,""),IFERROR(SUBSTITUTE(ADDRESS(1,MATCH('[2]Mapping Sheet'!A151,INDIRECT("'"&amp;E151&amp;"'"&amp;"!A17:Z17"),0),4),1,""),""))))),5)</f>
        <v>F5</v>
      </c>
      <c r="D151" s="1050" t="s">
        <v>1457</v>
      </c>
      <c r="E151" s="1050" t="s">
        <v>1458</v>
      </c>
      <c r="F151" s="1328"/>
      <c r="G151" s="1328"/>
      <c r="H151" s="1328"/>
      <c r="I151" s="1328"/>
      <c r="J151" s="1328"/>
      <c r="K151" s="1328"/>
      <c r="L151" s="1137" t="s">
        <v>1295</v>
      </c>
      <c r="M151" s="1329">
        <v>510</v>
      </c>
      <c r="N151" s="1329"/>
      <c r="O151" s="1328"/>
    </row>
    <row r="152" spans="1:15" x14ac:dyDescent="0.25">
      <c r="A152" s="1050" t="s">
        <v>1267</v>
      </c>
      <c r="B152" s="1050" t="str">
        <f>IFERROR(_xlfn.CONCAT("E",MATCH(A152,'[2]Required Info to Submit'!E$4:E$19,0)),"")</f>
        <v>E11</v>
      </c>
      <c r="C152" s="1050" t="str">
        <f>IFERROR(_xlfn.CONCAT("F",MATCH(A152,'[2]Required Info to Submit'!E$4:E$19,0)),"")</f>
        <v>F11</v>
      </c>
      <c r="D152" s="1050" t="s">
        <v>1457</v>
      </c>
      <c r="E152" s="1050" t="s">
        <v>1509</v>
      </c>
      <c r="F152" s="1050"/>
      <c r="G152" s="1050"/>
      <c r="H152" s="1050"/>
      <c r="I152" s="1050"/>
      <c r="J152" s="1050"/>
      <c r="K152" s="1130"/>
      <c r="L152" s="1050" t="s">
        <v>1528</v>
      </c>
      <c r="M152" s="1329">
        <v>7</v>
      </c>
      <c r="N152" s="1329"/>
      <c r="O152" s="1328"/>
    </row>
    <row r="153" spans="1:15" x14ac:dyDescent="0.25">
      <c r="A153" s="1050" t="s">
        <v>1268</v>
      </c>
      <c r="B153" s="1050" t="str">
        <f>IFERROR(_xlfn.CONCAT("E",MATCH(A153,'[2]Required Info to Submit'!E$4:E$19,0)),"")</f>
        <v>E14</v>
      </c>
      <c r="C153" s="1050" t="str">
        <f>IFERROR(_xlfn.CONCAT("F",MATCH(A153,'[2]Required Info to Submit'!E$4:E$19,0)),"")</f>
        <v>F14</v>
      </c>
      <c r="D153" s="1050" t="s">
        <v>1457</v>
      </c>
      <c r="E153" s="1050" t="s">
        <v>1509</v>
      </c>
      <c r="F153" s="1050"/>
      <c r="G153" s="1050"/>
      <c r="H153" s="1050"/>
      <c r="I153" s="1050"/>
      <c r="J153" s="1050"/>
      <c r="K153" s="1130"/>
      <c r="L153" s="1050" t="s">
        <v>1529</v>
      </c>
      <c r="M153" s="1329">
        <v>8</v>
      </c>
      <c r="N153" s="1329"/>
      <c r="O153" s="1328"/>
    </row>
    <row r="154" spans="1:15" x14ac:dyDescent="0.25">
      <c r="A154" s="1137" t="s">
        <v>887</v>
      </c>
      <c r="B154" s="1050" t="str">
        <f>IFERROR(_xlfn.CONCAT("E",MATCH(A154,'[2]Required Info to Submit'!E$4:E$19,0)),"")</f>
        <v>E1</v>
      </c>
      <c r="C154" s="1050" t="str">
        <f>IFERROR(_xlfn.CONCAT("F",MATCH(A154,'[2]Required Info to Submit'!E$4:E$19,0)),"")</f>
        <v>F1</v>
      </c>
      <c r="D154" s="1050" t="s">
        <v>1457</v>
      </c>
      <c r="E154" s="1050" t="s">
        <v>1509</v>
      </c>
      <c r="F154" s="1328"/>
      <c r="G154" s="1328"/>
      <c r="H154" s="1328"/>
      <c r="I154" s="1328"/>
      <c r="J154" s="1328"/>
      <c r="K154" s="1328"/>
      <c r="L154" s="1137" t="s">
        <v>1556</v>
      </c>
      <c r="M154" s="1329">
        <v>496</v>
      </c>
      <c r="N154" s="1329"/>
      <c r="O154" s="1328"/>
    </row>
    <row r="155" spans="1:15" x14ac:dyDescent="0.25">
      <c r="A155" s="1137" t="s">
        <v>1263</v>
      </c>
      <c r="B155" s="1050" t="str">
        <f>IFERROR(_xlfn.CONCAT("E",MATCH(A155,'[2]Required Info to Submit'!E$4:E$19,0)),"")</f>
        <v>E3</v>
      </c>
      <c r="C155" s="1050" t="str">
        <f>IFERROR(_xlfn.CONCAT("F",MATCH(A155,'[2]Required Info to Submit'!E$4:E$19,0)),"")</f>
        <v>F3</v>
      </c>
      <c r="D155" s="1050" t="s">
        <v>1457</v>
      </c>
      <c r="E155" s="1050" t="s">
        <v>1509</v>
      </c>
      <c r="F155" s="1328"/>
      <c r="G155" s="1328"/>
      <c r="H155" s="1328"/>
      <c r="I155" s="1328"/>
      <c r="J155" s="1328"/>
      <c r="K155" s="1328"/>
      <c r="L155" s="1137" t="s">
        <v>1557</v>
      </c>
      <c r="M155" s="1329">
        <v>497</v>
      </c>
      <c r="N155" s="1329"/>
      <c r="O155" s="1328"/>
    </row>
    <row r="156" spans="1:15" x14ac:dyDescent="0.25">
      <c r="A156" s="1137" t="s">
        <v>1264</v>
      </c>
      <c r="B156" s="1050" t="str">
        <f>IFERROR(_xlfn.CONCAT("E",MATCH(A156,'[2]Required Info to Submit'!E$4:E$19,0)),"")</f>
        <v>E5</v>
      </c>
      <c r="C156" s="1050" t="str">
        <f>IFERROR(_xlfn.CONCAT("F",MATCH(A156,'[2]Required Info to Submit'!E$4:E$19,0)),"")</f>
        <v>F5</v>
      </c>
      <c r="D156" s="1050" t="s">
        <v>1457</v>
      </c>
      <c r="E156" s="1050" t="s">
        <v>1509</v>
      </c>
      <c r="F156" s="1328"/>
      <c r="G156" s="1328"/>
      <c r="H156" s="1328"/>
      <c r="I156" s="1328"/>
      <c r="J156" s="1328"/>
      <c r="K156" s="1328"/>
      <c r="L156" s="1137" t="s">
        <v>1559</v>
      </c>
      <c r="M156" s="1329">
        <v>498</v>
      </c>
      <c r="N156" s="1329"/>
      <c r="O156" s="1328"/>
    </row>
    <row r="157" spans="1:15" x14ac:dyDescent="0.25">
      <c r="A157" s="1137" t="s">
        <v>1265</v>
      </c>
      <c r="B157" s="1050" t="str">
        <f>IFERROR(_xlfn.CONCAT("E",MATCH(A157,'[2]Required Info to Submit'!E$4:E$19,0)),"")</f>
        <v>E6</v>
      </c>
      <c r="C157" s="1050" t="str">
        <f>IFERROR(_xlfn.CONCAT("F",MATCH(A157,'[2]Required Info to Submit'!E$4:E$19,0)),"")</f>
        <v>F6</v>
      </c>
      <c r="D157" s="1050" t="s">
        <v>1457</v>
      </c>
      <c r="E157" s="1050" t="s">
        <v>1509</v>
      </c>
      <c r="F157" s="1328"/>
      <c r="G157" s="1328"/>
      <c r="H157" s="1328"/>
      <c r="I157" s="1328"/>
      <c r="J157" s="1328"/>
      <c r="K157" s="1328"/>
      <c r="L157" s="1137" t="s">
        <v>1560</v>
      </c>
      <c r="M157" s="1329">
        <v>499</v>
      </c>
      <c r="N157" s="1329"/>
      <c r="O157" s="1328"/>
    </row>
    <row r="158" spans="1:15" x14ac:dyDescent="0.25">
      <c r="A158" s="1137" t="s">
        <v>877</v>
      </c>
      <c r="B158" s="1050" t="str">
        <f>IFERROR(_xlfn.CONCAT("E",MATCH(A158,'[2]Required Info to Submit'!E$4:E$19,0)),"")</f>
        <v>E7</v>
      </c>
      <c r="C158" s="1050" t="str">
        <f>IFERROR(_xlfn.CONCAT("F",MATCH(A158,'[2]Required Info to Submit'!E$4:E$19,0)),"")</f>
        <v>F7</v>
      </c>
      <c r="D158" s="1050" t="s">
        <v>1457</v>
      </c>
      <c r="E158" s="1050" t="s">
        <v>1509</v>
      </c>
      <c r="F158" s="1328"/>
      <c r="G158" s="1328"/>
      <c r="H158" s="1328"/>
      <c r="I158" s="1328"/>
      <c r="J158" s="1328"/>
      <c r="K158" s="1328"/>
      <c r="L158" s="1137" t="s">
        <v>1561</v>
      </c>
      <c r="M158" s="1329">
        <v>500</v>
      </c>
      <c r="N158" s="1329"/>
      <c r="O158" s="1328"/>
    </row>
    <row r="159" spans="1:15" x14ac:dyDescent="0.25">
      <c r="A159" s="1137" t="s">
        <v>830</v>
      </c>
      <c r="B159" s="1050" t="str">
        <f>IFERROR(_xlfn.CONCAT("E",MATCH(A159,'[2]Required Info to Submit'!E$4:E$19,0)),"")</f>
        <v>E8</v>
      </c>
      <c r="C159" s="1050" t="str">
        <f>IFERROR(_xlfn.CONCAT("F",MATCH(A159,'[2]Required Info to Submit'!E$4:E$19,0)),"")</f>
        <v>F8</v>
      </c>
      <c r="D159" s="1050" t="s">
        <v>1457</v>
      </c>
      <c r="E159" s="1050" t="s">
        <v>1509</v>
      </c>
      <c r="F159" s="1328"/>
      <c r="G159" s="1328"/>
      <c r="H159" s="1328"/>
      <c r="I159" s="1328"/>
      <c r="J159" s="1328"/>
      <c r="K159" s="1328"/>
      <c r="L159" s="1137" t="s">
        <v>1562</v>
      </c>
      <c r="M159" s="1329">
        <v>501</v>
      </c>
      <c r="N159" s="1329"/>
      <c r="O159" s="1328"/>
    </row>
    <row r="160" spans="1:15" x14ac:dyDescent="0.25">
      <c r="A160" s="1137" t="s">
        <v>1266</v>
      </c>
      <c r="B160" s="1050" t="str">
        <f>IFERROR(_xlfn.CONCAT("E",MATCH(A160,'[2]Required Info to Submit'!E$4:E$19,0)),"")</f>
        <v>E9</v>
      </c>
      <c r="C160" s="1050" t="str">
        <f>IFERROR(_xlfn.CONCAT("F",MATCH(A160,'[2]Required Info to Submit'!E$4:E$19,0)),"")</f>
        <v>F9</v>
      </c>
      <c r="D160" s="1050" t="s">
        <v>1457</v>
      </c>
      <c r="E160" s="1050" t="s">
        <v>1509</v>
      </c>
      <c r="F160" s="1328"/>
      <c r="G160" s="1328"/>
      <c r="H160" s="1328"/>
      <c r="I160" s="1328"/>
      <c r="J160" s="1328"/>
      <c r="K160" s="1328"/>
      <c r="L160" s="1137" t="s">
        <v>1563</v>
      </c>
      <c r="M160" s="1329">
        <v>502</v>
      </c>
      <c r="N160" s="1329"/>
      <c r="O160" s="132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9" t="s">
        <v>1464</v>
      </c>
      <c r="E161" s="1050" t="s">
        <v>1509</v>
      </c>
      <c r="F161" s="1328"/>
      <c r="G161" s="1328"/>
      <c r="H161" s="1328"/>
      <c r="I161" s="1328"/>
      <c r="J161" s="1328"/>
      <c r="K161" s="1328"/>
      <c r="L161" s="1110" t="s">
        <v>734</v>
      </c>
      <c r="M161" s="1329">
        <v>28</v>
      </c>
      <c r="N161" s="1329"/>
      <c r="O161" s="132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9" t="s">
        <v>1464</v>
      </c>
      <c r="E162" s="1050" t="s">
        <v>1509</v>
      </c>
      <c r="F162" s="1328"/>
      <c r="G162" s="1328"/>
      <c r="H162" s="1328"/>
      <c r="I162" s="1328"/>
      <c r="J162" s="1328"/>
      <c r="K162" s="1328"/>
      <c r="L162" s="1110" t="s">
        <v>794</v>
      </c>
      <c r="M162" s="1329">
        <v>30</v>
      </c>
      <c r="N162" s="1329"/>
      <c r="O162" s="1328"/>
    </row>
    <row r="163" spans="1:15" x14ac:dyDescent="0.25">
      <c r="A163" s="1139" t="s">
        <v>793</v>
      </c>
      <c r="B163" s="1050" t="str">
        <f t="shared" ca="1" si="18"/>
        <v>K23</v>
      </c>
      <c r="C163" s="1050" t="str">
        <f t="shared" ca="1" si="19"/>
        <v>K</v>
      </c>
      <c r="D163" s="1329" t="s">
        <v>1464</v>
      </c>
      <c r="E163" s="1050" t="s">
        <v>1509</v>
      </c>
      <c r="F163" s="1328"/>
      <c r="G163" s="1328"/>
      <c r="H163" s="1328"/>
      <c r="I163" s="1328"/>
      <c r="J163" s="1328"/>
      <c r="K163" s="1328"/>
      <c r="L163" s="1110" t="s">
        <v>793</v>
      </c>
      <c r="M163" s="1329">
        <v>40</v>
      </c>
      <c r="N163" s="1329"/>
      <c r="O163" s="1328"/>
    </row>
    <row r="164" spans="1:15" x14ac:dyDescent="0.25">
      <c r="A164" s="1139" t="s">
        <v>1271</v>
      </c>
      <c r="B164" s="1050" t="str">
        <f t="shared" ca="1" si="18"/>
        <v>L23</v>
      </c>
      <c r="C164" s="1050" t="str">
        <f t="shared" ca="1" si="19"/>
        <v>L</v>
      </c>
      <c r="D164" s="1329" t="s">
        <v>1464</v>
      </c>
      <c r="E164" s="1050" t="s">
        <v>1509</v>
      </c>
      <c r="F164" s="1328"/>
      <c r="G164" s="1328"/>
      <c r="H164" s="1328"/>
      <c r="I164" s="1328"/>
      <c r="J164" s="1328"/>
      <c r="K164" s="1328"/>
      <c r="L164" s="1110" t="s">
        <v>1271</v>
      </c>
      <c r="M164" s="1329">
        <v>41</v>
      </c>
      <c r="N164" s="1329"/>
      <c r="O164" s="1328"/>
    </row>
    <row r="165" spans="1:15" x14ac:dyDescent="0.25">
      <c r="A165" s="1139" t="s">
        <v>1272</v>
      </c>
      <c r="B165" s="1050" t="str">
        <f t="shared" ca="1" si="18"/>
        <v>M23</v>
      </c>
      <c r="C165" s="1050" t="str">
        <f t="shared" ca="1" si="19"/>
        <v>M</v>
      </c>
      <c r="D165" s="1329" t="s">
        <v>1464</v>
      </c>
      <c r="E165" s="1050" t="s">
        <v>1509</v>
      </c>
      <c r="F165" s="1328"/>
      <c r="G165" s="1328"/>
      <c r="H165" s="1328"/>
      <c r="I165" s="1328"/>
      <c r="J165" s="1328"/>
      <c r="K165" s="1328"/>
      <c r="L165" s="1110" t="s">
        <v>1272</v>
      </c>
      <c r="M165" s="1329">
        <v>42</v>
      </c>
      <c r="N165" s="1329"/>
      <c r="O165" s="1328"/>
    </row>
    <row r="166" spans="1:15" x14ac:dyDescent="0.25">
      <c r="A166" s="1139" t="s">
        <v>1273</v>
      </c>
      <c r="B166" s="1050" t="str">
        <f t="shared" ca="1" si="18"/>
        <v>N23</v>
      </c>
      <c r="C166" s="1050" t="str">
        <f t="shared" ca="1" si="19"/>
        <v>N</v>
      </c>
      <c r="D166" s="1329" t="s">
        <v>1464</v>
      </c>
      <c r="E166" s="1050" t="s">
        <v>1509</v>
      </c>
      <c r="F166" s="1328"/>
      <c r="G166" s="1328"/>
      <c r="H166" s="1328"/>
      <c r="I166" s="1328"/>
      <c r="J166" s="1328"/>
      <c r="K166" s="1328"/>
      <c r="L166" s="1110" t="s">
        <v>1474</v>
      </c>
      <c r="M166" s="1329">
        <v>43</v>
      </c>
      <c r="N166" s="1329"/>
      <c r="O166" s="1328"/>
    </row>
    <row r="167" spans="1:15" x14ac:dyDescent="0.25">
      <c r="A167" s="1139" t="s">
        <v>1391</v>
      </c>
      <c r="B167" s="1050" t="str">
        <f t="shared" ca="1" si="18"/>
        <v>O23</v>
      </c>
      <c r="C167" s="1050" t="str">
        <f t="shared" ca="1" si="19"/>
        <v>O</v>
      </c>
      <c r="D167" s="1329" t="s">
        <v>1464</v>
      </c>
      <c r="E167" s="1050" t="s">
        <v>1509</v>
      </c>
      <c r="F167" s="1328"/>
      <c r="G167" s="1328"/>
      <c r="H167" s="1328"/>
      <c r="I167" s="1328"/>
      <c r="J167" s="1328"/>
      <c r="K167" s="1328"/>
      <c r="L167" s="1110" t="s">
        <v>1391</v>
      </c>
      <c r="M167" s="1329">
        <v>44</v>
      </c>
      <c r="N167" s="1329"/>
      <c r="O167" s="1328"/>
    </row>
    <row r="168" spans="1:15" x14ac:dyDescent="0.25">
      <c r="A168" s="1139" t="s">
        <v>795</v>
      </c>
      <c r="B168" s="1050" t="str">
        <f t="shared" ca="1" si="18"/>
        <v>G23</v>
      </c>
      <c r="C168" s="1050" t="str">
        <f t="shared" ca="1" si="19"/>
        <v>G</v>
      </c>
      <c r="D168" s="1329" t="s">
        <v>1464</v>
      </c>
      <c r="E168" s="1050" t="s">
        <v>1509</v>
      </c>
      <c r="F168" s="1328"/>
      <c r="G168" s="1328"/>
      <c r="H168" s="1328"/>
      <c r="I168" s="1328"/>
      <c r="J168" s="1328"/>
      <c r="K168" s="1328"/>
      <c r="L168" s="1110" t="s">
        <v>795</v>
      </c>
      <c r="M168" s="1329">
        <v>45</v>
      </c>
      <c r="N168" s="1329"/>
      <c r="O168" s="1328"/>
    </row>
    <row r="169" spans="1:15" x14ac:dyDescent="0.25">
      <c r="A169" s="1139" t="s">
        <v>800</v>
      </c>
      <c r="B169" s="1050" t="str">
        <f t="shared" ca="1" si="18"/>
        <v>H23</v>
      </c>
      <c r="C169" s="1050" t="str">
        <f t="shared" ca="1" si="19"/>
        <v>H</v>
      </c>
      <c r="D169" s="1329" t="s">
        <v>1464</v>
      </c>
      <c r="E169" s="1050" t="s">
        <v>1509</v>
      </c>
      <c r="F169" s="1328"/>
      <c r="G169" s="1328"/>
      <c r="H169" s="1328"/>
      <c r="I169" s="1328"/>
      <c r="J169" s="1328"/>
      <c r="K169" s="1328"/>
      <c r="L169" s="1110" t="s">
        <v>800</v>
      </c>
      <c r="M169" s="1329">
        <v>46</v>
      </c>
      <c r="N169" s="1329"/>
      <c r="O169" s="1328"/>
    </row>
    <row r="170" spans="1:15" x14ac:dyDescent="0.25">
      <c r="A170" s="1139" t="s">
        <v>801</v>
      </c>
      <c r="B170" s="1050" t="str">
        <f t="shared" ca="1" si="18"/>
        <v>I23</v>
      </c>
      <c r="C170" s="1050" t="str">
        <f t="shared" ca="1" si="19"/>
        <v>I</v>
      </c>
      <c r="D170" s="1329" t="s">
        <v>1464</v>
      </c>
      <c r="E170" s="1050" t="s">
        <v>1509</v>
      </c>
      <c r="F170" s="1328"/>
      <c r="G170" s="1328"/>
      <c r="H170" s="1328"/>
      <c r="I170" s="1328"/>
      <c r="J170" s="1328"/>
      <c r="K170" s="1328"/>
      <c r="L170" s="1110" t="s">
        <v>801</v>
      </c>
      <c r="M170" s="1329">
        <v>47</v>
      </c>
      <c r="N170" s="1329"/>
      <c r="O170" s="1328"/>
    </row>
    <row r="171" spans="1:15" x14ac:dyDescent="0.25">
      <c r="A171" s="1139" t="s">
        <v>204</v>
      </c>
      <c r="B171" s="1050" t="str">
        <f t="shared" ca="1" si="18"/>
        <v>J23</v>
      </c>
      <c r="C171" s="1050" t="str">
        <f t="shared" ca="1" si="19"/>
        <v>J</v>
      </c>
      <c r="D171" s="1329" t="s">
        <v>1464</v>
      </c>
      <c r="E171" s="1050" t="s">
        <v>1509</v>
      </c>
      <c r="F171" s="1328"/>
      <c r="G171" s="1328"/>
      <c r="H171" s="1328"/>
      <c r="I171" s="1328"/>
      <c r="J171" s="1328"/>
      <c r="K171" s="1328"/>
      <c r="L171" s="1110" t="s">
        <v>204</v>
      </c>
      <c r="M171" s="1329">
        <v>48</v>
      </c>
      <c r="N171" s="1329"/>
      <c r="O171" s="1328"/>
    </row>
    <row r="172" spans="1:15" x14ac:dyDescent="0.25">
      <c r="A172" s="1140" t="s">
        <v>1270</v>
      </c>
      <c r="B172" s="1050" t="str">
        <f ca="1">_xlfn.IFNA(_xlfn.CONCAT(SUBSTITUTE(ADDRESS(1,MATCH(A172,INDIRECT("'"&amp;E172&amp;"'"&amp;"!A22:Z22"),0),4),1,""),24),"")</f>
        <v>E24</v>
      </c>
      <c r="C172" s="1050" t="str">
        <f t="shared" ca="1" si="19"/>
        <v>E</v>
      </c>
      <c r="D172" s="1329" t="s">
        <v>1464</v>
      </c>
      <c r="E172" s="1050" t="s">
        <v>1509</v>
      </c>
      <c r="F172" s="1328"/>
      <c r="G172" s="1328"/>
      <c r="H172" s="1328"/>
      <c r="I172" s="1328"/>
      <c r="J172" s="1328"/>
      <c r="K172" s="1328"/>
      <c r="L172" s="1110" t="s">
        <v>734</v>
      </c>
      <c r="M172" s="1329">
        <v>49</v>
      </c>
      <c r="N172" s="1329"/>
      <c r="O172" s="1328"/>
    </row>
    <row r="173" spans="1:15" x14ac:dyDescent="0.25">
      <c r="A173" s="1141" t="s">
        <v>794</v>
      </c>
      <c r="B173" s="1050" t="str">
        <f t="shared" ref="B173:B182" ca="1" si="20">_xlfn.IFNA(_xlfn.CONCAT(SUBSTITUTE(ADDRESS(1,MATCH(A173,INDIRECT("'"&amp;E173&amp;"'"&amp;"!A22:Z22"),0),4),1,""),24),"")</f>
        <v>F24</v>
      </c>
      <c r="C173" s="1050" t="str">
        <f t="shared" ca="1" si="19"/>
        <v>F</v>
      </c>
      <c r="D173" s="1329" t="s">
        <v>1464</v>
      </c>
      <c r="E173" s="1050" t="s">
        <v>1509</v>
      </c>
      <c r="F173" s="1328"/>
      <c r="G173" s="1328"/>
      <c r="H173" s="1328"/>
      <c r="I173" s="1328"/>
      <c r="J173" s="1328"/>
      <c r="K173" s="1328"/>
      <c r="L173" s="1110" t="s">
        <v>794</v>
      </c>
      <c r="M173" s="1329">
        <v>51</v>
      </c>
      <c r="N173" s="1329"/>
      <c r="O173" s="1328"/>
    </row>
    <row r="174" spans="1:15" x14ac:dyDescent="0.25">
      <c r="A174" s="1141" t="s">
        <v>793</v>
      </c>
      <c r="B174" s="1050" t="str">
        <f t="shared" ca="1" si="20"/>
        <v>K24</v>
      </c>
      <c r="C174" s="1050" t="str">
        <f t="shared" ca="1" si="19"/>
        <v>K</v>
      </c>
      <c r="D174" s="1329" t="s">
        <v>1464</v>
      </c>
      <c r="E174" s="1050" t="s">
        <v>1509</v>
      </c>
      <c r="F174" s="1328"/>
      <c r="G174" s="1328"/>
      <c r="H174" s="1328"/>
      <c r="I174" s="1328"/>
      <c r="J174" s="1328"/>
      <c r="K174" s="1328"/>
      <c r="L174" s="1110" t="s">
        <v>793</v>
      </c>
      <c r="M174" s="1329">
        <v>61</v>
      </c>
      <c r="N174" s="1329"/>
      <c r="O174" s="1328"/>
    </row>
    <row r="175" spans="1:15" x14ac:dyDescent="0.25">
      <c r="A175" s="1141" t="s">
        <v>1271</v>
      </c>
      <c r="B175" s="1050" t="str">
        <f t="shared" ca="1" si="20"/>
        <v>L24</v>
      </c>
      <c r="C175" s="1050" t="str">
        <f t="shared" ca="1" si="19"/>
        <v>L</v>
      </c>
      <c r="D175" s="1329" t="s">
        <v>1464</v>
      </c>
      <c r="E175" s="1050" t="s">
        <v>1509</v>
      </c>
      <c r="F175" s="1328"/>
      <c r="G175" s="1328"/>
      <c r="H175" s="1328"/>
      <c r="I175" s="1328"/>
      <c r="J175" s="1328"/>
      <c r="K175" s="1328"/>
      <c r="L175" s="1110" t="s">
        <v>1271</v>
      </c>
      <c r="M175" s="1329">
        <v>62</v>
      </c>
      <c r="N175" s="1329"/>
      <c r="O175" s="1328"/>
    </row>
    <row r="176" spans="1:15" x14ac:dyDescent="0.25">
      <c r="A176" s="1141" t="s">
        <v>1272</v>
      </c>
      <c r="B176" s="1050" t="str">
        <f t="shared" ca="1" si="20"/>
        <v>M24</v>
      </c>
      <c r="C176" s="1050" t="str">
        <f t="shared" ca="1" si="19"/>
        <v>M</v>
      </c>
      <c r="D176" s="1329" t="s">
        <v>1464</v>
      </c>
      <c r="E176" s="1050" t="s">
        <v>1509</v>
      </c>
      <c r="F176" s="1328"/>
      <c r="G176" s="1328"/>
      <c r="H176" s="1328"/>
      <c r="I176" s="1328"/>
      <c r="J176" s="1328"/>
      <c r="K176" s="1328"/>
      <c r="L176" s="1110" t="s">
        <v>1272</v>
      </c>
      <c r="M176" s="1329">
        <v>63</v>
      </c>
      <c r="N176" s="1329"/>
      <c r="O176" s="1328"/>
    </row>
    <row r="177" spans="1:15" x14ac:dyDescent="0.25">
      <c r="A177" s="1141" t="s">
        <v>1273</v>
      </c>
      <c r="B177" s="1050" t="str">
        <f t="shared" ca="1" si="20"/>
        <v>N24</v>
      </c>
      <c r="C177" s="1050" t="str">
        <f t="shared" ca="1" si="19"/>
        <v>N</v>
      </c>
      <c r="D177" s="1329" t="s">
        <v>1464</v>
      </c>
      <c r="E177" s="1050" t="s">
        <v>1509</v>
      </c>
      <c r="F177" s="1328"/>
      <c r="G177" s="1328"/>
      <c r="H177" s="1328"/>
      <c r="I177" s="1328"/>
      <c r="J177" s="1328"/>
      <c r="K177" s="1328"/>
      <c r="L177" s="1110" t="s">
        <v>1474</v>
      </c>
      <c r="M177" s="1329">
        <v>64</v>
      </c>
      <c r="N177" s="1329"/>
      <c r="O177" s="1328"/>
    </row>
    <row r="178" spans="1:15" x14ac:dyDescent="0.25">
      <c r="A178" s="1141" t="s">
        <v>1391</v>
      </c>
      <c r="B178" s="1050" t="str">
        <f t="shared" ca="1" si="20"/>
        <v>O24</v>
      </c>
      <c r="C178" s="1050" t="str">
        <f t="shared" ca="1" si="19"/>
        <v>O</v>
      </c>
      <c r="D178" s="1329" t="s">
        <v>1464</v>
      </c>
      <c r="E178" s="1050" t="s">
        <v>1509</v>
      </c>
      <c r="F178" s="1328"/>
      <c r="G178" s="1328"/>
      <c r="H178" s="1328"/>
      <c r="I178" s="1328"/>
      <c r="J178" s="1328"/>
      <c r="K178" s="1328"/>
      <c r="L178" s="1110" t="s">
        <v>1391</v>
      </c>
      <c r="M178" s="1329">
        <v>65</v>
      </c>
      <c r="N178" s="1329"/>
      <c r="O178" s="1328"/>
    </row>
    <row r="179" spans="1:15" x14ac:dyDescent="0.25">
      <c r="A179" s="1141" t="s">
        <v>795</v>
      </c>
      <c r="B179" s="1050" t="str">
        <f t="shared" ca="1" si="20"/>
        <v>G24</v>
      </c>
      <c r="C179" s="1050" t="str">
        <f t="shared" ca="1" si="19"/>
        <v>G</v>
      </c>
      <c r="D179" s="1329" t="s">
        <v>1464</v>
      </c>
      <c r="E179" s="1050" t="s">
        <v>1509</v>
      </c>
      <c r="F179" s="1328"/>
      <c r="G179" s="1328"/>
      <c r="H179" s="1328"/>
      <c r="I179" s="1328"/>
      <c r="J179" s="1328"/>
      <c r="K179" s="1328"/>
      <c r="L179" s="1110" t="s">
        <v>795</v>
      </c>
      <c r="M179" s="1329">
        <v>66</v>
      </c>
      <c r="N179" s="1329"/>
      <c r="O179" s="1328"/>
    </row>
    <row r="180" spans="1:15" x14ac:dyDescent="0.25">
      <c r="A180" s="1141" t="s">
        <v>800</v>
      </c>
      <c r="B180" s="1050" t="str">
        <f t="shared" ca="1" si="20"/>
        <v>H24</v>
      </c>
      <c r="C180" s="1050" t="str">
        <f t="shared" ca="1" si="19"/>
        <v>H</v>
      </c>
      <c r="D180" s="1329" t="s">
        <v>1464</v>
      </c>
      <c r="E180" s="1050" t="s">
        <v>1509</v>
      </c>
      <c r="F180" s="1328"/>
      <c r="G180" s="1328"/>
      <c r="H180" s="1328"/>
      <c r="I180" s="1328"/>
      <c r="J180" s="1328"/>
      <c r="K180" s="1328"/>
      <c r="L180" s="1110" t="s">
        <v>800</v>
      </c>
      <c r="M180" s="1329">
        <v>67</v>
      </c>
      <c r="N180" s="1329"/>
      <c r="O180" s="1328"/>
    </row>
    <row r="181" spans="1:15" x14ac:dyDescent="0.25">
      <c r="A181" s="1141" t="s">
        <v>801</v>
      </c>
      <c r="B181" s="1050" t="str">
        <f t="shared" ca="1" si="20"/>
        <v>I24</v>
      </c>
      <c r="C181" s="1050" t="str">
        <f t="shared" ca="1" si="19"/>
        <v>I</v>
      </c>
      <c r="D181" s="1329" t="s">
        <v>1464</v>
      </c>
      <c r="E181" s="1050" t="s">
        <v>1509</v>
      </c>
      <c r="F181" s="1328"/>
      <c r="G181" s="1328"/>
      <c r="H181" s="1328"/>
      <c r="I181" s="1328"/>
      <c r="J181" s="1328"/>
      <c r="K181" s="1328"/>
      <c r="L181" s="1110" t="s">
        <v>801</v>
      </c>
      <c r="M181" s="1329">
        <v>68</v>
      </c>
      <c r="N181" s="1329"/>
      <c r="O181" s="1328"/>
    </row>
    <row r="182" spans="1:15" x14ac:dyDescent="0.25">
      <c r="A182" s="1141" t="s">
        <v>204</v>
      </c>
      <c r="B182" s="1050" t="str">
        <f t="shared" ca="1" si="20"/>
        <v>J24</v>
      </c>
      <c r="C182" s="1050" t="str">
        <f t="shared" ca="1" si="19"/>
        <v>J</v>
      </c>
      <c r="D182" s="1329" t="s">
        <v>1464</v>
      </c>
      <c r="E182" s="1050" t="s">
        <v>1509</v>
      </c>
      <c r="F182" s="1328"/>
      <c r="G182" s="1328"/>
      <c r="H182" s="1328"/>
      <c r="I182" s="1328"/>
      <c r="J182" s="1328"/>
      <c r="K182" s="1328"/>
      <c r="L182" s="1110" t="s">
        <v>204</v>
      </c>
      <c r="M182" s="1329">
        <v>69</v>
      </c>
      <c r="N182" s="1329"/>
      <c r="O182" s="1328"/>
    </row>
    <row r="183" spans="1:15" x14ac:dyDescent="0.25">
      <c r="A183" s="1138" t="s">
        <v>1270</v>
      </c>
      <c r="B183" s="1050" t="str">
        <f ca="1">_xlfn.IFNA(_xlfn.CONCAT(SUBSTITUTE(ADDRESS(1,MATCH(A183,INDIRECT("'"&amp;E183&amp;"'"&amp;"!A22:Z22"),0),4),1,""),25),"")</f>
        <v>E25</v>
      </c>
      <c r="C183" s="1050" t="str">
        <f t="shared" ca="1" si="19"/>
        <v>E</v>
      </c>
      <c r="D183" s="1329" t="s">
        <v>1464</v>
      </c>
      <c r="E183" s="1050" t="s">
        <v>1509</v>
      </c>
      <c r="F183" s="1328"/>
      <c r="G183" s="1328"/>
      <c r="H183" s="1328"/>
      <c r="I183" s="1328"/>
      <c r="J183" s="1328"/>
      <c r="K183" s="1328"/>
      <c r="L183" s="1110" t="s">
        <v>734</v>
      </c>
      <c r="M183" s="1329">
        <v>70</v>
      </c>
      <c r="N183" s="1329"/>
      <c r="O183" s="1328"/>
    </row>
    <row r="184" spans="1:15" x14ac:dyDescent="0.25">
      <c r="A184" s="1139" t="s">
        <v>794</v>
      </c>
      <c r="B184" s="1050" t="str">
        <f t="shared" ref="B184:B193" ca="1" si="21">_xlfn.IFNA(_xlfn.CONCAT(SUBSTITUTE(ADDRESS(1,MATCH(A184,INDIRECT("'"&amp;E184&amp;"'"&amp;"!A22:Z22"),0),4),1,""),25),"")</f>
        <v>F25</v>
      </c>
      <c r="C184" s="1050" t="str">
        <f t="shared" ca="1" si="19"/>
        <v>F</v>
      </c>
      <c r="D184" s="1329" t="s">
        <v>1464</v>
      </c>
      <c r="E184" s="1050" t="s">
        <v>1509</v>
      </c>
      <c r="F184" s="1328"/>
      <c r="G184" s="1328"/>
      <c r="H184" s="1328"/>
      <c r="I184" s="1328"/>
      <c r="J184" s="1328"/>
      <c r="K184" s="1328"/>
      <c r="L184" s="1110" t="s">
        <v>794</v>
      </c>
      <c r="M184" s="1329">
        <v>72</v>
      </c>
      <c r="N184" s="1329"/>
      <c r="O184" s="1328"/>
    </row>
    <row r="185" spans="1:15" x14ac:dyDescent="0.25">
      <c r="A185" s="1139" t="s">
        <v>793</v>
      </c>
      <c r="B185" s="1050" t="str">
        <f t="shared" ca="1" si="21"/>
        <v>K25</v>
      </c>
      <c r="C185" s="1050" t="str">
        <f t="shared" ca="1" si="19"/>
        <v>K</v>
      </c>
      <c r="D185" s="1329" t="s">
        <v>1464</v>
      </c>
      <c r="E185" s="1050" t="s">
        <v>1509</v>
      </c>
      <c r="F185" s="1328"/>
      <c r="G185" s="1328"/>
      <c r="H185" s="1328"/>
      <c r="I185" s="1328"/>
      <c r="J185" s="1328"/>
      <c r="K185" s="1328"/>
      <c r="L185" s="1110" t="s">
        <v>793</v>
      </c>
      <c r="M185" s="1329">
        <v>82</v>
      </c>
      <c r="N185" s="1329"/>
      <c r="O185" s="1328"/>
    </row>
    <row r="186" spans="1:15" x14ac:dyDescent="0.25">
      <c r="A186" s="1139" t="s">
        <v>1271</v>
      </c>
      <c r="B186" s="1050" t="str">
        <f t="shared" ca="1" si="21"/>
        <v>L25</v>
      </c>
      <c r="C186" s="1050" t="str">
        <f t="shared" ca="1" si="19"/>
        <v>L</v>
      </c>
      <c r="D186" s="1329" t="s">
        <v>1464</v>
      </c>
      <c r="E186" s="1050" t="s">
        <v>1509</v>
      </c>
      <c r="F186" s="1328"/>
      <c r="G186" s="1328"/>
      <c r="H186" s="1328"/>
      <c r="I186" s="1328"/>
      <c r="J186" s="1328"/>
      <c r="K186" s="1328"/>
      <c r="L186" s="1110" t="s">
        <v>1271</v>
      </c>
      <c r="M186" s="1329">
        <v>83</v>
      </c>
      <c r="N186" s="1329"/>
      <c r="O186" s="1328"/>
    </row>
    <row r="187" spans="1:15" x14ac:dyDescent="0.25">
      <c r="A187" s="1139" t="s">
        <v>1272</v>
      </c>
      <c r="B187" s="1050" t="str">
        <f t="shared" ca="1" si="21"/>
        <v>M25</v>
      </c>
      <c r="C187" s="1050" t="str">
        <f t="shared" ca="1" si="19"/>
        <v>M</v>
      </c>
      <c r="D187" s="1329" t="s">
        <v>1464</v>
      </c>
      <c r="E187" s="1050" t="s">
        <v>1509</v>
      </c>
      <c r="F187" s="1328"/>
      <c r="G187" s="1328"/>
      <c r="H187" s="1328"/>
      <c r="I187" s="1328"/>
      <c r="J187" s="1328"/>
      <c r="K187" s="1328"/>
      <c r="L187" s="1110" t="s">
        <v>1272</v>
      </c>
      <c r="M187" s="1329">
        <v>84</v>
      </c>
      <c r="N187" s="1329"/>
      <c r="O187" s="1328"/>
    </row>
    <row r="188" spans="1:15" x14ac:dyDescent="0.25">
      <c r="A188" s="1139" t="s">
        <v>1273</v>
      </c>
      <c r="B188" s="1050" t="str">
        <f t="shared" ca="1" si="21"/>
        <v>N25</v>
      </c>
      <c r="C188" s="1050" t="str">
        <f t="shared" ca="1" si="19"/>
        <v>N</v>
      </c>
      <c r="D188" s="1329" t="s">
        <v>1464</v>
      </c>
      <c r="E188" s="1050" t="s">
        <v>1509</v>
      </c>
      <c r="F188" s="1328"/>
      <c r="G188" s="1328"/>
      <c r="H188" s="1328"/>
      <c r="I188" s="1328"/>
      <c r="J188" s="1328"/>
      <c r="K188" s="1328"/>
      <c r="L188" s="1110" t="s">
        <v>1474</v>
      </c>
      <c r="M188" s="1329">
        <v>85</v>
      </c>
      <c r="N188" s="1329"/>
      <c r="O188" s="1328"/>
    </row>
    <row r="189" spans="1:15" x14ac:dyDescent="0.25">
      <c r="A189" s="1139" t="s">
        <v>1391</v>
      </c>
      <c r="B189" s="1050" t="str">
        <f t="shared" ca="1" si="21"/>
        <v>O25</v>
      </c>
      <c r="C189" s="1050" t="str">
        <f t="shared" ca="1" si="19"/>
        <v>O</v>
      </c>
      <c r="D189" s="1329" t="s">
        <v>1464</v>
      </c>
      <c r="E189" s="1050" t="s">
        <v>1509</v>
      </c>
      <c r="F189" s="1328"/>
      <c r="G189" s="1328"/>
      <c r="H189" s="1328"/>
      <c r="I189" s="1328"/>
      <c r="J189" s="1328"/>
      <c r="K189" s="1328"/>
      <c r="L189" s="1110" t="s">
        <v>1391</v>
      </c>
      <c r="M189" s="1329">
        <v>86</v>
      </c>
      <c r="N189" s="1329"/>
      <c r="O189" s="1328"/>
    </row>
    <row r="190" spans="1:15" x14ac:dyDescent="0.25">
      <c r="A190" s="1139" t="s">
        <v>795</v>
      </c>
      <c r="B190" s="1050" t="str">
        <f t="shared" ca="1" si="21"/>
        <v>G25</v>
      </c>
      <c r="C190" s="1050" t="str">
        <f t="shared" ca="1" si="19"/>
        <v>G</v>
      </c>
      <c r="D190" s="1329" t="s">
        <v>1464</v>
      </c>
      <c r="E190" s="1050" t="s">
        <v>1509</v>
      </c>
      <c r="F190" s="1328"/>
      <c r="G190" s="1328"/>
      <c r="H190" s="1328"/>
      <c r="I190" s="1328"/>
      <c r="J190" s="1328"/>
      <c r="K190" s="1328"/>
      <c r="L190" s="1110" t="s">
        <v>795</v>
      </c>
      <c r="M190" s="1329">
        <v>87</v>
      </c>
      <c r="N190" s="1329"/>
      <c r="O190" s="1328"/>
    </row>
    <row r="191" spans="1:15" x14ac:dyDescent="0.25">
      <c r="A191" s="1139" t="s">
        <v>800</v>
      </c>
      <c r="B191" s="1050" t="str">
        <f t="shared" ca="1" si="21"/>
        <v>H25</v>
      </c>
      <c r="C191" s="1050" t="str">
        <f t="shared" ca="1" si="19"/>
        <v>H</v>
      </c>
      <c r="D191" s="1329" t="s">
        <v>1464</v>
      </c>
      <c r="E191" s="1050" t="s">
        <v>1509</v>
      </c>
      <c r="F191" s="1328"/>
      <c r="G191" s="1328"/>
      <c r="H191" s="1328"/>
      <c r="I191" s="1328"/>
      <c r="J191" s="1328"/>
      <c r="K191" s="1328"/>
      <c r="L191" s="1110" t="s">
        <v>800</v>
      </c>
      <c r="M191" s="1329">
        <v>88</v>
      </c>
      <c r="N191" s="1329"/>
      <c r="O191" s="1328"/>
    </row>
    <row r="192" spans="1:15" x14ac:dyDescent="0.25">
      <c r="A192" s="1139" t="s">
        <v>801</v>
      </c>
      <c r="B192" s="1050" t="str">
        <f t="shared" ca="1" si="21"/>
        <v>I25</v>
      </c>
      <c r="C192" s="1050" t="str">
        <f t="shared" ca="1" si="19"/>
        <v>I</v>
      </c>
      <c r="D192" s="1329" t="s">
        <v>1464</v>
      </c>
      <c r="E192" s="1050" t="s">
        <v>1509</v>
      </c>
      <c r="F192" s="1328"/>
      <c r="G192" s="1328"/>
      <c r="H192" s="1328"/>
      <c r="I192" s="1328"/>
      <c r="J192" s="1328"/>
      <c r="K192" s="1328"/>
      <c r="L192" s="1110" t="s">
        <v>801</v>
      </c>
      <c r="M192" s="1329">
        <v>89</v>
      </c>
      <c r="N192" s="1329"/>
      <c r="O192" s="1328"/>
    </row>
    <row r="193" spans="1:15" x14ac:dyDescent="0.25">
      <c r="A193" s="1139" t="s">
        <v>204</v>
      </c>
      <c r="B193" s="1050" t="str">
        <f t="shared" ca="1" si="21"/>
        <v>J25</v>
      </c>
      <c r="C193" s="1050" t="str">
        <f t="shared" ca="1" si="19"/>
        <v>J</v>
      </c>
      <c r="D193" s="1329" t="s">
        <v>1464</v>
      </c>
      <c r="E193" s="1050" t="s">
        <v>1509</v>
      </c>
      <c r="F193" s="1328"/>
      <c r="G193" s="1328"/>
      <c r="H193" s="1328"/>
      <c r="I193" s="1328"/>
      <c r="J193" s="1328"/>
      <c r="K193" s="1328"/>
      <c r="L193" s="1110" t="s">
        <v>204</v>
      </c>
      <c r="M193" s="1329">
        <v>90</v>
      </c>
      <c r="N193" s="1329"/>
      <c r="O193" s="1328"/>
    </row>
    <row r="194" spans="1:15" x14ac:dyDescent="0.25">
      <c r="A194" s="1140" t="s">
        <v>1270</v>
      </c>
      <c r="B194" s="1050" t="str">
        <f ca="1">_xlfn.IFNA(_xlfn.CONCAT(SUBSTITUTE(ADDRESS(1,MATCH(A194,INDIRECT("'"&amp;E194&amp;"'"&amp;"!A22:Z22"),0),4),1,""),26),"")</f>
        <v>E26</v>
      </c>
      <c r="C194" s="1050" t="str">
        <f t="shared" ca="1" si="19"/>
        <v>E</v>
      </c>
      <c r="D194" s="1329" t="s">
        <v>1464</v>
      </c>
      <c r="E194" s="1050" t="s">
        <v>1509</v>
      </c>
      <c r="F194" s="1328"/>
      <c r="G194" s="1328"/>
      <c r="H194" s="1328"/>
      <c r="I194" s="1328"/>
      <c r="J194" s="1328"/>
      <c r="K194" s="1328"/>
      <c r="L194" s="1110" t="s">
        <v>734</v>
      </c>
      <c r="M194" s="1329">
        <v>91</v>
      </c>
      <c r="N194" s="1329"/>
      <c r="O194" s="1328"/>
    </row>
    <row r="195" spans="1:15" x14ac:dyDescent="0.25">
      <c r="A195" s="1141" t="s">
        <v>794</v>
      </c>
      <c r="B195" s="1050" t="str">
        <f t="shared" ref="B195:B204" ca="1" si="22">_xlfn.IFNA(_xlfn.CONCAT(SUBSTITUTE(ADDRESS(1,MATCH(A195,INDIRECT("'"&amp;E195&amp;"'"&amp;"!A22:Z22"),0),4),1,""),26),"")</f>
        <v>F26</v>
      </c>
      <c r="C195" s="1050" t="str">
        <f t="shared" ca="1" si="19"/>
        <v>F</v>
      </c>
      <c r="D195" s="1329" t="s">
        <v>1464</v>
      </c>
      <c r="E195" s="1050" t="s">
        <v>1509</v>
      </c>
      <c r="F195" s="1328"/>
      <c r="G195" s="1328"/>
      <c r="H195" s="1328"/>
      <c r="I195" s="1328"/>
      <c r="J195" s="1328"/>
      <c r="K195" s="1328"/>
      <c r="L195" s="1110" t="s">
        <v>794</v>
      </c>
      <c r="M195" s="1329">
        <v>93</v>
      </c>
      <c r="N195" s="1329"/>
      <c r="O195" s="1328"/>
    </row>
    <row r="196" spans="1:15" x14ac:dyDescent="0.25">
      <c r="A196" s="1141" t="s">
        <v>793</v>
      </c>
      <c r="B196" s="1050" t="str">
        <f t="shared" ca="1" si="22"/>
        <v>K26</v>
      </c>
      <c r="C196" s="1050" t="str">
        <f t="shared" ca="1" si="19"/>
        <v>K</v>
      </c>
      <c r="D196" s="1329" t="s">
        <v>1464</v>
      </c>
      <c r="E196" s="1050" t="s">
        <v>1509</v>
      </c>
      <c r="F196" s="1328"/>
      <c r="G196" s="1328"/>
      <c r="H196" s="1328"/>
      <c r="I196" s="1328"/>
      <c r="J196" s="1328"/>
      <c r="K196" s="1328"/>
      <c r="L196" s="1110" t="s">
        <v>793</v>
      </c>
      <c r="M196" s="1329">
        <v>103</v>
      </c>
      <c r="N196" s="1329"/>
      <c r="O196" s="1328"/>
    </row>
    <row r="197" spans="1:15" x14ac:dyDescent="0.25">
      <c r="A197" s="1141" t="s">
        <v>1271</v>
      </c>
      <c r="B197" s="1050" t="str">
        <f t="shared" ca="1" si="22"/>
        <v>L26</v>
      </c>
      <c r="C197" s="1050" t="str">
        <f t="shared" ca="1" si="19"/>
        <v>L</v>
      </c>
      <c r="D197" s="1329" t="s">
        <v>1464</v>
      </c>
      <c r="E197" s="1050" t="s">
        <v>1509</v>
      </c>
      <c r="F197" s="1328"/>
      <c r="G197" s="1328"/>
      <c r="H197" s="1328"/>
      <c r="I197" s="1328"/>
      <c r="J197" s="1328"/>
      <c r="K197" s="1328"/>
      <c r="L197" s="1110" t="s">
        <v>1271</v>
      </c>
      <c r="M197" s="1329">
        <v>104</v>
      </c>
      <c r="N197" s="1329"/>
      <c r="O197" s="1328"/>
    </row>
    <row r="198" spans="1:15" x14ac:dyDescent="0.25">
      <c r="A198" s="1141" t="s">
        <v>1272</v>
      </c>
      <c r="B198" s="1050" t="str">
        <f t="shared" ca="1" si="22"/>
        <v>M26</v>
      </c>
      <c r="C198" s="1050" t="str">
        <f t="shared" ca="1" si="19"/>
        <v>M</v>
      </c>
      <c r="D198" s="1329" t="s">
        <v>1464</v>
      </c>
      <c r="E198" s="1050" t="s">
        <v>1509</v>
      </c>
      <c r="F198" s="1328"/>
      <c r="G198" s="1328"/>
      <c r="H198" s="1328"/>
      <c r="I198" s="1328"/>
      <c r="J198" s="1328"/>
      <c r="K198" s="1328"/>
      <c r="L198" s="1110" t="s">
        <v>1272</v>
      </c>
      <c r="M198" s="1329">
        <v>105</v>
      </c>
      <c r="N198" s="1329"/>
      <c r="O198" s="1328"/>
    </row>
    <row r="199" spans="1:15" x14ac:dyDescent="0.25">
      <c r="A199" s="1141" t="s">
        <v>1273</v>
      </c>
      <c r="B199" s="1050" t="str">
        <f t="shared" ca="1" si="22"/>
        <v>N26</v>
      </c>
      <c r="C199" s="1050" t="str">
        <f t="shared" ca="1" si="19"/>
        <v>N</v>
      </c>
      <c r="D199" s="1329" t="s">
        <v>1464</v>
      </c>
      <c r="E199" s="1050" t="s">
        <v>1509</v>
      </c>
      <c r="F199" s="1328"/>
      <c r="G199" s="1328"/>
      <c r="H199" s="1328"/>
      <c r="I199" s="1328"/>
      <c r="J199" s="1328"/>
      <c r="K199" s="1328"/>
      <c r="L199" s="1110" t="s">
        <v>1474</v>
      </c>
      <c r="M199" s="1329">
        <v>106</v>
      </c>
      <c r="N199" s="1329"/>
      <c r="O199" s="1328"/>
    </row>
    <row r="200" spans="1:15" x14ac:dyDescent="0.25">
      <c r="A200" s="1141" t="s">
        <v>1391</v>
      </c>
      <c r="B200" s="1050" t="str">
        <f t="shared" ca="1" si="22"/>
        <v>O26</v>
      </c>
      <c r="C200" s="1050" t="str">
        <f t="shared" ca="1" si="19"/>
        <v>O</v>
      </c>
      <c r="D200" s="1329" t="s">
        <v>1464</v>
      </c>
      <c r="E200" s="1050" t="s">
        <v>1509</v>
      </c>
      <c r="F200" s="1328"/>
      <c r="G200" s="1328"/>
      <c r="H200" s="1328"/>
      <c r="I200" s="1328"/>
      <c r="J200" s="1328"/>
      <c r="K200" s="1328"/>
      <c r="L200" s="1110" t="s">
        <v>1391</v>
      </c>
      <c r="M200" s="1329">
        <v>107</v>
      </c>
      <c r="N200" s="1329"/>
      <c r="O200" s="1328"/>
    </row>
    <row r="201" spans="1:15" x14ac:dyDescent="0.25">
      <c r="A201" s="1141" t="s">
        <v>795</v>
      </c>
      <c r="B201" s="1050" t="str">
        <f t="shared" ca="1" si="22"/>
        <v>G26</v>
      </c>
      <c r="C201" s="1050" t="str">
        <f t="shared" ca="1" si="19"/>
        <v>G</v>
      </c>
      <c r="D201" s="1329" t="s">
        <v>1464</v>
      </c>
      <c r="E201" s="1050" t="s">
        <v>1509</v>
      </c>
      <c r="F201" s="1328"/>
      <c r="G201" s="1328"/>
      <c r="H201" s="1328"/>
      <c r="I201" s="1328"/>
      <c r="J201" s="1328"/>
      <c r="K201" s="1328"/>
      <c r="L201" s="1110" t="s">
        <v>795</v>
      </c>
      <c r="M201" s="1329">
        <v>108</v>
      </c>
      <c r="N201" s="1329"/>
      <c r="O201" s="1328"/>
    </row>
    <row r="202" spans="1:15" x14ac:dyDescent="0.25">
      <c r="A202" s="1141" t="s">
        <v>800</v>
      </c>
      <c r="B202" s="1050" t="str">
        <f t="shared" ca="1" si="22"/>
        <v>H26</v>
      </c>
      <c r="C202" s="1050" t="str">
        <f t="shared" ca="1" si="19"/>
        <v>H</v>
      </c>
      <c r="D202" s="1329" t="s">
        <v>1464</v>
      </c>
      <c r="E202" s="1050" t="s">
        <v>1509</v>
      </c>
      <c r="F202" s="1328"/>
      <c r="G202" s="1328"/>
      <c r="H202" s="1328"/>
      <c r="I202" s="1328"/>
      <c r="J202" s="1328"/>
      <c r="K202" s="1328"/>
      <c r="L202" s="1110" t="s">
        <v>800</v>
      </c>
      <c r="M202" s="1329">
        <v>109</v>
      </c>
      <c r="N202" s="1329"/>
      <c r="O202" s="1328"/>
    </row>
    <row r="203" spans="1:15" x14ac:dyDescent="0.25">
      <c r="A203" s="1141" t="s">
        <v>801</v>
      </c>
      <c r="B203" s="1050" t="str">
        <f t="shared" ca="1" si="22"/>
        <v>I26</v>
      </c>
      <c r="C203" s="1050" t="str">
        <f t="shared" ca="1" si="19"/>
        <v>I</v>
      </c>
      <c r="D203" s="1329" t="s">
        <v>1464</v>
      </c>
      <c r="E203" s="1050" t="s">
        <v>1509</v>
      </c>
      <c r="F203" s="1328"/>
      <c r="G203" s="1328"/>
      <c r="H203" s="1328"/>
      <c r="I203" s="1328"/>
      <c r="J203" s="1328"/>
      <c r="K203" s="1328"/>
      <c r="L203" s="1110" t="s">
        <v>801</v>
      </c>
      <c r="M203" s="1329">
        <v>110</v>
      </c>
      <c r="N203" s="1329"/>
      <c r="O203" s="1328"/>
    </row>
    <row r="204" spans="1:15" x14ac:dyDescent="0.25">
      <c r="A204" s="1141" t="s">
        <v>204</v>
      </c>
      <c r="B204" s="1050" t="str">
        <f t="shared" ca="1" si="22"/>
        <v>J26</v>
      </c>
      <c r="C204" s="1050" t="str">
        <f t="shared" ca="1" si="19"/>
        <v>J</v>
      </c>
      <c r="D204" s="1329" t="s">
        <v>1464</v>
      </c>
      <c r="E204" s="1050" t="s">
        <v>1509</v>
      </c>
      <c r="F204" s="1328"/>
      <c r="G204" s="1328"/>
      <c r="H204" s="1328"/>
      <c r="I204" s="1328"/>
      <c r="J204" s="1328"/>
      <c r="K204" s="1328"/>
      <c r="L204" s="1110" t="s">
        <v>204</v>
      </c>
      <c r="M204" s="1329">
        <v>111</v>
      </c>
      <c r="N204" s="1329"/>
      <c r="O204" s="1328"/>
    </row>
    <row r="205" spans="1:15" x14ac:dyDescent="0.25">
      <c r="A205" s="1138" t="s">
        <v>1270</v>
      </c>
      <c r="B205" s="1050" t="str">
        <f ca="1">_xlfn.IFNA(_xlfn.CONCAT(SUBSTITUTE(ADDRESS(1,MATCH(A205,INDIRECT("'"&amp;E205&amp;"'"&amp;"!A22:Z22"),0),4),1,""),27),"")</f>
        <v>E27</v>
      </c>
      <c r="C205" s="1050" t="str">
        <f t="shared" ca="1" si="19"/>
        <v>E</v>
      </c>
      <c r="D205" s="1329" t="s">
        <v>1464</v>
      </c>
      <c r="E205" s="1050" t="s">
        <v>1509</v>
      </c>
      <c r="F205" s="1328"/>
      <c r="G205" s="1328"/>
      <c r="H205" s="1328"/>
      <c r="I205" s="1328"/>
      <c r="J205" s="1328"/>
      <c r="K205" s="1328"/>
      <c r="L205" s="1110" t="s">
        <v>734</v>
      </c>
      <c r="M205" s="1329">
        <v>112</v>
      </c>
      <c r="N205" s="1329"/>
      <c r="O205" s="1328"/>
    </row>
    <row r="206" spans="1:15" x14ac:dyDescent="0.25">
      <c r="A206" s="1139" t="s">
        <v>794</v>
      </c>
      <c r="B206" s="1050" t="str">
        <f t="shared" ref="B206:B215" ca="1" si="23">_xlfn.IFNA(_xlfn.CONCAT(SUBSTITUTE(ADDRESS(1,MATCH(A206,INDIRECT("'"&amp;E206&amp;"'"&amp;"!A22:Z22"),0),4),1,""),27),"")</f>
        <v>F27</v>
      </c>
      <c r="C206" s="1050" t="str">
        <f t="shared" ca="1" si="19"/>
        <v>F</v>
      </c>
      <c r="D206" s="1329" t="s">
        <v>1464</v>
      </c>
      <c r="E206" s="1050" t="s">
        <v>1509</v>
      </c>
      <c r="F206" s="1328"/>
      <c r="G206" s="1328"/>
      <c r="H206" s="1328"/>
      <c r="I206" s="1328"/>
      <c r="J206" s="1328"/>
      <c r="K206" s="1328"/>
      <c r="L206" s="1110" t="s">
        <v>794</v>
      </c>
      <c r="M206" s="1329">
        <v>114</v>
      </c>
      <c r="N206" s="1329"/>
      <c r="O206" s="1328"/>
    </row>
    <row r="207" spans="1:15" x14ac:dyDescent="0.25">
      <c r="A207" s="1139" t="s">
        <v>793</v>
      </c>
      <c r="B207" s="1050" t="str">
        <f t="shared" ca="1" si="23"/>
        <v>K27</v>
      </c>
      <c r="C207" s="1050" t="str">
        <f t="shared" ca="1" si="19"/>
        <v>K</v>
      </c>
      <c r="D207" s="1329" t="s">
        <v>1464</v>
      </c>
      <c r="E207" s="1050" t="s">
        <v>1509</v>
      </c>
      <c r="F207" s="1328"/>
      <c r="G207" s="1328"/>
      <c r="H207" s="1328"/>
      <c r="I207" s="1328"/>
      <c r="J207" s="1328"/>
      <c r="K207" s="1328"/>
      <c r="L207" s="1110" t="s">
        <v>793</v>
      </c>
      <c r="M207" s="1329">
        <v>124</v>
      </c>
      <c r="N207" s="1329"/>
      <c r="O207" s="1328"/>
    </row>
    <row r="208" spans="1:15" x14ac:dyDescent="0.25">
      <c r="A208" s="1139" t="s">
        <v>1271</v>
      </c>
      <c r="B208" s="1050" t="str">
        <f t="shared" ca="1" si="23"/>
        <v>L27</v>
      </c>
      <c r="C208" s="1050" t="str">
        <f t="shared" ca="1" si="19"/>
        <v>L</v>
      </c>
      <c r="D208" s="1329" t="s">
        <v>1464</v>
      </c>
      <c r="E208" s="1050" t="s">
        <v>1509</v>
      </c>
      <c r="F208" s="1328"/>
      <c r="G208" s="1328"/>
      <c r="H208" s="1328"/>
      <c r="I208" s="1328"/>
      <c r="J208" s="1328"/>
      <c r="K208" s="1328"/>
      <c r="L208" s="1110" t="s">
        <v>1271</v>
      </c>
      <c r="M208" s="1329">
        <v>125</v>
      </c>
      <c r="N208" s="1329"/>
      <c r="O208" s="1328"/>
    </row>
    <row r="209" spans="1:15" x14ac:dyDescent="0.25">
      <c r="A209" s="1139" t="s">
        <v>1272</v>
      </c>
      <c r="B209" s="1050" t="str">
        <f t="shared" ca="1" si="23"/>
        <v>M27</v>
      </c>
      <c r="C209" s="1050" t="str">
        <f t="shared" ca="1" si="19"/>
        <v>M</v>
      </c>
      <c r="D209" s="1329" t="s">
        <v>1464</v>
      </c>
      <c r="E209" s="1050" t="s">
        <v>1509</v>
      </c>
      <c r="F209" s="1328"/>
      <c r="G209" s="1328"/>
      <c r="H209" s="1328"/>
      <c r="I209" s="1328"/>
      <c r="J209" s="1328"/>
      <c r="K209" s="1328"/>
      <c r="L209" s="1110" t="s">
        <v>1272</v>
      </c>
      <c r="M209" s="1329">
        <v>126</v>
      </c>
      <c r="N209" s="1329"/>
      <c r="O209" s="1328"/>
    </row>
    <row r="210" spans="1:15" x14ac:dyDescent="0.25">
      <c r="A210" s="1139" t="s">
        <v>1273</v>
      </c>
      <c r="B210" s="1050" t="str">
        <f t="shared" ca="1" si="23"/>
        <v>N27</v>
      </c>
      <c r="C210" s="1050" t="str">
        <f t="shared" ca="1" si="19"/>
        <v>N</v>
      </c>
      <c r="D210" s="1329" t="s">
        <v>1464</v>
      </c>
      <c r="E210" s="1050" t="s">
        <v>1509</v>
      </c>
      <c r="F210" s="1328"/>
      <c r="G210" s="1328"/>
      <c r="H210" s="1328"/>
      <c r="I210" s="1328"/>
      <c r="J210" s="1328"/>
      <c r="K210" s="1328"/>
      <c r="L210" s="1110" t="s">
        <v>1474</v>
      </c>
      <c r="M210" s="1329">
        <v>127</v>
      </c>
      <c r="N210" s="1329"/>
      <c r="O210" s="1328"/>
    </row>
    <row r="211" spans="1:15" x14ac:dyDescent="0.25">
      <c r="A211" s="1139" t="s">
        <v>1391</v>
      </c>
      <c r="B211" s="1050" t="str">
        <f t="shared" ca="1" si="23"/>
        <v>O27</v>
      </c>
      <c r="C211" s="1050" t="str">
        <f t="shared" ca="1" si="19"/>
        <v>O</v>
      </c>
      <c r="D211" s="1329" t="s">
        <v>1464</v>
      </c>
      <c r="E211" s="1050" t="s">
        <v>1509</v>
      </c>
      <c r="F211" s="1328"/>
      <c r="G211" s="1328"/>
      <c r="H211" s="1328"/>
      <c r="I211" s="1328"/>
      <c r="J211" s="1328"/>
      <c r="K211" s="1328"/>
      <c r="L211" s="1110" t="s">
        <v>1391</v>
      </c>
      <c r="M211" s="1329">
        <v>128</v>
      </c>
      <c r="N211" s="1329"/>
      <c r="O211" s="1328"/>
    </row>
    <row r="212" spans="1:15" x14ac:dyDescent="0.25">
      <c r="A212" s="1139" t="s">
        <v>795</v>
      </c>
      <c r="B212" s="1050" t="str">
        <f t="shared" ca="1" si="23"/>
        <v>G27</v>
      </c>
      <c r="C212" s="1050" t="str">
        <f t="shared" ca="1" si="19"/>
        <v>G</v>
      </c>
      <c r="D212" s="1329" t="s">
        <v>1464</v>
      </c>
      <c r="E212" s="1050" t="s">
        <v>1509</v>
      </c>
      <c r="F212" s="1328"/>
      <c r="G212" s="1328"/>
      <c r="H212" s="1328"/>
      <c r="I212" s="1328"/>
      <c r="J212" s="1328"/>
      <c r="K212" s="1328"/>
      <c r="L212" s="1110" t="s">
        <v>795</v>
      </c>
      <c r="M212" s="1329">
        <v>129</v>
      </c>
      <c r="N212" s="1329"/>
      <c r="O212" s="1328"/>
    </row>
    <row r="213" spans="1:15" x14ac:dyDescent="0.25">
      <c r="A213" s="1139" t="s">
        <v>800</v>
      </c>
      <c r="B213" s="1050" t="str">
        <f t="shared" ca="1" si="23"/>
        <v>H27</v>
      </c>
      <c r="C213" s="1050" t="str">
        <f t="shared" ca="1" si="19"/>
        <v>H</v>
      </c>
      <c r="D213" s="1329" t="s">
        <v>1464</v>
      </c>
      <c r="E213" s="1050" t="s">
        <v>1509</v>
      </c>
      <c r="F213" s="1328"/>
      <c r="G213" s="1328"/>
      <c r="H213" s="1328"/>
      <c r="I213" s="1328"/>
      <c r="J213" s="1328"/>
      <c r="K213" s="1328"/>
      <c r="L213" s="1110" t="s">
        <v>800</v>
      </c>
      <c r="M213" s="1329">
        <v>130</v>
      </c>
      <c r="N213" s="1329"/>
      <c r="O213" s="1328"/>
    </row>
    <row r="214" spans="1:15" x14ac:dyDescent="0.25">
      <c r="A214" s="1139" t="s">
        <v>801</v>
      </c>
      <c r="B214" s="1050" t="str">
        <f t="shared" ca="1" si="23"/>
        <v>I27</v>
      </c>
      <c r="C214" s="1050" t="str">
        <f t="shared" ca="1" si="19"/>
        <v>I</v>
      </c>
      <c r="D214" s="1329" t="s">
        <v>1464</v>
      </c>
      <c r="E214" s="1050" t="s">
        <v>1509</v>
      </c>
      <c r="F214" s="1328"/>
      <c r="G214" s="1328"/>
      <c r="H214" s="1328"/>
      <c r="I214" s="1328"/>
      <c r="J214" s="1328"/>
      <c r="K214" s="1328"/>
      <c r="L214" s="1110" t="s">
        <v>801</v>
      </c>
      <c r="M214" s="1329">
        <v>131</v>
      </c>
      <c r="N214" s="1329"/>
      <c r="O214" s="1328"/>
    </row>
    <row r="215" spans="1:15" x14ac:dyDescent="0.25">
      <c r="A215" s="1139" t="s">
        <v>204</v>
      </c>
      <c r="B215" s="1050" t="str">
        <f t="shared" ca="1" si="23"/>
        <v>J27</v>
      </c>
      <c r="C215" s="1050" t="str">
        <f t="shared" ca="1" si="19"/>
        <v>J</v>
      </c>
      <c r="D215" s="1329" t="s">
        <v>1464</v>
      </c>
      <c r="E215" s="1050" t="s">
        <v>1509</v>
      </c>
      <c r="F215" s="1328"/>
      <c r="G215" s="1328"/>
      <c r="H215" s="1328"/>
      <c r="I215" s="1328"/>
      <c r="J215" s="1328"/>
      <c r="K215" s="1328"/>
      <c r="L215" s="1110" t="s">
        <v>204</v>
      </c>
      <c r="M215" s="1329">
        <v>132</v>
      </c>
      <c r="N215" s="1329"/>
      <c r="O215" s="1328"/>
    </row>
    <row r="216" spans="1:15" x14ac:dyDescent="0.25">
      <c r="A216" s="1140" t="s">
        <v>1270</v>
      </c>
      <c r="B216" s="1050" t="str">
        <f ca="1">_xlfn.IFNA(_xlfn.CONCAT(SUBSTITUTE(ADDRESS(1,MATCH(A216,INDIRECT("'"&amp;E216&amp;"'"&amp;"!A22:Z22"),0),4),1,""),28),"")</f>
        <v>E28</v>
      </c>
      <c r="C216" s="1050" t="str">
        <f t="shared" ca="1" si="19"/>
        <v>E</v>
      </c>
      <c r="D216" s="1329" t="s">
        <v>1464</v>
      </c>
      <c r="E216" s="1050" t="s">
        <v>1509</v>
      </c>
      <c r="F216" s="1328"/>
      <c r="G216" s="1328"/>
      <c r="H216" s="1328"/>
      <c r="I216" s="1328"/>
      <c r="J216" s="1328"/>
      <c r="K216" s="1328"/>
      <c r="L216" s="1110" t="s">
        <v>734</v>
      </c>
      <c r="M216" s="1329">
        <v>133</v>
      </c>
      <c r="N216" s="1329"/>
      <c r="O216" s="1328"/>
    </row>
    <row r="217" spans="1:15" x14ac:dyDescent="0.25">
      <c r="A217" s="1141" t="s">
        <v>794</v>
      </c>
      <c r="B217" s="1050" t="str">
        <f t="shared" ref="B217:B226" ca="1" si="24">_xlfn.IFNA(_xlfn.CONCAT(SUBSTITUTE(ADDRESS(1,MATCH(A217,INDIRECT("'"&amp;E217&amp;"'"&amp;"!A22:Z22"),0),4),1,""),28),"")</f>
        <v>F28</v>
      </c>
      <c r="C217" s="1050" t="str">
        <f t="shared" ca="1" si="19"/>
        <v>F</v>
      </c>
      <c r="D217" s="1329" t="s">
        <v>1464</v>
      </c>
      <c r="E217" s="1050" t="s">
        <v>1509</v>
      </c>
      <c r="F217" s="1328"/>
      <c r="G217" s="1328"/>
      <c r="H217" s="1328"/>
      <c r="I217" s="1328"/>
      <c r="J217" s="1328"/>
      <c r="K217" s="1328"/>
      <c r="L217" s="1110" t="s">
        <v>794</v>
      </c>
      <c r="M217" s="1329">
        <v>135</v>
      </c>
      <c r="N217" s="1329"/>
      <c r="O217" s="1328"/>
    </row>
    <row r="218" spans="1:15" x14ac:dyDescent="0.25">
      <c r="A218" s="1141" t="s">
        <v>793</v>
      </c>
      <c r="B218" s="1050" t="str">
        <f t="shared" ca="1" si="24"/>
        <v>K28</v>
      </c>
      <c r="C218" s="1050" t="str">
        <f t="shared" ca="1" si="19"/>
        <v>K</v>
      </c>
      <c r="D218" s="1329" t="s">
        <v>1464</v>
      </c>
      <c r="E218" s="1050" t="s">
        <v>1509</v>
      </c>
      <c r="F218" s="1328"/>
      <c r="G218" s="1328"/>
      <c r="H218" s="1328"/>
      <c r="I218" s="1328"/>
      <c r="J218" s="1328"/>
      <c r="K218" s="1328"/>
      <c r="L218" s="1110" t="s">
        <v>793</v>
      </c>
      <c r="M218" s="1329">
        <v>145</v>
      </c>
      <c r="N218" s="1329"/>
      <c r="O218" s="1328"/>
    </row>
    <row r="219" spans="1:15" x14ac:dyDescent="0.25">
      <c r="A219" s="1141" t="s">
        <v>1271</v>
      </c>
      <c r="B219" s="1050" t="str">
        <f t="shared" ca="1" si="24"/>
        <v>L28</v>
      </c>
      <c r="C219" s="1050" t="str">
        <f t="shared" ca="1" si="19"/>
        <v>L</v>
      </c>
      <c r="D219" s="1329" t="s">
        <v>1464</v>
      </c>
      <c r="E219" s="1050" t="s">
        <v>1509</v>
      </c>
      <c r="F219" s="1328"/>
      <c r="G219" s="1328"/>
      <c r="H219" s="1328"/>
      <c r="I219" s="1328"/>
      <c r="J219" s="1328"/>
      <c r="K219" s="1328"/>
      <c r="L219" s="1110" t="s">
        <v>1271</v>
      </c>
      <c r="M219" s="1329">
        <v>146</v>
      </c>
      <c r="N219" s="1329"/>
      <c r="O219" s="1328"/>
    </row>
    <row r="220" spans="1:15" x14ac:dyDescent="0.25">
      <c r="A220" s="1141" t="s">
        <v>1272</v>
      </c>
      <c r="B220" s="1050" t="str">
        <f t="shared" ca="1" si="24"/>
        <v>M28</v>
      </c>
      <c r="C220" s="1050" t="str">
        <f t="shared" ca="1" si="19"/>
        <v>M</v>
      </c>
      <c r="D220" s="1329" t="s">
        <v>1464</v>
      </c>
      <c r="E220" s="1050" t="s">
        <v>1509</v>
      </c>
      <c r="F220" s="1328"/>
      <c r="G220" s="1328"/>
      <c r="H220" s="1328"/>
      <c r="I220" s="1328"/>
      <c r="J220" s="1328"/>
      <c r="K220" s="1328"/>
      <c r="L220" s="1110" t="s">
        <v>1272</v>
      </c>
      <c r="M220" s="1329">
        <v>147</v>
      </c>
      <c r="N220" s="1329"/>
      <c r="O220" s="1328"/>
    </row>
    <row r="221" spans="1:15" x14ac:dyDescent="0.25">
      <c r="A221" s="1141" t="s">
        <v>1273</v>
      </c>
      <c r="B221" s="1050" t="str">
        <f t="shared" ca="1" si="24"/>
        <v>N28</v>
      </c>
      <c r="C221" s="1050" t="str">
        <f t="shared" ca="1" si="19"/>
        <v>N</v>
      </c>
      <c r="D221" s="1329" t="s">
        <v>1464</v>
      </c>
      <c r="E221" s="1050" t="s">
        <v>1509</v>
      </c>
      <c r="F221" s="1328"/>
      <c r="G221" s="1328"/>
      <c r="H221" s="1328"/>
      <c r="I221" s="1328"/>
      <c r="J221" s="1328"/>
      <c r="K221" s="1328"/>
      <c r="L221" s="1110" t="s">
        <v>1474</v>
      </c>
      <c r="M221" s="1329">
        <v>148</v>
      </c>
      <c r="N221" s="1329"/>
      <c r="O221" s="1328"/>
    </row>
    <row r="222" spans="1:15" x14ac:dyDescent="0.25">
      <c r="A222" s="1141" t="s">
        <v>1391</v>
      </c>
      <c r="B222" s="1050" t="str">
        <f t="shared" ca="1" si="24"/>
        <v>O28</v>
      </c>
      <c r="C222" s="1050" t="str">
        <f t="shared" ca="1" si="19"/>
        <v>O</v>
      </c>
      <c r="D222" s="1329" t="s">
        <v>1464</v>
      </c>
      <c r="E222" s="1050" t="s">
        <v>1509</v>
      </c>
      <c r="F222" s="1328"/>
      <c r="G222" s="1328"/>
      <c r="H222" s="1328"/>
      <c r="I222" s="1328"/>
      <c r="J222" s="1328"/>
      <c r="K222" s="1328"/>
      <c r="L222" s="1110" t="s">
        <v>1391</v>
      </c>
      <c r="M222" s="1329">
        <v>149</v>
      </c>
      <c r="N222" s="1329"/>
      <c r="O222" s="1328"/>
    </row>
    <row r="223" spans="1:15" x14ac:dyDescent="0.25">
      <c r="A223" s="1141" t="s">
        <v>795</v>
      </c>
      <c r="B223" s="1050" t="str">
        <f t="shared" ca="1" si="24"/>
        <v>G28</v>
      </c>
      <c r="C223" s="1050" t="str">
        <f t="shared" ca="1" si="19"/>
        <v>G</v>
      </c>
      <c r="D223" s="1329" t="s">
        <v>1464</v>
      </c>
      <c r="E223" s="1050" t="s">
        <v>1509</v>
      </c>
      <c r="F223" s="1328"/>
      <c r="G223" s="1328"/>
      <c r="H223" s="1328"/>
      <c r="I223" s="1328"/>
      <c r="J223" s="1328"/>
      <c r="K223" s="1328"/>
      <c r="L223" s="1110" t="s">
        <v>795</v>
      </c>
      <c r="M223" s="1329">
        <v>150</v>
      </c>
      <c r="N223" s="1329"/>
      <c r="O223" s="1328"/>
    </row>
    <row r="224" spans="1:15" x14ac:dyDescent="0.25">
      <c r="A224" s="1141" t="s">
        <v>800</v>
      </c>
      <c r="B224" s="1050" t="str">
        <f t="shared" ca="1" si="24"/>
        <v>H28</v>
      </c>
      <c r="C224" s="1050" t="str">
        <f t="shared" ca="1" si="19"/>
        <v>H</v>
      </c>
      <c r="D224" s="1329" t="s">
        <v>1464</v>
      </c>
      <c r="E224" s="1050" t="s">
        <v>1509</v>
      </c>
      <c r="F224" s="1328"/>
      <c r="G224" s="1328"/>
      <c r="H224" s="1328"/>
      <c r="I224" s="1328"/>
      <c r="J224" s="1328"/>
      <c r="K224" s="1328"/>
      <c r="L224" s="1110" t="s">
        <v>800</v>
      </c>
      <c r="M224" s="1329">
        <v>151</v>
      </c>
      <c r="N224" s="1329"/>
      <c r="O224" s="1328"/>
    </row>
    <row r="225" spans="1:15" x14ac:dyDescent="0.25">
      <c r="A225" s="1141" t="s">
        <v>801</v>
      </c>
      <c r="B225" s="1050" t="str">
        <f t="shared" ca="1" si="24"/>
        <v>I28</v>
      </c>
      <c r="C225" s="1050" t="str">
        <f t="shared" ca="1" si="19"/>
        <v>I</v>
      </c>
      <c r="D225" s="1329" t="s">
        <v>1464</v>
      </c>
      <c r="E225" s="1050" t="s">
        <v>1509</v>
      </c>
      <c r="F225" s="1328"/>
      <c r="G225" s="1328"/>
      <c r="H225" s="1328"/>
      <c r="I225" s="1328"/>
      <c r="J225" s="1328"/>
      <c r="K225" s="1328"/>
      <c r="L225" s="1110" t="s">
        <v>801</v>
      </c>
      <c r="M225" s="1329">
        <v>152</v>
      </c>
      <c r="N225" s="1329"/>
      <c r="O225" s="1328"/>
    </row>
    <row r="226" spans="1:15" x14ac:dyDescent="0.25">
      <c r="A226" s="1141" t="s">
        <v>204</v>
      </c>
      <c r="B226" s="1050" t="str">
        <f t="shared" ca="1" si="24"/>
        <v>J28</v>
      </c>
      <c r="C226" s="1050" t="str">
        <f t="shared" ref="C226:C270" ca="1" si="25">_xlfn.IFNA(SUBSTITUTE(ADDRESS(1,MATCH(A226,INDIRECT("'"&amp;E226&amp;"'"&amp;"!A22:Z22"),0),4),1,""),"")</f>
        <v>J</v>
      </c>
      <c r="D226" s="1329" t="s">
        <v>1464</v>
      </c>
      <c r="E226" s="1050" t="s">
        <v>1509</v>
      </c>
      <c r="F226" s="1328"/>
      <c r="G226" s="1328"/>
      <c r="H226" s="1328"/>
      <c r="I226" s="1328"/>
      <c r="J226" s="1328"/>
      <c r="K226" s="1328"/>
      <c r="L226" s="1110" t="s">
        <v>204</v>
      </c>
      <c r="M226" s="1329">
        <v>153</v>
      </c>
      <c r="N226" s="1329"/>
      <c r="O226" s="1328"/>
    </row>
    <row r="227" spans="1:15" x14ac:dyDescent="0.25">
      <c r="A227" s="1138" t="s">
        <v>1270</v>
      </c>
      <c r="B227" s="1050" t="str">
        <f ca="1">_xlfn.IFNA(_xlfn.CONCAT(SUBSTITUTE(ADDRESS(1,MATCH(A227,INDIRECT("'"&amp;E227&amp;"'"&amp;"!A22:Z22"),0),4),1,""),29),"")</f>
        <v>E29</v>
      </c>
      <c r="C227" s="1050" t="str">
        <f t="shared" ca="1" si="25"/>
        <v>E</v>
      </c>
      <c r="D227" s="1329" t="s">
        <v>1464</v>
      </c>
      <c r="E227" s="1050" t="s">
        <v>1509</v>
      </c>
      <c r="F227" s="1328"/>
      <c r="G227" s="1328"/>
      <c r="H227" s="1328"/>
      <c r="I227" s="1328"/>
      <c r="J227" s="1328"/>
      <c r="K227" s="1328"/>
      <c r="L227" s="1110" t="s">
        <v>734</v>
      </c>
      <c r="M227" s="1329">
        <v>154</v>
      </c>
      <c r="N227" s="1329"/>
      <c r="O227" s="1328"/>
    </row>
    <row r="228" spans="1:15" x14ac:dyDescent="0.25">
      <c r="A228" s="1139" t="s">
        <v>794</v>
      </c>
      <c r="B228" s="1050" t="str">
        <f t="shared" ref="B228:B237" ca="1" si="26">_xlfn.IFNA(_xlfn.CONCAT(SUBSTITUTE(ADDRESS(1,MATCH(A228,INDIRECT("'"&amp;E228&amp;"'"&amp;"!A22:Z22"),0),4),1,""),29),"")</f>
        <v>F29</v>
      </c>
      <c r="C228" s="1050" t="str">
        <f t="shared" ca="1" si="25"/>
        <v>F</v>
      </c>
      <c r="D228" s="1329" t="s">
        <v>1464</v>
      </c>
      <c r="E228" s="1050" t="s">
        <v>1509</v>
      </c>
      <c r="F228" s="1328"/>
      <c r="G228" s="1328"/>
      <c r="H228" s="1328"/>
      <c r="I228" s="1328"/>
      <c r="J228" s="1328"/>
      <c r="K228" s="1328"/>
      <c r="L228" s="1110" t="s">
        <v>794</v>
      </c>
      <c r="M228" s="1329">
        <v>156</v>
      </c>
      <c r="N228" s="1329"/>
      <c r="O228" s="1328"/>
    </row>
    <row r="229" spans="1:15" x14ac:dyDescent="0.25">
      <c r="A229" s="1139" t="s">
        <v>793</v>
      </c>
      <c r="B229" s="1050" t="str">
        <f t="shared" ca="1" si="26"/>
        <v>K29</v>
      </c>
      <c r="C229" s="1050" t="str">
        <f t="shared" ca="1" si="25"/>
        <v>K</v>
      </c>
      <c r="D229" s="1329" t="s">
        <v>1464</v>
      </c>
      <c r="E229" s="1050" t="s">
        <v>1509</v>
      </c>
      <c r="F229" s="1328"/>
      <c r="G229" s="1328"/>
      <c r="H229" s="1328"/>
      <c r="I229" s="1328"/>
      <c r="J229" s="1328"/>
      <c r="K229" s="1328"/>
      <c r="L229" s="1110" t="s">
        <v>793</v>
      </c>
      <c r="M229" s="1329">
        <v>166</v>
      </c>
      <c r="N229" s="1329"/>
      <c r="O229" s="1328"/>
    </row>
    <row r="230" spans="1:15" x14ac:dyDescent="0.25">
      <c r="A230" s="1139" t="s">
        <v>1271</v>
      </c>
      <c r="B230" s="1050" t="str">
        <f t="shared" ca="1" si="26"/>
        <v>L29</v>
      </c>
      <c r="C230" s="1050" t="str">
        <f t="shared" ca="1" si="25"/>
        <v>L</v>
      </c>
      <c r="D230" s="1329" t="s">
        <v>1464</v>
      </c>
      <c r="E230" s="1050" t="s">
        <v>1509</v>
      </c>
      <c r="F230" s="1328"/>
      <c r="G230" s="1328"/>
      <c r="H230" s="1328"/>
      <c r="I230" s="1328"/>
      <c r="J230" s="1328"/>
      <c r="K230" s="1328"/>
      <c r="L230" s="1110" t="s">
        <v>1271</v>
      </c>
      <c r="M230" s="1329">
        <v>167</v>
      </c>
      <c r="N230" s="1329"/>
      <c r="O230" s="1328"/>
    </row>
    <row r="231" spans="1:15" x14ac:dyDescent="0.25">
      <c r="A231" s="1139" t="s">
        <v>1272</v>
      </c>
      <c r="B231" s="1050" t="str">
        <f t="shared" ca="1" si="26"/>
        <v>M29</v>
      </c>
      <c r="C231" s="1050" t="str">
        <f t="shared" ca="1" si="25"/>
        <v>M</v>
      </c>
      <c r="D231" s="1329" t="s">
        <v>1464</v>
      </c>
      <c r="E231" s="1050" t="s">
        <v>1509</v>
      </c>
      <c r="F231" s="1328"/>
      <c r="G231" s="1328"/>
      <c r="H231" s="1328"/>
      <c r="I231" s="1328"/>
      <c r="J231" s="1328"/>
      <c r="K231" s="1328"/>
      <c r="L231" s="1110" t="s">
        <v>1272</v>
      </c>
      <c r="M231" s="1329">
        <v>168</v>
      </c>
      <c r="N231" s="1329"/>
      <c r="O231" s="1328"/>
    </row>
    <row r="232" spans="1:15" x14ac:dyDescent="0.25">
      <c r="A232" s="1139" t="s">
        <v>1273</v>
      </c>
      <c r="B232" s="1050" t="str">
        <f t="shared" ca="1" si="26"/>
        <v>N29</v>
      </c>
      <c r="C232" s="1050" t="str">
        <f t="shared" ca="1" si="25"/>
        <v>N</v>
      </c>
      <c r="D232" s="1329" t="s">
        <v>1464</v>
      </c>
      <c r="E232" s="1050" t="s">
        <v>1509</v>
      </c>
      <c r="F232" s="1328"/>
      <c r="G232" s="1328"/>
      <c r="H232" s="1328"/>
      <c r="I232" s="1328"/>
      <c r="J232" s="1328"/>
      <c r="K232" s="1328"/>
      <c r="L232" s="1110" t="s">
        <v>1474</v>
      </c>
      <c r="M232" s="1329">
        <v>169</v>
      </c>
      <c r="N232" s="1329"/>
      <c r="O232" s="1328"/>
    </row>
    <row r="233" spans="1:15" x14ac:dyDescent="0.25">
      <c r="A233" s="1139" t="s">
        <v>1391</v>
      </c>
      <c r="B233" s="1050" t="str">
        <f t="shared" ca="1" si="26"/>
        <v>O29</v>
      </c>
      <c r="C233" s="1050" t="str">
        <f t="shared" ca="1" si="25"/>
        <v>O</v>
      </c>
      <c r="D233" s="1329" t="s">
        <v>1464</v>
      </c>
      <c r="E233" s="1050" t="s">
        <v>1509</v>
      </c>
      <c r="F233" s="1328"/>
      <c r="G233" s="1328"/>
      <c r="H233" s="1328"/>
      <c r="I233" s="1328"/>
      <c r="J233" s="1328"/>
      <c r="K233" s="1328"/>
      <c r="L233" s="1110" t="s">
        <v>1391</v>
      </c>
      <c r="M233" s="1329">
        <v>170</v>
      </c>
      <c r="N233" s="1329"/>
      <c r="O233" s="1328"/>
    </row>
    <row r="234" spans="1:15" x14ac:dyDescent="0.25">
      <c r="A234" s="1139" t="s">
        <v>795</v>
      </c>
      <c r="B234" s="1050" t="str">
        <f t="shared" ca="1" si="26"/>
        <v>G29</v>
      </c>
      <c r="C234" s="1050" t="str">
        <f t="shared" ca="1" si="25"/>
        <v>G</v>
      </c>
      <c r="D234" s="1329" t="s">
        <v>1464</v>
      </c>
      <c r="E234" s="1050" t="s">
        <v>1509</v>
      </c>
      <c r="F234" s="1328"/>
      <c r="G234" s="1328"/>
      <c r="H234" s="1328"/>
      <c r="I234" s="1328"/>
      <c r="J234" s="1328"/>
      <c r="K234" s="1328"/>
      <c r="L234" s="1110" t="s">
        <v>795</v>
      </c>
      <c r="M234" s="1329">
        <v>171</v>
      </c>
      <c r="N234" s="1329"/>
      <c r="O234" s="1328"/>
    </row>
    <row r="235" spans="1:15" x14ac:dyDescent="0.25">
      <c r="A235" s="1139" t="s">
        <v>800</v>
      </c>
      <c r="B235" s="1050" t="str">
        <f t="shared" ca="1" si="26"/>
        <v>H29</v>
      </c>
      <c r="C235" s="1050" t="str">
        <f t="shared" ca="1" si="25"/>
        <v>H</v>
      </c>
      <c r="D235" s="1329" t="s">
        <v>1464</v>
      </c>
      <c r="E235" s="1050" t="s">
        <v>1509</v>
      </c>
      <c r="F235" s="1328"/>
      <c r="G235" s="1328"/>
      <c r="H235" s="1328"/>
      <c r="I235" s="1328"/>
      <c r="J235" s="1328"/>
      <c r="K235" s="1328"/>
      <c r="L235" s="1110" t="s">
        <v>800</v>
      </c>
      <c r="M235" s="1329">
        <v>172</v>
      </c>
      <c r="N235" s="1329"/>
      <c r="O235" s="1328"/>
    </row>
    <row r="236" spans="1:15" x14ac:dyDescent="0.25">
      <c r="A236" s="1139" t="s">
        <v>801</v>
      </c>
      <c r="B236" s="1050" t="str">
        <f t="shared" ca="1" si="26"/>
        <v>I29</v>
      </c>
      <c r="C236" s="1050" t="str">
        <f t="shared" ca="1" si="25"/>
        <v>I</v>
      </c>
      <c r="D236" s="1329" t="s">
        <v>1464</v>
      </c>
      <c r="E236" s="1050" t="s">
        <v>1509</v>
      </c>
      <c r="F236" s="1328"/>
      <c r="G236" s="1328"/>
      <c r="H236" s="1328"/>
      <c r="I236" s="1328"/>
      <c r="J236" s="1328"/>
      <c r="K236" s="1328"/>
      <c r="L236" s="1110" t="s">
        <v>801</v>
      </c>
      <c r="M236" s="1329">
        <v>173</v>
      </c>
      <c r="N236" s="1329"/>
      <c r="O236" s="1328"/>
    </row>
    <row r="237" spans="1:15" x14ac:dyDescent="0.25">
      <c r="A237" s="1139" t="s">
        <v>204</v>
      </c>
      <c r="B237" s="1050" t="str">
        <f t="shared" ca="1" si="26"/>
        <v>J29</v>
      </c>
      <c r="C237" s="1050" t="str">
        <f t="shared" ca="1" si="25"/>
        <v>J</v>
      </c>
      <c r="D237" s="1329" t="s">
        <v>1464</v>
      </c>
      <c r="E237" s="1050" t="s">
        <v>1509</v>
      </c>
      <c r="F237" s="1328"/>
      <c r="G237" s="1328"/>
      <c r="H237" s="1328"/>
      <c r="I237" s="1328"/>
      <c r="J237" s="1328"/>
      <c r="K237" s="1328"/>
      <c r="L237" s="1110" t="s">
        <v>204</v>
      </c>
      <c r="M237" s="1329">
        <v>174</v>
      </c>
      <c r="N237" s="1329"/>
      <c r="O237" s="1328"/>
    </row>
    <row r="238" spans="1:15" x14ac:dyDescent="0.25">
      <c r="A238" s="1140" t="s">
        <v>1270</v>
      </c>
      <c r="B238" s="1050" t="str">
        <f ca="1">_xlfn.IFNA(_xlfn.CONCAT(SUBSTITUTE(ADDRESS(1,MATCH(A238,INDIRECT("'"&amp;E238&amp;"'"&amp;"!A22:Z22"),0),4),1,""),30),"")</f>
        <v>E30</v>
      </c>
      <c r="C238" s="1050" t="str">
        <f t="shared" ca="1" si="25"/>
        <v>E</v>
      </c>
      <c r="D238" s="1329" t="s">
        <v>1464</v>
      </c>
      <c r="E238" s="1050" t="s">
        <v>1509</v>
      </c>
      <c r="F238" s="1328"/>
      <c r="G238" s="1328"/>
      <c r="H238" s="1328"/>
      <c r="I238" s="1328"/>
      <c r="J238" s="1328"/>
      <c r="K238" s="1328"/>
      <c r="L238" s="1110" t="s">
        <v>734</v>
      </c>
      <c r="M238" s="1329">
        <v>175</v>
      </c>
      <c r="N238" s="1329"/>
      <c r="O238" s="1328"/>
    </row>
    <row r="239" spans="1:15" x14ac:dyDescent="0.25">
      <c r="A239" s="1141" t="s">
        <v>794</v>
      </c>
      <c r="B239" s="1050" t="str">
        <f t="shared" ref="B239:B248" ca="1" si="27">_xlfn.IFNA(_xlfn.CONCAT(SUBSTITUTE(ADDRESS(1,MATCH(A239,INDIRECT("'"&amp;E239&amp;"'"&amp;"!A22:Z22"),0),4),1,""),30),"")</f>
        <v>F30</v>
      </c>
      <c r="C239" s="1050" t="str">
        <f t="shared" ca="1" si="25"/>
        <v>F</v>
      </c>
      <c r="D239" s="1329" t="s">
        <v>1464</v>
      </c>
      <c r="E239" s="1050" t="s">
        <v>1509</v>
      </c>
      <c r="F239" s="1328"/>
      <c r="G239" s="1328"/>
      <c r="H239" s="1328"/>
      <c r="I239" s="1328"/>
      <c r="J239" s="1328"/>
      <c r="K239" s="1328"/>
      <c r="L239" s="1110" t="s">
        <v>794</v>
      </c>
      <c r="M239" s="1329">
        <v>177</v>
      </c>
      <c r="N239" s="1329"/>
      <c r="O239" s="1328"/>
    </row>
    <row r="240" spans="1:15" x14ac:dyDescent="0.25">
      <c r="A240" s="1141" t="s">
        <v>793</v>
      </c>
      <c r="B240" s="1050" t="str">
        <f t="shared" ca="1" si="27"/>
        <v>K30</v>
      </c>
      <c r="C240" s="1050" t="str">
        <f t="shared" ca="1" si="25"/>
        <v>K</v>
      </c>
      <c r="D240" s="1329" t="s">
        <v>1464</v>
      </c>
      <c r="E240" s="1050" t="s">
        <v>1509</v>
      </c>
      <c r="F240" s="1328"/>
      <c r="G240" s="1328"/>
      <c r="H240" s="1328"/>
      <c r="I240" s="1328"/>
      <c r="J240" s="1328"/>
      <c r="K240" s="1328"/>
      <c r="L240" s="1110" t="s">
        <v>793</v>
      </c>
      <c r="M240" s="1329">
        <v>187</v>
      </c>
      <c r="N240" s="1329"/>
      <c r="O240" s="1328"/>
    </row>
    <row r="241" spans="1:15" x14ac:dyDescent="0.25">
      <c r="A241" s="1141" t="s">
        <v>1271</v>
      </c>
      <c r="B241" s="1050" t="str">
        <f t="shared" ca="1" si="27"/>
        <v>L30</v>
      </c>
      <c r="C241" s="1050" t="str">
        <f t="shared" ca="1" si="25"/>
        <v>L</v>
      </c>
      <c r="D241" s="1329" t="s">
        <v>1464</v>
      </c>
      <c r="E241" s="1050" t="s">
        <v>1509</v>
      </c>
      <c r="F241" s="1328"/>
      <c r="G241" s="1328"/>
      <c r="H241" s="1328"/>
      <c r="I241" s="1328"/>
      <c r="J241" s="1328"/>
      <c r="K241" s="1328"/>
      <c r="L241" s="1110" t="s">
        <v>1271</v>
      </c>
      <c r="M241" s="1329">
        <v>188</v>
      </c>
      <c r="N241" s="1329"/>
      <c r="O241" s="1328"/>
    </row>
    <row r="242" spans="1:15" x14ac:dyDescent="0.25">
      <c r="A242" s="1141" t="s">
        <v>1272</v>
      </c>
      <c r="B242" s="1050" t="str">
        <f t="shared" ca="1" si="27"/>
        <v>M30</v>
      </c>
      <c r="C242" s="1050" t="str">
        <f t="shared" ca="1" si="25"/>
        <v>M</v>
      </c>
      <c r="D242" s="1329" t="s">
        <v>1464</v>
      </c>
      <c r="E242" s="1050" t="s">
        <v>1509</v>
      </c>
      <c r="F242" s="1328"/>
      <c r="G242" s="1328"/>
      <c r="H242" s="1328"/>
      <c r="I242" s="1328"/>
      <c r="J242" s="1328"/>
      <c r="K242" s="1328"/>
      <c r="L242" s="1110" t="s">
        <v>1272</v>
      </c>
      <c r="M242" s="1329">
        <v>189</v>
      </c>
      <c r="N242" s="1329"/>
      <c r="O242" s="1328"/>
    </row>
    <row r="243" spans="1:15" x14ac:dyDescent="0.25">
      <c r="A243" s="1141" t="s">
        <v>1273</v>
      </c>
      <c r="B243" s="1050" t="str">
        <f t="shared" ca="1" si="27"/>
        <v>N30</v>
      </c>
      <c r="C243" s="1050" t="str">
        <f t="shared" ca="1" si="25"/>
        <v>N</v>
      </c>
      <c r="D243" s="1329" t="s">
        <v>1464</v>
      </c>
      <c r="E243" s="1050" t="s">
        <v>1509</v>
      </c>
      <c r="F243" s="1328"/>
      <c r="G243" s="1328"/>
      <c r="H243" s="1328"/>
      <c r="I243" s="1328"/>
      <c r="J243" s="1328"/>
      <c r="K243" s="1328"/>
      <c r="L243" s="1110" t="s">
        <v>1474</v>
      </c>
      <c r="M243" s="1329">
        <v>190</v>
      </c>
      <c r="N243" s="1329"/>
      <c r="O243" s="1328"/>
    </row>
    <row r="244" spans="1:15" x14ac:dyDescent="0.25">
      <c r="A244" s="1141" t="s">
        <v>1391</v>
      </c>
      <c r="B244" s="1050" t="str">
        <f t="shared" ca="1" si="27"/>
        <v>O30</v>
      </c>
      <c r="C244" s="1050" t="str">
        <f t="shared" ca="1" si="25"/>
        <v>O</v>
      </c>
      <c r="D244" s="1329" t="s">
        <v>1464</v>
      </c>
      <c r="E244" s="1050" t="s">
        <v>1509</v>
      </c>
      <c r="F244" s="1328"/>
      <c r="G244" s="1328"/>
      <c r="H244" s="1328"/>
      <c r="I244" s="1328"/>
      <c r="J244" s="1328"/>
      <c r="K244" s="1328"/>
      <c r="L244" s="1110" t="s">
        <v>1391</v>
      </c>
      <c r="M244" s="1329">
        <v>191</v>
      </c>
      <c r="N244" s="1329"/>
      <c r="O244" s="1328"/>
    </row>
    <row r="245" spans="1:15" x14ac:dyDescent="0.25">
      <c r="A245" s="1141" t="s">
        <v>795</v>
      </c>
      <c r="B245" s="1050" t="str">
        <f t="shared" ca="1" si="27"/>
        <v>G30</v>
      </c>
      <c r="C245" s="1050" t="str">
        <f t="shared" ca="1" si="25"/>
        <v>G</v>
      </c>
      <c r="D245" s="1329" t="s">
        <v>1464</v>
      </c>
      <c r="E245" s="1050" t="s">
        <v>1509</v>
      </c>
      <c r="F245" s="1328"/>
      <c r="G245" s="1328"/>
      <c r="H245" s="1328"/>
      <c r="I245" s="1328"/>
      <c r="J245" s="1328"/>
      <c r="K245" s="1328"/>
      <c r="L245" s="1110" t="s">
        <v>795</v>
      </c>
      <c r="M245" s="1329">
        <v>192</v>
      </c>
      <c r="N245" s="1329"/>
      <c r="O245" s="1328"/>
    </row>
    <row r="246" spans="1:15" x14ac:dyDescent="0.25">
      <c r="A246" s="1141" t="s">
        <v>800</v>
      </c>
      <c r="B246" s="1050" t="str">
        <f t="shared" ca="1" si="27"/>
        <v>H30</v>
      </c>
      <c r="C246" s="1050" t="str">
        <f t="shared" ca="1" si="25"/>
        <v>H</v>
      </c>
      <c r="D246" s="1329" t="s">
        <v>1464</v>
      </c>
      <c r="E246" s="1050" t="s">
        <v>1509</v>
      </c>
      <c r="F246" s="1328"/>
      <c r="G246" s="1328"/>
      <c r="H246" s="1328"/>
      <c r="I246" s="1328"/>
      <c r="J246" s="1328"/>
      <c r="K246" s="1328"/>
      <c r="L246" s="1110" t="s">
        <v>800</v>
      </c>
      <c r="M246" s="1329">
        <v>193</v>
      </c>
      <c r="N246" s="1329"/>
      <c r="O246" s="1328"/>
    </row>
    <row r="247" spans="1:15" x14ac:dyDescent="0.25">
      <c r="A247" s="1141" t="s">
        <v>801</v>
      </c>
      <c r="B247" s="1050" t="str">
        <f t="shared" ca="1" si="27"/>
        <v>I30</v>
      </c>
      <c r="C247" s="1050" t="str">
        <f t="shared" ca="1" si="25"/>
        <v>I</v>
      </c>
      <c r="D247" s="1329" t="s">
        <v>1464</v>
      </c>
      <c r="E247" s="1050" t="s">
        <v>1509</v>
      </c>
      <c r="F247" s="1328"/>
      <c r="G247" s="1328"/>
      <c r="H247" s="1328"/>
      <c r="I247" s="1328"/>
      <c r="J247" s="1328"/>
      <c r="K247" s="1328"/>
      <c r="L247" s="1110" t="s">
        <v>801</v>
      </c>
      <c r="M247" s="1329">
        <v>194</v>
      </c>
      <c r="N247" s="1329"/>
      <c r="O247" s="1328"/>
    </row>
    <row r="248" spans="1:15" x14ac:dyDescent="0.25">
      <c r="A248" s="1141" t="s">
        <v>204</v>
      </c>
      <c r="B248" s="1050" t="str">
        <f t="shared" ca="1" si="27"/>
        <v>J30</v>
      </c>
      <c r="C248" s="1050" t="str">
        <f t="shared" ca="1" si="25"/>
        <v>J</v>
      </c>
      <c r="D248" s="1329" t="s">
        <v>1464</v>
      </c>
      <c r="E248" s="1050" t="s">
        <v>1509</v>
      </c>
      <c r="F248" s="1328"/>
      <c r="G248" s="1328"/>
      <c r="H248" s="1328"/>
      <c r="I248" s="1328"/>
      <c r="J248" s="1328"/>
      <c r="K248" s="1328"/>
      <c r="L248" s="1110" t="s">
        <v>204</v>
      </c>
      <c r="M248" s="1329">
        <v>195</v>
      </c>
      <c r="N248" s="1329"/>
      <c r="O248" s="1328"/>
    </row>
    <row r="249" spans="1:15" x14ac:dyDescent="0.25">
      <c r="A249" s="1138" t="s">
        <v>1270</v>
      </c>
      <c r="B249" s="1050" t="str">
        <f ca="1">_xlfn.IFNA(_xlfn.CONCAT(SUBSTITUTE(ADDRESS(1,MATCH(A249,INDIRECT("'"&amp;E249&amp;"'"&amp;"!A22:Z22"),0),4),1,""),31),"")</f>
        <v>E31</v>
      </c>
      <c r="C249" s="1050" t="str">
        <f t="shared" ca="1" si="25"/>
        <v>E</v>
      </c>
      <c r="D249" s="1329" t="s">
        <v>1464</v>
      </c>
      <c r="E249" s="1050" t="s">
        <v>1509</v>
      </c>
      <c r="F249" s="1328"/>
      <c r="G249" s="1328"/>
      <c r="H249" s="1328"/>
      <c r="I249" s="1328"/>
      <c r="J249" s="1328"/>
      <c r="K249" s="1328"/>
      <c r="L249" s="1110" t="s">
        <v>734</v>
      </c>
      <c r="M249" s="1329">
        <v>196</v>
      </c>
      <c r="N249" s="1329"/>
      <c r="O249" s="1328"/>
    </row>
    <row r="250" spans="1:15" x14ac:dyDescent="0.25">
      <c r="A250" s="1139" t="s">
        <v>794</v>
      </c>
      <c r="B250" s="1050" t="str">
        <f t="shared" ref="B250:B259" ca="1" si="28">_xlfn.IFNA(_xlfn.CONCAT(SUBSTITUTE(ADDRESS(1,MATCH(A250,INDIRECT("'"&amp;E250&amp;"'"&amp;"!A22:Z22"),0),4),1,""),31),"")</f>
        <v>F31</v>
      </c>
      <c r="C250" s="1050" t="str">
        <f t="shared" ca="1" si="25"/>
        <v>F</v>
      </c>
      <c r="D250" s="1329" t="s">
        <v>1464</v>
      </c>
      <c r="E250" s="1050" t="s">
        <v>1509</v>
      </c>
      <c r="F250" s="1328"/>
      <c r="G250" s="1328"/>
      <c r="H250" s="1328"/>
      <c r="I250" s="1328"/>
      <c r="J250" s="1328"/>
      <c r="K250" s="1328"/>
      <c r="L250" s="1110" t="s">
        <v>794</v>
      </c>
      <c r="M250" s="1329">
        <v>198</v>
      </c>
      <c r="N250" s="1329"/>
      <c r="O250" s="1328"/>
    </row>
    <row r="251" spans="1:15" x14ac:dyDescent="0.25">
      <c r="A251" s="1139" t="s">
        <v>793</v>
      </c>
      <c r="B251" s="1050" t="str">
        <f t="shared" ca="1" si="28"/>
        <v>K31</v>
      </c>
      <c r="C251" s="1050" t="str">
        <f t="shared" ca="1" si="25"/>
        <v>K</v>
      </c>
      <c r="D251" s="1329" t="s">
        <v>1464</v>
      </c>
      <c r="E251" s="1050" t="s">
        <v>1509</v>
      </c>
      <c r="F251" s="1328"/>
      <c r="G251" s="1328"/>
      <c r="H251" s="1328"/>
      <c r="I251" s="1328"/>
      <c r="J251" s="1328"/>
      <c r="K251" s="1328"/>
      <c r="L251" s="1110" t="s">
        <v>793</v>
      </c>
      <c r="M251" s="1329">
        <v>208</v>
      </c>
      <c r="N251" s="1329"/>
      <c r="O251" s="1328"/>
    </row>
    <row r="252" spans="1:15" x14ac:dyDescent="0.25">
      <c r="A252" s="1139" t="s">
        <v>1271</v>
      </c>
      <c r="B252" s="1050" t="str">
        <f t="shared" ca="1" si="28"/>
        <v>L31</v>
      </c>
      <c r="C252" s="1050" t="str">
        <f t="shared" ca="1" si="25"/>
        <v>L</v>
      </c>
      <c r="D252" s="1329" t="s">
        <v>1464</v>
      </c>
      <c r="E252" s="1050" t="s">
        <v>1509</v>
      </c>
      <c r="F252" s="1328"/>
      <c r="G252" s="1328"/>
      <c r="H252" s="1328"/>
      <c r="I252" s="1328"/>
      <c r="J252" s="1328"/>
      <c r="K252" s="1328"/>
      <c r="L252" s="1110" t="s">
        <v>1271</v>
      </c>
      <c r="M252" s="1329">
        <v>209</v>
      </c>
      <c r="N252" s="1329"/>
      <c r="O252" s="1328"/>
    </row>
    <row r="253" spans="1:15" x14ac:dyDescent="0.25">
      <c r="A253" s="1139" t="s">
        <v>1272</v>
      </c>
      <c r="B253" s="1050" t="str">
        <f t="shared" ca="1" si="28"/>
        <v>M31</v>
      </c>
      <c r="C253" s="1050" t="str">
        <f t="shared" ca="1" si="25"/>
        <v>M</v>
      </c>
      <c r="D253" s="1329" t="s">
        <v>1464</v>
      </c>
      <c r="E253" s="1050" t="s">
        <v>1509</v>
      </c>
      <c r="F253" s="1328"/>
      <c r="G253" s="1328"/>
      <c r="H253" s="1328"/>
      <c r="I253" s="1328"/>
      <c r="J253" s="1328"/>
      <c r="K253" s="1328"/>
      <c r="L253" s="1110" t="s">
        <v>1272</v>
      </c>
      <c r="M253" s="1329">
        <v>210</v>
      </c>
      <c r="N253" s="1329"/>
      <c r="O253" s="1328"/>
    </row>
    <row r="254" spans="1:15" x14ac:dyDescent="0.25">
      <c r="A254" s="1139" t="s">
        <v>1273</v>
      </c>
      <c r="B254" s="1050" t="str">
        <f t="shared" ca="1" si="28"/>
        <v>N31</v>
      </c>
      <c r="C254" s="1050" t="str">
        <f t="shared" ca="1" si="25"/>
        <v>N</v>
      </c>
      <c r="D254" s="1329" t="s">
        <v>1464</v>
      </c>
      <c r="E254" s="1050" t="s">
        <v>1509</v>
      </c>
      <c r="F254" s="1328"/>
      <c r="G254" s="1328"/>
      <c r="H254" s="1328"/>
      <c r="I254" s="1328"/>
      <c r="J254" s="1328"/>
      <c r="K254" s="1328"/>
      <c r="L254" s="1110" t="s">
        <v>1474</v>
      </c>
      <c r="M254" s="1329">
        <v>211</v>
      </c>
      <c r="N254" s="1329"/>
      <c r="O254" s="1328"/>
    </row>
    <row r="255" spans="1:15" x14ac:dyDescent="0.25">
      <c r="A255" s="1139" t="s">
        <v>1391</v>
      </c>
      <c r="B255" s="1050" t="str">
        <f t="shared" ca="1" si="28"/>
        <v>O31</v>
      </c>
      <c r="C255" s="1050" t="str">
        <f t="shared" ca="1" si="25"/>
        <v>O</v>
      </c>
      <c r="D255" s="1329" t="s">
        <v>1464</v>
      </c>
      <c r="E255" s="1050" t="s">
        <v>1509</v>
      </c>
      <c r="F255" s="1328"/>
      <c r="G255" s="1328"/>
      <c r="H255" s="1328"/>
      <c r="I255" s="1328"/>
      <c r="J255" s="1328"/>
      <c r="K255" s="1328"/>
      <c r="L255" s="1110" t="s">
        <v>1391</v>
      </c>
      <c r="M255" s="1329">
        <v>212</v>
      </c>
      <c r="N255" s="1329"/>
      <c r="O255" s="1328"/>
    </row>
    <row r="256" spans="1:15" x14ac:dyDescent="0.25">
      <c r="A256" s="1139" t="s">
        <v>795</v>
      </c>
      <c r="B256" s="1050" t="str">
        <f t="shared" ca="1" si="28"/>
        <v>G31</v>
      </c>
      <c r="C256" s="1050" t="str">
        <f t="shared" ca="1" si="25"/>
        <v>G</v>
      </c>
      <c r="D256" s="1329" t="s">
        <v>1464</v>
      </c>
      <c r="E256" s="1050" t="s">
        <v>1509</v>
      </c>
      <c r="F256" s="1328"/>
      <c r="G256" s="1328"/>
      <c r="H256" s="1328"/>
      <c r="I256" s="1328"/>
      <c r="J256" s="1328"/>
      <c r="K256" s="1328"/>
      <c r="L256" s="1110" t="s">
        <v>795</v>
      </c>
      <c r="M256" s="1329">
        <v>213</v>
      </c>
      <c r="N256" s="1329"/>
      <c r="O256" s="1328"/>
    </row>
    <row r="257" spans="1:15" x14ac:dyDescent="0.25">
      <c r="A257" s="1139" t="s">
        <v>800</v>
      </c>
      <c r="B257" s="1050" t="str">
        <f t="shared" ca="1" si="28"/>
        <v>H31</v>
      </c>
      <c r="C257" s="1050" t="str">
        <f t="shared" ca="1" si="25"/>
        <v>H</v>
      </c>
      <c r="D257" s="1329" t="s">
        <v>1464</v>
      </c>
      <c r="E257" s="1050" t="s">
        <v>1509</v>
      </c>
      <c r="F257" s="1328"/>
      <c r="G257" s="1328"/>
      <c r="H257" s="1328"/>
      <c r="I257" s="1328"/>
      <c r="J257" s="1328"/>
      <c r="K257" s="1328"/>
      <c r="L257" s="1110" t="s">
        <v>800</v>
      </c>
      <c r="M257" s="1329">
        <v>214</v>
      </c>
      <c r="N257" s="1329"/>
      <c r="O257" s="1328"/>
    </row>
    <row r="258" spans="1:15" x14ac:dyDescent="0.25">
      <c r="A258" s="1139" t="s">
        <v>801</v>
      </c>
      <c r="B258" s="1050" t="str">
        <f t="shared" ca="1" si="28"/>
        <v>I31</v>
      </c>
      <c r="C258" s="1050" t="str">
        <f t="shared" ca="1" si="25"/>
        <v>I</v>
      </c>
      <c r="D258" s="1329" t="s">
        <v>1464</v>
      </c>
      <c r="E258" s="1050" t="s">
        <v>1509</v>
      </c>
      <c r="F258" s="1328"/>
      <c r="G258" s="1328"/>
      <c r="H258" s="1328"/>
      <c r="I258" s="1328"/>
      <c r="J258" s="1328"/>
      <c r="K258" s="1328"/>
      <c r="L258" s="1110" t="s">
        <v>801</v>
      </c>
      <c r="M258" s="1329">
        <v>215</v>
      </c>
      <c r="N258" s="1329"/>
      <c r="O258" s="1328"/>
    </row>
    <row r="259" spans="1:15" x14ac:dyDescent="0.25">
      <c r="A259" s="1139" t="s">
        <v>204</v>
      </c>
      <c r="B259" s="1050" t="str">
        <f t="shared" ca="1" si="28"/>
        <v>J31</v>
      </c>
      <c r="C259" s="1050" t="str">
        <f t="shared" ca="1" si="25"/>
        <v>J</v>
      </c>
      <c r="D259" s="1329" t="s">
        <v>1464</v>
      </c>
      <c r="E259" s="1050" t="s">
        <v>1509</v>
      </c>
      <c r="F259" s="1328"/>
      <c r="G259" s="1328"/>
      <c r="H259" s="1328"/>
      <c r="I259" s="1328"/>
      <c r="J259" s="1328"/>
      <c r="K259" s="1328"/>
      <c r="L259" s="1110" t="s">
        <v>204</v>
      </c>
      <c r="M259" s="1329">
        <v>216</v>
      </c>
      <c r="N259" s="1329"/>
      <c r="O259" s="1328"/>
    </row>
    <row r="260" spans="1:15" x14ac:dyDescent="0.25">
      <c r="A260" s="1140" t="s">
        <v>1270</v>
      </c>
      <c r="B260" s="1050" t="str">
        <f ca="1">_xlfn.IFNA(_xlfn.CONCAT(SUBSTITUTE(ADDRESS(1,MATCH(A260,INDIRECT("'"&amp;E260&amp;"'"&amp;"!A22:Z22"),0),4),1,""),32),"")</f>
        <v>E32</v>
      </c>
      <c r="C260" s="1050" t="str">
        <f t="shared" ca="1" si="25"/>
        <v>E</v>
      </c>
      <c r="D260" s="1329" t="s">
        <v>1464</v>
      </c>
      <c r="E260" s="1050" t="s">
        <v>1509</v>
      </c>
      <c r="F260" s="1328"/>
      <c r="G260" s="1328"/>
      <c r="H260" s="1328"/>
      <c r="I260" s="1328"/>
      <c r="J260" s="1328"/>
      <c r="K260" s="1328"/>
      <c r="L260" s="1110" t="s">
        <v>734</v>
      </c>
      <c r="M260" s="1329">
        <v>217</v>
      </c>
      <c r="N260" s="1329"/>
      <c r="O260" s="1328"/>
    </row>
    <row r="261" spans="1:15" x14ac:dyDescent="0.25">
      <c r="A261" s="1141" t="s">
        <v>794</v>
      </c>
      <c r="B261" s="1050" t="str">
        <f t="shared" ref="B261:B270" ca="1" si="29">_xlfn.IFNA(_xlfn.CONCAT(SUBSTITUTE(ADDRESS(1,MATCH(A261,INDIRECT("'"&amp;E261&amp;"'"&amp;"!A22:Z22"),0),4),1,""),32),"")</f>
        <v>F32</v>
      </c>
      <c r="C261" s="1050" t="str">
        <f t="shared" ca="1" si="25"/>
        <v>F</v>
      </c>
      <c r="D261" s="1329" t="s">
        <v>1464</v>
      </c>
      <c r="E261" s="1050" t="s">
        <v>1509</v>
      </c>
      <c r="F261" s="1328"/>
      <c r="G261" s="1328"/>
      <c r="H261" s="1328"/>
      <c r="I261" s="1328"/>
      <c r="J261" s="1328"/>
      <c r="K261" s="1328"/>
      <c r="L261" s="1110" t="s">
        <v>794</v>
      </c>
      <c r="M261" s="1329">
        <v>219</v>
      </c>
      <c r="N261" s="1329"/>
      <c r="O261" s="1328"/>
    </row>
    <row r="262" spans="1:15" x14ac:dyDescent="0.25">
      <c r="A262" s="1141" t="s">
        <v>793</v>
      </c>
      <c r="B262" s="1050" t="str">
        <f t="shared" ca="1" si="29"/>
        <v>K32</v>
      </c>
      <c r="C262" s="1050" t="str">
        <f t="shared" ca="1" si="25"/>
        <v>K</v>
      </c>
      <c r="D262" s="1329" t="s">
        <v>1464</v>
      </c>
      <c r="E262" s="1050" t="s">
        <v>1509</v>
      </c>
      <c r="F262" s="1328"/>
      <c r="G262" s="1328"/>
      <c r="H262" s="1328"/>
      <c r="I262" s="1328"/>
      <c r="J262" s="1328"/>
      <c r="K262" s="1328"/>
      <c r="L262" s="1110" t="s">
        <v>793</v>
      </c>
      <c r="M262" s="1329">
        <v>229</v>
      </c>
      <c r="N262" s="1329"/>
      <c r="O262" s="1328"/>
    </row>
    <row r="263" spans="1:15" x14ac:dyDescent="0.25">
      <c r="A263" s="1141" t="s">
        <v>1271</v>
      </c>
      <c r="B263" s="1050" t="str">
        <f t="shared" ca="1" si="29"/>
        <v>L32</v>
      </c>
      <c r="C263" s="1050" t="str">
        <f t="shared" ca="1" si="25"/>
        <v>L</v>
      </c>
      <c r="D263" s="1329" t="s">
        <v>1464</v>
      </c>
      <c r="E263" s="1050" t="s">
        <v>1509</v>
      </c>
      <c r="F263" s="1328"/>
      <c r="G263" s="1328"/>
      <c r="H263" s="1328"/>
      <c r="I263" s="1328"/>
      <c r="J263" s="1328"/>
      <c r="K263" s="1328"/>
      <c r="L263" s="1110" t="s">
        <v>1271</v>
      </c>
      <c r="M263" s="1329">
        <v>230</v>
      </c>
      <c r="N263" s="1329"/>
      <c r="O263" s="1328"/>
    </row>
    <row r="264" spans="1:15" x14ac:dyDescent="0.25">
      <c r="A264" s="1141" t="s">
        <v>1272</v>
      </c>
      <c r="B264" s="1050" t="str">
        <f t="shared" ca="1" si="29"/>
        <v>M32</v>
      </c>
      <c r="C264" s="1050" t="str">
        <f t="shared" ca="1" si="25"/>
        <v>M</v>
      </c>
      <c r="D264" s="1329" t="s">
        <v>1464</v>
      </c>
      <c r="E264" s="1050" t="s">
        <v>1509</v>
      </c>
      <c r="F264" s="1328"/>
      <c r="G264" s="1328"/>
      <c r="H264" s="1328"/>
      <c r="I264" s="1328"/>
      <c r="J264" s="1328"/>
      <c r="K264" s="1328"/>
      <c r="L264" s="1110" t="s">
        <v>1272</v>
      </c>
      <c r="M264" s="1329">
        <v>231</v>
      </c>
      <c r="N264" s="1329"/>
      <c r="O264" s="1328"/>
    </row>
    <row r="265" spans="1:15" x14ac:dyDescent="0.25">
      <c r="A265" s="1141" t="s">
        <v>1273</v>
      </c>
      <c r="B265" s="1050" t="str">
        <f t="shared" ca="1" si="29"/>
        <v>N32</v>
      </c>
      <c r="C265" s="1050" t="str">
        <f t="shared" ca="1" si="25"/>
        <v>N</v>
      </c>
      <c r="D265" s="1329" t="s">
        <v>1464</v>
      </c>
      <c r="E265" s="1050" t="s">
        <v>1509</v>
      </c>
      <c r="F265" s="1328"/>
      <c r="G265" s="1328"/>
      <c r="H265" s="1328"/>
      <c r="I265" s="1328"/>
      <c r="J265" s="1328"/>
      <c r="K265" s="1328"/>
      <c r="L265" s="1110" t="s">
        <v>1474</v>
      </c>
      <c r="M265" s="1329">
        <v>232</v>
      </c>
      <c r="N265" s="1329"/>
      <c r="O265" s="1328"/>
    </row>
    <row r="266" spans="1:15" x14ac:dyDescent="0.25">
      <c r="A266" s="1141" t="s">
        <v>1391</v>
      </c>
      <c r="B266" s="1050" t="str">
        <f t="shared" ca="1" si="29"/>
        <v>O32</v>
      </c>
      <c r="C266" s="1050" t="str">
        <f t="shared" ca="1" si="25"/>
        <v>O</v>
      </c>
      <c r="D266" s="1329" t="s">
        <v>1464</v>
      </c>
      <c r="E266" s="1050" t="s">
        <v>1509</v>
      </c>
      <c r="F266" s="1328"/>
      <c r="G266" s="1328"/>
      <c r="H266" s="1328"/>
      <c r="I266" s="1328"/>
      <c r="J266" s="1328"/>
      <c r="K266" s="1328"/>
      <c r="L266" s="1110" t="s">
        <v>1391</v>
      </c>
      <c r="M266" s="1329">
        <v>233</v>
      </c>
      <c r="N266" s="1329"/>
      <c r="O266" s="1328"/>
    </row>
    <row r="267" spans="1:15" x14ac:dyDescent="0.25">
      <c r="A267" s="1141" t="s">
        <v>795</v>
      </c>
      <c r="B267" s="1050" t="str">
        <f t="shared" ca="1" si="29"/>
        <v>G32</v>
      </c>
      <c r="C267" s="1050" t="str">
        <f t="shared" ca="1" si="25"/>
        <v>G</v>
      </c>
      <c r="D267" s="1329" t="s">
        <v>1464</v>
      </c>
      <c r="E267" s="1050" t="s">
        <v>1509</v>
      </c>
      <c r="F267" s="1328"/>
      <c r="G267" s="1328"/>
      <c r="H267" s="1328"/>
      <c r="I267" s="1328"/>
      <c r="J267" s="1328"/>
      <c r="K267" s="1328"/>
      <c r="L267" s="1110" t="s">
        <v>795</v>
      </c>
      <c r="M267" s="1329">
        <v>234</v>
      </c>
      <c r="N267" s="1329"/>
      <c r="O267" s="1328"/>
    </row>
    <row r="268" spans="1:15" x14ac:dyDescent="0.25">
      <c r="A268" s="1141" t="s">
        <v>800</v>
      </c>
      <c r="B268" s="1050" t="str">
        <f t="shared" ca="1" si="29"/>
        <v>H32</v>
      </c>
      <c r="C268" s="1050" t="str">
        <f t="shared" ca="1" si="25"/>
        <v>H</v>
      </c>
      <c r="D268" s="1329" t="s">
        <v>1464</v>
      </c>
      <c r="E268" s="1050" t="s">
        <v>1509</v>
      </c>
      <c r="F268" s="1328"/>
      <c r="G268" s="1328"/>
      <c r="H268" s="1328"/>
      <c r="I268" s="1328"/>
      <c r="J268" s="1328"/>
      <c r="K268" s="1328"/>
      <c r="L268" s="1110" t="s">
        <v>800</v>
      </c>
      <c r="M268" s="1329">
        <v>235</v>
      </c>
      <c r="N268" s="1329"/>
      <c r="O268" s="1328"/>
    </row>
    <row r="269" spans="1:15" x14ac:dyDescent="0.25">
      <c r="A269" s="1141" t="s">
        <v>801</v>
      </c>
      <c r="B269" s="1050" t="str">
        <f t="shared" ca="1" si="29"/>
        <v>I32</v>
      </c>
      <c r="C269" s="1050" t="str">
        <f t="shared" ca="1" si="25"/>
        <v>I</v>
      </c>
      <c r="D269" s="1329" t="s">
        <v>1464</v>
      </c>
      <c r="E269" s="1050" t="s">
        <v>1509</v>
      </c>
      <c r="F269" s="1328"/>
      <c r="G269" s="1328"/>
      <c r="H269" s="1328"/>
      <c r="I269" s="1328"/>
      <c r="J269" s="1328"/>
      <c r="K269" s="1328"/>
      <c r="L269" s="1110" t="s">
        <v>801</v>
      </c>
      <c r="M269" s="1329">
        <v>236</v>
      </c>
      <c r="N269" s="1329"/>
      <c r="O269" s="1328"/>
    </row>
    <row r="270" spans="1:15" x14ac:dyDescent="0.25">
      <c r="A270" s="1141" t="s">
        <v>204</v>
      </c>
      <c r="B270" s="1050" t="str">
        <f t="shared" ca="1" si="29"/>
        <v>J32</v>
      </c>
      <c r="C270" s="1050" t="str">
        <f t="shared" ca="1" si="25"/>
        <v>J</v>
      </c>
      <c r="D270" s="1329" t="s">
        <v>1464</v>
      </c>
      <c r="E270" s="1050" t="s">
        <v>1509</v>
      </c>
      <c r="F270" s="1328"/>
      <c r="G270" s="1328"/>
      <c r="H270" s="1328"/>
      <c r="I270" s="1328"/>
      <c r="J270" s="1328"/>
      <c r="K270" s="1328"/>
      <c r="L270" s="1110" t="s">
        <v>204</v>
      </c>
      <c r="M270" s="1329">
        <v>237</v>
      </c>
      <c r="N270" s="1329"/>
      <c r="O270" s="1328"/>
    </row>
    <row r="271" spans="1:15" x14ac:dyDescent="0.25">
      <c r="A271" s="1142" t="s">
        <v>1047</v>
      </c>
      <c r="B271" s="1329" t="str">
        <f>IFERROR(_xlfn.CONCAT("D",MATCH(A271,'[2]Tracking &amp; Profitability'!D$1:D$60,0)),"")</f>
        <v>D16</v>
      </c>
      <c r="C271" s="1329" t="str">
        <f>IFERROR(_xlfn.CONCAT("E",MATCH(A271,'[2]Tracking &amp; Profitability'!D$1:D$60,0)),"")</f>
        <v>E16</v>
      </c>
      <c r="D271" s="1050" t="s">
        <v>1457</v>
      </c>
      <c r="E271" s="1329" t="s">
        <v>129</v>
      </c>
      <c r="F271" s="1328"/>
      <c r="G271" s="1328"/>
      <c r="H271" s="1328"/>
      <c r="I271" s="1328"/>
      <c r="J271" s="1328"/>
      <c r="K271" s="1328"/>
      <c r="L271" s="1142" t="s">
        <v>1573</v>
      </c>
      <c r="M271" s="1329">
        <v>515</v>
      </c>
      <c r="N271" s="1329"/>
      <c r="O271" s="1328"/>
    </row>
    <row r="272" spans="1:15" x14ac:dyDescent="0.25">
      <c r="A272" s="1143" t="s">
        <v>1383</v>
      </c>
      <c r="B272" s="1047" t="str">
        <f ca="1">IF('[2]Pricing Schedule'!$K$5="No",_xlfn.CONCAT(IFERROR(SUBSTITUTE(ADDRESS(1,MATCH(A272,INDIRECT("'"&amp;E272&amp;"'"&amp;"!$A$10:$Z$10"),0),4),1,""),""),16),_xlfn.CONCAT(IFERROR(SUBSTITUTE(ADDRESS(1,MATCH(A272,INDIRECT("'"&amp;E272&amp;"'"&amp;"!$A$10:$Z$10"),0),4),1,""),""),50))</f>
        <v>N16</v>
      </c>
      <c r="C272" s="1047" t="str">
        <f ca="1">IF('[2]Pricing Schedule'!$K$5="No",IFERROR(SUBSTITUTE(ADDRESS(1,MATCH(A272,INDIRECT("'"&amp;E272&amp;"'"&amp;"!$A$10:$Z$10"),0),4),1,""),""),IFERROR(SUBSTITUTE(ADDRESS(1,MATCH(A272,INDIRECT("'"&amp;E272&amp;"'"&amp;"!$A$10:$Z$10"),0),4),1,""),""))</f>
        <v>N</v>
      </c>
      <c r="D272" s="1050" t="s">
        <v>1464</v>
      </c>
      <c r="E272" s="1050" t="s">
        <v>1373</v>
      </c>
      <c r="F272" s="1328"/>
      <c r="G272" s="1328"/>
      <c r="H272" s="1328"/>
      <c r="I272" s="1328"/>
      <c r="J272" s="1328"/>
      <c r="K272" s="1328"/>
      <c r="L272" s="1113" t="s">
        <v>1383</v>
      </c>
      <c r="M272" s="1329">
        <v>241</v>
      </c>
      <c r="N272" s="1329"/>
      <c r="O272" s="1328"/>
    </row>
    <row r="273" spans="1:15" x14ac:dyDescent="0.25">
      <c r="A273" s="1144" t="s">
        <v>1374</v>
      </c>
      <c r="B273" s="1047" t="str">
        <f ca="1">IF('[2]Pricing Schedule'!$K$5="No",_xlfn.CONCAT(IFERROR(SUBSTITUTE(ADDRESS(1,MATCH(A273,INDIRECT("'"&amp;E273&amp;"'"&amp;"!$A$10:$Z$10"),0),4),1,""),""),16),_xlfn.CONCAT(IFERROR(SUBSTITUTE(ADDRESS(1,MATCH(A273,INDIRECT("'"&amp;E273&amp;"'"&amp;"!$A$10:$Z$10"),0),4),1,""),""),50))</f>
        <v>C16</v>
      </c>
      <c r="C273" s="1047" t="str">
        <f ca="1">IF('[2]Pricing Schedule'!$K$5="No",IFERROR(SUBSTITUTE(ADDRESS(1,MATCH(A273,INDIRECT("'"&amp;E273&amp;"'"&amp;"!$A$10:$Z$10"),0),4),1,""),""),IFERROR(SUBSTITUTE(ADDRESS(1,MATCH(A273,INDIRECT("'"&amp;E273&amp;"'"&amp;"!$A$10:$Z$10"),0),4),1,""),""))</f>
        <v>C</v>
      </c>
      <c r="D273" s="1050" t="s">
        <v>1464</v>
      </c>
      <c r="E273" s="1050" t="s">
        <v>1373</v>
      </c>
      <c r="F273" s="1328"/>
      <c r="G273" s="1328"/>
      <c r="H273" s="1328"/>
      <c r="I273" s="1328"/>
      <c r="J273" s="1328"/>
      <c r="K273" s="1328"/>
      <c r="L273" s="1113" t="s">
        <v>254</v>
      </c>
      <c r="M273" s="1329">
        <v>242</v>
      </c>
      <c r="N273" s="1329"/>
      <c r="O273" s="1328"/>
    </row>
    <row r="274" spans="1:15" x14ac:dyDescent="0.25">
      <c r="A274" s="1144" t="s">
        <v>1339</v>
      </c>
      <c r="B274" s="1047" t="str">
        <f ca="1">IF('[2]Pricing Schedule'!$K$5="No",_xlfn.CONCAT(IFERROR(SUBSTITUTE(ADDRESS(1,MATCH(A274,INDIRECT("'"&amp;E274&amp;"'"&amp;"!$A$10:$Z$10"),0),4),1,""),""),16),_xlfn.CONCAT(IFERROR(SUBSTITUTE(ADDRESS(1,MATCH(A274,INDIRECT("'"&amp;E274&amp;"'"&amp;"!$A$10:$Z$10"),0),4),1,""),""),50))</f>
        <v>H16</v>
      </c>
      <c r="C274" s="1047" t="str">
        <f ca="1">IF('[2]Pricing Schedule'!$K$5="No",IFERROR(SUBSTITUTE(ADDRESS(1,MATCH(A274,INDIRECT("'"&amp;E274&amp;"'"&amp;"!$A$10:$Z$10"),0),4),1,""),""),IFERROR(SUBSTITUTE(ADDRESS(1,MATCH(A274,INDIRECT("'"&amp;E274&amp;"'"&amp;"!$A$10:$Z$10"),0),4),1,""),""))</f>
        <v>H</v>
      </c>
      <c r="D274" s="1050" t="s">
        <v>1464</v>
      </c>
      <c r="E274" s="1050" t="s">
        <v>1373</v>
      </c>
      <c r="F274" s="1328"/>
      <c r="G274" s="1328"/>
      <c r="H274" s="1328"/>
      <c r="I274" s="1328"/>
      <c r="J274" s="1328"/>
      <c r="K274" s="1328"/>
      <c r="L274" s="1113" t="s">
        <v>1339</v>
      </c>
      <c r="M274" s="1329">
        <v>243</v>
      </c>
      <c r="N274" s="1329"/>
      <c r="O274" s="1328"/>
    </row>
    <row r="275" spans="1:15" x14ac:dyDescent="0.25">
      <c r="A275" s="1144" t="s">
        <v>1377</v>
      </c>
      <c r="B275" s="1047" t="str">
        <f ca="1">IF('[2]Pricing Schedule'!$K$5="No",_xlfn.CONCAT(IFERROR(SUBSTITUTE(ADDRESS(1,MATCH(A275,INDIRECT("'"&amp;E275&amp;"'"&amp;"!$A$10:$Z$10"),0),4),1,""),""),16),_xlfn.CONCAT(IFERROR(SUBSTITUTE(ADDRESS(1,MATCH(A275,INDIRECT("'"&amp;E275&amp;"'"&amp;"!$A$10:$Z$10"),0),4),1,""),""),50))</f>
        <v>F16</v>
      </c>
      <c r="C275" s="1047" t="str">
        <f ca="1">IF('[2]Pricing Schedule'!$K$5="No",IFERROR(SUBSTITUTE(ADDRESS(1,MATCH(A275,INDIRECT("'"&amp;E275&amp;"'"&amp;"!$A$10:$Z$10"),0),4),1,""),""),IFERROR(SUBSTITUTE(ADDRESS(1,MATCH(A275,INDIRECT("'"&amp;E275&amp;"'"&amp;"!$A$10:$Z$10"),0),4),1,""),""))</f>
        <v>F</v>
      </c>
      <c r="D275" s="1050" t="s">
        <v>1464</v>
      </c>
      <c r="E275" s="1050" t="s">
        <v>1373</v>
      </c>
      <c r="F275" s="1328"/>
      <c r="G275" s="1328"/>
      <c r="H275" s="1328"/>
      <c r="I275" s="1328"/>
      <c r="J275" s="1328"/>
      <c r="K275" s="1328"/>
      <c r="L275" s="1113" t="s">
        <v>225</v>
      </c>
      <c r="M275" s="1329">
        <v>244</v>
      </c>
      <c r="N275" s="1329"/>
      <c r="O275" s="132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9" t="s">
        <v>1464</v>
      </c>
      <c r="E276" s="1050" t="s">
        <v>208</v>
      </c>
      <c r="F276" s="1328"/>
      <c r="G276" s="1328"/>
      <c r="H276" s="1328"/>
      <c r="I276" s="1328"/>
      <c r="J276" s="1328"/>
      <c r="K276" s="1328"/>
      <c r="L276" s="1113" t="s">
        <v>466</v>
      </c>
      <c r="M276" s="1329">
        <v>245</v>
      </c>
      <c r="N276" s="1329"/>
      <c r="O276" s="1328"/>
    </row>
    <row r="277" spans="1:15" x14ac:dyDescent="0.25">
      <c r="A277" s="1145" t="s">
        <v>1376</v>
      </c>
      <c r="B277" s="1047" t="str">
        <f ca="1">IF('[2]Pricing Schedule'!$K$5="No",_xlfn.CONCAT(IFERROR(SUBSTITUTE(ADDRESS(1,MATCH(A277,INDIRECT("'"&amp;E277&amp;"'"&amp;"!$A$10:$Z$10"),0),4),1,""),""),16),_xlfn.CONCAT(IFERROR(SUBSTITUTE(ADDRESS(1,MATCH(A277,INDIRECT("'"&amp;E277&amp;"'"&amp;"!$A$10:$Z$10"),0),4),1,""),""),50))</f>
        <v>E16</v>
      </c>
      <c r="C277" s="1047" t="str">
        <f ca="1">IF('[2]Pricing Schedule'!$K$5="No",IFERROR(SUBSTITUTE(ADDRESS(1,MATCH(A277,INDIRECT("'"&amp;E277&amp;"'"&amp;"!$A$10:$Z$10"),0),4),1,""),""),IFERROR(SUBSTITUTE(ADDRESS(1,MATCH(A277,INDIRECT("'"&amp;E277&amp;"'"&amp;"!$A$10:$Z$10"),0),4),1,""),""))</f>
        <v>E</v>
      </c>
      <c r="D277" s="1050" t="s">
        <v>1464</v>
      </c>
      <c r="E277" s="1050" t="s">
        <v>1373</v>
      </c>
      <c r="F277" s="1328"/>
      <c r="G277" s="1328"/>
      <c r="H277" s="1328"/>
      <c r="I277" s="1328"/>
      <c r="J277" s="1328"/>
      <c r="K277" s="1328"/>
      <c r="L277" s="1113" t="s">
        <v>1376</v>
      </c>
      <c r="M277" s="1329">
        <v>246</v>
      </c>
      <c r="N277" s="1329"/>
      <c r="O277" s="1328"/>
    </row>
    <row r="278" spans="1:15" x14ac:dyDescent="0.25">
      <c r="A278" s="1145" t="s">
        <v>1378</v>
      </c>
      <c r="B278" s="1047" t="str">
        <f ca="1">IF('[2]Pricing Schedule'!$K$5="No",_xlfn.CONCAT(IFERROR(SUBSTITUTE(ADDRESS(1,MATCH(A278,INDIRECT("'"&amp;E278&amp;"'"&amp;"!$A$10:$Z$10"),0),4),1,""),""),16),_xlfn.CONCAT(IFERROR(SUBSTITUTE(ADDRESS(1,MATCH(A278,INDIRECT("'"&amp;E278&amp;"'"&amp;"!$A$10:$Z$10"),0),4),1,""),""),50))</f>
        <v>G16</v>
      </c>
      <c r="C278" s="1047" t="str">
        <f ca="1">IF('[2]Pricing Schedule'!$K$5="No",IFERROR(SUBSTITUTE(ADDRESS(1,MATCH(A278,INDIRECT("'"&amp;E278&amp;"'"&amp;"!$A$10:$Z$10"),0),4),1,""),""),IFERROR(SUBSTITUTE(ADDRESS(1,MATCH(A278,INDIRECT("'"&amp;E278&amp;"'"&amp;"!$A$10:$Z$10"),0),4),1,""),""))</f>
        <v>G</v>
      </c>
      <c r="D278" s="1050" t="s">
        <v>1464</v>
      </c>
      <c r="E278" s="1050" t="s">
        <v>1373</v>
      </c>
      <c r="F278" s="1328"/>
      <c r="G278" s="1328"/>
      <c r="H278" s="1328"/>
      <c r="I278" s="1328"/>
      <c r="J278" s="1328"/>
      <c r="K278" s="1328"/>
      <c r="L278" s="1113" t="s">
        <v>1378</v>
      </c>
      <c r="M278" s="1329">
        <v>247</v>
      </c>
      <c r="N278" s="1329"/>
      <c r="O278" s="1328"/>
    </row>
    <row r="279" spans="1:15" x14ac:dyDescent="0.25">
      <c r="A279" s="1145" t="s">
        <v>1379</v>
      </c>
      <c r="B279" s="1047" t="str">
        <f ca="1">IF('[2]Pricing Schedule'!$K$5="No",_xlfn.CONCAT(IFERROR(SUBSTITUTE(ADDRESS(1,MATCH(A279,INDIRECT("'"&amp;E279&amp;"'"&amp;"!$A$10:$Z$10"),0),4),1,""),""),16),_xlfn.CONCAT(IFERROR(SUBSTITUTE(ADDRESS(1,MATCH(A279,INDIRECT("'"&amp;E279&amp;"'"&amp;"!$A$10:$Z$10"),0),4),1,""),""),50))</f>
        <v>I16</v>
      </c>
      <c r="C279" s="1047" t="str">
        <f ca="1">IF('[2]Pricing Schedule'!$K$5="No",IFERROR(SUBSTITUTE(ADDRESS(1,MATCH(A279,INDIRECT("'"&amp;E279&amp;"'"&amp;"!$A$10:$Z$10"),0),4),1,""),""),IFERROR(SUBSTITUTE(ADDRESS(1,MATCH(A279,INDIRECT("'"&amp;E279&amp;"'"&amp;"!$A$10:$Z$10"),0),4),1,""),""))</f>
        <v>I</v>
      </c>
      <c r="D279" s="1050" t="s">
        <v>1464</v>
      </c>
      <c r="E279" s="1050" t="s">
        <v>1373</v>
      </c>
      <c r="F279" s="1328"/>
      <c r="G279" s="1328"/>
      <c r="H279" s="1328"/>
      <c r="I279" s="1328"/>
      <c r="J279" s="1328"/>
      <c r="K279" s="1328"/>
      <c r="L279" s="1113" t="s">
        <v>1379</v>
      </c>
      <c r="M279" s="1329">
        <v>248</v>
      </c>
      <c r="N279" s="1329"/>
      <c r="O279" s="1328"/>
    </row>
    <row r="280" spans="1:15" x14ac:dyDescent="0.25">
      <c r="A280" s="1145" t="s">
        <v>1380</v>
      </c>
      <c r="B280" s="1047" t="str">
        <f ca="1">IF('[2]Pricing Schedule'!$K$5="No",_xlfn.CONCAT(IFERROR(SUBSTITUTE(ADDRESS(1,MATCH(A280,INDIRECT("'"&amp;E280&amp;"'"&amp;"!$A$10:$Z$10"),0),4),1,""),""),16),_xlfn.CONCAT(IFERROR(SUBSTITUTE(ADDRESS(1,MATCH(A280,INDIRECT("'"&amp;E280&amp;"'"&amp;"!$A$10:$Z$10"),0),4),1,""),""),50))</f>
        <v>J16</v>
      </c>
      <c r="C280" s="1047" t="str">
        <f ca="1">IF('[2]Pricing Schedule'!$K$5="No",IFERROR(SUBSTITUTE(ADDRESS(1,MATCH(A280,INDIRECT("'"&amp;E280&amp;"'"&amp;"!$A$10:$Z$10"),0),4),1,""),""),IFERROR(SUBSTITUTE(ADDRESS(1,MATCH(A280,INDIRECT("'"&amp;E280&amp;"'"&amp;"!$A$10:$Z$10"),0),4),1,""),""))</f>
        <v>J</v>
      </c>
      <c r="D280" s="1050" t="s">
        <v>1464</v>
      </c>
      <c r="E280" s="1050" t="s">
        <v>1373</v>
      </c>
      <c r="F280" s="1328"/>
      <c r="G280" s="1328"/>
      <c r="H280" s="1328"/>
      <c r="I280" s="1328"/>
      <c r="J280" s="1328"/>
      <c r="K280" s="1328"/>
      <c r="L280" s="1113" t="s">
        <v>1380</v>
      </c>
      <c r="M280" s="1329">
        <v>249</v>
      </c>
      <c r="N280" s="1329"/>
      <c r="O280" s="1328"/>
    </row>
    <row r="281" spans="1:15" x14ac:dyDescent="0.25">
      <c r="A281" s="1145" t="s">
        <v>1381</v>
      </c>
      <c r="B281" s="1047" t="str">
        <f ca="1">IF('[2]Pricing Schedule'!$K$5="No",_xlfn.CONCAT(IFERROR(SUBSTITUTE(ADDRESS(1,MATCH(A281,INDIRECT("'"&amp;E281&amp;"'"&amp;"!$A$10:$Z$10"),0),4),1,""),""),16),_xlfn.CONCAT(IFERROR(SUBSTITUTE(ADDRESS(1,MATCH(A281,INDIRECT("'"&amp;E281&amp;"'"&amp;"!$A$10:$Z$10"),0),4),1,""),""),50))</f>
        <v>K16</v>
      </c>
      <c r="C281" s="1047" t="str">
        <f ca="1">IF('[2]Pricing Schedule'!$K$5="No",IFERROR(SUBSTITUTE(ADDRESS(1,MATCH(A281,INDIRECT("'"&amp;E281&amp;"'"&amp;"!$A$10:$Z$10"),0),4),1,""),""),IFERROR(SUBSTITUTE(ADDRESS(1,MATCH(A281,INDIRECT("'"&amp;E281&amp;"'"&amp;"!$A$10:$Z$10"),0),4),1,""),""))</f>
        <v>K</v>
      </c>
      <c r="D281" s="1050" t="s">
        <v>1464</v>
      </c>
      <c r="E281" s="1050" t="s">
        <v>1373</v>
      </c>
      <c r="F281" s="1328"/>
      <c r="G281" s="1328"/>
      <c r="H281" s="1328"/>
      <c r="I281" s="1328"/>
      <c r="J281" s="1328"/>
      <c r="K281" s="1328"/>
      <c r="L281" s="1113" t="s">
        <v>1381</v>
      </c>
      <c r="M281" s="1329">
        <v>250</v>
      </c>
      <c r="N281" s="1329"/>
      <c r="O281" s="1328"/>
    </row>
    <row r="282" spans="1:15" x14ac:dyDescent="0.25">
      <c r="A282" s="1145" t="s">
        <v>1382</v>
      </c>
      <c r="B282" s="1047" t="str">
        <f ca="1">IF('[2]Pricing Schedule'!$K$5="No",_xlfn.CONCAT(IFERROR(SUBSTITUTE(ADDRESS(1,MATCH(A282,INDIRECT("'"&amp;E282&amp;"'"&amp;"!$A$10:$Z$10"),0),4),1,""),""),16),_xlfn.CONCAT(IFERROR(SUBSTITUTE(ADDRESS(1,MATCH(A282,INDIRECT("'"&amp;E282&amp;"'"&amp;"!$A$10:$Z$10"),0),4),1,""),""),50))</f>
        <v>L16</v>
      </c>
      <c r="C282" s="1047" t="str">
        <f ca="1">IF('[2]Pricing Schedule'!$K$5="No",IFERROR(SUBSTITUTE(ADDRESS(1,MATCH(A282,INDIRECT("'"&amp;E282&amp;"'"&amp;"!$A$10:$Z$10"),0),4),1,""),""),IFERROR(SUBSTITUTE(ADDRESS(1,MATCH(A282,INDIRECT("'"&amp;E282&amp;"'"&amp;"!$A$10:$Z$10"),0),4),1,""),""))</f>
        <v>L</v>
      </c>
      <c r="D282" s="1050" t="s">
        <v>1464</v>
      </c>
      <c r="E282" s="1050" t="s">
        <v>1373</v>
      </c>
      <c r="F282" s="1328"/>
      <c r="G282" s="1328"/>
      <c r="H282" s="1328"/>
      <c r="I282" s="1328"/>
      <c r="J282" s="1328"/>
      <c r="K282" s="1328"/>
      <c r="L282" s="1113" t="s">
        <v>1382</v>
      </c>
      <c r="M282" s="1329">
        <v>251</v>
      </c>
      <c r="N282" s="1329"/>
      <c r="O282" s="1328"/>
    </row>
    <row r="283" spans="1:15" x14ac:dyDescent="0.25">
      <c r="A283" s="1145" t="s">
        <v>1320</v>
      </c>
      <c r="B283" s="1047" t="str">
        <f ca="1">IF('[2]Pricing Schedule'!$K$5="No",_xlfn.CONCAT(IFERROR(SUBSTITUTE(ADDRESS(1,MATCH(A283,INDIRECT("'"&amp;E283&amp;"'"&amp;"!$A$10:$Z$10"),0),4),1,""),""),16),_xlfn.CONCAT(IFERROR(SUBSTITUTE(ADDRESS(1,MATCH(A283,INDIRECT("'"&amp;E283&amp;"'"&amp;"!$A$10:$Z$10"),0),4),1,""),""),50))</f>
        <v>M16</v>
      </c>
      <c r="C283" s="1047" t="str">
        <f ca="1">IF('[2]Pricing Schedule'!$K$5="No",IFERROR(SUBSTITUTE(ADDRESS(1,MATCH(A283,INDIRECT("'"&amp;E283&amp;"'"&amp;"!$A$10:$Z$10"),0),4),1,""),""),IFERROR(SUBSTITUTE(ADDRESS(1,MATCH(A283,INDIRECT("'"&amp;E283&amp;"'"&amp;"!$A$10:$Z$10"),0),4),1,""),""))</f>
        <v>M</v>
      </c>
      <c r="D283" s="1050" t="s">
        <v>1464</v>
      </c>
      <c r="E283" s="1050" t="s">
        <v>1373</v>
      </c>
      <c r="F283" s="1328"/>
      <c r="G283" s="1328"/>
      <c r="H283" s="1328"/>
      <c r="I283" s="1328"/>
      <c r="J283" s="1328"/>
      <c r="K283" s="1328"/>
      <c r="L283" s="1113" t="s">
        <v>1320</v>
      </c>
      <c r="M283" s="1329">
        <v>252</v>
      </c>
      <c r="N283" s="1329"/>
      <c r="O283" s="1328"/>
    </row>
    <row r="284" spans="1:15" x14ac:dyDescent="0.25">
      <c r="A284" s="1146" t="s">
        <v>1383</v>
      </c>
      <c r="B284" s="1047" t="str">
        <f ca="1">IF('[2]Pricing Schedule'!$K$5="No",_xlfn.CONCAT(IFERROR(SUBSTITUTE(ADDRESS(1,MATCH(A284,INDIRECT("'"&amp;E284&amp;"'"&amp;"!A10:Z10"),0),4),1,""),""),11),_xlfn.CONCAT(IFERROR(SUBSTITUTE(ADDRESS(1,MATCH(A284,INDIRECT("'"&amp;E284&amp;"'"&amp;"!A10:Z10"),0),4),1,""),""),35))</f>
        <v>N11</v>
      </c>
      <c r="C284" s="1047" t="str">
        <f ca="1">IF('[2]Pricing Schedule'!$K$5="No",IFERROR(SUBSTITUTE(ADDRESS(1,MATCH(A284,INDIRECT("'"&amp;E284&amp;"'"&amp;"!A10:Z10"),0),4),1,""),""),IFERROR(SUBSTITUTE(ADDRESS(1,MATCH(A284,INDIRECT("'"&amp;E284&amp;"'"&amp;"!A10:Z10"),0),4),1,""),""))</f>
        <v>N</v>
      </c>
      <c r="D284" s="1050" t="s">
        <v>1464</v>
      </c>
      <c r="E284" s="1050" t="s">
        <v>1373</v>
      </c>
      <c r="F284" s="1328"/>
      <c r="G284" s="1328"/>
      <c r="H284" s="1328"/>
      <c r="I284" s="1328"/>
      <c r="J284" s="1328"/>
      <c r="K284" s="1328"/>
      <c r="L284" s="1113" t="s">
        <v>1383</v>
      </c>
      <c r="M284" s="1329">
        <v>253</v>
      </c>
      <c r="N284" s="1329"/>
      <c r="O284" s="1328"/>
    </row>
    <row r="285" spans="1:15" x14ac:dyDescent="0.25">
      <c r="A285" s="1147" t="s">
        <v>1374</v>
      </c>
      <c r="B285" s="1047" t="str">
        <f ca="1">IF('[2]Pricing Schedule'!$K$5="No",_xlfn.CONCAT(IFERROR(SUBSTITUTE(ADDRESS(1,MATCH(A285,INDIRECT("'"&amp;E285&amp;"'"&amp;"!A10:Z10"),0),4),1,""),""),11),_xlfn.CONCAT(IFERROR(SUBSTITUTE(ADDRESS(1,MATCH(A285,INDIRECT("'"&amp;E285&amp;"'"&amp;"!A10:Z10"),0),4),1,""),""),35))</f>
        <v>C11</v>
      </c>
      <c r="C285" s="1047" t="str">
        <f ca="1">IF('[2]Pricing Schedule'!$K$5="No",IFERROR(SUBSTITUTE(ADDRESS(1,MATCH(A285,INDIRECT("'"&amp;E285&amp;"'"&amp;"!A10:Z10"),0),4),1,""),""),IFERROR(SUBSTITUTE(ADDRESS(1,MATCH(A285,INDIRECT("'"&amp;E285&amp;"'"&amp;"!A10:Z10"),0),4),1,""),""))</f>
        <v>C</v>
      </c>
      <c r="D285" s="1050" t="s">
        <v>1464</v>
      </c>
      <c r="E285" s="1050" t="s">
        <v>1373</v>
      </c>
      <c r="F285" s="1328"/>
      <c r="G285" s="1328"/>
      <c r="H285" s="1328"/>
      <c r="I285" s="1328"/>
      <c r="J285" s="1328"/>
      <c r="K285" s="1328"/>
      <c r="L285" s="1113" t="s">
        <v>254</v>
      </c>
      <c r="M285" s="1329">
        <v>254</v>
      </c>
      <c r="N285" s="1329"/>
      <c r="O285" s="1328"/>
    </row>
    <row r="286" spans="1:15" x14ac:dyDescent="0.25">
      <c r="A286" s="1147" t="s">
        <v>1339</v>
      </c>
      <c r="B286" s="1047" t="str">
        <f ca="1">IF('[2]Pricing Schedule'!$K$5="No",_xlfn.CONCAT(IFERROR(SUBSTITUTE(ADDRESS(1,MATCH(A286,INDIRECT("'"&amp;E286&amp;"'"&amp;"!A10:Z10"),0),4),1,""),""),11),_xlfn.CONCAT(IFERROR(SUBSTITUTE(ADDRESS(1,MATCH(A286,INDIRECT("'"&amp;E286&amp;"'"&amp;"!A10:Z10"),0),4),1,""),""),35))</f>
        <v>H11</v>
      </c>
      <c r="C286" s="1047" t="str">
        <f ca="1">IF('[2]Pricing Schedule'!$K$5="No",IFERROR(SUBSTITUTE(ADDRESS(1,MATCH(A286,INDIRECT("'"&amp;E286&amp;"'"&amp;"!A10:Z10"),0),4),1,""),""),IFERROR(SUBSTITUTE(ADDRESS(1,MATCH(A286,INDIRECT("'"&amp;E286&amp;"'"&amp;"!A10:Z10"),0),4),1,""),""))</f>
        <v>H</v>
      </c>
      <c r="D286" s="1050" t="s">
        <v>1464</v>
      </c>
      <c r="E286" s="1050" t="s">
        <v>1373</v>
      </c>
      <c r="F286" s="1328"/>
      <c r="G286" s="1328"/>
      <c r="H286" s="1328"/>
      <c r="I286" s="1328"/>
      <c r="J286" s="1328"/>
      <c r="K286" s="1328"/>
      <c r="L286" s="1113" t="s">
        <v>1339</v>
      </c>
      <c r="M286" s="1329">
        <v>255</v>
      </c>
      <c r="N286" s="1329"/>
      <c r="O286" s="1328"/>
    </row>
    <row r="287" spans="1:15" x14ac:dyDescent="0.25">
      <c r="A287" s="1147" t="s">
        <v>1377</v>
      </c>
      <c r="B287" s="1047" t="str">
        <f ca="1">IF('[2]Pricing Schedule'!$K$5="No",_xlfn.CONCAT(IFERROR(SUBSTITUTE(ADDRESS(1,MATCH(A287,INDIRECT("'"&amp;E287&amp;"'"&amp;"!A10:Z10"),0),4),1,""),""),11),_xlfn.CONCAT(IFERROR(SUBSTITUTE(ADDRESS(1,MATCH(A287,INDIRECT("'"&amp;E287&amp;"'"&amp;"!A10:Z10"),0),4),1,""),""),35))</f>
        <v>F11</v>
      </c>
      <c r="C287" s="1047" t="str">
        <f ca="1">IF('[2]Pricing Schedule'!$K$5="No",IFERROR(SUBSTITUTE(ADDRESS(1,MATCH(A287,INDIRECT("'"&amp;E287&amp;"'"&amp;"!A10:Z10"),0),4),1,""),""),IFERROR(SUBSTITUTE(ADDRESS(1,MATCH(A287,INDIRECT("'"&amp;E287&amp;"'"&amp;"!A10:Z10"),0),4),1,""),""))</f>
        <v>F</v>
      </c>
      <c r="D287" s="1050" t="s">
        <v>1464</v>
      </c>
      <c r="E287" s="1050" t="s">
        <v>1373</v>
      </c>
      <c r="F287" s="1328"/>
      <c r="G287" s="1328"/>
      <c r="H287" s="1328"/>
      <c r="I287" s="1328"/>
      <c r="J287" s="1328"/>
      <c r="K287" s="1328"/>
      <c r="L287" s="1113" t="s">
        <v>225</v>
      </c>
      <c r="M287" s="1329">
        <v>256</v>
      </c>
      <c r="N287" s="1329"/>
      <c r="O287" s="132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9" t="s">
        <v>1464</v>
      </c>
      <c r="E288" s="1050" t="s">
        <v>208</v>
      </c>
      <c r="F288" s="1328"/>
      <c r="G288" s="1328"/>
      <c r="H288" s="1328"/>
      <c r="I288" s="1328"/>
      <c r="J288" s="1328"/>
      <c r="K288" s="1328"/>
      <c r="L288" s="1113" t="s">
        <v>466</v>
      </c>
      <c r="M288" s="1329">
        <v>257</v>
      </c>
      <c r="N288" s="1329"/>
      <c r="O288" s="1328"/>
    </row>
    <row r="289" spans="1:15" x14ac:dyDescent="0.25">
      <c r="A289" s="1148" t="s">
        <v>1376</v>
      </c>
      <c r="B289" s="1047" t="str">
        <f ca="1">IF('[2]Pricing Schedule'!$K$5="No",_xlfn.CONCAT(IFERROR(SUBSTITUTE(ADDRESS(1,MATCH(A289,INDIRECT("'"&amp;E289&amp;"'"&amp;"!A10:Z10"),0),4),1,""),""),11),_xlfn.CONCAT(IFERROR(SUBSTITUTE(ADDRESS(1,MATCH(A289,INDIRECT("'"&amp;E289&amp;"'"&amp;"!A10:Z10"),0),4),1,""),""),35))</f>
        <v>E11</v>
      </c>
      <c r="C289" s="1047" t="str">
        <f ca="1">IF('[2]Pricing Schedule'!$K$5="No",IFERROR(SUBSTITUTE(ADDRESS(1,MATCH(A289,INDIRECT("'"&amp;E289&amp;"'"&amp;"!A10:Z10"),0),4),1,""),""),IFERROR(SUBSTITUTE(ADDRESS(1,MATCH(A289,INDIRECT("'"&amp;E289&amp;"'"&amp;"!A10:Z10"),0),4),1,""),""))</f>
        <v>E</v>
      </c>
      <c r="D289" s="1050" t="s">
        <v>1464</v>
      </c>
      <c r="E289" s="1050" t="s">
        <v>1373</v>
      </c>
      <c r="F289" s="1328"/>
      <c r="G289" s="1328"/>
      <c r="H289" s="1328"/>
      <c r="I289" s="1328"/>
      <c r="J289" s="1328"/>
      <c r="K289" s="1328"/>
      <c r="L289" s="1113" t="s">
        <v>1376</v>
      </c>
      <c r="M289" s="1329">
        <v>258</v>
      </c>
      <c r="N289" s="1329"/>
      <c r="O289" s="1328"/>
    </row>
    <row r="290" spans="1:15" x14ac:dyDescent="0.25">
      <c r="A290" s="1148" t="s">
        <v>1378</v>
      </c>
      <c r="B290" s="1047" t="str">
        <f ca="1">IF('[2]Pricing Schedule'!$K$5="No",_xlfn.CONCAT(IFERROR(SUBSTITUTE(ADDRESS(1,MATCH(A290,INDIRECT("'"&amp;E290&amp;"'"&amp;"!A10:Z10"),0),4),1,""),""),11),_xlfn.CONCAT(IFERROR(SUBSTITUTE(ADDRESS(1,MATCH(A290,INDIRECT("'"&amp;E290&amp;"'"&amp;"!A10:Z10"),0),4),1,""),""),35))</f>
        <v>G11</v>
      </c>
      <c r="C290" s="1047" t="str">
        <f ca="1">IF('[2]Pricing Schedule'!$K$5="No",IFERROR(SUBSTITUTE(ADDRESS(1,MATCH(A290,INDIRECT("'"&amp;E290&amp;"'"&amp;"!A10:Z10"),0),4),1,""),""),IFERROR(SUBSTITUTE(ADDRESS(1,MATCH(A290,INDIRECT("'"&amp;E290&amp;"'"&amp;"!A10:Z10"),0),4),1,""),""))</f>
        <v>G</v>
      </c>
      <c r="D290" s="1050" t="s">
        <v>1464</v>
      </c>
      <c r="E290" s="1050" t="s">
        <v>1373</v>
      </c>
      <c r="F290" s="1328"/>
      <c r="G290" s="1328"/>
      <c r="H290" s="1328"/>
      <c r="I290" s="1328"/>
      <c r="J290" s="1328"/>
      <c r="K290" s="1328"/>
      <c r="L290" s="1113" t="s">
        <v>1378</v>
      </c>
      <c r="M290" s="1329">
        <v>259</v>
      </c>
      <c r="N290" s="1329"/>
      <c r="O290" s="1328"/>
    </row>
    <row r="291" spans="1:15" x14ac:dyDescent="0.25">
      <c r="A291" s="1148" t="s">
        <v>1379</v>
      </c>
      <c r="B291" s="1047" t="str">
        <f ca="1">IF('[2]Pricing Schedule'!$K$5="No",_xlfn.CONCAT(IFERROR(SUBSTITUTE(ADDRESS(1,MATCH(A291,INDIRECT("'"&amp;E291&amp;"'"&amp;"!A10:Z10"),0),4),1,""),""),11),_xlfn.CONCAT(IFERROR(SUBSTITUTE(ADDRESS(1,MATCH(A291,INDIRECT("'"&amp;E291&amp;"'"&amp;"!A10:Z10"),0),4),1,""),""),35))</f>
        <v>I11</v>
      </c>
      <c r="C291" s="1047" t="str">
        <f ca="1">IF('[2]Pricing Schedule'!$K$5="No",IFERROR(SUBSTITUTE(ADDRESS(1,MATCH(A291,INDIRECT("'"&amp;E291&amp;"'"&amp;"!A10:Z10"),0),4),1,""),""),IFERROR(SUBSTITUTE(ADDRESS(1,MATCH(A291,INDIRECT("'"&amp;E291&amp;"'"&amp;"!A10:Z10"),0),4),1,""),""))</f>
        <v>I</v>
      </c>
      <c r="D291" s="1050" t="s">
        <v>1464</v>
      </c>
      <c r="E291" s="1050" t="s">
        <v>1373</v>
      </c>
      <c r="F291" s="1328"/>
      <c r="G291" s="1328"/>
      <c r="H291" s="1328"/>
      <c r="I291" s="1328"/>
      <c r="J291" s="1328"/>
      <c r="K291" s="1328"/>
      <c r="L291" s="1113" t="s">
        <v>1379</v>
      </c>
      <c r="M291" s="1329">
        <v>260</v>
      </c>
      <c r="N291" s="1329"/>
      <c r="O291" s="1328"/>
    </row>
    <row r="292" spans="1:15" x14ac:dyDescent="0.25">
      <c r="A292" s="1148" t="s">
        <v>1380</v>
      </c>
      <c r="B292" s="1047" t="str">
        <f ca="1">IF('[2]Pricing Schedule'!$K$5="No",_xlfn.CONCAT(IFERROR(SUBSTITUTE(ADDRESS(1,MATCH(A292,INDIRECT("'"&amp;E292&amp;"'"&amp;"!A10:Z10"),0),4),1,""),""),11),_xlfn.CONCAT(IFERROR(SUBSTITUTE(ADDRESS(1,MATCH(A292,INDIRECT("'"&amp;E292&amp;"'"&amp;"!A10:Z10"),0),4),1,""),""),35))</f>
        <v>J11</v>
      </c>
      <c r="C292" s="1047" t="str">
        <f ca="1">IF('[2]Pricing Schedule'!$K$5="No",IFERROR(SUBSTITUTE(ADDRESS(1,MATCH(A292,INDIRECT("'"&amp;E292&amp;"'"&amp;"!A10:Z10"),0),4),1,""),""),IFERROR(SUBSTITUTE(ADDRESS(1,MATCH(A292,INDIRECT("'"&amp;E292&amp;"'"&amp;"!A10:Z10"),0),4),1,""),""))</f>
        <v>J</v>
      </c>
      <c r="D292" s="1050" t="s">
        <v>1464</v>
      </c>
      <c r="E292" s="1050" t="s">
        <v>1373</v>
      </c>
      <c r="F292" s="1328"/>
      <c r="G292" s="1328"/>
      <c r="H292" s="1328"/>
      <c r="I292" s="1328"/>
      <c r="J292" s="1328"/>
      <c r="K292" s="1328"/>
      <c r="L292" s="1113" t="s">
        <v>1380</v>
      </c>
      <c r="M292" s="1329">
        <v>261</v>
      </c>
      <c r="N292" s="1329"/>
      <c r="O292" s="1328"/>
    </row>
    <row r="293" spans="1:15" x14ac:dyDescent="0.25">
      <c r="A293" s="1148" t="s">
        <v>1381</v>
      </c>
      <c r="B293" s="1047" t="str">
        <f ca="1">IF('[2]Pricing Schedule'!$K$5="No",_xlfn.CONCAT(IFERROR(SUBSTITUTE(ADDRESS(1,MATCH(A293,INDIRECT("'"&amp;E293&amp;"'"&amp;"!A10:Z10"),0),4),1,""),""),11),_xlfn.CONCAT(IFERROR(SUBSTITUTE(ADDRESS(1,MATCH(A293,INDIRECT("'"&amp;E293&amp;"'"&amp;"!A10:Z10"),0),4),1,""),""),35))</f>
        <v>K11</v>
      </c>
      <c r="C293" s="1047" t="str">
        <f ca="1">IF('[2]Pricing Schedule'!$K$5="No",IFERROR(SUBSTITUTE(ADDRESS(1,MATCH(A293,INDIRECT("'"&amp;E293&amp;"'"&amp;"!A10:Z10"),0),4),1,""),""),IFERROR(SUBSTITUTE(ADDRESS(1,MATCH(A293,INDIRECT("'"&amp;E293&amp;"'"&amp;"!A10:Z10"),0),4),1,""),""))</f>
        <v>K</v>
      </c>
      <c r="D293" s="1050" t="s">
        <v>1464</v>
      </c>
      <c r="E293" s="1050" t="s">
        <v>1373</v>
      </c>
      <c r="F293" s="1328"/>
      <c r="G293" s="1328"/>
      <c r="H293" s="1328"/>
      <c r="I293" s="1328"/>
      <c r="J293" s="1328"/>
      <c r="K293" s="1328"/>
      <c r="L293" s="1113" t="s">
        <v>1381</v>
      </c>
      <c r="M293" s="1329">
        <v>262</v>
      </c>
      <c r="N293" s="1329"/>
      <c r="O293" s="1328"/>
    </row>
    <row r="294" spans="1:15" x14ac:dyDescent="0.25">
      <c r="A294" s="1148" t="s">
        <v>1382</v>
      </c>
      <c r="B294" s="1047" t="str">
        <f ca="1">IF('[2]Pricing Schedule'!$K$5="No",_xlfn.CONCAT(IFERROR(SUBSTITUTE(ADDRESS(1,MATCH(A294,INDIRECT("'"&amp;E294&amp;"'"&amp;"!A10:Z10"),0),4),1,""),""),11),_xlfn.CONCAT(IFERROR(SUBSTITUTE(ADDRESS(1,MATCH(A294,INDIRECT("'"&amp;E294&amp;"'"&amp;"!A10:Z10"),0),4),1,""),""),35))</f>
        <v>L11</v>
      </c>
      <c r="C294" s="1047" t="str">
        <f ca="1">IF('[2]Pricing Schedule'!$K$5="No",IFERROR(SUBSTITUTE(ADDRESS(1,MATCH(A294,INDIRECT("'"&amp;E294&amp;"'"&amp;"!A10:Z10"),0),4),1,""),""),IFERROR(SUBSTITUTE(ADDRESS(1,MATCH(A294,INDIRECT("'"&amp;E294&amp;"'"&amp;"!A10:Z10"),0),4),1,""),""))</f>
        <v>L</v>
      </c>
      <c r="D294" s="1050" t="s">
        <v>1464</v>
      </c>
      <c r="E294" s="1050" t="s">
        <v>1373</v>
      </c>
      <c r="F294" s="1328"/>
      <c r="G294" s="1328"/>
      <c r="H294" s="1328"/>
      <c r="I294" s="1328"/>
      <c r="J294" s="1328"/>
      <c r="K294" s="1328"/>
      <c r="L294" s="1113" t="s">
        <v>1382</v>
      </c>
      <c r="M294" s="1329">
        <v>263</v>
      </c>
      <c r="N294" s="1329"/>
      <c r="O294" s="1328"/>
    </row>
    <row r="295" spans="1:15" x14ac:dyDescent="0.25">
      <c r="A295" s="1148" t="s">
        <v>1320</v>
      </c>
      <c r="B295" s="1047" t="str">
        <f ca="1">IF('[2]Pricing Schedule'!$K$5="No",_xlfn.CONCAT(IFERROR(SUBSTITUTE(ADDRESS(1,MATCH(A295,INDIRECT("'"&amp;E295&amp;"'"&amp;"!A10:Z10"),0),4),1,""),""),11),_xlfn.CONCAT(IFERROR(SUBSTITUTE(ADDRESS(1,MATCH(A295,INDIRECT("'"&amp;E295&amp;"'"&amp;"!A10:Z10"),0),4),1,""),""),35))</f>
        <v>M11</v>
      </c>
      <c r="C295" s="1047" t="str">
        <f ca="1">IF('[2]Pricing Schedule'!$K$5="No",IFERROR(SUBSTITUTE(ADDRESS(1,MATCH(A295,INDIRECT("'"&amp;E295&amp;"'"&amp;"!A10:Z10"),0),4),1,""),""),IFERROR(SUBSTITUTE(ADDRESS(1,MATCH(A295,INDIRECT("'"&amp;E295&amp;"'"&amp;"!A10:Z10"),0),4),1,""),""))</f>
        <v>M</v>
      </c>
      <c r="D295" s="1050" t="s">
        <v>1464</v>
      </c>
      <c r="E295" s="1050" t="s">
        <v>1373</v>
      </c>
      <c r="F295" s="1328"/>
      <c r="G295" s="1328"/>
      <c r="H295" s="1328"/>
      <c r="I295" s="1328"/>
      <c r="J295" s="1328"/>
      <c r="K295" s="1328"/>
      <c r="L295" s="1113" t="s">
        <v>1320</v>
      </c>
      <c r="M295" s="1329">
        <v>264</v>
      </c>
      <c r="N295" s="1329"/>
      <c r="O295" s="1328"/>
    </row>
    <row r="296" spans="1:15" x14ac:dyDescent="0.25">
      <c r="A296" s="1149" t="s">
        <v>1383</v>
      </c>
      <c r="B296" s="1047" t="str">
        <f ca="1">IF('[2]Pricing Schedule'!$K$5="No",_xlfn.CONCAT(IFERROR(SUBSTITUTE(ADDRESS(1,MATCH(A296,INDIRECT("'"&amp;E296&amp;"'"&amp;"!A10:Z10"),0),4),1,""),""),11),_xlfn.CONCAT(IFERROR(SUBSTITUTE(ADDRESS(1,MATCH(A296,INDIRECT("'"&amp;E296&amp;"'"&amp;"!A10:Z10"),0),4),1,""),""),36))</f>
        <v>N11</v>
      </c>
      <c r="C296" s="1047" t="str">
        <f ca="1">IF('[2]Pricing Schedule'!$K$5="No",IFERROR(SUBSTITUTE(ADDRESS(1,MATCH(A296,INDIRECT("'"&amp;E296&amp;"'"&amp;"!A10:Z10"),0),4),1,""),""),IFERROR(SUBSTITUTE(ADDRESS(1,MATCH(A296,INDIRECT("'"&amp;E296&amp;"'"&amp;"!A10:Z10"),0),4),1,""),""))</f>
        <v>N</v>
      </c>
      <c r="D296" s="1050" t="s">
        <v>1464</v>
      </c>
      <c r="E296" s="1050" t="s">
        <v>1373</v>
      </c>
      <c r="F296" s="1328"/>
      <c r="G296" s="1328"/>
      <c r="H296" s="1328"/>
      <c r="I296" s="1328"/>
      <c r="J296" s="1328"/>
      <c r="K296" s="1328"/>
      <c r="L296" s="1113" t="s">
        <v>1383</v>
      </c>
      <c r="M296" s="1329">
        <v>265</v>
      </c>
      <c r="N296" s="1329"/>
      <c r="O296" s="1328"/>
    </row>
    <row r="297" spans="1:15" x14ac:dyDescent="0.25">
      <c r="A297" s="1150" t="s">
        <v>1374</v>
      </c>
      <c r="B297" s="1047" t="str">
        <f ca="1">IF('[2]Pricing Schedule'!$K$5="No",_xlfn.CONCAT(IFERROR(SUBSTITUTE(ADDRESS(1,MATCH(A297,INDIRECT("'"&amp;E297&amp;"'"&amp;"!A10:Z10"),0),4),1,""),""),11),_xlfn.CONCAT(IFERROR(SUBSTITUTE(ADDRESS(1,MATCH(A297,INDIRECT("'"&amp;E297&amp;"'"&amp;"!A10:Z10"),0),4),1,""),""),36))</f>
        <v>C11</v>
      </c>
      <c r="C297" s="1047" t="str">
        <f ca="1">IF('[2]Pricing Schedule'!$K$5="No",IFERROR(SUBSTITUTE(ADDRESS(1,MATCH(A297,INDIRECT("'"&amp;E297&amp;"'"&amp;"!A10:Z10"),0),4),1,""),""),IFERROR(SUBSTITUTE(ADDRESS(1,MATCH(A297,INDIRECT("'"&amp;E297&amp;"'"&amp;"!A10:Z10"),0),4),1,""),""))</f>
        <v>C</v>
      </c>
      <c r="D297" s="1050" t="s">
        <v>1464</v>
      </c>
      <c r="E297" s="1050" t="s">
        <v>1373</v>
      </c>
      <c r="F297" s="1328"/>
      <c r="G297" s="1328"/>
      <c r="H297" s="1328"/>
      <c r="I297" s="1328"/>
      <c r="J297" s="1328"/>
      <c r="K297" s="1328"/>
      <c r="L297" s="1113" t="s">
        <v>254</v>
      </c>
      <c r="M297" s="1329">
        <v>266</v>
      </c>
      <c r="N297" s="1329"/>
      <c r="O297" s="1328"/>
    </row>
    <row r="298" spans="1:15" x14ac:dyDescent="0.25">
      <c r="A298" s="1150" t="s">
        <v>1339</v>
      </c>
      <c r="B298" s="1047" t="str">
        <f ca="1">IF('[2]Pricing Schedule'!$K$5="No",_xlfn.CONCAT(IFERROR(SUBSTITUTE(ADDRESS(1,MATCH(A298,INDIRECT("'"&amp;E298&amp;"'"&amp;"!A10:Z10"),0),4),1,""),""),11),_xlfn.CONCAT(IFERROR(SUBSTITUTE(ADDRESS(1,MATCH(A298,INDIRECT("'"&amp;E298&amp;"'"&amp;"!A10:Z10"),0),4),1,""),""),36))</f>
        <v>H11</v>
      </c>
      <c r="C298" s="1047" t="str">
        <f ca="1">IF('[2]Pricing Schedule'!$K$5="No",IFERROR(SUBSTITUTE(ADDRESS(1,MATCH(A298,INDIRECT("'"&amp;E298&amp;"'"&amp;"!A10:Z10"),0),4),1,""),""),IFERROR(SUBSTITUTE(ADDRESS(1,MATCH(A298,INDIRECT("'"&amp;E298&amp;"'"&amp;"!A10:Z10"),0),4),1,""),""))</f>
        <v>H</v>
      </c>
      <c r="D298" s="1050" t="s">
        <v>1464</v>
      </c>
      <c r="E298" s="1050" t="s">
        <v>1373</v>
      </c>
      <c r="F298" s="1328"/>
      <c r="G298" s="1328"/>
      <c r="H298" s="1328"/>
      <c r="I298" s="1328"/>
      <c r="J298" s="1328"/>
      <c r="K298" s="1328"/>
      <c r="L298" s="1113" t="s">
        <v>1339</v>
      </c>
      <c r="M298" s="1329">
        <v>267</v>
      </c>
      <c r="N298" s="1329"/>
      <c r="O298" s="1328"/>
    </row>
    <row r="299" spans="1:15" x14ac:dyDescent="0.25">
      <c r="A299" s="1150" t="s">
        <v>1377</v>
      </c>
      <c r="B299" s="1047" t="str">
        <f ca="1">IF('[2]Pricing Schedule'!$K$5="No",_xlfn.CONCAT(IFERROR(SUBSTITUTE(ADDRESS(1,MATCH(A299,INDIRECT("'"&amp;E299&amp;"'"&amp;"!A10:Z10"),0),4),1,""),""),11),_xlfn.CONCAT(IFERROR(SUBSTITUTE(ADDRESS(1,MATCH(A299,INDIRECT("'"&amp;E299&amp;"'"&amp;"!A10:Z10"),0),4),1,""),""),36))</f>
        <v>F11</v>
      </c>
      <c r="C299" s="1047" t="str">
        <f ca="1">IF('[2]Pricing Schedule'!$K$5="No",IFERROR(SUBSTITUTE(ADDRESS(1,MATCH(A299,INDIRECT("'"&amp;E299&amp;"'"&amp;"!A10:Z10"),0),4),1,""),""),IFERROR(SUBSTITUTE(ADDRESS(1,MATCH(A299,INDIRECT("'"&amp;E299&amp;"'"&amp;"!A10:Z10"),0),4),1,""),""))</f>
        <v>F</v>
      </c>
      <c r="D299" s="1050" t="s">
        <v>1464</v>
      </c>
      <c r="E299" s="1050" t="s">
        <v>1373</v>
      </c>
      <c r="F299" s="1328"/>
      <c r="G299" s="1328"/>
      <c r="H299" s="1328"/>
      <c r="I299" s="1328"/>
      <c r="J299" s="1328"/>
      <c r="K299" s="1328"/>
      <c r="L299" s="1113" t="s">
        <v>225</v>
      </c>
      <c r="M299" s="1329">
        <v>268</v>
      </c>
      <c r="N299" s="1329"/>
      <c r="O299" s="132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9" t="s">
        <v>1464</v>
      </c>
      <c r="E300" s="1050" t="s">
        <v>208</v>
      </c>
      <c r="F300" s="1328"/>
      <c r="G300" s="1328"/>
      <c r="H300" s="1328"/>
      <c r="I300" s="1328"/>
      <c r="J300" s="1328"/>
      <c r="K300" s="1328"/>
      <c r="L300" s="1113" t="s">
        <v>466</v>
      </c>
      <c r="M300" s="1329">
        <v>269</v>
      </c>
      <c r="N300" s="1329"/>
      <c r="O300" s="1328"/>
    </row>
    <row r="301" spans="1:15" x14ac:dyDescent="0.25">
      <c r="A301" s="1151" t="s">
        <v>1376</v>
      </c>
      <c r="B301" s="1047" t="str">
        <f ca="1">IF('[2]Pricing Schedule'!$K$5="No",_xlfn.CONCAT(IFERROR(SUBSTITUTE(ADDRESS(1,MATCH(A301,INDIRECT("'"&amp;E301&amp;"'"&amp;"!A10:Z10"),0),4),1,""),""),11),_xlfn.CONCAT(IFERROR(SUBSTITUTE(ADDRESS(1,MATCH(A301,INDIRECT("'"&amp;E301&amp;"'"&amp;"!A10:Z10"),0),4),1,""),""),36))</f>
        <v>E11</v>
      </c>
      <c r="C301" s="1047" t="str">
        <f ca="1">IF('[2]Pricing Schedule'!$K$5="No",IFERROR(SUBSTITUTE(ADDRESS(1,MATCH(A301,INDIRECT("'"&amp;E301&amp;"'"&amp;"!A10:Z10"),0),4),1,""),""),IFERROR(SUBSTITUTE(ADDRESS(1,MATCH(A301,INDIRECT("'"&amp;E301&amp;"'"&amp;"!A10:Z10"),0),4),1,""),""))</f>
        <v>E</v>
      </c>
      <c r="D301" s="1050" t="s">
        <v>1464</v>
      </c>
      <c r="E301" s="1050" t="s">
        <v>1373</v>
      </c>
      <c r="F301" s="1328"/>
      <c r="G301" s="1328"/>
      <c r="H301" s="1328"/>
      <c r="I301" s="1328"/>
      <c r="J301" s="1328"/>
      <c r="K301" s="1328"/>
      <c r="L301" s="1113" t="s">
        <v>1376</v>
      </c>
      <c r="M301" s="1329">
        <v>270</v>
      </c>
      <c r="N301" s="1329"/>
      <c r="O301" s="1328"/>
    </row>
    <row r="302" spans="1:15" x14ac:dyDescent="0.25">
      <c r="A302" s="1151" t="s">
        <v>1378</v>
      </c>
      <c r="B302" s="1047" t="str">
        <f ca="1">IF('[2]Pricing Schedule'!$K$5="No",_xlfn.CONCAT(IFERROR(SUBSTITUTE(ADDRESS(1,MATCH(A302,INDIRECT("'"&amp;E302&amp;"'"&amp;"!A10:Z10"),0),4),1,""),""),11),_xlfn.CONCAT(IFERROR(SUBSTITUTE(ADDRESS(1,MATCH(A302,INDIRECT("'"&amp;E302&amp;"'"&amp;"!A10:Z10"),0),4),1,""),""),36))</f>
        <v>G11</v>
      </c>
      <c r="C302" s="1047" t="str">
        <f ca="1">IF('[2]Pricing Schedule'!$K$5="No",IFERROR(SUBSTITUTE(ADDRESS(1,MATCH(A302,INDIRECT("'"&amp;E302&amp;"'"&amp;"!A10:Z10"),0),4),1,""),""),IFERROR(SUBSTITUTE(ADDRESS(1,MATCH(A302,INDIRECT("'"&amp;E302&amp;"'"&amp;"!A10:Z10"),0),4),1,""),""))</f>
        <v>G</v>
      </c>
      <c r="D302" s="1050" t="s">
        <v>1464</v>
      </c>
      <c r="E302" s="1050" t="s">
        <v>1373</v>
      </c>
      <c r="F302" s="1328"/>
      <c r="G302" s="1328"/>
      <c r="H302" s="1328"/>
      <c r="I302" s="1328"/>
      <c r="J302" s="1328"/>
      <c r="K302" s="1328"/>
      <c r="L302" s="1113" t="s">
        <v>1378</v>
      </c>
      <c r="M302" s="1329">
        <v>271</v>
      </c>
      <c r="N302" s="1329"/>
      <c r="O302" s="1328"/>
    </row>
    <row r="303" spans="1:15" x14ac:dyDescent="0.25">
      <c r="A303" s="1151" t="s">
        <v>1379</v>
      </c>
      <c r="B303" s="1047" t="str">
        <f ca="1">IF('[2]Pricing Schedule'!$K$5="No",_xlfn.CONCAT(IFERROR(SUBSTITUTE(ADDRESS(1,MATCH(A303,INDIRECT("'"&amp;E303&amp;"'"&amp;"!A10:Z10"),0),4),1,""),""),11),_xlfn.CONCAT(IFERROR(SUBSTITUTE(ADDRESS(1,MATCH(A303,INDIRECT("'"&amp;E303&amp;"'"&amp;"!A10:Z10"),0),4),1,""),""),36))</f>
        <v>I11</v>
      </c>
      <c r="C303" s="1047" t="str">
        <f ca="1">IF('[2]Pricing Schedule'!$K$5="No",IFERROR(SUBSTITUTE(ADDRESS(1,MATCH(A303,INDIRECT("'"&amp;E303&amp;"'"&amp;"!A10:Z10"),0),4),1,""),""),IFERROR(SUBSTITUTE(ADDRESS(1,MATCH(A303,INDIRECT("'"&amp;E303&amp;"'"&amp;"!A10:Z10"),0),4),1,""),""))</f>
        <v>I</v>
      </c>
      <c r="D303" s="1050" t="s">
        <v>1464</v>
      </c>
      <c r="E303" s="1050" t="s">
        <v>1373</v>
      </c>
      <c r="F303" s="1328"/>
      <c r="G303" s="1328"/>
      <c r="H303" s="1328"/>
      <c r="I303" s="1328"/>
      <c r="J303" s="1328"/>
      <c r="K303" s="1328"/>
      <c r="L303" s="1113" t="s">
        <v>1379</v>
      </c>
      <c r="M303" s="1329">
        <v>272</v>
      </c>
      <c r="N303" s="1329"/>
      <c r="O303" s="1328"/>
    </row>
    <row r="304" spans="1:15" x14ac:dyDescent="0.25">
      <c r="A304" s="1151" t="s">
        <v>1380</v>
      </c>
      <c r="B304" s="1047" t="str">
        <f ca="1">IF('[2]Pricing Schedule'!$K$5="No",_xlfn.CONCAT(IFERROR(SUBSTITUTE(ADDRESS(1,MATCH(A304,INDIRECT("'"&amp;E304&amp;"'"&amp;"!A10:Z10"),0),4),1,""),""),11),_xlfn.CONCAT(IFERROR(SUBSTITUTE(ADDRESS(1,MATCH(A304,INDIRECT("'"&amp;E304&amp;"'"&amp;"!A10:Z10"),0),4),1,""),""),36))</f>
        <v>J11</v>
      </c>
      <c r="C304" s="1047" t="str">
        <f ca="1">IF('[2]Pricing Schedule'!$K$5="No",IFERROR(SUBSTITUTE(ADDRESS(1,MATCH(A304,INDIRECT("'"&amp;E304&amp;"'"&amp;"!A10:Z10"),0),4),1,""),""),IFERROR(SUBSTITUTE(ADDRESS(1,MATCH(A304,INDIRECT("'"&amp;E304&amp;"'"&amp;"!A10:Z10"),0),4),1,""),""))</f>
        <v>J</v>
      </c>
      <c r="D304" s="1050" t="s">
        <v>1464</v>
      </c>
      <c r="E304" s="1050" t="s">
        <v>1373</v>
      </c>
      <c r="F304" s="1328"/>
      <c r="G304" s="1328"/>
      <c r="H304" s="1328"/>
      <c r="I304" s="1328"/>
      <c r="J304" s="1328"/>
      <c r="K304" s="1328"/>
      <c r="L304" s="1113" t="s">
        <v>1380</v>
      </c>
      <c r="M304" s="1329">
        <v>273</v>
      </c>
      <c r="N304" s="1329"/>
      <c r="O304" s="1328"/>
    </row>
    <row r="305" spans="1:15" x14ac:dyDescent="0.25">
      <c r="A305" s="1151" t="s">
        <v>1381</v>
      </c>
      <c r="B305" s="1047" t="str">
        <f ca="1">IF('[2]Pricing Schedule'!$K$5="No",_xlfn.CONCAT(IFERROR(SUBSTITUTE(ADDRESS(1,MATCH(A305,INDIRECT("'"&amp;E305&amp;"'"&amp;"!A10:Z10"),0),4),1,""),""),11),_xlfn.CONCAT(IFERROR(SUBSTITUTE(ADDRESS(1,MATCH(A305,INDIRECT("'"&amp;E305&amp;"'"&amp;"!A10:Z10"),0),4),1,""),""),36))</f>
        <v>K11</v>
      </c>
      <c r="C305" s="1047" t="str">
        <f ca="1">IF('[2]Pricing Schedule'!$K$5="No",IFERROR(SUBSTITUTE(ADDRESS(1,MATCH(A305,INDIRECT("'"&amp;E305&amp;"'"&amp;"!A10:Z10"),0),4),1,""),""),IFERROR(SUBSTITUTE(ADDRESS(1,MATCH(A305,INDIRECT("'"&amp;E305&amp;"'"&amp;"!A10:Z10"),0),4),1,""),""))</f>
        <v>K</v>
      </c>
      <c r="D305" s="1050" t="s">
        <v>1464</v>
      </c>
      <c r="E305" s="1050" t="s">
        <v>1373</v>
      </c>
      <c r="F305" s="1328"/>
      <c r="G305" s="1328"/>
      <c r="H305" s="1328"/>
      <c r="I305" s="1328"/>
      <c r="J305" s="1328"/>
      <c r="K305" s="1328"/>
      <c r="L305" s="1113" t="s">
        <v>1381</v>
      </c>
      <c r="M305" s="1329">
        <v>274</v>
      </c>
      <c r="N305" s="1329"/>
      <c r="O305" s="1328"/>
    </row>
    <row r="306" spans="1:15" x14ac:dyDescent="0.25">
      <c r="A306" s="1151" t="s">
        <v>1382</v>
      </c>
      <c r="B306" s="1047" t="str">
        <f ca="1">IF('[2]Pricing Schedule'!$K$5="No",_xlfn.CONCAT(IFERROR(SUBSTITUTE(ADDRESS(1,MATCH(A306,INDIRECT("'"&amp;E306&amp;"'"&amp;"!A10:Z10"),0),4),1,""),""),11),_xlfn.CONCAT(IFERROR(SUBSTITUTE(ADDRESS(1,MATCH(A306,INDIRECT("'"&amp;E306&amp;"'"&amp;"!A10:Z10"),0),4),1,""),""),36))</f>
        <v>L11</v>
      </c>
      <c r="C306" s="1047" t="str">
        <f ca="1">IF('[2]Pricing Schedule'!$K$5="No",IFERROR(SUBSTITUTE(ADDRESS(1,MATCH(A306,INDIRECT("'"&amp;E306&amp;"'"&amp;"!A10:Z10"),0),4),1,""),""),IFERROR(SUBSTITUTE(ADDRESS(1,MATCH(A306,INDIRECT("'"&amp;E306&amp;"'"&amp;"!A10:Z10"),0),4),1,""),""))</f>
        <v>L</v>
      </c>
      <c r="D306" s="1050" t="s">
        <v>1464</v>
      </c>
      <c r="E306" s="1050" t="s">
        <v>1373</v>
      </c>
      <c r="F306" s="1328"/>
      <c r="G306" s="1328"/>
      <c r="H306" s="1328"/>
      <c r="I306" s="1328"/>
      <c r="J306" s="1328"/>
      <c r="K306" s="1328"/>
      <c r="L306" s="1113" t="s">
        <v>1382</v>
      </c>
      <c r="M306" s="1329">
        <v>275</v>
      </c>
      <c r="N306" s="1329"/>
      <c r="O306" s="1328"/>
    </row>
    <row r="307" spans="1:15" x14ac:dyDescent="0.25">
      <c r="A307" s="1151" t="s">
        <v>1320</v>
      </c>
      <c r="B307" s="1047" t="str">
        <f ca="1">IF('[2]Pricing Schedule'!$K$5="No",_xlfn.CONCAT(IFERROR(SUBSTITUTE(ADDRESS(1,MATCH(A307,INDIRECT("'"&amp;E307&amp;"'"&amp;"!A10:Z10"),0),4),1,""),""),11),_xlfn.CONCAT(IFERROR(SUBSTITUTE(ADDRESS(1,MATCH(A307,INDIRECT("'"&amp;E307&amp;"'"&amp;"!A10:Z10"),0),4),1,""),""),36))</f>
        <v>M11</v>
      </c>
      <c r="C307" s="1047" t="str">
        <f ca="1">IF('[2]Pricing Schedule'!$K$5="No",IFERROR(SUBSTITUTE(ADDRESS(1,MATCH(A307,INDIRECT("'"&amp;E307&amp;"'"&amp;"!A10:Z10"),0),4),1,""),""),IFERROR(SUBSTITUTE(ADDRESS(1,MATCH(A307,INDIRECT("'"&amp;E307&amp;"'"&amp;"!A10:Z10"),0),4),1,""),""))</f>
        <v>M</v>
      </c>
      <c r="D307" s="1050" t="s">
        <v>1464</v>
      </c>
      <c r="E307" s="1050" t="s">
        <v>1373</v>
      </c>
      <c r="F307" s="1328"/>
      <c r="G307" s="1328"/>
      <c r="H307" s="1328"/>
      <c r="I307" s="1328"/>
      <c r="J307" s="1328"/>
      <c r="K307" s="1328"/>
      <c r="L307" s="1113" t="s">
        <v>1320</v>
      </c>
      <c r="M307" s="1329">
        <v>276</v>
      </c>
      <c r="N307" s="1329"/>
      <c r="O307" s="1328"/>
    </row>
    <row r="308" spans="1:15" x14ac:dyDescent="0.25">
      <c r="A308" s="1146" t="s">
        <v>1383</v>
      </c>
      <c r="B308" s="1047" t="str">
        <f ca="1">IF('[2]Pricing Schedule'!$K$5="No",_xlfn.CONCAT(IFERROR(SUBSTITUTE(ADDRESS(1,MATCH(A308,INDIRECT("'"&amp;E308&amp;"'"&amp;"!A10:Z10"),0),4),1,""),""),12),_xlfn.CONCAT(IFERROR(SUBSTITUTE(ADDRESS(1,MATCH(A308,INDIRECT("'"&amp;E308&amp;"'"&amp;"!A10:Z10"),0),4),1,""),""),46))</f>
        <v>N12</v>
      </c>
      <c r="C308" s="1047" t="str">
        <f ca="1">IF('[2]Pricing Schedule'!$K$5="No",IFERROR(SUBSTITUTE(ADDRESS(1,MATCH(A308,INDIRECT("'"&amp;E308&amp;"'"&amp;"!A10:Z10"),0),4),1,""),""),IFERROR(SUBSTITUTE(ADDRESS(1,MATCH(A308,INDIRECT("'"&amp;E308&amp;"'"&amp;"!A10:Z10"),0),4),1,""),""))</f>
        <v>N</v>
      </c>
      <c r="D308" s="1050" t="s">
        <v>1464</v>
      </c>
      <c r="E308" s="1050" t="s">
        <v>1373</v>
      </c>
      <c r="F308" s="1328"/>
      <c r="G308" s="1328"/>
      <c r="H308" s="1328"/>
      <c r="I308" s="1328"/>
      <c r="J308" s="1328"/>
      <c r="K308" s="1328"/>
      <c r="L308" s="1113" t="s">
        <v>1383</v>
      </c>
      <c r="M308" s="1329">
        <v>277</v>
      </c>
      <c r="N308" s="1329"/>
      <c r="O308" s="1328"/>
    </row>
    <row r="309" spans="1:15" x14ac:dyDescent="0.25">
      <c r="A309" s="1147" t="s">
        <v>1374</v>
      </c>
      <c r="B309" s="1047" t="str">
        <f ca="1">IF('[2]Pricing Schedule'!$K$5="No",_xlfn.CONCAT(IFERROR(SUBSTITUTE(ADDRESS(1,MATCH(A309,INDIRECT("'"&amp;E309&amp;"'"&amp;"!A10:Z10"),0),4),1,""),""),12),_xlfn.CONCAT(IFERROR(SUBSTITUTE(ADDRESS(1,MATCH(A309,INDIRECT("'"&amp;E309&amp;"'"&amp;"!A10:Z10"),0),4),1,""),""),46))</f>
        <v>C12</v>
      </c>
      <c r="C309" s="1047" t="str">
        <f ca="1">IF('[2]Pricing Schedule'!$K$5="No",IFERROR(SUBSTITUTE(ADDRESS(1,MATCH(A309,INDIRECT("'"&amp;E309&amp;"'"&amp;"!A10:Z10"),0),4),1,""),""),IFERROR(SUBSTITUTE(ADDRESS(1,MATCH(A309,INDIRECT("'"&amp;E309&amp;"'"&amp;"!A10:Z10"),0),4),1,""),""))</f>
        <v>C</v>
      </c>
      <c r="D309" s="1050" t="s">
        <v>1464</v>
      </c>
      <c r="E309" s="1050" t="s">
        <v>1373</v>
      </c>
      <c r="F309" s="1328"/>
      <c r="G309" s="1328"/>
      <c r="H309" s="1328"/>
      <c r="I309" s="1328"/>
      <c r="J309" s="1328"/>
      <c r="K309" s="1328"/>
      <c r="L309" s="1113" t="s">
        <v>254</v>
      </c>
      <c r="M309" s="1329">
        <v>278</v>
      </c>
      <c r="N309" s="1329"/>
      <c r="O309" s="1328"/>
    </row>
    <row r="310" spans="1:15" x14ac:dyDescent="0.25">
      <c r="A310" s="1147" t="s">
        <v>1339</v>
      </c>
      <c r="B310" s="1047" t="str">
        <f ca="1">IF('[2]Pricing Schedule'!$K$5="No",_xlfn.CONCAT(IFERROR(SUBSTITUTE(ADDRESS(1,MATCH(A310,INDIRECT("'"&amp;E310&amp;"'"&amp;"!A10:Z10"),0),4),1,""),""),12),_xlfn.CONCAT(IFERROR(SUBSTITUTE(ADDRESS(1,MATCH(A310,INDIRECT("'"&amp;E310&amp;"'"&amp;"!A10:Z10"),0),4),1,""),""),46))</f>
        <v>H12</v>
      </c>
      <c r="C310" s="1047" t="str">
        <f ca="1">IF('[2]Pricing Schedule'!$K$5="No",IFERROR(SUBSTITUTE(ADDRESS(1,MATCH(A310,INDIRECT("'"&amp;E310&amp;"'"&amp;"!A10:Z10"),0),4),1,""),""),IFERROR(SUBSTITUTE(ADDRESS(1,MATCH(A310,INDIRECT("'"&amp;E310&amp;"'"&amp;"!A10:Z10"),0),4),1,""),""))</f>
        <v>H</v>
      </c>
      <c r="D310" s="1050" t="s">
        <v>1464</v>
      </c>
      <c r="E310" s="1050" t="s">
        <v>1373</v>
      </c>
      <c r="F310" s="1328"/>
      <c r="G310" s="1328"/>
      <c r="H310" s="1328"/>
      <c r="I310" s="1328"/>
      <c r="J310" s="1328"/>
      <c r="K310" s="1328"/>
      <c r="L310" s="1113" t="s">
        <v>1339</v>
      </c>
      <c r="M310" s="1329">
        <v>279</v>
      </c>
      <c r="N310" s="1329"/>
      <c r="O310" s="1328"/>
    </row>
    <row r="311" spans="1:15" x14ac:dyDescent="0.25">
      <c r="A311" s="1147" t="s">
        <v>1377</v>
      </c>
      <c r="B311" s="1047" t="str">
        <f ca="1">IF('[2]Pricing Schedule'!$K$5="No",_xlfn.CONCAT(IFERROR(SUBSTITUTE(ADDRESS(1,MATCH(A311,INDIRECT("'"&amp;E311&amp;"'"&amp;"!A10:Z10"),0),4),1,""),""),12),_xlfn.CONCAT(IFERROR(SUBSTITUTE(ADDRESS(1,MATCH(A311,INDIRECT("'"&amp;E311&amp;"'"&amp;"!A10:Z10"),0),4),1,""),""),46))</f>
        <v>F12</v>
      </c>
      <c r="C311" s="1047" t="str">
        <f ca="1">IF('[2]Pricing Schedule'!$K$5="No",IFERROR(SUBSTITUTE(ADDRESS(1,MATCH(A311,INDIRECT("'"&amp;E311&amp;"'"&amp;"!A10:Z10"),0),4),1,""),""),IFERROR(SUBSTITUTE(ADDRESS(1,MATCH(A311,INDIRECT("'"&amp;E311&amp;"'"&amp;"!A10:Z10"),0),4),1,""),""))</f>
        <v>F</v>
      </c>
      <c r="D311" s="1050" t="s">
        <v>1464</v>
      </c>
      <c r="E311" s="1050" t="s">
        <v>1373</v>
      </c>
      <c r="F311" s="1328"/>
      <c r="G311" s="1328"/>
      <c r="H311" s="1328"/>
      <c r="I311" s="1328"/>
      <c r="J311" s="1328"/>
      <c r="K311" s="1328"/>
      <c r="L311" s="1113" t="s">
        <v>225</v>
      </c>
      <c r="M311" s="1329">
        <v>280</v>
      </c>
      <c r="N311" s="1329"/>
      <c r="O311" s="132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9" t="s">
        <v>1464</v>
      </c>
      <c r="E312" s="1050" t="s">
        <v>208</v>
      </c>
      <c r="F312" s="1328"/>
      <c r="G312" s="1328"/>
      <c r="H312" s="1328"/>
      <c r="I312" s="1328"/>
      <c r="J312" s="1328"/>
      <c r="K312" s="1328"/>
      <c r="L312" s="1113" t="s">
        <v>466</v>
      </c>
      <c r="M312" s="1329">
        <v>281</v>
      </c>
      <c r="N312" s="1329"/>
      <c r="O312" s="1328"/>
    </row>
    <row r="313" spans="1:15" x14ac:dyDescent="0.25">
      <c r="A313" s="1148" t="s">
        <v>1376</v>
      </c>
      <c r="B313" s="1047" t="str">
        <f ca="1">IF('[2]Pricing Schedule'!$K$5="No",_xlfn.CONCAT(IFERROR(SUBSTITUTE(ADDRESS(1,MATCH(A313,INDIRECT("'"&amp;E313&amp;"'"&amp;"!A10:Z10"),0),4),1,""),""),12),_xlfn.CONCAT(IFERROR(SUBSTITUTE(ADDRESS(1,MATCH(A313,INDIRECT("'"&amp;E313&amp;"'"&amp;"!A10:Z10"),0),4),1,""),""),46))</f>
        <v>E12</v>
      </c>
      <c r="C313" s="1047" t="str">
        <f ca="1">IF('[2]Pricing Schedule'!$K$5="No",IFERROR(SUBSTITUTE(ADDRESS(1,MATCH(A313,INDIRECT("'"&amp;E313&amp;"'"&amp;"!A10:Z10"),0),4),1,""),""),IFERROR(SUBSTITUTE(ADDRESS(1,MATCH(A313,INDIRECT("'"&amp;E313&amp;"'"&amp;"!A10:Z10"),0),4),1,""),""))</f>
        <v>E</v>
      </c>
      <c r="D313" s="1050" t="s">
        <v>1464</v>
      </c>
      <c r="E313" s="1050" t="s">
        <v>1373</v>
      </c>
      <c r="F313" s="1328"/>
      <c r="G313" s="1328"/>
      <c r="H313" s="1328"/>
      <c r="I313" s="1328"/>
      <c r="J313" s="1328"/>
      <c r="K313" s="1328"/>
      <c r="L313" s="1113" t="s">
        <v>1376</v>
      </c>
      <c r="M313" s="1329">
        <v>282</v>
      </c>
      <c r="N313" s="1329"/>
      <c r="O313" s="1328"/>
    </row>
    <row r="314" spans="1:15" x14ac:dyDescent="0.25">
      <c r="A314" s="1148" t="s">
        <v>1378</v>
      </c>
      <c r="B314" s="1047" t="str">
        <f ca="1">IF('[2]Pricing Schedule'!$K$5="No",_xlfn.CONCAT(IFERROR(SUBSTITUTE(ADDRESS(1,MATCH(A314,INDIRECT("'"&amp;E314&amp;"'"&amp;"!A10:Z10"),0),4),1,""),""),12),_xlfn.CONCAT(IFERROR(SUBSTITUTE(ADDRESS(1,MATCH(A314,INDIRECT("'"&amp;E314&amp;"'"&amp;"!A10:Z10"),0),4),1,""),""),46))</f>
        <v>G12</v>
      </c>
      <c r="C314" s="1047" t="str">
        <f ca="1">IF('[2]Pricing Schedule'!$K$5="No",IFERROR(SUBSTITUTE(ADDRESS(1,MATCH(A314,INDIRECT("'"&amp;E314&amp;"'"&amp;"!A10:Z10"),0),4),1,""),""),IFERROR(SUBSTITUTE(ADDRESS(1,MATCH(A314,INDIRECT("'"&amp;E314&amp;"'"&amp;"!A10:Z10"),0),4),1,""),""))</f>
        <v>G</v>
      </c>
      <c r="D314" s="1050" t="s">
        <v>1464</v>
      </c>
      <c r="E314" s="1050" t="s">
        <v>1373</v>
      </c>
      <c r="F314" s="1328"/>
      <c r="G314" s="1328"/>
      <c r="H314" s="1328"/>
      <c r="I314" s="1328"/>
      <c r="J314" s="1328"/>
      <c r="K314" s="1328"/>
      <c r="L314" s="1113" t="s">
        <v>1378</v>
      </c>
      <c r="M314" s="1329">
        <v>283</v>
      </c>
      <c r="N314" s="1329"/>
      <c r="O314" s="1328"/>
    </row>
    <row r="315" spans="1:15" x14ac:dyDescent="0.25">
      <c r="A315" s="1148" t="s">
        <v>1379</v>
      </c>
      <c r="B315" s="1047" t="str">
        <f ca="1">IF('[2]Pricing Schedule'!$K$5="No",_xlfn.CONCAT(IFERROR(SUBSTITUTE(ADDRESS(1,MATCH(A315,INDIRECT("'"&amp;E315&amp;"'"&amp;"!A10:Z10"),0),4),1,""),""),12),_xlfn.CONCAT(IFERROR(SUBSTITUTE(ADDRESS(1,MATCH(A315,INDIRECT("'"&amp;E315&amp;"'"&amp;"!A10:Z10"),0),4),1,""),""),46))</f>
        <v>I12</v>
      </c>
      <c r="C315" s="1047" t="str">
        <f ca="1">IF('[2]Pricing Schedule'!$K$5="No",IFERROR(SUBSTITUTE(ADDRESS(1,MATCH(A315,INDIRECT("'"&amp;E315&amp;"'"&amp;"!A10:Z10"),0),4),1,""),""),IFERROR(SUBSTITUTE(ADDRESS(1,MATCH(A315,INDIRECT("'"&amp;E315&amp;"'"&amp;"!A10:Z10"),0),4),1,""),""))</f>
        <v>I</v>
      </c>
      <c r="D315" s="1050" t="s">
        <v>1464</v>
      </c>
      <c r="E315" s="1050" t="s">
        <v>1373</v>
      </c>
      <c r="F315" s="1328"/>
      <c r="G315" s="1328"/>
      <c r="H315" s="1328"/>
      <c r="I315" s="1328"/>
      <c r="J315" s="1328"/>
      <c r="K315" s="1328"/>
      <c r="L315" s="1113" t="s">
        <v>1379</v>
      </c>
      <c r="M315" s="1329">
        <v>284</v>
      </c>
      <c r="N315" s="1329"/>
      <c r="O315" s="1328"/>
    </row>
    <row r="316" spans="1:15" x14ac:dyDescent="0.25">
      <c r="A316" s="1148" t="s">
        <v>1380</v>
      </c>
      <c r="B316" s="1047" t="str">
        <f ca="1">IF('[2]Pricing Schedule'!$K$5="No",_xlfn.CONCAT(IFERROR(SUBSTITUTE(ADDRESS(1,MATCH(A316,INDIRECT("'"&amp;E316&amp;"'"&amp;"!A10:Z10"),0),4),1,""),""),12),_xlfn.CONCAT(IFERROR(SUBSTITUTE(ADDRESS(1,MATCH(A316,INDIRECT("'"&amp;E316&amp;"'"&amp;"!A10:Z10"),0),4),1,""),""),46))</f>
        <v>J12</v>
      </c>
      <c r="C316" s="1047" t="str">
        <f ca="1">IF('[2]Pricing Schedule'!$K$5="No",IFERROR(SUBSTITUTE(ADDRESS(1,MATCH(A316,INDIRECT("'"&amp;E316&amp;"'"&amp;"!A10:Z10"),0),4),1,""),""),IFERROR(SUBSTITUTE(ADDRESS(1,MATCH(A316,INDIRECT("'"&amp;E316&amp;"'"&amp;"!A10:Z10"),0),4),1,""),""))</f>
        <v>J</v>
      </c>
      <c r="D316" s="1050" t="s">
        <v>1464</v>
      </c>
      <c r="E316" s="1050" t="s">
        <v>1373</v>
      </c>
      <c r="F316" s="1328"/>
      <c r="G316" s="1328"/>
      <c r="H316" s="1328"/>
      <c r="I316" s="1328"/>
      <c r="J316" s="1328"/>
      <c r="K316" s="1328"/>
      <c r="L316" s="1113" t="s">
        <v>1380</v>
      </c>
      <c r="M316" s="1329">
        <v>285</v>
      </c>
      <c r="N316" s="1329"/>
      <c r="O316" s="1328"/>
    </row>
    <row r="317" spans="1:15" x14ac:dyDescent="0.25">
      <c r="A317" s="1148" t="s">
        <v>1381</v>
      </c>
      <c r="B317" s="1047" t="str">
        <f ca="1">IF('[2]Pricing Schedule'!$K$5="No",_xlfn.CONCAT(IFERROR(SUBSTITUTE(ADDRESS(1,MATCH(A317,INDIRECT("'"&amp;E317&amp;"'"&amp;"!A10:Z10"),0),4),1,""),""),12),_xlfn.CONCAT(IFERROR(SUBSTITUTE(ADDRESS(1,MATCH(A317,INDIRECT("'"&amp;E317&amp;"'"&amp;"!A10:Z10"),0),4),1,""),""),46))</f>
        <v>K12</v>
      </c>
      <c r="C317" s="1047" t="str">
        <f ca="1">IF('[2]Pricing Schedule'!$K$5="No",IFERROR(SUBSTITUTE(ADDRESS(1,MATCH(A317,INDIRECT("'"&amp;E317&amp;"'"&amp;"!A10:Z10"),0),4),1,""),""),IFERROR(SUBSTITUTE(ADDRESS(1,MATCH(A317,INDIRECT("'"&amp;E317&amp;"'"&amp;"!A10:Z10"),0),4),1,""),""))</f>
        <v>K</v>
      </c>
      <c r="D317" s="1050" t="s">
        <v>1464</v>
      </c>
      <c r="E317" s="1050" t="s">
        <v>1373</v>
      </c>
      <c r="F317" s="1328"/>
      <c r="G317" s="1328"/>
      <c r="H317" s="1328"/>
      <c r="I317" s="1328"/>
      <c r="J317" s="1328"/>
      <c r="K317" s="1328"/>
      <c r="L317" s="1113" t="s">
        <v>1381</v>
      </c>
      <c r="M317" s="1329">
        <v>286</v>
      </c>
      <c r="N317" s="1329"/>
      <c r="O317" s="1328"/>
    </row>
    <row r="318" spans="1:15" x14ac:dyDescent="0.25">
      <c r="A318" s="1148" t="s">
        <v>1382</v>
      </c>
      <c r="B318" s="1047" t="str">
        <f ca="1">IF('[2]Pricing Schedule'!$K$5="No",_xlfn.CONCAT(IFERROR(SUBSTITUTE(ADDRESS(1,MATCH(A318,INDIRECT("'"&amp;E318&amp;"'"&amp;"!A10:Z10"),0),4),1,""),""),12),_xlfn.CONCAT(IFERROR(SUBSTITUTE(ADDRESS(1,MATCH(A318,INDIRECT("'"&amp;E318&amp;"'"&amp;"!A10:Z10"),0),4),1,""),""),46))</f>
        <v>L12</v>
      </c>
      <c r="C318" s="1047" t="str">
        <f ca="1">IF('[2]Pricing Schedule'!$K$5="No",IFERROR(SUBSTITUTE(ADDRESS(1,MATCH(A318,INDIRECT("'"&amp;E318&amp;"'"&amp;"!A10:Z10"),0),4),1,""),""),IFERROR(SUBSTITUTE(ADDRESS(1,MATCH(A318,INDIRECT("'"&amp;E318&amp;"'"&amp;"!A10:Z10"),0),4),1,""),""))</f>
        <v>L</v>
      </c>
      <c r="D318" s="1050" t="s">
        <v>1464</v>
      </c>
      <c r="E318" s="1050" t="s">
        <v>1373</v>
      </c>
      <c r="F318" s="1328"/>
      <c r="G318" s="1328"/>
      <c r="H318" s="1328"/>
      <c r="I318" s="1328"/>
      <c r="J318" s="1328"/>
      <c r="K318" s="1328"/>
      <c r="L318" s="1113" t="s">
        <v>1382</v>
      </c>
      <c r="M318" s="1329">
        <v>287</v>
      </c>
      <c r="N318" s="1329"/>
      <c r="O318" s="1328"/>
    </row>
    <row r="319" spans="1:15" x14ac:dyDescent="0.25">
      <c r="A319" s="1148" t="s">
        <v>1320</v>
      </c>
      <c r="B319" s="1047" t="str">
        <f ca="1">IF('[2]Pricing Schedule'!$K$5="No",_xlfn.CONCAT(IFERROR(SUBSTITUTE(ADDRESS(1,MATCH(A319,INDIRECT("'"&amp;E319&amp;"'"&amp;"!A10:Z10"),0),4),1,""),""),12),_xlfn.CONCAT(IFERROR(SUBSTITUTE(ADDRESS(1,MATCH(A319,INDIRECT("'"&amp;E319&amp;"'"&amp;"!A10:Z10"),0),4),1,""),""),46))</f>
        <v>M12</v>
      </c>
      <c r="C319" s="1047" t="str">
        <f ca="1">IF('[2]Pricing Schedule'!$K$5="No",IFERROR(SUBSTITUTE(ADDRESS(1,MATCH(A319,INDIRECT("'"&amp;E319&amp;"'"&amp;"!A10:Z10"),0),4),1,""),""),IFERROR(SUBSTITUTE(ADDRESS(1,MATCH(A319,INDIRECT("'"&amp;E319&amp;"'"&amp;"!A10:Z10"),0),4),1,""),""))</f>
        <v>M</v>
      </c>
      <c r="D319" s="1050" t="s">
        <v>1464</v>
      </c>
      <c r="E319" s="1050" t="s">
        <v>1373</v>
      </c>
      <c r="F319" s="1328"/>
      <c r="G319" s="1328"/>
      <c r="H319" s="1328"/>
      <c r="I319" s="1328"/>
      <c r="J319" s="1328"/>
      <c r="K319" s="1328"/>
      <c r="L319" s="1113" t="s">
        <v>1320</v>
      </c>
      <c r="M319" s="1329">
        <v>288</v>
      </c>
      <c r="N319" s="1329"/>
      <c r="O319" s="1328"/>
    </row>
    <row r="320" spans="1:15" x14ac:dyDescent="0.25">
      <c r="A320" s="1143" t="s">
        <v>1383</v>
      </c>
      <c r="B320" s="1047" t="str">
        <f ca="1">IF('[2]Pricing Schedule'!$K$5="No",_xlfn.CONCAT(IFERROR(SUBSTITUTE(ADDRESS(1,MATCH(A320,INDIRECT("'"&amp;E320&amp;"'"&amp;"!A10:Z10"),0),4),1,""),""),14),_xlfn.CONCAT(IFERROR(SUBSTITUTE(ADDRESS(1,MATCH(A320,INDIRECT("'"&amp;E320&amp;"'"&amp;"!A10:Z10"),0),4),1,""),""),48))</f>
        <v>N14</v>
      </c>
      <c r="C320" s="1047" t="str">
        <f ca="1">IF('[2]Pricing Schedule'!$K$5="No",IFERROR(SUBSTITUTE(ADDRESS(1,MATCH(A320,INDIRECT("'"&amp;E320&amp;"'"&amp;"!A10:Z10"),0),4),1,""),""),IFERROR(SUBSTITUTE(ADDRESS(1,MATCH(A320,INDIRECT("'"&amp;E320&amp;"'"&amp;"!A10:Z10"),0),4),1,""),""))</f>
        <v>N</v>
      </c>
      <c r="D320" s="1050" t="s">
        <v>1464</v>
      </c>
      <c r="E320" s="1050" t="s">
        <v>1373</v>
      </c>
      <c r="F320" s="1328"/>
      <c r="G320" s="1328"/>
      <c r="H320" s="1328"/>
      <c r="I320" s="1328"/>
      <c r="J320" s="1328"/>
      <c r="K320" s="1328"/>
      <c r="L320" s="1113" t="s">
        <v>1383</v>
      </c>
      <c r="M320" s="1329">
        <v>289</v>
      </c>
      <c r="N320" s="1329"/>
      <c r="O320" s="1328"/>
    </row>
    <row r="321" spans="1:15" x14ac:dyDescent="0.25">
      <c r="A321" s="1144" t="s">
        <v>1374</v>
      </c>
      <c r="B321" s="1047" t="str">
        <f ca="1">IF('[2]Pricing Schedule'!$K$5="No",_xlfn.CONCAT(IFERROR(SUBSTITUTE(ADDRESS(1,MATCH(A321,INDIRECT("'"&amp;E321&amp;"'"&amp;"!A10:Z10"),0),4),1,""),""),14),_xlfn.CONCAT(IFERROR(SUBSTITUTE(ADDRESS(1,MATCH(A321,INDIRECT("'"&amp;E321&amp;"'"&amp;"!A10:Z10"),0),4),1,""),""),48))</f>
        <v>C14</v>
      </c>
      <c r="C321" s="1047" t="str">
        <f ca="1">IF('[2]Pricing Schedule'!$K$5="No",IFERROR(SUBSTITUTE(ADDRESS(1,MATCH(A321,INDIRECT("'"&amp;E321&amp;"'"&amp;"!A10:Z10"),0),4),1,""),""),IFERROR(SUBSTITUTE(ADDRESS(1,MATCH(A321,INDIRECT("'"&amp;E321&amp;"'"&amp;"!A10:Z10"),0),4),1,""),""))</f>
        <v>C</v>
      </c>
      <c r="D321" s="1050" t="s">
        <v>1464</v>
      </c>
      <c r="E321" s="1050" t="s">
        <v>1373</v>
      </c>
      <c r="F321" s="1328"/>
      <c r="G321" s="1328"/>
      <c r="H321" s="1328"/>
      <c r="I321" s="1328"/>
      <c r="J321" s="1328"/>
      <c r="K321" s="1328"/>
      <c r="L321" s="1113" t="s">
        <v>254</v>
      </c>
      <c r="M321" s="1329">
        <v>290</v>
      </c>
      <c r="N321" s="1329"/>
      <c r="O321" s="1328"/>
    </row>
    <row r="322" spans="1:15" x14ac:dyDescent="0.25">
      <c r="A322" s="1144" t="s">
        <v>1339</v>
      </c>
      <c r="B322" s="1047" t="str">
        <f ca="1">IF('[2]Pricing Schedule'!$K$5="No",_xlfn.CONCAT(IFERROR(SUBSTITUTE(ADDRESS(1,MATCH(A322,INDIRECT("'"&amp;E322&amp;"'"&amp;"!A10:Z10"),0),4),1,""),""),14),_xlfn.CONCAT(IFERROR(SUBSTITUTE(ADDRESS(1,MATCH(A322,INDIRECT("'"&amp;E322&amp;"'"&amp;"!A10:Z10"),0),4),1,""),""),48))</f>
        <v>H14</v>
      </c>
      <c r="C322" s="1047" t="str">
        <f ca="1">IF('[2]Pricing Schedule'!$K$5="No",IFERROR(SUBSTITUTE(ADDRESS(1,MATCH(A322,INDIRECT("'"&amp;E322&amp;"'"&amp;"!A10:Z10"),0),4),1,""),""),IFERROR(SUBSTITUTE(ADDRESS(1,MATCH(A322,INDIRECT("'"&amp;E322&amp;"'"&amp;"!A10:Z10"),0),4),1,""),""))</f>
        <v>H</v>
      </c>
      <c r="D322" s="1050" t="s">
        <v>1464</v>
      </c>
      <c r="E322" s="1050" t="s">
        <v>1373</v>
      </c>
      <c r="F322" s="1328"/>
      <c r="G322" s="1328"/>
      <c r="H322" s="1328"/>
      <c r="I322" s="1328"/>
      <c r="J322" s="1328"/>
      <c r="K322" s="1328"/>
      <c r="L322" s="1113" t="s">
        <v>1339</v>
      </c>
      <c r="M322" s="1329">
        <v>291</v>
      </c>
      <c r="N322" s="1329"/>
      <c r="O322" s="1328"/>
    </row>
    <row r="323" spans="1:15" x14ac:dyDescent="0.25">
      <c r="A323" s="1144" t="s">
        <v>1377</v>
      </c>
      <c r="B323" s="1047" t="str">
        <f ca="1">IF('[2]Pricing Schedule'!$K$5="No",_xlfn.CONCAT(IFERROR(SUBSTITUTE(ADDRESS(1,MATCH(A323,INDIRECT("'"&amp;E323&amp;"'"&amp;"!A10:Z10"),0),4),1,""),""),14),_xlfn.CONCAT(IFERROR(SUBSTITUTE(ADDRESS(1,MATCH(A323,INDIRECT("'"&amp;E323&amp;"'"&amp;"!A10:Z10"),0),4),1,""),""),48))</f>
        <v>F14</v>
      </c>
      <c r="C323" s="1047" t="str">
        <f ca="1">IF('[2]Pricing Schedule'!$K$5="No",IFERROR(SUBSTITUTE(ADDRESS(1,MATCH(A323,INDIRECT("'"&amp;E323&amp;"'"&amp;"!A10:Z10"),0),4),1,""),""),IFERROR(SUBSTITUTE(ADDRESS(1,MATCH(A323,INDIRECT("'"&amp;E323&amp;"'"&amp;"!A10:Z10"),0),4),1,""),""))</f>
        <v>F</v>
      </c>
      <c r="D323" s="1050" t="s">
        <v>1464</v>
      </c>
      <c r="E323" s="1050" t="s">
        <v>1373</v>
      </c>
      <c r="F323" s="1328"/>
      <c r="G323" s="1328"/>
      <c r="H323" s="1328"/>
      <c r="I323" s="1328"/>
      <c r="J323" s="1328"/>
      <c r="K323" s="1328"/>
      <c r="L323" s="1113" t="s">
        <v>225</v>
      </c>
      <c r="M323" s="1329">
        <v>292</v>
      </c>
      <c r="N323" s="1329"/>
      <c r="O323" s="132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9" t="s">
        <v>1464</v>
      </c>
      <c r="E324" s="1050" t="s">
        <v>208</v>
      </c>
      <c r="F324" s="1328"/>
      <c r="G324" s="1328"/>
      <c r="H324" s="1328"/>
      <c r="I324" s="1328"/>
      <c r="J324" s="1328"/>
      <c r="K324" s="1328"/>
      <c r="L324" s="1113" t="s">
        <v>466</v>
      </c>
      <c r="M324" s="1329">
        <v>293</v>
      </c>
      <c r="N324" s="1329"/>
      <c r="O324" s="1328"/>
    </row>
    <row r="325" spans="1:15" x14ac:dyDescent="0.25">
      <c r="A325" s="1145" t="s">
        <v>1376</v>
      </c>
      <c r="B325" s="1047" t="str">
        <f ca="1">IF('[2]Pricing Schedule'!$K$5="No",_xlfn.CONCAT(IFERROR(SUBSTITUTE(ADDRESS(1,MATCH(A325,INDIRECT("'"&amp;E325&amp;"'"&amp;"!A10:Z10"),0),4),1,""),""),14),_xlfn.CONCAT(IFERROR(SUBSTITUTE(ADDRESS(1,MATCH(A325,INDIRECT("'"&amp;E325&amp;"'"&amp;"!A10:Z10"),0),4),1,""),""),48))</f>
        <v>E14</v>
      </c>
      <c r="C325" s="1047" t="str">
        <f ca="1">IF('[2]Pricing Schedule'!$K$5="No",IFERROR(SUBSTITUTE(ADDRESS(1,MATCH(A325,INDIRECT("'"&amp;E325&amp;"'"&amp;"!A10:Z10"),0),4),1,""),""),IFERROR(SUBSTITUTE(ADDRESS(1,MATCH(A325,INDIRECT("'"&amp;E325&amp;"'"&amp;"!A10:Z10"),0),4),1,""),""))</f>
        <v>E</v>
      </c>
      <c r="D325" s="1050" t="s">
        <v>1464</v>
      </c>
      <c r="E325" s="1050" t="s">
        <v>1373</v>
      </c>
      <c r="F325" s="1328"/>
      <c r="G325" s="1328"/>
      <c r="H325" s="1328"/>
      <c r="I325" s="1328"/>
      <c r="J325" s="1328"/>
      <c r="K325" s="1328"/>
      <c r="L325" s="1113" t="s">
        <v>1376</v>
      </c>
      <c r="M325" s="1329">
        <v>294</v>
      </c>
      <c r="N325" s="1329"/>
      <c r="O325" s="1328"/>
    </row>
    <row r="326" spans="1:15" x14ac:dyDescent="0.25">
      <c r="A326" s="1145" t="s">
        <v>1378</v>
      </c>
      <c r="B326" s="1047" t="str">
        <f ca="1">IF('[2]Pricing Schedule'!$K$5="No",_xlfn.CONCAT(IFERROR(SUBSTITUTE(ADDRESS(1,MATCH(A326,INDIRECT("'"&amp;E326&amp;"'"&amp;"!A10:Z10"),0),4),1,""),""),14),_xlfn.CONCAT(IFERROR(SUBSTITUTE(ADDRESS(1,MATCH(A326,INDIRECT("'"&amp;E326&amp;"'"&amp;"!A10:Z10"),0),4),1,""),""),48))</f>
        <v>G14</v>
      </c>
      <c r="C326" s="1047" t="str">
        <f ca="1">IF('[2]Pricing Schedule'!$K$5="No",IFERROR(SUBSTITUTE(ADDRESS(1,MATCH(A326,INDIRECT("'"&amp;E326&amp;"'"&amp;"!A10:Z10"),0),4),1,""),""),IFERROR(SUBSTITUTE(ADDRESS(1,MATCH(A326,INDIRECT("'"&amp;E326&amp;"'"&amp;"!A10:Z10"),0),4),1,""),""))</f>
        <v>G</v>
      </c>
      <c r="D326" s="1050" t="s">
        <v>1464</v>
      </c>
      <c r="E326" s="1050" t="s">
        <v>1373</v>
      </c>
      <c r="F326" s="1328"/>
      <c r="G326" s="1328"/>
      <c r="H326" s="1328"/>
      <c r="I326" s="1328"/>
      <c r="J326" s="1328"/>
      <c r="K326" s="1328"/>
      <c r="L326" s="1113" t="s">
        <v>1378</v>
      </c>
      <c r="M326" s="1329">
        <v>295</v>
      </c>
      <c r="N326" s="1329"/>
      <c r="O326" s="1328"/>
    </row>
    <row r="327" spans="1:15" x14ac:dyDescent="0.25">
      <c r="A327" s="1145" t="s">
        <v>1379</v>
      </c>
      <c r="B327" s="1047" t="str">
        <f ca="1">IF('[2]Pricing Schedule'!$K$5="No",_xlfn.CONCAT(IFERROR(SUBSTITUTE(ADDRESS(1,MATCH(A327,INDIRECT("'"&amp;E327&amp;"'"&amp;"!A10:Z10"),0),4),1,""),""),14),_xlfn.CONCAT(IFERROR(SUBSTITUTE(ADDRESS(1,MATCH(A327,INDIRECT("'"&amp;E327&amp;"'"&amp;"!A10:Z10"),0),4),1,""),""),48))</f>
        <v>I14</v>
      </c>
      <c r="C327" s="1047" t="str">
        <f ca="1">IF('[2]Pricing Schedule'!$K$5="No",IFERROR(SUBSTITUTE(ADDRESS(1,MATCH(A327,INDIRECT("'"&amp;E327&amp;"'"&amp;"!A10:Z10"),0),4),1,""),""),IFERROR(SUBSTITUTE(ADDRESS(1,MATCH(A327,INDIRECT("'"&amp;E327&amp;"'"&amp;"!A10:Z10"),0),4),1,""),""))</f>
        <v>I</v>
      </c>
      <c r="D327" s="1050" t="s">
        <v>1464</v>
      </c>
      <c r="E327" s="1050" t="s">
        <v>1373</v>
      </c>
      <c r="F327" s="1328"/>
      <c r="G327" s="1328"/>
      <c r="H327" s="1328"/>
      <c r="I327" s="1328"/>
      <c r="J327" s="1328"/>
      <c r="K327" s="1328"/>
      <c r="L327" s="1113" t="s">
        <v>1379</v>
      </c>
      <c r="M327" s="1329">
        <v>296</v>
      </c>
      <c r="N327" s="1329"/>
      <c r="O327" s="1328"/>
    </row>
    <row r="328" spans="1:15" x14ac:dyDescent="0.25">
      <c r="A328" s="1145" t="s">
        <v>1380</v>
      </c>
      <c r="B328" s="1047" t="str">
        <f ca="1">IF('[2]Pricing Schedule'!$K$5="No",_xlfn.CONCAT(IFERROR(SUBSTITUTE(ADDRESS(1,MATCH(A328,INDIRECT("'"&amp;E328&amp;"'"&amp;"!A10:Z10"),0),4),1,""),""),14),_xlfn.CONCAT(IFERROR(SUBSTITUTE(ADDRESS(1,MATCH(A328,INDIRECT("'"&amp;E328&amp;"'"&amp;"!A10:Z10"),0),4),1,""),""),48))</f>
        <v>J14</v>
      </c>
      <c r="C328" s="1047" t="str">
        <f ca="1">IF('[2]Pricing Schedule'!$K$5="No",IFERROR(SUBSTITUTE(ADDRESS(1,MATCH(A328,INDIRECT("'"&amp;E328&amp;"'"&amp;"!A10:Z10"),0),4),1,""),""),IFERROR(SUBSTITUTE(ADDRESS(1,MATCH(A328,INDIRECT("'"&amp;E328&amp;"'"&amp;"!A10:Z10"),0),4),1,""),""))</f>
        <v>J</v>
      </c>
      <c r="D328" s="1050" t="s">
        <v>1464</v>
      </c>
      <c r="E328" s="1050" t="s">
        <v>1373</v>
      </c>
      <c r="F328" s="1328"/>
      <c r="G328" s="1328"/>
      <c r="H328" s="1328"/>
      <c r="I328" s="1328"/>
      <c r="J328" s="1328"/>
      <c r="K328" s="1328"/>
      <c r="L328" s="1113" t="s">
        <v>1380</v>
      </c>
      <c r="M328" s="1329">
        <v>297</v>
      </c>
      <c r="N328" s="1329"/>
      <c r="O328" s="1328"/>
    </row>
    <row r="329" spans="1:15" x14ac:dyDescent="0.25">
      <c r="A329" s="1145" t="s">
        <v>1381</v>
      </c>
      <c r="B329" s="1047" t="str">
        <f ca="1">IF('[2]Pricing Schedule'!$K$5="No",_xlfn.CONCAT(IFERROR(SUBSTITUTE(ADDRESS(1,MATCH(A329,INDIRECT("'"&amp;E329&amp;"'"&amp;"!A10:Z10"),0),4),1,""),""),14),_xlfn.CONCAT(IFERROR(SUBSTITUTE(ADDRESS(1,MATCH(A329,INDIRECT("'"&amp;E329&amp;"'"&amp;"!A10:Z10"),0),4),1,""),""),48))</f>
        <v>K14</v>
      </c>
      <c r="C329" s="1047" t="str">
        <f ca="1">IF('[2]Pricing Schedule'!$K$5="No",IFERROR(SUBSTITUTE(ADDRESS(1,MATCH(A329,INDIRECT("'"&amp;E329&amp;"'"&amp;"!A10:Z10"),0),4),1,""),""),IFERROR(SUBSTITUTE(ADDRESS(1,MATCH(A329,INDIRECT("'"&amp;E329&amp;"'"&amp;"!A10:Z10"),0),4),1,""),""))</f>
        <v>K</v>
      </c>
      <c r="D329" s="1050" t="s">
        <v>1464</v>
      </c>
      <c r="E329" s="1050" t="s">
        <v>1373</v>
      </c>
      <c r="F329" s="1328"/>
      <c r="G329" s="1328"/>
      <c r="H329" s="1328"/>
      <c r="I329" s="1328"/>
      <c r="J329" s="1328"/>
      <c r="K329" s="1328"/>
      <c r="L329" s="1113" t="s">
        <v>1381</v>
      </c>
      <c r="M329" s="1329">
        <v>298</v>
      </c>
      <c r="N329" s="1329"/>
      <c r="O329" s="1328"/>
    </row>
    <row r="330" spans="1:15" x14ac:dyDescent="0.25">
      <c r="A330" s="1145" t="s">
        <v>1382</v>
      </c>
      <c r="B330" s="1047" t="str">
        <f ca="1">IF('[2]Pricing Schedule'!$K$5="No",_xlfn.CONCAT(IFERROR(SUBSTITUTE(ADDRESS(1,MATCH(A330,INDIRECT("'"&amp;E330&amp;"'"&amp;"!A10:Z10"),0),4),1,""),""),14),_xlfn.CONCAT(IFERROR(SUBSTITUTE(ADDRESS(1,MATCH(A330,INDIRECT("'"&amp;E330&amp;"'"&amp;"!A10:Z10"),0),4),1,""),""),48))</f>
        <v>L14</v>
      </c>
      <c r="C330" s="1047" t="str">
        <f ca="1">IF('[2]Pricing Schedule'!$K$5="No",IFERROR(SUBSTITUTE(ADDRESS(1,MATCH(A330,INDIRECT("'"&amp;E330&amp;"'"&amp;"!A10:Z10"),0),4),1,""),""),IFERROR(SUBSTITUTE(ADDRESS(1,MATCH(A330,INDIRECT("'"&amp;E330&amp;"'"&amp;"!A10:Z10"),0),4),1,""),""))</f>
        <v>L</v>
      </c>
      <c r="D330" s="1050" t="s">
        <v>1464</v>
      </c>
      <c r="E330" s="1050" t="s">
        <v>1373</v>
      </c>
      <c r="F330" s="1328"/>
      <c r="G330" s="1328"/>
      <c r="H330" s="1328"/>
      <c r="I330" s="1328"/>
      <c r="J330" s="1328"/>
      <c r="K330" s="1328"/>
      <c r="L330" s="1113" t="s">
        <v>1382</v>
      </c>
      <c r="M330" s="1329">
        <v>299</v>
      </c>
      <c r="N330" s="1329"/>
      <c r="O330" s="1328"/>
    </row>
    <row r="331" spans="1:15" x14ac:dyDescent="0.25">
      <c r="A331" s="1145" t="s">
        <v>1320</v>
      </c>
      <c r="B331" s="1047" t="str">
        <f ca="1">IF('[2]Pricing Schedule'!$K$5="No",_xlfn.CONCAT(IFERROR(SUBSTITUTE(ADDRESS(1,MATCH(A331,INDIRECT("'"&amp;E331&amp;"'"&amp;"!A10:Z10"),0),4),1,""),""),14),_xlfn.CONCAT(IFERROR(SUBSTITUTE(ADDRESS(1,MATCH(A331,INDIRECT("'"&amp;E331&amp;"'"&amp;"!A10:Z10"),0),4),1,""),""),48))</f>
        <v>M14</v>
      </c>
      <c r="C331" s="1047" t="str">
        <f ca="1">IF('[2]Pricing Schedule'!$K$5="No",IFERROR(SUBSTITUTE(ADDRESS(1,MATCH(A331,INDIRECT("'"&amp;E331&amp;"'"&amp;"!A10:Z10"),0),4),1,""),""),IFERROR(SUBSTITUTE(ADDRESS(1,MATCH(A331,INDIRECT("'"&amp;E331&amp;"'"&amp;"!A10:Z10"),0),4),1,""),""))</f>
        <v>M</v>
      </c>
      <c r="D331" s="1050" t="s">
        <v>1464</v>
      </c>
      <c r="E331" s="1050" t="s">
        <v>1373</v>
      </c>
      <c r="F331" s="1328"/>
      <c r="G331" s="1328"/>
      <c r="H331" s="1328"/>
      <c r="I331" s="1328"/>
      <c r="J331" s="1328"/>
      <c r="K331" s="1328"/>
      <c r="L331" s="1113" t="s">
        <v>1320</v>
      </c>
      <c r="M331" s="1329">
        <v>300</v>
      </c>
      <c r="N331" s="1329"/>
      <c r="O331" s="1328"/>
    </row>
    <row r="332" spans="1:15" x14ac:dyDescent="0.25">
      <c r="A332" s="1146" t="s">
        <v>1383</v>
      </c>
      <c r="B332" s="1047" t="str">
        <f ca="1">IF('[2]Pricing Schedule'!$K$5="No",_xlfn.CONCAT(IFERROR(SUBSTITUTE(ADDRESS(1,MATCH(A332,INDIRECT("'"&amp;E332&amp;"'"&amp;"!A10:Z10"),0),4),1,""),""),15),_xlfn.CONCAT(IFERROR(SUBSTITUTE(ADDRESS(1,MATCH(A332,INDIRECT("'"&amp;E332&amp;"'"&amp;"!A10:Z10"),0),4),1,""),""),49))</f>
        <v>N15</v>
      </c>
      <c r="C332" s="1047" t="str">
        <f ca="1">IF('[2]Pricing Schedule'!$K$5="No",IFERROR(SUBSTITUTE(ADDRESS(1,MATCH(A332,INDIRECT("'"&amp;E332&amp;"'"&amp;"!A10:Z10"),0),4),1,""),""),IFERROR(SUBSTITUTE(ADDRESS(1,MATCH(A332,INDIRECT("'"&amp;E332&amp;"'"&amp;"!A10:Z10"),0),4),1,""),""))</f>
        <v>N</v>
      </c>
      <c r="D332" s="1050" t="s">
        <v>1464</v>
      </c>
      <c r="E332" s="1050" t="s">
        <v>1373</v>
      </c>
      <c r="F332" s="1328"/>
      <c r="G332" s="1328"/>
      <c r="H332" s="1328"/>
      <c r="I332" s="1328"/>
      <c r="J332" s="1328"/>
      <c r="K332" s="1328"/>
      <c r="L332" s="1113" t="s">
        <v>1383</v>
      </c>
      <c r="M332" s="1329">
        <v>301</v>
      </c>
      <c r="N332" s="1329"/>
      <c r="O332" s="1328"/>
    </row>
    <row r="333" spans="1:15" x14ac:dyDescent="0.25">
      <c r="A333" s="1147" t="s">
        <v>1374</v>
      </c>
      <c r="B333" s="1047" t="str">
        <f ca="1">IF('[2]Pricing Schedule'!$K$5="No",_xlfn.CONCAT(IFERROR(SUBSTITUTE(ADDRESS(1,MATCH(A333,INDIRECT("'"&amp;E333&amp;"'"&amp;"!A10:Z10"),0),4),1,""),""),15),_xlfn.CONCAT(IFERROR(SUBSTITUTE(ADDRESS(1,MATCH(A333,INDIRECT("'"&amp;E333&amp;"'"&amp;"!A10:Z10"),0),4),1,""),""),49))</f>
        <v>C15</v>
      </c>
      <c r="C333" s="1047" t="str">
        <f ca="1">IF('[2]Pricing Schedule'!$K$5="No",IFERROR(SUBSTITUTE(ADDRESS(1,MATCH(A333,INDIRECT("'"&amp;E333&amp;"'"&amp;"!A10:Z10"),0),4),1,""),""),IFERROR(SUBSTITUTE(ADDRESS(1,MATCH(A333,INDIRECT("'"&amp;E333&amp;"'"&amp;"!A10:Z10"),0),4),1,""),""))</f>
        <v>C</v>
      </c>
      <c r="D333" s="1050" t="s">
        <v>1464</v>
      </c>
      <c r="E333" s="1050" t="s">
        <v>1373</v>
      </c>
      <c r="F333" s="1328"/>
      <c r="G333" s="1328"/>
      <c r="H333" s="1328"/>
      <c r="I333" s="1328"/>
      <c r="J333" s="1328"/>
      <c r="K333" s="1328"/>
      <c r="L333" s="1113" t="s">
        <v>254</v>
      </c>
      <c r="M333" s="1329">
        <v>302</v>
      </c>
      <c r="N333" s="1329"/>
      <c r="O333" s="1328"/>
    </row>
    <row r="334" spans="1:15" x14ac:dyDescent="0.25">
      <c r="A334" s="1147" t="s">
        <v>1339</v>
      </c>
      <c r="B334" s="1047" t="str">
        <f ca="1">IF('[2]Pricing Schedule'!$K$5="No",_xlfn.CONCAT(IFERROR(SUBSTITUTE(ADDRESS(1,MATCH(A334,INDIRECT("'"&amp;E334&amp;"'"&amp;"!A10:Z10"),0),4),1,""),""),15),_xlfn.CONCAT(IFERROR(SUBSTITUTE(ADDRESS(1,MATCH(A334,INDIRECT("'"&amp;E334&amp;"'"&amp;"!A10:Z10"),0),4),1,""),""),49))</f>
        <v>H15</v>
      </c>
      <c r="C334" s="1047" t="str">
        <f ca="1">IF('[2]Pricing Schedule'!$K$5="No",IFERROR(SUBSTITUTE(ADDRESS(1,MATCH(A334,INDIRECT("'"&amp;E334&amp;"'"&amp;"!A10:Z10"),0),4),1,""),""),IFERROR(SUBSTITUTE(ADDRESS(1,MATCH(A334,INDIRECT("'"&amp;E334&amp;"'"&amp;"!A10:Z10"),0),4),1,""),""))</f>
        <v>H</v>
      </c>
      <c r="D334" s="1050" t="s">
        <v>1464</v>
      </c>
      <c r="E334" s="1050" t="s">
        <v>1373</v>
      </c>
      <c r="F334" s="1328"/>
      <c r="G334" s="1328"/>
      <c r="H334" s="1328"/>
      <c r="I334" s="1328"/>
      <c r="J334" s="1328"/>
      <c r="K334" s="1328"/>
      <c r="L334" s="1113" t="s">
        <v>1339</v>
      </c>
      <c r="M334" s="1329">
        <v>303</v>
      </c>
      <c r="N334" s="1329"/>
      <c r="O334" s="1328"/>
    </row>
    <row r="335" spans="1:15" x14ac:dyDescent="0.25">
      <c r="A335" s="1147" t="s">
        <v>1377</v>
      </c>
      <c r="B335" s="1047" t="str">
        <f ca="1">IF('[2]Pricing Schedule'!$K$5="No",_xlfn.CONCAT(IFERROR(SUBSTITUTE(ADDRESS(1,MATCH(A335,INDIRECT("'"&amp;E335&amp;"'"&amp;"!A10:Z10"),0),4),1,""),""),15),_xlfn.CONCAT(IFERROR(SUBSTITUTE(ADDRESS(1,MATCH(A335,INDIRECT("'"&amp;E335&amp;"'"&amp;"!A10:Z10"),0),4),1,""),""),49))</f>
        <v>F15</v>
      </c>
      <c r="C335" s="1047" t="str">
        <f ca="1">IF('[2]Pricing Schedule'!$K$5="No",IFERROR(SUBSTITUTE(ADDRESS(1,MATCH(A335,INDIRECT("'"&amp;E335&amp;"'"&amp;"!A10:Z10"),0),4),1,""),""),IFERROR(SUBSTITUTE(ADDRESS(1,MATCH(A335,INDIRECT("'"&amp;E335&amp;"'"&amp;"!A10:Z10"),0),4),1,""),""))</f>
        <v>F</v>
      </c>
      <c r="D335" s="1050" t="s">
        <v>1464</v>
      </c>
      <c r="E335" s="1050" t="s">
        <v>1373</v>
      </c>
      <c r="F335" s="1328"/>
      <c r="G335" s="1328"/>
      <c r="H335" s="1328"/>
      <c r="I335" s="1328"/>
      <c r="J335" s="1328"/>
      <c r="K335" s="1328"/>
      <c r="L335" s="1113" t="s">
        <v>225</v>
      </c>
      <c r="M335" s="1329">
        <v>304</v>
      </c>
      <c r="N335" s="1329"/>
      <c r="O335" s="132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9" t="s">
        <v>1464</v>
      </c>
      <c r="E336" s="1050" t="s">
        <v>208</v>
      </c>
      <c r="F336" s="1328"/>
      <c r="G336" s="1328"/>
      <c r="H336" s="1328"/>
      <c r="I336" s="1328"/>
      <c r="J336" s="1328"/>
      <c r="K336" s="1328"/>
      <c r="L336" s="1113" t="s">
        <v>466</v>
      </c>
      <c r="M336" s="1329">
        <v>305</v>
      </c>
      <c r="N336" s="1329"/>
      <c r="O336" s="1328"/>
    </row>
    <row r="337" spans="1:15" x14ac:dyDescent="0.25">
      <c r="A337" s="1148" t="s">
        <v>1376</v>
      </c>
      <c r="B337" s="1047" t="str">
        <f ca="1">IF('[2]Pricing Schedule'!$K$5="No",_xlfn.CONCAT(IFERROR(SUBSTITUTE(ADDRESS(1,MATCH(A337,INDIRECT("'"&amp;E337&amp;"'"&amp;"!A10:Z10"),0),4),1,""),""),15),_xlfn.CONCAT(IFERROR(SUBSTITUTE(ADDRESS(1,MATCH(A337,INDIRECT("'"&amp;E337&amp;"'"&amp;"!A10:Z10"),0),4),1,""),""),49))</f>
        <v>E15</v>
      </c>
      <c r="C337" s="1047" t="str">
        <f ca="1">IF('[2]Pricing Schedule'!$K$5="No",IFERROR(SUBSTITUTE(ADDRESS(1,MATCH(A337,INDIRECT("'"&amp;E337&amp;"'"&amp;"!A10:Z10"),0),4),1,""),""),IFERROR(SUBSTITUTE(ADDRESS(1,MATCH(A337,INDIRECT("'"&amp;E337&amp;"'"&amp;"!A10:Z10"),0),4),1,""),""))</f>
        <v>E</v>
      </c>
      <c r="D337" s="1050" t="s">
        <v>1464</v>
      </c>
      <c r="E337" s="1050" t="s">
        <v>1373</v>
      </c>
      <c r="F337" s="1328"/>
      <c r="G337" s="1328"/>
      <c r="H337" s="1328"/>
      <c r="I337" s="1328"/>
      <c r="J337" s="1328"/>
      <c r="K337" s="1328"/>
      <c r="L337" s="1113" t="s">
        <v>1376</v>
      </c>
      <c r="M337" s="1329">
        <v>306</v>
      </c>
      <c r="N337" s="1329"/>
      <c r="O337" s="1328"/>
    </row>
    <row r="338" spans="1:15" x14ac:dyDescent="0.25">
      <c r="A338" s="1148" t="s">
        <v>1378</v>
      </c>
      <c r="B338" s="1047" t="str">
        <f ca="1">IF('[2]Pricing Schedule'!$K$5="No",_xlfn.CONCAT(IFERROR(SUBSTITUTE(ADDRESS(1,MATCH(A338,INDIRECT("'"&amp;E338&amp;"'"&amp;"!A10:Z10"),0),4),1,""),""),15),_xlfn.CONCAT(IFERROR(SUBSTITUTE(ADDRESS(1,MATCH(A338,INDIRECT("'"&amp;E338&amp;"'"&amp;"!A10:Z10"),0),4),1,""),""),49))</f>
        <v>G15</v>
      </c>
      <c r="C338" s="1047" t="str">
        <f ca="1">IF('[2]Pricing Schedule'!$K$5="No",IFERROR(SUBSTITUTE(ADDRESS(1,MATCH(A338,INDIRECT("'"&amp;E338&amp;"'"&amp;"!A10:Z10"),0),4),1,""),""),IFERROR(SUBSTITUTE(ADDRESS(1,MATCH(A338,INDIRECT("'"&amp;E338&amp;"'"&amp;"!A10:Z10"),0),4),1,""),""))</f>
        <v>G</v>
      </c>
      <c r="D338" s="1050" t="s">
        <v>1464</v>
      </c>
      <c r="E338" s="1050" t="s">
        <v>1373</v>
      </c>
      <c r="F338" s="1328"/>
      <c r="G338" s="1328"/>
      <c r="H338" s="1328"/>
      <c r="I338" s="1328"/>
      <c r="J338" s="1328"/>
      <c r="K338" s="1328"/>
      <c r="L338" s="1113" t="s">
        <v>1378</v>
      </c>
      <c r="M338" s="1329">
        <v>307</v>
      </c>
      <c r="N338" s="1329"/>
      <c r="O338" s="1328"/>
    </row>
    <row r="339" spans="1:15" x14ac:dyDescent="0.25">
      <c r="A339" s="1148" t="s">
        <v>1379</v>
      </c>
      <c r="B339" s="1047" t="str">
        <f ca="1">IF('[2]Pricing Schedule'!$K$5="No",_xlfn.CONCAT(IFERROR(SUBSTITUTE(ADDRESS(1,MATCH(A339,INDIRECT("'"&amp;E339&amp;"'"&amp;"!A10:Z10"),0),4),1,""),""),15),_xlfn.CONCAT(IFERROR(SUBSTITUTE(ADDRESS(1,MATCH(A339,INDIRECT("'"&amp;E339&amp;"'"&amp;"!A10:Z10"),0),4),1,""),""),49))</f>
        <v>I15</v>
      </c>
      <c r="C339" s="1047" t="str">
        <f ca="1">IF('[2]Pricing Schedule'!$K$5="No",IFERROR(SUBSTITUTE(ADDRESS(1,MATCH(A339,INDIRECT("'"&amp;E339&amp;"'"&amp;"!A10:Z10"),0),4),1,""),""),IFERROR(SUBSTITUTE(ADDRESS(1,MATCH(A339,INDIRECT("'"&amp;E339&amp;"'"&amp;"!A10:Z10"),0),4),1,""),""))</f>
        <v>I</v>
      </c>
      <c r="D339" s="1050" t="s">
        <v>1464</v>
      </c>
      <c r="E339" s="1050" t="s">
        <v>1373</v>
      </c>
      <c r="F339" s="1328"/>
      <c r="G339" s="1328"/>
      <c r="H339" s="1328"/>
      <c r="I339" s="1328"/>
      <c r="J339" s="1328"/>
      <c r="K339" s="1328"/>
      <c r="L339" s="1113" t="s">
        <v>1379</v>
      </c>
      <c r="M339" s="1329">
        <v>308</v>
      </c>
      <c r="N339" s="1329"/>
      <c r="O339" s="1328"/>
    </row>
    <row r="340" spans="1:15" x14ac:dyDescent="0.25">
      <c r="A340" s="1148" t="s">
        <v>1380</v>
      </c>
      <c r="B340" s="1047" t="str">
        <f ca="1">IF('[2]Pricing Schedule'!$K$5="No",_xlfn.CONCAT(IFERROR(SUBSTITUTE(ADDRESS(1,MATCH(A340,INDIRECT("'"&amp;E340&amp;"'"&amp;"!A10:Z10"),0),4),1,""),""),15),_xlfn.CONCAT(IFERROR(SUBSTITUTE(ADDRESS(1,MATCH(A340,INDIRECT("'"&amp;E340&amp;"'"&amp;"!A10:Z10"),0),4),1,""),""),49))</f>
        <v>J15</v>
      </c>
      <c r="C340" s="1047" t="str">
        <f ca="1">IF('[2]Pricing Schedule'!$K$5="No",IFERROR(SUBSTITUTE(ADDRESS(1,MATCH(A340,INDIRECT("'"&amp;E340&amp;"'"&amp;"!A10:Z10"),0),4),1,""),""),IFERROR(SUBSTITUTE(ADDRESS(1,MATCH(A340,INDIRECT("'"&amp;E340&amp;"'"&amp;"!A10:Z10"),0),4),1,""),""))</f>
        <v>J</v>
      </c>
      <c r="D340" s="1050" t="s">
        <v>1464</v>
      </c>
      <c r="E340" s="1050" t="s">
        <v>1373</v>
      </c>
      <c r="F340" s="1328"/>
      <c r="G340" s="1328"/>
      <c r="H340" s="1328"/>
      <c r="I340" s="1328"/>
      <c r="J340" s="1328"/>
      <c r="K340" s="1328"/>
      <c r="L340" s="1113" t="s">
        <v>1380</v>
      </c>
      <c r="M340" s="1329">
        <v>309</v>
      </c>
      <c r="N340" s="1329"/>
      <c r="O340" s="1328"/>
    </row>
    <row r="341" spans="1:15" x14ac:dyDescent="0.25">
      <c r="A341" s="1148" t="s">
        <v>1381</v>
      </c>
      <c r="B341" s="1047" t="str">
        <f ca="1">IF('[2]Pricing Schedule'!$K$5="No",_xlfn.CONCAT(IFERROR(SUBSTITUTE(ADDRESS(1,MATCH(A341,INDIRECT("'"&amp;E341&amp;"'"&amp;"!A10:Z10"),0),4),1,""),""),15),_xlfn.CONCAT(IFERROR(SUBSTITUTE(ADDRESS(1,MATCH(A341,INDIRECT("'"&amp;E341&amp;"'"&amp;"!A10:Z10"),0),4),1,""),""),49))</f>
        <v>K15</v>
      </c>
      <c r="C341" s="1047" t="str">
        <f ca="1">IF('[2]Pricing Schedule'!$K$5="No",IFERROR(SUBSTITUTE(ADDRESS(1,MATCH(A341,INDIRECT("'"&amp;E341&amp;"'"&amp;"!A10:Z10"),0),4),1,""),""),IFERROR(SUBSTITUTE(ADDRESS(1,MATCH(A341,INDIRECT("'"&amp;E341&amp;"'"&amp;"!A10:Z10"),0),4),1,""),""))</f>
        <v>K</v>
      </c>
      <c r="D341" s="1050" t="s">
        <v>1464</v>
      </c>
      <c r="E341" s="1050" t="s">
        <v>1373</v>
      </c>
      <c r="F341" s="1328"/>
      <c r="G341" s="1328"/>
      <c r="H341" s="1328"/>
      <c r="I341" s="1328"/>
      <c r="J341" s="1328"/>
      <c r="K341" s="1328"/>
      <c r="L341" s="1113" t="s">
        <v>1381</v>
      </c>
      <c r="M341" s="1329">
        <v>310</v>
      </c>
      <c r="N341" s="1329"/>
      <c r="O341" s="1328"/>
    </row>
    <row r="342" spans="1:15" x14ac:dyDescent="0.25">
      <c r="A342" s="1148" t="s">
        <v>1382</v>
      </c>
      <c r="B342" s="1047" t="str">
        <f ca="1">IF('[2]Pricing Schedule'!$K$5="No",_xlfn.CONCAT(IFERROR(SUBSTITUTE(ADDRESS(1,MATCH(A342,INDIRECT("'"&amp;E342&amp;"'"&amp;"!A10:Z10"),0),4),1,""),""),15),_xlfn.CONCAT(IFERROR(SUBSTITUTE(ADDRESS(1,MATCH(A342,INDIRECT("'"&amp;E342&amp;"'"&amp;"!A10:Z10"),0),4),1,""),""),49))</f>
        <v>L15</v>
      </c>
      <c r="C342" s="1047" t="str">
        <f ca="1">IF('[2]Pricing Schedule'!$K$5="No",IFERROR(SUBSTITUTE(ADDRESS(1,MATCH(A342,INDIRECT("'"&amp;E342&amp;"'"&amp;"!A10:Z10"),0),4),1,""),""),IFERROR(SUBSTITUTE(ADDRESS(1,MATCH(A342,INDIRECT("'"&amp;E342&amp;"'"&amp;"!A10:Z10"),0),4),1,""),""))</f>
        <v>L</v>
      </c>
      <c r="D342" s="1050" t="s">
        <v>1464</v>
      </c>
      <c r="E342" s="1050" t="s">
        <v>1373</v>
      </c>
      <c r="F342" s="1328"/>
      <c r="G342" s="1328"/>
      <c r="H342" s="1328"/>
      <c r="I342" s="1328"/>
      <c r="J342" s="1328"/>
      <c r="K342" s="1328"/>
      <c r="L342" s="1113" t="s">
        <v>1382</v>
      </c>
      <c r="M342" s="1329">
        <v>311</v>
      </c>
      <c r="N342" s="1329"/>
      <c r="O342" s="1328"/>
    </row>
    <row r="343" spans="1:15" x14ac:dyDescent="0.25">
      <c r="A343" s="1148" t="s">
        <v>1320</v>
      </c>
      <c r="B343" s="1047" t="str">
        <f ca="1">IF('[2]Pricing Schedule'!$K$5="No",_xlfn.CONCAT(IFERROR(SUBSTITUTE(ADDRESS(1,MATCH(A343,INDIRECT("'"&amp;E343&amp;"'"&amp;"!A10:Z10"),0),4),1,""),""),15),_xlfn.CONCAT(IFERROR(SUBSTITUTE(ADDRESS(1,MATCH(A343,INDIRECT("'"&amp;E343&amp;"'"&amp;"!A10:Z10"),0),4),1,""),""),49))</f>
        <v>M15</v>
      </c>
      <c r="C343" s="1047" t="str">
        <f ca="1">IF('[2]Pricing Schedule'!$K$5="No",IFERROR(SUBSTITUTE(ADDRESS(1,MATCH(A343,INDIRECT("'"&amp;E343&amp;"'"&amp;"!A10:Z10"),0),4),1,""),""),IFERROR(SUBSTITUTE(ADDRESS(1,MATCH(A343,INDIRECT("'"&amp;E343&amp;"'"&amp;"!A10:Z10"),0),4),1,""),""))</f>
        <v>M</v>
      </c>
      <c r="D343" s="1050" t="s">
        <v>1464</v>
      </c>
      <c r="E343" s="1050" t="s">
        <v>1373</v>
      </c>
      <c r="F343" s="1328"/>
      <c r="G343" s="1328"/>
      <c r="H343" s="1328"/>
      <c r="I343" s="1328"/>
      <c r="J343" s="1328"/>
      <c r="K343" s="1328"/>
      <c r="L343" s="1113" t="s">
        <v>1320</v>
      </c>
      <c r="M343" s="1329">
        <v>312</v>
      </c>
      <c r="N343" s="1329"/>
      <c r="O343" s="1328"/>
    </row>
    <row r="344" spans="1:15" x14ac:dyDescent="0.25">
      <c r="A344" s="1143" t="s">
        <v>1383</v>
      </c>
      <c r="B344" s="1047" t="str">
        <f ca="1">IF('[2]Pricing Schedule'!$K$5="No",_xlfn.CONCAT(IFERROR(SUBSTITUTE(ADDRESS(1,MATCH(A344,INDIRECT("'"&amp;E344&amp;"'"&amp;"!A10:Z10"),0),4),1,""),""),17),_xlfn.CONCAT(IFERROR(SUBSTITUTE(ADDRESS(1,MATCH(A344,INDIRECT("'"&amp;E344&amp;"'"&amp;"!A10:Z10"),0),4),1,""),""),51))</f>
        <v>N17</v>
      </c>
      <c r="C344" s="1047" t="str">
        <f ca="1">IF('[2]Pricing Schedule'!$K$5="No",IFERROR(SUBSTITUTE(ADDRESS(1,MATCH(A344,INDIRECT("'"&amp;E344&amp;"'"&amp;"!A10:Z10"),0),4),1,""),""),IFERROR(SUBSTITUTE(ADDRESS(1,MATCH(A344,INDIRECT("'"&amp;E344&amp;"'"&amp;"!A10:Z10"),0),4),1,""),""))</f>
        <v>N</v>
      </c>
      <c r="D344" s="1050" t="s">
        <v>1464</v>
      </c>
      <c r="E344" s="1050" t="s">
        <v>1373</v>
      </c>
      <c r="F344" s="1328"/>
      <c r="G344" s="1328"/>
      <c r="H344" s="1328"/>
      <c r="I344" s="1328"/>
      <c r="J344" s="1328"/>
      <c r="K344" s="1328"/>
      <c r="L344" s="1113" t="s">
        <v>1383</v>
      </c>
      <c r="M344" s="1329">
        <v>313</v>
      </c>
      <c r="N344" s="1329"/>
      <c r="O344" s="1328"/>
    </row>
    <row r="345" spans="1:15" x14ac:dyDescent="0.25">
      <c r="A345" s="1144" t="s">
        <v>1374</v>
      </c>
      <c r="B345" s="1047" t="str">
        <f ca="1">IF('[2]Pricing Schedule'!$K$5="No",_xlfn.CONCAT(IFERROR(SUBSTITUTE(ADDRESS(1,MATCH(A345,INDIRECT("'"&amp;E345&amp;"'"&amp;"!A10:Z10"),0),4),1,""),""),17),_xlfn.CONCAT(IFERROR(SUBSTITUTE(ADDRESS(1,MATCH(A345,INDIRECT("'"&amp;E345&amp;"'"&amp;"!A10:Z10"),0),4),1,""),""),51))</f>
        <v>C17</v>
      </c>
      <c r="C345" s="1047" t="str">
        <f ca="1">IF('[2]Pricing Schedule'!$K$5="No",IFERROR(SUBSTITUTE(ADDRESS(1,MATCH(A345,INDIRECT("'"&amp;E345&amp;"'"&amp;"!A10:Z10"),0),4),1,""),""),IFERROR(SUBSTITUTE(ADDRESS(1,MATCH(A345,INDIRECT("'"&amp;E345&amp;"'"&amp;"!A10:Z10"),0),4),1,""),""))</f>
        <v>C</v>
      </c>
      <c r="D345" s="1050" t="s">
        <v>1464</v>
      </c>
      <c r="E345" s="1050" t="s">
        <v>1373</v>
      </c>
      <c r="F345" s="1328"/>
      <c r="G345" s="1328"/>
      <c r="H345" s="1328"/>
      <c r="I345" s="1328"/>
      <c r="J345" s="1328"/>
      <c r="K345" s="1328"/>
      <c r="L345" s="1113" t="s">
        <v>254</v>
      </c>
      <c r="M345" s="1329">
        <v>314</v>
      </c>
      <c r="N345" s="1329"/>
      <c r="O345" s="1328"/>
    </row>
    <row r="346" spans="1:15" x14ac:dyDescent="0.25">
      <c r="A346" s="1144" t="s">
        <v>1339</v>
      </c>
      <c r="B346" s="1047" t="str">
        <f ca="1">IF('[2]Pricing Schedule'!$K$5="No",_xlfn.CONCAT(IFERROR(SUBSTITUTE(ADDRESS(1,MATCH(A346,INDIRECT("'"&amp;E346&amp;"'"&amp;"!A10:Z10"),0),4),1,""),""),17),_xlfn.CONCAT(IFERROR(SUBSTITUTE(ADDRESS(1,MATCH(A346,INDIRECT("'"&amp;E346&amp;"'"&amp;"!A10:Z10"),0),4),1,""),""),51))</f>
        <v>H17</v>
      </c>
      <c r="C346" s="1047" t="str">
        <f ca="1">IF('[2]Pricing Schedule'!$K$5="No",IFERROR(SUBSTITUTE(ADDRESS(1,MATCH(A346,INDIRECT("'"&amp;E346&amp;"'"&amp;"!A10:Z10"),0),4),1,""),""),IFERROR(SUBSTITUTE(ADDRESS(1,MATCH(A346,INDIRECT("'"&amp;E346&amp;"'"&amp;"!A10:Z10"),0),4),1,""),""))</f>
        <v>H</v>
      </c>
      <c r="D346" s="1050" t="s">
        <v>1464</v>
      </c>
      <c r="E346" s="1050" t="s">
        <v>1373</v>
      </c>
      <c r="F346" s="1328"/>
      <c r="G346" s="1328"/>
      <c r="H346" s="1328"/>
      <c r="I346" s="1328"/>
      <c r="J346" s="1328"/>
      <c r="K346" s="1328"/>
      <c r="L346" s="1113" t="s">
        <v>1339</v>
      </c>
      <c r="M346" s="1329">
        <v>315</v>
      </c>
      <c r="N346" s="1329"/>
      <c r="O346" s="1328"/>
    </row>
    <row r="347" spans="1:15" x14ac:dyDescent="0.25">
      <c r="A347" s="1144" t="s">
        <v>1377</v>
      </c>
      <c r="B347" s="1047" t="str">
        <f ca="1">IF('[2]Pricing Schedule'!$K$5="No",_xlfn.CONCAT(IFERROR(SUBSTITUTE(ADDRESS(1,MATCH(A347,INDIRECT("'"&amp;E347&amp;"'"&amp;"!A10:Z10"),0),4),1,""),""),17),_xlfn.CONCAT(IFERROR(SUBSTITUTE(ADDRESS(1,MATCH(A347,INDIRECT("'"&amp;E347&amp;"'"&amp;"!A10:Z10"),0),4),1,""),""),51))</f>
        <v>F17</v>
      </c>
      <c r="C347" s="1047" t="str">
        <f ca="1">IF('[2]Pricing Schedule'!$K$5="No",IFERROR(SUBSTITUTE(ADDRESS(1,MATCH(A347,INDIRECT("'"&amp;E347&amp;"'"&amp;"!A10:Z10"),0),4),1,""),""),IFERROR(SUBSTITUTE(ADDRESS(1,MATCH(A347,INDIRECT("'"&amp;E347&amp;"'"&amp;"!A10:Z10"),0),4),1,""),""))</f>
        <v>F</v>
      </c>
      <c r="D347" s="1050" t="s">
        <v>1464</v>
      </c>
      <c r="E347" s="1050" t="s">
        <v>1373</v>
      </c>
      <c r="F347" s="1328"/>
      <c r="G347" s="1328"/>
      <c r="H347" s="1328"/>
      <c r="I347" s="1328"/>
      <c r="J347" s="1328"/>
      <c r="K347" s="1328"/>
      <c r="L347" s="1113" t="s">
        <v>225</v>
      </c>
      <c r="M347" s="1329">
        <v>316</v>
      </c>
      <c r="N347" s="1329"/>
      <c r="O347" s="132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9" t="s">
        <v>1464</v>
      </c>
      <c r="E348" s="1050" t="s">
        <v>208</v>
      </c>
      <c r="F348" s="1328"/>
      <c r="G348" s="1328"/>
      <c r="H348" s="1328"/>
      <c r="I348" s="1328"/>
      <c r="J348" s="1328"/>
      <c r="K348" s="1328"/>
      <c r="L348" s="1113" t="s">
        <v>466</v>
      </c>
      <c r="M348" s="1329">
        <v>317</v>
      </c>
      <c r="N348" s="1329"/>
      <c r="O348" s="1328"/>
    </row>
    <row r="349" spans="1:15" x14ac:dyDescent="0.25">
      <c r="A349" s="1145" t="s">
        <v>1376</v>
      </c>
      <c r="B349" s="1047" t="str">
        <f ca="1">IF('[2]Pricing Schedule'!$K$5="No",_xlfn.CONCAT(IFERROR(SUBSTITUTE(ADDRESS(1,MATCH(A349,INDIRECT("'"&amp;E349&amp;"'"&amp;"!A10:Z10"),0),4),1,""),""),17),_xlfn.CONCAT(IFERROR(SUBSTITUTE(ADDRESS(1,MATCH(A349,INDIRECT("'"&amp;E349&amp;"'"&amp;"!A10:Z10"),0),4),1,""),""),51))</f>
        <v>E17</v>
      </c>
      <c r="C349" s="1047" t="str">
        <f ca="1">IF('[2]Pricing Schedule'!$K$5="No",IFERROR(SUBSTITUTE(ADDRESS(1,MATCH(A349,INDIRECT("'"&amp;E349&amp;"'"&amp;"!A10:Z10"),0),4),1,""),""),IFERROR(SUBSTITUTE(ADDRESS(1,MATCH(A349,INDIRECT("'"&amp;E349&amp;"'"&amp;"!A10:Z10"),0),4),1,""),""))</f>
        <v>E</v>
      </c>
      <c r="D349" s="1050" t="s">
        <v>1464</v>
      </c>
      <c r="E349" s="1050" t="s">
        <v>1373</v>
      </c>
      <c r="F349" s="1328"/>
      <c r="G349" s="1328"/>
      <c r="H349" s="1328"/>
      <c r="I349" s="1328"/>
      <c r="J349" s="1328"/>
      <c r="K349" s="1328"/>
      <c r="L349" s="1113" t="s">
        <v>1376</v>
      </c>
      <c r="M349" s="1329">
        <v>318</v>
      </c>
      <c r="N349" s="1329"/>
      <c r="O349" s="1328"/>
    </row>
    <row r="350" spans="1:15" x14ac:dyDescent="0.25">
      <c r="A350" s="1145" t="s">
        <v>1378</v>
      </c>
      <c r="B350" s="1047" t="str">
        <f ca="1">IF('[2]Pricing Schedule'!$K$5="No",_xlfn.CONCAT(IFERROR(SUBSTITUTE(ADDRESS(1,MATCH(A350,INDIRECT("'"&amp;E350&amp;"'"&amp;"!A10:Z10"),0),4),1,""),""),17),_xlfn.CONCAT(IFERROR(SUBSTITUTE(ADDRESS(1,MATCH(A350,INDIRECT("'"&amp;E350&amp;"'"&amp;"!A10:Z10"),0),4),1,""),""),51))</f>
        <v>G17</v>
      </c>
      <c r="C350" s="1047" t="str">
        <f ca="1">IF('[2]Pricing Schedule'!$K$5="No",IFERROR(SUBSTITUTE(ADDRESS(1,MATCH(A350,INDIRECT("'"&amp;E350&amp;"'"&amp;"!A10:Z10"),0),4),1,""),""),IFERROR(SUBSTITUTE(ADDRESS(1,MATCH(A350,INDIRECT("'"&amp;E350&amp;"'"&amp;"!A10:Z10"),0),4),1,""),""))</f>
        <v>G</v>
      </c>
      <c r="D350" s="1050" t="s">
        <v>1464</v>
      </c>
      <c r="E350" s="1050" t="s">
        <v>1373</v>
      </c>
      <c r="F350" s="1328"/>
      <c r="G350" s="1328"/>
      <c r="H350" s="1328"/>
      <c r="I350" s="1328"/>
      <c r="J350" s="1328"/>
      <c r="K350" s="1328"/>
      <c r="L350" s="1113" t="s">
        <v>1378</v>
      </c>
      <c r="M350" s="1329">
        <v>319</v>
      </c>
      <c r="N350" s="1329"/>
      <c r="O350" s="1328"/>
    </row>
    <row r="351" spans="1:15" x14ac:dyDescent="0.25">
      <c r="A351" s="1145" t="s">
        <v>1379</v>
      </c>
      <c r="B351" s="1047" t="str">
        <f ca="1">IF('[2]Pricing Schedule'!$K$5="No",_xlfn.CONCAT(IFERROR(SUBSTITUTE(ADDRESS(1,MATCH(A351,INDIRECT("'"&amp;E351&amp;"'"&amp;"!A10:Z10"),0),4),1,""),""),17),_xlfn.CONCAT(IFERROR(SUBSTITUTE(ADDRESS(1,MATCH(A351,INDIRECT("'"&amp;E351&amp;"'"&amp;"!A10:Z10"),0),4),1,""),""),51))</f>
        <v>I17</v>
      </c>
      <c r="C351" s="1047" t="str">
        <f ca="1">IF('[2]Pricing Schedule'!$K$5="No",IFERROR(SUBSTITUTE(ADDRESS(1,MATCH(A351,INDIRECT("'"&amp;E351&amp;"'"&amp;"!A10:Z10"),0),4),1,""),""),IFERROR(SUBSTITUTE(ADDRESS(1,MATCH(A351,INDIRECT("'"&amp;E351&amp;"'"&amp;"!A10:Z10"),0),4),1,""),""))</f>
        <v>I</v>
      </c>
      <c r="D351" s="1050" t="s">
        <v>1464</v>
      </c>
      <c r="E351" s="1050" t="s">
        <v>1373</v>
      </c>
      <c r="F351" s="1328"/>
      <c r="G351" s="1328"/>
      <c r="H351" s="1328"/>
      <c r="I351" s="1328"/>
      <c r="J351" s="1328"/>
      <c r="K351" s="1328"/>
      <c r="L351" s="1113" t="s">
        <v>1379</v>
      </c>
      <c r="M351" s="1329">
        <v>320</v>
      </c>
      <c r="N351" s="1329"/>
      <c r="O351" s="1328"/>
    </row>
    <row r="352" spans="1:15" x14ac:dyDescent="0.25">
      <c r="A352" s="1145" t="s">
        <v>1380</v>
      </c>
      <c r="B352" s="1047" t="str">
        <f ca="1">IF('[2]Pricing Schedule'!$K$5="No",_xlfn.CONCAT(IFERROR(SUBSTITUTE(ADDRESS(1,MATCH(A352,INDIRECT("'"&amp;E352&amp;"'"&amp;"!A10:Z10"),0),4),1,""),""),17),_xlfn.CONCAT(IFERROR(SUBSTITUTE(ADDRESS(1,MATCH(A352,INDIRECT("'"&amp;E352&amp;"'"&amp;"!A10:Z10"),0),4),1,""),""),51))</f>
        <v>J17</v>
      </c>
      <c r="C352" s="1047" t="str">
        <f ca="1">IF('[2]Pricing Schedule'!$K$5="No",IFERROR(SUBSTITUTE(ADDRESS(1,MATCH(A352,INDIRECT("'"&amp;E352&amp;"'"&amp;"!A10:Z10"),0),4),1,""),""),IFERROR(SUBSTITUTE(ADDRESS(1,MATCH(A352,INDIRECT("'"&amp;E352&amp;"'"&amp;"!A10:Z10"),0),4),1,""),""))</f>
        <v>J</v>
      </c>
      <c r="D352" s="1050" t="s">
        <v>1464</v>
      </c>
      <c r="E352" s="1050" t="s">
        <v>1373</v>
      </c>
      <c r="F352" s="1328"/>
      <c r="G352" s="1328"/>
      <c r="H352" s="1328"/>
      <c r="I352" s="1328"/>
      <c r="J352" s="1328"/>
      <c r="K352" s="1328"/>
      <c r="L352" s="1113" t="s">
        <v>1380</v>
      </c>
      <c r="M352" s="1329">
        <v>321</v>
      </c>
      <c r="N352" s="1329"/>
      <c r="O352" s="1328"/>
    </row>
    <row r="353" spans="1:15" x14ac:dyDescent="0.25">
      <c r="A353" s="1145" t="s">
        <v>1381</v>
      </c>
      <c r="B353" s="1047" t="str">
        <f ca="1">IF('[2]Pricing Schedule'!$K$5="No",_xlfn.CONCAT(IFERROR(SUBSTITUTE(ADDRESS(1,MATCH(A353,INDIRECT("'"&amp;E353&amp;"'"&amp;"!A10:Z10"),0),4),1,""),""),17),_xlfn.CONCAT(IFERROR(SUBSTITUTE(ADDRESS(1,MATCH(A353,INDIRECT("'"&amp;E353&amp;"'"&amp;"!A10:Z10"),0),4),1,""),""),51))</f>
        <v>K17</v>
      </c>
      <c r="C353" s="1047" t="str">
        <f ca="1">IF('[2]Pricing Schedule'!$K$5="No",IFERROR(SUBSTITUTE(ADDRESS(1,MATCH(A353,INDIRECT("'"&amp;E353&amp;"'"&amp;"!A10:Z10"),0),4),1,""),""),IFERROR(SUBSTITUTE(ADDRESS(1,MATCH(A353,INDIRECT("'"&amp;E353&amp;"'"&amp;"!A10:Z10"),0),4),1,""),""))</f>
        <v>K</v>
      </c>
      <c r="D353" s="1050" t="s">
        <v>1464</v>
      </c>
      <c r="E353" s="1050" t="s">
        <v>1373</v>
      </c>
      <c r="F353" s="1328"/>
      <c r="G353" s="1328"/>
      <c r="H353" s="1328"/>
      <c r="I353" s="1328"/>
      <c r="J353" s="1328"/>
      <c r="K353" s="1328"/>
      <c r="L353" s="1113" t="s">
        <v>1381</v>
      </c>
      <c r="M353" s="1329">
        <v>322</v>
      </c>
      <c r="N353" s="1329"/>
      <c r="O353" s="1328"/>
    </row>
    <row r="354" spans="1:15" x14ac:dyDescent="0.25">
      <c r="A354" s="1145" t="s">
        <v>1382</v>
      </c>
      <c r="B354" s="1047" t="str">
        <f ca="1">IF('[2]Pricing Schedule'!$K$5="No",_xlfn.CONCAT(IFERROR(SUBSTITUTE(ADDRESS(1,MATCH(A354,INDIRECT("'"&amp;E354&amp;"'"&amp;"!A10:Z10"),0),4),1,""),""),17),_xlfn.CONCAT(IFERROR(SUBSTITUTE(ADDRESS(1,MATCH(A354,INDIRECT("'"&amp;E354&amp;"'"&amp;"!A10:Z10"),0),4),1,""),""),51))</f>
        <v>L17</v>
      </c>
      <c r="C354" s="1047" t="str">
        <f ca="1">IF('[2]Pricing Schedule'!$K$5="No",IFERROR(SUBSTITUTE(ADDRESS(1,MATCH(A354,INDIRECT("'"&amp;E354&amp;"'"&amp;"!A10:Z10"),0),4),1,""),""),IFERROR(SUBSTITUTE(ADDRESS(1,MATCH(A354,INDIRECT("'"&amp;E354&amp;"'"&amp;"!A10:Z10"),0),4),1,""),""))</f>
        <v>L</v>
      </c>
      <c r="D354" s="1050" t="s">
        <v>1464</v>
      </c>
      <c r="E354" s="1050" t="s">
        <v>1373</v>
      </c>
      <c r="F354" s="1328"/>
      <c r="G354" s="1328"/>
      <c r="H354" s="1328"/>
      <c r="I354" s="1328"/>
      <c r="J354" s="1328"/>
      <c r="K354" s="1328"/>
      <c r="L354" s="1113" t="s">
        <v>1382</v>
      </c>
      <c r="M354" s="1329">
        <v>323</v>
      </c>
      <c r="N354" s="1329"/>
      <c r="O354" s="1328"/>
    </row>
    <row r="355" spans="1:15" x14ac:dyDescent="0.25">
      <c r="A355" s="1145" t="s">
        <v>1320</v>
      </c>
      <c r="B355" s="1047" t="str">
        <f ca="1">IF('[2]Pricing Schedule'!$K$5="No",_xlfn.CONCAT(IFERROR(SUBSTITUTE(ADDRESS(1,MATCH(A355,INDIRECT("'"&amp;E355&amp;"'"&amp;"!A10:Z10"),0),4),1,""),""),17),_xlfn.CONCAT(IFERROR(SUBSTITUTE(ADDRESS(1,MATCH(A355,INDIRECT("'"&amp;E355&amp;"'"&amp;"!A10:Z10"),0),4),1,""),""),51))</f>
        <v>M17</v>
      </c>
      <c r="C355" s="1047" t="str">
        <f ca="1">IF('[2]Pricing Schedule'!$K$5="No",IFERROR(SUBSTITUTE(ADDRESS(1,MATCH(A355,INDIRECT("'"&amp;E355&amp;"'"&amp;"!A10:Z10"),0),4),1,""),""),IFERROR(SUBSTITUTE(ADDRESS(1,MATCH(A355,INDIRECT("'"&amp;E355&amp;"'"&amp;"!A10:Z10"),0),4),1,""),""))</f>
        <v>M</v>
      </c>
      <c r="D355" s="1050" t="s">
        <v>1464</v>
      </c>
      <c r="E355" s="1050" t="s">
        <v>1373</v>
      </c>
      <c r="F355" s="1328"/>
      <c r="G355" s="1328"/>
      <c r="H355" s="1328"/>
      <c r="I355" s="1328"/>
      <c r="J355" s="1328"/>
      <c r="K355" s="1328"/>
      <c r="L355" s="1113" t="s">
        <v>1320</v>
      </c>
      <c r="M355" s="1329">
        <v>324</v>
      </c>
      <c r="N355" s="1329"/>
      <c r="O355" s="1328"/>
    </row>
    <row r="356" spans="1:15" x14ac:dyDescent="0.25">
      <c r="A356" s="1146" t="s">
        <v>1383</v>
      </c>
      <c r="B356" s="1047" t="str">
        <f ca="1">IF('[2]Pricing Schedule'!$K$5="No",_xlfn.CONCAT(IFERROR(SUBSTITUTE(ADDRESS(1,MATCH(A356,INDIRECT("'"&amp;E356&amp;"'"&amp;"!A10:Z10"),0),4),1,""),""),20),_xlfn.CONCAT(IFERROR(SUBSTITUTE(ADDRESS(1,MATCH(A356,INDIRECT("'"&amp;E356&amp;"'"&amp;"!A10:Z10"),0),4),1,""),""),54))</f>
        <v>N20</v>
      </c>
      <c r="C356" s="1047" t="str">
        <f ca="1">IF('[2]Pricing Schedule'!$K$5="No",IFERROR(SUBSTITUTE(ADDRESS(1,MATCH(A356,INDIRECT("'"&amp;E356&amp;"'"&amp;"!A10:Z10"),0),4),1,""),""),IFERROR(SUBSTITUTE(ADDRESS(1,MATCH(A356,INDIRECT("'"&amp;E356&amp;"'"&amp;"!A10:Z10"),0),4),1,""),""))</f>
        <v>N</v>
      </c>
      <c r="D356" s="1050" t="s">
        <v>1464</v>
      </c>
      <c r="E356" s="1050" t="s">
        <v>1373</v>
      </c>
      <c r="F356" s="1328"/>
      <c r="G356" s="1328"/>
      <c r="H356" s="1328"/>
      <c r="I356" s="1328"/>
      <c r="J356" s="1328"/>
      <c r="K356" s="1328"/>
      <c r="L356" s="1113" t="s">
        <v>1383</v>
      </c>
      <c r="M356" s="1329">
        <v>325</v>
      </c>
      <c r="N356" s="1329"/>
      <c r="O356" s="1328"/>
    </row>
    <row r="357" spans="1:15" x14ac:dyDescent="0.25">
      <c r="A357" s="1147" t="s">
        <v>1374</v>
      </c>
      <c r="B357" s="1047" t="str">
        <f ca="1">IF('[2]Pricing Schedule'!$K$5="No",_xlfn.CONCAT(IFERROR(SUBSTITUTE(ADDRESS(1,MATCH(A357,INDIRECT("'"&amp;E357&amp;"'"&amp;"!A10:Z10"),0),4),1,""),""),20),_xlfn.CONCAT(IFERROR(SUBSTITUTE(ADDRESS(1,MATCH(A357,INDIRECT("'"&amp;E357&amp;"'"&amp;"!A10:Z10"),0),4),1,""),""),54))</f>
        <v>C20</v>
      </c>
      <c r="C357" s="1047" t="str">
        <f ca="1">IF('[2]Pricing Schedule'!$K$5="No",IFERROR(SUBSTITUTE(ADDRESS(1,MATCH(A357,INDIRECT("'"&amp;E357&amp;"'"&amp;"!A10:Z10"),0),4),1,""),""),IFERROR(SUBSTITUTE(ADDRESS(1,MATCH(A357,INDIRECT("'"&amp;E357&amp;"'"&amp;"!A10:Z10"),0),4),1,""),""))</f>
        <v>C</v>
      </c>
      <c r="D357" s="1050" t="s">
        <v>1464</v>
      </c>
      <c r="E357" s="1050" t="s">
        <v>1373</v>
      </c>
      <c r="F357" s="1328"/>
      <c r="G357" s="1328"/>
      <c r="H357" s="1328"/>
      <c r="I357" s="1328"/>
      <c r="J357" s="1328"/>
      <c r="K357" s="1328"/>
      <c r="L357" s="1113" t="s">
        <v>254</v>
      </c>
      <c r="M357" s="1329">
        <v>326</v>
      </c>
      <c r="N357" s="1329"/>
      <c r="O357" s="1328"/>
    </row>
    <row r="358" spans="1:15" x14ac:dyDescent="0.25">
      <c r="A358" s="1147" t="s">
        <v>1339</v>
      </c>
      <c r="B358" s="1047" t="str">
        <f ca="1">IF('[2]Pricing Schedule'!$K$5="No",_xlfn.CONCAT(IFERROR(SUBSTITUTE(ADDRESS(1,MATCH(A358,INDIRECT("'"&amp;E358&amp;"'"&amp;"!A10:Z10"),0),4),1,""),""),20),_xlfn.CONCAT(IFERROR(SUBSTITUTE(ADDRESS(1,MATCH(A358,INDIRECT("'"&amp;E358&amp;"'"&amp;"!A10:Z10"),0),4),1,""),""),54))</f>
        <v>H20</v>
      </c>
      <c r="C358" s="1047" t="str">
        <f ca="1">IF('[2]Pricing Schedule'!$K$5="No",IFERROR(SUBSTITUTE(ADDRESS(1,MATCH(A358,INDIRECT("'"&amp;E358&amp;"'"&amp;"!A10:Z10"),0),4),1,""),""),IFERROR(SUBSTITUTE(ADDRESS(1,MATCH(A358,INDIRECT("'"&amp;E358&amp;"'"&amp;"!A10:Z10"),0),4),1,""),""))</f>
        <v>H</v>
      </c>
      <c r="D358" s="1050" t="s">
        <v>1464</v>
      </c>
      <c r="E358" s="1050" t="s">
        <v>1373</v>
      </c>
      <c r="F358" s="1328"/>
      <c r="G358" s="1328"/>
      <c r="H358" s="1328"/>
      <c r="I358" s="1328"/>
      <c r="J358" s="1328"/>
      <c r="K358" s="1328"/>
      <c r="L358" s="1113" t="s">
        <v>1339</v>
      </c>
      <c r="M358" s="1329">
        <v>327</v>
      </c>
      <c r="N358" s="1329"/>
      <c r="O358" s="1328"/>
    </row>
    <row r="359" spans="1:15" x14ac:dyDescent="0.25">
      <c r="A359" s="1147" t="s">
        <v>1377</v>
      </c>
      <c r="B359" s="1047" t="str">
        <f ca="1">IF('[2]Pricing Schedule'!$K$5="No",_xlfn.CONCAT(IFERROR(SUBSTITUTE(ADDRESS(1,MATCH(A359,INDIRECT("'"&amp;E359&amp;"'"&amp;"!A10:Z10"),0),4),1,""),""),20),_xlfn.CONCAT(IFERROR(SUBSTITUTE(ADDRESS(1,MATCH(A359,INDIRECT("'"&amp;E359&amp;"'"&amp;"!A10:Z10"),0),4),1,""),""),54))</f>
        <v>F20</v>
      </c>
      <c r="C359" s="1047" t="str">
        <f ca="1">IF('[2]Pricing Schedule'!$K$5="No",IFERROR(SUBSTITUTE(ADDRESS(1,MATCH(A359,INDIRECT("'"&amp;E359&amp;"'"&amp;"!A10:Z10"),0),4),1,""),""),IFERROR(SUBSTITUTE(ADDRESS(1,MATCH(A359,INDIRECT("'"&amp;E359&amp;"'"&amp;"!A10:Z10"),0),4),1,""),""))</f>
        <v>F</v>
      </c>
      <c r="D359" s="1050" t="s">
        <v>1464</v>
      </c>
      <c r="E359" s="1050" t="s">
        <v>1373</v>
      </c>
      <c r="F359" s="1328"/>
      <c r="G359" s="1328"/>
      <c r="H359" s="1328"/>
      <c r="I359" s="1328"/>
      <c r="J359" s="1328"/>
      <c r="K359" s="1328"/>
      <c r="L359" s="1113" t="s">
        <v>225</v>
      </c>
      <c r="M359" s="1329">
        <v>328</v>
      </c>
      <c r="N359" s="1329"/>
      <c r="O359" s="132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9" t="s">
        <v>1464</v>
      </c>
      <c r="E360" s="1050" t="s">
        <v>208</v>
      </c>
      <c r="F360" s="1328"/>
      <c r="G360" s="1328"/>
      <c r="H360" s="1328"/>
      <c r="I360" s="1328"/>
      <c r="J360" s="1328"/>
      <c r="K360" s="1328"/>
      <c r="L360" s="1113" t="s">
        <v>466</v>
      </c>
      <c r="M360" s="1329">
        <v>329</v>
      </c>
      <c r="N360" s="1329"/>
      <c r="O360" s="1328"/>
    </row>
    <row r="361" spans="1:15" x14ac:dyDescent="0.25">
      <c r="A361" s="1148" t="s">
        <v>1376</v>
      </c>
      <c r="B361" s="1047" t="str">
        <f ca="1">IF('[2]Pricing Schedule'!$K$5="No",_xlfn.CONCAT(IFERROR(SUBSTITUTE(ADDRESS(1,MATCH(A361,INDIRECT("'"&amp;E361&amp;"'"&amp;"!A10:Z10"),0),4),1,""),""),20),_xlfn.CONCAT(IFERROR(SUBSTITUTE(ADDRESS(1,MATCH(A361,INDIRECT("'"&amp;E361&amp;"'"&amp;"!A10:Z10"),0),4),1,""),""),54))</f>
        <v>E20</v>
      </c>
      <c r="C361" s="1047" t="str">
        <f ca="1">IF('[2]Pricing Schedule'!$K$5="No",IFERROR(SUBSTITUTE(ADDRESS(1,MATCH(A361,INDIRECT("'"&amp;E361&amp;"'"&amp;"!A10:Z10"),0),4),1,""),""),IFERROR(SUBSTITUTE(ADDRESS(1,MATCH(A361,INDIRECT("'"&amp;E361&amp;"'"&amp;"!A10:Z10"),0),4),1,""),""))</f>
        <v>E</v>
      </c>
      <c r="D361" s="1050" t="s">
        <v>1464</v>
      </c>
      <c r="E361" s="1050" t="s">
        <v>1373</v>
      </c>
      <c r="F361" s="1328"/>
      <c r="G361" s="1328"/>
      <c r="H361" s="1328"/>
      <c r="I361" s="1328"/>
      <c r="J361" s="1328"/>
      <c r="K361" s="1328"/>
      <c r="L361" s="1113" t="s">
        <v>1376</v>
      </c>
      <c r="M361" s="1329">
        <v>330</v>
      </c>
      <c r="N361" s="1329"/>
      <c r="O361" s="1328"/>
    </row>
    <row r="362" spans="1:15" x14ac:dyDescent="0.25">
      <c r="A362" s="1148" t="s">
        <v>1378</v>
      </c>
      <c r="B362" s="1047" t="str">
        <f ca="1">IF('[2]Pricing Schedule'!$K$5="No",_xlfn.CONCAT(IFERROR(SUBSTITUTE(ADDRESS(1,MATCH(A362,INDIRECT("'"&amp;E362&amp;"'"&amp;"!A10:Z10"),0),4),1,""),""),20),_xlfn.CONCAT(IFERROR(SUBSTITUTE(ADDRESS(1,MATCH(A362,INDIRECT("'"&amp;E362&amp;"'"&amp;"!A10:Z10"),0),4),1,""),""),54))</f>
        <v>G20</v>
      </c>
      <c r="C362" s="1047" t="str">
        <f ca="1">IF('[2]Pricing Schedule'!$K$5="No",IFERROR(SUBSTITUTE(ADDRESS(1,MATCH(A362,INDIRECT("'"&amp;E362&amp;"'"&amp;"!A10:Z10"),0),4),1,""),""),IFERROR(SUBSTITUTE(ADDRESS(1,MATCH(A362,INDIRECT("'"&amp;E362&amp;"'"&amp;"!A10:Z10"),0),4),1,""),""))</f>
        <v>G</v>
      </c>
      <c r="D362" s="1050" t="s">
        <v>1464</v>
      </c>
      <c r="E362" s="1050" t="s">
        <v>1373</v>
      </c>
      <c r="F362" s="1328"/>
      <c r="G362" s="1328"/>
      <c r="H362" s="1328"/>
      <c r="I362" s="1328"/>
      <c r="J362" s="1328"/>
      <c r="K362" s="1328"/>
      <c r="L362" s="1113" t="s">
        <v>1378</v>
      </c>
      <c r="M362" s="1329">
        <v>331</v>
      </c>
      <c r="N362" s="1329"/>
      <c r="O362" s="1328"/>
    </row>
    <row r="363" spans="1:15" x14ac:dyDescent="0.25">
      <c r="A363" s="1148" t="s">
        <v>1379</v>
      </c>
      <c r="B363" s="1047" t="str">
        <f ca="1">IF('[2]Pricing Schedule'!$K$5="No",_xlfn.CONCAT(IFERROR(SUBSTITUTE(ADDRESS(1,MATCH(A363,INDIRECT("'"&amp;E363&amp;"'"&amp;"!A10:Z10"),0),4),1,""),""),20),_xlfn.CONCAT(IFERROR(SUBSTITUTE(ADDRESS(1,MATCH(A363,INDIRECT("'"&amp;E363&amp;"'"&amp;"!A10:Z10"),0),4),1,""),""),54))</f>
        <v>I20</v>
      </c>
      <c r="C363" s="1047" t="str">
        <f ca="1">IF('[2]Pricing Schedule'!$K$5="No",IFERROR(SUBSTITUTE(ADDRESS(1,MATCH(A363,INDIRECT("'"&amp;E363&amp;"'"&amp;"!A10:Z10"),0),4),1,""),""),IFERROR(SUBSTITUTE(ADDRESS(1,MATCH(A363,INDIRECT("'"&amp;E363&amp;"'"&amp;"!A10:Z10"),0),4),1,""),""))</f>
        <v>I</v>
      </c>
      <c r="D363" s="1050" t="s">
        <v>1464</v>
      </c>
      <c r="E363" s="1050" t="s">
        <v>1373</v>
      </c>
      <c r="F363" s="1328"/>
      <c r="G363" s="1328"/>
      <c r="H363" s="1328"/>
      <c r="I363" s="1328"/>
      <c r="J363" s="1328"/>
      <c r="K363" s="1328"/>
      <c r="L363" s="1113" t="s">
        <v>1379</v>
      </c>
      <c r="M363" s="1329">
        <v>332</v>
      </c>
      <c r="N363" s="1329"/>
      <c r="O363" s="1328"/>
    </row>
    <row r="364" spans="1:15" x14ac:dyDescent="0.25">
      <c r="A364" s="1148" t="s">
        <v>1380</v>
      </c>
      <c r="B364" s="1047" t="str">
        <f ca="1">IF('[2]Pricing Schedule'!$K$5="No",_xlfn.CONCAT(IFERROR(SUBSTITUTE(ADDRESS(1,MATCH(A364,INDIRECT("'"&amp;E364&amp;"'"&amp;"!A10:Z10"),0),4),1,""),""),20),_xlfn.CONCAT(IFERROR(SUBSTITUTE(ADDRESS(1,MATCH(A364,INDIRECT("'"&amp;E364&amp;"'"&amp;"!A10:Z10"),0),4),1,""),""),54))</f>
        <v>J20</v>
      </c>
      <c r="C364" s="1047" t="str">
        <f ca="1">IF('[2]Pricing Schedule'!$K$5="No",IFERROR(SUBSTITUTE(ADDRESS(1,MATCH(A364,INDIRECT("'"&amp;E364&amp;"'"&amp;"!A10:Z10"),0),4),1,""),""),IFERROR(SUBSTITUTE(ADDRESS(1,MATCH(A364,INDIRECT("'"&amp;E364&amp;"'"&amp;"!A10:Z10"),0),4),1,""),""))</f>
        <v>J</v>
      </c>
      <c r="D364" s="1050" t="s">
        <v>1464</v>
      </c>
      <c r="E364" s="1050" t="s">
        <v>1373</v>
      </c>
      <c r="F364" s="1328"/>
      <c r="G364" s="1328"/>
      <c r="H364" s="1328"/>
      <c r="I364" s="1328"/>
      <c r="J364" s="1328"/>
      <c r="K364" s="1328"/>
      <c r="L364" s="1113" t="s">
        <v>1380</v>
      </c>
      <c r="M364" s="1329">
        <v>333</v>
      </c>
      <c r="N364" s="1329"/>
      <c r="O364" s="1328"/>
    </row>
    <row r="365" spans="1:15" x14ac:dyDescent="0.25">
      <c r="A365" s="1148" t="s">
        <v>1381</v>
      </c>
      <c r="B365" s="1047" t="str">
        <f ca="1">IF('[2]Pricing Schedule'!$K$5="No",_xlfn.CONCAT(IFERROR(SUBSTITUTE(ADDRESS(1,MATCH(A365,INDIRECT("'"&amp;E365&amp;"'"&amp;"!A10:Z10"),0),4),1,""),""),20),_xlfn.CONCAT(IFERROR(SUBSTITUTE(ADDRESS(1,MATCH(A365,INDIRECT("'"&amp;E365&amp;"'"&amp;"!A10:Z10"),0),4),1,""),""),54))</f>
        <v>K20</v>
      </c>
      <c r="C365" s="1047" t="str">
        <f ca="1">IF('[2]Pricing Schedule'!$K$5="No",IFERROR(SUBSTITUTE(ADDRESS(1,MATCH(A365,INDIRECT("'"&amp;E365&amp;"'"&amp;"!A10:Z10"),0),4),1,""),""),IFERROR(SUBSTITUTE(ADDRESS(1,MATCH(A365,INDIRECT("'"&amp;E365&amp;"'"&amp;"!A10:Z10"),0),4),1,""),""))</f>
        <v>K</v>
      </c>
      <c r="D365" s="1050" t="s">
        <v>1464</v>
      </c>
      <c r="E365" s="1050" t="s">
        <v>1373</v>
      </c>
      <c r="F365" s="1328"/>
      <c r="G365" s="1328"/>
      <c r="H365" s="1328"/>
      <c r="I365" s="1328"/>
      <c r="J365" s="1328"/>
      <c r="K365" s="1328"/>
      <c r="L365" s="1113" t="s">
        <v>1381</v>
      </c>
      <c r="M365" s="1329">
        <v>334</v>
      </c>
      <c r="N365" s="1329"/>
      <c r="O365" s="1328"/>
    </row>
    <row r="366" spans="1:15" x14ac:dyDescent="0.25">
      <c r="A366" s="1148" t="s">
        <v>1382</v>
      </c>
      <c r="B366" s="1047" t="str">
        <f ca="1">IF('[2]Pricing Schedule'!$K$5="No",_xlfn.CONCAT(IFERROR(SUBSTITUTE(ADDRESS(1,MATCH(A366,INDIRECT("'"&amp;E366&amp;"'"&amp;"!A10:Z10"),0),4),1,""),""),20),_xlfn.CONCAT(IFERROR(SUBSTITUTE(ADDRESS(1,MATCH(A366,INDIRECT("'"&amp;E366&amp;"'"&amp;"!A10:Z10"),0),4),1,""),""),54))</f>
        <v>L20</v>
      </c>
      <c r="C366" s="1047" t="str">
        <f ca="1">IF('[2]Pricing Schedule'!$K$5="No",IFERROR(SUBSTITUTE(ADDRESS(1,MATCH(A366,INDIRECT("'"&amp;E366&amp;"'"&amp;"!A10:Z10"),0),4),1,""),""),IFERROR(SUBSTITUTE(ADDRESS(1,MATCH(A366,INDIRECT("'"&amp;E366&amp;"'"&amp;"!A10:Z10"),0),4),1,""),""))</f>
        <v>L</v>
      </c>
      <c r="D366" s="1050" t="s">
        <v>1464</v>
      </c>
      <c r="E366" s="1050" t="s">
        <v>1373</v>
      </c>
      <c r="F366" s="1328"/>
      <c r="G366" s="1328"/>
      <c r="H366" s="1328"/>
      <c r="I366" s="1328"/>
      <c r="J366" s="1328"/>
      <c r="K366" s="1328"/>
      <c r="L366" s="1113" t="s">
        <v>1382</v>
      </c>
      <c r="M366" s="1329">
        <v>335</v>
      </c>
      <c r="N366" s="1329"/>
      <c r="O366" s="1328"/>
    </row>
    <row r="367" spans="1:15" x14ac:dyDescent="0.25">
      <c r="A367" s="1148" t="s">
        <v>1320</v>
      </c>
      <c r="B367" s="1047" t="str">
        <f ca="1">IF('[2]Pricing Schedule'!$K$5="No",_xlfn.CONCAT(IFERROR(SUBSTITUTE(ADDRESS(1,MATCH(A367,INDIRECT("'"&amp;E367&amp;"'"&amp;"!A10:Z10"),0),4),1,""),""),20),_xlfn.CONCAT(IFERROR(SUBSTITUTE(ADDRESS(1,MATCH(A367,INDIRECT("'"&amp;E367&amp;"'"&amp;"!A10:Z10"),0),4),1,""),""),54))</f>
        <v>M20</v>
      </c>
      <c r="C367" s="1047" t="str">
        <f ca="1">IF('[2]Pricing Schedule'!$K$5="No",IFERROR(SUBSTITUTE(ADDRESS(1,MATCH(A367,INDIRECT("'"&amp;E367&amp;"'"&amp;"!A10:Z10"),0),4),1,""),""),IFERROR(SUBSTITUTE(ADDRESS(1,MATCH(A367,INDIRECT("'"&amp;E367&amp;"'"&amp;"!A10:Z10"),0),4),1,""),""))</f>
        <v>M</v>
      </c>
      <c r="D367" s="1050" t="s">
        <v>1464</v>
      </c>
      <c r="E367" s="1050" t="s">
        <v>1373</v>
      </c>
      <c r="F367" s="1328"/>
      <c r="G367" s="1328"/>
      <c r="H367" s="1328"/>
      <c r="I367" s="1328"/>
      <c r="J367" s="1328"/>
      <c r="K367" s="1328"/>
      <c r="L367" s="1113" t="s">
        <v>1320</v>
      </c>
      <c r="M367" s="1329">
        <v>336</v>
      </c>
      <c r="N367" s="1329"/>
      <c r="O367" s="1328"/>
    </row>
    <row r="368" spans="1:15" x14ac:dyDescent="0.25">
      <c r="A368" s="1143" t="s">
        <v>1383</v>
      </c>
      <c r="B368" s="1047" t="str">
        <f ca="1">IF('[2]Pricing Schedule'!$K$5="No",_xlfn.CONCAT(IFERROR(SUBSTITUTE(ADDRESS(1,MATCH(A368,INDIRECT("'"&amp;E368&amp;"'"&amp;"!A10:Z10"),0),4),1,""),""),19),_xlfn.CONCAT(IFERROR(SUBSTITUTE(ADDRESS(1,MATCH(A368,INDIRECT("'"&amp;E368&amp;"'"&amp;"!A10:Z10"),0),4),1,""),""),53))</f>
        <v>N19</v>
      </c>
      <c r="C368" s="1047" t="str">
        <f ca="1">IF('[2]Pricing Schedule'!$K$5="No",IFERROR(SUBSTITUTE(ADDRESS(1,MATCH(A368,INDIRECT("'"&amp;E368&amp;"'"&amp;"!A10:Z10"),0),4),1,""),""),IFERROR(SUBSTITUTE(ADDRESS(1,MATCH(A368,INDIRECT("'"&amp;E368&amp;"'"&amp;"!A10:Z10"),0),4),1,""),""))</f>
        <v>N</v>
      </c>
      <c r="D368" s="1050" t="s">
        <v>1464</v>
      </c>
      <c r="E368" s="1050" t="s">
        <v>1373</v>
      </c>
      <c r="F368" s="1328"/>
      <c r="G368" s="1328"/>
      <c r="H368" s="1328"/>
      <c r="I368" s="1328"/>
      <c r="J368" s="1328"/>
      <c r="K368" s="1328"/>
      <c r="L368" s="1113" t="s">
        <v>1383</v>
      </c>
      <c r="M368" s="1329">
        <v>337</v>
      </c>
      <c r="N368" s="1329"/>
      <c r="O368" s="1328"/>
    </row>
    <row r="369" spans="1:15" x14ac:dyDescent="0.25">
      <c r="A369" s="1144" t="s">
        <v>1374</v>
      </c>
      <c r="B369" s="1047" t="str">
        <f ca="1">IF('[2]Pricing Schedule'!$K$5="No",_xlfn.CONCAT(IFERROR(SUBSTITUTE(ADDRESS(1,MATCH(A369,INDIRECT("'"&amp;E369&amp;"'"&amp;"!A10:Z10"),0),4),1,""),""),19),_xlfn.CONCAT(IFERROR(SUBSTITUTE(ADDRESS(1,MATCH(A369,INDIRECT("'"&amp;E369&amp;"'"&amp;"!A10:Z10"),0),4),1,""),""),53))</f>
        <v>C19</v>
      </c>
      <c r="C369" s="1047" t="str">
        <f ca="1">IF('[2]Pricing Schedule'!$K$5="No",IFERROR(SUBSTITUTE(ADDRESS(1,MATCH(A369,INDIRECT("'"&amp;E369&amp;"'"&amp;"!A10:Z10"),0),4),1,""),""),IFERROR(SUBSTITUTE(ADDRESS(1,MATCH(A369,INDIRECT("'"&amp;E369&amp;"'"&amp;"!A10:Z10"),0),4),1,""),""))</f>
        <v>C</v>
      </c>
      <c r="D369" s="1050" t="s">
        <v>1464</v>
      </c>
      <c r="E369" s="1050" t="s">
        <v>1373</v>
      </c>
      <c r="F369" s="1328"/>
      <c r="G369" s="1328"/>
      <c r="H369" s="1328"/>
      <c r="I369" s="1328"/>
      <c r="J369" s="1328"/>
      <c r="K369" s="1328"/>
      <c r="L369" s="1113" t="s">
        <v>254</v>
      </c>
      <c r="M369" s="1329">
        <v>338</v>
      </c>
      <c r="N369" s="1329"/>
      <c r="O369" s="1328"/>
    </row>
    <row r="370" spans="1:15" x14ac:dyDescent="0.25">
      <c r="A370" s="1144" t="s">
        <v>1339</v>
      </c>
      <c r="B370" s="1047" t="str">
        <f ca="1">IF('[2]Pricing Schedule'!$K$5="No",_xlfn.CONCAT(IFERROR(SUBSTITUTE(ADDRESS(1,MATCH(A370,INDIRECT("'"&amp;E370&amp;"'"&amp;"!A10:Z10"),0),4),1,""),""),19),_xlfn.CONCAT(IFERROR(SUBSTITUTE(ADDRESS(1,MATCH(A370,INDIRECT("'"&amp;E370&amp;"'"&amp;"!A10:Z10"),0),4),1,""),""),53))</f>
        <v>H19</v>
      </c>
      <c r="C370" s="1047" t="str">
        <f ca="1">IF('[2]Pricing Schedule'!$K$5="No",IFERROR(SUBSTITUTE(ADDRESS(1,MATCH(A370,INDIRECT("'"&amp;E370&amp;"'"&amp;"!A10:Z10"),0),4),1,""),""),IFERROR(SUBSTITUTE(ADDRESS(1,MATCH(A370,INDIRECT("'"&amp;E370&amp;"'"&amp;"!A10:Z10"),0),4),1,""),""))</f>
        <v>H</v>
      </c>
      <c r="D370" s="1050" t="s">
        <v>1464</v>
      </c>
      <c r="E370" s="1050" t="s">
        <v>1373</v>
      </c>
      <c r="F370" s="1328"/>
      <c r="G370" s="1328"/>
      <c r="H370" s="1328"/>
      <c r="I370" s="1328"/>
      <c r="J370" s="1328"/>
      <c r="K370" s="1328"/>
      <c r="L370" s="1113" t="s">
        <v>1339</v>
      </c>
      <c r="M370" s="1329">
        <v>339</v>
      </c>
      <c r="N370" s="1329"/>
      <c r="O370" s="1328"/>
    </row>
    <row r="371" spans="1:15" x14ac:dyDescent="0.25">
      <c r="A371" s="1144" t="s">
        <v>1377</v>
      </c>
      <c r="B371" s="1047" t="str">
        <f ca="1">IF('[2]Pricing Schedule'!$K$5="No",_xlfn.CONCAT(IFERROR(SUBSTITUTE(ADDRESS(1,MATCH(A371,INDIRECT("'"&amp;E371&amp;"'"&amp;"!A10:Z10"),0),4),1,""),""),19),_xlfn.CONCAT(IFERROR(SUBSTITUTE(ADDRESS(1,MATCH(A371,INDIRECT("'"&amp;E371&amp;"'"&amp;"!A10:Z10"),0),4),1,""),""),53))</f>
        <v>F19</v>
      </c>
      <c r="C371" s="1047" t="str">
        <f ca="1">IF('[2]Pricing Schedule'!$K$5="No",IFERROR(SUBSTITUTE(ADDRESS(1,MATCH(A371,INDIRECT("'"&amp;E371&amp;"'"&amp;"!A10:Z10"),0),4),1,""),""),IFERROR(SUBSTITUTE(ADDRESS(1,MATCH(A371,INDIRECT("'"&amp;E371&amp;"'"&amp;"!A10:Z10"),0),4),1,""),""))</f>
        <v>F</v>
      </c>
      <c r="D371" s="1050" t="s">
        <v>1464</v>
      </c>
      <c r="E371" s="1050" t="s">
        <v>1373</v>
      </c>
      <c r="F371" s="1328"/>
      <c r="G371" s="1328"/>
      <c r="H371" s="1328"/>
      <c r="I371" s="1328"/>
      <c r="J371" s="1328"/>
      <c r="K371" s="1328"/>
      <c r="L371" s="1113" t="s">
        <v>225</v>
      </c>
      <c r="M371" s="1329">
        <v>340</v>
      </c>
      <c r="N371" s="1329"/>
      <c r="O371" s="132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9" t="s">
        <v>1464</v>
      </c>
      <c r="E372" s="1050" t="s">
        <v>208</v>
      </c>
      <c r="F372" s="1328"/>
      <c r="G372" s="1328"/>
      <c r="H372" s="1328"/>
      <c r="I372" s="1328"/>
      <c r="J372" s="1328"/>
      <c r="K372" s="1328"/>
      <c r="L372" s="1113" t="s">
        <v>466</v>
      </c>
      <c r="M372" s="1329">
        <v>341</v>
      </c>
      <c r="N372" s="1329"/>
      <c r="O372" s="1328"/>
    </row>
    <row r="373" spans="1:15" x14ac:dyDescent="0.25">
      <c r="A373" s="1145" t="s">
        <v>1376</v>
      </c>
      <c r="B373" s="1047" t="str">
        <f ca="1">IF('[2]Pricing Schedule'!$K$5="No",_xlfn.CONCAT(IFERROR(SUBSTITUTE(ADDRESS(1,MATCH(A373,INDIRECT("'"&amp;E373&amp;"'"&amp;"!A10:Z10"),0),4),1,""),""),19),_xlfn.CONCAT(IFERROR(SUBSTITUTE(ADDRESS(1,MATCH(A373,INDIRECT("'"&amp;E373&amp;"'"&amp;"!A10:Z10"),0),4),1,""),""),53))</f>
        <v>E19</v>
      </c>
      <c r="C373" s="1047" t="str">
        <f ca="1">IF('[2]Pricing Schedule'!$K$5="No",IFERROR(SUBSTITUTE(ADDRESS(1,MATCH(A373,INDIRECT("'"&amp;E373&amp;"'"&amp;"!A10:Z10"),0),4),1,""),""),IFERROR(SUBSTITUTE(ADDRESS(1,MATCH(A373,INDIRECT("'"&amp;E373&amp;"'"&amp;"!A10:Z10"),0),4),1,""),""))</f>
        <v>E</v>
      </c>
      <c r="D373" s="1050" t="s">
        <v>1464</v>
      </c>
      <c r="E373" s="1050" t="s">
        <v>1373</v>
      </c>
      <c r="F373" s="1328"/>
      <c r="G373" s="1328"/>
      <c r="H373" s="1328"/>
      <c r="I373" s="1328"/>
      <c r="J373" s="1328"/>
      <c r="K373" s="1328"/>
      <c r="L373" s="1113" t="s">
        <v>1376</v>
      </c>
      <c r="M373" s="1329">
        <v>342</v>
      </c>
      <c r="N373" s="1329"/>
      <c r="O373" s="1328"/>
    </row>
    <row r="374" spans="1:15" x14ac:dyDescent="0.25">
      <c r="A374" s="1145" t="s">
        <v>1378</v>
      </c>
      <c r="B374" s="1047" t="str">
        <f ca="1">IF('[2]Pricing Schedule'!$K$5="No",_xlfn.CONCAT(IFERROR(SUBSTITUTE(ADDRESS(1,MATCH(A374,INDIRECT("'"&amp;E374&amp;"'"&amp;"!A10:Z10"),0),4),1,""),""),19),_xlfn.CONCAT(IFERROR(SUBSTITUTE(ADDRESS(1,MATCH(A374,INDIRECT("'"&amp;E374&amp;"'"&amp;"!A10:Z10"),0),4),1,""),""),53))</f>
        <v>G19</v>
      </c>
      <c r="C374" s="1047" t="str">
        <f ca="1">IF('[2]Pricing Schedule'!$K$5="No",IFERROR(SUBSTITUTE(ADDRESS(1,MATCH(A374,INDIRECT("'"&amp;E374&amp;"'"&amp;"!A10:Z10"),0),4),1,""),""),IFERROR(SUBSTITUTE(ADDRESS(1,MATCH(A374,INDIRECT("'"&amp;E374&amp;"'"&amp;"!A10:Z10"),0),4),1,""),""))</f>
        <v>G</v>
      </c>
      <c r="D374" s="1050" t="s">
        <v>1464</v>
      </c>
      <c r="E374" s="1050" t="s">
        <v>1373</v>
      </c>
      <c r="F374" s="1328"/>
      <c r="G374" s="1328"/>
      <c r="H374" s="1328"/>
      <c r="I374" s="1328"/>
      <c r="J374" s="1328"/>
      <c r="K374" s="1328"/>
      <c r="L374" s="1113" t="s">
        <v>1378</v>
      </c>
      <c r="M374" s="1329">
        <v>343</v>
      </c>
      <c r="N374" s="1329"/>
      <c r="O374" s="1328"/>
    </row>
    <row r="375" spans="1:15" x14ac:dyDescent="0.25">
      <c r="A375" s="1145" t="s">
        <v>1379</v>
      </c>
      <c r="B375" s="1047" t="str">
        <f ca="1">IF('[2]Pricing Schedule'!$K$5="No",_xlfn.CONCAT(IFERROR(SUBSTITUTE(ADDRESS(1,MATCH(A375,INDIRECT("'"&amp;E375&amp;"'"&amp;"!A10:Z10"),0),4),1,""),""),19),_xlfn.CONCAT(IFERROR(SUBSTITUTE(ADDRESS(1,MATCH(A375,INDIRECT("'"&amp;E375&amp;"'"&amp;"!A10:Z10"),0),4),1,""),""),53))</f>
        <v>I19</v>
      </c>
      <c r="C375" s="1047" t="str">
        <f ca="1">IF('[2]Pricing Schedule'!$K$5="No",IFERROR(SUBSTITUTE(ADDRESS(1,MATCH(A375,INDIRECT("'"&amp;E375&amp;"'"&amp;"!A10:Z10"),0),4),1,""),""),IFERROR(SUBSTITUTE(ADDRESS(1,MATCH(A375,INDIRECT("'"&amp;E375&amp;"'"&amp;"!A10:Z10"),0),4),1,""),""))</f>
        <v>I</v>
      </c>
      <c r="D375" s="1050" t="s">
        <v>1464</v>
      </c>
      <c r="E375" s="1050" t="s">
        <v>1373</v>
      </c>
      <c r="F375" s="1328"/>
      <c r="G375" s="1328"/>
      <c r="H375" s="1328"/>
      <c r="I375" s="1328"/>
      <c r="J375" s="1328"/>
      <c r="K375" s="1328"/>
      <c r="L375" s="1113" t="s">
        <v>1379</v>
      </c>
      <c r="M375" s="1329">
        <v>344</v>
      </c>
      <c r="N375" s="1329"/>
      <c r="O375" s="1328"/>
    </row>
    <row r="376" spans="1:15" x14ac:dyDescent="0.25">
      <c r="A376" s="1145" t="s">
        <v>1380</v>
      </c>
      <c r="B376" s="1047" t="str">
        <f ca="1">IF('[2]Pricing Schedule'!$K$5="No",_xlfn.CONCAT(IFERROR(SUBSTITUTE(ADDRESS(1,MATCH(A376,INDIRECT("'"&amp;E376&amp;"'"&amp;"!A10:Z10"),0),4),1,""),""),19),_xlfn.CONCAT(IFERROR(SUBSTITUTE(ADDRESS(1,MATCH(A376,INDIRECT("'"&amp;E376&amp;"'"&amp;"!A10:Z10"),0),4),1,""),""),53))</f>
        <v>J19</v>
      </c>
      <c r="C376" s="1047" t="str">
        <f ca="1">IF('[2]Pricing Schedule'!$K$5="No",IFERROR(SUBSTITUTE(ADDRESS(1,MATCH(A376,INDIRECT("'"&amp;E376&amp;"'"&amp;"!A10:Z10"),0),4),1,""),""),IFERROR(SUBSTITUTE(ADDRESS(1,MATCH(A376,INDIRECT("'"&amp;E376&amp;"'"&amp;"!A10:Z10"),0),4),1,""),""))</f>
        <v>J</v>
      </c>
      <c r="D376" s="1050" t="s">
        <v>1464</v>
      </c>
      <c r="E376" s="1050" t="s">
        <v>1373</v>
      </c>
      <c r="F376" s="1328"/>
      <c r="G376" s="1328"/>
      <c r="H376" s="1328"/>
      <c r="I376" s="1328"/>
      <c r="J376" s="1328"/>
      <c r="K376" s="1328"/>
      <c r="L376" s="1113" t="s">
        <v>1380</v>
      </c>
      <c r="M376" s="1329">
        <v>345</v>
      </c>
      <c r="N376" s="1329"/>
      <c r="O376" s="1328"/>
    </row>
    <row r="377" spans="1:15" x14ac:dyDescent="0.25">
      <c r="A377" s="1145" t="s">
        <v>1381</v>
      </c>
      <c r="B377" s="1047" t="str">
        <f ca="1">IF('[2]Pricing Schedule'!$K$5="No",_xlfn.CONCAT(IFERROR(SUBSTITUTE(ADDRESS(1,MATCH(A377,INDIRECT("'"&amp;E377&amp;"'"&amp;"!A10:Z10"),0),4),1,""),""),19),_xlfn.CONCAT(IFERROR(SUBSTITUTE(ADDRESS(1,MATCH(A377,INDIRECT("'"&amp;E377&amp;"'"&amp;"!A10:Z10"),0),4),1,""),""),53))</f>
        <v>K19</v>
      </c>
      <c r="C377" s="1047" t="str">
        <f ca="1">IF('[2]Pricing Schedule'!$K$5="No",IFERROR(SUBSTITUTE(ADDRESS(1,MATCH(A377,INDIRECT("'"&amp;E377&amp;"'"&amp;"!A10:Z10"),0),4),1,""),""),IFERROR(SUBSTITUTE(ADDRESS(1,MATCH(A377,INDIRECT("'"&amp;E377&amp;"'"&amp;"!A10:Z10"),0),4),1,""),""))</f>
        <v>K</v>
      </c>
      <c r="D377" s="1050" t="s">
        <v>1464</v>
      </c>
      <c r="E377" s="1050" t="s">
        <v>1373</v>
      </c>
      <c r="F377" s="1328"/>
      <c r="G377" s="1328"/>
      <c r="H377" s="1328"/>
      <c r="I377" s="1328"/>
      <c r="J377" s="1328"/>
      <c r="K377" s="1328"/>
      <c r="L377" s="1113" t="s">
        <v>1381</v>
      </c>
      <c r="M377" s="1329">
        <v>346</v>
      </c>
      <c r="N377" s="1329"/>
      <c r="O377" s="1328"/>
    </row>
    <row r="378" spans="1:15" x14ac:dyDescent="0.25">
      <c r="A378" s="1145" t="s">
        <v>1382</v>
      </c>
      <c r="B378" s="1047" t="str">
        <f ca="1">IF('[2]Pricing Schedule'!$K$5="No",_xlfn.CONCAT(IFERROR(SUBSTITUTE(ADDRESS(1,MATCH(A378,INDIRECT("'"&amp;E378&amp;"'"&amp;"!A10:Z10"),0),4),1,""),""),19),_xlfn.CONCAT(IFERROR(SUBSTITUTE(ADDRESS(1,MATCH(A378,INDIRECT("'"&amp;E378&amp;"'"&amp;"!A10:Z10"),0),4),1,""),""),53))</f>
        <v>L19</v>
      </c>
      <c r="C378" s="1047" t="str">
        <f ca="1">IF('[2]Pricing Schedule'!$K$5="No",IFERROR(SUBSTITUTE(ADDRESS(1,MATCH(A378,INDIRECT("'"&amp;E378&amp;"'"&amp;"!A10:Z10"),0),4),1,""),""),IFERROR(SUBSTITUTE(ADDRESS(1,MATCH(A378,INDIRECT("'"&amp;E378&amp;"'"&amp;"!A10:Z10"),0),4),1,""),""))</f>
        <v>L</v>
      </c>
      <c r="D378" s="1050" t="s">
        <v>1464</v>
      </c>
      <c r="E378" s="1050" t="s">
        <v>1373</v>
      </c>
      <c r="F378" s="1328"/>
      <c r="G378" s="1328"/>
      <c r="H378" s="1328"/>
      <c r="I378" s="1328"/>
      <c r="J378" s="1328"/>
      <c r="K378" s="1328"/>
      <c r="L378" s="1113" t="s">
        <v>1382</v>
      </c>
      <c r="M378" s="1329">
        <v>347</v>
      </c>
      <c r="N378" s="1329"/>
      <c r="O378" s="1328"/>
    </row>
    <row r="379" spans="1:15" x14ac:dyDescent="0.25">
      <c r="A379" s="1145" t="s">
        <v>1320</v>
      </c>
      <c r="B379" s="1047" t="str">
        <f ca="1">IF('[2]Pricing Schedule'!$K$5="No",_xlfn.CONCAT(IFERROR(SUBSTITUTE(ADDRESS(1,MATCH(A379,INDIRECT("'"&amp;E379&amp;"'"&amp;"!A10:Z10"),0),4),1,""),""),19),_xlfn.CONCAT(IFERROR(SUBSTITUTE(ADDRESS(1,MATCH(A379,INDIRECT("'"&amp;E379&amp;"'"&amp;"!A10:Z10"),0),4),1,""),""),53))</f>
        <v>M19</v>
      </c>
      <c r="C379" s="1047" t="str">
        <f ca="1">IF('[2]Pricing Schedule'!$K$5="No",IFERROR(SUBSTITUTE(ADDRESS(1,MATCH(A379,INDIRECT("'"&amp;E379&amp;"'"&amp;"!A10:Z10"),0),4),1,""),""),IFERROR(SUBSTITUTE(ADDRESS(1,MATCH(A379,INDIRECT("'"&amp;E379&amp;"'"&amp;"!A10:Z10"),0),4),1,""),""))</f>
        <v>M</v>
      </c>
      <c r="D379" s="1050" t="s">
        <v>1464</v>
      </c>
      <c r="E379" s="1050" t="s">
        <v>1373</v>
      </c>
      <c r="F379" s="1328"/>
      <c r="G379" s="1328"/>
      <c r="H379" s="1328"/>
      <c r="I379" s="1328"/>
      <c r="J379" s="1328"/>
      <c r="K379" s="1328"/>
      <c r="L379" s="1113" t="s">
        <v>1320</v>
      </c>
      <c r="M379" s="1329">
        <v>348</v>
      </c>
      <c r="N379" s="1329"/>
      <c r="O379" s="1328"/>
    </row>
    <row r="380" spans="1:15" x14ac:dyDescent="0.25">
      <c r="A380" s="1146" t="s">
        <v>1383</v>
      </c>
      <c r="B380" s="1047" t="str">
        <f ca="1">IF('[2]Pricing Schedule'!$K$5="No",_xlfn.CONCAT(IFERROR(SUBSTITUTE(ADDRESS(1,MATCH(A380,INDIRECT("'"&amp;E380&amp;"'"&amp;"!A10:Z10"),0),4),1,""),""),13),_xlfn.CONCAT(IFERROR(SUBSTITUTE(ADDRESS(1,MATCH(A380,INDIRECT("'"&amp;E380&amp;"'"&amp;"!A10:Z10"),0),4),1,""),""),47))</f>
        <v>N13</v>
      </c>
      <c r="C380" s="1047" t="str">
        <f ca="1">IF('[2]Pricing Schedule'!$K$5="No",IFERROR(SUBSTITUTE(ADDRESS(1,MATCH(A380,INDIRECT("'"&amp;E380&amp;"'"&amp;"!A10:Z10"),0),4),1,""),""),IFERROR(SUBSTITUTE(ADDRESS(1,MATCH(A380,INDIRECT("'"&amp;E380&amp;"'"&amp;"!A10:Z10"),0),4),1,""),""))</f>
        <v>N</v>
      </c>
      <c r="D380" s="1050" t="s">
        <v>1464</v>
      </c>
      <c r="E380" s="1050" t="s">
        <v>1373</v>
      </c>
      <c r="F380" s="1328"/>
      <c r="G380" s="1328"/>
      <c r="H380" s="1328"/>
      <c r="I380" s="1328"/>
      <c r="J380" s="1328"/>
      <c r="K380" s="1328"/>
      <c r="L380" s="1113" t="s">
        <v>1383</v>
      </c>
      <c r="M380" s="1329">
        <v>349</v>
      </c>
      <c r="N380" s="1329"/>
      <c r="O380" s="1328"/>
    </row>
    <row r="381" spans="1:15" x14ac:dyDescent="0.25">
      <c r="A381" s="1147" t="s">
        <v>1374</v>
      </c>
      <c r="B381" s="1047" t="str">
        <f ca="1">IF('[2]Pricing Schedule'!$K$5="No",_xlfn.CONCAT(IFERROR(SUBSTITUTE(ADDRESS(1,MATCH(A381,INDIRECT("'"&amp;E381&amp;"'"&amp;"!A10:Z10"),0),4),1,""),""),13),_xlfn.CONCAT(IFERROR(SUBSTITUTE(ADDRESS(1,MATCH(A381,INDIRECT("'"&amp;E381&amp;"'"&amp;"!A10:Z10"),0),4),1,""),""),47))</f>
        <v>C13</v>
      </c>
      <c r="C381" s="1047" t="str">
        <f ca="1">IF('[2]Pricing Schedule'!$K$5="No",IFERROR(SUBSTITUTE(ADDRESS(1,MATCH(A381,INDIRECT("'"&amp;E381&amp;"'"&amp;"!A10:Z10"),0),4),1,""),""),IFERROR(SUBSTITUTE(ADDRESS(1,MATCH(A381,INDIRECT("'"&amp;E381&amp;"'"&amp;"!A10:Z10"),0),4),1,""),""))</f>
        <v>C</v>
      </c>
      <c r="D381" s="1050" t="s">
        <v>1464</v>
      </c>
      <c r="E381" s="1050" t="s">
        <v>1373</v>
      </c>
      <c r="F381" s="1328"/>
      <c r="G381" s="1328"/>
      <c r="H381" s="1328"/>
      <c r="I381" s="1328"/>
      <c r="J381" s="1328"/>
      <c r="K381" s="1328"/>
      <c r="L381" s="1113" t="s">
        <v>254</v>
      </c>
      <c r="M381" s="1329">
        <v>350</v>
      </c>
      <c r="N381" s="1329"/>
      <c r="O381" s="1328"/>
    </row>
    <row r="382" spans="1:15" x14ac:dyDescent="0.25">
      <c r="A382" s="1147" t="s">
        <v>1339</v>
      </c>
      <c r="B382" s="1047" t="str">
        <f ca="1">IF('[2]Pricing Schedule'!$K$5="No",_xlfn.CONCAT(IFERROR(SUBSTITUTE(ADDRESS(1,MATCH(A382,INDIRECT("'"&amp;E382&amp;"'"&amp;"!A10:Z10"),0),4),1,""),""),13),_xlfn.CONCAT(IFERROR(SUBSTITUTE(ADDRESS(1,MATCH(A382,INDIRECT("'"&amp;E382&amp;"'"&amp;"!A10:Z10"),0),4),1,""),""),47))</f>
        <v>H13</v>
      </c>
      <c r="C382" s="1047" t="str">
        <f ca="1">IF('[2]Pricing Schedule'!$K$5="No",IFERROR(SUBSTITUTE(ADDRESS(1,MATCH(A382,INDIRECT("'"&amp;E382&amp;"'"&amp;"!A10:Z10"),0),4),1,""),""),IFERROR(SUBSTITUTE(ADDRESS(1,MATCH(A382,INDIRECT("'"&amp;E382&amp;"'"&amp;"!A10:Z10"),0),4),1,""),""))</f>
        <v>H</v>
      </c>
      <c r="D382" s="1050" t="s">
        <v>1464</v>
      </c>
      <c r="E382" s="1050" t="s">
        <v>1373</v>
      </c>
      <c r="F382" s="1328"/>
      <c r="G382" s="1328"/>
      <c r="H382" s="1328"/>
      <c r="I382" s="1328"/>
      <c r="J382" s="1328"/>
      <c r="K382" s="1328"/>
      <c r="L382" s="1113" t="s">
        <v>1339</v>
      </c>
      <c r="M382" s="1329">
        <v>351</v>
      </c>
      <c r="N382" s="1329"/>
      <c r="O382" s="1328"/>
    </row>
    <row r="383" spans="1:15" x14ac:dyDescent="0.25">
      <c r="A383" s="1147" t="s">
        <v>1377</v>
      </c>
      <c r="B383" s="1047" t="str">
        <f ca="1">IF('[2]Pricing Schedule'!$K$5="No",_xlfn.CONCAT(IFERROR(SUBSTITUTE(ADDRESS(1,MATCH(A383,INDIRECT("'"&amp;E383&amp;"'"&amp;"!A10:Z10"),0),4),1,""),""),13),_xlfn.CONCAT(IFERROR(SUBSTITUTE(ADDRESS(1,MATCH(A383,INDIRECT("'"&amp;E383&amp;"'"&amp;"!A10:Z10"),0),4),1,""),""),47))</f>
        <v>F13</v>
      </c>
      <c r="C383" s="1047" t="str">
        <f ca="1">IF('[2]Pricing Schedule'!$K$5="No",IFERROR(SUBSTITUTE(ADDRESS(1,MATCH(A383,INDIRECT("'"&amp;E383&amp;"'"&amp;"!A10:Z10"),0),4),1,""),""),IFERROR(SUBSTITUTE(ADDRESS(1,MATCH(A383,INDIRECT("'"&amp;E383&amp;"'"&amp;"!A10:Z10"),0),4),1,""),""))</f>
        <v>F</v>
      </c>
      <c r="D383" s="1050" t="s">
        <v>1464</v>
      </c>
      <c r="E383" s="1050" t="s">
        <v>1373</v>
      </c>
      <c r="F383" s="1328"/>
      <c r="G383" s="1328"/>
      <c r="H383" s="1328"/>
      <c r="I383" s="1328"/>
      <c r="J383" s="1328"/>
      <c r="K383" s="1328"/>
      <c r="L383" s="1113" t="s">
        <v>225</v>
      </c>
      <c r="M383" s="1329">
        <v>352</v>
      </c>
      <c r="N383" s="1329"/>
      <c r="O383" s="132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9" t="s">
        <v>1464</v>
      </c>
      <c r="E384" s="1050" t="s">
        <v>208</v>
      </c>
      <c r="F384" s="1328"/>
      <c r="G384" s="1328"/>
      <c r="H384" s="1328"/>
      <c r="I384" s="1328"/>
      <c r="J384" s="1328"/>
      <c r="K384" s="1328"/>
      <c r="L384" s="1113" t="s">
        <v>466</v>
      </c>
      <c r="M384" s="1329">
        <v>353</v>
      </c>
      <c r="N384" s="1329"/>
      <c r="O384" s="1328"/>
    </row>
    <row r="385" spans="1:15" x14ac:dyDescent="0.25">
      <c r="A385" s="1148" t="s">
        <v>1376</v>
      </c>
      <c r="B385" s="1047" t="str">
        <f ca="1">IF('[2]Pricing Schedule'!$K$5="No",_xlfn.CONCAT(IFERROR(SUBSTITUTE(ADDRESS(1,MATCH(A385,INDIRECT("'"&amp;E385&amp;"'"&amp;"!A10:Z10"),0),4),1,""),""),13),_xlfn.CONCAT(IFERROR(SUBSTITUTE(ADDRESS(1,MATCH(A385,INDIRECT("'"&amp;E385&amp;"'"&amp;"!A10:Z10"),0),4),1,""),""),47))</f>
        <v>E13</v>
      </c>
      <c r="C385" s="1047" t="str">
        <f ca="1">IF('[2]Pricing Schedule'!$K$5="No",IFERROR(SUBSTITUTE(ADDRESS(1,MATCH(A385,INDIRECT("'"&amp;E385&amp;"'"&amp;"!A10:Z10"),0),4),1,""),""),IFERROR(SUBSTITUTE(ADDRESS(1,MATCH(A385,INDIRECT("'"&amp;E385&amp;"'"&amp;"!A10:Z10"),0),4),1,""),""))</f>
        <v>E</v>
      </c>
      <c r="D385" s="1050" t="s">
        <v>1464</v>
      </c>
      <c r="E385" s="1050" t="s">
        <v>1373</v>
      </c>
      <c r="F385" s="1328"/>
      <c r="G385" s="1328"/>
      <c r="H385" s="1328"/>
      <c r="I385" s="1328"/>
      <c r="J385" s="1328"/>
      <c r="K385" s="1328"/>
      <c r="L385" s="1113" t="s">
        <v>1376</v>
      </c>
      <c r="M385" s="1329">
        <v>354</v>
      </c>
      <c r="N385" s="1329"/>
      <c r="O385" s="1328"/>
    </row>
    <row r="386" spans="1:15" x14ac:dyDescent="0.25">
      <c r="A386" s="1148" t="s">
        <v>1378</v>
      </c>
      <c r="B386" s="1047" t="str">
        <f ca="1">IF('[2]Pricing Schedule'!$K$5="No",_xlfn.CONCAT(IFERROR(SUBSTITUTE(ADDRESS(1,MATCH(A386,INDIRECT("'"&amp;E386&amp;"'"&amp;"!A10:Z10"),0),4),1,""),""),13),_xlfn.CONCAT(IFERROR(SUBSTITUTE(ADDRESS(1,MATCH(A386,INDIRECT("'"&amp;E386&amp;"'"&amp;"!A10:Z10"),0),4),1,""),""),47))</f>
        <v>G13</v>
      </c>
      <c r="C386" s="1047" t="str">
        <f ca="1">IF('[2]Pricing Schedule'!$K$5="No",IFERROR(SUBSTITUTE(ADDRESS(1,MATCH(A386,INDIRECT("'"&amp;E386&amp;"'"&amp;"!A10:Z10"),0),4),1,""),""),IFERROR(SUBSTITUTE(ADDRESS(1,MATCH(A386,INDIRECT("'"&amp;E386&amp;"'"&amp;"!A10:Z10"),0),4),1,""),""))</f>
        <v>G</v>
      </c>
      <c r="D386" s="1050" t="s">
        <v>1464</v>
      </c>
      <c r="E386" s="1050" t="s">
        <v>1373</v>
      </c>
      <c r="F386" s="1328"/>
      <c r="G386" s="1328"/>
      <c r="H386" s="1328"/>
      <c r="I386" s="1328"/>
      <c r="J386" s="1328"/>
      <c r="K386" s="1328"/>
      <c r="L386" s="1113" t="s">
        <v>1378</v>
      </c>
      <c r="M386" s="1329">
        <v>355</v>
      </c>
      <c r="N386" s="1329"/>
      <c r="O386" s="1328"/>
    </row>
    <row r="387" spans="1:15" x14ac:dyDescent="0.25">
      <c r="A387" s="1148" t="s">
        <v>1379</v>
      </c>
      <c r="B387" s="1047" t="str">
        <f ca="1">IF('[2]Pricing Schedule'!$K$5="No",_xlfn.CONCAT(IFERROR(SUBSTITUTE(ADDRESS(1,MATCH(A387,INDIRECT("'"&amp;E387&amp;"'"&amp;"!A10:Z10"),0),4),1,""),""),13),_xlfn.CONCAT(IFERROR(SUBSTITUTE(ADDRESS(1,MATCH(A387,INDIRECT("'"&amp;E387&amp;"'"&amp;"!A10:Z10"),0),4),1,""),""),47))</f>
        <v>I13</v>
      </c>
      <c r="C387" s="1047" t="str">
        <f ca="1">IF('[2]Pricing Schedule'!$K$5="No",IFERROR(SUBSTITUTE(ADDRESS(1,MATCH(A387,INDIRECT("'"&amp;E387&amp;"'"&amp;"!A10:Z10"),0),4),1,""),""),IFERROR(SUBSTITUTE(ADDRESS(1,MATCH(A387,INDIRECT("'"&amp;E387&amp;"'"&amp;"!A10:Z10"),0),4),1,""),""))</f>
        <v>I</v>
      </c>
      <c r="D387" s="1050" t="s">
        <v>1464</v>
      </c>
      <c r="E387" s="1050" t="s">
        <v>1373</v>
      </c>
      <c r="F387" s="1328"/>
      <c r="G387" s="1328"/>
      <c r="H387" s="1328"/>
      <c r="I387" s="1328"/>
      <c r="J387" s="1328"/>
      <c r="K387" s="1328"/>
      <c r="L387" s="1113" t="s">
        <v>1379</v>
      </c>
      <c r="M387" s="1329">
        <v>356</v>
      </c>
      <c r="N387" s="1329"/>
      <c r="O387" s="1328"/>
    </row>
    <row r="388" spans="1:15" x14ac:dyDescent="0.25">
      <c r="A388" s="1148" t="s">
        <v>1380</v>
      </c>
      <c r="B388" s="1047" t="str">
        <f ca="1">IF('[2]Pricing Schedule'!$K$5="No",_xlfn.CONCAT(IFERROR(SUBSTITUTE(ADDRESS(1,MATCH(A388,INDIRECT("'"&amp;E388&amp;"'"&amp;"!A10:Z10"),0),4),1,""),""),13),_xlfn.CONCAT(IFERROR(SUBSTITUTE(ADDRESS(1,MATCH(A388,INDIRECT("'"&amp;E388&amp;"'"&amp;"!A10:Z10"),0),4),1,""),""),47))</f>
        <v>J13</v>
      </c>
      <c r="C388" s="1047" t="str">
        <f ca="1">IF('[2]Pricing Schedule'!$K$5="No",IFERROR(SUBSTITUTE(ADDRESS(1,MATCH(A388,INDIRECT("'"&amp;E388&amp;"'"&amp;"!A10:Z10"),0),4),1,""),""),IFERROR(SUBSTITUTE(ADDRESS(1,MATCH(A388,INDIRECT("'"&amp;E388&amp;"'"&amp;"!A10:Z10"),0),4),1,""),""))</f>
        <v>J</v>
      </c>
      <c r="D388" s="1050" t="s">
        <v>1464</v>
      </c>
      <c r="E388" s="1050" t="s">
        <v>1373</v>
      </c>
      <c r="F388" s="1328"/>
      <c r="G388" s="1328"/>
      <c r="H388" s="1328"/>
      <c r="I388" s="1328"/>
      <c r="J388" s="1328"/>
      <c r="K388" s="1328"/>
      <c r="L388" s="1113" t="s">
        <v>1380</v>
      </c>
      <c r="M388" s="1329">
        <v>357</v>
      </c>
      <c r="N388" s="1329"/>
      <c r="O388" s="1328"/>
    </row>
    <row r="389" spans="1:15" x14ac:dyDescent="0.25">
      <c r="A389" s="1148" t="s">
        <v>1381</v>
      </c>
      <c r="B389" s="1047" t="str">
        <f ca="1">IF('[2]Pricing Schedule'!$K$5="No",_xlfn.CONCAT(IFERROR(SUBSTITUTE(ADDRESS(1,MATCH(A389,INDIRECT("'"&amp;E389&amp;"'"&amp;"!A10:Z10"),0),4),1,""),""),13),_xlfn.CONCAT(IFERROR(SUBSTITUTE(ADDRESS(1,MATCH(A389,INDIRECT("'"&amp;E389&amp;"'"&amp;"!A10:Z10"),0),4),1,""),""),47))</f>
        <v>K13</v>
      </c>
      <c r="C389" s="1047" t="str">
        <f ca="1">IF('[2]Pricing Schedule'!$K$5="No",IFERROR(SUBSTITUTE(ADDRESS(1,MATCH(A389,INDIRECT("'"&amp;E389&amp;"'"&amp;"!A10:Z10"),0),4),1,""),""),IFERROR(SUBSTITUTE(ADDRESS(1,MATCH(A389,INDIRECT("'"&amp;E389&amp;"'"&amp;"!A10:Z10"),0),4),1,""),""))</f>
        <v>K</v>
      </c>
      <c r="D389" s="1050" t="s">
        <v>1464</v>
      </c>
      <c r="E389" s="1050" t="s">
        <v>1373</v>
      </c>
      <c r="F389" s="1328"/>
      <c r="G389" s="1328"/>
      <c r="H389" s="1328"/>
      <c r="I389" s="1328"/>
      <c r="J389" s="1328"/>
      <c r="K389" s="1328"/>
      <c r="L389" s="1113" t="s">
        <v>1381</v>
      </c>
      <c r="M389" s="1329">
        <v>358</v>
      </c>
      <c r="N389" s="1329"/>
      <c r="O389" s="1328"/>
    </row>
    <row r="390" spans="1:15" x14ac:dyDescent="0.25">
      <c r="A390" s="1148" t="s">
        <v>1382</v>
      </c>
      <c r="B390" s="1047" t="str">
        <f ca="1">IF('[2]Pricing Schedule'!$K$5="No",_xlfn.CONCAT(IFERROR(SUBSTITUTE(ADDRESS(1,MATCH(A390,INDIRECT("'"&amp;E390&amp;"'"&amp;"!A10:Z10"),0),4),1,""),""),13),_xlfn.CONCAT(IFERROR(SUBSTITUTE(ADDRESS(1,MATCH(A390,INDIRECT("'"&amp;E390&amp;"'"&amp;"!A10:Z10"),0),4),1,""),""),47))</f>
        <v>L13</v>
      </c>
      <c r="C390" s="1047" t="str">
        <f ca="1">IF('[2]Pricing Schedule'!$K$5="No",IFERROR(SUBSTITUTE(ADDRESS(1,MATCH(A390,INDIRECT("'"&amp;E390&amp;"'"&amp;"!A10:Z10"),0),4),1,""),""),IFERROR(SUBSTITUTE(ADDRESS(1,MATCH(A390,INDIRECT("'"&amp;E390&amp;"'"&amp;"!A10:Z10"),0),4),1,""),""))</f>
        <v>L</v>
      </c>
      <c r="D390" s="1050" t="s">
        <v>1464</v>
      </c>
      <c r="E390" s="1050" t="s">
        <v>1373</v>
      </c>
      <c r="F390" s="1328"/>
      <c r="G390" s="1328"/>
      <c r="H390" s="1328"/>
      <c r="I390" s="1328"/>
      <c r="J390" s="1328"/>
      <c r="K390" s="1328"/>
      <c r="L390" s="1113" t="s">
        <v>1382</v>
      </c>
      <c r="M390" s="1329">
        <v>359</v>
      </c>
      <c r="N390" s="1329"/>
      <c r="O390" s="1328"/>
    </row>
    <row r="391" spans="1:15" x14ac:dyDescent="0.25">
      <c r="A391" s="1148" t="s">
        <v>1320</v>
      </c>
      <c r="B391" s="1047" t="str">
        <f ca="1">IF('[2]Pricing Schedule'!$K$5="No",_xlfn.CONCAT(IFERROR(SUBSTITUTE(ADDRESS(1,MATCH(A391,INDIRECT("'"&amp;E391&amp;"'"&amp;"!A10:Z10"),0),4),1,""),""),13),_xlfn.CONCAT(IFERROR(SUBSTITUTE(ADDRESS(1,MATCH(A391,INDIRECT("'"&amp;E391&amp;"'"&amp;"!A10:Z10"),0),4),1,""),""),47))</f>
        <v>M13</v>
      </c>
      <c r="C391" s="1047" t="str">
        <f ca="1">IF('[2]Pricing Schedule'!$K$5="No",IFERROR(SUBSTITUTE(ADDRESS(1,MATCH(A391,INDIRECT("'"&amp;E391&amp;"'"&amp;"!A10:Z10"),0),4),1,""),""),IFERROR(SUBSTITUTE(ADDRESS(1,MATCH(A391,INDIRECT("'"&amp;E391&amp;"'"&amp;"!A10:Z10"),0),4),1,""),""))</f>
        <v>M</v>
      </c>
      <c r="D391" s="1050" t="s">
        <v>1464</v>
      </c>
      <c r="E391" s="1050" t="s">
        <v>1373</v>
      </c>
      <c r="F391" s="1328"/>
      <c r="G391" s="1328"/>
      <c r="H391" s="1328"/>
      <c r="I391" s="1328"/>
      <c r="J391" s="1328"/>
      <c r="K391" s="1328"/>
      <c r="L391" s="1113" t="s">
        <v>1320</v>
      </c>
      <c r="M391" s="1329">
        <v>360</v>
      </c>
      <c r="N391" s="1329"/>
      <c r="O391" s="1328"/>
    </row>
    <row r="392" spans="1:15" x14ac:dyDescent="0.25">
      <c r="A392" s="1143" t="s">
        <v>1383</v>
      </c>
      <c r="B392" s="1047" t="str">
        <f ca="1">IF('[2]Pricing Schedule'!$K$5="No",_xlfn.CONCAT(IFERROR(SUBSTITUTE(ADDRESS(1,MATCH(A392,INDIRECT("'"&amp;E392&amp;"'"&amp;"!A10:Z10"),0),4),1,""),""),18),_xlfn.CONCAT(IFERROR(SUBSTITUTE(ADDRESS(1,MATCH(A392,INDIRECT("'"&amp;E392&amp;"'"&amp;"!A10:Z10"),0),4),1,""),""),52))</f>
        <v>N18</v>
      </c>
      <c r="C392" s="1047" t="str">
        <f ca="1">IF('[2]Pricing Schedule'!$K$5="No",IFERROR(SUBSTITUTE(ADDRESS(1,MATCH(A392,INDIRECT("'"&amp;E392&amp;"'"&amp;"!A10:Z10"),0),4),1,""),""),IFERROR(SUBSTITUTE(ADDRESS(1,MATCH(A392,INDIRECT("'"&amp;E392&amp;"'"&amp;"!A10:Z10"),0),4),1,""),""))</f>
        <v>N</v>
      </c>
      <c r="D392" s="1050" t="s">
        <v>1464</v>
      </c>
      <c r="E392" s="1050" t="s">
        <v>1373</v>
      </c>
      <c r="F392" s="1328"/>
      <c r="G392" s="1328"/>
      <c r="H392" s="1328"/>
      <c r="I392" s="1328"/>
      <c r="J392" s="1328"/>
      <c r="K392" s="1328"/>
      <c r="L392" s="1113" t="s">
        <v>1383</v>
      </c>
      <c r="M392" s="1329">
        <v>361</v>
      </c>
      <c r="N392" s="1329"/>
      <c r="O392" s="1328"/>
    </row>
    <row r="393" spans="1:15" x14ac:dyDescent="0.25">
      <c r="A393" s="1144" t="s">
        <v>1374</v>
      </c>
      <c r="B393" s="1047" t="str">
        <f ca="1">IF('[2]Pricing Schedule'!$K$5="No",_xlfn.CONCAT(IFERROR(SUBSTITUTE(ADDRESS(1,MATCH(A393,INDIRECT("'"&amp;E393&amp;"'"&amp;"!A10:Z10"),0),4),1,""),""),18),_xlfn.CONCAT(IFERROR(SUBSTITUTE(ADDRESS(1,MATCH(A393,INDIRECT("'"&amp;E393&amp;"'"&amp;"!A10:Z10"),0),4),1,""),""),52))</f>
        <v>C18</v>
      </c>
      <c r="C393" s="1047" t="str">
        <f ca="1">IF('[2]Pricing Schedule'!$K$5="No",IFERROR(SUBSTITUTE(ADDRESS(1,MATCH(A393,INDIRECT("'"&amp;E393&amp;"'"&amp;"!A10:Z10"),0),4),1,""),""),IFERROR(SUBSTITUTE(ADDRESS(1,MATCH(A393,INDIRECT("'"&amp;E393&amp;"'"&amp;"!A10:Z10"),0),4),1,""),""))</f>
        <v>C</v>
      </c>
      <c r="D393" s="1050" t="s">
        <v>1464</v>
      </c>
      <c r="E393" s="1050" t="s">
        <v>1373</v>
      </c>
      <c r="F393" s="1328"/>
      <c r="G393" s="1328"/>
      <c r="H393" s="1328"/>
      <c r="I393" s="1328"/>
      <c r="J393" s="1328"/>
      <c r="K393" s="1328"/>
      <c r="L393" s="1113" t="s">
        <v>254</v>
      </c>
      <c r="M393" s="1329">
        <v>362</v>
      </c>
      <c r="N393" s="1329"/>
      <c r="O393" s="1328"/>
    </row>
    <row r="394" spans="1:15" x14ac:dyDescent="0.25">
      <c r="A394" s="1144" t="s">
        <v>1339</v>
      </c>
      <c r="B394" s="1047" t="str">
        <f ca="1">IF('[2]Pricing Schedule'!$K$5="No",_xlfn.CONCAT(IFERROR(SUBSTITUTE(ADDRESS(1,MATCH(A394,INDIRECT("'"&amp;E394&amp;"'"&amp;"!A10:Z10"),0),4),1,""),""),18),_xlfn.CONCAT(IFERROR(SUBSTITUTE(ADDRESS(1,MATCH(A394,INDIRECT("'"&amp;E394&amp;"'"&amp;"!A10:Z10"),0),4),1,""),""),52))</f>
        <v>H18</v>
      </c>
      <c r="C394" s="1047" t="str">
        <f ca="1">IF('[2]Pricing Schedule'!$K$5="No",IFERROR(SUBSTITUTE(ADDRESS(1,MATCH(A394,INDIRECT("'"&amp;E394&amp;"'"&amp;"!A10:Z10"),0),4),1,""),""),IFERROR(SUBSTITUTE(ADDRESS(1,MATCH(A394,INDIRECT("'"&amp;E394&amp;"'"&amp;"!A10:Z10"),0),4),1,""),""))</f>
        <v>H</v>
      </c>
      <c r="D394" s="1050" t="s">
        <v>1464</v>
      </c>
      <c r="E394" s="1050" t="s">
        <v>1373</v>
      </c>
      <c r="F394" s="1328"/>
      <c r="G394" s="1328"/>
      <c r="H394" s="1328"/>
      <c r="I394" s="1328"/>
      <c r="J394" s="1328"/>
      <c r="K394" s="1328"/>
      <c r="L394" s="1113" t="s">
        <v>1339</v>
      </c>
      <c r="M394" s="1329">
        <v>363</v>
      </c>
      <c r="N394" s="1329"/>
      <c r="O394" s="1328"/>
    </row>
    <row r="395" spans="1:15" x14ac:dyDescent="0.25">
      <c r="A395" s="1144" t="s">
        <v>1377</v>
      </c>
      <c r="B395" s="1047" t="str">
        <f ca="1">IF('[2]Pricing Schedule'!$K$5="No",_xlfn.CONCAT(IFERROR(SUBSTITUTE(ADDRESS(1,MATCH(A395,INDIRECT("'"&amp;E395&amp;"'"&amp;"!A10:Z10"),0),4),1,""),""),18),_xlfn.CONCAT(IFERROR(SUBSTITUTE(ADDRESS(1,MATCH(A395,INDIRECT("'"&amp;E395&amp;"'"&amp;"!A10:Z10"),0),4),1,""),""),52))</f>
        <v>F18</v>
      </c>
      <c r="C395" s="1047" t="str">
        <f ca="1">IF('[2]Pricing Schedule'!$K$5="No",IFERROR(SUBSTITUTE(ADDRESS(1,MATCH(A395,INDIRECT("'"&amp;E395&amp;"'"&amp;"!A10:Z10"),0),4),1,""),""),IFERROR(SUBSTITUTE(ADDRESS(1,MATCH(A395,INDIRECT("'"&amp;E395&amp;"'"&amp;"!A10:Z10"),0),4),1,""),""))</f>
        <v>F</v>
      </c>
      <c r="D395" s="1050" t="s">
        <v>1464</v>
      </c>
      <c r="E395" s="1050" t="s">
        <v>1373</v>
      </c>
      <c r="F395" s="1328"/>
      <c r="G395" s="1328"/>
      <c r="H395" s="1328"/>
      <c r="I395" s="1328"/>
      <c r="J395" s="1328"/>
      <c r="K395" s="1328"/>
      <c r="L395" s="1113" t="s">
        <v>225</v>
      </c>
      <c r="M395" s="1329">
        <v>364</v>
      </c>
      <c r="N395" s="1329"/>
      <c r="O395" s="132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9" t="s">
        <v>1464</v>
      </c>
      <c r="E396" s="1050" t="s">
        <v>208</v>
      </c>
      <c r="F396" s="1328"/>
      <c r="G396" s="1328"/>
      <c r="H396" s="1328"/>
      <c r="I396" s="1328"/>
      <c r="J396" s="1328"/>
      <c r="K396" s="1328"/>
      <c r="L396" s="1113" t="s">
        <v>466</v>
      </c>
      <c r="M396" s="1329">
        <v>365</v>
      </c>
      <c r="N396" s="1329"/>
      <c r="O396" s="1328"/>
    </row>
    <row r="397" spans="1:15" x14ac:dyDescent="0.25">
      <c r="A397" s="1145" t="s">
        <v>1376</v>
      </c>
      <c r="B397" s="1047" t="str">
        <f ca="1">IF('[2]Pricing Schedule'!$K$5="No",_xlfn.CONCAT(IFERROR(SUBSTITUTE(ADDRESS(1,MATCH(A397,INDIRECT("'"&amp;E397&amp;"'"&amp;"!A10:Z10"),0),4),1,""),""),18),_xlfn.CONCAT(IFERROR(SUBSTITUTE(ADDRESS(1,MATCH(A397,INDIRECT("'"&amp;E397&amp;"'"&amp;"!A10:Z10"),0),4),1,""),""),52))</f>
        <v>E18</v>
      </c>
      <c r="C397" s="1047" t="str">
        <f ca="1">IF('[2]Pricing Schedule'!$K$5="No",IFERROR(SUBSTITUTE(ADDRESS(1,MATCH(A397,INDIRECT("'"&amp;E397&amp;"'"&amp;"!A10:Z10"),0),4),1,""),""),IFERROR(SUBSTITUTE(ADDRESS(1,MATCH(A397,INDIRECT("'"&amp;E397&amp;"'"&amp;"!A10:Z10"),0),4),1,""),""))</f>
        <v>E</v>
      </c>
      <c r="D397" s="1050" t="s">
        <v>1464</v>
      </c>
      <c r="E397" s="1050" t="s">
        <v>1373</v>
      </c>
      <c r="F397" s="1328"/>
      <c r="G397" s="1328"/>
      <c r="H397" s="1328"/>
      <c r="I397" s="1328"/>
      <c r="J397" s="1328"/>
      <c r="K397" s="1328"/>
      <c r="L397" s="1113" t="s">
        <v>1376</v>
      </c>
      <c r="M397" s="1329">
        <v>366</v>
      </c>
      <c r="N397" s="1329"/>
      <c r="O397" s="1328"/>
    </row>
    <row r="398" spans="1:15" x14ac:dyDescent="0.25">
      <c r="A398" s="1145" t="s">
        <v>1378</v>
      </c>
      <c r="B398" s="1047" t="str">
        <f ca="1">IF('[2]Pricing Schedule'!$K$5="No",_xlfn.CONCAT(IFERROR(SUBSTITUTE(ADDRESS(1,MATCH(A398,INDIRECT("'"&amp;E398&amp;"'"&amp;"!A10:Z10"),0),4),1,""),""),18),_xlfn.CONCAT(IFERROR(SUBSTITUTE(ADDRESS(1,MATCH(A398,INDIRECT("'"&amp;E398&amp;"'"&amp;"!A10:Z10"),0),4),1,""),""),52))</f>
        <v>G18</v>
      </c>
      <c r="C398" s="1047" t="str">
        <f ca="1">IF('[2]Pricing Schedule'!$K$5="No",IFERROR(SUBSTITUTE(ADDRESS(1,MATCH(A398,INDIRECT("'"&amp;E398&amp;"'"&amp;"!A10:Z10"),0),4),1,""),""),IFERROR(SUBSTITUTE(ADDRESS(1,MATCH(A398,INDIRECT("'"&amp;E398&amp;"'"&amp;"!A10:Z10"),0),4),1,""),""))</f>
        <v>G</v>
      </c>
      <c r="D398" s="1050" t="s">
        <v>1464</v>
      </c>
      <c r="E398" s="1050" t="s">
        <v>1373</v>
      </c>
      <c r="F398" s="1328"/>
      <c r="G398" s="1328"/>
      <c r="H398" s="1328"/>
      <c r="I398" s="1328"/>
      <c r="J398" s="1328"/>
      <c r="K398" s="1328"/>
      <c r="L398" s="1113" t="s">
        <v>1378</v>
      </c>
      <c r="M398" s="1329">
        <v>367</v>
      </c>
      <c r="N398" s="1329"/>
      <c r="O398" s="1328"/>
    </row>
    <row r="399" spans="1:15" x14ac:dyDescent="0.25">
      <c r="A399" s="1145" t="s">
        <v>1379</v>
      </c>
      <c r="B399" s="1047" t="str">
        <f ca="1">IF('[2]Pricing Schedule'!$K$5="No",_xlfn.CONCAT(IFERROR(SUBSTITUTE(ADDRESS(1,MATCH(A399,INDIRECT("'"&amp;E399&amp;"'"&amp;"!A10:Z10"),0),4),1,""),""),18),_xlfn.CONCAT(IFERROR(SUBSTITUTE(ADDRESS(1,MATCH(A399,INDIRECT("'"&amp;E399&amp;"'"&amp;"!A10:Z10"),0),4),1,""),""),52))</f>
        <v>I18</v>
      </c>
      <c r="C399" s="1047" t="str">
        <f ca="1">IF('[2]Pricing Schedule'!$K$5="No",IFERROR(SUBSTITUTE(ADDRESS(1,MATCH(A399,INDIRECT("'"&amp;E399&amp;"'"&amp;"!A10:Z10"),0),4),1,""),""),IFERROR(SUBSTITUTE(ADDRESS(1,MATCH(A399,INDIRECT("'"&amp;E399&amp;"'"&amp;"!A10:Z10"),0),4),1,""),""))</f>
        <v>I</v>
      </c>
      <c r="D399" s="1050" t="s">
        <v>1464</v>
      </c>
      <c r="E399" s="1050" t="s">
        <v>1373</v>
      </c>
      <c r="F399" s="1328"/>
      <c r="G399" s="1328"/>
      <c r="H399" s="1328"/>
      <c r="I399" s="1328"/>
      <c r="J399" s="1328"/>
      <c r="K399" s="1328"/>
      <c r="L399" s="1113" t="s">
        <v>1379</v>
      </c>
      <c r="M399" s="1329">
        <v>368</v>
      </c>
      <c r="N399" s="1329"/>
      <c r="O399" s="1328"/>
    </row>
    <row r="400" spans="1:15" x14ac:dyDescent="0.25">
      <c r="A400" s="1145" t="s">
        <v>1380</v>
      </c>
      <c r="B400" s="1047" t="str">
        <f ca="1">IF('[2]Pricing Schedule'!$K$5="No",_xlfn.CONCAT(IFERROR(SUBSTITUTE(ADDRESS(1,MATCH(A400,INDIRECT("'"&amp;E400&amp;"'"&amp;"!A10:Z10"),0),4),1,""),""),18),_xlfn.CONCAT(IFERROR(SUBSTITUTE(ADDRESS(1,MATCH(A400,INDIRECT("'"&amp;E400&amp;"'"&amp;"!A10:Z10"),0),4),1,""),""),52))</f>
        <v>J18</v>
      </c>
      <c r="C400" s="1047" t="str">
        <f ca="1">IF('[2]Pricing Schedule'!$K$5="No",IFERROR(SUBSTITUTE(ADDRESS(1,MATCH(A400,INDIRECT("'"&amp;E400&amp;"'"&amp;"!A10:Z10"),0),4),1,""),""),IFERROR(SUBSTITUTE(ADDRESS(1,MATCH(A400,INDIRECT("'"&amp;E400&amp;"'"&amp;"!A10:Z10"),0),4),1,""),""))</f>
        <v>J</v>
      </c>
      <c r="D400" s="1050" t="s">
        <v>1464</v>
      </c>
      <c r="E400" s="1050" t="s">
        <v>1373</v>
      </c>
      <c r="F400" s="1328"/>
      <c r="G400" s="1328"/>
      <c r="H400" s="1328"/>
      <c r="I400" s="1328"/>
      <c r="J400" s="1328"/>
      <c r="K400" s="1328"/>
      <c r="L400" s="1113" t="s">
        <v>1380</v>
      </c>
      <c r="M400" s="1329">
        <v>369</v>
      </c>
      <c r="N400" s="1329"/>
      <c r="O400" s="1328"/>
    </row>
    <row r="401" spans="1:15" x14ac:dyDescent="0.25">
      <c r="A401" s="1145" t="s">
        <v>1381</v>
      </c>
      <c r="B401" s="1047" t="str">
        <f ca="1">IF('[2]Pricing Schedule'!$K$5="No",_xlfn.CONCAT(IFERROR(SUBSTITUTE(ADDRESS(1,MATCH(A401,INDIRECT("'"&amp;E401&amp;"'"&amp;"!A10:Z10"),0),4),1,""),""),18),_xlfn.CONCAT(IFERROR(SUBSTITUTE(ADDRESS(1,MATCH(A401,INDIRECT("'"&amp;E401&amp;"'"&amp;"!A10:Z10"),0),4),1,""),""),52))</f>
        <v>K18</v>
      </c>
      <c r="C401" s="1047" t="str">
        <f ca="1">IF('[2]Pricing Schedule'!$K$5="No",IFERROR(SUBSTITUTE(ADDRESS(1,MATCH(A401,INDIRECT("'"&amp;E401&amp;"'"&amp;"!A10:Z10"),0),4),1,""),""),IFERROR(SUBSTITUTE(ADDRESS(1,MATCH(A401,INDIRECT("'"&amp;E401&amp;"'"&amp;"!A10:Z10"),0),4),1,""),""))</f>
        <v>K</v>
      </c>
      <c r="D401" s="1050" t="s">
        <v>1464</v>
      </c>
      <c r="E401" s="1050" t="s">
        <v>1373</v>
      </c>
      <c r="F401" s="1328"/>
      <c r="G401" s="1328"/>
      <c r="H401" s="1328"/>
      <c r="I401" s="1328"/>
      <c r="J401" s="1328"/>
      <c r="K401" s="1328"/>
      <c r="L401" s="1113" t="s">
        <v>1381</v>
      </c>
      <c r="M401" s="1329">
        <v>370</v>
      </c>
      <c r="N401" s="1329"/>
      <c r="O401" s="1328"/>
    </row>
    <row r="402" spans="1:15" x14ac:dyDescent="0.25">
      <c r="A402" s="1145" t="s">
        <v>1382</v>
      </c>
      <c r="B402" s="1047" t="str">
        <f ca="1">IF('[2]Pricing Schedule'!$K$5="No",_xlfn.CONCAT(IFERROR(SUBSTITUTE(ADDRESS(1,MATCH(A402,INDIRECT("'"&amp;E402&amp;"'"&amp;"!A10:Z10"),0),4),1,""),""),18),_xlfn.CONCAT(IFERROR(SUBSTITUTE(ADDRESS(1,MATCH(A402,INDIRECT("'"&amp;E402&amp;"'"&amp;"!A10:Z10"),0),4),1,""),""),52))</f>
        <v>L18</v>
      </c>
      <c r="C402" s="1047" t="str">
        <f ca="1">IF('[2]Pricing Schedule'!$K$5="No",IFERROR(SUBSTITUTE(ADDRESS(1,MATCH(A402,INDIRECT("'"&amp;E402&amp;"'"&amp;"!A10:Z10"),0),4),1,""),""),IFERROR(SUBSTITUTE(ADDRESS(1,MATCH(A402,INDIRECT("'"&amp;E402&amp;"'"&amp;"!A10:Z10"),0),4),1,""),""))</f>
        <v>L</v>
      </c>
      <c r="D402" s="1050" t="s">
        <v>1464</v>
      </c>
      <c r="E402" s="1050" t="s">
        <v>1373</v>
      </c>
      <c r="F402" s="1328"/>
      <c r="G402" s="1328"/>
      <c r="H402" s="1328"/>
      <c r="I402" s="1328"/>
      <c r="J402" s="1328"/>
      <c r="K402" s="1328"/>
      <c r="L402" s="1113" t="s">
        <v>1382</v>
      </c>
      <c r="M402" s="1329">
        <v>371</v>
      </c>
      <c r="N402" s="1329"/>
      <c r="O402" s="1328"/>
    </row>
    <row r="403" spans="1:15" x14ac:dyDescent="0.25">
      <c r="A403" s="1145" t="s">
        <v>1320</v>
      </c>
      <c r="B403" s="1047" t="str">
        <f ca="1">IF('[2]Pricing Schedule'!$K$5="No",_xlfn.CONCAT(IFERROR(SUBSTITUTE(ADDRESS(1,MATCH(A403,INDIRECT("'"&amp;E403&amp;"'"&amp;"!A10:Z10"),0),4),1,""),""),18),_xlfn.CONCAT(IFERROR(SUBSTITUTE(ADDRESS(1,MATCH(A403,INDIRECT("'"&amp;E403&amp;"'"&amp;"!A10:Z10"),0),4),1,""),""),52))</f>
        <v>M18</v>
      </c>
      <c r="C403" s="1047" t="str">
        <f ca="1">IF('[2]Pricing Schedule'!$K$5="No",IFERROR(SUBSTITUTE(ADDRESS(1,MATCH(A403,INDIRECT("'"&amp;E403&amp;"'"&amp;"!A10:Z10"),0),4),1,""),""),IFERROR(SUBSTITUTE(ADDRESS(1,MATCH(A403,INDIRECT("'"&amp;E403&amp;"'"&amp;"!A10:Z10"),0),4),1,""),""))</f>
        <v>M</v>
      </c>
      <c r="D403" s="1050" t="s">
        <v>1464</v>
      </c>
      <c r="E403" s="1050" t="s">
        <v>1373</v>
      </c>
      <c r="F403" s="1328"/>
      <c r="G403" s="1328"/>
      <c r="H403" s="1328"/>
      <c r="I403" s="1328"/>
      <c r="J403" s="1328"/>
      <c r="K403" s="1328"/>
      <c r="L403" s="1113" t="s">
        <v>1320</v>
      </c>
      <c r="M403" s="1329">
        <v>372</v>
      </c>
      <c r="N403" s="1329"/>
      <c r="O403" s="1328"/>
    </row>
    <row r="404" spans="1:15" x14ac:dyDescent="0.25">
      <c r="A404" s="1146" t="s">
        <v>1383</v>
      </c>
      <c r="B404" s="1047" t="str">
        <f ca="1">IF('[2]Pricing Schedule'!$K$5="No",_xlfn.CONCAT(IFERROR(SUBSTITUTE(ADDRESS(1,MATCH(A404,INDIRECT("'"&amp;E404&amp;"'"&amp;"!A10:Z10"),0),4),1,""),""),22),_xlfn.CONCAT(IFERROR(SUBSTITUTE(ADDRESS(1,MATCH(A404,INDIRECT("'"&amp;E404&amp;"'"&amp;"!A10:Z10"),0),4),1,""),""),56))</f>
        <v>N22</v>
      </c>
      <c r="C404" s="1047" t="str">
        <f ca="1">IF('[2]Pricing Schedule'!$K$5="No",IFERROR(SUBSTITUTE(ADDRESS(1,MATCH(A404,INDIRECT("'"&amp;E404&amp;"'"&amp;"!A10:Z10"),0),4),1,""),""),IFERROR(SUBSTITUTE(ADDRESS(1,MATCH(A404,INDIRECT("'"&amp;E404&amp;"'"&amp;"!A10:Z10"),0),4),1,""),""))</f>
        <v>N</v>
      </c>
      <c r="D404" s="1050" t="s">
        <v>1464</v>
      </c>
      <c r="E404" s="1050" t="s">
        <v>1373</v>
      </c>
      <c r="F404" s="1328"/>
      <c r="G404" s="1328"/>
      <c r="H404" s="1328"/>
      <c r="I404" s="1328"/>
      <c r="J404" s="1328"/>
      <c r="K404" s="1328"/>
      <c r="L404" s="1113" t="s">
        <v>1383</v>
      </c>
      <c r="M404" s="1329">
        <v>373</v>
      </c>
      <c r="N404" s="1329"/>
      <c r="O404" s="1328"/>
    </row>
    <row r="405" spans="1:15" x14ac:dyDescent="0.25">
      <c r="A405" s="1147" t="s">
        <v>1374</v>
      </c>
      <c r="B405" s="1047" t="str">
        <f ca="1">IF('[2]Pricing Schedule'!$K$5="No",_xlfn.CONCAT(IFERROR(SUBSTITUTE(ADDRESS(1,MATCH(A405,INDIRECT("'"&amp;E405&amp;"'"&amp;"!A10:Z10"),0),4),1,""),""),22),_xlfn.CONCAT(IFERROR(SUBSTITUTE(ADDRESS(1,MATCH(A405,INDIRECT("'"&amp;E405&amp;"'"&amp;"!A10:Z10"),0),4),1,""),""),56))</f>
        <v>C22</v>
      </c>
      <c r="C405" s="1047" t="str">
        <f ca="1">IF('[2]Pricing Schedule'!$K$5="No",IFERROR(SUBSTITUTE(ADDRESS(1,MATCH(A405,INDIRECT("'"&amp;E405&amp;"'"&amp;"!A10:Z10"),0),4),1,""),""),IFERROR(SUBSTITUTE(ADDRESS(1,MATCH(A405,INDIRECT("'"&amp;E405&amp;"'"&amp;"!A10:Z10"),0),4),1,""),""))</f>
        <v>C</v>
      </c>
      <c r="D405" s="1050" t="s">
        <v>1464</v>
      </c>
      <c r="E405" s="1050" t="s">
        <v>1373</v>
      </c>
      <c r="F405" s="1328"/>
      <c r="G405" s="1328"/>
      <c r="H405" s="1328"/>
      <c r="I405" s="1328"/>
      <c r="J405" s="1328"/>
      <c r="K405" s="1328"/>
      <c r="L405" s="1113" t="s">
        <v>254</v>
      </c>
      <c r="M405" s="1329">
        <v>374</v>
      </c>
      <c r="N405" s="1329"/>
      <c r="O405" s="1328"/>
    </row>
    <row r="406" spans="1:15" x14ac:dyDescent="0.25">
      <c r="A406" s="1147" t="s">
        <v>1339</v>
      </c>
      <c r="B406" s="1047" t="str">
        <f ca="1">IF('[2]Pricing Schedule'!$K$5="No",_xlfn.CONCAT(IFERROR(SUBSTITUTE(ADDRESS(1,MATCH(A406,INDIRECT("'"&amp;E406&amp;"'"&amp;"!A10:Z10"),0),4),1,""),""),22),_xlfn.CONCAT(IFERROR(SUBSTITUTE(ADDRESS(1,MATCH(A406,INDIRECT("'"&amp;E406&amp;"'"&amp;"!A10:Z10"),0),4),1,""),""),56))</f>
        <v>H22</v>
      </c>
      <c r="C406" s="1047" t="str">
        <f ca="1">IF('[2]Pricing Schedule'!$K$5="No",IFERROR(SUBSTITUTE(ADDRESS(1,MATCH(A406,INDIRECT("'"&amp;E406&amp;"'"&amp;"!A10:Z10"),0),4),1,""),""),IFERROR(SUBSTITUTE(ADDRESS(1,MATCH(A406,INDIRECT("'"&amp;E406&amp;"'"&amp;"!A10:Z10"),0),4),1,""),""))</f>
        <v>H</v>
      </c>
      <c r="D406" s="1050" t="s">
        <v>1464</v>
      </c>
      <c r="E406" s="1050" t="s">
        <v>1373</v>
      </c>
      <c r="F406" s="1328"/>
      <c r="G406" s="1328"/>
      <c r="H406" s="1328"/>
      <c r="I406" s="1328"/>
      <c r="J406" s="1328"/>
      <c r="K406" s="1328"/>
      <c r="L406" s="1113" t="s">
        <v>1339</v>
      </c>
      <c r="M406" s="1329">
        <v>375</v>
      </c>
      <c r="N406" s="1329"/>
      <c r="O406" s="1328"/>
    </row>
    <row r="407" spans="1:15" x14ac:dyDescent="0.25">
      <c r="A407" s="1147" t="s">
        <v>1377</v>
      </c>
      <c r="B407" s="1047" t="str">
        <f ca="1">IF('[2]Pricing Schedule'!$K$5="No",_xlfn.CONCAT(IFERROR(SUBSTITUTE(ADDRESS(1,MATCH(A407,INDIRECT("'"&amp;E407&amp;"'"&amp;"!A10:Z10"),0),4),1,""),""),22),_xlfn.CONCAT(IFERROR(SUBSTITUTE(ADDRESS(1,MATCH(A407,INDIRECT("'"&amp;E407&amp;"'"&amp;"!A10:Z10"),0),4),1,""),""),56))</f>
        <v>F22</v>
      </c>
      <c r="C407" s="1047" t="str">
        <f ca="1">IF('[2]Pricing Schedule'!$K$5="No",IFERROR(SUBSTITUTE(ADDRESS(1,MATCH(A407,INDIRECT("'"&amp;E407&amp;"'"&amp;"!A10:Z10"),0),4),1,""),""),IFERROR(SUBSTITUTE(ADDRESS(1,MATCH(A407,INDIRECT("'"&amp;E407&amp;"'"&amp;"!A10:Z10"),0),4),1,""),""))</f>
        <v>F</v>
      </c>
      <c r="D407" s="1050" t="s">
        <v>1464</v>
      </c>
      <c r="E407" s="1050" t="s">
        <v>1373</v>
      </c>
      <c r="F407" s="1328"/>
      <c r="G407" s="1328"/>
      <c r="H407" s="1328"/>
      <c r="I407" s="1328"/>
      <c r="J407" s="1328"/>
      <c r="K407" s="1328"/>
      <c r="L407" s="1113" t="s">
        <v>225</v>
      </c>
      <c r="M407" s="1329">
        <v>376</v>
      </c>
      <c r="N407" s="1329"/>
      <c r="O407" s="132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9" t="s">
        <v>1464</v>
      </c>
      <c r="E408" s="1050" t="s">
        <v>208</v>
      </c>
      <c r="F408" s="1328"/>
      <c r="G408" s="1328"/>
      <c r="H408" s="1328"/>
      <c r="I408" s="1328"/>
      <c r="J408" s="1328"/>
      <c r="K408" s="1328"/>
      <c r="L408" s="1113" t="s">
        <v>466</v>
      </c>
      <c r="M408" s="1329">
        <v>377</v>
      </c>
      <c r="N408" s="1329"/>
      <c r="O408" s="1328"/>
    </row>
    <row r="409" spans="1:15" x14ac:dyDescent="0.25">
      <c r="A409" s="1148" t="s">
        <v>1376</v>
      </c>
      <c r="B409" s="1047" t="str">
        <f ca="1">IF('[2]Pricing Schedule'!$K$5="No",_xlfn.CONCAT(IFERROR(SUBSTITUTE(ADDRESS(1,MATCH(A409,INDIRECT("'"&amp;E409&amp;"'"&amp;"!A10:Z10"),0),4),1,""),""),22),_xlfn.CONCAT(IFERROR(SUBSTITUTE(ADDRESS(1,MATCH(A409,INDIRECT("'"&amp;E409&amp;"'"&amp;"!A10:Z10"),0),4),1,""),""),56))</f>
        <v>E22</v>
      </c>
      <c r="C409" s="1047" t="str">
        <f ca="1">IF('[2]Pricing Schedule'!$K$5="No",IFERROR(SUBSTITUTE(ADDRESS(1,MATCH(A409,INDIRECT("'"&amp;E409&amp;"'"&amp;"!A10:Z10"),0),4),1,""),""),IFERROR(SUBSTITUTE(ADDRESS(1,MATCH(A409,INDIRECT("'"&amp;E409&amp;"'"&amp;"!A10:Z10"),0),4),1,""),""))</f>
        <v>E</v>
      </c>
      <c r="D409" s="1050" t="s">
        <v>1464</v>
      </c>
      <c r="E409" s="1050" t="s">
        <v>1373</v>
      </c>
      <c r="F409" s="1328"/>
      <c r="G409" s="1328"/>
      <c r="H409" s="1328"/>
      <c r="I409" s="1328"/>
      <c r="J409" s="1328"/>
      <c r="K409" s="1328"/>
      <c r="L409" s="1113" t="s">
        <v>1376</v>
      </c>
      <c r="M409" s="1329">
        <v>378</v>
      </c>
      <c r="N409" s="1329"/>
      <c r="O409" s="1328"/>
    </row>
    <row r="410" spans="1:15" x14ac:dyDescent="0.25">
      <c r="A410" s="1148" t="s">
        <v>1378</v>
      </c>
      <c r="B410" s="1047" t="str">
        <f ca="1">IF('[2]Pricing Schedule'!$K$5="No",_xlfn.CONCAT(IFERROR(SUBSTITUTE(ADDRESS(1,MATCH(A410,INDIRECT("'"&amp;E410&amp;"'"&amp;"!A10:Z10"),0),4),1,""),""),22),_xlfn.CONCAT(IFERROR(SUBSTITUTE(ADDRESS(1,MATCH(A410,INDIRECT("'"&amp;E410&amp;"'"&amp;"!A10:Z10"),0),4),1,""),""),56))</f>
        <v>G22</v>
      </c>
      <c r="C410" s="1047" t="str">
        <f ca="1">IF('[2]Pricing Schedule'!$K$5="No",IFERROR(SUBSTITUTE(ADDRESS(1,MATCH(A410,INDIRECT("'"&amp;E410&amp;"'"&amp;"!A10:Z10"),0),4),1,""),""),IFERROR(SUBSTITUTE(ADDRESS(1,MATCH(A410,INDIRECT("'"&amp;E410&amp;"'"&amp;"!A10:Z10"),0),4),1,""),""))</f>
        <v>G</v>
      </c>
      <c r="D410" s="1050" t="s">
        <v>1464</v>
      </c>
      <c r="E410" s="1050" t="s">
        <v>1373</v>
      </c>
      <c r="F410" s="1328"/>
      <c r="G410" s="1328"/>
      <c r="H410" s="1328"/>
      <c r="I410" s="1328"/>
      <c r="J410" s="1328"/>
      <c r="K410" s="1328"/>
      <c r="L410" s="1113" t="s">
        <v>1378</v>
      </c>
      <c r="M410" s="1329">
        <v>379</v>
      </c>
      <c r="N410" s="1329"/>
      <c r="O410" s="1328"/>
    </row>
    <row r="411" spans="1:15" x14ac:dyDescent="0.25">
      <c r="A411" s="1148" t="s">
        <v>1379</v>
      </c>
      <c r="B411" s="1047" t="str">
        <f ca="1">IF('[2]Pricing Schedule'!$K$5="No",_xlfn.CONCAT(IFERROR(SUBSTITUTE(ADDRESS(1,MATCH(A411,INDIRECT("'"&amp;E411&amp;"'"&amp;"!A10:Z10"),0),4),1,""),""),22),_xlfn.CONCAT(IFERROR(SUBSTITUTE(ADDRESS(1,MATCH(A411,INDIRECT("'"&amp;E411&amp;"'"&amp;"!A10:Z10"),0),4),1,""),""),56))</f>
        <v>I22</v>
      </c>
      <c r="C411" s="1047" t="str">
        <f ca="1">IF('[2]Pricing Schedule'!$K$5="No",IFERROR(SUBSTITUTE(ADDRESS(1,MATCH(A411,INDIRECT("'"&amp;E411&amp;"'"&amp;"!A10:Z10"),0),4),1,""),""),IFERROR(SUBSTITUTE(ADDRESS(1,MATCH(A411,INDIRECT("'"&amp;E411&amp;"'"&amp;"!A10:Z10"),0),4),1,""),""))</f>
        <v>I</v>
      </c>
      <c r="D411" s="1050" t="s">
        <v>1464</v>
      </c>
      <c r="E411" s="1050" t="s">
        <v>1373</v>
      </c>
      <c r="F411" s="1328"/>
      <c r="G411" s="1328"/>
      <c r="H411" s="1328"/>
      <c r="I411" s="1328"/>
      <c r="J411" s="1328"/>
      <c r="K411" s="1328"/>
      <c r="L411" s="1113" t="s">
        <v>1379</v>
      </c>
      <c r="M411" s="1329">
        <v>380</v>
      </c>
      <c r="N411" s="1329"/>
      <c r="O411" s="1328"/>
    </row>
    <row r="412" spans="1:15" x14ac:dyDescent="0.25">
      <c r="A412" s="1148" t="s">
        <v>1380</v>
      </c>
      <c r="B412" s="1047" t="str">
        <f ca="1">IF('[2]Pricing Schedule'!$K$5="No",_xlfn.CONCAT(IFERROR(SUBSTITUTE(ADDRESS(1,MATCH(A412,INDIRECT("'"&amp;E412&amp;"'"&amp;"!A10:Z10"),0),4),1,""),""),22),_xlfn.CONCAT(IFERROR(SUBSTITUTE(ADDRESS(1,MATCH(A412,INDIRECT("'"&amp;E412&amp;"'"&amp;"!A10:Z10"),0),4),1,""),""),56))</f>
        <v>J22</v>
      </c>
      <c r="C412" s="1047" t="str">
        <f ca="1">IF('[2]Pricing Schedule'!$K$5="No",IFERROR(SUBSTITUTE(ADDRESS(1,MATCH(A412,INDIRECT("'"&amp;E412&amp;"'"&amp;"!A10:Z10"),0),4),1,""),""),IFERROR(SUBSTITUTE(ADDRESS(1,MATCH(A412,INDIRECT("'"&amp;E412&amp;"'"&amp;"!A10:Z10"),0),4),1,""),""))</f>
        <v>J</v>
      </c>
      <c r="D412" s="1050" t="s">
        <v>1464</v>
      </c>
      <c r="E412" s="1050" t="s">
        <v>1373</v>
      </c>
      <c r="F412" s="1328"/>
      <c r="G412" s="1328"/>
      <c r="H412" s="1328"/>
      <c r="I412" s="1328"/>
      <c r="J412" s="1328"/>
      <c r="K412" s="1328"/>
      <c r="L412" s="1113" t="s">
        <v>1380</v>
      </c>
      <c r="M412" s="1329">
        <v>381</v>
      </c>
      <c r="N412" s="1329"/>
      <c r="O412" s="1328"/>
    </row>
    <row r="413" spans="1:15" x14ac:dyDescent="0.25">
      <c r="A413" s="1148" t="s">
        <v>1381</v>
      </c>
      <c r="B413" s="1047" t="str">
        <f ca="1">IF('[2]Pricing Schedule'!$K$5="No",_xlfn.CONCAT(IFERROR(SUBSTITUTE(ADDRESS(1,MATCH(A413,INDIRECT("'"&amp;E413&amp;"'"&amp;"!A10:Z10"),0),4),1,""),""),22),_xlfn.CONCAT(IFERROR(SUBSTITUTE(ADDRESS(1,MATCH(A413,INDIRECT("'"&amp;E413&amp;"'"&amp;"!A10:Z10"),0),4),1,""),""),56))</f>
        <v>K22</v>
      </c>
      <c r="C413" s="1047" t="str">
        <f ca="1">IF('[2]Pricing Schedule'!$K$5="No",IFERROR(SUBSTITUTE(ADDRESS(1,MATCH(A413,INDIRECT("'"&amp;E413&amp;"'"&amp;"!A10:Z10"),0),4),1,""),""),IFERROR(SUBSTITUTE(ADDRESS(1,MATCH(A413,INDIRECT("'"&amp;E413&amp;"'"&amp;"!A10:Z10"),0),4),1,""),""))</f>
        <v>K</v>
      </c>
      <c r="D413" s="1050" t="s">
        <v>1464</v>
      </c>
      <c r="E413" s="1050" t="s">
        <v>1373</v>
      </c>
      <c r="F413" s="1328"/>
      <c r="G413" s="1328"/>
      <c r="H413" s="1328"/>
      <c r="I413" s="1328"/>
      <c r="J413" s="1328"/>
      <c r="K413" s="1328"/>
      <c r="L413" s="1113" t="s">
        <v>1381</v>
      </c>
      <c r="M413" s="1329">
        <v>382</v>
      </c>
      <c r="N413" s="1329"/>
      <c r="O413" s="1328"/>
    </row>
    <row r="414" spans="1:15" x14ac:dyDescent="0.25">
      <c r="A414" s="1148" t="s">
        <v>1382</v>
      </c>
      <c r="B414" s="1047" t="str">
        <f ca="1">IF('[2]Pricing Schedule'!$K$5="No",_xlfn.CONCAT(IFERROR(SUBSTITUTE(ADDRESS(1,MATCH(A414,INDIRECT("'"&amp;E414&amp;"'"&amp;"!A10:Z10"),0),4),1,""),""),22),_xlfn.CONCAT(IFERROR(SUBSTITUTE(ADDRESS(1,MATCH(A414,INDIRECT("'"&amp;E414&amp;"'"&amp;"!A10:Z10"),0),4),1,""),""),56))</f>
        <v>L22</v>
      </c>
      <c r="C414" s="1047" t="str">
        <f ca="1">IF('[2]Pricing Schedule'!$K$5="No",IFERROR(SUBSTITUTE(ADDRESS(1,MATCH(A414,INDIRECT("'"&amp;E414&amp;"'"&amp;"!A10:Z10"),0),4),1,""),""),IFERROR(SUBSTITUTE(ADDRESS(1,MATCH(A414,INDIRECT("'"&amp;E414&amp;"'"&amp;"!A10:Z10"),0),4),1,""),""))</f>
        <v>L</v>
      </c>
      <c r="D414" s="1050" t="s">
        <v>1464</v>
      </c>
      <c r="E414" s="1050" t="s">
        <v>1373</v>
      </c>
      <c r="F414" s="1328"/>
      <c r="G414" s="1328"/>
      <c r="H414" s="1328"/>
      <c r="I414" s="1328"/>
      <c r="J414" s="1328"/>
      <c r="K414" s="1328"/>
      <c r="L414" s="1113" t="s">
        <v>1382</v>
      </c>
      <c r="M414" s="1329">
        <v>383</v>
      </c>
      <c r="N414" s="1329"/>
      <c r="O414" s="1328"/>
    </row>
    <row r="415" spans="1:15" x14ac:dyDescent="0.25">
      <c r="A415" s="1148" t="s">
        <v>1320</v>
      </c>
      <c r="B415" s="1047" t="str">
        <f ca="1">IF('[2]Pricing Schedule'!$K$5="No",_xlfn.CONCAT(IFERROR(SUBSTITUTE(ADDRESS(1,MATCH(A415,INDIRECT("'"&amp;E415&amp;"'"&amp;"!A10:Z10"),0),4),1,""),""),22),_xlfn.CONCAT(IFERROR(SUBSTITUTE(ADDRESS(1,MATCH(A415,INDIRECT("'"&amp;E415&amp;"'"&amp;"!A10:Z10"),0),4),1,""),""),56))</f>
        <v>M22</v>
      </c>
      <c r="C415" s="1047" t="str">
        <f ca="1">IF('[2]Pricing Schedule'!$K$5="No",IFERROR(SUBSTITUTE(ADDRESS(1,MATCH(A415,INDIRECT("'"&amp;E415&amp;"'"&amp;"!A10:Z10"),0),4),1,""),""),IFERROR(SUBSTITUTE(ADDRESS(1,MATCH(A415,INDIRECT("'"&amp;E415&amp;"'"&amp;"!A10:Z10"),0),4),1,""),""))</f>
        <v>M</v>
      </c>
      <c r="D415" s="1050" t="s">
        <v>1464</v>
      </c>
      <c r="E415" s="1050" t="s">
        <v>1373</v>
      </c>
      <c r="F415" s="1328"/>
      <c r="G415" s="1328"/>
      <c r="H415" s="1328"/>
      <c r="I415" s="1328"/>
      <c r="J415" s="1328"/>
      <c r="K415" s="1328"/>
      <c r="L415" s="1113" t="s">
        <v>1320</v>
      </c>
      <c r="M415" s="1329">
        <v>384</v>
      </c>
      <c r="N415" s="1329"/>
      <c r="O415" s="1328"/>
    </row>
    <row r="416" spans="1:15" x14ac:dyDescent="0.25">
      <c r="A416" s="1143" t="s">
        <v>1383</v>
      </c>
      <c r="B416" s="1047" t="str">
        <f ca="1">IF('[2]Pricing Schedule'!$K$5="No",_xlfn.CONCAT(IFERROR(SUBSTITUTE(ADDRESS(1,MATCH(A416,INDIRECT("'"&amp;E416&amp;"'"&amp;"!A10:Z10"),0),4),1,""),""),30),_xlfn.CONCAT(IFERROR(SUBSTITUTE(ADDRESS(1,MATCH(A416,INDIRECT("'"&amp;E416&amp;"'"&amp;"!A10:Z10"),0),4),1,""),""),64))</f>
        <v>N30</v>
      </c>
      <c r="C416" s="1047" t="str">
        <f ca="1">IF('[2]Pricing Schedule'!$K$5="No",IFERROR(SUBSTITUTE(ADDRESS(1,MATCH(A416,INDIRECT("'"&amp;E416&amp;"'"&amp;"!A10:Z10"),0),4),1,""),""),IFERROR(SUBSTITUTE(ADDRESS(1,MATCH(A416,INDIRECT("'"&amp;E416&amp;"'"&amp;"!A10:Z10"),0),4),1,""),""))</f>
        <v>N</v>
      </c>
      <c r="D416" s="1050" t="s">
        <v>1464</v>
      </c>
      <c r="E416" s="1050" t="s">
        <v>1373</v>
      </c>
      <c r="F416" s="1328"/>
      <c r="G416" s="1328"/>
      <c r="H416" s="1328"/>
      <c r="I416" s="1328"/>
      <c r="J416" s="1328"/>
      <c r="K416" s="1328"/>
      <c r="L416" s="1113" t="s">
        <v>1383</v>
      </c>
      <c r="M416" s="1329">
        <v>385</v>
      </c>
      <c r="N416" s="1329"/>
      <c r="O416" s="1328"/>
    </row>
    <row r="417" spans="1:15" x14ac:dyDescent="0.25">
      <c r="A417" s="1144" t="s">
        <v>1374</v>
      </c>
      <c r="B417" s="1047" t="str">
        <f ca="1">IF('[2]Pricing Schedule'!$K$5="No",_xlfn.CONCAT(IFERROR(SUBSTITUTE(ADDRESS(1,MATCH(A417,INDIRECT("'"&amp;E417&amp;"'"&amp;"!A10:Z10"),0),4),1,""),""),30),_xlfn.CONCAT(IFERROR(SUBSTITUTE(ADDRESS(1,MATCH(A417,INDIRECT("'"&amp;E417&amp;"'"&amp;"!A10:Z10"),0),4),1,""),""),64))</f>
        <v>C30</v>
      </c>
      <c r="C417" s="1047" t="str">
        <f ca="1">IF('[2]Pricing Schedule'!$K$5="No",IFERROR(SUBSTITUTE(ADDRESS(1,MATCH(A417,INDIRECT("'"&amp;E417&amp;"'"&amp;"!A10:Z10"),0),4),1,""),""),IFERROR(SUBSTITUTE(ADDRESS(1,MATCH(A417,INDIRECT("'"&amp;E417&amp;"'"&amp;"!A10:Z10"),0),4),1,""),""))</f>
        <v>C</v>
      </c>
      <c r="D417" s="1050" t="s">
        <v>1464</v>
      </c>
      <c r="E417" s="1050" t="s">
        <v>1373</v>
      </c>
      <c r="F417" s="1328"/>
      <c r="G417" s="1328"/>
      <c r="H417" s="1328"/>
      <c r="I417" s="1328"/>
      <c r="J417" s="1328"/>
      <c r="K417" s="1328"/>
      <c r="L417" s="1113" t="s">
        <v>254</v>
      </c>
      <c r="M417" s="1329">
        <v>386</v>
      </c>
      <c r="N417" s="1329"/>
      <c r="O417" s="1328"/>
    </row>
    <row r="418" spans="1:15" x14ac:dyDescent="0.25">
      <c r="A418" s="1144" t="s">
        <v>1339</v>
      </c>
      <c r="B418" s="1047" t="str">
        <f ca="1">IF('[2]Pricing Schedule'!$K$5="No",_xlfn.CONCAT(IFERROR(SUBSTITUTE(ADDRESS(1,MATCH(A418,INDIRECT("'"&amp;E418&amp;"'"&amp;"!A10:Z10"),0),4),1,""),""),30),_xlfn.CONCAT(IFERROR(SUBSTITUTE(ADDRESS(1,MATCH(A418,INDIRECT("'"&amp;E418&amp;"'"&amp;"!A10:Z10"),0),4),1,""),""),64))</f>
        <v>H30</v>
      </c>
      <c r="C418" s="1047" t="str">
        <f ca="1">IF('[2]Pricing Schedule'!$K$5="No",IFERROR(SUBSTITUTE(ADDRESS(1,MATCH(A418,INDIRECT("'"&amp;E418&amp;"'"&amp;"!A10:Z10"),0),4),1,""),""),IFERROR(SUBSTITUTE(ADDRESS(1,MATCH(A418,INDIRECT("'"&amp;E418&amp;"'"&amp;"!A10:Z10"),0),4),1,""),""))</f>
        <v>H</v>
      </c>
      <c r="D418" s="1050" t="s">
        <v>1464</v>
      </c>
      <c r="E418" s="1050" t="s">
        <v>1373</v>
      </c>
      <c r="F418" s="1328"/>
      <c r="G418" s="1328"/>
      <c r="H418" s="1328"/>
      <c r="I418" s="1328"/>
      <c r="J418" s="1328"/>
      <c r="K418" s="1328"/>
      <c r="L418" s="1113" t="s">
        <v>1339</v>
      </c>
      <c r="M418" s="1329">
        <v>387</v>
      </c>
      <c r="N418" s="1329"/>
      <c r="O418" s="1328"/>
    </row>
    <row r="419" spans="1:15" x14ac:dyDescent="0.25">
      <c r="A419" s="1144" t="s">
        <v>1377</v>
      </c>
      <c r="B419" s="1047" t="str">
        <f ca="1">IF('[2]Pricing Schedule'!$K$5="No",_xlfn.CONCAT(IFERROR(SUBSTITUTE(ADDRESS(1,MATCH(A419,INDIRECT("'"&amp;E419&amp;"'"&amp;"!A10:Z10"),0),4),1,""),""),30),_xlfn.CONCAT(IFERROR(SUBSTITUTE(ADDRESS(1,MATCH(A419,INDIRECT("'"&amp;E419&amp;"'"&amp;"!A10:Z10"),0),4),1,""),""),64))</f>
        <v>F30</v>
      </c>
      <c r="C419" s="1047" t="str">
        <f ca="1">IF('[2]Pricing Schedule'!$K$5="No",IFERROR(SUBSTITUTE(ADDRESS(1,MATCH(A419,INDIRECT("'"&amp;E419&amp;"'"&amp;"!A10:Z10"),0),4),1,""),""),IFERROR(SUBSTITUTE(ADDRESS(1,MATCH(A419,INDIRECT("'"&amp;E419&amp;"'"&amp;"!A10:Z10"),0),4),1,""),""))</f>
        <v>F</v>
      </c>
      <c r="D419" s="1050" t="s">
        <v>1464</v>
      </c>
      <c r="E419" s="1050" t="s">
        <v>1373</v>
      </c>
      <c r="F419" s="1328"/>
      <c r="G419" s="1328"/>
      <c r="H419" s="1328"/>
      <c r="I419" s="1328"/>
      <c r="J419" s="1328"/>
      <c r="K419" s="1328"/>
      <c r="L419" s="1113" t="s">
        <v>225</v>
      </c>
      <c r="M419" s="1329">
        <v>388</v>
      </c>
      <c r="N419" s="1329"/>
      <c r="O419" s="132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9" t="s">
        <v>1464</v>
      </c>
      <c r="E420" s="1050" t="s">
        <v>208</v>
      </c>
      <c r="F420" s="1328"/>
      <c r="G420" s="1328"/>
      <c r="H420" s="1328"/>
      <c r="I420" s="1328"/>
      <c r="J420" s="1328"/>
      <c r="K420" s="1328"/>
      <c r="L420" s="1113" t="s">
        <v>466</v>
      </c>
      <c r="M420" s="1329">
        <v>389</v>
      </c>
      <c r="N420" s="1329"/>
      <c r="O420" s="1328"/>
    </row>
    <row r="421" spans="1:15" x14ac:dyDescent="0.25">
      <c r="A421" s="1145" t="s">
        <v>1376</v>
      </c>
      <c r="B421" s="1047" t="str">
        <f ca="1">IF('[2]Pricing Schedule'!$K$5="No",_xlfn.CONCAT(IFERROR(SUBSTITUTE(ADDRESS(1,MATCH(A421,INDIRECT("'"&amp;E421&amp;"'"&amp;"!A10:Z10"),0),4),1,""),""),30),_xlfn.CONCAT(IFERROR(SUBSTITUTE(ADDRESS(1,MATCH(A421,INDIRECT("'"&amp;E421&amp;"'"&amp;"!A10:Z10"),0),4),1,""),""),64))</f>
        <v>E30</v>
      </c>
      <c r="C421" s="1047" t="str">
        <f ca="1">IF('[2]Pricing Schedule'!$K$5="No",IFERROR(SUBSTITUTE(ADDRESS(1,MATCH(A421,INDIRECT("'"&amp;E421&amp;"'"&amp;"!A10:Z10"),0),4),1,""),""),IFERROR(SUBSTITUTE(ADDRESS(1,MATCH(A421,INDIRECT("'"&amp;E421&amp;"'"&amp;"!A10:Z10"),0),4),1,""),""))</f>
        <v>E</v>
      </c>
      <c r="D421" s="1050" t="s">
        <v>1464</v>
      </c>
      <c r="E421" s="1050" t="s">
        <v>1373</v>
      </c>
      <c r="F421" s="1328"/>
      <c r="G421" s="1328"/>
      <c r="H421" s="1328"/>
      <c r="I421" s="1328"/>
      <c r="J421" s="1328"/>
      <c r="K421" s="1328"/>
      <c r="L421" s="1113" t="s">
        <v>1376</v>
      </c>
      <c r="M421" s="1329">
        <v>390</v>
      </c>
      <c r="N421" s="1329"/>
      <c r="O421" s="1328"/>
    </row>
    <row r="422" spans="1:15" x14ac:dyDescent="0.25">
      <c r="A422" s="1145" t="s">
        <v>1378</v>
      </c>
      <c r="B422" s="1047" t="str">
        <f ca="1">IF('[2]Pricing Schedule'!$K$5="No",_xlfn.CONCAT(IFERROR(SUBSTITUTE(ADDRESS(1,MATCH(A422,INDIRECT("'"&amp;E422&amp;"'"&amp;"!A10:Z10"),0),4),1,""),""),30),_xlfn.CONCAT(IFERROR(SUBSTITUTE(ADDRESS(1,MATCH(A422,INDIRECT("'"&amp;E422&amp;"'"&amp;"!A10:Z10"),0),4),1,""),""),64))</f>
        <v>G30</v>
      </c>
      <c r="C422" s="1047" t="str">
        <f ca="1">IF('[2]Pricing Schedule'!$K$5="No",IFERROR(SUBSTITUTE(ADDRESS(1,MATCH(A422,INDIRECT("'"&amp;E422&amp;"'"&amp;"!A10:Z10"),0),4),1,""),""),IFERROR(SUBSTITUTE(ADDRESS(1,MATCH(A422,INDIRECT("'"&amp;E422&amp;"'"&amp;"!A10:Z10"),0),4),1,""),""))</f>
        <v>G</v>
      </c>
      <c r="D422" s="1050" t="s">
        <v>1464</v>
      </c>
      <c r="E422" s="1050" t="s">
        <v>1373</v>
      </c>
      <c r="F422" s="1328"/>
      <c r="G422" s="1328"/>
      <c r="H422" s="1328"/>
      <c r="I422" s="1328"/>
      <c r="J422" s="1328"/>
      <c r="K422" s="1328"/>
      <c r="L422" s="1113" t="s">
        <v>1378</v>
      </c>
      <c r="M422" s="1329">
        <v>391</v>
      </c>
      <c r="N422" s="1329"/>
      <c r="O422" s="1328"/>
    </row>
    <row r="423" spans="1:15" x14ac:dyDescent="0.25">
      <c r="A423" s="1145" t="s">
        <v>1379</v>
      </c>
      <c r="B423" s="1047" t="str">
        <f ca="1">IF('[2]Pricing Schedule'!$K$5="No",_xlfn.CONCAT(IFERROR(SUBSTITUTE(ADDRESS(1,MATCH(A423,INDIRECT("'"&amp;E423&amp;"'"&amp;"!A10:Z10"),0),4),1,""),""),30),_xlfn.CONCAT(IFERROR(SUBSTITUTE(ADDRESS(1,MATCH(A423,INDIRECT("'"&amp;E423&amp;"'"&amp;"!A10:Z10"),0),4),1,""),""),64))</f>
        <v>I30</v>
      </c>
      <c r="C423" s="1047" t="str">
        <f ca="1">IF('[2]Pricing Schedule'!$K$5="No",IFERROR(SUBSTITUTE(ADDRESS(1,MATCH(A423,INDIRECT("'"&amp;E423&amp;"'"&amp;"!A10:Z10"),0),4),1,""),""),IFERROR(SUBSTITUTE(ADDRESS(1,MATCH(A423,INDIRECT("'"&amp;E423&amp;"'"&amp;"!A10:Z10"),0),4),1,""),""))</f>
        <v>I</v>
      </c>
      <c r="D423" s="1050" t="s">
        <v>1464</v>
      </c>
      <c r="E423" s="1050" t="s">
        <v>1373</v>
      </c>
      <c r="F423" s="1328"/>
      <c r="G423" s="1328"/>
      <c r="H423" s="1328"/>
      <c r="I423" s="1328"/>
      <c r="J423" s="1328"/>
      <c r="K423" s="1328"/>
      <c r="L423" s="1113" t="s">
        <v>1379</v>
      </c>
      <c r="M423" s="1329">
        <v>392</v>
      </c>
      <c r="N423" s="1329"/>
      <c r="O423" s="1328"/>
    </row>
    <row r="424" spans="1:15" x14ac:dyDescent="0.25">
      <c r="A424" s="1145" t="s">
        <v>1380</v>
      </c>
      <c r="B424" s="1047" t="str">
        <f ca="1">IF('[2]Pricing Schedule'!$K$5="No",_xlfn.CONCAT(IFERROR(SUBSTITUTE(ADDRESS(1,MATCH(A424,INDIRECT("'"&amp;E424&amp;"'"&amp;"!A10:Z10"),0),4),1,""),""),30),_xlfn.CONCAT(IFERROR(SUBSTITUTE(ADDRESS(1,MATCH(A424,INDIRECT("'"&amp;E424&amp;"'"&amp;"!A10:Z10"),0),4),1,""),""),64))</f>
        <v>J30</v>
      </c>
      <c r="C424" s="1047" t="str">
        <f ca="1">IF('[2]Pricing Schedule'!$K$5="No",IFERROR(SUBSTITUTE(ADDRESS(1,MATCH(A424,INDIRECT("'"&amp;E424&amp;"'"&amp;"!A10:Z10"),0),4),1,""),""),IFERROR(SUBSTITUTE(ADDRESS(1,MATCH(A424,INDIRECT("'"&amp;E424&amp;"'"&amp;"!A10:Z10"),0),4),1,""),""))</f>
        <v>J</v>
      </c>
      <c r="D424" s="1050" t="s">
        <v>1464</v>
      </c>
      <c r="E424" s="1050" t="s">
        <v>1373</v>
      </c>
      <c r="F424" s="1328"/>
      <c r="G424" s="1328"/>
      <c r="H424" s="1328"/>
      <c r="I424" s="1328"/>
      <c r="J424" s="1328"/>
      <c r="K424" s="1328"/>
      <c r="L424" s="1113" t="s">
        <v>1380</v>
      </c>
      <c r="M424" s="1329">
        <v>393</v>
      </c>
      <c r="N424" s="1329"/>
      <c r="O424" s="1328"/>
    </row>
    <row r="425" spans="1:15" x14ac:dyDescent="0.25">
      <c r="A425" s="1145" t="s">
        <v>1381</v>
      </c>
      <c r="B425" s="1047" t="str">
        <f ca="1">IF('[2]Pricing Schedule'!$K$5="No",_xlfn.CONCAT(IFERROR(SUBSTITUTE(ADDRESS(1,MATCH(A425,INDIRECT("'"&amp;E425&amp;"'"&amp;"!A10:Z10"),0),4),1,""),""),30),_xlfn.CONCAT(IFERROR(SUBSTITUTE(ADDRESS(1,MATCH(A425,INDIRECT("'"&amp;E425&amp;"'"&amp;"!A10:Z10"),0),4),1,""),""),64))</f>
        <v>K30</v>
      </c>
      <c r="C425" s="1047" t="str">
        <f ca="1">IF('[2]Pricing Schedule'!$K$5="No",IFERROR(SUBSTITUTE(ADDRESS(1,MATCH(A425,INDIRECT("'"&amp;E425&amp;"'"&amp;"!A10:Z10"),0),4),1,""),""),IFERROR(SUBSTITUTE(ADDRESS(1,MATCH(A425,INDIRECT("'"&amp;E425&amp;"'"&amp;"!A10:Z10"),0),4),1,""),""))</f>
        <v>K</v>
      </c>
      <c r="D425" s="1050" t="s">
        <v>1464</v>
      </c>
      <c r="E425" s="1050" t="s">
        <v>1373</v>
      </c>
      <c r="F425" s="1328"/>
      <c r="G425" s="1328"/>
      <c r="H425" s="1328"/>
      <c r="I425" s="1328"/>
      <c r="J425" s="1328"/>
      <c r="K425" s="1328"/>
      <c r="L425" s="1113" t="s">
        <v>1381</v>
      </c>
      <c r="M425" s="1329">
        <v>394</v>
      </c>
      <c r="N425" s="1329"/>
      <c r="O425" s="1328"/>
    </row>
    <row r="426" spans="1:15" x14ac:dyDescent="0.25">
      <c r="A426" s="1145" t="s">
        <v>1382</v>
      </c>
      <c r="B426" s="1047" t="str">
        <f ca="1">IF('[2]Pricing Schedule'!$K$5="No",_xlfn.CONCAT(IFERROR(SUBSTITUTE(ADDRESS(1,MATCH(A426,INDIRECT("'"&amp;E426&amp;"'"&amp;"!A10:Z10"),0),4),1,""),""),30),_xlfn.CONCAT(IFERROR(SUBSTITUTE(ADDRESS(1,MATCH(A426,INDIRECT("'"&amp;E426&amp;"'"&amp;"!A10:Z10"),0),4),1,""),""),64))</f>
        <v>L30</v>
      </c>
      <c r="C426" s="1047" t="str">
        <f ca="1">IF('[2]Pricing Schedule'!$K$5="No",IFERROR(SUBSTITUTE(ADDRESS(1,MATCH(A426,INDIRECT("'"&amp;E426&amp;"'"&amp;"!A10:Z10"),0),4),1,""),""),IFERROR(SUBSTITUTE(ADDRESS(1,MATCH(A426,INDIRECT("'"&amp;E426&amp;"'"&amp;"!A10:Z10"),0),4),1,""),""))</f>
        <v>L</v>
      </c>
      <c r="D426" s="1050" t="s">
        <v>1464</v>
      </c>
      <c r="E426" s="1050" t="s">
        <v>1373</v>
      </c>
      <c r="F426" s="1328"/>
      <c r="G426" s="1328"/>
      <c r="H426" s="1328"/>
      <c r="I426" s="1328"/>
      <c r="J426" s="1328"/>
      <c r="K426" s="1328"/>
      <c r="L426" s="1113" t="s">
        <v>1382</v>
      </c>
      <c r="M426" s="1329">
        <v>395</v>
      </c>
      <c r="N426" s="1329"/>
      <c r="O426" s="1328"/>
    </row>
    <row r="427" spans="1:15" x14ac:dyDescent="0.25">
      <c r="A427" s="1145" t="s">
        <v>1320</v>
      </c>
      <c r="B427" s="1047" t="str">
        <f ca="1">IF('[2]Pricing Schedule'!$K$5="No",_xlfn.CONCAT(IFERROR(SUBSTITUTE(ADDRESS(1,MATCH(A427,INDIRECT("'"&amp;E427&amp;"'"&amp;"!A10:Z10"),0),4),1,""),""),30),_xlfn.CONCAT(IFERROR(SUBSTITUTE(ADDRESS(1,MATCH(A427,INDIRECT("'"&amp;E427&amp;"'"&amp;"!A10:Z10"),0),4),1,""),""),64))</f>
        <v>M30</v>
      </c>
      <c r="C427" s="1047" t="str">
        <f ca="1">IF('[2]Pricing Schedule'!$K$5="No",IFERROR(SUBSTITUTE(ADDRESS(1,MATCH(A427,INDIRECT("'"&amp;E427&amp;"'"&amp;"!A10:Z10"),0),4),1,""),""),IFERROR(SUBSTITUTE(ADDRESS(1,MATCH(A427,INDIRECT("'"&amp;E427&amp;"'"&amp;"!A10:Z10"),0),4),1,""),""))</f>
        <v>M</v>
      </c>
      <c r="D427" s="1050" t="s">
        <v>1464</v>
      </c>
      <c r="E427" s="1050" t="s">
        <v>1373</v>
      </c>
      <c r="F427" s="1328"/>
      <c r="G427" s="1328"/>
      <c r="H427" s="1328"/>
      <c r="I427" s="1328"/>
      <c r="J427" s="1328"/>
      <c r="K427" s="1328"/>
      <c r="L427" s="1113" t="s">
        <v>1320</v>
      </c>
      <c r="M427" s="1329">
        <v>396</v>
      </c>
      <c r="N427" s="1329"/>
      <c r="O427" s="1328"/>
    </row>
    <row r="428" spans="1:15" x14ac:dyDescent="0.25">
      <c r="A428" s="1146" t="s">
        <v>1383</v>
      </c>
      <c r="B428" s="1047" t="str">
        <f ca="1">IF('[2]Pricing Schedule'!$K$5="No",_xlfn.CONCAT(IFERROR(SUBSTITUTE(ADDRESS(1,MATCH(A428,INDIRECT("'"&amp;E428&amp;"'"&amp;"!A10:Z10"),0),4),1,""),""),23),_xlfn.CONCAT(IFERROR(SUBSTITUTE(ADDRESS(1,MATCH(A428,INDIRECT("'"&amp;E428&amp;"'"&amp;"!A10:Z10"),0),4),1,""),""),57))</f>
        <v>N23</v>
      </c>
      <c r="C428" s="1047" t="str">
        <f ca="1">IF('[2]Pricing Schedule'!$K$5="No",IFERROR(SUBSTITUTE(ADDRESS(1,MATCH(A428,INDIRECT("'"&amp;E428&amp;"'"&amp;"!A10:Z10"),0),4),1,""),""),IFERROR(SUBSTITUTE(ADDRESS(1,MATCH(A428,INDIRECT("'"&amp;E428&amp;"'"&amp;"!A10:Z10"),0),4),1,""),""))</f>
        <v>N</v>
      </c>
      <c r="D428" s="1050" t="s">
        <v>1464</v>
      </c>
      <c r="E428" s="1050" t="s">
        <v>1373</v>
      </c>
      <c r="F428" s="1328"/>
      <c r="G428" s="1328"/>
      <c r="H428" s="1328"/>
      <c r="I428" s="1328"/>
      <c r="J428" s="1328"/>
      <c r="K428" s="1328"/>
      <c r="L428" s="1113" t="s">
        <v>1383</v>
      </c>
      <c r="M428" s="1329">
        <v>397</v>
      </c>
      <c r="N428" s="1329"/>
      <c r="O428" s="1328"/>
    </row>
    <row r="429" spans="1:15" x14ac:dyDescent="0.25">
      <c r="A429" s="1147" t="s">
        <v>1374</v>
      </c>
      <c r="B429" s="1047" t="str">
        <f ca="1">IF('[2]Pricing Schedule'!$K$5="No",_xlfn.CONCAT(IFERROR(SUBSTITUTE(ADDRESS(1,MATCH(A429,INDIRECT("'"&amp;E429&amp;"'"&amp;"!A10:Z10"),0),4),1,""),""),23),_xlfn.CONCAT(IFERROR(SUBSTITUTE(ADDRESS(1,MATCH(A429,INDIRECT("'"&amp;E429&amp;"'"&amp;"!A10:Z10"),0),4),1,""),""),57))</f>
        <v>C23</v>
      </c>
      <c r="C429" s="1047" t="str">
        <f ca="1">IF('[2]Pricing Schedule'!$K$5="No",IFERROR(SUBSTITUTE(ADDRESS(1,MATCH(A429,INDIRECT("'"&amp;E429&amp;"'"&amp;"!A10:Z10"),0),4),1,""),""),IFERROR(SUBSTITUTE(ADDRESS(1,MATCH(A429,INDIRECT("'"&amp;E429&amp;"'"&amp;"!A10:Z10"),0),4),1,""),""))</f>
        <v>C</v>
      </c>
      <c r="D429" s="1050" t="s">
        <v>1464</v>
      </c>
      <c r="E429" s="1050" t="s">
        <v>1373</v>
      </c>
      <c r="F429" s="1328"/>
      <c r="G429" s="1328"/>
      <c r="H429" s="1328"/>
      <c r="I429" s="1328"/>
      <c r="J429" s="1328"/>
      <c r="K429" s="1328"/>
      <c r="L429" s="1113" t="s">
        <v>254</v>
      </c>
      <c r="M429" s="1329">
        <v>398</v>
      </c>
      <c r="N429" s="1329"/>
      <c r="O429" s="1328"/>
    </row>
    <row r="430" spans="1:15" x14ac:dyDescent="0.25">
      <c r="A430" s="1147" t="s">
        <v>1339</v>
      </c>
      <c r="B430" s="1047" t="str">
        <f ca="1">IF('[2]Pricing Schedule'!$K$5="No",_xlfn.CONCAT(IFERROR(SUBSTITUTE(ADDRESS(1,MATCH(A430,INDIRECT("'"&amp;E430&amp;"'"&amp;"!A10:Z10"),0),4),1,""),""),23),_xlfn.CONCAT(IFERROR(SUBSTITUTE(ADDRESS(1,MATCH(A430,INDIRECT("'"&amp;E430&amp;"'"&amp;"!A10:Z10"),0),4),1,""),""),57))</f>
        <v>H23</v>
      </c>
      <c r="C430" s="1047" t="str">
        <f ca="1">IF('[2]Pricing Schedule'!$K$5="No",IFERROR(SUBSTITUTE(ADDRESS(1,MATCH(A430,INDIRECT("'"&amp;E430&amp;"'"&amp;"!A10:Z10"),0),4),1,""),""),IFERROR(SUBSTITUTE(ADDRESS(1,MATCH(A430,INDIRECT("'"&amp;E430&amp;"'"&amp;"!A10:Z10"),0),4),1,""),""))</f>
        <v>H</v>
      </c>
      <c r="D430" s="1050" t="s">
        <v>1464</v>
      </c>
      <c r="E430" s="1050" t="s">
        <v>1373</v>
      </c>
      <c r="F430" s="1328"/>
      <c r="G430" s="1328"/>
      <c r="H430" s="1328"/>
      <c r="I430" s="1328"/>
      <c r="J430" s="1328"/>
      <c r="K430" s="1328"/>
      <c r="L430" s="1113" t="s">
        <v>1339</v>
      </c>
      <c r="M430" s="1329">
        <v>399</v>
      </c>
      <c r="N430" s="1329"/>
      <c r="O430" s="1328"/>
    </row>
    <row r="431" spans="1:15" x14ac:dyDescent="0.25">
      <c r="A431" s="1147" t="s">
        <v>1377</v>
      </c>
      <c r="B431" s="1047" t="str">
        <f ca="1">IF('[2]Pricing Schedule'!$K$5="No",_xlfn.CONCAT(IFERROR(SUBSTITUTE(ADDRESS(1,MATCH(A431,INDIRECT("'"&amp;E431&amp;"'"&amp;"!A10:Z10"),0),4),1,""),""),23),_xlfn.CONCAT(IFERROR(SUBSTITUTE(ADDRESS(1,MATCH(A431,INDIRECT("'"&amp;E431&amp;"'"&amp;"!A10:Z10"),0),4),1,""),""),57))</f>
        <v>F23</v>
      </c>
      <c r="C431" s="1047" t="str">
        <f ca="1">IF('[2]Pricing Schedule'!$K$5="No",IFERROR(SUBSTITUTE(ADDRESS(1,MATCH(A431,INDIRECT("'"&amp;E431&amp;"'"&amp;"!A10:Z10"),0),4),1,""),""),IFERROR(SUBSTITUTE(ADDRESS(1,MATCH(A431,INDIRECT("'"&amp;E431&amp;"'"&amp;"!A10:Z10"),0),4),1,""),""))</f>
        <v>F</v>
      </c>
      <c r="D431" s="1050" t="s">
        <v>1464</v>
      </c>
      <c r="E431" s="1050" t="s">
        <v>1373</v>
      </c>
      <c r="F431" s="1328"/>
      <c r="G431" s="1328"/>
      <c r="H431" s="1328"/>
      <c r="I431" s="1328"/>
      <c r="J431" s="1328"/>
      <c r="K431" s="1328"/>
      <c r="L431" s="1113" t="s">
        <v>225</v>
      </c>
      <c r="M431" s="1329">
        <v>400</v>
      </c>
      <c r="N431" s="1329"/>
      <c r="O431" s="132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9" t="s">
        <v>1464</v>
      </c>
      <c r="E432" s="1050" t="s">
        <v>208</v>
      </c>
      <c r="F432" s="1328"/>
      <c r="G432" s="1328"/>
      <c r="H432" s="1328"/>
      <c r="I432" s="1328"/>
      <c r="J432" s="1328"/>
      <c r="K432" s="1328"/>
      <c r="L432" s="1113" t="s">
        <v>466</v>
      </c>
      <c r="M432" s="1329">
        <v>401</v>
      </c>
      <c r="N432" s="1329"/>
      <c r="O432" s="1328"/>
    </row>
    <row r="433" spans="1:15" x14ac:dyDescent="0.25">
      <c r="A433" s="1148" t="s">
        <v>1376</v>
      </c>
      <c r="B433" s="1047" t="str">
        <f ca="1">IF('[2]Pricing Schedule'!$K$5="No",_xlfn.CONCAT(IFERROR(SUBSTITUTE(ADDRESS(1,MATCH(A433,INDIRECT("'"&amp;E433&amp;"'"&amp;"!A10:Z10"),0),4),1,""),""),23),_xlfn.CONCAT(IFERROR(SUBSTITUTE(ADDRESS(1,MATCH(A433,INDIRECT("'"&amp;E433&amp;"'"&amp;"!A10:Z10"),0),4),1,""),""),57))</f>
        <v>E23</v>
      </c>
      <c r="C433" s="1047" t="str">
        <f ca="1">IF('[2]Pricing Schedule'!$K$5="No",IFERROR(SUBSTITUTE(ADDRESS(1,MATCH(A433,INDIRECT("'"&amp;E433&amp;"'"&amp;"!A10:Z10"),0),4),1,""),""),IFERROR(SUBSTITUTE(ADDRESS(1,MATCH(A433,INDIRECT("'"&amp;E433&amp;"'"&amp;"!A10:Z10"),0),4),1,""),""))</f>
        <v>E</v>
      </c>
      <c r="D433" s="1050" t="s">
        <v>1464</v>
      </c>
      <c r="E433" s="1050" t="s">
        <v>1373</v>
      </c>
      <c r="F433" s="1328"/>
      <c r="G433" s="1328"/>
      <c r="H433" s="1328"/>
      <c r="I433" s="1328"/>
      <c r="J433" s="1328"/>
      <c r="K433" s="1328"/>
      <c r="L433" s="1113" t="s">
        <v>1376</v>
      </c>
      <c r="M433" s="1329">
        <v>402</v>
      </c>
      <c r="N433" s="1329"/>
      <c r="O433" s="1328"/>
    </row>
    <row r="434" spans="1:15" x14ac:dyDescent="0.25">
      <c r="A434" s="1148" t="s">
        <v>1378</v>
      </c>
      <c r="B434" s="1047" t="str">
        <f ca="1">IF('[2]Pricing Schedule'!$K$5="No",_xlfn.CONCAT(IFERROR(SUBSTITUTE(ADDRESS(1,MATCH(A434,INDIRECT("'"&amp;E434&amp;"'"&amp;"!A10:Z10"),0),4),1,""),""),23),_xlfn.CONCAT(IFERROR(SUBSTITUTE(ADDRESS(1,MATCH(A434,INDIRECT("'"&amp;E434&amp;"'"&amp;"!A10:Z10"),0),4),1,""),""),57))</f>
        <v>G23</v>
      </c>
      <c r="C434" s="1047" t="str">
        <f ca="1">IF('[2]Pricing Schedule'!$K$5="No",IFERROR(SUBSTITUTE(ADDRESS(1,MATCH(A434,INDIRECT("'"&amp;E434&amp;"'"&amp;"!A10:Z10"),0),4),1,""),""),IFERROR(SUBSTITUTE(ADDRESS(1,MATCH(A434,INDIRECT("'"&amp;E434&amp;"'"&amp;"!A10:Z10"),0),4),1,""),""))</f>
        <v>G</v>
      </c>
      <c r="D434" s="1050" t="s">
        <v>1464</v>
      </c>
      <c r="E434" s="1050" t="s">
        <v>1373</v>
      </c>
      <c r="F434" s="1328"/>
      <c r="G434" s="1328"/>
      <c r="H434" s="1328"/>
      <c r="I434" s="1328"/>
      <c r="J434" s="1328"/>
      <c r="K434" s="1328"/>
      <c r="L434" s="1113" t="s">
        <v>1378</v>
      </c>
      <c r="M434" s="1329">
        <v>403</v>
      </c>
      <c r="N434" s="1329"/>
      <c r="O434" s="1328"/>
    </row>
    <row r="435" spans="1:15" x14ac:dyDescent="0.25">
      <c r="A435" s="1148" t="s">
        <v>1379</v>
      </c>
      <c r="B435" s="1047" t="str">
        <f ca="1">IF('[2]Pricing Schedule'!$K$5="No",_xlfn.CONCAT(IFERROR(SUBSTITUTE(ADDRESS(1,MATCH(A435,INDIRECT("'"&amp;E435&amp;"'"&amp;"!A10:Z10"),0),4),1,""),""),23),_xlfn.CONCAT(IFERROR(SUBSTITUTE(ADDRESS(1,MATCH(A435,INDIRECT("'"&amp;E435&amp;"'"&amp;"!A10:Z10"),0),4),1,""),""),57))</f>
        <v>I23</v>
      </c>
      <c r="C435" s="1047" t="str">
        <f ca="1">IF('[2]Pricing Schedule'!$K$5="No",IFERROR(SUBSTITUTE(ADDRESS(1,MATCH(A435,INDIRECT("'"&amp;E435&amp;"'"&amp;"!A10:Z10"),0),4),1,""),""),IFERROR(SUBSTITUTE(ADDRESS(1,MATCH(A435,INDIRECT("'"&amp;E435&amp;"'"&amp;"!A10:Z10"),0),4),1,""),""))</f>
        <v>I</v>
      </c>
      <c r="D435" s="1050" t="s">
        <v>1464</v>
      </c>
      <c r="E435" s="1050" t="s">
        <v>1373</v>
      </c>
      <c r="F435" s="1328"/>
      <c r="G435" s="1328"/>
      <c r="H435" s="1328"/>
      <c r="I435" s="1328"/>
      <c r="J435" s="1328"/>
      <c r="K435" s="1328"/>
      <c r="L435" s="1113" t="s">
        <v>1379</v>
      </c>
      <c r="M435" s="1329">
        <v>404</v>
      </c>
      <c r="N435" s="1329"/>
      <c r="O435" s="1328"/>
    </row>
    <row r="436" spans="1:15" x14ac:dyDescent="0.25">
      <c r="A436" s="1148" t="s">
        <v>1380</v>
      </c>
      <c r="B436" s="1047" t="str">
        <f ca="1">IF('[2]Pricing Schedule'!$K$5="No",_xlfn.CONCAT(IFERROR(SUBSTITUTE(ADDRESS(1,MATCH(A436,INDIRECT("'"&amp;E436&amp;"'"&amp;"!A10:Z10"),0),4),1,""),""),23),_xlfn.CONCAT(IFERROR(SUBSTITUTE(ADDRESS(1,MATCH(A436,INDIRECT("'"&amp;E436&amp;"'"&amp;"!A10:Z10"),0),4),1,""),""),57))</f>
        <v>J23</v>
      </c>
      <c r="C436" s="1047" t="str">
        <f ca="1">IF('[2]Pricing Schedule'!$K$5="No",IFERROR(SUBSTITUTE(ADDRESS(1,MATCH(A436,INDIRECT("'"&amp;E436&amp;"'"&amp;"!A10:Z10"),0),4),1,""),""),IFERROR(SUBSTITUTE(ADDRESS(1,MATCH(A436,INDIRECT("'"&amp;E436&amp;"'"&amp;"!A10:Z10"),0),4),1,""),""))</f>
        <v>J</v>
      </c>
      <c r="D436" s="1050" t="s">
        <v>1464</v>
      </c>
      <c r="E436" s="1050" t="s">
        <v>1373</v>
      </c>
      <c r="F436" s="1328"/>
      <c r="G436" s="1328"/>
      <c r="H436" s="1328"/>
      <c r="I436" s="1328"/>
      <c r="J436" s="1328"/>
      <c r="K436" s="1328"/>
      <c r="L436" s="1113" t="s">
        <v>1380</v>
      </c>
      <c r="M436" s="1329">
        <v>405</v>
      </c>
      <c r="N436" s="1329"/>
      <c r="O436" s="1328"/>
    </row>
    <row r="437" spans="1:15" x14ac:dyDescent="0.25">
      <c r="A437" s="1148" t="s">
        <v>1381</v>
      </c>
      <c r="B437" s="1047" t="str">
        <f ca="1">IF('[2]Pricing Schedule'!$K$5="No",_xlfn.CONCAT(IFERROR(SUBSTITUTE(ADDRESS(1,MATCH(A437,INDIRECT("'"&amp;E437&amp;"'"&amp;"!A10:Z10"),0),4),1,""),""),23),_xlfn.CONCAT(IFERROR(SUBSTITUTE(ADDRESS(1,MATCH(A437,INDIRECT("'"&amp;E437&amp;"'"&amp;"!A10:Z10"),0),4),1,""),""),57))</f>
        <v>K23</v>
      </c>
      <c r="C437" s="1047" t="str">
        <f ca="1">IF('[2]Pricing Schedule'!$K$5="No",IFERROR(SUBSTITUTE(ADDRESS(1,MATCH(A437,INDIRECT("'"&amp;E437&amp;"'"&amp;"!A10:Z10"),0),4),1,""),""),IFERROR(SUBSTITUTE(ADDRESS(1,MATCH(A437,INDIRECT("'"&amp;E437&amp;"'"&amp;"!A10:Z10"),0),4),1,""),""))</f>
        <v>K</v>
      </c>
      <c r="D437" s="1050" t="s">
        <v>1464</v>
      </c>
      <c r="E437" s="1050" t="s">
        <v>1373</v>
      </c>
      <c r="F437" s="1328"/>
      <c r="G437" s="1328"/>
      <c r="H437" s="1328"/>
      <c r="I437" s="1328"/>
      <c r="J437" s="1328"/>
      <c r="K437" s="1328"/>
      <c r="L437" s="1113" t="s">
        <v>1381</v>
      </c>
      <c r="M437" s="1329">
        <v>406</v>
      </c>
      <c r="N437" s="1329"/>
      <c r="O437" s="1328"/>
    </row>
    <row r="438" spans="1:15" x14ac:dyDescent="0.25">
      <c r="A438" s="1148" t="s">
        <v>1382</v>
      </c>
      <c r="B438" s="1047" t="str">
        <f ca="1">IF('[2]Pricing Schedule'!$K$5="No",_xlfn.CONCAT(IFERROR(SUBSTITUTE(ADDRESS(1,MATCH(A438,INDIRECT("'"&amp;E438&amp;"'"&amp;"!A10:Z10"),0),4),1,""),""),23),_xlfn.CONCAT(IFERROR(SUBSTITUTE(ADDRESS(1,MATCH(A438,INDIRECT("'"&amp;E438&amp;"'"&amp;"!A10:Z10"),0),4),1,""),""),57))</f>
        <v>L23</v>
      </c>
      <c r="C438" s="1047" t="str">
        <f ca="1">IF('[2]Pricing Schedule'!$K$5="No",IFERROR(SUBSTITUTE(ADDRESS(1,MATCH(A438,INDIRECT("'"&amp;E438&amp;"'"&amp;"!A10:Z10"),0),4),1,""),""),IFERROR(SUBSTITUTE(ADDRESS(1,MATCH(A438,INDIRECT("'"&amp;E438&amp;"'"&amp;"!A10:Z10"),0),4),1,""),""))</f>
        <v>L</v>
      </c>
      <c r="D438" s="1050" t="s">
        <v>1464</v>
      </c>
      <c r="E438" s="1050" t="s">
        <v>1373</v>
      </c>
      <c r="F438" s="1328"/>
      <c r="G438" s="1328"/>
      <c r="H438" s="1328"/>
      <c r="I438" s="1328"/>
      <c r="J438" s="1328"/>
      <c r="K438" s="1328"/>
      <c r="L438" s="1113" t="s">
        <v>1382</v>
      </c>
      <c r="M438" s="1329">
        <v>407</v>
      </c>
      <c r="N438" s="1329"/>
      <c r="O438" s="1328"/>
    </row>
    <row r="439" spans="1:15" x14ac:dyDescent="0.25">
      <c r="A439" s="1148" t="s">
        <v>1320</v>
      </c>
      <c r="B439" s="1047" t="str">
        <f ca="1">IF('[2]Pricing Schedule'!$K$5="No",_xlfn.CONCAT(IFERROR(SUBSTITUTE(ADDRESS(1,MATCH(A439,INDIRECT("'"&amp;E439&amp;"'"&amp;"!A10:Z10"),0),4),1,""),""),23),_xlfn.CONCAT(IFERROR(SUBSTITUTE(ADDRESS(1,MATCH(A439,INDIRECT("'"&amp;E439&amp;"'"&amp;"!A10:Z10"),0),4),1,""),""),57))</f>
        <v>M23</v>
      </c>
      <c r="C439" s="1047" t="str">
        <f ca="1">IF('[2]Pricing Schedule'!$K$5="No",IFERROR(SUBSTITUTE(ADDRESS(1,MATCH(A439,INDIRECT("'"&amp;E439&amp;"'"&amp;"!A10:Z10"),0),4),1,""),""),IFERROR(SUBSTITUTE(ADDRESS(1,MATCH(A439,INDIRECT("'"&amp;E439&amp;"'"&amp;"!A10:Z10"),0),4),1,""),""))</f>
        <v>M</v>
      </c>
      <c r="D439" s="1050" t="s">
        <v>1464</v>
      </c>
      <c r="E439" s="1050" t="s">
        <v>1373</v>
      </c>
      <c r="F439" s="1328"/>
      <c r="G439" s="1328"/>
      <c r="H439" s="1328"/>
      <c r="I439" s="1328"/>
      <c r="J439" s="1328"/>
      <c r="K439" s="1328"/>
      <c r="L439" s="1113" t="s">
        <v>1320</v>
      </c>
      <c r="M439" s="1329">
        <v>408</v>
      </c>
      <c r="N439" s="1329"/>
      <c r="O439" s="1328"/>
    </row>
    <row r="440" spans="1:15" x14ac:dyDescent="0.25">
      <c r="A440" s="1143" t="s">
        <v>1383</v>
      </c>
      <c r="B440" s="1047" t="str">
        <f ca="1">IF('[2]Pricing Schedule'!$K$5="No",_xlfn.CONCAT(IFERROR(SUBSTITUTE(ADDRESS(1,MATCH(A440,INDIRECT("'"&amp;E440&amp;"'"&amp;"!A10:Z10"),0),4),1,""),""),24),_xlfn.CONCAT(IFERROR(SUBSTITUTE(ADDRESS(1,MATCH(A440,INDIRECT("'"&amp;E440&amp;"'"&amp;"!A10:Z10"),0),4),1,""),""),58))</f>
        <v>N24</v>
      </c>
      <c r="C440" s="1047" t="str">
        <f ca="1">IF('[2]Pricing Schedule'!$K$5="No",IFERROR(SUBSTITUTE(ADDRESS(1,MATCH(A440,INDIRECT("'"&amp;E440&amp;"'"&amp;"!A10:Z10"),0),4),1,""),""),IFERROR(SUBSTITUTE(ADDRESS(1,MATCH(A440,INDIRECT("'"&amp;E440&amp;"'"&amp;"!A10:Z10"),0),4),1,""),""))</f>
        <v>N</v>
      </c>
      <c r="D440" s="1050" t="s">
        <v>1464</v>
      </c>
      <c r="E440" s="1050" t="s">
        <v>1373</v>
      </c>
      <c r="F440" s="1328"/>
      <c r="G440" s="1328"/>
      <c r="H440" s="1328"/>
      <c r="I440" s="1328"/>
      <c r="J440" s="1328"/>
      <c r="K440" s="1328"/>
      <c r="L440" s="1113" t="s">
        <v>1383</v>
      </c>
      <c r="M440" s="1329">
        <v>409</v>
      </c>
      <c r="N440" s="1329"/>
      <c r="O440" s="1328"/>
    </row>
    <row r="441" spans="1:15" x14ac:dyDescent="0.25">
      <c r="A441" s="1144" t="s">
        <v>1374</v>
      </c>
      <c r="B441" s="1047" t="str">
        <f ca="1">IF('[2]Pricing Schedule'!$K$5="No",_xlfn.CONCAT(IFERROR(SUBSTITUTE(ADDRESS(1,MATCH(A441,INDIRECT("'"&amp;E441&amp;"'"&amp;"!A10:Z10"),0),4),1,""),""),24),_xlfn.CONCAT(IFERROR(SUBSTITUTE(ADDRESS(1,MATCH(A441,INDIRECT("'"&amp;E441&amp;"'"&amp;"!A10:Z10"),0),4),1,""),""),58))</f>
        <v>C24</v>
      </c>
      <c r="C441" s="1047" t="str">
        <f ca="1">IF('[2]Pricing Schedule'!$K$5="No",IFERROR(SUBSTITUTE(ADDRESS(1,MATCH(A441,INDIRECT("'"&amp;E441&amp;"'"&amp;"!A10:Z10"),0),4),1,""),""),IFERROR(SUBSTITUTE(ADDRESS(1,MATCH(A441,INDIRECT("'"&amp;E441&amp;"'"&amp;"!A10:Z10"),0),4),1,""),""))</f>
        <v>C</v>
      </c>
      <c r="D441" s="1050" t="s">
        <v>1464</v>
      </c>
      <c r="E441" s="1050" t="s">
        <v>1373</v>
      </c>
      <c r="F441" s="1328"/>
      <c r="G441" s="1328"/>
      <c r="H441" s="1328"/>
      <c r="I441" s="1328"/>
      <c r="J441" s="1328"/>
      <c r="K441" s="1328"/>
      <c r="L441" s="1113" t="s">
        <v>254</v>
      </c>
      <c r="M441" s="1329">
        <v>420</v>
      </c>
      <c r="N441" s="1329"/>
      <c r="O441" s="1328"/>
    </row>
    <row r="442" spans="1:15" x14ac:dyDescent="0.25">
      <c r="A442" s="1144" t="s">
        <v>1339</v>
      </c>
      <c r="B442" s="1047" t="str">
        <f ca="1">IF('[2]Pricing Schedule'!$K$5="No",_xlfn.CONCAT(IFERROR(SUBSTITUTE(ADDRESS(1,MATCH(A442,INDIRECT("'"&amp;E442&amp;"'"&amp;"!A10:Z10"),0),4),1,""),""),24),_xlfn.CONCAT(IFERROR(SUBSTITUTE(ADDRESS(1,MATCH(A442,INDIRECT("'"&amp;E442&amp;"'"&amp;"!A10:Z10"),0),4),1,""),""),58))</f>
        <v>H24</v>
      </c>
      <c r="C442" s="1047" t="str">
        <f ca="1">IF('[2]Pricing Schedule'!$K$5="No",IFERROR(SUBSTITUTE(ADDRESS(1,MATCH(A442,INDIRECT("'"&amp;E442&amp;"'"&amp;"!A10:Z10"),0),4),1,""),""),IFERROR(SUBSTITUTE(ADDRESS(1,MATCH(A442,INDIRECT("'"&amp;E442&amp;"'"&amp;"!A10:Z10"),0),4),1,""),""))</f>
        <v>H</v>
      </c>
      <c r="D442" s="1050" t="s">
        <v>1464</v>
      </c>
      <c r="E442" s="1050" t="s">
        <v>1373</v>
      </c>
      <c r="F442" s="1328"/>
      <c r="G442" s="1328"/>
      <c r="H442" s="1328"/>
      <c r="I442" s="1328"/>
      <c r="J442" s="1328"/>
      <c r="K442" s="1328"/>
      <c r="L442" s="1113" t="s">
        <v>1339</v>
      </c>
      <c r="M442" s="1329">
        <v>411</v>
      </c>
      <c r="N442" s="1329"/>
      <c r="O442" s="1328"/>
    </row>
    <row r="443" spans="1:15" x14ac:dyDescent="0.25">
      <c r="A443" s="1144" t="s">
        <v>1377</v>
      </c>
      <c r="B443" s="1047" t="str">
        <f ca="1">IF('[2]Pricing Schedule'!$K$5="No",_xlfn.CONCAT(IFERROR(SUBSTITUTE(ADDRESS(1,MATCH(A443,INDIRECT("'"&amp;E443&amp;"'"&amp;"!A10:Z10"),0),4),1,""),""),24),_xlfn.CONCAT(IFERROR(SUBSTITUTE(ADDRESS(1,MATCH(A443,INDIRECT("'"&amp;E443&amp;"'"&amp;"!A10:Z10"),0),4),1,""),""),58))</f>
        <v>F24</v>
      </c>
      <c r="C443" s="1047" t="str">
        <f ca="1">IF('[2]Pricing Schedule'!$K$5="No",IFERROR(SUBSTITUTE(ADDRESS(1,MATCH(A443,INDIRECT("'"&amp;E443&amp;"'"&amp;"!A10:Z10"),0),4),1,""),""),IFERROR(SUBSTITUTE(ADDRESS(1,MATCH(A443,INDIRECT("'"&amp;E443&amp;"'"&amp;"!A10:Z10"),0),4),1,""),""))</f>
        <v>F</v>
      </c>
      <c r="D443" s="1050" t="s">
        <v>1464</v>
      </c>
      <c r="E443" s="1050" t="s">
        <v>1373</v>
      </c>
      <c r="F443" s="1328"/>
      <c r="G443" s="1328"/>
      <c r="H443" s="1328"/>
      <c r="I443" s="1328"/>
      <c r="J443" s="1328"/>
      <c r="K443" s="1328"/>
      <c r="L443" s="1113" t="s">
        <v>225</v>
      </c>
      <c r="M443" s="1329">
        <v>412</v>
      </c>
      <c r="N443" s="1329"/>
      <c r="O443" s="132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9" t="s">
        <v>1464</v>
      </c>
      <c r="E444" s="1050" t="s">
        <v>208</v>
      </c>
      <c r="F444" s="1328"/>
      <c r="G444" s="1328"/>
      <c r="H444" s="1328"/>
      <c r="I444" s="1328"/>
      <c r="J444" s="1328"/>
      <c r="K444" s="1328"/>
      <c r="L444" s="1113" t="s">
        <v>466</v>
      </c>
      <c r="M444" s="1329">
        <v>413</v>
      </c>
      <c r="N444" s="1329"/>
      <c r="O444" s="1328"/>
    </row>
    <row r="445" spans="1:15" x14ac:dyDescent="0.25">
      <c r="A445" s="1145" t="s">
        <v>1376</v>
      </c>
      <c r="B445" s="1047" t="str">
        <f ca="1">IF('[2]Pricing Schedule'!$K$5="No",_xlfn.CONCAT(IFERROR(SUBSTITUTE(ADDRESS(1,MATCH(A445,INDIRECT("'"&amp;E445&amp;"'"&amp;"!A10:Z10"),0),4),1,""),""),24),_xlfn.CONCAT(IFERROR(SUBSTITUTE(ADDRESS(1,MATCH(A445,INDIRECT("'"&amp;E445&amp;"'"&amp;"!A10:Z10"),0),4),1,""),""),58))</f>
        <v>E24</v>
      </c>
      <c r="C445" s="1047" t="str">
        <f ca="1">IF('[2]Pricing Schedule'!$K$5="No",IFERROR(SUBSTITUTE(ADDRESS(1,MATCH(A445,INDIRECT("'"&amp;E445&amp;"'"&amp;"!A10:Z10"),0),4),1,""),""),IFERROR(SUBSTITUTE(ADDRESS(1,MATCH(A445,INDIRECT("'"&amp;E445&amp;"'"&amp;"!A10:Z10"),0),4),1,""),""))</f>
        <v>E</v>
      </c>
      <c r="D445" s="1050" t="s">
        <v>1464</v>
      </c>
      <c r="E445" s="1050" t="s">
        <v>1373</v>
      </c>
      <c r="F445" s="1328"/>
      <c r="G445" s="1328"/>
      <c r="H445" s="1328"/>
      <c r="I445" s="1328"/>
      <c r="J445" s="1328"/>
      <c r="K445" s="1328"/>
      <c r="L445" s="1113" t="s">
        <v>1376</v>
      </c>
      <c r="M445" s="1329">
        <v>414</v>
      </c>
      <c r="N445" s="1329"/>
      <c r="O445" s="1328"/>
    </row>
    <row r="446" spans="1:15" x14ac:dyDescent="0.25">
      <c r="A446" s="1145" t="s">
        <v>1378</v>
      </c>
      <c r="B446" s="1047" t="str">
        <f ca="1">IF('[2]Pricing Schedule'!$K$5="No",_xlfn.CONCAT(IFERROR(SUBSTITUTE(ADDRESS(1,MATCH(A446,INDIRECT("'"&amp;E446&amp;"'"&amp;"!A10:Z10"),0),4),1,""),""),24),_xlfn.CONCAT(IFERROR(SUBSTITUTE(ADDRESS(1,MATCH(A446,INDIRECT("'"&amp;E446&amp;"'"&amp;"!A10:Z10"),0),4),1,""),""),58))</f>
        <v>G24</v>
      </c>
      <c r="C446" s="1047" t="str">
        <f ca="1">IF('[2]Pricing Schedule'!$K$5="No",IFERROR(SUBSTITUTE(ADDRESS(1,MATCH(A446,INDIRECT("'"&amp;E446&amp;"'"&amp;"!A10:Z10"),0),4),1,""),""),IFERROR(SUBSTITUTE(ADDRESS(1,MATCH(A446,INDIRECT("'"&amp;E446&amp;"'"&amp;"!A10:Z10"),0),4),1,""),""))</f>
        <v>G</v>
      </c>
      <c r="D446" s="1050" t="s">
        <v>1464</v>
      </c>
      <c r="E446" s="1050" t="s">
        <v>1373</v>
      </c>
      <c r="F446" s="1328"/>
      <c r="G446" s="1328"/>
      <c r="H446" s="1328"/>
      <c r="I446" s="1328"/>
      <c r="J446" s="1328"/>
      <c r="K446" s="1328"/>
      <c r="L446" s="1113" t="s">
        <v>1378</v>
      </c>
      <c r="M446" s="1329">
        <v>415</v>
      </c>
      <c r="N446" s="1329"/>
      <c r="O446" s="1328"/>
    </row>
    <row r="447" spans="1:15" x14ac:dyDescent="0.25">
      <c r="A447" s="1145" t="s">
        <v>1379</v>
      </c>
      <c r="B447" s="1047" t="str">
        <f ca="1">IF('[2]Pricing Schedule'!$K$5="No",_xlfn.CONCAT(IFERROR(SUBSTITUTE(ADDRESS(1,MATCH(A447,INDIRECT("'"&amp;E447&amp;"'"&amp;"!A10:Z10"),0),4),1,""),""),24),_xlfn.CONCAT(IFERROR(SUBSTITUTE(ADDRESS(1,MATCH(A447,INDIRECT("'"&amp;E447&amp;"'"&amp;"!A10:Z10"),0),4),1,""),""),58))</f>
        <v>I24</v>
      </c>
      <c r="C447" s="1047" t="str">
        <f ca="1">IF('[2]Pricing Schedule'!$K$5="No",IFERROR(SUBSTITUTE(ADDRESS(1,MATCH(A447,INDIRECT("'"&amp;E447&amp;"'"&amp;"!A10:Z10"),0),4),1,""),""),IFERROR(SUBSTITUTE(ADDRESS(1,MATCH(A447,INDIRECT("'"&amp;E447&amp;"'"&amp;"!A10:Z10"),0),4),1,""),""))</f>
        <v>I</v>
      </c>
      <c r="D447" s="1050" t="s">
        <v>1464</v>
      </c>
      <c r="E447" s="1050" t="s">
        <v>1373</v>
      </c>
      <c r="F447" s="1328"/>
      <c r="G447" s="1328"/>
      <c r="H447" s="1328"/>
      <c r="I447" s="1328"/>
      <c r="J447" s="1328"/>
      <c r="K447" s="1328"/>
      <c r="L447" s="1113" t="s">
        <v>1379</v>
      </c>
      <c r="M447" s="1329">
        <v>416</v>
      </c>
      <c r="N447" s="1329"/>
      <c r="O447" s="1328"/>
    </row>
    <row r="448" spans="1:15" x14ac:dyDescent="0.25">
      <c r="A448" s="1145" t="s">
        <v>1380</v>
      </c>
      <c r="B448" s="1047" t="str">
        <f ca="1">IF('[2]Pricing Schedule'!$K$5="No",_xlfn.CONCAT(IFERROR(SUBSTITUTE(ADDRESS(1,MATCH(A448,INDIRECT("'"&amp;E448&amp;"'"&amp;"!A10:Z10"),0),4),1,""),""),24),_xlfn.CONCAT(IFERROR(SUBSTITUTE(ADDRESS(1,MATCH(A448,INDIRECT("'"&amp;E448&amp;"'"&amp;"!A10:Z10"),0),4),1,""),""),58))</f>
        <v>J24</v>
      </c>
      <c r="C448" s="1047" t="str">
        <f ca="1">IF('[2]Pricing Schedule'!$K$5="No",IFERROR(SUBSTITUTE(ADDRESS(1,MATCH(A448,INDIRECT("'"&amp;E448&amp;"'"&amp;"!A10:Z10"),0),4),1,""),""),IFERROR(SUBSTITUTE(ADDRESS(1,MATCH(A448,INDIRECT("'"&amp;E448&amp;"'"&amp;"!A10:Z10"),0),4),1,""),""))</f>
        <v>J</v>
      </c>
      <c r="D448" s="1050" t="s">
        <v>1464</v>
      </c>
      <c r="E448" s="1050" t="s">
        <v>1373</v>
      </c>
      <c r="F448" s="1328"/>
      <c r="G448" s="1328"/>
      <c r="H448" s="1328"/>
      <c r="I448" s="1328"/>
      <c r="J448" s="1328"/>
      <c r="K448" s="1328"/>
      <c r="L448" s="1113" t="s">
        <v>1380</v>
      </c>
      <c r="M448" s="1329">
        <v>417</v>
      </c>
      <c r="N448" s="1329"/>
      <c r="O448" s="1328"/>
    </row>
    <row r="449" spans="1:15" x14ac:dyDescent="0.25">
      <c r="A449" s="1145" t="s">
        <v>1381</v>
      </c>
      <c r="B449" s="1047" t="str">
        <f ca="1">IF('[2]Pricing Schedule'!$K$5="No",_xlfn.CONCAT(IFERROR(SUBSTITUTE(ADDRESS(1,MATCH(A449,INDIRECT("'"&amp;E449&amp;"'"&amp;"!A10:Z10"),0),4),1,""),""),24),_xlfn.CONCAT(IFERROR(SUBSTITUTE(ADDRESS(1,MATCH(A449,INDIRECT("'"&amp;E449&amp;"'"&amp;"!A10:Z10"),0),4),1,""),""),58))</f>
        <v>K24</v>
      </c>
      <c r="C449" s="1047" t="str">
        <f ca="1">IF('[2]Pricing Schedule'!$K$5="No",IFERROR(SUBSTITUTE(ADDRESS(1,MATCH(A449,INDIRECT("'"&amp;E449&amp;"'"&amp;"!A10:Z10"),0),4),1,""),""),IFERROR(SUBSTITUTE(ADDRESS(1,MATCH(A449,INDIRECT("'"&amp;E449&amp;"'"&amp;"!A10:Z10"),0),4),1,""),""))</f>
        <v>K</v>
      </c>
      <c r="D449" s="1050" t="s">
        <v>1464</v>
      </c>
      <c r="E449" s="1050" t="s">
        <v>1373</v>
      </c>
      <c r="F449" s="1328"/>
      <c r="G449" s="1328"/>
      <c r="H449" s="1328"/>
      <c r="I449" s="1328"/>
      <c r="J449" s="1328"/>
      <c r="K449" s="1328"/>
      <c r="L449" s="1113" t="s">
        <v>1381</v>
      </c>
      <c r="M449" s="1329">
        <v>418</v>
      </c>
      <c r="N449" s="1329"/>
      <c r="O449" s="1328"/>
    </row>
    <row r="450" spans="1:15" x14ac:dyDescent="0.25">
      <c r="A450" s="1145" t="s">
        <v>1382</v>
      </c>
      <c r="B450" s="1047" t="str">
        <f ca="1">IF('[2]Pricing Schedule'!$K$5="No",_xlfn.CONCAT(IFERROR(SUBSTITUTE(ADDRESS(1,MATCH(A450,INDIRECT("'"&amp;E450&amp;"'"&amp;"!A10:Z10"),0),4),1,""),""),24),_xlfn.CONCAT(IFERROR(SUBSTITUTE(ADDRESS(1,MATCH(A450,INDIRECT("'"&amp;E450&amp;"'"&amp;"!A10:Z10"),0),4),1,""),""),58))</f>
        <v>L24</v>
      </c>
      <c r="C450" s="1047" t="str">
        <f ca="1">IF('[2]Pricing Schedule'!$K$5="No",IFERROR(SUBSTITUTE(ADDRESS(1,MATCH(A450,INDIRECT("'"&amp;E450&amp;"'"&amp;"!A10:Z10"),0),4),1,""),""),IFERROR(SUBSTITUTE(ADDRESS(1,MATCH(A450,INDIRECT("'"&amp;E450&amp;"'"&amp;"!A10:Z10"),0),4),1,""),""))</f>
        <v>L</v>
      </c>
      <c r="D450" s="1050" t="s">
        <v>1464</v>
      </c>
      <c r="E450" s="1050" t="s">
        <v>1373</v>
      </c>
      <c r="F450" s="1328"/>
      <c r="G450" s="1328"/>
      <c r="H450" s="1328"/>
      <c r="I450" s="1328"/>
      <c r="J450" s="1328"/>
      <c r="K450" s="1328"/>
      <c r="L450" s="1113" t="s">
        <v>1382</v>
      </c>
      <c r="M450" s="1329">
        <v>419</v>
      </c>
      <c r="N450" s="1329"/>
      <c r="O450" s="1328"/>
    </row>
    <row r="451" spans="1:15" x14ac:dyDescent="0.25">
      <c r="A451" s="1145" t="s">
        <v>1320</v>
      </c>
      <c r="B451" s="1047" t="str">
        <f ca="1">IF('[2]Pricing Schedule'!$K$5="No",_xlfn.CONCAT(IFERROR(SUBSTITUTE(ADDRESS(1,MATCH(A451,INDIRECT("'"&amp;E451&amp;"'"&amp;"!A10:Z10"),0),4),1,""),""),24),_xlfn.CONCAT(IFERROR(SUBSTITUTE(ADDRESS(1,MATCH(A451,INDIRECT("'"&amp;E451&amp;"'"&amp;"!A10:Z10"),0),4),1,""),""),58))</f>
        <v>M24</v>
      </c>
      <c r="C451" s="1047" t="str">
        <f ca="1">IF('[2]Pricing Schedule'!$K$5="No",IFERROR(SUBSTITUTE(ADDRESS(1,MATCH(A451,INDIRECT("'"&amp;E451&amp;"'"&amp;"!A10:Z10"),0),4),1,""),""),IFERROR(SUBSTITUTE(ADDRESS(1,MATCH(A451,INDIRECT("'"&amp;E451&amp;"'"&amp;"!A10:Z10"),0),4),1,""),""))</f>
        <v>M</v>
      </c>
      <c r="D451" s="1050" t="s">
        <v>1464</v>
      </c>
      <c r="E451" s="1050" t="s">
        <v>1373</v>
      </c>
      <c r="F451" s="1328"/>
      <c r="G451" s="1328"/>
      <c r="H451" s="1328"/>
      <c r="I451" s="1328"/>
      <c r="J451" s="1328"/>
      <c r="K451" s="1328"/>
      <c r="L451" s="1113" t="s">
        <v>1320</v>
      </c>
      <c r="M451" s="1329">
        <v>420</v>
      </c>
      <c r="N451" s="1329"/>
      <c r="O451" s="1328"/>
    </row>
    <row r="452" spans="1:15" x14ac:dyDescent="0.25">
      <c r="A452" s="1146" t="s">
        <v>1383</v>
      </c>
      <c r="B452" s="1047" t="str">
        <f ca="1">IF('[2]Pricing Schedule'!$K$5="No",_xlfn.CONCAT(IFERROR(SUBSTITUTE(ADDRESS(1,MATCH(A452,INDIRECT("'"&amp;E452&amp;"'"&amp;"!A10:Z10"),0),4),1,""),""),25),_xlfn.CONCAT(IFERROR(SUBSTITUTE(ADDRESS(1,MATCH(A452,INDIRECT("'"&amp;E452&amp;"'"&amp;"!A10:Z10"),0),4),1,""),""),59))</f>
        <v>N25</v>
      </c>
      <c r="C452" s="1047" t="str">
        <f ca="1">IF('[2]Pricing Schedule'!$K$5="No",IFERROR(SUBSTITUTE(ADDRESS(1,MATCH(A452,INDIRECT("'"&amp;E452&amp;"'"&amp;"!A10:Z10"),0),4),1,""),""),IFERROR(SUBSTITUTE(ADDRESS(1,MATCH(A452,INDIRECT("'"&amp;E452&amp;"'"&amp;"!A10:Z10"),0),4),1,""),""))</f>
        <v>N</v>
      </c>
      <c r="D452" s="1050" t="s">
        <v>1464</v>
      </c>
      <c r="E452" s="1050" t="s">
        <v>1373</v>
      </c>
      <c r="F452" s="1328"/>
      <c r="G452" s="1328"/>
      <c r="H452" s="1328"/>
      <c r="I452" s="1328"/>
      <c r="J452" s="1328"/>
      <c r="K452" s="1328"/>
      <c r="L452" s="1113" t="s">
        <v>1383</v>
      </c>
      <c r="M452" s="1329">
        <v>421</v>
      </c>
      <c r="N452" s="1329"/>
      <c r="O452" s="1328"/>
    </row>
    <row r="453" spans="1:15" x14ac:dyDescent="0.25">
      <c r="A453" s="1147" t="s">
        <v>1374</v>
      </c>
      <c r="B453" s="1047" t="str">
        <f ca="1">IF('[2]Pricing Schedule'!$K$5="No",_xlfn.CONCAT(IFERROR(SUBSTITUTE(ADDRESS(1,MATCH(A453,INDIRECT("'"&amp;E453&amp;"'"&amp;"!A10:Z10"),0),4),1,""),""),25),_xlfn.CONCAT(IFERROR(SUBSTITUTE(ADDRESS(1,MATCH(A453,INDIRECT("'"&amp;E453&amp;"'"&amp;"!A10:Z10"),0),4),1,""),""),59))</f>
        <v>C25</v>
      </c>
      <c r="C453" s="1047" t="str">
        <f ca="1">IF('[2]Pricing Schedule'!$K$5="No",IFERROR(SUBSTITUTE(ADDRESS(1,MATCH(A453,INDIRECT("'"&amp;E453&amp;"'"&amp;"!A10:Z10"),0),4),1,""),""),IFERROR(SUBSTITUTE(ADDRESS(1,MATCH(A453,INDIRECT("'"&amp;E453&amp;"'"&amp;"!A10:Z10"),0),4),1,""),""))</f>
        <v>C</v>
      </c>
      <c r="D453" s="1050" t="s">
        <v>1464</v>
      </c>
      <c r="E453" s="1050" t="s">
        <v>1373</v>
      </c>
      <c r="F453" s="1328"/>
      <c r="G453" s="1328"/>
      <c r="H453" s="1328"/>
      <c r="I453" s="1328"/>
      <c r="J453" s="1328"/>
      <c r="K453" s="1328"/>
      <c r="L453" s="1113" t="s">
        <v>254</v>
      </c>
      <c r="M453" s="1329">
        <v>422</v>
      </c>
      <c r="N453" s="1329"/>
      <c r="O453" s="1328"/>
    </row>
    <row r="454" spans="1:15" x14ac:dyDescent="0.25">
      <c r="A454" s="1147" t="s">
        <v>1339</v>
      </c>
      <c r="B454" s="1047" t="str">
        <f ca="1">IF('[2]Pricing Schedule'!$K$5="No",_xlfn.CONCAT(IFERROR(SUBSTITUTE(ADDRESS(1,MATCH(A454,INDIRECT("'"&amp;E454&amp;"'"&amp;"!A10:Z10"),0),4),1,""),""),25),_xlfn.CONCAT(IFERROR(SUBSTITUTE(ADDRESS(1,MATCH(A454,INDIRECT("'"&amp;E454&amp;"'"&amp;"!A10:Z10"),0),4),1,""),""),59))</f>
        <v>H25</v>
      </c>
      <c r="C454" s="1047" t="str">
        <f ca="1">IF('[2]Pricing Schedule'!$K$5="No",IFERROR(SUBSTITUTE(ADDRESS(1,MATCH(A454,INDIRECT("'"&amp;E454&amp;"'"&amp;"!A10:Z10"),0),4),1,""),""),IFERROR(SUBSTITUTE(ADDRESS(1,MATCH(A454,INDIRECT("'"&amp;E454&amp;"'"&amp;"!A10:Z10"),0),4),1,""),""))</f>
        <v>H</v>
      </c>
      <c r="D454" s="1050" t="s">
        <v>1464</v>
      </c>
      <c r="E454" s="1050" t="s">
        <v>1373</v>
      </c>
      <c r="F454" s="1328"/>
      <c r="G454" s="1328"/>
      <c r="H454" s="1328"/>
      <c r="I454" s="1328"/>
      <c r="J454" s="1328"/>
      <c r="K454" s="1328"/>
      <c r="L454" s="1113" t="s">
        <v>1339</v>
      </c>
      <c r="M454" s="1329">
        <v>423</v>
      </c>
      <c r="N454" s="1329"/>
      <c r="O454" s="1328"/>
    </row>
    <row r="455" spans="1:15" x14ac:dyDescent="0.25">
      <c r="A455" s="1147" t="s">
        <v>1377</v>
      </c>
      <c r="B455" s="1047" t="str">
        <f ca="1">IF('[2]Pricing Schedule'!$K$5="No",_xlfn.CONCAT(IFERROR(SUBSTITUTE(ADDRESS(1,MATCH(A455,INDIRECT("'"&amp;E455&amp;"'"&amp;"!A10:Z10"),0),4),1,""),""),25),_xlfn.CONCAT(IFERROR(SUBSTITUTE(ADDRESS(1,MATCH(A455,INDIRECT("'"&amp;E455&amp;"'"&amp;"!A10:Z10"),0),4),1,""),""),59))</f>
        <v>F25</v>
      </c>
      <c r="C455" s="1047" t="str">
        <f ca="1">IF('[2]Pricing Schedule'!$K$5="No",IFERROR(SUBSTITUTE(ADDRESS(1,MATCH(A455,INDIRECT("'"&amp;E455&amp;"'"&amp;"!A10:Z10"),0),4),1,""),""),IFERROR(SUBSTITUTE(ADDRESS(1,MATCH(A455,INDIRECT("'"&amp;E455&amp;"'"&amp;"!A10:Z10"),0),4),1,""),""))</f>
        <v>F</v>
      </c>
      <c r="D455" s="1050" t="s">
        <v>1464</v>
      </c>
      <c r="E455" s="1050" t="s">
        <v>1373</v>
      </c>
      <c r="F455" s="1328"/>
      <c r="G455" s="1328"/>
      <c r="H455" s="1328"/>
      <c r="I455" s="1328"/>
      <c r="J455" s="1328"/>
      <c r="K455" s="1328"/>
      <c r="L455" s="1113" t="s">
        <v>225</v>
      </c>
      <c r="M455" s="1329">
        <v>424</v>
      </c>
      <c r="N455" s="1329"/>
      <c r="O455" s="132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9" t="s">
        <v>1464</v>
      </c>
      <c r="E456" s="1050" t="s">
        <v>208</v>
      </c>
      <c r="F456" s="1328"/>
      <c r="G456" s="1328"/>
      <c r="H456" s="1328"/>
      <c r="I456" s="1328"/>
      <c r="J456" s="1328"/>
      <c r="K456" s="1328"/>
      <c r="L456" s="1113" t="s">
        <v>466</v>
      </c>
      <c r="M456" s="1329">
        <v>425</v>
      </c>
      <c r="N456" s="1329"/>
      <c r="O456" s="1328"/>
    </row>
    <row r="457" spans="1:15" x14ac:dyDescent="0.25">
      <c r="A457" s="1148" t="s">
        <v>1376</v>
      </c>
      <c r="B457" s="1047" t="str">
        <f ca="1">IF('[2]Pricing Schedule'!$K$5="No",_xlfn.CONCAT(IFERROR(SUBSTITUTE(ADDRESS(1,MATCH(A457,INDIRECT("'"&amp;E457&amp;"'"&amp;"!A10:Z10"),0),4),1,""),""),25),_xlfn.CONCAT(IFERROR(SUBSTITUTE(ADDRESS(1,MATCH(A457,INDIRECT("'"&amp;E457&amp;"'"&amp;"!A10:Z10"),0),4),1,""),""),59))</f>
        <v>E25</v>
      </c>
      <c r="C457" s="1047" t="str">
        <f ca="1">IF('[2]Pricing Schedule'!$K$5="No",IFERROR(SUBSTITUTE(ADDRESS(1,MATCH(A457,INDIRECT("'"&amp;E457&amp;"'"&amp;"!A10:Z10"),0),4),1,""),""),IFERROR(SUBSTITUTE(ADDRESS(1,MATCH(A457,INDIRECT("'"&amp;E457&amp;"'"&amp;"!A10:Z10"),0),4),1,""),""))</f>
        <v>E</v>
      </c>
      <c r="D457" s="1050" t="s">
        <v>1464</v>
      </c>
      <c r="E457" s="1050" t="s">
        <v>1373</v>
      </c>
      <c r="F457" s="1328"/>
      <c r="G457" s="1328"/>
      <c r="H457" s="1328"/>
      <c r="I457" s="1328"/>
      <c r="J457" s="1328"/>
      <c r="K457" s="1328"/>
      <c r="L457" s="1113" t="s">
        <v>1376</v>
      </c>
      <c r="M457" s="1329">
        <v>426</v>
      </c>
      <c r="N457" s="1329"/>
      <c r="O457" s="1328"/>
    </row>
    <row r="458" spans="1:15" x14ac:dyDescent="0.25">
      <c r="A458" s="1148" t="s">
        <v>1378</v>
      </c>
      <c r="B458" s="1047" t="str">
        <f ca="1">IF('[2]Pricing Schedule'!$K$5="No",_xlfn.CONCAT(IFERROR(SUBSTITUTE(ADDRESS(1,MATCH(A458,INDIRECT("'"&amp;E458&amp;"'"&amp;"!A10:Z10"),0),4),1,""),""),25),_xlfn.CONCAT(IFERROR(SUBSTITUTE(ADDRESS(1,MATCH(A458,INDIRECT("'"&amp;E458&amp;"'"&amp;"!A10:Z10"),0),4),1,""),""),59))</f>
        <v>G25</v>
      </c>
      <c r="C458" s="1047" t="str">
        <f ca="1">IF('[2]Pricing Schedule'!$K$5="No",IFERROR(SUBSTITUTE(ADDRESS(1,MATCH(A458,INDIRECT("'"&amp;E458&amp;"'"&amp;"!A10:Z10"),0),4),1,""),""),IFERROR(SUBSTITUTE(ADDRESS(1,MATCH(A458,INDIRECT("'"&amp;E458&amp;"'"&amp;"!A10:Z10"),0),4),1,""),""))</f>
        <v>G</v>
      </c>
      <c r="D458" s="1050" t="s">
        <v>1464</v>
      </c>
      <c r="E458" s="1050" t="s">
        <v>1373</v>
      </c>
      <c r="F458" s="1328"/>
      <c r="G458" s="1328"/>
      <c r="H458" s="1328"/>
      <c r="I458" s="1328"/>
      <c r="J458" s="1328"/>
      <c r="K458" s="1328"/>
      <c r="L458" s="1113" t="s">
        <v>1378</v>
      </c>
      <c r="M458" s="1329">
        <v>427</v>
      </c>
      <c r="N458" s="1329"/>
      <c r="O458" s="1328"/>
    </row>
    <row r="459" spans="1:15" x14ac:dyDescent="0.25">
      <c r="A459" s="1148" t="s">
        <v>1379</v>
      </c>
      <c r="B459" s="1047" t="str">
        <f ca="1">IF('[2]Pricing Schedule'!$K$5="No",_xlfn.CONCAT(IFERROR(SUBSTITUTE(ADDRESS(1,MATCH(A459,INDIRECT("'"&amp;E459&amp;"'"&amp;"!A10:Z10"),0),4),1,""),""),25),_xlfn.CONCAT(IFERROR(SUBSTITUTE(ADDRESS(1,MATCH(A459,INDIRECT("'"&amp;E459&amp;"'"&amp;"!A10:Z10"),0),4),1,""),""),59))</f>
        <v>I25</v>
      </c>
      <c r="C459" s="1047" t="str">
        <f ca="1">IF('[2]Pricing Schedule'!$K$5="No",IFERROR(SUBSTITUTE(ADDRESS(1,MATCH(A459,INDIRECT("'"&amp;E459&amp;"'"&amp;"!A10:Z10"),0),4),1,""),""),IFERROR(SUBSTITUTE(ADDRESS(1,MATCH(A459,INDIRECT("'"&amp;E459&amp;"'"&amp;"!A10:Z10"),0),4),1,""),""))</f>
        <v>I</v>
      </c>
      <c r="D459" s="1050" t="s">
        <v>1464</v>
      </c>
      <c r="E459" s="1050" t="s">
        <v>1373</v>
      </c>
      <c r="F459" s="1328"/>
      <c r="G459" s="1328"/>
      <c r="H459" s="1328"/>
      <c r="I459" s="1328"/>
      <c r="J459" s="1328"/>
      <c r="K459" s="1328"/>
      <c r="L459" s="1113" t="s">
        <v>1379</v>
      </c>
      <c r="M459" s="1329">
        <v>428</v>
      </c>
      <c r="N459" s="1329"/>
      <c r="O459" s="1328"/>
    </row>
    <row r="460" spans="1:15" x14ac:dyDescent="0.25">
      <c r="A460" s="1148" t="s">
        <v>1380</v>
      </c>
      <c r="B460" s="1047" t="str">
        <f ca="1">IF('[2]Pricing Schedule'!$K$5="No",_xlfn.CONCAT(IFERROR(SUBSTITUTE(ADDRESS(1,MATCH(A460,INDIRECT("'"&amp;E460&amp;"'"&amp;"!A10:Z10"),0),4),1,""),""),25),_xlfn.CONCAT(IFERROR(SUBSTITUTE(ADDRESS(1,MATCH(A460,INDIRECT("'"&amp;E460&amp;"'"&amp;"!A10:Z10"),0),4),1,""),""),59))</f>
        <v>J25</v>
      </c>
      <c r="C460" s="1047" t="str">
        <f ca="1">IF('[2]Pricing Schedule'!$K$5="No",IFERROR(SUBSTITUTE(ADDRESS(1,MATCH(A460,INDIRECT("'"&amp;E460&amp;"'"&amp;"!A10:Z10"),0),4),1,""),""),IFERROR(SUBSTITUTE(ADDRESS(1,MATCH(A460,INDIRECT("'"&amp;E460&amp;"'"&amp;"!A10:Z10"),0),4),1,""),""))</f>
        <v>J</v>
      </c>
      <c r="D460" s="1050" t="s">
        <v>1464</v>
      </c>
      <c r="E460" s="1050" t="s">
        <v>1373</v>
      </c>
      <c r="F460" s="1328"/>
      <c r="G460" s="1328"/>
      <c r="H460" s="1328"/>
      <c r="I460" s="1328"/>
      <c r="J460" s="1328"/>
      <c r="K460" s="1328"/>
      <c r="L460" s="1113" t="s">
        <v>1380</v>
      </c>
      <c r="M460" s="1329">
        <v>429</v>
      </c>
      <c r="N460" s="1329"/>
      <c r="O460" s="1328"/>
    </row>
    <row r="461" spans="1:15" x14ac:dyDescent="0.25">
      <c r="A461" s="1148" t="s">
        <v>1381</v>
      </c>
      <c r="B461" s="1047" t="str">
        <f ca="1">IF('[2]Pricing Schedule'!$K$5="No",_xlfn.CONCAT(IFERROR(SUBSTITUTE(ADDRESS(1,MATCH(A461,INDIRECT("'"&amp;E461&amp;"'"&amp;"!A10:Z10"),0),4),1,""),""),25),_xlfn.CONCAT(IFERROR(SUBSTITUTE(ADDRESS(1,MATCH(A461,INDIRECT("'"&amp;E461&amp;"'"&amp;"!A10:Z10"),0),4),1,""),""),59))</f>
        <v>K25</v>
      </c>
      <c r="C461" s="1047" t="str">
        <f ca="1">IF('[2]Pricing Schedule'!$K$5="No",IFERROR(SUBSTITUTE(ADDRESS(1,MATCH(A461,INDIRECT("'"&amp;E461&amp;"'"&amp;"!A10:Z10"),0),4),1,""),""),IFERROR(SUBSTITUTE(ADDRESS(1,MATCH(A461,INDIRECT("'"&amp;E461&amp;"'"&amp;"!A10:Z10"),0),4),1,""),""))</f>
        <v>K</v>
      </c>
      <c r="D461" s="1050" t="s">
        <v>1464</v>
      </c>
      <c r="E461" s="1050" t="s">
        <v>1373</v>
      </c>
      <c r="F461" s="1328"/>
      <c r="G461" s="1328"/>
      <c r="H461" s="1328"/>
      <c r="I461" s="1328"/>
      <c r="J461" s="1328"/>
      <c r="K461" s="1328"/>
      <c r="L461" s="1113" t="s">
        <v>1381</v>
      </c>
      <c r="M461" s="1329">
        <v>430</v>
      </c>
      <c r="N461" s="1329"/>
      <c r="O461" s="1328"/>
    </row>
    <row r="462" spans="1:15" x14ac:dyDescent="0.25">
      <c r="A462" s="1148" t="s">
        <v>1382</v>
      </c>
      <c r="B462" s="1047" t="str">
        <f ca="1">IF('[2]Pricing Schedule'!$K$5="No",_xlfn.CONCAT(IFERROR(SUBSTITUTE(ADDRESS(1,MATCH(A462,INDIRECT("'"&amp;E462&amp;"'"&amp;"!A10:Z10"),0),4),1,""),""),25),_xlfn.CONCAT(IFERROR(SUBSTITUTE(ADDRESS(1,MATCH(A462,INDIRECT("'"&amp;E462&amp;"'"&amp;"!A10:Z10"),0),4),1,""),""),59))</f>
        <v>L25</v>
      </c>
      <c r="C462" s="1047" t="str">
        <f ca="1">IF('[2]Pricing Schedule'!$K$5="No",IFERROR(SUBSTITUTE(ADDRESS(1,MATCH(A462,INDIRECT("'"&amp;E462&amp;"'"&amp;"!A10:Z10"),0),4),1,""),""),IFERROR(SUBSTITUTE(ADDRESS(1,MATCH(A462,INDIRECT("'"&amp;E462&amp;"'"&amp;"!A10:Z10"),0),4),1,""),""))</f>
        <v>L</v>
      </c>
      <c r="D462" s="1050" t="s">
        <v>1464</v>
      </c>
      <c r="E462" s="1050" t="s">
        <v>1373</v>
      </c>
      <c r="F462" s="1328"/>
      <c r="G462" s="1328"/>
      <c r="H462" s="1328"/>
      <c r="I462" s="1328"/>
      <c r="J462" s="1328"/>
      <c r="K462" s="1328"/>
      <c r="L462" s="1113" t="s">
        <v>1382</v>
      </c>
      <c r="M462" s="1329">
        <v>431</v>
      </c>
      <c r="N462" s="1329"/>
      <c r="O462" s="1328"/>
    </row>
    <row r="463" spans="1:15" x14ac:dyDescent="0.25">
      <c r="A463" s="1148" t="s">
        <v>1320</v>
      </c>
      <c r="B463" s="1047" t="str">
        <f ca="1">IF('[2]Pricing Schedule'!$K$5="No",_xlfn.CONCAT(IFERROR(SUBSTITUTE(ADDRESS(1,MATCH(A463,INDIRECT("'"&amp;E463&amp;"'"&amp;"!A10:Z10"),0),4),1,""),""),25),_xlfn.CONCAT(IFERROR(SUBSTITUTE(ADDRESS(1,MATCH(A463,INDIRECT("'"&amp;E463&amp;"'"&amp;"!A10:Z10"),0),4),1,""),""),59))</f>
        <v>M25</v>
      </c>
      <c r="C463" s="1047" t="str">
        <f ca="1">IF('[2]Pricing Schedule'!$K$5="No",IFERROR(SUBSTITUTE(ADDRESS(1,MATCH(A463,INDIRECT("'"&amp;E463&amp;"'"&amp;"!A10:Z10"),0),4),1,""),""),IFERROR(SUBSTITUTE(ADDRESS(1,MATCH(A463,INDIRECT("'"&amp;E463&amp;"'"&amp;"!A10:Z10"),0),4),1,""),""))</f>
        <v>M</v>
      </c>
      <c r="D463" s="1050" t="s">
        <v>1464</v>
      </c>
      <c r="E463" s="1050" t="s">
        <v>1373</v>
      </c>
      <c r="F463" s="1328"/>
      <c r="G463" s="1328"/>
      <c r="H463" s="1328"/>
      <c r="I463" s="1328"/>
      <c r="J463" s="1328"/>
      <c r="K463" s="1328"/>
      <c r="L463" s="1113" t="s">
        <v>1320</v>
      </c>
      <c r="M463" s="1329">
        <v>432</v>
      </c>
      <c r="N463" s="1329"/>
      <c r="O463" s="1328"/>
    </row>
    <row r="464" spans="1:15" x14ac:dyDescent="0.25">
      <c r="A464" s="1143" t="s">
        <v>1383</v>
      </c>
      <c r="B464" s="1047" t="str">
        <f ca="1">IF('[2]Pricing Schedule'!$K$5="No",_xlfn.CONCAT(IFERROR(SUBSTITUTE(ADDRESS(1,MATCH(A464,INDIRECT("'"&amp;E464&amp;"'"&amp;"!A10:Z10"),0),4),1,""),""),26),_xlfn.CONCAT(IFERROR(SUBSTITUTE(ADDRESS(1,MATCH(A464,INDIRECT("'"&amp;E464&amp;"'"&amp;"!A10:Z10"),0),4),1,""),""),60))</f>
        <v>N26</v>
      </c>
      <c r="C464" s="1047" t="str">
        <f ca="1">IF('[2]Pricing Schedule'!$K$5="No",IFERROR(SUBSTITUTE(ADDRESS(1,MATCH(A464,INDIRECT("'"&amp;E464&amp;"'"&amp;"!A10:Z10"),0),4),1,""),""),IFERROR(SUBSTITUTE(ADDRESS(1,MATCH(A464,INDIRECT("'"&amp;E464&amp;"'"&amp;"!A10:Z10"),0),4),1,""),""))</f>
        <v>N</v>
      </c>
      <c r="D464" s="1050" t="s">
        <v>1464</v>
      </c>
      <c r="E464" s="1050" t="s">
        <v>1373</v>
      </c>
      <c r="F464" s="1328"/>
      <c r="G464" s="1328"/>
      <c r="H464" s="1328"/>
      <c r="I464" s="1328"/>
      <c r="J464" s="1328"/>
      <c r="K464" s="1328"/>
      <c r="L464" s="1113" t="s">
        <v>1383</v>
      </c>
      <c r="M464" s="1329">
        <v>433</v>
      </c>
      <c r="N464" s="1329"/>
      <c r="O464" s="1328"/>
    </row>
    <row r="465" spans="1:15" x14ac:dyDescent="0.25">
      <c r="A465" s="1144" t="s">
        <v>1374</v>
      </c>
      <c r="B465" s="1047" t="str">
        <f ca="1">IF('[2]Pricing Schedule'!$K$5="No",_xlfn.CONCAT(IFERROR(SUBSTITUTE(ADDRESS(1,MATCH(A465,INDIRECT("'"&amp;E465&amp;"'"&amp;"!A10:Z10"),0),4),1,""),""),26),_xlfn.CONCAT(IFERROR(SUBSTITUTE(ADDRESS(1,MATCH(A465,INDIRECT("'"&amp;E465&amp;"'"&amp;"!A10:Z10"),0),4),1,""),""),60))</f>
        <v>C26</v>
      </c>
      <c r="C465" s="1047" t="str">
        <f ca="1">IF('[2]Pricing Schedule'!$K$5="No",IFERROR(SUBSTITUTE(ADDRESS(1,MATCH(A465,INDIRECT("'"&amp;E465&amp;"'"&amp;"!A10:Z10"),0),4),1,""),""),IFERROR(SUBSTITUTE(ADDRESS(1,MATCH(A465,INDIRECT("'"&amp;E465&amp;"'"&amp;"!A10:Z10"),0),4),1,""),""))</f>
        <v>C</v>
      </c>
      <c r="D465" s="1050" t="s">
        <v>1464</v>
      </c>
      <c r="E465" s="1050" t="s">
        <v>1373</v>
      </c>
      <c r="F465" s="1328"/>
      <c r="G465" s="1328"/>
      <c r="H465" s="1328"/>
      <c r="I465" s="1328"/>
      <c r="J465" s="1328"/>
      <c r="K465" s="1328"/>
      <c r="L465" s="1113" t="s">
        <v>254</v>
      </c>
      <c r="M465" s="1329">
        <v>434</v>
      </c>
      <c r="N465" s="1329"/>
      <c r="O465" s="1328"/>
    </row>
    <row r="466" spans="1:15" x14ac:dyDescent="0.25">
      <c r="A466" s="1144" t="s">
        <v>1339</v>
      </c>
      <c r="B466" s="1047" t="str">
        <f ca="1">IF('[2]Pricing Schedule'!$K$5="No",_xlfn.CONCAT(IFERROR(SUBSTITUTE(ADDRESS(1,MATCH(A466,INDIRECT("'"&amp;E466&amp;"'"&amp;"!A10:Z10"),0),4),1,""),""),26),_xlfn.CONCAT(IFERROR(SUBSTITUTE(ADDRESS(1,MATCH(A466,INDIRECT("'"&amp;E466&amp;"'"&amp;"!A10:Z10"),0),4),1,""),""),60))</f>
        <v>H26</v>
      </c>
      <c r="C466" s="1047" t="str">
        <f ca="1">IF('[2]Pricing Schedule'!$K$5="No",IFERROR(SUBSTITUTE(ADDRESS(1,MATCH(A466,INDIRECT("'"&amp;E466&amp;"'"&amp;"!A10:Z10"),0),4),1,""),""),IFERROR(SUBSTITUTE(ADDRESS(1,MATCH(A466,INDIRECT("'"&amp;E466&amp;"'"&amp;"!A10:Z10"),0),4),1,""),""))</f>
        <v>H</v>
      </c>
      <c r="D466" s="1050" t="s">
        <v>1464</v>
      </c>
      <c r="E466" s="1050" t="s">
        <v>1373</v>
      </c>
      <c r="F466" s="1328"/>
      <c r="G466" s="1328"/>
      <c r="H466" s="1328"/>
      <c r="I466" s="1328"/>
      <c r="J466" s="1328"/>
      <c r="K466" s="1328"/>
      <c r="L466" s="1113" t="s">
        <v>1339</v>
      </c>
      <c r="M466" s="1329">
        <v>435</v>
      </c>
      <c r="N466" s="1329"/>
      <c r="O466" s="1328"/>
    </row>
    <row r="467" spans="1:15" x14ac:dyDescent="0.25">
      <c r="A467" s="1144" t="s">
        <v>1377</v>
      </c>
      <c r="B467" s="1047" t="str">
        <f ca="1">IF('[2]Pricing Schedule'!$K$5="No",_xlfn.CONCAT(IFERROR(SUBSTITUTE(ADDRESS(1,MATCH(A467,INDIRECT("'"&amp;E467&amp;"'"&amp;"!A10:Z10"),0),4),1,""),""),26),_xlfn.CONCAT(IFERROR(SUBSTITUTE(ADDRESS(1,MATCH(A467,INDIRECT("'"&amp;E467&amp;"'"&amp;"!A10:Z10"),0),4),1,""),""),60))</f>
        <v>F26</v>
      </c>
      <c r="C467" s="1047" t="str">
        <f ca="1">IF('[2]Pricing Schedule'!$K$5="No",IFERROR(SUBSTITUTE(ADDRESS(1,MATCH(A467,INDIRECT("'"&amp;E467&amp;"'"&amp;"!A10:Z10"),0),4),1,""),""),IFERROR(SUBSTITUTE(ADDRESS(1,MATCH(A467,INDIRECT("'"&amp;E467&amp;"'"&amp;"!A10:Z10"),0),4),1,""),""))</f>
        <v>F</v>
      </c>
      <c r="D467" s="1050" t="s">
        <v>1464</v>
      </c>
      <c r="E467" s="1050" t="s">
        <v>1373</v>
      </c>
      <c r="F467" s="1328"/>
      <c r="G467" s="1328"/>
      <c r="H467" s="1328"/>
      <c r="I467" s="1328"/>
      <c r="J467" s="1328"/>
      <c r="K467" s="1328"/>
      <c r="L467" s="1113" t="s">
        <v>225</v>
      </c>
      <c r="M467" s="1329">
        <v>436</v>
      </c>
      <c r="N467" s="1329"/>
      <c r="O467" s="132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9" t="s">
        <v>1464</v>
      </c>
      <c r="E468" s="1050" t="s">
        <v>208</v>
      </c>
      <c r="F468" s="1328"/>
      <c r="G468" s="1328"/>
      <c r="H468" s="1328"/>
      <c r="I468" s="1328"/>
      <c r="J468" s="1328"/>
      <c r="K468" s="1328"/>
      <c r="L468" s="1113" t="s">
        <v>466</v>
      </c>
      <c r="M468" s="1329">
        <v>437</v>
      </c>
      <c r="N468" s="1329"/>
      <c r="O468" s="1328"/>
    </row>
    <row r="469" spans="1:15" x14ac:dyDescent="0.25">
      <c r="A469" s="1145" t="s">
        <v>1376</v>
      </c>
      <c r="B469" s="1047" t="str">
        <f ca="1">IF('[2]Pricing Schedule'!$K$5="No",_xlfn.CONCAT(IFERROR(SUBSTITUTE(ADDRESS(1,MATCH(A469,INDIRECT("'"&amp;E469&amp;"'"&amp;"!A10:Z10"),0),4),1,""),""),26),_xlfn.CONCAT(IFERROR(SUBSTITUTE(ADDRESS(1,MATCH(A469,INDIRECT("'"&amp;E469&amp;"'"&amp;"!A10:Z10"),0),4),1,""),""),60))</f>
        <v>E26</v>
      </c>
      <c r="C469" s="1047" t="str">
        <f ca="1">IF('[2]Pricing Schedule'!$K$5="No",IFERROR(SUBSTITUTE(ADDRESS(1,MATCH(A469,INDIRECT("'"&amp;E469&amp;"'"&amp;"!A10:Z10"),0),4),1,""),""),IFERROR(SUBSTITUTE(ADDRESS(1,MATCH(A469,INDIRECT("'"&amp;E469&amp;"'"&amp;"!A10:Z10"),0),4),1,""),""))</f>
        <v>E</v>
      </c>
      <c r="D469" s="1050" t="s">
        <v>1464</v>
      </c>
      <c r="E469" s="1050" t="s">
        <v>1373</v>
      </c>
      <c r="F469" s="1328"/>
      <c r="G469" s="1328"/>
      <c r="H469" s="1328"/>
      <c r="I469" s="1328"/>
      <c r="J469" s="1328"/>
      <c r="K469" s="1328"/>
      <c r="L469" s="1113" t="s">
        <v>1376</v>
      </c>
      <c r="M469" s="1329">
        <v>438</v>
      </c>
      <c r="N469" s="1329"/>
      <c r="O469" s="1328"/>
    </row>
    <row r="470" spans="1:15" x14ac:dyDescent="0.25">
      <c r="A470" s="1145" t="s">
        <v>1378</v>
      </c>
      <c r="B470" s="1047" t="str">
        <f ca="1">IF('[2]Pricing Schedule'!$K$5="No",_xlfn.CONCAT(IFERROR(SUBSTITUTE(ADDRESS(1,MATCH(A470,INDIRECT("'"&amp;E470&amp;"'"&amp;"!A10:Z10"),0),4),1,""),""),26),_xlfn.CONCAT(IFERROR(SUBSTITUTE(ADDRESS(1,MATCH(A470,INDIRECT("'"&amp;E470&amp;"'"&amp;"!A10:Z10"),0),4),1,""),""),60))</f>
        <v>G26</v>
      </c>
      <c r="C470" s="1047" t="str">
        <f ca="1">IF('[2]Pricing Schedule'!$K$5="No",IFERROR(SUBSTITUTE(ADDRESS(1,MATCH(A470,INDIRECT("'"&amp;E470&amp;"'"&amp;"!A10:Z10"),0),4),1,""),""),IFERROR(SUBSTITUTE(ADDRESS(1,MATCH(A470,INDIRECT("'"&amp;E470&amp;"'"&amp;"!A10:Z10"),0),4),1,""),""))</f>
        <v>G</v>
      </c>
      <c r="D470" s="1050" t="s">
        <v>1464</v>
      </c>
      <c r="E470" s="1050" t="s">
        <v>1373</v>
      </c>
      <c r="F470" s="1328"/>
      <c r="G470" s="1328"/>
      <c r="H470" s="1328"/>
      <c r="I470" s="1328"/>
      <c r="J470" s="1328"/>
      <c r="K470" s="1328"/>
      <c r="L470" s="1113" t="s">
        <v>1378</v>
      </c>
      <c r="M470" s="1329">
        <v>439</v>
      </c>
      <c r="N470" s="1329"/>
      <c r="O470" s="1328"/>
    </row>
    <row r="471" spans="1:15" x14ac:dyDescent="0.25">
      <c r="A471" s="1145" t="s">
        <v>1379</v>
      </c>
      <c r="B471" s="1047" t="str">
        <f ca="1">IF('[2]Pricing Schedule'!$K$5="No",_xlfn.CONCAT(IFERROR(SUBSTITUTE(ADDRESS(1,MATCH(A471,INDIRECT("'"&amp;E471&amp;"'"&amp;"!A10:Z10"),0),4),1,""),""),26),_xlfn.CONCAT(IFERROR(SUBSTITUTE(ADDRESS(1,MATCH(A471,INDIRECT("'"&amp;E471&amp;"'"&amp;"!A10:Z10"),0),4),1,""),""),60))</f>
        <v>I26</v>
      </c>
      <c r="C471" s="1047" t="str">
        <f ca="1">IF('[2]Pricing Schedule'!$K$5="No",IFERROR(SUBSTITUTE(ADDRESS(1,MATCH(A471,INDIRECT("'"&amp;E471&amp;"'"&amp;"!A10:Z10"),0),4),1,""),""),IFERROR(SUBSTITUTE(ADDRESS(1,MATCH(A471,INDIRECT("'"&amp;E471&amp;"'"&amp;"!A10:Z10"),0),4),1,""),""))</f>
        <v>I</v>
      </c>
      <c r="D471" s="1050" t="s">
        <v>1464</v>
      </c>
      <c r="E471" s="1050" t="s">
        <v>1373</v>
      </c>
      <c r="F471" s="1328"/>
      <c r="G471" s="1328"/>
      <c r="H471" s="1328"/>
      <c r="I471" s="1328"/>
      <c r="J471" s="1328"/>
      <c r="K471" s="1328"/>
      <c r="L471" s="1113" t="s">
        <v>1379</v>
      </c>
      <c r="M471" s="1329">
        <v>440</v>
      </c>
      <c r="N471" s="1329"/>
      <c r="O471" s="1328"/>
    </row>
    <row r="472" spans="1:15" x14ac:dyDescent="0.25">
      <c r="A472" s="1145" t="s">
        <v>1380</v>
      </c>
      <c r="B472" s="1047" t="str">
        <f ca="1">IF('[2]Pricing Schedule'!$K$5="No",_xlfn.CONCAT(IFERROR(SUBSTITUTE(ADDRESS(1,MATCH(A472,INDIRECT("'"&amp;E472&amp;"'"&amp;"!A10:Z10"),0),4),1,""),""),26),_xlfn.CONCAT(IFERROR(SUBSTITUTE(ADDRESS(1,MATCH(A472,INDIRECT("'"&amp;E472&amp;"'"&amp;"!A10:Z10"),0),4),1,""),""),60))</f>
        <v>J26</v>
      </c>
      <c r="C472" s="1047" t="str">
        <f ca="1">IF('[2]Pricing Schedule'!$K$5="No",IFERROR(SUBSTITUTE(ADDRESS(1,MATCH(A472,INDIRECT("'"&amp;E472&amp;"'"&amp;"!A10:Z10"),0),4),1,""),""),IFERROR(SUBSTITUTE(ADDRESS(1,MATCH(A472,INDIRECT("'"&amp;E472&amp;"'"&amp;"!A10:Z10"),0),4),1,""),""))</f>
        <v>J</v>
      </c>
      <c r="D472" s="1050" t="s">
        <v>1464</v>
      </c>
      <c r="E472" s="1050" t="s">
        <v>1373</v>
      </c>
      <c r="F472" s="1328"/>
      <c r="G472" s="1328"/>
      <c r="H472" s="1328"/>
      <c r="I472" s="1328"/>
      <c r="J472" s="1328"/>
      <c r="K472" s="1328"/>
      <c r="L472" s="1113" t="s">
        <v>1380</v>
      </c>
      <c r="M472" s="1329">
        <v>441</v>
      </c>
      <c r="N472" s="1329"/>
      <c r="O472" s="1328"/>
    </row>
    <row r="473" spans="1:15" x14ac:dyDescent="0.25">
      <c r="A473" s="1145" t="s">
        <v>1381</v>
      </c>
      <c r="B473" s="1047" t="str">
        <f ca="1">IF('[2]Pricing Schedule'!$K$5="No",_xlfn.CONCAT(IFERROR(SUBSTITUTE(ADDRESS(1,MATCH(A473,INDIRECT("'"&amp;E473&amp;"'"&amp;"!A10:Z10"),0),4),1,""),""),26),_xlfn.CONCAT(IFERROR(SUBSTITUTE(ADDRESS(1,MATCH(A473,INDIRECT("'"&amp;E473&amp;"'"&amp;"!A10:Z10"),0),4),1,""),""),60))</f>
        <v>K26</v>
      </c>
      <c r="C473" s="1047" t="str">
        <f ca="1">IF('[2]Pricing Schedule'!$K$5="No",IFERROR(SUBSTITUTE(ADDRESS(1,MATCH(A473,INDIRECT("'"&amp;E473&amp;"'"&amp;"!A10:Z10"),0),4),1,""),""),IFERROR(SUBSTITUTE(ADDRESS(1,MATCH(A473,INDIRECT("'"&amp;E473&amp;"'"&amp;"!A10:Z10"),0),4),1,""),""))</f>
        <v>K</v>
      </c>
      <c r="D473" s="1050" t="s">
        <v>1464</v>
      </c>
      <c r="E473" s="1050" t="s">
        <v>1373</v>
      </c>
      <c r="F473" s="1328"/>
      <c r="G473" s="1328"/>
      <c r="H473" s="1328"/>
      <c r="I473" s="1328"/>
      <c r="J473" s="1328"/>
      <c r="K473" s="1328"/>
      <c r="L473" s="1113" t="s">
        <v>1381</v>
      </c>
      <c r="M473" s="1329">
        <v>442</v>
      </c>
      <c r="N473" s="1329"/>
      <c r="O473" s="1328"/>
    </row>
    <row r="474" spans="1:15" x14ac:dyDescent="0.25">
      <c r="A474" s="1145" t="s">
        <v>1382</v>
      </c>
      <c r="B474" s="1047" t="str">
        <f ca="1">IF('[2]Pricing Schedule'!$K$5="No",_xlfn.CONCAT(IFERROR(SUBSTITUTE(ADDRESS(1,MATCH(A474,INDIRECT("'"&amp;E474&amp;"'"&amp;"!A10:Z10"),0),4),1,""),""),26),_xlfn.CONCAT(IFERROR(SUBSTITUTE(ADDRESS(1,MATCH(A474,INDIRECT("'"&amp;E474&amp;"'"&amp;"!A10:Z10"),0),4),1,""),""),60))</f>
        <v>L26</v>
      </c>
      <c r="C474" s="1047" t="str">
        <f ca="1">IF('[2]Pricing Schedule'!$K$5="No",IFERROR(SUBSTITUTE(ADDRESS(1,MATCH(A474,INDIRECT("'"&amp;E474&amp;"'"&amp;"!A10:Z10"),0),4),1,""),""),IFERROR(SUBSTITUTE(ADDRESS(1,MATCH(A474,INDIRECT("'"&amp;E474&amp;"'"&amp;"!A10:Z10"),0),4),1,""),""))</f>
        <v>L</v>
      </c>
      <c r="D474" s="1050" t="s">
        <v>1464</v>
      </c>
      <c r="E474" s="1050" t="s">
        <v>1373</v>
      </c>
      <c r="F474" s="1328"/>
      <c r="G474" s="1328"/>
      <c r="H474" s="1328"/>
      <c r="I474" s="1328"/>
      <c r="J474" s="1328"/>
      <c r="K474" s="1328"/>
      <c r="L474" s="1113" t="s">
        <v>1382</v>
      </c>
      <c r="M474" s="1329">
        <v>443</v>
      </c>
      <c r="N474" s="1329"/>
      <c r="O474" s="1328"/>
    </row>
    <row r="475" spans="1:15" x14ac:dyDescent="0.25">
      <c r="A475" s="1145" t="s">
        <v>1320</v>
      </c>
      <c r="B475" s="1047" t="str">
        <f ca="1">IF('[2]Pricing Schedule'!$K$5="No",_xlfn.CONCAT(IFERROR(SUBSTITUTE(ADDRESS(1,MATCH(A475,INDIRECT("'"&amp;E475&amp;"'"&amp;"!A10:Z10"),0),4),1,""),""),26),_xlfn.CONCAT(IFERROR(SUBSTITUTE(ADDRESS(1,MATCH(A475,INDIRECT("'"&amp;E475&amp;"'"&amp;"!A10:Z10"),0),4),1,""),""),60))</f>
        <v>M26</v>
      </c>
      <c r="C475" s="1047" t="str">
        <f ca="1">IF('[2]Pricing Schedule'!$K$5="No",IFERROR(SUBSTITUTE(ADDRESS(1,MATCH(A475,INDIRECT("'"&amp;E475&amp;"'"&amp;"!A10:Z10"),0),4),1,""),""),IFERROR(SUBSTITUTE(ADDRESS(1,MATCH(A475,INDIRECT("'"&amp;E475&amp;"'"&amp;"!A10:Z10"),0),4),1,""),""))</f>
        <v>M</v>
      </c>
      <c r="D475" s="1050" t="s">
        <v>1464</v>
      </c>
      <c r="E475" s="1050" t="s">
        <v>1373</v>
      </c>
      <c r="F475" s="1328"/>
      <c r="G475" s="1328"/>
      <c r="H475" s="1328"/>
      <c r="I475" s="1328"/>
      <c r="J475" s="1328"/>
      <c r="K475" s="1328"/>
      <c r="L475" s="1113" t="s">
        <v>1320</v>
      </c>
      <c r="M475" s="1329">
        <v>444</v>
      </c>
      <c r="N475" s="1329"/>
      <c r="O475" s="1328"/>
    </row>
    <row r="476" spans="1:15" x14ac:dyDescent="0.25">
      <c r="A476" s="1146" t="s">
        <v>1383</v>
      </c>
      <c r="B476" s="1047" t="str">
        <f ca="1">IF('[2]Pricing Schedule'!$K$5="No",_xlfn.CONCAT(IFERROR(SUBSTITUTE(ADDRESS(1,MATCH(A476,INDIRECT("'"&amp;E476&amp;"'"&amp;"!A10:Z10"),0),4),1,""),""),21),_xlfn.CONCAT(IFERROR(SUBSTITUTE(ADDRESS(1,MATCH(A476,INDIRECT("'"&amp;E476&amp;"'"&amp;"!A10:Z10"),0),4),1,""),""),55))</f>
        <v>N21</v>
      </c>
      <c r="C476" s="1047" t="str">
        <f ca="1">IF('[2]Pricing Schedule'!$K$5="No",IFERROR(SUBSTITUTE(ADDRESS(1,MATCH(A476,INDIRECT("'"&amp;E476&amp;"'"&amp;"!A10:Z10"),0),4),1,""),""),IFERROR(SUBSTITUTE(ADDRESS(1,MATCH(A476,INDIRECT("'"&amp;E476&amp;"'"&amp;"!A10:Z10"),0),4),1,""),""))</f>
        <v>N</v>
      </c>
      <c r="D476" s="1050" t="s">
        <v>1464</v>
      </c>
      <c r="E476" s="1050" t="s">
        <v>1373</v>
      </c>
      <c r="F476" s="1328"/>
      <c r="G476" s="1328"/>
      <c r="H476" s="1328"/>
      <c r="I476" s="1328"/>
      <c r="J476" s="1328"/>
      <c r="K476" s="1328"/>
      <c r="L476" s="1113" t="s">
        <v>1383</v>
      </c>
      <c r="M476" s="1329">
        <v>445</v>
      </c>
      <c r="N476" s="1329"/>
      <c r="O476" s="1328"/>
    </row>
    <row r="477" spans="1:15" x14ac:dyDescent="0.25">
      <c r="A477" s="1147" t="s">
        <v>1374</v>
      </c>
      <c r="B477" s="1047" t="str">
        <f ca="1">IF('[2]Pricing Schedule'!$K$5="No",_xlfn.CONCAT(IFERROR(SUBSTITUTE(ADDRESS(1,MATCH(A477,INDIRECT("'"&amp;E477&amp;"'"&amp;"!A10:Z10"),0),4),1,""),""),21),_xlfn.CONCAT(IFERROR(SUBSTITUTE(ADDRESS(1,MATCH(A477,INDIRECT("'"&amp;E477&amp;"'"&amp;"!A10:Z10"),0),4),1,""),""),55))</f>
        <v>C21</v>
      </c>
      <c r="C477" s="1047" t="str">
        <f ca="1">IF('[2]Pricing Schedule'!$K$5="No",IFERROR(SUBSTITUTE(ADDRESS(1,MATCH(A477,INDIRECT("'"&amp;E477&amp;"'"&amp;"!A10:Z10"),0),4),1,""),""),IFERROR(SUBSTITUTE(ADDRESS(1,MATCH(A477,INDIRECT("'"&amp;E477&amp;"'"&amp;"!A10:Z10"),0),4),1,""),""))</f>
        <v>C</v>
      </c>
      <c r="D477" s="1050" t="s">
        <v>1464</v>
      </c>
      <c r="E477" s="1050" t="s">
        <v>1373</v>
      </c>
      <c r="F477" s="1328"/>
      <c r="G477" s="1328"/>
      <c r="H477" s="1328"/>
      <c r="I477" s="1328"/>
      <c r="J477" s="1328"/>
      <c r="K477" s="1328"/>
      <c r="L477" s="1113" t="s">
        <v>254</v>
      </c>
      <c r="M477" s="1329">
        <v>446</v>
      </c>
      <c r="N477" s="1329"/>
      <c r="O477" s="1328"/>
    </row>
    <row r="478" spans="1:15" x14ac:dyDescent="0.25">
      <c r="A478" s="1147" t="s">
        <v>1339</v>
      </c>
      <c r="B478" s="1047" t="str">
        <f ca="1">IF('[2]Pricing Schedule'!$K$5="No",_xlfn.CONCAT(IFERROR(SUBSTITUTE(ADDRESS(1,MATCH(A478,INDIRECT("'"&amp;E478&amp;"'"&amp;"!A10:Z10"),0),4),1,""),""),21),_xlfn.CONCAT(IFERROR(SUBSTITUTE(ADDRESS(1,MATCH(A478,INDIRECT("'"&amp;E478&amp;"'"&amp;"!A10:Z10"),0),4),1,""),""),55))</f>
        <v>H21</v>
      </c>
      <c r="C478" s="1047" t="str">
        <f ca="1">IF('[2]Pricing Schedule'!$K$5="No",IFERROR(SUBSTITUTE(ADDRESS(1,MATCH(A478,INDIRECT("'"&amp;E478&amp;"'"&amp;"!A10:Z10"),0),4),1,""),""),IFERROR(SUBSTITUTE(ADDRESS(1,MATCH(A478,INDIRECT("'"&amp;E478&amp;"'"&amp;"!A10:Z10"),0),4),1,""),""))</f>
        <v>H</v>
      </c>
      <c r="D478" s="1050" t="s">
        <v>1464</v>
      </c>
      <c r="E478" s="1050" t="s">
        <v>1373</v>
      </c>
      <c r="F478" s="1328"/>
      <c r="G478" s="1328"/>
      <c r="H478" s="1328"/>
      <c r="I478" s="1328"/>
      <c r="J478" s="1328"/>
      <c r="K478" s="1328"/>
      <c r="L478" s="1113" t="s">
        <v>1339</v>
      </c>
      <c r="M478" s="1329">
        <v>447</v>
      </c>
      <c r="N478" s="1329"/>
      <c r="O478" s="1328"/>
    </row>
    <row r="479" spans="1:15" x14ac:dyDescent="0.25">
      <c r="A479" s="1147" t="s">
        <v>1377</v>
      </c>
      <c r="B479" s="1047" t="str">
        <f ca="1">IF('[2]Pricing Schedule'!$K$5="No",_xlfn.CONCAT(IFERROR(SUBSTITUTE(ADDRESS(1,MATCH(A479,INDIRECT("'"&amp;E479&amp;"'"&amp;"!A10:Z10"),0),4),1,""),""),21),_xlfn.CONCAT(IFERROR(SUBSTITUTE(ADDRESS(1,MATCH(A479,INDIRECT("'"&amp;E479&amp;"'"&amp;"!A10:Z10"),0),4),1,""),""),55))</f>
        <v>F21</v>
      </c>
      <c r="C479" s="1047" t="str">
        <f ca="1">IF('[2]Pricing Schedule'!$K$5="No",IFERROR(SUBSTITUTE(ADDRESS(1,MATCH(A479,INDIRECT("'"&amp;E479&amp;"'"&amp;"!A10:Z10"),0),4),1,""),""),IFERROR(SUBSTITUTE(ADDRESS(1,MATCH(A479,INDIRECT("'"&amp;E479&amp;"'"&amp;"!A10:Z10"),0),4),1,""),""))</f>
        <v>F</v>
      </c>
      <c r="D479" s="1050" t="s">
        <v>1464</v>
      </c>
      <c r="E479" s="1050" t="s">
        <v>1373</v>
      </c>
      <c r="F479" s="1328"/>
      <c r="G479" s="1328"/>
      <c r="H479" s="1328"/>
      <c r="I479" s="1328"/>
      <c r="J479" s="1328"/>
      <c r="K479" s="1328"/>
      <c r="L479" s="1113" t="s">
        <v>225</v>
      </c>
      <c r="M479" s="1329">
        <v>448</v>
      </c>
      <c r="N479" s="1329"/>
      <c r="O479" s="132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9" t="s">
        <v>1464</v>
      </c>
      <c r="E480" s="1050" t="s">
        <v>208</v>
      </c>
      <c r="F480" s="1328"/>
      <c r="G480" s="1328"/>
      <c r="H480" s="1328"/>
      <c r="I480" s="1328"/>
      <c r="J480" s="1328"/>
      <c r="K480" s="1328"/>
      <c r="L480" s="1113" t="s">
        <v>466</v>
      </c>
      <c r="M480" s="1329">
        <v>449</v>
      </c>
      <c r="N480" s="1329"/>
      <c r="O480" s="1328"/>
    </row>
    <row r="481" spans="1:15" x14ac:dyDescent="0.25">
      <c r="A481" s="1148" t="s">
        <v>1376</v>
      </c>
      <c r="B481" s="1047" t="str">
        <f ca="1">IF('[2]Pricing Schedule'!$K$5="No",_xlfn.CONCAT(IFERROR(SUBSTITUTE(ADDRESS(1,MATCH(A481,INDIRECT("'"&amp;E481&amp;"'"&amp;"!A10:Z10"),0),4),1,""),""),21),_xlfn.CONCAT(IFERROR(SUBSTITUTE(ADDRESS(1,MATCH(A481,INDIRECT("'"&amp;E481&amp;"'"&amp;"!A10:Z10"),0),4),1,""),""),55))</f>
        <v>E21</v>
      </c>
      <c r="C481" s="1047" t="str">
        <f ca="1">IF('[2]Pricing Schedule'!$K$5="No",IFERROR(SUBSTITUTE(ADDRESS(1,MATCH(A481,INDIRECT("'"&amp;E481&amp;"'"&amp;"!A10:Z10"),0),4),1,""),""),IFERROR(SUBSTITUTE(ADDRESS(1,MATCH(A481,INDIRECT("'"&amp;E481&amp;"'"&amp;"!A10:Z10"),0),4),1,""),""))</f>
        <v>E</v>
      </c>
      <c r="D481" s="1050" t="s">
        <v>1464</v>
      </c>
      <c r="E481" s="1050" t="s">
        <v>1373</v>
      </c>
      <c r="F481" s="1328"/>
      <c r="G481" s="1328"/>
      <c r="H481" s="1328"/>
      <c r="I481" s="1328"/>
      <c r="J481" s="1328"/>
      <c r="K481" s="1328"/>
      <c r="L481" s="1113" t="s">
        <v>1376</v>
      </c>
      <c r="M481" s="1329">
        <v>450</v>
      </c>
      <c r="N481" s="1329"/>
      <c r="O481" s="1328"/>
    </row>
    <row r="482" spans="1:15" x14ac:dyDescent="0.25">
      <c r="A482" s="1148" t="s">
        <v>1378</v>
      </c>
      <c r="B482" s="1047" t="str">
        <f ca="1">IF('[2]Pricing Schedule'!$K$5="No",_xlfn.CONCAT(IFERROR(SUBSTITUTE(ADDRESS(1,MATCH(A482,INDIRECT("'"&amp;E482&amp;"'"&amp;"!A10:Z10"),0),4),1,""),""),21),_xlfn.CONCAT(IFERROR(SUBSTITUTE(ADDRESS(1,MATCH(A482,INDIRECT("'"&amp;E482&amp;"'"&amp;"!A10:Z10"),0),4),1,""),""),55))</f>
        <v>G21</v>
      </c>
      <c r="C482" s="1047" t="str">
        <f ca="1">IF('[2]Pricing Schedule'!$K$5="No",IFERROR(SUBSTITUTE(ADDRESS(1,MATCH(A482,INDIRECT("'"&amp;E482&amp;"'"&amp;"!A10:Z10"),0),4),1,""),""),IFERROR(SUBSTITUTE(ADDRESS(1,MATCH(A482,INDIRECT("'"&amp;E482&amp;"'"&amp;"!A10:Z10"),0),4),1,""),""))</f>
        <v>G</v>
      </c>
      <c r="D482" s="1050" t="s">
        <v>1464</v>
      </c>
      <c r="E482" s="1050" t="s">
        <v>1373</v>
      </c>
      <c r="F482" s="1328"/>
      <c r="G482" s="1328"/>
      <c r="H482" s="1328"/>
      <c r="I482" s="1328"/>
      <c r="J482" s="1328"/>
      <c r="K482" s="1328"/>
      <c r="L482" s="1113" t="s">
        <v>1378</v>
      </c>
      <c r="M482" s="1329">
        <v>451</v>
      </c>
      <c r="N482" s="1329"/>
      <c r="O482" s="1328"/>
    </row>
    <row r="483" spans="1:15" x14ac:dyDescent="0.25">
      <c r="A483" s="1148" t="s">
        <v>1379</v>
      </c>
      <c r="B483" s="1047" t="str">
        <f ca="1">IF('[2]Pricing Schedule'!$K$5="No",_xlfn.CONCAT(IFERROR(SUBSTITUTE(ADDRESS(1,MATCH(A483,INDIRECT("'"&amp;E483&amp;"'"&amp;"!A10:Z10"),0),4),1,""),""),21),_xlfn.CONCAT(IFERROR(SUBSTITUTE(ADDRESS(1,MATCH(A483,INDIRECT("'"&amp;E483&amp;"'"&amp;"!A10:Z10"),0),4),1,""),""),55))</f>
        <v>I21</v>
      </c>
      <c r="C483" s="1047" t="str">
        <f ca="1">IF('[2]Pricing Schedule'!$K$5="No",IFERROR(SUBSTITUTE(ADDRESS(1,MATCH(A483,INDIRECT("'"&amp;E483&amp;"'"&amp;"!A10:Z10"),0),4),1,""),""),IFERROR(SUBSTITUTE(ADDRESS(1,MATCH(A483,INDIRECT("'"&amp;E483&amp;"'"&amp;"!A10:Z10"),0),4),1,""),""))</f>
        <v>I</v>
      </c>
      <c r="D483" s="1050" t="s">
        <v>1464</v>
      </c>
      <c r="E483" s="1050" t="s">
        <v>1373</v>
      </c>
      <c r="F483" s="1328"/>
      <c r="G483" s="1328"/>
      <c r="H483" s="1328"/>
      <c r="I483" s="1328"/>
      <c r="J483" s="1328"/>
      <c r="K483" s="1328"/>
      <c r="L483" s="1113" t="s">
        <v>1379</v>
      </c>
      <c r="M483" s="1329">
        <v>452</v>
      </c>
      <c r="N483" s="1329"/>
      <c r="O483" s="1328"/>
    </row>
    <row r="484" spans="1:15" x14ac:dyDescent="0.25">
      <c r="A484" s="1148" t="s">
        <v>1380</v>
      </c>
      <c r="B484" s="1047" t="str">
        <f ca="1">IF('[2]Pricing Schedule'!$K$5="No",_xlfn.CONCAT(IFERROR(SUBSTITUTE(ADDRESS(1,MATCH(A484,INDIRECT("'"&amp;E484&amp;"'"&amp;"!A10:Z10"),0),4),1,""),""),21),_xlfn.CONCAT(IFERROR(SUBSTITUTE(ADDRESS(1,MATCH(A484,INDIRECT("'"&amp;E484&amp;"'"&amp;"!A10:Z10"),0),4),1,""),""),55))</f>
        <v>J21</v>
      </c>
      <c r="C484" s="1047" t="str">
        <f ca="1">IF('[2]Pricing Schedule'!$K$5="No",IFERROR(SUBSTITUTE(ADDRESS(1,MATCH(A484,INDIRECT("'"&amp;E484&amp;"'"&amp;"!A10:Z10"),0),4),1,""),""),IFERROR(SUBSTITUTE(ADDRESS(1,MATCH(A484,INDIRECT("'"&amp;E484&amp;"'"&amp;"!A10:Z10"),0),4),1,""),""))</f>
        <v>J</v>
      </c>
      <c r="D484" s="1050" t="s">
        <v>1464</v>
      </c>
      <c r="E484" s="1050" t="s">
        <v>1373</v>
      </c>
      <c r="F484" s="1328"/>
      <c r="G484" s="1328"/>
      <c r="H484" s="1328"/>
      <c r="I484" s="1328"/>
      <c r="J484" s="1328"/>
      <c r="K484" s="1328"/>
      <c r="L484" s="1113" t="s">
        <v>1380</v>
      </c>
      <c r="M484" s="1329">
        <v>453</v>
      </c>
      <c r="N484" s="1329"/>
      <c r="O484" s="1328"/>
    </row>
    <row r="485" spans="1:15" x14ac:dyDescent="0.25">
      <c r="A485" s="1148" t="s">
        <v>1381</v>
      </c>
      <c r="B485" s="1047" t="str">
        <f ca="1">IF('[2]Pricing Schedule'!$K$5="No",_xlfn.CONCAT(IFERROR(SUBSTITUTE(ADDRESS(1,MATCH(A485,INDIRECT("'"&amp;E485&amp;"'"&amp;"!A10:Z10"),0),4),1,""),""),21),_xlfn.CONCAT(IFERROR(SUBSTITUTE(ADDRESS(1,MATCH(A485,INDIRECT("'"&amp;E485&amp;"'"&amp;"!A10:Z10"),0),4),1,""),""),55))</f>
        <v>K21</v>
      </c>
      <c r="C485" s="1047" t="str">
        <f ca="1">IF('[2]Pricing Schedule'!$K$5="No",IFERROR(SUBSTITUTE(ADDRESS(1,MATCH(A485,INDIRECT("'"&amp;E485&amp;"'"&amp;"!A10:Z10"),0),4),1,""),""),IFERROR(SUBSTITUTE(ADDRESS(1,MATCH(A485,INDIRECT("'"&amp;E485&amp;"'"&amp;"!A10:Z10"),0),4),1,""),""))</f>
        <v>K</v>
      </c>
      <c r="D485" s="1050" t="s">
        <v>1464</v>
      </c>
      <c r="E485" s="1050" t="s">
        <v>1373</v>
      </c>
      <c r="F485" s="1328"/>
      <c r="G485" s="1328"/>
      <c r="H485" s="1328"/>
      <c r="I485" s="1328"/>
      <c r="J485" s="1328"/>
      <c r="K485" s="1328"/>
      <c r="L485" s="1113" t="s">
        <v>1381</v>
      </c>
      <c r="M485" s="1329">
        <v>454</v>
      </c>
      <c r="N485" s="1329"/>
      <c r="O485" s="1328"/>
    </row>
    <row r="486" spans="1:15" x14ac:dyDescent="0.25">
      <c r="A486" s="1148" t="s">
        <v>1382</v>
      </c>
      <c r="B486" s="1047" t="str">
        <f ca="1">IF('[2]Pricing Schedule'!$K$5="No",_xlfn.CONCAT(IFERROR(SUBSTITUTE(ADDRESS(1,MATCH(A486,INDIRECT("'"&amp;E486&amp;"'"&amp;"!A10:Z10"),0),4),1,""),""),21),_xlfn.CONCAT(IFERROR(SUBSTITUTE(ADDRESS(1,MATCH(A486,INDIRECT("'"&amp;E486&amp;"'"&amp;"!A10:Z10"),0),4),1,""),""),55))</f>
        <v>L21</v>
      </c>
      <c r="C486" s="1047" t="str">
        <f ca="1">IF('[2]Pricing Schedule'!$K$5="No",IFERROR(SUBSTITUTE(ADDRESS(1,MATCH(A486,INDIRECT("'"&amp;E486&amp;"'"&amp;"!A10:Z10"),0),4),1,""),""),IFERROR(SUBSTITUTE(ADDRESS(1,MATCH(A486,INDIRECT("'"&amp;E486&amp;"'"&amp;"!A10:Z10"),0),4),1,""),""))</f>
        <v>L</v>
      </c>
      <c r="D486" s="1050" t="s">
        <v>1464</v>
      </c>
      <c r="E486" s="1050" t="s">
        <v>1373</v>
      </c>
      <c r="F486" s="1328"/>
      <c r="G486" s="1328"/>
      <c r="H486" s="1328"/>
      <c r="I486" s="1328"/>
      <c r="J486" s="1328"/>
      <c r="K486" s="1328"/>
      <c r="L486" s="1113" t="s">
        <v>1382</v>
      </c>
      <c r="M486" s="1329">
        <v>455</v>
      </c>
      <c r="N486" s="1329"/>
      <c r="O486" s="1328"/>
    </row>
    <row r="487" spans="1:15" x14ac:dyDescent="0.25">
      <c r="A487" s="1148" t="s">
        <v>1320</v>
      </c>
      <c r="B487" s="1047" t="str">
        <f ca="1">IF('[2]Pricing Schedule'!$K$5="No",_xlfn.CONCAT(IFERROR(SUBSTITUTE(ADDRESS(1,MATCH(A487,INDIRECT("'"&amp;E487&amp;"'"&amp;"!A10:Z10"),0),4),1,""),""),21),_xlfn.CONCAT(IFERROR(SUBSTITUTE(ADDRESS(1,MATCH(A487,INDIRECT("'"&amp;E487&amp;"'"&amp;"!A10:Z10"),0),4),1,""),""),55))</f>
        <v>M21</v>
      </c>
      <c r="C487" s="1047" t="str">
        <f ca="1">IF('[2]Pricing Schedule'!$K$5="No",IFERROR(SUBSTITUTE(ADDRESS(1,MATCH(A487,INDIRECT("'"&amp;E487&amp;"'"&amp;"!A10:Z10"),0),4),1,""),""),IFERROR(SUBSTITUTE(ADDRESS(1,MATCH(A487,INDIRECT("'"&amp;E487&amp;"'"&amp;"!A10:Z10"),0),4),1,""),""))</f>
        <v>M</v>
      </c>
      <c r="D487" s="1050" t="s">
        <v>1464</v>
      </c>
      <c r="E487" s="1050" t="s">
        <v>1373</v>
      </c>
      <c r="F487" s="1328"/>
      <c r="G487" s="1328"/>
      <c r="H487" s="1328"/>
      <c r="I487" s="1328"/>
      <c r="J487" s="1328"/>
      <c r="K487" s="1328"/>
      <c r="L487" s="1113" t="s">
        <v>1320</v>
      </c>
      <c r="M487" s="1329">
        <v>456</v>
      </c>
      <c r="N487" s="1329"/>
      <c r="O487" s="1328"/>
    </row>
    <row r="488" spans="1:15" x14ac:dyDescent="0.25">
      <c r="A488" s="1143" t="s">
        <v>1383</v>
      </c>
      <c r="B488" s="1047" t="str">
        <f ca="1">IF('[2]Pricing Schedule'!$K$5="No",_xlfn.CONCAT(IFERROR(SUBSTITUTE(ADDRESS(1,MATCH(A488,INDIRECT("'"&amp;E488&amp;"'"&amp;"!A10:Z10"),0),4),1,""),""),29),_xlfn.CONCAT(IFERROR(SUBSTITUTE(ADDRESS(1,MATCH(A488,INDIRECT("'"&amp;E488&amp;"'"&amp;"!A10:Z10"),0),4),1,""),""),63))</f>
        <v>N29</v>
      </c>
      <c r="C488" s="1047" t="str">
        <f ca="1">IF('[2]Pricing Schedule'!$K$5="No",IFERROR(SUBSTITUTE(ADDRESS(1,MATCH(A488,INDIRECT("'"&amp;E488&amp;"'"&amp;"!A10:Z10"),0),4),1,""),""),IFERROR(SUBSTITUTE(ADDRESS(1,MATCH(A488,INDIRECT("'"&amp;E488&amp;"'"&amp;"!A10:Z10"),0),4),1,""),""))</f>
        <v>N</v>
      </c>
      <c r="D488" s="1050" t="s">
        <v>1464</v>
      </c>
      <c r="E488" s="1050" t="s">
        <v>1373</v>
      </c>
      <c r="F488" s="1328"/>
      <c r="G488" s="1328"/>
      <c r="H488" s="1328"/>
      <c r="I488" s="1328"/>
      <c r="J488" s="1328"/>
      <c r="K488" s="1328"/>
      <c r="L488" s="1113" t="s">
        <v>1383</v>
      </c>
      <c r="M488" s="1329">
        <v>457</v>
      </c>
      <c r="N488" s="1329"/>
      <c r="O488" s="1328"/>
    </row>
    <row r="489" spans="1:15" x14ac:dyDescent="0.25">
      <c r="A489" s="1144" t="s">
        <v>1374</v>
      </c>
      <c r="B489" s="1047" t="str">
        <f ca="1">IF('[2]Pricing Schedule'!$K$5="No",_xlfn.CONCAT(IFERROR(SUBSTITUTE(ADDRESS(1,MATCH(A489,INDIRECT("'"&amp;E489&amp;"'"&amp;"!A10:Z10"),0),4),1,""),""),29),_xlfn.CONCAT(IFERROR(SUBSTITUTE(ADDRESS(1,MATCH(A489,INDIRECT("'"&amp;E489&amp;"'"&amp;"!A10:Z10"),0),4),1,""),""),63))</f>
        <v>C29</v>
      </c>
      <c r="C489" s="1047" t="str">
        <f ca="1">IF('[2]Pricing Schedule'!$K$5="No",IFERROR(SUBSTITUTE(ADDRESS(1,MATCH(A489,INDIRECT("'"&amp;E489&amp;"'"&amp;"!A10:Z10"),0),4),1,""),""),IFERROR(SUBSTITUTE(ADDRESS(1,MATCH(A489,INDIRECT("'"&amp;E489&amp;"'"&amp;"!A10:Z10"),0),4),1,""),""))</f>
        <v>C</v>
      </c>
      <c r="D489" s="1050" t="s">
        <v>1464</v>
      </c>
      <c r="E489" s="1050" t="s">
        <v>1373</v>
      </c>
      <c r="F489" s="1328"/>
      <c r="G489" s="1328"/>
      <c r="H489" s="1328"/>
      <c r="I489" s="1328"/>
      <c r="J489" s="1328"/>
      <c r="K489" s="1328"/>
      <c r="L489" s="1113" t="s">
        <v>254</v>
      </c>
      <c r="M489" s="1329">
        <v>458</v>
      </c>
      <c r="N489" s="1329"/>
      <c r="O489" s="1328"/>
    </row>
    <row r="490" spans="1:15" x14ac:dyDescent="0.25">
      <c r="A490" s="1144" t="s">
        <v>1339</v>
      </c>
      <c r="B490" s="1047" t="str">
        <f ca="1">IF('[2]Pricing Schedule'!$K$5="No",_xlfn.CONCAT(IFERROR(SUBSTITUTE(ADDRESS(1,MATCH(A490,INDIRECT("'"&amp;E490&amp;"'"&amp;"!A10:Z10"),0),4),1,""),""),29),_xlfn.CONCAT(IFERROR(SUBSTITUTE(ADDRESS(1,MATCH(A490,INDIRECT("'"&amp;E490&amp;"'"&amp;"!A10:Z10"),0),4),1,""),""),63))</f>
        <v>H29</v>
      </c>
      <c r="C490" s="1047" t="str">
        <f ca="1">IF('[2]Pricing Schedule'!$K$5="No",IFERROR(SUBSTITUTE(ADDRESS(1,MATCH(A490,INDIRECT("'"&amp;E490&amp;"'"&amp;"!A10:Z10"),0),4),1,""),""),IFERROR(SUBSTITUTE(ADDRESS(1,MATCH(A490,INDIRECT("'"&amp;E490&amp;"'"&amp;"!A10:Z10"),0),4),1,""),""))</f>
        <v>H</v>
      </c>
      <c r="D490" s="1050" t="s">
        <v>1464</v>
      </c>
      <c r="E490" s="1050" t="s">
        <v>1373</v>
      </c>
      <c r="F490" s="1328"/>
      <c r="G490" s="1328"/>
      <c r="H490" s="1328"/>
      <c r="I490" s="1328"/>
      <c r="J490" s="1328"/>
      <c r="K490" s="1328"/>
      <c r="L490" s="1113" t="s">
        <v>1339</v>
      </c>
      <c r="M490" s="1329">
        <v>459</v>
      </c>
      <c r="N490" s="1329"/>
      <c r="O490" s="1328"/>
    </row>
    <row r="491" spans="1:15" x14ac:dyDescent="0.25">
      <c r="A491" s="1144" t="s">
        <v>1377</v>
      </c>
      <c r="B491" s="1047" t="str">
        <f ca="1">IF('[2]Pricing Schedule'!$K$5="No",_xlfn.CONCAT(IFERROR(SUBSTITUTE(ADDRESS(1,MATCH(A491,INDIRECT("'"&amp;E491&amp;"'"&amp;"!A10:Z10"),0),4),1,""),""),29),_xlfn.CONCAT(IFERROR(SUBSTITUTE(ADDRESS(1,MATCH(A491,INDIRECT("'"&amp;E491&amp;"'"&amp;"!A10:Z10"),0),4),1,""),""),63))</f>
        <v>F29</v>
      </c>
      <c r="C491" s="1047" t="str">
        <f ca="1">IF('[2]Pricing Schedule'!$K$5="No",IFERROR(SUBSTITUTE(ADDRESS(1,MATCH(A491,INDIRECT("'"&amp;E491&amp;"'"&amp;"!A10:Z10"),0),4),1,""),""),IFERROR(SUBSTITUTE(ADDRESS(1,MATCH(A491,INDIRECT("'"&amp;E491&amp;"'"&amp;"!A10:Z10"),0),4),1,""),""))</f>
        <v>F</v>
      </c>
      <c r="D491" s="1050" t="s">
        <v>1464</v>
      </c>
      <c r="E491" s="1050" t="s">
        <v>1373</v>
      </c>
      <c r="F491" s="1328"/>
      <c r="G491" s="1328"/>
      <c r="H491" s="1328"/>
      <c r="I491" s="1328"/>
      <c r="J491" s="1328"/>
      <c r="K491" s="1328"/>
      <c r="L491" s="1113" t="s">
        <v>225</v>
      </c>
      <c r="M491" s="1329">
        <v>460</v>
      </c>
      <c r="N491" s="1329"/>
      <c r="O491" s="132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9" t="s">
        <v>1464</v>
      </c>
      <c r="E492" s="1050" t="s">
        <v>208</v>
      </c>
      <c r="F492" s="1328"/>
      <c r="G492" s="1328"/>
      <c r="H492" s="1328"/>
      <c r="I492" s="1328"/>
      <c r="J492" s="1328"/>
      <c r="K492" s="1328"/>
      <c r="L492" s="1113" t="s">
        <v>466</v>
      </c>
      <c r="M492" s="1329">
        <v>461</v>
      </c>
      <c r="N492" s="1329"/>
      <c r="O492" s="1328"/>
    </row>
    <row r="493" spans="1:15" x14ac:dyDescent="0.25">
      <c r="A493" s="1145" t="s">
        <v>1376</v>
      </c>
      <c r="B493" s="1047" t="str">
        <f ca="1">IF('[2]Pricing Schedule'!$K$5="No",_xlfn.CONCAT(IFERROR(SUBSTITUTE(ADDRESS(1,MATCH(A493,INDIRECT("'"&amp;E493&amp;"'"&amp;"!A10:Z10"),0),4),1,""),""),29),_xlfn.CONCAT(IFERROR(SUBSTITUTE(ADDRESS(1,MATCH(A493,INDIRECT("'"&amp;E493&amp;"'"&amp;"!A10:Z10"),0),4),1,""),""),63))</f>
        <v>E29</v>
      </c>
      <c r="C493" s="1047" t="str">
        <f ca="1">IF('[2]Pricing Schedule'!$K$5="No",IFERROR(SUBSTITUTE(ADDRESS(1,MATCH(A493,INDIRECT("'"&amp;E493&amp;"'"&amp;"!A10:Z10"),0),4),1,""),""),IFERROR(SUBSTITUTE(ADDRESS(1,MATCH(A493,INDIRECT("'"&amp;E493&amp;"'"&amp;"!A10:Z10"),0),4),1,""),""))</f>
        <v>E</v>
      </c>
      <c r="D493" s="1050" t="s">
        <v>1464</v>
      </c>
      <c r="E493" s="1050" t="s">
        <v>1373</v>
      </c>
      <c r="F493" s="1328"/>
      <c r="G493" s="1328"/>
      <c r="H493" s="1328"/>
      <c r="I493" s="1328"/>
      <c r="J493" s="1328"/>
      <c r="K493" s="1328"/>
      <c r="L493" s="1113" t="s">
        <v>1376</v>
      </c>
      <c r="M493" s="1329">
        <v>462</v>
      </c>
      <c r="N493" s="1329"/>
      <c r="O493" s="1328"/>
    </row>
    <row r="494" spans="1:15" x14ac:dyDescent="0.25">
      <c r="A494" s="1145" t="s">
        <v>1378</v>
      </c>
      <c r="B494" s="1047" t="str">
        <f ca="1">IF('[2]Pricing Schedule'!$K$5="No",_xlfn.CONCAT(IFERROR(SUBSTITUTE(ADDRESS(1,MATCH(A494,INDIRECT("'"&amp;E494&amp;"'"&amp;"!A10:Z10"),0),4),1,""),""),29),_xlfn.CONCAT(IFERROR(SUBSTITUTE(ADDRESS(1,MATCH(A494,INDIRECT("'"&amp;E494&amp;"'"&amp;"!A10:Z10"),0),4),1,""),""),63))</f>
        <v>G29</v>
      </c>
      <c r="C494" s="1047" t="str">
        <f ca="1">IF('[2]Pricing Schedule'!$K$5="No",IFERROR(SUBSTITUTE(ADDRESS(1,MATCH(A494,INDIRECT("'"&amp;E494&amp;"'"&amp;"!A10:Z10"),0),4),1,""),""),IFERROR(SUBSTITUTE(ADDRESS(1,MATCH(A494,INDIRECT("'"&amp;E494&amp;"'"&amp;"!A10:Z10"),0),4),1,""),""))</f>
        <v>G</v>
      </c>
      <c r="D494" s="1050" t="s">
        <v>1464</v>
      </c>
      <c r="E494" s="1050" t="s">
        <v>1373</v>
      </c>
      <c r="F494" s="1328"/>
      <c r="G494" s="1328"/>
      <c r="H494" s="1328"/>
      <c r="I494" s="1328"/>
      <c r="J494" s="1328"/>
      <c r="K494" s="1328"/>
      <c r="L494" s="1113" t="s">
        <v>1378</v>
      </c>
      <c r="M494" s="1329">
        <v>463</v>
      </c>
      <c r="N494" s="1329"/>
      <c r="O494" s="1328"/>
    </row>
    <row r="495" spans="1:15" x14ac:dyDescent="0.25">
      <c r="A495" s="1145" t="s">
        <v>1379</v>
      </c>
      <c r="B495" s="1047" t="str">
        <f ca="1">IF('[2]Pricing Schedule'!$K$5="No",_xlfn.CONCAT(IFERROR(SUBSTITUTE(ADDRESS(1,MATCH(A495,INDIRECT("'"&amp;E495&amp;"'"&amp;"!A10:Z10"),0),4),1,""),""),29),_xlfn.CONCAT(IFERROR(SUBSTITUTE(ADDRESS(1,MATCH(A495,INDIRECT("'"&amp;E495&amp;"'"&amp;"!A10:Z10"),0),4),1,""),""),63))</f>
        <v>I29</v>
      </c>
      <c r="C495" s="1047" t="str">
        <f ca="1">IF('[2]Pricing Schedule'!$K$5="No",IFERROR(SUBSTITUTE(ADDRESS(1,MATCH(A495,INDIRECT("'"&amp;E495&amp;"'"&amp;"!A10:Z10"),0),4),1,""),""),IFERROR(SUBSTITUTE(ADDRESS(1,MATCH(A495,INDIRECT("'"&amp;E495&amp;"'"&amp;"!A10:Z10"),0),4),1,""),""))</f>
        <v>I</v>
      </c>
      <c r="D495" s="1050" t="s">
        <v>1464</v>
      </c>
      <c r="E495" s="1050" t="s">
        <v>1373</v>
      </c>
      <c r="F495" s="1328"/>
      <c r="G495" s="1328"/>
      <c r="H495" s="1328"/>
      <c r="I495" s="1328"/>
      <c r="J495" s="1328"/>
      <c r="K495" s="1328"/>
      <c r="L495" s="1113" t="s">
        <v>1379</v>
      </c>
      <c r="M495" s="1329">
        <v>464</v>
      </c>
      <c r="N495" s="1329"/>
      <c r="O495" s="1328"/>
    </row>
    <row r="496" spans="1:15" x14ac:dyDescent="0.25">
      <c r="A496" s="1145" t="s">
        <v>1380</v>
      </c>
      <c r="B496" s="1047" t="str">
        <f ca="1">IF('[2]Pricing Schedule'!$K$5="No",_xlfn.CONCAT(IFERROR(SUBSTITUTE(ADDRESS(1,MATCH(A496,INDIRECT("'"&amp;E496&amp;"'"&amp;"!A10:Z10"),0),4),1,""),""),29),_xlfn.CONCAT(IFERROR(SUBSTITUTE(ADDRESS(1,MATCH(A496,INDIRECT("'"&amp;E496&amp;"'"&amp;"!A10:Z10"),0),4),1,""),""),63))</f>
        <v>J29</v>
      </c>
      <c r="C496" s="1047" t="str">
        <f ca="1">IF('[2]Pricing Schedule'!$K$5="No",IFERROR(SUBSTITUTE(ADDRESS(1,MATCH(A496,INDIRECT("'"&amp;E496&amp;"'"&amp;"!A10:Z10"),0),4),1,""),""),IFERROR(SUBSTITUTE(ADDRESS(1,MATCH(A496,INDIRECT("'"&amp;E496&amp;"'"&amp;"!A10:Z10"),0),4),1,""),""))</f>
        <v>J</v>
      </c>
      <c r="D496" s="1050" t="s">
        <v>1464</v>
      </c>
      <c r="E496" s="1050" t="s">
        <v>1373</v>
      </c>
      <c r="F496" s="1328"/>
      <c r="G496" s="1328"/>
      <c r="H496" s="1328"/>
      <c r="I496" s="1328"/>
      <c r="J496" s="1328"/>
      <c r="K496" s="1328"/>
      <c r="L496" s="1113" t="s">
        <v>1380</v>
      </c>
      <c r="M496" s="1329">
        <v>465</v>
      </c>
      <c r="N496" s="1329"/>
      <c r="O496" s="1328"/>
    </row>
    <row r="497" spans="1:15" x14ac:dyDescent="0.25">
      <c r="A497" s="1145" t="s">
        <v>1381</v>
      </c>
      <c r="B497" s="1047" t="str">
        <f ca="1">IF('[2]Pricing Schedule'!$K$5="No",_xlfn.CONCAT(IFERROR(SUBSTITUTE(ADDRESS(1,MATCH(A497,INDIRECT("'"&amp;E497&amp;"'"&amp;"!A10:Z10"),0),4),1,""),""),29),_xlfn.CONCAT(IFERROR(SUBSTITUTE(ADDRESS(1,MATCH(A497,INDIRECT("'"&amp;E497&amp;"'"&amp;"!A10:Z10"),0),4),1,""),""),63))</f>
        <v>K29</v>
      </c>
      <c r="C497" s="1047" t="str">
        <f ca="1">IF('[2]Pricing Schedule'!$K$5="No",IFERROR(SUBSTITUTE(ADDRESS(1,MATCH(A497,INDIRECT("'"&amp;E497&amp;"'"&amp;"!A10:Z10"),0),4),1,""),""),IFERROR(SUBSTITUTE(ADDRESS(1,MATCH(A497,INDIRECT("'"&amp;E497&amp;"'"&amp;"!A10:Z10"),0),4),1,""),""))</f>
        <v>K</v>
      </c>
      <c r="D497" s="1050" t="s">
        <v>1464</v>
      </c>
      <c r="E497" s="1050" t="s">
        <v>1373</v>
      </c>
      <c r="F497" s="1328"/>
      <c r="G497" s="1328"/>
      <c r="H497" s="1328"/>
      <c r="I497" s="1328"/>
      <c r="J497" s="1328"/>
      <c r="K497" s="1328"/>
      <c r="L497" s="1113" t="s">
        <v>1381</v>
      </c>
      <c r="M497" s="1329">
        <v>466</v>
      </c>
      <c r="N497" s="1329"/>
      <c r="O497" s="1328"/>
    </row>
    <row r="498" spans="1:15" x14ac:dyDescent="0.25">
      <c r="A498" s="1145" t="s">
        <v>1382</v>
      </c>
      <c r="B498" s="1047" t="str">
        <f ca="1">IF('[2]Pricing Schedule'!$K$5="No",_xlfn.CONCAT(IFERROR(SUBSTITUTE(ADDRESS(1,MATCH(A498,INDIRECT("'"&amp;E498&amp;"'"&amp;"!A10:Z10"),0),4),1,""),""),29),_xlfn.CONCAT(IFERROR(SUBSTITUTE(ADDRESS(1,MATCH(A498,INDIRECT("'"&amp;E498&amp;"'"&amp;"!A10:Z10"),0),4),1,""),""),63))</f>
        <v>L29</v>
      </c>
      <c r="C498" s="1047" t="str">
        <f ca="1">IF('[2]Pricing Schedule'!$K$5="No",IFERROR(SUBSTITUTE(ADDRESS(1,MATCH(A498,INDIRECT("'"&amp;E498&amp;"'"&amp;"!A10:Z10"),0),4),1,""),""),IFERROR(SUBSTITUTE(ADDRESS(1,MATCH(A498,INDIRECT("'"&amp;E498&amp;"'"&amp;"!A10:Z10"),0),4),1,""),""))</f>
        <v>L</v>
      </c>
      <c r="D498" s="1050" t="s">
        <v>1464</v>
      </c>
      <c r="E498" s="1050" t="s">
        <v>1373</v>
      </c>
      <c r="F498" s="1328"/>
      <c r="G498" s="1328"/>
      <c r="H498" s="1328"/>
      <c r="I498" s="1328"/>
      <c r="J498" s="1328"/>
      <c r="K498" s="1328"/>
      <c r="L498" s="1113" t="s">
        <v>1382</v>
      </c>
      <c r="M498" s="1329">
        <v>467</v>
      </c>
      <c r="N498" s="1329"/>
      <c r="O498" s="1328"/>
    </row>
    <row r="499" spans="1:15" x14ac:dyDescent="0.25">
      <c r="A499" s="1145" t="s">
        <v>1320</v>
      </c>
      <c r="B499" s="1047" t="str">
        <f ca="1">IF('[2]Pricing Schedule'!$K$5="No",_xlfn.CONCAT(IFERROR(SUBSTITUTE(ADDRESS(1,MATCH(A499,INDIRECT("'"&amp;E499&amp;"'"&amp;"!A10:Z10"),0),4),1,""),""),29),_xlfn.CONCAT(IFERROR(SUBSTITUTE(ADDRESS(1,MATCH(A499,INDIRECT("'"&amp;E499&amp;"'"&amp;"!A10:Z10"),0),4),1,""),""),63))</f>
        <v>M29</v>
      </c>
      <c r="C499" s="1047" t="str">
        <f ca="1">IF('[2]Pricing Schedule'!$K$5="No",IFERROR(SUBSTITUTE(ADDRESS(1,MATCH(A499,INDIRECT("'"&amp;E499&amp;"'"&amp;"!A10:Z10"),0),4),1,""),""),IFERROR(SUBSTITUTE(ADDRESS(1,MATCH(A499,INDIRECT("'"&amp;E499&amp;"'"&amp;"!A10:Z10"),0),4),1,""),""))</f>
        <v>M</v>
      </c>
      <c r="D499" s="1050" t="s">
        <v>1464</v>
      </c>
      <c r="E499" s="1050" t="s">
        <v>1373</v>
      </c>
      <c r="F499" s="1328"/>
      <c r="G499" s="1328"/>
      <c r="H499" s="1328"/>
      <c r="I499" s="1328"/>
      <c r="J499" s="1328"/>
      <c r="K499" s="1328"/>
      <c r="L499" s="1113" t="s">
        <v>1320</v>
      </c>
      <c r="M499" s="1329">
        <v>468</v>
      </c>
      <c r="N499" s="1329"/>
      <c r="O499" s="1328"/>
    </row>
    <row r="500" spans="1:15" x14ac:dyDescent="0.25">
      <c r="A500" s="1146" t="s">
        <v>1383</v>
      </c>
      <c r="B500" s="1047" t="str">
        <f ca="1">IF('[2]Pricing Schedule'!$K$5="No",_xlfn.CONCAT(IFERROR(SUBSTITUTE(ADDRESS(1,MATCH(A500,INDIRECT("'"&amp;E500&amp;"'"&amp;"!A10:Z10"),0),4),1,""),""),27),_xlfn.CONCAT(IFERROR(SUBSTITUTE(ADDRESS(1,MATCH(A500,INDIRECT("'"&amp;E500&amp;"'"&amp;"!A10:Z10"),0),4),1,""),""),61))</f>
        <v>N27</v>
      </c>
      <c r="C500" s="1047" t="str">
        <f ca="1">IF('[2]Pricing Schedule'!$K$5="No",IFERROR(SUBSTITUTE(ADDRESS(1,MATCH(A500,INDIRECT("'"&amp;E500&amp;"'"&amp;"!A10:Z10"),0),4),1,""),""),IFERROR(SUBSTITUTE(ADDRESS(1,MATCH(A500,INDIRECT("'"&amp;E500&amp;"'"&amp;"!A10:Z10"),0),4),1,""),""))</f>
        <v>N</v>
      </c>
      <c r="D500" s="1050" t="s">
        <v>1464</v>
      </c>
      <c r="E500" s="1050" t="s">
        <v>1373</v>
      </c>
      <c r="F500" s="1328"/>
      <c r="G500" s="1328"/>
      <c r="H500" s="1328"/>
      <c r="I500" s="1328"/>
      <c r="J500" s="1328"/>
      <c r="K500" s="1328"/>
      <c r="L500" s="1113" t="s">
        <v>1383</v>
      </c>
      <c r="M500" s="1329">
        <v>469</v>
      </c>
      <c r="N500" s="1329"/>
      <c r="O500" s="1328"/>
    </row>
    <row r="501" spans="1:15" x14ac:dyDescent="0.25">
      <c r="A501" s="1147" t="s">
        <v>1374</v>
      </c>
      <c r="B501" s="1047" t="str">
        <f ca="1">IF('[2]Pricing Schedule'!$K$5="No",_xlfn.CONCAT(IFERROR(SUBSTITUTE(ADDRESS(1,MATCH(A501,INDIRECT("'"&amp;E501&amp;"'"&amp;"!A10:Z10"),0),4),1,""),""),27),_xlfn.CONCAT(IFERROR(SUBSTITUTE(ADDRESS(1,MATCH(A501,INDIRECT("'"&amp;E501&amp;"'"&amp;"!A10:Z10"),0),4),1,""),""),61))</f>
        <v>C27</v>
      </c>
      <c r="C501" s="1047" t="str">
        <f ca="1">IF('[2]Pricing Schedule'!$K$5="No",IFERROR(SUBSTITUTE(ADDRESS(1,MATCH(A501,INDIRECT("'"&amp;E501&amp;"'"&amp;"!A10:Z10"),0),4),1,""),""),IFERROR(SUBSTITUTE(ADDRESS(1,MATCH(A501,INDIRECT("'"&amp;E501&amp;"'"&amp;"!A10:Z10"),0),4),1,""),""))</f>
        <v>C</v>
      </c>
      <c r="D501" s="1050" t="s">
        <v>1464</v>
      </c>
      <c r="E501" s="1050" t="s">
        <v>1373</v>
      </c>
      <c r="F501" s="1328"/>
      <c r="G501" s="1328"/>
      <c r="H501" s="1328"/>
      <c r="I501" s="1328"/>
      <c r="J501" s="1328"/>
      <c r="K501" s="1328"/>
      <c r="L501" s="1113" t="s">
        <v>254</v>
      </c>
      <c r="M501" s="1329">
        <v>470</v>
      </c>
      <c r="N501" s="1329"/>
      <c r="O501" s="1328"/>
    </row>
    <row r="502" spans="1:15" x14ac:dyDescent="0.25">
      <c r="A502" s="1147" t="s">
        <v>1339</v>
      </c>
      <c r="B502" s="1047" t="str">
        <f ca="1">IF('[2]Pricing Schedule'!$K$5="No",_xlfn.CONCAT(IFERROR(SUBSTITUTE(ADDRESS(1,MATCH(A502,INDIRECT("'"&amp;E502&amp;"'"&amp;"!A10:Z10"),0),4),1,""),""),27),_xlfn.CONCAT(IFERROR(SUBSTITUTE(ADDRESS(1,MATCH(A502,INDIRECT("'"&amp;E502&amp;"'"&amp;"!A10:Z10"),0),4),1,""),""),61))</f>
        <v>H27</v>
      </c>
      <c r="C502" s="1047" t="str">
        <f ca="1">IF('[2]Pricing Schedule'!$K$5="No",IFERROR(SUBSTITUTE(ADDRESS(1,MATCH(A502,INDIRECT("'"&amp;E502&amp;"'"&amp;"!A10:Z10"),0),4),1,""),""),IFERROR(SUBSTITUTE(ADDRESS(1,MATCH(A502,INDIRECT("'"&amp;E502&amp;"'"&amp;"!A10:Z10"),0),4),1,""),""))</f>
        <v>H</v>
      </c>
      <c r="D502" s="1050" t="s">
        <v>1464</v>
      </c>
      <c r="E502" s="1050" t="s">
        <v>1373</v>
      </c>
      <c r="F502" s="1328"/>
      <c r="G502" s="1328"/>
      <c r="H502" s="1328"/>
      <c r="I502" s="1328"/>
      <c r="J502" s="1328"/>
      <c r="K502" s="1328"/>
      <c r="L502" s="1113" t="s">
        <v>1339</v>
      </c>
      <c r="M502" s="1329">
        <v>471</v>
      </c>
      <c r="N502" s="1329"/>
      <c r="O502" s="1328"/>
    </row>
    <row r="503" spans="1:15" x14ac:dyDescent="0.25">
      <c r="A503" s="1147" t="s">
        <v>1377</v>
      </c>
      <c r="B503" s="1047" t="str">
        <f ca="1">IF('[2]Pricing Schedule'!$K$5="No",_xlfn.CONCAT(IFERROR(SUBSTITUTE(ADDRESS(1,MATCH(A503,INDIRECT("'"&amp;E503&amp;"'"&amp;"!A10:Z10"),0),4),1,""),""),27),_xlfn.CONCAT(IFERROR(SUBSTITUTE(ADDRESS(1,MATCH(A503,INDIRECT("'"&amp;E503&amp;"'"&amp;"!A10:Z10"),0),4),1,""),""),61))</f>
        <v>F27</v>
      </c>
      <c r="C503" s="1047" t="str">
        <f ca="1">IF('[2]Pricing Schedule'!$K$5="No",IFERROR(SUBSTITUTE(ADDRESS(1,MATCH(A503,INDIRECT("'"&amp;E503&amp;"'"&amp;"!A10:Z10"),0),4),1,""),""),IFERROR(SUBSTITUTE(ADDRESS(1,MATCH(A503,INDIRECT("'"&amp;E503&amp;"'"&amp;"!A10:Z10"),0),4),1,""),""))</f>
        <v>F</v>
      </c>
      <c r="D503" s="1050" t="s">
        <v>1464</v>
      </c>
      <c r="E503" s="1050" t="s">
        <v>1373</v>
      </c>
      <c r="F503" s="1328"/>
      <c r="G503" s="1328"/>
      <c r="H503" s="1328"/>
      <c r="I503" s="1328"/>
      <c r="J503" s="1328"/>
      <c r="K503" s="1328"/>
      <c r="L503" s="1113" t="s">
        <v>225</v>
      </c>
      <c r="M503" s="1329">
        <v>472</v>
      </c>
      <c r="N503" s="1329"/>
      <c r="O503" s="132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9" t="s">
        <v>1464</v>
      </c>
      <c r="E504" s="1050" t="s">
        <v>208</v>
      </c>
      <c r="F504" s="1328"/>
      <c r="G504" s="1328"/>
      <c r="H504" s="1328"/>
      <c r="I504" s="1328"/>
      <c r="J504" s="1328"/>
      <c r="K504" s="1328"/>
      <c r="L504" s="1113" t="s">
        <v>466</v>
      </c>
      <c r="M504" s="1329">
        <v>473</v>
      </c>
      <c r="N504" s="1329"/>
      <c r="O504" s="1328"/>
    </row>
    <row r="505" spans="1:15" x14ac:dyDescent="0.25">
      <c r="A505" s="1148" t="s">
        <v>1376</v>
      </c>
      <c r="B505" s="1047" t="str">
        <f ca="1">IF('[2]Pricing Schedule'!$K$5="No",_xlfn.CONCAT(IFERROR(SUBSTITUTE(ADDRESS(1,MATCH(A505,INDIRECT("'"&amp;E505&amp;"'"&amp;"!A10:Z10"),0),4),1,""),""),27),_xlfn.CONCAT(IFERROR(SUBSTITUTE(ADDRESS(1,MATCH(A505,INDIRECT("'"&amp;E505&amp;"'"&amp;"!A10:Z10"),0),4),1,""),""),61))</f>
        <v>E27</v>
      </c>
      <c r="C505" s="1047" t="str">
        <f ca="1">IF('[2]Pricing Schedule'!$K$5="No",IFERROR(SUBSTITUTE(ADDRESS(1,MATCH(A505,INDIRECT("'"&amp;E505&amp;"'"&amp;"!A10:Z10"),0),4),1,""),""),IFERROR(SUBSTITUTE(ADDRESS(1,MATCH(A505,INDIRECT("'"&amp;E505&amp;"'"&amp;"!A10:Z10"),0),4),1,""),""))</f>
        <v>E</v>
      </c>
      <c r="D505" s="1050" t="s">
        <v>1464</v>
      </c>
      <c r="E505" s="1050" t="s">
        <v>1373</v>
      </c>
      <c r="F505" s="1328"/>
      <c r="G505" s="1328"/>
      <c r="H505" s="1328"/>
      <c r="I505" s="1328"/>
      <c r="J505" s="1328"/>
      <c r="K505" s="1328"/>
      <c r="L505" s="1113" t="s">
        <v>1376</v>
      </c>
      <c r="M505" s="1329">
        <v>474</v>
      </c>
      <c r="N505" s="1329"/>
      <c r="O505" s="1328"/>
    </row>
    <row r="506" spans="1:15" x14ac:dyDescent="0.25">
      <c r="A506" s="1148" t="s">
        <v>1378</v>
      </c>
      <c r="B506" s="1047" t="str">
        <f ca="1">IF('[2]Pricing Schedule'!$K$5="No",_xlfn.CONCAT(IFERROR(SUBSTITUTE(ADDRESS(1,MATCH(A506,INDIRECT("'"&amp;E506&amp;"'"&amp;"!A10:Z10"),0),4),1,""),""),27),_xlfn.CONCAT(IFERROR(SUBSTITUTE(ADDRESS(1,MATCH(A506,INDIRECT("'"&amp;E506&amp;"'"&amp;"!A10:Z10"),0),4),1,""),""),61))</f>
        <v>G27</v>
      </c>
      <c r="C506" s="1047" t="str">
        <f ca="1">IF('[2]Pricing Schedule'!$K$5="No",IFERROR(SUBSTITUTE(ADDRESS(1,MATCH(A506,INDIRECT("'"&amp;E506&amp;"'"&amp;"!A10:Z10"),0),4),1,""),""),IFERROR(SUBSTITUTE(ADDRESS(1,MATCH(A506,INDIRECT("'"&amp;E506&amp;"'"&amp;"!A10:Z10"),0),4),1,""),""))</f>
        <v>G</v>
      </c>
      <c r="D506" s="1050" t="s">
        <v>1464</v>
      </c>
      <c r="E506" s="1050" t="s">
        <v>1373</v>
      </c>
      <c r="F506" s="1328"/>
      <c r="G506" s="1328"/>
      <c r="H506" s="1328"/>
      <c r="I506" s="1328"/>
      <c r="J506" s="1328"/>
      <c r="K506" s="1328"/>
      <c r="L506" s="1113" t="s">
        <v>1378</v>
      </c>
      <c r="M506" s="1329">
        <v>475</v>
      </c>
      <c r="N506" s="1329"/>
      <c r="O506" s="1328"/>
    </row>
    <row r="507" spans="1:15" x14ac:dyDescent="0.25">
      <c r="A507" s="1148" t="s">
        <v>1379</v>
      </c>
      <c r="B507" s="1047" t="str">
        <f ca="1">IF('[2]Pricing Schedule'!$K$5="No",_xlfn.CONCAT(IFERROR(SUBSTITUTE(ADDRESS(1,MATCH(A507,INDIRECT("'"&amp;E507&amp;"'"&amp;"!A10:Z10"),0),4),1,""),""),27),_xlfn.CONCAT(IFERROR(SUBSTITUTE(ADDRESS(1,MATCH(A507,INDIRECT("'"&amp;E507&amp;"'"&amp;"!A10:Z10"),0),4),1,""),""),61))</f>
        <v>I27</v>
      </c>
      <c r="C507" s="1047" t="str">
        <f ca="1">IF('[2]Pricing Schedule'!$K$5="No",IFERROR(SUBSTITUTE(ADDRESS(1,MATCH(A507,INDIRECT("'"&amp;E507&amp;"'"&amp;"!A10:Z10"),0),4),1,""),""),IFERROR(SUBSTITUTE(ADDRESS(1,MATCH(A507,INDIRECT("'"&amp;E507&amp;"'"&amp;"!A10:Z10"),0),4),1,""),""))</f>
        <v>I</v>
      </c>
      <c r="D507" s="1050" t="s">
        <v>1464</v>
      </c>
      <c r="E507" s="1050" t="s">
        <v>1373</v>
      </c>
      <c r="F507" s="1328"/>
      <c r="G507" s="1328"/>
      <c r="H507" s="1328"/>
      <c r="I507" s="1328"/>
      <c r="J507" s="1328"/>
      <c r="K507" s="1328"/>
      <c r="L507" s="1113" t="s">
        <v>1379</v>
      </c>
      <c r="M507" s="1329">
        <v>476</v>
      </c>
      <c r="N507" s="1329"/>
      <c r="O507" s="1328"/>
    </row>
    <row r="508" spans="1:15" x14ac:dyDescent="0.25">
      <c r="A508" s="1148" t="s">
        <v>1380</v>
      </c>
      <c r="B508" s="1047" t="str">
        <f ca="1">IF('[2]Pricing Schedule'!$K$5="No",_xlfn.CONCAT(IFERROR(SUBSTITUTE(ADDRESS(1,MATCH(A508,INDIRECT("'"&amp;E508&amp;"'"&amp;"!A10:Z10"),0),4),1,""),""),27),_xlfn.CONCAT(IFERROR(SUBSTITUTE(ADDRESS(1,MATCH(A508,INDIRECT("'"&amp;E508&amp;"'"&amp;"!A10:Z10"),0),4),1,""),""),61))</f>
        <v>J27</v>
      </c>
      <c r="C508" s="1047" t="str">
        <f ca="1">IF('[2]Pricing Schedule'!$K$5="No",IFERROR(SUBSTITUTE(ADDRESS(1,MATCH(A508,INDIRECT("'"&amp;E508&amp;"'"&amp;"!A10:Z10"),0),4),1,""),""),IFERROR(SUBSTITUTE(ADDRESS(1,MATCH(A508,INDIRECT("'"&amp;E508&amp;"'"&amp;"!A10:Z10"),0),4),1,""),""))</f>
        <v>J</v>
      </c>
      <c r="D508" s="1050" t="s">
        <v>1464</v>
      </c>
      <c r="E508" s="1050" t="s">
        <v>1373</v>
      </c>
      <c r="F508" s="1328"/>
      <c r="G508" s="1328"/>
      <c r="H508" s="1328"/>
      <c r="I508" s="1328"/>
      <c r="J508" s="1328"/>
      <c r="K508" s="1328"/>
      <c r="L508" s="1113" t="s">
        <v>1380</v>
      </c>
      <c r="M508" s="1329">
        <v>477</v>
      </c>
      <c r="N508" s="1329"/>
      <c r="O508" s="1328"/>
    </row>
    <row r="509" spans="1:15" x14ac:dyDescent="0.25">
      <c r="A509" s="1148" t="s">
        <v>1381</v>
      </c>
      <c r="B509" s="1047" t="str">
        <f ca="1">IF('[2]Pricing Schedule'!$K$5="No",_xlfn.CONCAT(IFERROR(SUBSTITUTE(ADDRESS(1,MATCH(A509,INDIRECT("'"&amp;E509&amp;"'"&amp;"!A10:Z10"),0),4),1,""),""),27),_xlfn.CONCAT(IFERROR(SUBSTITUTE(ADDRESS(1,MATCH(A509,INDIRECT("'"&amp;E509&amp;"'"&amp;"!A10:Z10"),0),4),1,""),""),61))</f>
        <v>K27</v>
      </c>
      <c r="C509" s="1047" t="str">
        <f ca="1">IF('[2]Pricing Schedule'!$K$5="No",IFERROR(SUBSTITUTE(ADDRESS(1,MATCH(A509,INDIRECT("'"&amp;E509&amp;"'"&amp;"!A10:Z10"),0),4),1,""),""),IFERROR(SUBSTITUTE(ADDRESS(1,MATCH(A509,INDIRECT("'"&amp;E509&amp;"'"&amp;"!A10:Z10"),0),4),1,""),""))</f>
        <v>K</v>
      </c>
      <c r="D509" s="1050" t="s">
        <v>1464</v>
      </c>
      <c r="E509" s="1050" t="s">
        <v>1373</v>
      </c>
      <c r="F509" s="1328"/>
      <c r="G509" s="1328"/>
      <c r="H509" s="1328"/>
      <c r="I509" s="1328"/>
      <c r="J509" s="1328"/>
      <c r="K509" s="1328"/>
      <c r="L509" s="1113" t="s">
        <v>1381</v>
      </c>
      <c r="M509" s="1329">
        <v>478</v>
      </c>
      <c r="N509" s="1329"/>
      <c r="O509" s="1328"/>
    </row>
    <row r="510" spans="1:15" x14ac:dyDescent="0.25">
      <c r="A510" s="1148" t="s">
        <v>1382</v>
      </c>
      <c r="B510" s="1047" t="str">
        <f ca="1">IF('[2]Pricing Schedule'!$K$5="No",_xlfn.CONCAT(IFERROR(SUBSTITUTE(ADDRESS(1,MATCH(A510,INDIRECT("'"&amp;E510&amp;"'"&amp;"!A10:Z10"),0),4),1,""),""),27),_xlfn.CONCAT(IFERROR(SUBSTITUTE(ADDRESS(1,MATCH(A510,INDIRECT("'"&amp;E510&amp;"'"&amp;"!A10:Z10"),0),4),1,""),""),61))</f>
        <v>L27</v>
      </c>
      <c r="C510" s="1047" t="str">
        <f ca="1">IF('[2]Pricing Schedule'!$K$5="No",IFERROR(SUBSTITUTE(ADDRESS(1,MATCH(A510,INDIRECT("'"&amp;E510&amp;"'"&amp;"!A10:Z10"),0),4),1,""),""),IFERROR(SUBSTITUTE(ADDRESS(1,MATCH(A510,INDIRECT("'"&amp;E510&amp;"'"&amp;"!A10:Z10"),0),4),1,""),""))</f>
        <v>L</v>
      </c>
      <c r="D510" s="1050" t="s">
        <v>1464</v>
      </c>
      <c r="E510" s="1050" t="s">
        <v>1373</v>
      </c>
      <c r="F510" s="1328"/>
      <c r="G510" s="1328"/>
      <c r="H510" s="1328"/>
      <c r="I510" s="1328"/>
      <c r="J510" s="1328"/>
      <c r="K510" s="1328"/>
      <c r="L510" s="1113" t="s">
        <v>1382</v>
      </c>
      <c r="M510" s="1329">
        <v>479</v>
      </c>
      <c r="N510" s="1329"/>
      <c r="O510" s="1328"/>
    </row>
    <row r="511" spans="1:15" x14ac:dyDescent="0.25">
      <c r="A511" s="1148" t="s">
        <v>1320</v>
      </c>
      <c r="B511" s="1047" t="str">
        <f ca="1">IF('[2]Pricing Schedule'!$K$5="No",_xlfn.CONCAT(IFERROR(SUBSTITUTE(ADDRESS(1,MATCH(A511,INDIRECT("'"&amp;E511&amp;"'"&amp;"!A10:Z10"),0),4),1,""),""),27),_xlfn.CONCAT(IFERROR(SUBSTITUTE(ADDRESS(1,MATCH(A511,INDIRECT("'"&amp;E511&amp;"'"&amp;"!A10:Z10"),0),4),1,""),""),61))</f>
        <v>M27</v>
      </c>
      <c r="C511" s="1047" t="str">
        <f ca="1">IF('[2]Pricing Schedule'!$K$5="No",IFERROR(SUBSTITUTE(ADDRESS(1,MATCH(A511,INDIRECT("'"&amp;E511&amp;"'"&amp;"!A10:Z10"),0),4),1,""),""),IFERROR(SUBSTITUTE(ADDRESS(1,MATCH(A511,INDIRECT("'"&amp;E511&amp;"'"&amp;"!A10:Z10"),0),4),1,""),""))</f>
        <v>M</v>
      </c>
      <c r="D511" s="1050" t="s">
        <v>1464</v>
      </c>
      <c r="E511" s="1050" t="s">
        <v>1373</v>
      </c>
      <c r="F511" s="1328"/>
      <c r="G511" s="1328"/>
      <c r="H511" s="1328"/>
      <c r="I511" s="1328"/>
      <c r="J511" s="1328"/>
      <c r="K511" s="1328"/>
      <c r="L511" s="1113" t="s">
        <v>1320</v>
      </c>
      <c r="M511" s="1329">
        <v>480</v>
      </c>
      <c r="N511" s="1329"/>
      <c r="O511" s="1328"/>
    </row>
    <row r="512" spans="1:15" x14ac:dyDescent="0.25">
      <c r="A512" s="1143" t="s">
        <v>1383</v>
      </c>
      <c r="B512" s="1047" t="str">
        <f ca="1">IF('[2]Pricing Schedule'!$K$5="No",_xlfn.CONCAT(IFERROR(SUBSTITUTE(ADDRESS(1,MATCH(A512,INDIRECT("'"&amp;E512&amp;"'"&amp;"!A10:Z10"),0),4),1,""),""),28),_xlfn.CONCAT(IFERROR(SUBSTITUTE(ADDRESS(1,MATCH(A512,INDIRECT("'"&amp;E512&amp;"'"&amp;"!A10:Z10"),0),4),1,""),""),62))</f>
        <v>N28</v>
      </c>
      <c r="C512" s="1047" t="str">
        <f ca="1">IF('[2]Pricing Schedule'!$K$5="No",IFERROR(SUBSTITUTE(ADDRESS(1,MATCH(A512,INDIRECT("'"&amp;E512&amp;"'"&amp;"!A10:Z10"),0),4),1,""),""),IFERROR(SUBSTITUTE(ADDRESS(1,MATCH(A512,INDIRECT("'"&amp;E512&amp;"'"&amp;"!A10:Z10"),0),4),1,""),""))</f>
        <v>N</v>
      </c>
      <c r="D512" s="1050" t="s">
        <v>1464</v>
      </c>
      <c r="E512" s="1050" t="s">
        <v>1373</v>
      </c>
      <c r="F512" s="1328"/>
      <c r="G512" s="1328"/>
      <c r="H512" s="1328"/>
      <c r="I512" s="1328"/>
      <c r="J512" s="1328"/>
      <c r="K512" s="1328"/>
      <c r="L512" s="1113" t="s">
        <v>1383</v>
      </c>
      <c r="M512" s="1329">
        <v>481</v>
      </c>
      <c r="N512" s="1329"/>
      <c r="O512" s="1328"/>
    </row>
    <row r="513" spans="1:15" x14ac:dyDescent="0.25">
      <c r="A513" s="1144" t="s">
        <v>1374</v>
      </c>
      <c r="B513" s="1047" t="str">
        <f ca="1">IF('[2]Pricing Schedule'!$K$5="No",_xlfn.CONCAT(IFERROR(SUBSTITUTE(ADDRESS(1,MATCH(A513,INDIRECT("'"&amp;E513&amp;"'"&amp;"!A10:Z10"),0),4),1,""),""),28),_xlfn.CONCAT(IFERROR(SUBSTITUTE(ADDRESS(1,MATCH(A513,INDIRECT("'"&amp;E513&amp;"'"&amp;"!A10:Z10"),0),4),1,""),""),62))</f>
        <v>C28</v>
      </c>
      <c r="C513" s="1047" t="str">
        <f ca="1">IF('[2]Pricing Schedule'!$K$5="No",IFERROR(SUBSTITUTE(ADDRESS(1,MATCH(A513,INDIRECT("'"&amp;E513&amp;"'"&amp;"!A10:Z10"),0),4),1,""),""),IFERROR(SUBSTITUTE(ADDRESS(1,MATCH(A513,INDIRECT("'"&amp;E513&amp;"'"&amp;"!A10:Z10"),0),4),1,""),""))</f>
        <v>C</v>
      </c>
      <c r="D513" s="1050" t="s">
        <v>1464</v>
      </c>
      <c r="E513" s="1050" t="s">
        <v>1373</v>
      </c>
      <c r="F513" s="1328"/>
      <c r="G513" s="1328"/>
      <c r="H513" s="1328"/>
      <c r="I513" s="1328"/>
      <c r="J513" s="1328"/>
      <c r="K513" s="1328"/>
      <c r="L513" s="1113" t="s">
        <v>254</v>
      </c>
      <c r="M513" s="1329">
        <v>482</v>
      </c>
      <c r="N513" s="1329"/>
      <c r="O513" s="1328"/>
    </row>
    <row r="514" spans="1:15" x14ac:dyDescent="0.25">
      <c r="A514" s="1144" t="s">
        <v>1339</v>
      </c>
      <c r="B514" s="1047" t="str">
        <f ca="1">IF('[2]Pricing Schedule'!$K$5="No",_xlfn.CONCAT(IFERROR(SUBSTITUTE(ADDRESS(1,MATCH(A514,INDIRECT("'"&amp;E514&amp;"'"&amp;"!A10:Z10"),0),4),1,""),""),28),_xlfn.CONCAT(IFERROR(SUBSTITUTE(ADDRESS(1,MATCH(A514,INDIRECT("'"&amp;E514&amp;"'"&amp;"!A10:Z10"),0),4),1,""),""),62))</f>
        <v>H28</v>
      </c>
      <c r="C514" s="1047" t="str">
        <f ca="1">IF('[2]Pricing Schedule'!$K$5="No",IFERROR(SUBSTITUTE(ADDRESS(1,MATCH(A514,INDIRECT("'"&amp;E514&amp;"'"&amp;"!A10:Z10"),0),4),1,""),""),IFERROR(SUBSTITUTE(ADDRESS(1,MATCH(A514,INDIRECT("'"&amp;E514&amp;"'"&amp;"!A10:Z10"),0),4),1,""),""))</f>
        <v>H</v>
      </c>
      <c r="D514" s="1050" t="s">
        <v>1464</v>
      </c>
      <c r="E514" s="1050" t="s">
        <v>1373</v>
      </c>
      <c r="F514" s="1328"/>
      <c r="G514" s="1328"/>
      <c r="H514" s="1328"/>
      <c r="I514" s="1328"/>
      <c r="J514" s="1328"/>
      <c r="K514" s="1328"/>
      <c r="L514" s="1113" t="s">
        <v>1339</v>
      </c>
      <c r="M514" s="1329">
        <v>483</v>
      </c>
      <c r="N514" s="1329"/>
      <c r="O514" s="1328"/>
    </row>
    <row r="515" spans="1:15" x14ac:dyDescent="0.25">
      <c r="A515" s="1144" t="s">
        <v>1377</v>
      </c>
      <c r="B515" s="1047" t="str">
        <f ca="1">IF('[2]Pricing Schedule'!$K$5="No",_xlfn.CONCAT(IFERROR(SUBSTITUTE(ADDRESS(1,MATCH(A515,INDIRECT("'"&amp;E515&amp;"'"&amp;"!A10:Z10"),0),4),1,""),""),28),_xlfn.CONCAT(IFERROR(SUBSTITUTE(ADDRESS(1,MATCH(A515,INDIRECT("'"&amp;E515&amp;"'"&amp;"!A10:Z10"),0),4),1,""),""),62))</f>
        <v>F28</v>
      </c>
      <c r="C515" s="1047" t="str">
        <f ca="1">IF('[2]Pricing Schedule'!$K$5="No",IFERROR(SUBSTITUTE(ADDRESS(1,MATCH(A515,INDIRECT("'"&amp;E515&amp;"'"&amp;"!A10:Z10"),0),4),1,""),""),IFERROR(SUBSTITUTE(ADDRESS(1,MATCH(A515,INDIRECT("'"&amp;E515&amp;"'"&amp;"!A10:Z10"),0),4),1,""),""))</f>
        <v>F</v>
      </c>
      <c r="D515" s="1050" t="s">
        <v>1464</v>
      </c>
      <c r="E515" s="1050" t="s">
        <v>1373</v>
      </c>
      <c r="F515" s="1328"/>
      <c r="G515" s="1328"/>
      <c r="H515" s="1328"/>
      <c r="I515" s="1328"/>
      <c r="J515" s="1328"/>
      <c r="K515" s="1328"/>
      <c r="L515" s="1113" t="s">
        <v>225</v>
      </c>
      <c r="M515" s="1329">
        <v>484</v>
      </c>
      <c r="N515" s="1329"/>
      <c r="O515" s="132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9" t="s">
        <v>1464</v>
      </c>
      <c r="E516" s="1050" t="s">
        <v>208</v>
      </c>
      <c r="F516" s="1328"/>
      <c r="G516" s="1328"/>
      <c r="H516" s="1328"/>
      <c r="I516" s="1328"/>
      <c r="J516" s="1328"/>
      <c r="K516" s="1328"/>
      <c r="L516" s="1113" t="s">
        <v>466</v>
      </c>
      <c r="M516" s="1329">
        <v>485</v>
      </c>
      <c r="N516" s="1329"/>
      <c r="O516" s="1328"/>
    </row>
    <row r="517" spans="1:15" x14ac:dyDescent="0.25">
      <c r="A517" s="1145" t="s">
        <v>1376</v>
      </c>
      <c r="B517" s="1047" t="str">
        <f ca="1">IF('[2]Pricing Schedule'!$K$5="No",_xlfn.CONCAT(IFERROR(SUBSTITUTE(ADDRESS(1,MATCH(A517,INDIRECT("'"&amp;E517&amp;"'"&amp;"!A10:Z10"),0),4),1,""),""),28),_xlfn.CONCAT(IFERROR(SUBSTITUTE(ADDRESS(1,MATCH(A517,INDIRECT("'"&amp;E517&amp;"'"&amp;"!A10:Z10"),0),4),1,""),""),62))</f>
        <v>E28</v>
      </c>
      <c r="C517" s="1047" t="str">
        <f ca="1">IF('[2]Pricing Schedule'!$K$5="No",IFERROR(SUBSTITUTE(ADDRESS(1,MATCH(A517,INDIRECT("'"&amp;E517&amp;"'"&amp;"!A10:Z10"),0),4),1,""),""),IFERROR(SUBSTITUTE(ADDRESS(1,MATCH(A517,INDIRECT("'"&amp;E517&amp;"'"&amp;"!A10:Z10"),0),4),1,""),""))</f>
        <v>E</v>
      </c>
      <c r="D517" s="1050" t="s">
        <v>1464</v>
      </c>
      <c r="E517" s="1050" t="s">
        <v>1373</v>
      </c>
      <c r="F517" s="1328"/>
      <c r="G517" s="1328"/>
      <c r="H517" s="1328"/>
      <c r="I517" s="1328"/>
      <c r="J517" s="1328"/>
      <c r="K517" s="1328"/>
      <c r="L517" s="1113" t="s">
        <v>1376</v>
      </c>
      <c r="M517" s="1329">
        <v>486</v>
      </c>
      <c r="N517" s="1329"/>
      <c r="O517" s="1328"/>
    </row>
    <row r="518" spans="1:15" x14ac:dyDescent="0.25">
      <c r="A518" s="1145" t="s">
        <v>1378</v>
      </c>
      <c r="B518" s="1047" t="str">
        <f ca="1">IF('[2]Pricing Schedule'!$K$5="No",_xlfn.CONCAT(IFERROR(SUBSTITUTE(ADDRESS(1,MATCH(A518,INDIRECT("'"&amp;E518&amp;"'"&amp;"!A10:Z10"),0),4),1,""),""),28),_xlfn.CONCAT(IFERROR(SUBSTITUTE(ADDRESS(1,MATCH(A518,INDIRECT("'"&amp;E518&amp;"'"&amp;"!A10:Z10"),0),4),1,""),""),62))</f>
        <v>G28</v>
      </c>
      <c r="C518" s="1047" t="str">
        <f ca="1">IF('[2]Pricing Schedule'!$K$5="No",IFERROR(SUBSTITUTE(ADDRESS(1,MATCH(A518,INDIRECT("'"&amp;E518&amp;"'"&amp;"!A10:Z10"),0),4),1,""),""),IFERROR(SUBSTITUTE(ADDRESS(1,MATCH(A518,INDIRECT("'"&amp;E518&amp;"'"&amp;"!A10:Z10"),0),4),1,""),""))</f>
        <v>G</v>
      </c>
      <c r="D518" s="1050" t="s">
        <v>1464</v>
      </c>
      <c r="E518" s="1050" t="s">
        <v>1373</v>
      </c>
      <c r="F518" s="1328"/>
      <c r="G518" s="1328"/>
      <c r="H518" s="1328"/>
      <c r="I518" s="1328"/>
      <c r="J518" s="1328"/>
      <c r="K518" s="1328"/>
      <c r="L518" s="1113" t="s">
        <v>1378</v>
      </c>
      <c r="M518" s="1329">
        <v>487</v>
      </c>
      <c r="N518" s="1329"/>
      <c r="O518" s="1328"/>
    </row>
    <row r="519" spans="1:15" x14ac:dyDescent="0.25">
      <c r="A519" s="1145" t="s">
        <v>1379</v>
      </c>
      <c r="B519" s="1047" t="str">
        <f ca="1">IF('[2]Pricing Schedule'!$K$5="No",_xlfn.CONCAT(IFERROR(SUBSTITUTE(ADDRESS(1,MATCH(A519,INDIRECT("'"&amp;E519&amp;"'"&amp;"!A10:Z10"),0),4),1,""),""),28),_xlfn.CONCAT(IFERROR(SUBSTITUTE(ADDRESS(1,MATCH(A519,INDIRECT("'"&amp;E519&amp;"'"&amp;"!A10:Z10"),0),4),1,""),""),62))</f>
        <v>I28</v>
      </c>
      <c r="C519" s="1047" t="str">
        <f ca="1">IF('[2]Pricing Schedule'!$K$5="No",IFERROR(SUBSTITUTE(ADDRESS(1,MATCH(A519,INDIRECT("'"&amp;E519&amp;"'"&amp;"!A10:Z10"),0),4),1,""),""),IFERROR(SUBSTITUTE(ADDRESS(1,MATCH(A519,INDIRECT("'"&amp;E519&amp;"'"&amp;"!A10:Z10"),0),4),1,""),""))</f>
        <v>I</v>
      </c>
      <c r="D519" s="1050" t="s">
        <v>1464</v>
      </c>
      <c r="E519" s="1050" t="s">
        <v>1373</v>
      </c>
      <c r="F519" s="1328"/>
      <c r="G519" s="1328"/>
      <c r="H519" s="1328"/>
      <c r="I519" s="1328"/>
      <c r="J519" s="1328"/>
      <c r="K519" s="1328"/>
      <c r="L519" s="1113" t="s">
        <v>1379</v>
      </c>
      <c r="M519" s="1329">
        <v>488</v>
      </c>
      <c r="N519" s="1329"/>
      <c r="O519" s="1328"/>
    </row>
    <row r="520" spans="1:15" x14ac:dyDescent="0.25">
      <c r="A520" s="1145" t="s">
        <v>1380</v>
      </c>
      <c r="B520" s="1047" t="str">
        <f ca="1">IF('[2]Pricing Schedule'!$K$5="No",_xlfn.CONCAT(IFERROR(SUBSTITUTE(ADDRESS(1,MATCH(A520,INDIRECT("'"&amp;E520&amp;"'"&amp;"!A10:Z10"),0),4),1,""),""),28),_xlfn.CONCAT(IFERROR(SUBSTITUTE(ADDRESS(1,MATCH(A520,INDIRECT("'"&amp;E520&amp;"'"&amp;"!A10:Z10"),0),4),1,""),""),62))</f>
        <v>J28</v>
      </c>
      <c r="C520" s="1047" t="str">
        <f ca="1">IF('[2]Pricing Schedule'!$K$5="No",IFERROR(SUBSTITUTE(ADDRESS(1,MATCH(A520,INDIRECT("'"&amp;E520&amp;"'"&amp;"!A10:Z10"),0),4),1,""),""),IFERROR(SUBSTITUTE(ADDRESS(1,MATCH(A520,INDIRECT("'"&amp;E520&amp;"'"&amp;"!A10:Z10"),0),4),1,""),""))</f>
        <v>J</v>
      </c>
      <c r="D520" s="1050" t="s">
        <v>1464</v>
      </c>
      <c r="E520" s="1050" t="s">
        <v>1373</v>
      </c>
      <c r="F520" s="1328"/>
      <c r="G520" s="1328"/>
      <c r="H520" s="1328"/>
      <c r="I520" s="1328"/>
      <c r="J520" s="1328"/>
      <c r="K520" s="1328"/>
      <c r="L520" s="1113" t="s">
        <v>1380</v>
      </c>
      <c r="M520" s="1329">
        <v>489</v>
      </c>
      <c r="N520" s="1329"/>
      <c r="O520" s="1328"/>
    </row>
    <row r="521" spans="1:15" x14ac:dyDescent="0.25">
      <c r="A521" s="1145" t="s">
        <v>1381</v>
      </c>
      <c r="B521" s="1047" t="str">
        <f ca="1">IF('[2]Pricing Schedule'!$K$5="No",_xlfn.CONCAT(IFERROR(SUBSTITUTE(ADDRESS(1,MATCH(A521,INDIRECT("'"&amp;E521&amp;"'"&amp;"!A10:Z10"),0),4),1,""),""),28),_xlfn.CONCAT(IFERROR(SUBSTITUTE(ADDRESS(1,MATCH(A521,INDIRECT("'"&amp;E521&amp;"'"&amp;"!A10:Z10"),0),4),1,""),""),62))</f>
        <v>K28</v>
      </c>
      <c r="C521" s="1047" t="str">
        <f ca="1">IF('[2]Pricing Schedule'!$K$5="No",IFERROR(SUBSTITUTE(ADDRESS(1,MATCH(A521,INDIRECT("'"&amp;E521&amp;"'"&amp;"!A10:Z10"),0),4),1,""),""),IFERROR(SUBSTITUTE(ADDRESS(1,MATCH(A521,INDIRECT("'"&amp;E521&amp;"'"&amp;"!A10:Z10"),0),4),1,""),""))</f>
        <v>K</v>
      </c>
      <c r="D521" s="1050" t="s">
        <v>1464</v>
      </c>
      <c r="E521" s="1050" t="s">
        <v>1373</v>
      </c>
      <c r="F521" s="1328"/>
      <c r="G521" s="1328"/>
      <c r="H521" s="1328"/>
      <c r="I521" s="1328"/>
      <c r="J521" s="1328"/>
      <c r="K521" s="1328"/>
      <c r="L521" s="1113" t="s">
        <v>1381</v>
      </c>
      <c r="M521" s="1329">
        <v>490</v>
      </c>
      <c r="N521" s="1329"/>
      <c r="O521" s="1328"/>
    </row>
    <row r="522" spans="1:15" x14ac:dyDescent="0.25">
      <c r="A522" s="1145" t="s">
        <v>1382</v>
      </c>
      <c r="B522" s="1047" t="str">
        <f ca="1">IF('[2]Pricing Schedule'!$K$5="No",_xlfn.CONCAT(IFERROR(SUBSTITUTE(ADDRESS(1,MATCH(A522,INDIRECT("'"&amp;E522&amp;"'"&amp;"!A10:Z10"),0),4),1,""),""),28),_xlfn.CONCAT(IFERROR(SUBSTITUTE(ADDRESS(1,MATCH(A522,INDIRECT("'"&amp;E522&amp;"'"&amp;"!A10:Z10"),0),4),1,""),""),62))</f>
        <v>L28</v>
      </c>
      <c r="C522" s="1047" t="str">
        <f ca="1">IF('[2]Pricing Schedule'!$K$5="No",IFERROR(SUBSTITUTE(ADDRESS(1,MATCH(A522,INDIRECT("'"&amp;E522&amp;"'"&amp;"!A10:Z10"),0),4),1,""),""),IFERROR(SUBSTITUTE(ADDRESS(1,MATCH(A522,INDIRECT("'"&amp;E522&amp;"'"&amp;"!A10:Z10"),0),4),1,""),""))</f>
        <v>L</v>
      </c>
      <c r="D522" s="1050" t="s">
        <v>1464</v>
      </c>
      <c r="E522" s="1050" t="s">
        <v>1373</v>
      </c>
      <c r="F522" s="1328"/>
      <c r="G522" s="1328"/>
      <c r="H522" s="1328"/>
      <c r="I522" s="1328"/>
      <c r="J522" s="1328"/>
      <c r="K522" s="1328"/>
      <c r="L522" s="1113" t="s">
        <v>1382</v>
      </c>
      <c r="M522" s="1329">
        <v>491</v>
      </c>
      <c r="N522" s="1329"/>
      <c r="O522" s="1328"/>
    </row>
    <row r="523" spans="1:15" x14ac:dyDescent="0.25">
      <c r="A523" s="1145" t="s">
        <v>1320</v>
      </c>
      <c r="B523" s="1047" t="str">
        <f ca="1">IF('[2]Pricing Schedule'!$K$5="No",_xlfn.CONCAT(IFERROR(SUBSTITUTE(ADDRESS(1,MATCH(A523,INDIRECT("'"&amp;E523&amp;"'"&amp;"!A10:Z10"),0),4),1,""),""),28),_xlfn.CONCAT(IFERROR(SUBSTITUTE(ADDRESS(1,MATCH(A523,INDIRECT("'"&amp;E523&amp;"'"&amp;"!A10:Z10"),0),4),1,""),""),62))</f>
        <v>M28</v>
      </c>
      <c r="C523" s="1047" t="str">
        <f ca="1">IF('[2]Pricing Schedule'!$K$5="No",IFERROR(SUBSTITUTE(ADDRESS(1,MATCH(A523,INDIRECT("'"&amp;E523&amp;"'"&amp;"!A10:Z10"),0),4),1,""),""),IFERROR(SUBSTITUTE(ADDRESS(1,MATCH(A523,INDIRECT("'"&amp;E523&amp;"'"&amp;"!A10:Z10"),0),4),1,""),""))</f>
        <v>M</v>
      </c>
      <c r="D523" s="1050" t="s">
        <v>1464</v>
      </c>
      <c r="E523" s="1050" t="s">
        <v>1373</v>
      </c>
      <c r="F523" s="1328"/>
      <c r="G523" s="1328"/>
      <c r="H523" s="1328"/>
      <c r="I523" s="1328"/>
      <c r="J523" s="1328"/>
      <c r="K523" s="1328"/>
      <c r="L523" s="1113" t="s">
        <v>1320</v>
      </c>
      <c r="M523" s="1329">
        <v>492</v>
      </c>
      <c r="N523" s="1329"/>
      <c r="O523" s="1328"/>
    </row>
    <row r="524" spans="1:15" x14ac:dyDescent="0.25">
      <c r="A524" s="1112" t="s">
        <v>1369</v>
      </c>
      <c r="B524" s="1047" t="str">
        <f ca="1">_xlfn.CONCAT(IFERROR(SUBSTITUTE(ADDRESS(1,MATCH(A524,INDIRECT("'"&amp;E524&amp;"'"&amp;"!A4:Z4"),0),4),1,""),""),4)</f>
        <v>M4</v>
      </c>
      <c r="C524" s="1329" t="str">
        <f ca="1">_xlfn.CONCAT(IFERROR(SUBSTITUTE(ADDRESS(1,MATCH(A524,INDIRECT("'"&amp;E524&amp;"'"&amp;"!A4:Z4"),0),4),1,""),""),5)</f>
        <v>M5</v>
      </c>
      <c r="D524" s="1050" t="s">
        <v>1457</v>
      </c>
      <c r="E524" s="1050" t="s">
        <v>1373</v>
      </c>
      <c r="F524" s="1328"/>
      <c r="G524" s="1328"/>
      <c r="H524" s="1328"/>
      <c r="I524" s="1328"/>
      <c r="J524" s="1328"/>
      <c r="K524" s="1328"/>
      <c r="L524" s="1113" t="s">
        <v>1369</v>
      </c>
      <c r="M524" s="1329">
        <v>493</v>
      </c>
      <c r="N524" s="1329"/>
      <c r="O524" s="1328"/>
    </row>
    <row r="525" spans="1:15" x14ac:dyDescent="0.25">
      <c r="A525" s="1112" t="s">
        <v>1370</v>
      </c>
      <c r="B525" s="1047" t="str">
        <f t="shared" ref="B525:B532" ca="1" si="30">_xlfn.CONCAT(IFERROR(SUBSTITUTE(ADDRESS(1,MATCH(A525,INDIRECT("'"&amp;E525&amp;"'"&amp;"!A4:Z4"),0),4),1,""),""),4)</f>
        <v>N4</v>
      </c>
      <c r="C525" s="1329" t="str">
        <f t="shared" ref="C525:C532" ca="1" si="31">_xlfn.CONCAT(IFERROR(SUBSTITUTE(ADDRESS(1,MATCH(A525,INDIRECT("'"&amp;E525&amp;"'"&amp;"!A4:Z4"),0),4),1,""),""),5)</f>
        <v>N5</v>
      </c>
      <c r="D525" s="1050" t="s">
        <v>1457</v>
      </c>
      <c r="E525" s="1050" t="s">
        <v>1373</v>
      </c>
      <c r="F525" s="1328"/>
      <c r="G525" s="1328"/>
      <c r="H525" s="1328"/>
      <c r="I525" s="1328"/>
      <c r="J525" s="1328"/>
      <c r="K525" s="1328"/>
      <c r="L525" s="1113" t="s">
        <v>1370</v>
      </c>
      <c r="M525" s="1329">
        <v>494</v>
      </c>
      <c r="N525" s="1329"/>
      <c r="O525" s="1328"/>
    </row>
    <row r="526" spans="1:15" x14ac:dyDescent="0.25">
      <c r="A526" s="1112" t="s">
        <v>1364</v>
      </c>
      <c r="B526" s="1047" t="str">
        <f t="shared" ca="1" si="30"/>
        <v>H4</v>
      </c>
      <c r="C526" s="1329" t="str">
        <f t="shared" ca="1" si="31"/>
        <v>H5</v>
      </c>
      <c r="D526" s="1050" t="s">
        <v>1457</v>
      </c>
      <c r="E526" s="1050" t="s">
        <v>1373</v>
      </c>
      <c r="F526" s="1328"/>
      <c r="G526" s="1328"/>
      <c r="H526" s="1328"/>
      <c r="I526" s="1328"/>
      <c r="J526" s="1328"/>
      <c r="K526" s="1328"/>
      <c r="L526" s="1113" t="s">
        <v>1364</v>
      </c>
      <c r="M526" s="1329">
        <v>495</v>
      </c>
      <c r="N526" s="1329"/>
      <c r="O526" s="1328"/>
    </row>
    <row r="527" spans="1:15" x14ac:dyDescent="0.25">
      <c r="A527" s="1112" t="s">
        <v>1362</v>
      </c>
      <c r="B527" s="1047" t="str">
        <f t="shared" ca="1" si="30"/>
        <v>F4</v>
      </c>
      <c r="C527" s="1329" t="str">
        <f t="shared" ca="1" si="31"/>
        <v>F5</v>
      </c>
      <c r="D527" s="1050" t="s">
        <v>1457</v>
      </c>
      <c r="E527" s="1050" t="s">
        <v>1373</v>
      </c>
      <c r="F527" s="1328"/>
      <c r="G527" s="1328"/>
      <c r="H527" s="1328"/>
      <c r="I527" s="1328"/>
      <c r="J527" s="1328"/>
      <c r="K527" s="1328"/>
      <c r="L527" s="1112" t="s">
        <v>1362</v>
      </c>
      <c r="M527" s="1329">
        <v>508</v>
      </c>
      <c r="N527" s="1329"/>
      <c r="O527" s="1328"/>
    </row>
    <row r="528" spans="1:15" x14ac:dyDescent="0.25">
      <c r="A528" s="1112" t="s">
        <v>1363</v>
      </c>
      <c r="B528" s="1047" t="str">
        <f t="shared" ca="1" si="30"/>
        <v>G4</v>
      </c>
      <c r="C528" s="1329" t="str">
        <f t="shared" ca="1" si="31"/>
        <v>G5</v>
      </c>
      <c r="D528" s="1050" t="s">
        <v>1457</v>
      </c>
      <c r="E528" s="1050" t="s">
        <v>1373</v>
      </c>
      <c r="F528" s="1328"/>
      <c r="G528" s="1328"/>
      <c r="H528" s="1328"/>
      <c r="I528" s="1328"/>
      <c r="J528" s="1328"/>
      <c r="K528" s="1328"/>
      <c r="L528" s="1112" t="s">
        <v>1569</v>
      </c>
      <c r="M528" s="1329">
        <v>509</v>
      </c>
      <c r="N528" s="1329"/>
      <c r="O528" s="1328"/>
    </row>
    <row r="529" spans="1:15" x14ac:dyDescent="0.25">
      <c r="A529" s="1112" t="s">
        <v>1365</v>
      </c>
      <c r="B529" s="1047" t="str">
        <f t="shared" ca="1" si="30"/>
        <v>I4</v>
      </c>
      <c r="C529" s="1329" t="str">
        <f t="shared" ca="1" si="31"/>
        <v>I5</v>
      </c>
      <c r="D529" s="1050" t="s">
        <v>1457</v>
      </c>
      <c r="E529" s="1050" t="s">
        <v>1373</v>
      </c>
      <c r="F529" s="1328"/>
      <c r="G529" s="1328"/>
      <c r="H529" s="1328"/>
      <c r="I529" s="1328"/>
      <c r="J529" s="1328"/>
      <c r="K529" s="1328"/>
      <c r="L529" s="1112" t="s">
        <v>1365</v>
      </c>
      <c r="M529" s="1329">
        <v>511</v>
      </c>
      <c r="N529" s="1329"/>
      <c r="O529" s="1328"/>
    </row>
    <row r="530" spans="1:15" x14ac:dyDescent="0.25">
      <c r="A530" s="1112" t="s">
        <v>1366</v>
      </c>
      <c r="B530" s="1047" t="str">
        <f t="shared" ca="1" si="30"/>
        <v>J4</v>
      </c>
      <c r="C530" s="1329" t="str">
        <f t="shared" ca="1" si="31"/>
        <v>J5</v>
      </c>
      <c r="D530" s="1050" t="s">
        <v>1457</v>
      </c>
      <c r="E530" s="1050" t="s">
        <v>1373</v>
      </c>
      <c r="F530" s="1328"/>
      <c r="G530" s="1328"/>
      <c r="H530" s="1328"/>
      <c r="I530" s="1328"/>
      <c r="J530" s="1328"/>
      <c r="K530" s="1328"/>
      <c r="L530" s="1112" t="s">
        <v>1366</v>
      </c>
      <c r="M530" s="1329">
        <v>512</v>
      </c>
      <c r="N530" s="1329"/>
      <c r="O530" s="1328"/>
    </row>
    <row r="531" spans="1:15" x14ac:dyDescent="0.25">
      <c r="A531" s="1112" t="s">
        <v>1367</v>
      </c>
      <c r="B531" s="1047" t="str">
        <f t="shared" ca="1" si="30"/>
        <v>K4</v>
      </c>
      <c r="C531" s="1329" t="str">
        <f t="shared" ca="1" si="31"/>
        <v>K5</v>
      </c>
      <c r="D531" s="1050" t="s">
        <v>1457</v>
      </c>
      <c r="E531" s="1050" t="s">
        <v>1373</v>
      </c>
      <c r="F531" s="1328"/>
      <c r="G531" s="1328"/>
      <c r="H531" s="1328"/>
      <c r="I531" s="1328"/>
      <c r="J531" s="1328"/>
      <c r="K531" s="1328"/>
      <c r="L531" s="1112" t="s">
        <v>1571</v>
      </c>
      <c r="M531" s="1329">
        <v>513</v>
      </c>
      <c r="N531" s="1329"/>
      <c r="O531" s="1328"/>
    </row>
    <row r="532" spans="1:15" x14ac:dyDescent="0.25">
      <c r="A532" s="1112" t="s">
        <v>1368</v>
      </c>
      <c r="B532" s="1047" t="str">
        <f t="shared" ca="1" si="30"/>
        <v>L4</v>
      </c>
      <c r="C532" s="1329" t="str">
        <f t="shared" ca="1" si="31"/>
        <v>L5</v>
      </c>
      <c r="D532" s="1050" t="s">
        <v>1457</v>
      </c>
      <c r="E532" s="1050" t="s">
        <v>1373</v>
      </c>
      <c r="F532" s="1328"/>
      <c r="G532" s="1328"/>
      <c r="H532" s="1328"/>
      <c r="I532" s="1328"/>
      <c r="J532" s="1328"/>
      <c r="K532" s="1328"/>
      <c r="L532" s="1112" t="s">
        <v>1368</v>
      </c>
      <c r="M532" s="1329">
        <v>514</v>
      </c>
      <c r="N532" s="1329"/>
      <c r="O532" s="132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8"/>
      <c r="G533" s="1328"/>
      <c r="H533" s="1328"/>
      <c r="I533" s="1328"/>
      <c r="J533" s="1328"/>
      <c r="K533" s="1328"/>
      <c r="L533" s="1112" t="s">
        <v>1603</v>
      </c>
      <c r="M533" s="1329">
        <v>516</v>
      </c>
      <c r="N533" s="1329"/>
      <c r="O533" s="132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8"/>
      <c r="G534" s="1328"/>
      <c r="H534" s="1328"/>
      <c r="I534" s="1328"/>
      <c r="J534" s="1328"/>
      <c r="K534" s="1328"/>
      <c r="L534" s="1112" t="s">
        <v>1491</v>
      </c>
      <c r="M534" s="1329">
        <v>517</v>
      </c>
      <c r="N534" s="1329"/>
      <c r="O534" s="1328" t="s">
        <v>743</v>
      </c>
    </row>
    <row r="535" spans="1:15" x14ac:dyDescent="0.25">
      <c r="A535" s="1143" t="s">
        <v>1493</v>
      </c>
      <c r="B535" s="1112" t="str">
        <f t="shared" ca="1" si="32"/>
        <v>C9</v>
      </c>
      <c r="C535" s="1112" t="str">
        <f t="shared" ca="1" si="33"/>
        <v>D9</v>
      </c>
      <c r="D535" s="1112" t="s">
        <v>1457</v>
      </c>
      <c r="E535" s="1112" t="s">
        <v>1628</v>
      </c>
      <c r="F535" s="1328"/>
      <c r="G535" s="1328"/>
      <c r="H535" s="1328"/>
      <c r="I535" s="1328"/>
      <c r="J535" s="1328"/>
      <c r="K535" s="1328"/>
      <c r="L535" s="1112" t="s">
        <v>1493</v>
      </c>
      <c r="M535" s="1329">
        <v>525</v>
      </c>
      <c r="N535" s="1329"/>
      <c r="O535" s="1328">
        <v>16</v>
      </c>
    </row>
    <row r="536" spans="1:15" x14ac:dyDescent="0.25">
      <c r="A536" s="1143" t="s">
        <v>1494</v>
      </c>
      <c r="B536" s="1112" t="str">
        <f t="shared" ca="1" si="32"/>
        <v>C11</v>
      </c>
      <c r="C536" s="1112" t="str">
        <f t="shared" ca="1" si="33"/>
        <v>D11</v>
      </c>
      <c r="D536" s="1112" t="s">
        <v>1457</v>
      </c>
      <c r="E536" s="1112" t="s">
        <v>1628</v>
      </c>
      <c r="F536" s="1328"/>
      <c r="G536" s="1328"/>
      <c r="H536" s="1328"/>
      <c r="I536" s="1328"/>
      <c r="J536" s="1328"/>
      <c r="K536" s="1328"/>
      <c r="L536" s="1112" t="s">
        <v>1494</v>
      </c>
      <c r="M536" s="1329">
        <v>526</v>
      </c>
      <c r="N536" s="1329"/>
      <c r="O536" s="1328" t="s">
        <v>1759</v>
      </c>
    </row>
    <row r="537" spans="1:15" x14ac:dyDescent="0.25">
      <c r="A537" s="1143" t="s">
        <v>1607</v>
      </c>
      <c r="B537" s="1112" t="str">
        <f t="shared" ca="1" si="32"/>
        <v>C13</v>
      </c>
      <c r="C537" s="1112" t="str">
        <f ca="1">IFERROR(_xlfn.CONCAT("E",MATCH(A537,INDIRECT("'"&amp;E537&amp;"'!C"&amp;$O$533&amp;":C"&amp;$O$535),0)+$O$533-1),"")</f>
        <v>E13</v>
      </c>
      <c r="D537" s="1112" t="s">
        <v>1457</v>
      </c>
      <c r="E537" s="1112" t="s">
        <v>1628</v>
      </c>
      <c r="F537" s="1328"/>
      <c r="G537" s="1328"/>
      <c r="H537" s="1328"/>
      <c r="I537" s="1328"/>
      <c r="J537" s="1328"/>
      <c r="K537" s="1328"/>
      <c r="L537" s="1112" t="s">
        <v>1607</v>
      </c>
      <c r="M537" s="1329">
        <v>527</v>
      </c>
      <c r="N537" s="1329"/>
      <c r="O537" s="132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8"/>
      <c r="G538" s="1328"/>
      <c r="H538" s="1328"/>
      <c r="I538" s="1328"/>
      <c r="J538" s="1328"/>
      <c r="K538" s="1328"/>
      <c r="L538" s="1112" t="s">
        <v>1488</v>
      </c>
      <c r="M538" s="1329">
        <v>518</v>
      </c>
      <c r="N538" s="1329"/>
      <c r="O538" s="132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8"/>
      <c r="G539" s="1328"/>
      <c r="H539" s="1328"/>
      <c r="I539" s="1328"/>
      <c r="J539" s="1328"/>
      <c r="K539" s="1328"/>
      <c r="L539" s="1112" t="s">
        <v>1489</v>
      </c>
      <c r="M539" s="1329">
        <v>519</v>
      </c>
      <c r="N539" s="1329"/>
      <c r="O539" s="1328"/>
    </row>
    <row r="540" spans="1:15" x14ac:dyDescent="0.25">
      <c r="A540" s="1143" t="s">
        <v>1505</v>
      </c>
      <c r="B540" s="1112" t="str">
        <f t="shared" ca="1" si="34"/>
        <v>L5</v>
      </c>
      <c r="C540" s="1112" t="str">
        <f t="shared" ca="1" si="35"/>
        <v>L6</v>
      </c>
      <c r="D540" s="1112" t="s">
        <v>1457</v>
      </c>
      <c r="E540" s="1112" t="s">
        <v>1628</v>
      </c>
      <c r="F540" s="1328"/>
      <c r="G540" s="1328"/>
      <c r="H540" s="1328"/>
      <c r="I540" s="1328"/>
      <c r="J540" s="1328"/>
      <c r="K540" s="1328"/>
      <c r="L540" s="1112" t="s">
        <v>1505</v>
      </c>
      <c r="M540" s="1329">
        <v>520</v>
      </c>
      <c r="N540" s="1329"/>
      <c r="O540" s="1328"/>
    </row>
    <row r="541" spans="1:15" x14ac:dyDescent="0.25">
      <c r="A541" s="1143" t="s">
        <v>1490</v>
      </c>
      <c r="B541" s="1112" t="str">
        <f t="shared" ca="1" si="34"/>
        <v>N5</v>
      </c>
      <c r="C541" s="1112" t="str">
        <f t="shared" ca="1" si="35"/>
        <v>N6</v>
      </c>
      <c r="D541" s="1112" t="s">
        <v>1457</v>
      </c>
      <c r="E541" s="1112" t="s">
        <v>1628</v>
      </c>
      <c r="F541" s="1328"/>
      <c r="G541" s="1328"/>
      <c r="H541" s="1328"/>
      <c r="I541" s="1328"/>
      <c r="J541" s="1328"/>
      <c r="K541" s="1328"/>
      <c r="L541" s="1112" t="s">
        <v>1490</v>
      </c>
      <c r="M541" s="1329">
        <v>521</v>
      </c>
      <c r="N541" s="1329"/>
      <c r="O541" s="1328"/>
    </row>
    <row r="542" spans="1:15" x14ac:dyDescent="0.25">
      <c r="A542" s="1143" t="s">
        <v>1598</v>
      </c>
      <c r="B542" s="1112" t="str">
        <f t="shared" ca="1" si="34"/>
        <v>P5</v>
      </c>
      <c r="C542" s="1112" t="str">
        <f t="shared" ca="1" si="35"/>
        <v>P6</v>
      </c>
      <c r="D542" s="1112" t="s">
        <v>1457</v>
      </c>
      <c r="E542" s="1112" t="s">
        <v>1628</v>
      </c>
      <c r="F542" s="1328"/>
      <c r="G542" s="1328"/>
      <c r="H542" s="1328"/>
      <c r="I542" s="1328"/>
      <c r="J542" s="1328"/>
      <c r="K542" s="1328"/>
      <c r="L542" s="1112" t="s">
        <v>1598</v>
      </c>
      <c r="M542" s="1329">
        <v>522</v>
      </c>
      <c r="N542" s="1329"/>
      <c r="O542" s="1328"/>
    </row>
    <row r="543" spans="1:15" x14ac:dyDescent="0.25">
      <c r="A543" s="1143" t="s">
        <v>1599</v>
      </c>
      <c r="B543" s="1112" t="str">
        <f t="shared" ca="1" si="34"/>
        <v>R5</v>
      </c>
      <c r="C543" s="1112" t="str">
        <f t="shared" ca="1" si="35"/>
        <v>R6</v>
      </c>
      <c r="D543" s="1112" t="s">
        <v>1457</v>
      </c>
      <c r="E543" s="1112" t="s">
        <v>1628</v>
      </c>
      <c r="F543" s="1328"/>
      <c r="G543" s="1328"/>
      <c r="H543" s="1328"/>
      <c r="I543" s="1328"/>
      <c r="J543" s="1328"/>
      <c r="K543" s="1328"/>
      <c r="L543" s="1112" t="s">
        <v>1599</v>
      </c>
      <c r="M543" s="1329">
        <v>523</v>
      </c>
      <c r="N543" s="1329"/>
      <c r="O543" s="1328"/>
    </row>
    <row r="544" spans="1:15" x14ac:dyDescent="0.25">
      <c r="A544" s="1143" t="s">
        <v>1600</v>
      </c>
      <c r="B544" s="1112" t="str">
        <f t="shared" ca="1" si="34"/>
        <v>T5</v>
      </c>
      <c r="C544" s="1112" t="str">
        <f t="shared" ca="1" si="35"/>
        <v>T6</v>
      </c>
      <c r="D544" s="1112" t="s">
        <v>1457</v>
      </c>
      <c r="E544" s="1112" t="s">
        <v>1628</v>
      </c>
      <c r="F544" s="1328"/>
      <c r="G544" s="1328"/>
      <c r="H544" s="1328"/>
      <c r="I544" s="1328"/>
      <c r="J544" s="1328"/>
      <c r="K544" s="1328"/>
      <c r="L544" s="1112" t="s">
        <v>1600</v>
      </c>
      <c r="M544" s="1329">
        <v>524</v>
      </c>
      <c r="N544" s="1329"/>
      <c r="O544" s="132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8"/>
      <c r="G545" s="1328"/>
      <c r="H545" s="1328"/>
      <c r="I545" s="1328"/>
      <c r="J545" s="1328"/>
      <c r="K545" s="1328"/>
      <c r="L545" s="1112" t="s">
        <v>1497</v>
      </c>
      <c r="M545" s="1329">
        <v>529</v>
      </c>
      <c r="N545" s="1329"/>
      <c r="O545" s="132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8"/>
      <c r="G546" s="1328"/>
      <c r="H546" s="1328"/>
      <c r="I546" s="1328"/>
      <c r="J546" s="1328"/>
      <c r="K546" s="1328"/>
      <c r="L546" s="1112" t="s">
        <v>1604</v>
      </c>
      <c r="M546" s="1329">
        <v>528</v>
      </c>
      <c r="N546" s="1329"/>
      <c r="O546" s="132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8"/>
      <c r="G547" s="1328"/>
      <c r="H547" s="1328"/>
      <c r="I547" s="1328"/>
      <c r="J547" s="1328"/>
      <c r="K547" s="1328"/>
      <c r="L547" s="1112" t="s">
        <v>1603</v>
      </c>
      <c r="M547" s="1329">
        <v>530</v>
      </c>
      <c r="N547" s="1329"/>
      <c r="O547" s="132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8"/>
      <c r="G548" s="1328"/>
      <c r="H548" s="1328"/>
      <c r="I548" s="1328"/>
      <c r="J548" s="1328"/>
      <c r="K548" s="1328"/>
      <c r="L548" s="1112" t="s">
        <v>1491</v>
      </c>
      <c r="M548" s="1329">
        <v>531</v>
      </c>
      <c r="N548" s="1329"/>
      <c r="O548" s="1328">
        <v>17</v>
      </c>
    </row>
    <row r="549" spans="1:15" x14ac:dyDescent="0.25">
      <c r="A549" s="1146" t="s">
        <v>1493</v>
      </c>
      <c r="B549" s="1112" t="str">
        <f t="shared" ca="1" si="36"/>
        <v>C23</v>
      </c>
      <c r="C549" s="1112" t="str">
        <f t="shared" ca="1" si="37"/>
        <v>D23</v>
      </c>
      <c r="D549" s="1112" t="s">
        <v>1457</v>
      </c>
      <c r="E549" s="1112" t="s">
        <v>1628</v>
      </c>
      <c r="F549" s="1328"/>
      <c r="G549" s="1328"/>
      <c r="H549" s="1328"/>
      <c r="I549" s="1328"/>
      <c r="J549" s="1328"/>
      <c r="K549" s="1328"/>
      <c r="L549" s="1112" t="s">
        <v>1493</v>
      </c>
      <c r="M549" s="1329">
        <v>539</v>
      </c>
      <c r="N549" s="1329"/>
      <c r="O549" s="1328" t="s">
        <v>743</v>
      </c>
    </row>
    <row r="550" spans="1:15" x14ac:dyDescent="0.25">
      <c r="A550" s="1146" t="s">
        <v>1494</v>
      </c>
      <c r="B550" s="1112" t="str">
        <f t="shared" ca="1" si="36"/>
        <v>C25</v>
      </c>
      <c r="C550" s="1112" t="str">
        <f t="shared" ca="1" si="37"/>
        <v>D25</v>
      </c>
      <c r="D550" s="1112" t="s">
        <v>1457</v>
      </c>
      <c r="E550" s="1112" t="s">
        <v>1628</v>
      </c>
      <c r="F550" s="1328"/>
      <c r="G550" s="1328"/>
      <c r="H550" s="1328"/>
      <c r="I550" s="1328"/>
      <c r="J550" s="1328"/>
      <c r="K550" s="1328"/>
      <c r="L550" s="1112" t="s">
        <v>1494</v>
      </c>
      <c r="M550" s="1329">
        <v>540</v>
      </c>
      <c r="N550" s="1329"/>
      <c r="O550" s="1328">
        <v>30</v>
      </c>
    </row>
    <row r="551" spans="1:15" x14ac:dyDescent="0.25">
      <c r="A551" s="1146" t="s">
        <v>1607</v>
      </c>
      <c r="B551" s="1112" t="str">
        <f t="shared" ca="1" si="36"/>
        <v>C27</v>
      </c>
      <c r="C551" s="1112" t="str">
        <f ca="1">IFERROR(_xlfn.CONCAT("E",MATCH(A551,INDIRECT("'"&amp;E551&amp;"'!C"&amp;$O$548&amp;":C"&amp;$O$550),0)+$O$548-1),"")</f>
        <v>E27</v>
      </c>
      <c r="D551" s="1112" t="s">
        <v>1457</v>
      </c>
      <c r="E551" s="1112" t="s">
        <v>1628</v>
      </c>
      <c r="F551" s="1328"/>
      <c r="G551" s="1328"/>
      <c r="H551" s="1328"/>
      <c r="I551" s="1328"/>
      <c r="J551" s="1328"/>
      <c r="K551" s="1328"/>
      <c r="L551" s="1112" t="s">
        <v>1607</v>
      </c>
      <c r="M551" s="1329">
        <v>541</v>
      </c>
      <c r="N551" s="1329"/>
      <c r="O551" s="1328" t="s">
        <v>1760</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8"/>
      <c r="G552" s="1328"/>
      <c r="H552" s="1328"/>
      <c r="I552" s="1328"/>
      <c r="J552" s="1328"/>
      <c r="K552" s="1328"/>
      <c r="L552" s="1112" t="s">
        <v>1488</v>
      </c>
      <c r="M552" s="1329">
        <v>532</v>
      </c>
      <c r="N552" s="1329"/>
      <c r="O552" s="132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8"/>
      <c r="G553" s="1328"/>
      <c r="H553" s="1328"/>
      <c r="I553" s="1328"/>
      <c r="J553" s="1328"/>
      <c r="K553" s="1328"/>
      <c r="L553" s="1112" t="s">
        <v>1489</v>
      </c>
      <c r="M553" s="1329">
        <v>533</v>
      </c>
      <c r="N553" s="1329"/>
      <c r="O553" s="1328"/>
    </row>
    <row r="554" spans="1:15" x14ac:dyDescent="0.25">
      <c r="A554" s="1146" t="s">
        <v>1505</v>
      </c>
      <c r="B554" s="1112" t="str">
        <f t="shared" ca="1" si="38"/>
        <v>L19</v>
      </c>
      <c r="C554" s="1112" t="str">
        <f t="shared" ca="1" si="39"/>
        <v>L20</v>
      </c>
      <c r="D554" s="1112" t="s">
        <v>1457</v>
      </c>
      <c r="E554" s="1112" t="s">
        <v>1628</v>
      </c>
      <c r="F554" s="1328"/>
      <c r="G554" s="1328"/>
      <c r="H554" s="1328"/>
      <c r="I554" s="1328"/>
      <c r="J554" s="1328"/>
      <c r="K554" s="1328"/>
      <c r="L554" s="1112" t="s">
        <v>1505</v>
      </c>
      <c r="M554" s="1329">
        <v>534</v>
      </c>
      <c r="N554" s="1329"/>
      <c r="O554" s="1328"/>
    </row>
    <row r="555" spans="1:15" x14ac:dyDescent="0.25">
      <c r="A555" s="1146" t="s">
        <v>1490</v>
      </c>
      <c r="B555" s="1112" t="str">
        <f t="shared" ca="1" si="38"/>
        <v>N19</v>
      </c>
      <c r="C555" s="1112" t="str">
        <f t="shared" ca="1" si="39"/>
        <v>N20</v>
      </c>
      <c r="D555" s="1112" t="s">
        <v>1457</v>
      </c>
      <c r="E555" s="1112" t="s">
        <v>1628</v>
      </c>
      <c r="F555" s="1328"/>
      <c r="G555" s="1328"/>
      <c r="H555" s="1328"/>
      <c r="I555" s="1328"/>
      <c r="J555" s="1328"/>
      <c r="K555" s="1328"/>
      <c r="L555" s="1112" t="s">
        <v>1490</v>
      </c>
      <c r="M555" s="1329">
        <v>535</v>
      </c>
      <c r="N555" s="1329"/>
      <c r="O555" s="1328"/>
    </row>
    <row r="556" spans="1:15" x14ac:dyDescent="0.25">
      <c r="A556" s="1146" t="s">
        <v>1598</v>
      </c>
      <c r="B556" s="1112" t="str">
        <f t="shared" ca="1" si="38"/>
        <v>P19</v>
      </c>
      <c r="C556" s="1112" t="str">
        <f t="shared" ca="1" si="39"/>
        <v>P20</v>
      </c>
      <c r="D556" s="1112" t="s">
        <v>1457</v>
      </c>
      <c r="E556" s="1112" t="s">
        <v>1628</v>
      </c>
      <c r="F556" s="1328"/>
      <c r="G556" s="1328"/>
      <c r="H556" s="1328"/>
      <c r="I556" s="1328"/>
      <c r="J556" s="1328"/>
      <c r="K556" s="1328"/>
      <c r="L556" s="1112" t="s">
        <v>1598</v>
      </c>
      <c r="M556" s="1329">
        <v>536</v>
      </c>
      <c r="N556" s="1329"/>
      <c r="O556" s="1328"/>
    </row>
    <row r="557" spans="1:15" x14ac:dyDescent="0.25">
      <c r="A557" s="1146" t="s">
        <v>1599</v>
      </c>
      <c r="B557" s="1112" t="str">
        <f t="shared" ca="1" si="38"/>
        <v>R19</v>
      </c>
      <c r="C557" s="1112" t="str">
        <f t="shared" ca="1" si="39"/>
        <v>R20</v>
      </c>
      <c r="D557" s="1112" t="s">
        <v>1457</v>
      </c>
      <c r="E557" s="1112" t="s">
        <v>1628</v>
      </c>
      <c r="F557" s="1328"/>
      <c r="G557" s="1328"/>
      <c r="H557" s="1328"/>
      <c r="I557" s="1328"/>
      <c r="J557" s="1328"/>
      <c r="K557" s="1328"/>
      <c r="L557" s="1112" t="s">
        <v>1599</v>
      </c>
      <c r="M557" s="1329">
        <v>537</v>
      </c>
      <c r="N557" s="1329"/>
      <c r="O557" s="1328"/>
    </row>
    <row r="558" spans="1:15" x14ac:dyDescent="0.25">
      <c r="A558" s="1146" t="s">
        <v>1600</v>
      </c>
      <c r="B558" s="1112" t="str">
        <f t="shared" ca="1" si="38"/>
        <v>T19</v>
      </c>
      <c r="C558" s="1112" t="str">
        <f t="shared" ca="1" si="39"/>
        <v>T20</v>
      </c>
      <c r="D558" s="1112" t="s">
        <v>1457</v>
      </c>
      <c r="E558" s="1112" t="s">
        <v>1628</v>
      </c>
      <c r="F558" s="1328"/>
      <c r="G558" s="1328"/>
      <c r="H558" s="1328"/>
      <c r="I558" s="1328"/>
      <c r="J558" s="1328"/>
      <c r="K558" s="1328"/>
      <c r="L558" s="1112" t="s">
        <v>1600</v>
      </c>
      <c r="M558" s="1329">
        <v>538</v>
      </c>
      <c r="N558" s="1329"/>
      <c r="O558" s="132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8"/>
      <c r="G559" s="1328"/>
      <c r="H559" s="1328"/>
      <c r="I559" s="1328"/>
      <c r="J559" s="1328"/>
      <c r="K559" s="1328"/>
      <c r="L559" s="1112" t="s">
        <v>1497</v>
      </c>
      <c r="M559" s="1329">
        <v>543</v>
      </c>
      <c r="N559" s="1329"/>
      <c r="O559" s="132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8"/>
      <c r="G560" s="1328"/>
      <c r="H560" s="1328"/>
      <c r="I560" s="1328"/>
      <c r="J560" s="1328"/>
      <c r="K560" s="1328"/>
      <c r="L560" s="1112" t="s">
        <v>1604</v>
      </c>
      <c r="M560" s="1329">
        <v>542</v>
      </c>
      <c r="N560" s="1329"/>
      <c r="O560" s="132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8"/>
      <c r="G561" s="1328"/>
      <c r="H561" s="1328"/>
      <c r="I561" s="1328"/>
      <c r="J561" s="1328"/>
      <c r="K561" s="1328"/>
      <c r="L561" s="1112" t="s">
        <v>1603</v>
      </c>
      <c r="M561" s="1329">
        <v>544</v>
      </c>
      <c r="N561" s="1329"/>
      <c r="O561" s="132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8"/>
      <c r="G562" s="1328"/>
      <c r="H562" s="1328"/>
      <c r="I562" s="1328"/>
      <c r="J562" s="1328"/>
      <c r="K562" s="1328"/>
      <c r="L562" s="1112" t="s">
        <v>1491</v>
      </c>
      <c r="M562" s="1329">
        <v>545</v>
      </c>
      <c r="N562" s="1329"/>
      <c r="O562" s="1328">
        <v>31</v>
      </c>
    </row>
    <row r="563" spans="1:15" x14ac:dyDescent="0.25">
      <c r="A563" s="1143" t="s">
        <v>1493</v>
      </c>
      <c r="B563" s="1112" t="str">
        <f t="shared" ca="1" si="40"/>
        <v>C37</v>
      </c>
      <c r="C563" s="1112" t="str">
        <f t="shared" ca="1" si="41"/>
        <v>D37</v>
      </c>
      <c r="D563" s="1112" t="s">
        <v>1457</v>
      </c>
      <c r="E563" s="1112" t="s">
        <v>1628</v>
      </c>
      <c r="F563" s="1328"/>
      <c r="G563" s="1328"/>
      <c r="H563" s="1328"/>
      <c r="I563" s="1328"/>
      <c r="J563" s="1328"/>
      <c r="K563" s="1328"/>
      <c r="L563" s="1112" t="s">
        <v>1493</v>
      </c>
      <c r="M563" s="1329">
        <v>553</v>
      </c>
      <c r="N563" s="1329"/>
      <c r="O563" s="1328" t="s">
        <v>743</v>
      </c>
    </row>
    <row r="564" spans="1:15" x14ac:dyDescent="0.25">
      <c r="A564" s="1143" t="s">
        <v>1494</v>
      </c>
      <c r="B564" s="1112" t="str">
        <f t="shared" ca="1" si="40"/>
        <v>C39</v>
      </c>
      <c r="C564" s="1112" t="str">
        <f t="shared" ca="1" si="41"/>
        <v>D39</v>
      </c>
      <c r="D564" s="1112" t="s">
        <v>1457</v>
      </c>
      <c r="E564" s="1112" t="s">
        <v>1628</v>
      </c>
      <c r="F564" s="1328"/>
      <c r="G564" s="1328"/>
      <c r="H564" s="1328"/>
      <c r="I564" s="1328"/>
      <c r="J564" s="1328"/>
      <c r="K564" s="1328"/>
      <c r="L564" s="1112" t="s">
        <v>1494</v>
      </c>
      <c r="M564" s="1329">
        <v>554</v>
      </c>
      <c r="N564" s="1329"/>
      <c r="O564" s="1328">
        <v>44</v>
      </c>
    </row>
    <row r="565" spans="1:15" x14ac:dyDescent="0.25">
      <c r="A565" s="1143" t="s">
        <v>1607</v>
      </c>
      <c r="B565" s="1112" t="str">
        <f t="shared" ca="1" si="40"/>
        <v>C41</v>
      </c>
      <c r="C565" s="1112" t="str">
        <f ca="1">IFERROR(_xlfn.CONCAT("E",MATCH(A565,INDIRECT("'"&amp;E565&amp;"'!C"&amp;$O$562&amp;":C"&amp;$O$564),0)+$O$562-1),"")</f>
        <v>E41</v>
      </c>
      <c r="D565" s="1112" t="s">
        <v>1457</v>
      </c>
      <c r="E565" s="1112" t="s">
        <v>1628</v>
      </c>
      <c r="F565" s="1328"/>
      <c r="G565" s="1328"/>
      <c r="H565" s="1328"/>
      <c r="I565" s="1328"/>
      <c r="J565" s="1328"/>
      <c r="K565" s="1328"/>
      <c r="L565" s="1112" t="s">
        <v>1607</v>
      </c>
      <c r="M565" s="1329">
        <v>555</v>
      </c>
      <c r="N565" s="1329"/>
      <c r="O565" s="1261" t="s">
        <v>1761</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8"/>
      <c r="G566" s="1328"/>
      <c r="H566" s="1328"/>
      <c r="I566" s="1328"/>
      <c r="J566" s="1328"/>
      <c r="K566" s="1328"/>
      <c r="L566" s="1112" t="s">
        <v>1488</v>
      </c>
      <c r="M566" s="1329">
        <v>546</v>
      </c>
      <c r="N566" s="1329"/>
      <c r="O566" s="132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8"/>
      <c r="G567" s="1328"/>
      <c r="H567" s="1328"/>
      <c r="I567" s="1328"/>
      <c r="J567" s="1328"/>
      <c r="K567" s="1328"/>
      <c r="L567" s="1112" t="s">
        <v>1489</v>
      </c>
      <c r="M567" s="1329">
        <v>547</v>
      </c>
      <c r="N567" s="1329"/>
      <c r="O567" s="1328"/>
    </row>
    <row r="568" spans="1:15" x14ac:dyDescent="0.25">
      <c r="A568" s="1143" t="s">
        <v>1505</v>
      </c>
      <c r="B568" s="1112" t="str">
        <f t="shared" ca="1" si="42"/>
        <v>L33</v>
      </c>
      <c r="C568" s="1112" t="str">
        <f t="shared" ca="1" si="43"/>
        <v>L34</v>
      </c>
      <c r="D568" s="1112" t="s">
        <v>1457</v>
      </c>
      <c r="E568" s="1112" t="s">
        <v>1628</v>
      </c>
      <c r="F568" s="1328"/>
      <c r="G568" s="1328"/>
      <c r="H568" s="1328"/>
      <c r="I568" s="1328"/>
      <c r="J568" s="1328"/>
      <c r="K568" s="1328"/>
      <c r="L568" s="1112" t="s">
        <v>1505</v>
      </c>
      <c r="M568" s="1329">
        <v>548</v>
      </c>
      <c r="N568" s="1329"/>
      <c r="O568" s="1328"/>
    </row>
    <row r="569" spans="1:15" x14ac:dyDescent="0.25">
      <c r="A569" s="1143" t="s">
        <v>1490</v>
      </c>
      <c r="B569" s="1112" t="str">
        <f t="shared" ca="1" si="42"/>
        <v>N33</v>
      </c>
      <c r="C569" s="1112" t="str">
        <f t="shared" ca="1" si="43"/>
        <v>N34</v>
      </c>
      <c r="D569" s="1112" t="s">
        <v>1457</v>
      </c>
      <c r="E569" s="1112" t="s">
        <v>1628</v>
      </c>
      <c r="F569" s="1328"/>
      <c r="G569" s="1328"/>
      <c r="H569" s="1328"/>
      <c r="I569" s="1328"/>
      <c r="J569" s="1328"/>
      <c r="K569" s="1328"/>
      <c r="L569" s="1112" t="s">
        <v>1490</v>
      </c>
      <c r="M569" s="1329">
        <v>549</v>
      </c>
      <c r="N569" s="1329"/>
      <c r="O569" s="1328"/>
    </row>
    <row r="570" spans="1:15" x14ac:dyDescent="0.25">
      <c r="A570" s="1143" t="s">
        <v>1598</v>
      </c>
      <c r="B570" s="1112" t="str">
        <f t="shared" ca="1" si="42"/>
        <v>P33</v>
      </c>
      <c r="C570" s="1112" t="str">
        <f t="shared" ca="1" si="43"/>
        <v>P34</v>
      </c>
      <c r="D570" s="1112" t="s">
        <v>1457</v>
      </c>
      <c r="E570" s="1112" t="s">
        <v>1628</v>
      </c>
      <c r="F570" s="1328"/>
      <c r="G570" s="1328"/>
      <c r="H570" s="1328"/>
      <c r="I570" s="1328"/>
      <c r="J570" s="1328"/>
      <c r="K570" s="1328"/>
      <c r="L570" s="1112" t="s">
        <v>1598</v>
      </c>
      <c r="M570" s="1329">
        <v>550</v>
      </c>
      <c r="N570" s="1329"/>
      <c r="O570" s="1328"/>
    </row>
    <row r="571" spans="1:15" x14ac:dyDescent="0.25">
      <c r="A571" s="1143" t="s">
        <v>1599</v>
      </c>
      <c r="B571" s="1112" t="str">
        <f t="shared" ca="1" si="42"/>
        <v>R33</v>
      </c>
      <c r="C571" s="1112" t="str">
        <f t="shared" ca="1" si="43"/>
        <v>R34</v>
      </c>
      <c r="D571" s="1112" t="s">
        <v>1457</v>
      </c>
      <c r="E571" s="1112" t="s">
        <v>1628</v>
      </c>
      <c r="F571" s="1328"/>
      <c r="G571" s="1328"/>
      <c r="H571" s="1328"/>
      <c r="I571" s="1328"/>
      <c r="J571" s="1328"/>
      <c r="K571" s="1328"/>
      <c r="L571" s="1112" t="s">
        <v>1599</v>
      </c>
      <c r="M571" s="1329">
        <v>551</v>
      </c>
      <c r="N571" s="1329"/>
      <c r="O571" s="1328"/>
    </row>
    <row r="572" spans="1:15" x14ac:dyDescent="0.25">
      <c r="A572" s="1143" t="s">
        <v>1600</v>
      </c>
      <c r="B572" s="1112" t="str">
        <f t="shared" ca="1" si="42"/>
        <v>T33</v>
      </c>
      <c r="C572" s="1112" t="str">
        <f t="shared" ca="1" si="43"/>
        <v>T34</v>
      </c>
      <c r="D572" s="1112" t="s">
        <v>1457</v>
      </c>
      <c r="E572" s="1112" t="s">
        <v>1628</v>
      </c>
      <c r="F572" s="1328"/>
      <c r="G572" s="1328"/>
      <c r="H572" s="1328"/>
      <c r="I572" s="1328"/>
      <c r="J572" s="1328"/>
      <c r="K572" s="1328"/>
      <c r="L572" s="1112" t="s">
        <v>1600</v>
      </c>
      <c r="M572" s="1329">
        <v>552</v>
      </c>
      <c r="N572" s="1329"/>
      <c r="O572" s="132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8"/>
      <c r="G573" s="1328"/>
      <c r="H573" s="1328"/>
      <c r="I573" s="1328"/>
      <c r="J573" s="1328"/>
      <c r="K573" s="1328"/>
      <c r="L573" s="1112" t="s">
        <v>1604</v>
      </c>
      <c r="M573" s="1329">
        <v>556</v>
      </c>
      <c r="N573" s="1329"/>
      <c r="O573" s="132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8"/>
      <c r="G574" s="1328"/>
      <c r="H574" s="1328"/>
      <c r="I574" s="1328"/>
      <c r="J574" s="1328"/>
      <c r="K574" s="1328"/>
      <c r="L574" s="1112" t="s">
        <v>1618</v>
      </c>
      <c r="M574" s="1329">
        <v>557</v>
      </c>
      <c r="N574" s="1329"/>
      <c r="O574" s="1328"/>
    </row>
    <row r="575" spans="1:15" x14ac:dyDescent="0.25">
      <c r="A575" s="1143" t="s">
        <v>1620</v>
      </c>
      <c r="B575" s="1112" t="str">
        <f t="shared" ca="1" si="44"/>
        <v>P39</v>
      </c>
      <c r="C575" s="1112" t="str">
        <f t="shared" ca="1" si="45"/>
        <v>P40</v>
      </c>
      <c r="D575" s="1112" t="s">
        <v>1457</v>
      </c>
      <c r="E575" s="1112" t="s">
        <v>1628</v>
      </c>
      <c r="F575" s="1328"/>
      <c r="G575" s="1328"/>
      <c r="H575" s="1328"/>
      <c r="I575" s="1328"/>
      <c r="J575" s="1328"/>
      <c r="K575" s="1328"/>
      <c r="L575" s="1112" t="s">
        <v>1620</v>
      </c>
      <c r="M575" s="1329">
        <v>561</v>
      </c>
      <c r="N575" s="1329"/>
      <c r="O575" s="132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8"/>
      <c r="G576" s="1328"/>
      <c r="H576" s="1328"/>
      <c r="I576" s="1328"/>
      <c r="J576" s="1328"/>
      <c r="K576" s="1328"/>
      <c r="L576" s="1112" t="s">
        <v>1495</v>
      </c>
      <c r="M576" s="1329">
        <v>558</v>
      </c>
      <c r="N576" s="1329"/>
      <c r="O576" s="132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8"/>
      <c r="G577" s="1328"/>
      <c r="H577" s="1328"/>
      <c r="I577" s="1328"/>
      <c r="J577" s="1328"/>
      <c r="K577" s="1328"/>
      <c r="L577" s="1112" t="s">
        <v>1496</v>
      </c>
      <c r="M577" s="1329">
        <v>559</v>
      </c>
      <c r="N577" s="1329"/>
      <c r="O577" s="1328"/>
    </row>
    <row r="578" spans="1:15" x14ac:dyDescent="0.25">
      <c r="A578" s="1144" t="s">
        <v>1497</v>
      </c>
      <c r="B578" s="1112" t="str">
        <f t="shared" ca="1" si="46"/>
        <v>L36</v>
      </c>
      <c r="C578" s="1112" t="str">
        <f t="shared" ca="1" si="47"/>
        <v>L40</v>
      </c>
      <c r="D578" s="1112" t="s">
        <v>1457</v>
      </c>
      <c r="E578" s="1112" t="s">
        <v>1628</v>
      </c>
      <c r="F578" s="1328"/>
      <c r="G578" s="1328"/>
      <c r="H578" s="1328"/>
      <c r="I578" s="1328"/>
      <c r="J578" s="1328"/>
      <c r="K578" s="1328"/>
      <c r="L578" s="1115" t="s">
        <v>1497</v>
      </c>
      <c r="M578" s="1329">
        <v>560</v>
      </c>
      <c r="N578" s="1329"/>
      <c r="O578" s="132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8"/>
      <c r="G579" s="1328"/>
      <c r="H579" s="1328"/>
      <c r="I579" s="1328"/>
      <c r="J579" s="1328"/>
      <c r="K579" s="1328"/>
      <c r="L579" s="1112" t="s">
        <v>1603</v>
      </c>
      <c r="M579" s="1329">
        <v>562</v>
      </c>
      <c r="N579" s="1329"/>
      <c r="O579" s="132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8"/>
      <c r="G580" s="1328"/>
      <c r="H580" s="1328"/>
      <c r="I580" s="1328"/>
      <c r="J580" s="1328"/>
      <c r="K580" s="1328"/>
      <c r="L580" s="1112" t="s">
        <v>1491</v>
      </c>
      <c r="M580" s="1329">
        <v>563</v>
      </c>
      <c r="N580" s="1329"/>
      <c r="O580" s="1328">
        <v>45</v>
      </c>
    </row>
    <row r="581" spans="1:15" x14ac:dyDescent="0.25">
      <c r="A581" s="1146" t="s">
        <v>1493</v>
      </c>
      <c r="B581" s="1112" t="str">
        <f t="shared" ca="1" si="48"/>
        <v>C51</v>
      </c>
      <c r="C581" s="1112" t="str">
        <f t="shared" ca="1" si="49"/>
        <v>D51</v>
      </c>
      <c r="D581" s="1112" t="s">
        <v>1457</v>
      </c>
      <c r="E581" s="1112" t="s">
        <v>1628</v>
      </c>
      <c r="F581" s="1328"/>
      <c r="G581" s="1328"/>
      <c r="H581" s="1328"/>
      <c r="I581" s="1328"/>
      <c r="J581" s="1328"/>
      <c r="K581" s="1328"/>
      <c r="L581" s="1112" t="s">
        <v>1493</v>
      </c>
      <c r="M581" s="1329">
        <v>571</v>
      </c>
      <c r="N581" s="1329"/>
      <c r="O581" s="1328" t="s">
        <v>743</v>
      </c>
    </row>
    <row r="582" spans="1:15" x14ac:dyDescent="0.25">
      <c r="A582" s="1146" t="s">
        <v>1494</v>
      </c>
      <c r="B582" s="1112" t="str">
        <f t="shared" ca="1" si="48"/>
        <v>C53</v>
      </c>
      <c r="C582" s="1112" t="str">
        <f t="shared" ca="1" si="49"/>
        <v>D53</v>
      </c>
      <c r="D582" s="1112" t="s">
        <v>1457</v>
      </c>
      <c r="E582" s="1112" t="s">
        <v>1628</v>
      </c>
      <c r="F582" s="1328"/>
      <c r="G582" s="1328"/>
      <c r="H582" s="1328"/>
      <c r="I582" s="1328"/>
      <c r="J582" s="1328"/>
      <c r="K582" s="1328"/>
      <c r="L582" s="1112" t="s">
        <v>1494</v>
      </c>
      <c r="M582" s="1329">
        <v>572</v>
      </c>
      <c r="N582" s="1329"/>
      <c r="O582" s="1328">
        <v>58</v>
      </c>
    </row>
    <row r="583" spans="1:15" x14ac:dyDescent="0.25">
      <c r="A583" s="1146" t="s">
        <v>1607</v>
      </c>
      <c r="B583" s="1112" t="str">
        <f t="shared" ca="1" si="48"/>
        <v>C55</v>
      </c>
      <c r="C583" s="1112" t="str">
        <f ca="1">IFERROR(_xlfn.CONCAT("E",MATCH(A583,INDIRECT("'"&amp;E583&amp;"'!C"&amp;$O$580&amp;":C"&amp;$O$582),0)+$O$580-1),"")</f>
        <v>E55</v>
      </c>
      <c r="D583" s="1112" t="s">
        <v>1457</v>
      </c>
      <c r="E583" s="1112" t="s">
        <v>1628</v>
      </c>
      <c r="F583" s="1328"/>
      <c r="G583" s="1328"/>
      <c r="H583" s="1328"/>
      <c r="I583" s="1328"/>
      <c r="J583" s="1328"/>
      <c r="K583" s="1328"/>
      <c r="L583" s="1112" t="s">
        <v>1607</v>
      </c>
      <c r="M583" s="1329">
        <v>573</v>
      </c>
      <c r="N583" s="1329"/>
      <c r="O583" s="1261" t="s">
        <v>1762</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8"/>
      <c r="G584" s="1328"/>
      <c r="H584" s="1328"/>
      <c r="I584" s="1328"/>
      <c r="J584" s="1328"/>
      <c r="K584" s="1328"/>
      <c r="L584" s="1112" t="s">
        <v>1488</v>
      </c>
      <c r="M584" s="1329">
        <v>564</v>
      </c>
      <c r="N584" s="1329"/>
      <c r="O584" s="132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8"/>
      <c r="G585" s="1328"/>
      <c r="H585" s="1328"/>
      <c r="I585" s="1328"/>
      <c r="J585" s="1328"/>
      <c r="K585" s="1328"/>
      <c r="L585" s="1112" t="s">
        <v>1489</v>
      </c>
      <c r="M585" s="1329">
        <v>565</v>
      </c>
      <c r="N585" s="1329"/>
      <c r="O585" s="1328"/>
    </row>
    <row r="586" spans="1:15" x14ac:dyDescent="0.25">
      <c r="A586" s="1146" t="s">
        <v>1505</v>
      </c>
      <c r="B586" s="1112" t="str">
        <f t="shared" ca="1" si="50"/>
        <v>L47</v>
      </c>
      <c r="C586" s="1112" t="str">
        <f t="shared" ca="1" si="51"/>
        <v>L48</v>
      </c>
      <c r="D586" s="1112" t="s">
        <v>1457</v>
      </c>
      <c r="E586" s="1112" t="s">
        <v>1628</v>
      </c>
      <c r="F586" s="1328"/>
      <c r="G586" s="1328"/>
      <c r="H586" s="1328"/>
      <c r="I586" s="1328"/>
      <c r="J586" s="1328"/>
      <c r="K586" s="1328"/>
      <c r="L586" s="1112" t="s">
        <v>1505</v>
      </c>
      <c r="M586" s="1329">
        <v>566</v>
      </c>
      <c r="N586" s="1329"/>
      <c r="O586" s="1328"/>
    </row>
    <row r="587" spans="1:15" x14ac:dyDescent="0.25">
      <c r="A587" s="1146" t="s">
        <v>1490</v>
      </c>
      <c r="B587" s="1112" t="str">
        <f t="shared" ca="1" si="50"/>
        <v>N47</v>
      </c>
      <c r="C587" s="1112" t="str">
        <f t="shared" ca="1" si="51"/>
        <v>N48</v>
      </c>
      <c r="D587" s="1112" t="s">
        <v>1457</v>
      </c>
      <c r="E587" s="1112" t="s">
        <v>1628</v>
      </c>
      <c r="F587" s="1328"/>
      <c r="G587" s="1328"/>
      <c r="H587" s="1328"/>
      <c r="I587" s="1328"/>
      <c r="J587" s="1328"/>
      <c r="K587" s="1328"/>
      <c r="L587" s="1112" t="s">
        <v>1490</v>
      </c>
      <c r="M587" s="1329">
        <v>567</v>
      </c>
      <c r="N587" s="1329"/>
      <c r="O587" s="1328"/>
    </row>
    <row r="588" spans="1:15" x14ac:dyDescent="0.25">
      <c r="A588" s="1146" t="s">
        <v>1598</v>
      </c>
      <c r="B588" s="1112" t="str">
        <f t="shared" ca="1" si="50"/>
        <v>P47</v>
      </c>
      <c r="C588" s="1112" t="str">
        <f t="shared" ca="1" si="51"/>
        <v>P48</v>
      </c>
      <c r="D588" s="1112" t="s">
        <v>1457</v>
      </c>
      <c r="E588" s="1112" t="s">
        <v>1628</v>
      </c>
      <c r="F588" s="1328"/>
      <c r="G588" s="1328"/>
      <c r="H588" s="1328"/>
      <c r="I588" s="1328"/>
      <c r="J588" s="1328"/>
      <c r="K588" s="1328"/>
      <c r="L588" s="1112" t="s">
        <v>1598</v>
      </c>
      <c r="M588" s="1329">
        <v>568</v>
      </c>
      <c r="N588" s="1329"/>
      <c r="O588" s="1328"/>
    </row>
    <row r="589" spans="1:15" x14ac:dyDescent="0.25">
      <c r="A589" s="1146" t="s">
        <v>1599</v>
      </c>
      <c r="B589" s="1112" t="str">
        <f t="shared" ca="1" si="50"/>
        <v>R47</v>
      </c>
      <c r="C589" s="1112" t="str">
        <f t="shared" ca="1" si="51"/>
        <v>R48</v>
      </c>
      <c r="D589" s="1112" t="s">
        <v>1457</v>
      </c>
      <c r="E589" s="1112" t="s">
        <v>1628</v>
      </c>
      <c r="F589" s="1328"/>
      <c r="G589" s="1328"/>
      <c r="H589" s="1328"/>
      <c r="I589" s="1328"/>
      <c r="J589" s="1328"/>
      <c r="K589" s="1328"/>
      <c r="L589" s="1112" t="s">
        <v>1599</v>
      </c>
      <c r="M589" s="1329">
        <v>569</v>
      </c>
      <c r="N589" s="1329"/>
      <c r="O589" s="1328"/>
    </row>
    <row r="590" spans="1:15" x14ac:dyDescent="0.25">
      <c r="A590" s="1146" t="s">
        <v>1600</v>
      </c>
      <c r="B590" s="1112" t="str">
        <f t="shared" ca="1" si="50"/>
        <v>T47</v>
      </c>
      <c r="C590" s="1112" t="str">
        <f t="shared" ca="1" si="51"/>
        <v>T48</v>
      </c>
      <c r="D590" s="1112" t="s">
        <v>1457</v>
      </c>
      <c r="E590" s="1112" t="s">
        <v>1628</v>
      </c>
      <c r="F590" s="1328"/>
      <c r="G590" s="1328"/>
      <c r="H590" s="1328"/>
      <c r="I590" s="1328"/>
      <c r="J590" s="1328"/>
      <c r="K590" s="1328"/>
      <c r="L590" s="1112" t="s">
        <v>1600</v>
      </c>
      <c r="M590" s="1329">
        <v>570</v>
      </c>
      <c r="N590" s="1329"/>
      <c r="O590" s="132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8"/>
      <c r="G591" s="1328"/>
      <c r="H591" s="1328"/>
      <c r="I591" s="1328"/>
      <c r="J591" s="1328"/>
      <c r="K591" s="1328"/>
      <c r="L591" s="1112" t="s">
        <v>1604</v>
      </c>
      <c r="M591" s="1329">
        <v>574</v>
      </c>
      <c r="N591" s="1329"/>
      <c r="O591" s="132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8"/>
      <c r="G592" s="1328"/>
      <c r="H592" s="1328"/>
      <c r="I592" s="1328"/>
      <c r="J592" s="1328"/>
      <c r="K592" s="1328"/>
      <c r="L592" s="1112" t="s">
        <v>1618</v>
      </c>
      <c r="M592" s="1329">
        <v>575</v>
      </c>
      <c r="N592" s="1329"/>
      <c r="O592" s="132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8"/>
      <c r="G593" s="1328"/>
      <c r="H593" s="1328"/>
      <c r="I593" s="1328"/>
      <c r="J593" s="1328"/>
      <c r="K593" s="1328"/>
      <c r="L593" s="1112" t="s">
        <v>1620</v>
      </c>
      <c r="M593" s="1329">
        <v>579</v>
      </c>
      <c r="N593" s="1329"/>
      <c r="O593" s="132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8"/>
      <c r="G594" s="1328"/>
      <c r="H594" s="1328"/>
      <c r="I594" s="1328"/>
      <c r="J594" s="1328"/>
      <c r="K594" s="1328"/>
      <c r="L594" s="1112" t="s">
        <v>1495</v>
      </c>
      <c r="M594" s="1329">
        <v>576</v>
      </c>
      <c r="N594" s="1329"/>
      <c r="O594" s="132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8"/>
      <c r="G595" s="1328"/>
      <c r="H595" s="1328"/>
      <c r="I595" s="1328"/>
      <c r="J595" s="1328"/>
      <c r="K595" s="1328"/>
      <c r="L595" s="1112" t="s">
        <v>1496</v>
      </c>
      <c r="M595" s="1329">
        <v>577</v>
      </c>
      <c r="N595" s="1329"/>
      <c r="O595" s="132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8"/>
      <c r="G596" s="1328"/>
      <c r="H596" s="1328"/>
      <c r="I596" s="1328"/>
      <c r="J596" s="1328"/>
      <c r="K596" s="1328"/>
      <c r="L596" s="1112" t="s">
        <v>1497</v>
      </c>
      <c r="M596" s="1329">
        <v>578</v>
      </c>
      <c r="N596" s="1329"/>
      <c r="O596" s="132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8"/>
      <c r="G597" s="1328"/>
      <c r="H597" s="1328"/>
      <c r="I597" s="1328"/>
      <c r="J597" s="1328"/>
      <c r="K597" s="1328"/>
      <c r="L597" s="1112" t="s">
        <v>1603</v>
      </c>
      <c r="M597" s="1329">
        <v>580</v>
      </c>
      <c r="N597" s="1329"/>
      <c r="O597" s="132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8"/>
      <c r="G598" s="1328"/>
      <c r="H598" s="1328"/>
      <c r="I598" s="1328"/>
      <c r="J598" s="1328"/>
      <c r="K598" s="1328"/>
      <c r="L598" s="1112" t="s">
        <v>1491</v>
      </c>
      <c r="M598" s="1329">
        <v>581</v>
      </c>
      <c r="N598" s="1329"/>
      <c r="O598" s="132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8"/>
      <c r="G599" s="1328"/>
      <c r="H599" s="1328"/>
      <c r="I599" s="1328"/>
      <c r="J599" s="1328"/>
      <c r="K599" s="1328"/>
      <c r="L599" s="1112" t="s">
        <v>1488</v>
      </c>
      <c r="M599" s="1329">
        <v>582</v>
      </c>
      <c r="N599" s="1329"/>
      <c r="O599" s="1328" t="s">
        <v>743</v>
      </c>
    </row>
    <row r="600" spans="1:15" x14ac:dyDescent="0.25">
      <c r="A600" s="1144" t="s">
        <v>1489</v>
      </c>
      <c r="B600" s="1112" t="str">
        <f t="shared" ca="1" si="54"/>
        <v>J61</v>
      </c>
      <c r="C600" s="1112" t="str">
        <f t="shared" ca="1" si="55"/>
        <v>J62</v>
      </c>
      <c r="D600" s="1112" t="s">
        <v>1457</v>
      </c>
      <c r="E600" s="1112" t="s">
        <v>1628</v>
      </c>
      <c r="F600" s="1328"/>
      <c r="G600" s="1328"/>
      <c r="H600" s="1328"/>
      <c r="I600" s="1328"/>
      <c r="J600" s="1328"/>
      <c r="K600" s="1328"/>
      <c r="L600" s="1112" t="s">
        <v>1489</v>
      </c>
      <c r="M600" s="1329">
        <v>583</v>
      </c>
      <c r="N600" s="1329"/>
      <c r="O600" s="1328">
        <v>74</v>
      </c>
    </row>
    <row r="601" spans="1:15" x14ac:dyDescent="0.25">
      <c r="A601" s="1144" t="s">
        <v>1505</v>
      </c>
      <c r="B601" s="1112" t="str">
        <f t="shared" ca="1" si="54"/>
        <v>L61</v>
      </c>
      <c r="C601" s="1112" t="str">
        <f t="shared" ca="1" si="55"/>
        <v>L62</v>
      </c>
      <c r="D601" s="1112" t="s">
        <v>1457</v>
      </c>
      <c r="E601" s="1112" t="s">
        <v>1628</v>
      </c>
      <c r="F601" s="1328"/>
      <c r="G601" s="1328"/>
      <c r="H601" s="1328"/>
      <c r="I601" s="1328"/>
      <c r="J601" s="1328"/>
      <c r="K601" s="1328"/>
      <c r="L601" s="1112" t="s">
        <v>1505</v>
      </c>
      <c r="M601" s="1329">
        <v>584</v>
      </c>
      <c r="N601" s="1329"/>
      <c r="O601" s="1328" t="s">
        <v>1763</v>
      </c>
    </row>
    <row r="602" spans="1:15" x14ac:dyDescent="0.25">
      <c r="A602" s="1144" t="s">
        <v>1490</v>
      </c>
      <c r="B602" s="1112" t="str">
        <f t="shared" ca="1" si="54"/>
        <v>N61</v>
      </c>
      <c r="C602" s="1112" t="str">
        <f t="shared" ca="1" si="55"/>
        <v>N62</v>
      </c>
      <c r="D602" s="1112" t="s">
        <v>1457</v>
      </c>
      <c r="E602" s="1112" t="s">
        <v>1628</v>
      </c>
      <c r="F602" s="1328"/>
      <c r="G602" s="1328"/>
      <c r="H602" s="1328"/>
      <c r="I602" s="1328"/>
      <c r="J602" s="1328"/>
      <c r="K602" s="1328"/>
      <c r="L602" s="1112" t="s">
        <v>1490</v>
      </c>
      <c r="M602" s="1329">
        <v>585</v>
      </c>
      <c r="N602" s="1329"/>
      <c r="O602" s="1328"/>
    </row>
    <row r="603" spans="1:15" x14ac:dyDescent="0.25">
      <c r="A603" s="1144" t="s">
        <v>1598</v>
      </c>
      <c r="B603" s="1112" t="str">
        <f t="shared" ca="1" si="54"/>
        <v>P61</v>
      </c>
      <c r="C603" s="1112" t="str">
        <f t="shared" ca="1" si="55"/>
        <v>P62</v>
      </c>
      <c r="D603" s="1112" t="s">
        <v>1457</v>
      </c>
      <c r="E603" s="1112" t="s">
        <v>1628</v>
      </c>
      <c r="F603" s="1328"/>
      <c r="G603" s="1328"/>
      <c r="H603" s="1328"/>
      <c r="I603" s="1328"/>
      <c r="J603" s="1328"/>
      <c r="K603" s="1328"/>
      <c r="L603" s="1112" t="s">
        <v>1598</v>
      </c>
      <c r="M603" s="1329">
        <v>586</v>
      </c>
      <c r="N603" s="1329"/>
      <c r="O603" s="1328"/>
    </row>
    <row r="604" spans="1:15" x14ac:dyDescent="0.25">
      <c r="A604" s="1144" t="s">
        <v>1599</v>
      </c>
      <c r="B604" s="1112" t="str">
        <f t="shared" ca="1" si="54"/>
        <v>R61</v>
      </c>
      <c r="C604" s="1112" t="str">
        <f t="shared" ca="1" si="55"/>
        <v>R62</v>
      </c>
      <c r="D604" s="1112" t="s">
        <v>1457</v>
      </c>
      <c r="E604" s="1112" t="s">
        <v>1628</v>
      </c>
      <c r="F604" s="1328"/>
      <c r="G604" s="1328"/>
      <c r="H604" s="1328"/>
      <c r="I604" s="1328"/>
      <c r="J604" s="1328"/>
      <c r="K604" s="1328"/>
      <c r="L604" s="1112" t="s">
        <v>1599</v>
      </c>
      <c r="M604" s="1329">
        <v>587</v>
      </c>
      <c r="N604" s="1329"/>
      <c r="O604" s="1328"/>
    </row>
    <row r="605" spans="1:15" x14ac:dyDescent="0.25">
      <c r="A605" s="1144" t="s">
        <v>1600</v>
      </c>
      <c r="B605" s="1112" t="str">
        <f t="shared" ca="1" si="54"/>
        <v>T61</v>
      </c>
      <c r="C605" s="1112" t="str">
        <f t="shared" ca="1" si="55"/>
        <v>T62</v>
      </c>
      <c r="D605" s="1112" t="s">
        <v>1457</v>
      </c>
      <c r="E605" s="1112" t="s">
        <v>1628</v>
      </c>
      <c r="F605" s="1328"/>
      <c r="G605" s="1328"/>
      <c r="H605" s="1328"/>
      <c r="I605" s="1328"/>
      <c r="J605" s="1328"/>
      <c r="K605" s="1328"/>
      <c r="L605" s="1112" t="s">
        <v>1600</v>
      </c>
      <c r="M605" s="1329">
        <v>588</v>
      </c>
      <c r="N605" s="1329"/>
      <c r="O605" s="132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8"/>
      <c r="G606" s="1328"/>
      <c r="H606" s="1328"/>
      <c r="I606" s="1328"/>
      <c r="J606" s="1328"/>
      <c r="K606" s="1328"/>
      <c r="L606" s="1112" t="s">
        <v>1493</v>
      </c>
      <c r="M606" s="1329">
        <v>589</v>
      </c>
      <c r="N606" s="1329"/>
      <c r="O606" s="132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8"/>
      <c r="G607" s="1328"/>
      <c r="H607" s="1328"/>
      <c r="I607" s="1328"/>
      <c r="J607" s="1328"/>
      <c r="K607" s="1328"/>
      <c r="L607" s="1112" t="s">
        <v>1494</v>
      </c>
      <c r="M607" s="1329">
        <v>590</v>
      </c>
      <c r="N607" s="1329"/>
      <c r="O607" s="1328"/>
    </row>
    <row r="608" spans="1:15" x14ac:dyDescent="0.25">
      <c r="A608" s="1144" t="s">
        <v>1607</v>
      </c>
      <c r="B608" s="1112" t="str">
        <f ca="1">IFERROR(_xlfn.CONCAT("C",MATCH(A608,INDIRECT("'"&amp;E608&amp;"'!C"&amp;$O$598&amp;":C"&amp;$O$600),0)+$O$598-1),"")</f>
        <v>C71</v>
      </c>
      <c r="C608" s="1112" t="str">
        <f ca="1">IFERROR(_xlfn.CONCAT("E",MATCH(A608,INDIRECT("'"&amp;E608&amp;"'!C"&amp;$O$598&amp;":C"&amp;$O$600),0)+$O$598-1),"")</f>
        <v>E71</v>
      </c>
      <c r="D608" s="1112" t="s">
        <v>1457</v>
      </c>
      <c r="E608" s="1112" t="s">
        <v>1628</v>
      </c>
      <c r="F608" s="1328"/>
      <c r="G608" s="1328"/>
      <c r="H608" s="1328"/>
      <c r="I608" s="1328"/>
      <c r="J608" s="1328"/>
      <c r="K608" s="1328"/>
      <c r="L608" s="1112" t="s">
        <v>1607</v>
      </c>
      <c r="M608" s="1329">
        <v>591</v>
      </c>
      <c r="N608" s="1329"/>
      <c r="O608" s="132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8"/>
      <c r="G609" s="1328"/>
      <c r="H609" s="1328"/>
      <c r="I609" s="1328"/>
      <c r="J609" s="1328"/>
      <c r="K609" s="1328"/>
      <c r="L609" s="1112" t="s">
        <v>1604</v>
      </c>
      <c r="M609" s="1329">
        <v>592</v>
      </c>
      <c r="N609" s="1329"/>
      <c r="O609" s="132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8"/>
      <c r="G610" s="1328"/>
      <c r="H610" s="1328"/>
      <c r="I610" s="1328"/>
      <c r="J610" s="1328"/>
      <c r="K610" s="1328"/>
      <c r="L610" s="1112" t="s">
        <v>1618</v>
      </c>
      <c r="M610" s="1329">
        <v>593</v>
      </c>
      <c r="N610" s="1329"/>
      <c r="O610" s="132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8"/>
      <c r="G611" s="1328"/>
      <c r="H611" s="1328"/>
      <c r="I611" s="1328"/>
      <c r="J611" s="1328"/>
      <c r="K611" s="1328"/>
      <c r="L611" s="1112" t="s">
        <v>1495</v>
      </c>
      <c r="M611" s="1329">
        <v>594</v>
      </c>
      <c r="N611" s="1329"/>
      <c r="O611" s="132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8"/>
      <c r="G612" s="1328"/>
      <c r="H612" s="1328"/>
      <c r="I612" s="1328"/>
      <c r="J612" s="1328"/>
      <c r="K612" s="1328"/>
      <c r="L612" s="1112" t="s">
        <v>1496</v>
      </c>
      <c r="M612" s="1329">
        <v>595</v>
      </c>
      <c r="N612" s="1329"/>
      <c r="O612" s="1328"/>
    </row>
    <row r="613" spans="1:15" x14ac:dyDescent="0.25">
      <c r="A613" s="1144" t="s">
        <v>1497</v>
      </c>
      <c r="B613" s="1112" t="str">
        <f t="shared" ca="1" si="56"/>
        <v>L65</v>
      </c>
      <c r="C613" s="1112" t="str">
        <f t="shared" ca="1" si="57"/>
        <v>L</v>
      </c>
      <c r="D613" s="1112" t="s">
        <v>1464</v>
      </c>
      <c r="E613" s="1112" t="s">
        <v>1628</v>
      </c>
      <c r="F613" s="1328"/>
      <c r="G613" s="1328"/>
      <c r="H613" s="1328"/>
      <c r="I613" s="1328"/>
      <c r="J613" s="1328"/>
      <c r="K613" s="1328"/>
      <c r="L613" s="1112" t="s">
        <v>1497</v>
      </c>
      <c r="M613" s="1329">
        <v>596</v>
      </c>
      <c r="N613" s="1329"/>
      <c r="O613" s="132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8"/>
      <c r="G614" s="1328"/>
      <c r="H614" s="1328"/>
      <c r="I614" s="1328"/>
      <c r="J614" s="1328"/>
      <c r="K614" s="1328"/>
      <c r="L614" s="1112" t="s">
        <v>1495</v>
      </c>
      <c r="M614" s="1329">
        <v>597</v>
      </c>
      <c r="N614" s="1329"/>
      <c r="O614" s="132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8"/>
      <c r="G615" s="1328"/>
      <c r="H615" s="1328"/>
      <c r="I615" s="1328"/>
      <c r="J615" s="1328"/>
      <c r="K615" s="1328"/>
      <c r="L615" s="1112" t="s">
        <v>1496</v>
      </c>
      <c r="M615" s="1329">
        <v>598</v>
      </c>
      <c r="N615" s="1329"/>
      <c r="O615" s="1328"/>
    </row>
    <row r="616" spans="1:15" x14ac:dyDescent="0.25">
      <c r="A616" s="1144" t="s">
        <v>1497</v>
      </c>
      <c r="B616" s="1112" t="str">
        <f t="shared" ca="1" si="58"/>
        <v>L66</v>
      </c>
      <c r="C616" s="1112" t="str">
        <f t="shared" ca="1" si="57"/>
        <v>L</v>
      </c>
      <c r="D616" s="1112" t="s">
        <v>1464</v>
      </c>
      <c r="E616" s="1112" t="s">
        <v>1628</v>
      </c>
      <c r="F616" s="1328"/>
      <c r="G616" s="1328"/>
      <c r="H616" s="1328"/>
      <c r="I616" s="1328"/>
      <c r="J616" s="1328"/>
      <c r="K616" s="1328"/>
      <c r="L616" s="1112" t="s">
        <v>1497</v>
      </c>
      <c r="M616" s="1329">
        <v>599</v>
      </c>
      <c r="N616" s="1329"/>
      <c r="O616" s="132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8"/>
      <c r="G617" s="1328"/>
      <c r="H617" s="1328"/>
      <c r="I617" s="1328"/>
      <c r="J617" s="1328"/>
      <c r="K617" s="1328"/>
      <c r="L617" s="1112" t="s">
        <v>1495</v>
      </c>
      <c r="M617" s="1329">
        <v>600</v>
      </c>
      <c r="N617" s="1329"/>
      <c r="O617" s="132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8"/>
      <c r="G618" s="1328"/>
      <c r="H618" s="1328"/>
      <c r="I618" s="1328"/>
      <c r="J618" s="1328"/>
      <c r="K618" s="1328"/>
      <c r="L618" s="1112" t="s">
        <v>1496</v>
      </c>
      <c r="M618" s="1329">
        <v>601</v>
      </c>
      <c r="N618" s="1329"/>
      <c r="O618" s="1328"/>
    </row>
    <row r="619" spans="1:15" x14ac:dyDescent="0.25">
      <c r="A619" s="1144" t="s">
        <v>1497</v>
      </c>
      <c r="B619" s="1112" t="str">
        <f t="shared" ca="1" si="59"/>
        <v>L67</v>
      </c>
      <c r="C619" s="1112" t="str">
        <f t="shared" ca="1" si="57"/>
        <v>L</v>
      </c>
      <c r="D619" s="1112" t="s">
        <v>1464</v>
      </c>
      <c r="E619" s="1112" t="s">
        <v>1628</v>
      </c>
      <c r="F619" s="1328"/>
      <c r="G619" s="1328"/>
      <c r="H619" s="1328"/>
      <c r="I619" s="1328"/>
      <c r="J619" s="1328"/>
      <c r="K619" s="1328"/>
      <c r="L619" s="1112" t="s">
        <v>1497</v>
      </c>
      <c r="M619" s="1329">
        <v>602</v>
      </c>
      <c r="N619" s="1329"/>
      <c r="O619" s="132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8"/>
      <c r="G620" s="1328"/>
      <c r="H620" s="1328"/>
      <c r="I620" s="1328"/>
      <c r="J620" s="1328"/>
      <c r="K620" s="1328"/>
      <c r="L620" s="1112" t="s">
        <v>1495</v>
      </c>
      <c r="M620" s="1329">
        <v>603</v>
      </c>
      <c r="N620" s="1329"/>
      <c r="O620" s="132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8"/>
      <c r="G621" s="1328"/>
      <c r="H621" s="1328"/>
      <c r="I621" s="1328"/>
      <c r="J621" s="1328"/>
      <c r="K621" s="1328"/>
      <c r="L621" s="1112" t="s">
        <v>1496</v>
      </c>
      <c r="M621" s="1329">
        <v>604</v>
      </c>
      <c r="N621" s="1329"/>
      <c r="O621" s="1328"/>
    </row>
    <row r="622" spans="1:15" x14ac:dyDescent="0.25">
      <c r="A622" s="1144" t="s">
        <v>1497</v>
      </c>
      <c r="B622" s="1112" t="str">
        <f t="shared" ca="1" si="60"/>
        <v>L68</v>
      </c>
      <c r="C622" s="1112" t="str">
        <f t="shared" ca="1" si="57"/>
        <v>L</v>
      </c>
      <c r="D622" s="1112" t="s">
        <v>1464</v>
      </c>
      <c r="E622" s="1112" t="s">
        <v>1628</v>
      </c>
      <c r="F622" s="1328"/>
      <c r="G622" s="1328"/>
      <c r="H622" s="1328"/>
      <c r="I622" s="1328"/>
      <c r="J622" s="1328"/>
      <c r="K622" s="1328"/>
      <c r="L622" s="1112" t="s">
        <v>1497</v>
      </c>
      <c r="M622" s="1329">
        <v>605</v>
      </c>
      <c r="N622" s="1329"/>
      <c r="O622" s="132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8"/>
      <c r="G623" s="1328"/>
      <c r="H623" s="1328"/>
      <c r="I623" s="1328"/>
      <c r="J623" s="1328"/>
      <c r="K623" s="1328"/>
      <c r="L623" s="1112" t="s">
        <v>1495</v>
      </c>
      <c r="M623" s="1329">
        <v>606</v>
      </c>
      <c r="N623" s="1329"/>
      <c r="O623" s="132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8"/>
      <c r="G624" s="1328"/>
      <c r="H624" s="1328"/>
      <c r="I624" s="1328"/>
      <c r="J624" s="1328"/>
      <c r="K624" s="1328"/>
      <c r="L624" s="1112" t="s">
        <v>1496</v>
      </c>
      <c r="M624" s="1329">
        <v>607</v>
      </c>
      <c r="N624" s="1329"/>
      <c r="O624" s="1328"/>
    </row>
    <row r="625" spans="1:15" x14ac:dyDescent="0.25">
      <c r="A625" s="1144" t="s">
        <v>1497</v>
      </c>
      <c r="B625" s="1112" t="str">
        <f t="shared" ca="1" si="61"/>
        <v>L69</v>
      </c>
      <c r="C625" s="1112" t="str">
        <f t="shared" ca="1" si="57"/>
        <v>L</v>
      </c>
      <c r="D625" s="1112" t="s">
        <v>1464</v>
      </c>
      <c r="E625" s="1112" t="s">
        <v>1628</v>
      </c>
      <c r="F625" s="1328"/>
      <c r="G625" s="1328"/>
      <c r="H625" s="1328"/>
      <c r="I625" s="1328"/>
      <c r="J625" s="1328"/>
      <c r="K625" s="1328"/>
      <c r="L625" s="1112" t="s">
        <v>1497</v>
      </c>
      <c r="M625" s="1329">
        <v>608</v>
      </c>
      <c r="N625" s="1329"/>
      <c r="O625" s="132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8"/>
      <c r="G626" s="1328"/>
      <c r="H626" s="1328"/>
      <c r="I626" s="1328"/>
      <c r="J626" s="1328"/>
      <c r="K626" s="1328"/>
      <c r="L626" s="1112" t="s">
        <v>1620</v>
      </c>
      <c r="M626" s="1329">
        <v>609</v>
      </c>
      <c r="N626" s="1329"/>
      <c r="O626" s="132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8"/>
      <c r="G627" s="1328"/>
      <c r="H627" s="1328"/>
      <c r="I627" s="1328"/>
      <c r="J627" s="1328"/>
      <c r="K627" s="1328"/>
      <c r="L627" s="1112" t="s">
        <v>1603</v>
      </c>
      <c r="M627" s="1329">
        <v>610</v>
      </c>
      <c r="N627" s="1329"/>
      <c r="O627" s="132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8"/>
      <c r="G628" s="1328"/>
      <c r="H628" s="1328"/>
      <c r="I628" s="1328"/>
      <c r="J628" s="1328"/>
      <c r="K628" s="1328"/>
      <c r="L628" s="1112" t="s">
        <v>1491</v>
      </c>
      <c r="M628" s="1329">
        <v>611</v>
      </c>
      <c r="N628" s="1329"/>
      <c r="O628" s="132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8"/>
      <c r="G629" s="1328"/>
      <c r="H629" s="1328"/>
      <c r="I629" s="1328"/>
      <c r="J629" s="1328"/>
      <c r="K629" s="1328"/>
      <c r="L629" s="1112" t="s">
        <v>1488</v>
      </c>
      <c r="M629" s="1329">
        <v>612</v>
      </c>
      <c r="N629" s="1329"/>
      <c r="O629" s="132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8"/>
      <c r="G630" s="1328"/>
      <c r="H630" s="1328"/>
      <c r="I630" s="1328"/>
      <c r="J630" s="1328"/>
      <c r="K630" s="1328"/>
      <c r="L630" s="1112" t="s">
        <v>1489</v>
      </c>
      <c r="M630" s="1329">
        <v>613</v>
      </c>
      <c r="N630" s="1329"/>
      <c r="O630" s="1328">
        <v>90</v>
      </c>
    </row>
    <row r="631" spans="1:15" x14ac:dyDescent="0.25">
      <c r="A631" s="1147" t="s">
        <v>1505</v>
      </c>
      <c r="B631" s="1112" t="str">
        <f t="shared" ca="1" si="62"/>
        <v>L77</v>
      </c>
      <c r="C631" s="1112" t="str">
        <f t="shared" ca="1" si="63"/>
        <v>L78</v>
      </c>
      <c r="D631" s="1112" t="s">
        <v>1457</v>
      </c>
      <c r="E631" s="1112" t="s">
        <v>1628</v>
      </c>
      <c r="F631" s="1328"/>
      <c r="G631" s="1328"/>
      <c r="H631" s="1328"/>
      <c r="I631" s="1328"/>
      <c r="J631" s="1328"/>
      <c r="K631" s="1328"/>
      <c r="L631" s="1112" t="s">
        <v>1505</v>
      </c>
      <c r="M631" s="1329">
        <v>614</v>
      </c>
      <c r="N631" s="1329"/>
      <c r="O631" s="1328" t="s">
        <v>1764</v>
      </c>
    </row>
    <row r="632" spans="1:15" x14ac:dyDescent="0.25">
      <c r="A632" s="1147" t="s">
        <v>1490</v>
      </c>
      <c r="B632" s="1112" t="str">
        <f t="shared" ca="1" si="62"/>
        <v>N77</v>
      </c>
      <c r="C632" s="1112" t="str">
        <f t="shared" ca="1" si="63"/>
        <v>N78</v>
      </c>
      <c r="D632" s="1112" t="s">
        <v>1457</v>
      </c>
      <c r="E632" s="1112" t="s">
        <v>1628</v>
      </c>
      <c r="F632" s="1328"/>
      <c r="G632" s="1328"/>
      <c r="H632" s="1328"/>
      <c r="I632" s="1328"/>
      <c r="J632" s="1328"/>
      <c r="K632" s="1328"/>
      <c r="L632" s="1112" t="s">
        <v>1490</v>
      </c>
      <c r="M632" s="1329">
        <v>615</v>
      </c>
      <c r="N632" s="1329"/>
      <c r="O632" s="1328"/>
    </row>
    <row r="633" spans="1:15" x14ac:dyDescent="0.25">
      <c r="A633" s="1147" t="s">
        <v>1598</v>
      </c>
      <c r="B633" s="1112" t="str">
        <f t="shared" ca="1" si="62"/>
        <v>P77</v>
      </c>
      <c r="C633" s="1112" t="str">
        <f t="shared" ca="1" si="63"/>
        <v>P78</v>
      </c>
      <c r="D633" s="1112" t="s">
        <v>1457</v>
      </c>
      <c r="E633" s="1112" t="s">
        <v>1628</v>
      </c>
      <c r="F633" s="1328"/>
      <c r="G633" s="1328"/>
      <c r="H633" s="1328"/>
      <c r="I633" s="1328"/>
      <c r="J633" s="1328"/>
      <c r="K633" s="1328"/>
      <c r="L633" s="1112" t="s">
        <v>1598</v>
      </c>
      <c r="M633" s="1329">
        <v>616</v>
      </c>
      <c r="N633" s="1329"/>
      <c r="O633" s="1328"/>
    </row>
    <row r="634" spans="1:15" x14ac:dyDescent="0.25">
      <c r="A634" s="1147" t="s">
        <v>1599</v>
      </c>
      <c r="B634" s="1112" t="str">
        <f t="shared" ca="1" si="62"/>
        <v>R77</v>
      </c>
      <c r="C634" s="1112" t="str">
        <f t="shared" ca="1" si="63"/>
        <v>R78</v>
      </c>
      <c r="D634" s="1112" t="s">
        <v>1457</v>
      </c>
      <c r="E634" s="1112" t="s">
        <v>1628</v>
      </c>
      <c r="F634" s="1328"/>
      <c r="G634" s="1328"/>
      <c r="H634" s="1328"/>
      <c r="I634" s="1328"/>
      <c r="J634" s="1328"/>
      <c r="K634" s="1328"/>
      <c r="L634" s="1112" t="s">
        <v>1599</v>
      </c>
      <c r="M634" s="1329">
        <v>617</v>
      </c>
      <c r="N634" s="1329"/>
      <c r="O634" s="1328"/>
    </row>
    <row r="635" spans="1:15" x14ac:dyDescent="0.25">
      <c r="A635" s="1147" t="s">
        <v>1600</v>
      </c>
      <c r="B635" s="1112" t="str">
        <f t="shared" ca="1" si="62"/>
        <v>T77</v>
      </c>
      <c r="C635" s="1112" t="str">
        <f t="shared" ca="1" si="63"/>
        <v>T78</v>
      </c>
      <c r="D635" s="1112" t="s">
        <v>1457</v>
      </c>
      <c r="E635" s="1112" t="s">
        <v>1628</v>
      </c>
      <c r="F635" s="1328"/>
      <c r="G635" s="1328"/>
      <c r="H635" s="1328"/>
      <c r="I635" s="1328"/>
      <c r="J635" s="1328"/>
      <c r="K635" s="1328"/>
      <c r="L635" s="1112" t="s">
        <v>1600</v>
      </c>
      <c r="M635" s="1329">
        <v>618</v>
      </c>
      <c r="N635" s="1329"/>
      <c r="O635" s="132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8"/>
      <c r="G636" s="1328"/>
      <c r="H636" s="1328"/>
      <c r="I636" s="1328"/>
      <c r="J636" s="1328"/>
      <c r="K636" s="1328"/>
      <c r="L636" s="1112" t="s">
        <v>1493</v>
      </c>
      <c r="M636" s="1329">
        <v>619</v>
      </c>
      <c r="N636" s="1329"/>
      <c r="O636" s="132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8"/>
      <c r="G637" s="1328"/>
      <c r="H637" s="1328"/>
      <c r="I637" s="1328"/>
      <c r="J637" s="1328"/>
      <c r="K637" s="1328"/>
      <c r="L637" s="1112" t="s">
        <v>1494</v>
      </c>
      <c r="M637" s="1329">
        <v>620</v>
      </c>
      <c r="N637" s="1329"/>
      <c r="O637" s="1328"/>
    </row>
    <row r="638" spans="1:15" x14ac:dyDescent="0.25">
      <c r="A638" s="1147" t="s">
        <v>1607</v>
      </c>
      <c r="B638" s="1112" t="str">
        <f ca="1">IFERROR(_xlfn.CONCAT("C",MATCH(A638,INDIRECT("'"&amp;E638&amp;"'!C"&amp;$O$628&amp;":C"&amp;$O$630),0)+$O$628-1),"")</f>
        <v>C87</v>
      </c>
      <c r="C638" s="1112" t="str">
        <f ca="1">IFERROR(_xlfn.CONCAT("E",MATCH(A638,INDIRECT("'"&amp;E638&amp;"'!C"&amp;$O$628&amp;":C"&amp;$O$630),0)+$O$628-1),"")</f>
        <v>E87</v>
      </c>
      <c r="D638" s="1112" t="s">
        <v>1457</v>
      </c>
      <c r="E638" s="1112" t="s">
        <v>1628</v>
      </c>
      <c r="F638" s="1328"/>
      <c r="G638" s="1328"/>
      <c r="H638" s="1328"/>
      <c r="I638" s="1328"/>
      <c r="J638" s="1328"/>
      <c r="K638" s="1328"/>
      <c r="L638" s="1112" t="s">
        <v>1607</v>
      </c>
      <c r="M638" s="1329">
        <v>621</v>
      </c>
      <c r="N638" s="1329"/>
      <c r="O638" s="132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8"/>
      <c r="G639" s="1328"/>
      <c r="H639" s="1328"/>
      <c r="I639" s="1328"/>
      <c r="J639" s="1328"/>
      <c r="K639" s="1328"/>
      <c r="L639" s="1112" t="s">
        <v>1604</v>
      </c>
      <c r="M639" s="1329">
        <v>622</v>
      </c>
      <c r="N639" s="1329"/>
      <c r="O639" s="132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8"/>
      <c r="G640" s="1328"/>
      <c r="H640" s="1328"/>
      <c r="I640" s="1328"/>
      <c r="J640" s="1328"/>
      <c r="K640" s="1328"/>
      <c r="L640" s="1112" t="s">
        <v>1618</v>
      </c>
      <c r="M640" s="1329">
        <v>623</v>
      </c>
      <c r="N640" s="1329"/>
      <c r="O640" s="132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8"/>
      <c r="G641" s="1328"/>
      <c r="H641" s="1328"/>
      <c r="I641" s="1328"/>
      <c r="J641" s="1328"/>
      <c r="K641" s="1328"/>
      <c r="L641" s="1112" t="s">
        <v>1495</v>
      </c>
      <c r="M641" s="1329">
        <v>624</v>
      </c>
      <c r="N641" s="1329"/>
      <c r="O641" s="132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8"/>
      <c r="G642" s="1328"/>
      <c r="H642" s="1328"/>
      <c r="I642" s="1328"/>
      <c r="J642" s="1328"/>
      <c r="K642" s="1328"/>
      <c r="L642" s="1112" t="s">
        <v>1496</v>
      </c>
      <c r="M642" s="1329">
        <v>625</v>
      </c>
      <c r="N642" s="1329"/>
      <c r="O642" s="1328"/>
    </row>
    <row r="643" spans="1:15" x14ac:dyDescent="0.25">
      <c r="A643" s="1147" t="s">
        <v>1497</v>
      </c>
      <c r="B643" s="1112" t="str">
        <f t="shared" ca="1" si="64"/>
        <v>L81</v>
      </c>
      <c r="C643" s="1112" t="str">
        <f t="shared" ca="1" si="65"/>
        <v>L</v>
      </c>
      <c r="D643" s="1112" t="s">
        <v>1464</v>
      </c>
      <c r="E643" s="1112" t="s">
        <v>1628</v>
      </c>
      <c r="F643" s="1328"/>
      <c r="G643" s="1328"/>
      <c r="H643" s="1328"/>
      <c r="I643" s="1328"/>
      <c r="J643" s="1328"/>
      <c r="K643" s="1328"/>
      <c r="L643" s="1112" t="s">
        <v>1497</v>
      </c>
      <c r="M643" s="1329">
        <v>626</v>
      </c>
      <c r="N643" s="1329"/>
      <c r="O643" s="132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8"/>
      <c r="G644" s="1328"/>
      <c r="H644" s="1328"/>
      <c r="I644" s="1328"/>
      <c r="J644" s="1328"/>
      <c r="K644" s="1328"/>
      <c r="L644" s="1112" t="s">
        <v>1495</v>
      </c>
      <c r="M644" s="1329">
        <v>627</v>
      </c>
      <c r="N644" s="1329"/>
      <c r="O644" s="132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8"/>
      <c r="G645" s="1328"/>
      <c r="H645" s="1328"/>
      <c r="I645" s="1328"/>
      <c r="J645" s="1328"/>
      <c r="K645" s="1328"/>
      <c r="L645" s="1112" t="s">
        <v>1496</v>
      </c>
      <c r="M645" s="1329">
        <v>628</v>
      </c>
      <c r="N645" s="1329"/>
      <c r="O645" s="1328"/>
    </row>
    <row r="646" spans="1:15" x14ac:dyDescent="0.25">
      <c r="A646" s="1147" t="s">
        <v>1497</v>
      </c>
      <c r="B646" s="1112" t="str">
        <f t="shared" ca="1" si="66"/>
        <v>L82</v>
      </c>
      <c r="C646" s="1112" t="str">
        <f t="shared" ca="1" si="65"/>
        <v>L</v>
      </c>
      <c r="D646" s="1112" t="s">
        <v>1464</v>
      </c>
      <c r="E646" s="1112" t="s">
        <v>1628</v>
      </c>
      <c r="F646" s="1328"/>
      <c r="G646" s="1328"/>
      <c r="H646" s="1328"/>
      <c r="I646" s="1328"/>
      <c r="J646" s="1328"/>
      <c r="K646" s="1328"/>
      <c r="L646" s="1112" t="s">
        <v>1497</v>
      </c>
      <c r="M646" s="1329">
        <v>629</v>
      </c>
      <c r="N646" s="1329"/>
      <c r="O646" s="132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8"/>
      <c r="G647" s="1328"/>
      <c r="H647" s="1328"/>
      <c r="I647" s="1328"/>
      <c r="J647" s="1328"/>
      <c r="K647" s="1328"/>
      <c r="L647" s="1112" t="s">
        <v>1495</v>
      </c>
      <c r="M647" s="1329">
        <v>630</v>
      </c>
      <c r="N647" s="1329"/>
      <c r="O647" s="132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8"/>
      <c r="G648" s="1328"/>
      <c r="H648" s="1328"/>
      <c r="I648" s="1328"/>
      <c r="J648" s="1328"/>
      <c r="K648" s="1328"/>
      <c r="L648" s="1112" t="s">
        <v>1496</v>
      </c>
      <c r="M648" s="1329">
        <v>631</v>
      </c>
      <c r="N648" s="1329"/>
      <c r="O648" s="1328"/>
    </row>
    <row r="649" spans="1:15" x14ac:dyDescent="0.25">
      <c r="A649" s="1147" t="s">
        <v>1497</v>
      </c>
      <c r="B649" s="1112" t="str">
        <f t="shared" ca="1" si="67"/>
        <v>L83</v>
      </c>
      <c r="C649" s="1112" t="str">
        <f t="shared" ca="1" si="65"/>
        <v>L</v>
      </c>
      <c r="D649" s="1112" t="s">
        <v>1464</v>
      </c>
      <c r="E649" s="1112" t="s">
        <v>1628</v>
      </c>
      <c r="F649" s="1328"/>
      <c r="G649" s="1328"/>
      <c r="H649" s="1328"/>
      <c r="I649" s="1328"/>
      <c r="J649" s="1328"/>
      <c r="K649" s="1328"/>
      <c r="L649" s="1112" t="s">
        <v>1497</v>
      </c>
      <c r="M649" s="1329">
        <v>632</v>
      </c>
      <c r="N649" s="1329"/>
      <c r="O649" s="132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8"/>
      <c r="G650" s="1328"/>
      <c r="H650" s="1328"/>
      <c r="I650" s="1328"/>
      <c r="J650" s="1328"/>
      <c r="K650" s="1328"/>
      <c r="L650" s="1112" t="s">
        <v>1495</v>
      </c>
      <c r="M650" s="1329">
        <v>633</v>
      </c>
      <c r="N650" s="1329"/>
      <c r="O650" s="132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8"/>
      <c r="G651" s="1328"/>
      <c r="H651" s="1328"/>
      <c r="I651" s="1328"/>
      <c r="J651" s="1328"/>
      <c r="K651" s="1328"/>
      <c r="L651" s="1112" t="s">
        <v>1496</v>
      </c>
      <c r="M651" s="1329">
        <v>634</v>
      </c>
      <c r="N651" s="1329"/>
      <c r="O651" s="1328"/>
    </row>
    <row r="652" spans="1:15" x14ac:dyDescent="0.25">
      <c r="A652" s="1147" t="s">
        <v>1497</v>
      </c>
      <c r="B652" s="1112" t="str">
        <f t="shared" ca="1" si="68"/>
        <v>L84</v>
      </c>
      <c r="C652" s="1112" t="str">
        <f t="shared" ca="1" si="65"/>
        <v>L</v>
      </c>
      <c r="D652" s="1112" t="s">
        <v>1464</v>
      </c>
      <c r="E652" s="1112" t="s">
        <v>1628</v>
      </c>
      <c r="F652" s="1328"/>
      <c r="G652" s="1328"/>
      <c r="H652" s="1328"/>
      <c r="I652" s="1328"/>
      <c r="J652" s="1328"/>
      <c r="K652" s="1328"/>
      <c r="L652" s="1112" t="s">
        <v>1497</v>
      </c>
      <c r="M652" s="1329">
        <v>635</v>
      </c>
      <c r="N652" s="1329"/>
      <c r="O652" s="132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8"/>
      <c r="G653" s="1328"/>
      <c r="H653" s="1328"/>
      <c r="I653" s="1328"/>
      <c r="J653" s="1328"/>
      <c r="K653" s="1328"/>
      <c r="L653" s="1112" t="s">
        <v>1495</v>
      </c>
      <c r="M653" s="1329">
        <v>636</v>
      </c>
      <c r="N653" s="1329"/>
      <c r="O653" s="132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8"/>
      <c r="G654" s="1328"/>
      <c r="H654" s="1328"/>
      <c r="I654" s="1328"/>
      <c r="J654" s="1328"/>
      <c r="K654" s="1328"/>
      <c r="L654" s="1112" t="s">
        <v>1496</v>
      </c>
      <c r="M654" s="1329">
        <v>637</v>
      </c>
      <c r="N654" s="1329"/>
      <c r="O654" s="1328"/>
    </row>
    <row r="655" spans="1:15" x14ac:dyDescent="0.25">
      <c r="A655" s="1147" t="s">
        <v>1497</v>
      </c>
      <c r="B655" s="1112" t="str">
        <f t="shared" ca="1" si="69"/>
        <v>L85</v>
      </c>
      <c r="C655" s="1112" t="str">
        <f t="shared" ca="1" si="65"/>
        <v>L</v>
      </c>
      <c r="D655" s="1112" t="s">
        <v>1464</v>
      </c>
      <c r="E655" s="1112" t="s">
        <v>1628</v>
      </c>
      <c r="F655" s="1328"/>
      <c r="G655" s="1328"/>
      <c r="H655" s="1328"/>
      <c r="I655" s="1328"/>
      <c r="J655" s="1328"/>
      <c r="K655" s="1328"/>
      <c r="L655" s="1112" t="s">
        <v>1497</v>
      </c>
      <c r="M655" s="1329">
        <v>638</v>
      </c>
      <c r="N655" s="1329"/>
      <c r="O655" s="132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8"/>
      <c r="G656" s="1328"/>
      <c r="H656" s="1328"/>
      <c r="I656" s="1328"/>
      <c r="J656" s="1328"/>
      <c r="K656" s="1328"/>
      <c r="L656" s="1112" t="s">
        <v>1620</v>
      </c>
      <c r="M656" s="1329">
        <v>639</v>
      </c>
      <c r="N656" s="1329"/>
      <c r="O656" s="132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8"/>
      <c r="G657" s="1328"/>
      <c r="H657" s="1328"/>
      <c r="I657" s="1328"/>
      <c r="J657" s="1328"/>
      <c r="K657" s="1328"/>
      <c r="L657" s="1112" t="s">
        <v>1603</v>
      </c>
      <c r="M657" s="1329">
        <v>640</v>
      </c>
      <c r="N657" s="1329"/>
      <c r="O657" s="132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8"/>
      <c r="G658" s="1328"/>
      <c r="H658" s="1328"/>
      <c r="I658" s="1328"/>
      <c r="J658" s="1328"/>
      <c r="K658" s="1328"/>
      <c r="L658" s="1112" t="s">
        <v>1491</v>
      </c>
      <c r="M658" s="1329">
        <v>641</v>
      </c>
      <c r="N658" s="1329"/>
      <c r="O658" s="132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8"/>
      <c r="G659" s="1328"/>
      <c r="H659" s="1328"/>
      <c r="I659" s="1328"/>
      <c r="J659" s="1328"/>
      <c r="K659" s="1328"/>
      <c r="L659" s="1112" t="s">
        <v>1488</v>
      </c>
      <c r="M659" s="1329">
        <v>642</v>
      </c>
      <c r="N659" s="1329"/>
      <c r="O659" s="1328" t="s">
        <v>743</v>
      </c>
    </row>
    <row r="660" spans="1:15" x14ac:dyDescent="0.25">
      <c r="A660" s="1144" t="s">
        <v>1489</v>
      </c>
      <c r="B660" s="1112" t="str">
        <f t="shared" ca="1" si="70"/>
        <v>J93</v>
      </c>
      <c r="C660" s="1112" t="str">
        <f t="shared" ca="1" si="71"/>
        <v>J94</v>
      </c>
      <c r="D660" s="1112" t="s">
        <v>1457</v>
      </c>
      <c r="E660" s="1112" t="s">
        <v>1628</v>
      </c>
      <c r="F660" s="1328"/>
      <c r="G660" s="1328"/>
      <c r="H660" s="1328"/>
      <c r="I660" s="1328"/>
      <c r="J660" s="1328"/>
      <c r="K660" s="1328"/>
      <c r="L660" s="1112" t="s">
        <v>1489</v>
      </c>
      <c r="M660" s="1329">
        <v>643</v>
      </c>
      <c r="N660" s="1329"/>
      <c r="O660" s="1328">
        <v>104</v>
      </c>
    </row>
    <row r="661" spans="1:15" x14ac:dyDescent="0.25">
      <c r="A661" s="1144" t="s">
        <v>1505</v>
      </c>
      <c r="B661" s="1112" t="str">
        <f t="shared" ca="1" si="70"/>
        <v>L93</v>
      </c>
      <c r="C661" s="1112" t="str">
        <f t="shared" ca="1" si="71"/>
        <v>L94</v>
      </c>
      <c r="D661" s="1112" t="s">
        <v>1457</v>
      </c>
      <c r="E661" s="1112" t="s">
        <v>1628</v>
      </c>
      <c r="F661" s="1328"/>
      <c r="G661" s="1328"/>
      <c r="H661" s="1328"/>
      <c r="I661" s="1328"/>
      <c r="J661" s="1328"/>
      <c r="K661" s="1328"/>
      <c r="L661" s="1112" t="s">
        <v>1505</v>
      </c>
      <c r="M661" s="1329">
        <v>644</v>
      </c>
      <c r="N661" s="1329"/>
      <c r="O661" s="1328" t="s">
        <v>1765</v>
      </c>
    </row>
    <row r="662" spans="1:15" x14ac:dyDescent="0.25">
      <c r="A662" s="1144" t="s">
        <v>1490</v>
      </c>
      <c r="B662" s="1112" t="str">
        <f t="shared" ca="1" si="70"/>
        <v>N93</v>
      </c>
      <c r="C662" s="1112" t="str">
        <f t="shared" ca="1" si="71"/>
        <v>N94</v>
      </c>
      <c r="D662" s="1112" t="s">
        <v>1457</v>
      </c>
      <c r="E662" s="1112" t="s">
        <v>1628</v>
      </c>
      <c r="F662" s="1328"/>
      <c r="G662" s="1328"/>
      <c r="H662" s="1328"/>
      <c r="I662" s="1328"/>
      <c r="J662" s="1328"/>
      <c r="K662" s="1328"/>
      <c r="L662" s="1112" t="s">
        <v>1490</v>
      </c>
      <c r="M662" s="1329">
        <v>645</v>
      </c>
      <c r="N662" s="1329"/>
      <c r="O662" s="1328"/>
    </row>
    <row r="663" spans="1:15" x14ac:dyDescent="0.25">
      <c r="A663" s="1144" t="s">
        <v>1598</v>
      </c>
      <c r="B663" s="1112" t="str">
        <f t="shared" ca="1" si="70"/>
        <v>P93</v>
      </c>
      <c r="C663" s="1112" t="str">
        <f t="shared" ca="1" si="71"/>
        <v>P94</v>
      </c>
      <c r="D663" s="1112" t="s">
        <v>1457</v>
      </c>
      <c r="E663" s="1112" t="s">
        <v>1628</v>
      </c>
      <c r="F663" s="1328"/>
      <c r="G663" s="1328"/>
      <c r="H663" s="1328"/>
      <c r="I663" s="1328"/>
      <c r="J663" s="1328"/>
      <c r="K663" s="1328"/>
      <c r="L663" s="1112" t="s">
        <v>1598</v>
      </c>
      <c r="M663" s="1329">
        <v>646</v>
      </c>
      <c r="N663" s="1329"/>
      <c r="O663" s="1328"/>
    </row>
    <row r="664" spans="1:15" x14ac:dyDescent="0.25">
      <c r="A664" s="1144" t="s">
        <v>1599</v>
      </c>
      <c r="B664" s="1112" t="str">
        <f t="shared" ca="1" si="70"/>
        <v>R93</v>
      </c>
      <c r="C664" s="1112" t="str">
        <f t="shared" ca="1" si="71"/>
        <v>R94</v>
      </c>
      <c r="D664" s="1112" t="s">
        <v>1457</v>
      </c>
      <c r="E664" s="1112" t="s">
        <v>1628</v>
      </c>
      <c r="F664" s="1328"/>
      <c r="G664" s="1328"/>
      <c r="H664" s="1328"/>
      <c r="I664" s="1328"/>
      <c r="J664" s="1328"/>
      <c r="K664" s="1328"/>
      <c r="L664" s="1112" t="s">
        <v>1599</v>
      </c>
      <c r="M664" s="1329">
        <v>647</v>
      </c>
      <c r="N664" s="1329"/>
      <c r="O664" s="1328"/>
    </row>
    <row r="665" spans="1:15" x14ac:dyDescent="0.25">
      <c r="A665" s="1144" t="s">
        <v>1600</v>
      </c>
      <c r="B665" s="1112" t="str">
        <f t="shared" ca="1" si="70"/>
        <v>T93</v>
      </c>
      <c r="C665" s="1112" t="str">
        <f t="shared" ca="1" si="71"/>
        <v>T94</v>
      </c>
      <c r="D665" s="1112" t="s">
        <v>1457</v>
      </c>
      <c r="E665" s="1112" t="s">
        <v>1628</v>
      </c>
      <c r="F665" s="1328"/>
      <c r="G665" s="1328"/>
      <c r="H665" s="1328"/>
      <c r="I665" s="1328"/>
      <c r="J665" s="1328"/>
      <c r="K665" s="1328"/>
      <c r="L665" s="1112" t="s">
        <v>1600</v>
      </c>
      <c r="M665" s="1329">
        <v>648</v>
      </c>
      <c r="N665" s="1329"/>
      <c r="O665" s="132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8"/>
      <c r="G666" s="1328"/>
      <c r="H666" s="1328"/>
      <c r="I666" s="1328"/>
      <c r="J666" s="1328"/>
      <c r="K666" s="1328"/>
      <c r="L666" s="1112" t="s">
        <v>1493</v>
      </c>
      <c r="M666" s="1329">
        <v>649</v>
      </c>
      <c r="N666" s="1329"/>
      <c r="O666" s="132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8"/>
      <c r="G667" s="1328"/>
      <c r="H667" s="1328"/>
      <c r="I667" s="1328"/>
      <c r="J667" s="1328"/>
      <c r="K667" s="1328"/>
      <c r="L667" s="1112" t="s">
        <v>1494</v>
      </c>
      <c r="M667" s="1329">
        <v>650</v>
      </c>
      <c r="N667" s="1329"/>
      <c r="O667" s="1328"/>
    </row>
    <row r="668" spans="1:15" x14ac:dyDescent="0.25">
      <c r="A668" s="1144" t="s">
        <v>1607</v>
      </c>
      <c r="B668" s="1112" t="str">
        <f ca="1">IFERROR(_xlfn.CONCAT("C",MATCH(A668,INDIRECT("'"&amp;E668&amp;"'!C"&amp;$O$658&amp;":C"&amp;$O$660),0)+$O$658-1),"")</f>
        <v>C101</v>
      </c>
      <c r="C668" s="1112" t="str">
        <f ca="1">IFERROR(_xlfn.CONCAT("E",MATCH(A668,INDIRECT("'"&amp;E668&amp;"'!C"&amp;$O$658&amp;":C"&amp;$O$660),0)+$O$658-1),"")</f>
        <v>E101</v>
      </c>
      <c r="D668" s="1112" t="s">
        <v>1457</v>
      </c>
      <c r="E668" s="1112" t="s">
        <v>1628</v>
      </c>
      <c r="F668" s="1328"/>
      <c r="G668" s="1328"/>
      <c r="H668" s="1328"/>
      <c r="I668" s="1328"/>
      <c r="J668" s="1328"/>
      <c r="K668" s="1328"/>
      <c r="L668" s="1112" t="s">
        <v>1607</v>
      </c>
      <c r="M668" s="1329">
        <v>651</v>
      </c>
      <c r="N668" s="1329"/>
      <c r="O668" s="132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8"/>
      <c r="G669" s="1328"/>
      <c r="H669" s="1328"/>
      <c r="I669" s="1328"/>
      <c r="J669" s="1328"/>
      <c r="K669" s="1328"/>
      <c r="L669" s="1112" t="s">
        <v>1604</v>
      </c>
      <c r="M669" s="1329">
        <v>652</v>
      </c>
      <c r="N669" s="1329"/>
      <c r="O669" s="132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8"/>
      <c r="G670" s="1328"/>
      <c r="H670" s="1328"/>
      <c r="I670" s="1328"/>
      <c r="J670" s="1328"/>
      <c r="K670" s="1328"/>
      <c r="L670" s="1112" t="s">
        <v>1618</v>
      </c>
      <c r="M670" s="1329">
        <v>653</v>
      </c>
      <c r="N670" s="1329"/>
      <c r="O670" s="132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8"/>
      <c r="G671" s="1328"/>
      <c r="H671" s="1328"/>
      <c r="I671" s="1328"/>
      <c r="J671" s="1328"/>
      <c r="K671" s="1328"/>
      <c r="L671" s="1112" t="s">
        <v>1495</v>
      </c>
      <c r="M671" s="1329">
        <v>654</v>
      </c>
      <c r="N671" s="1329"/>
      <c r="O671" s="132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8"/>
      <c r="G672" s="1328"/>
      <c r="H672" s="1328"/>
      <c r="I672" s="1328"/>
      <c r="J672" s="1328"/>
      <c r="K672" s="1328"/>
      <c r="L672" s="1112" t="s">
        <v>1496</v>
      </c>
      <c r="M672" s="1329">
        <v>655</v>
      </c>
      <c r="N672" s="1329"/>
      <c r="O672" s="132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8"/>
      <c r="G673" s="1328"/>
      <c r="H673" s="1328"/>
      <c r="I673" s="1328"/>
      <c r="J673" s="1328"/>
      <c r="K673" s="1328"/>
      <c r="L673" s="1112" t="s">
        <v>1497</v>
      </c>
      <c r="M673" s="1329">
        <v>656</v>
      </c>
      <c r="N673" s="1329"/>
      <c r="O673" s="132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8"/>
      <c r="G674" s="1328"/>
      <c r="H674" s="1328"/>
      <c r="I674" s="1328"/>
      <c r="J674" s="1328"/>
      <c r="K674" s="1328"/>
      <c r="L674" s="1112" t="s">
        <v>1603</v>
      </c>
      <c r="M674" s="1329">
        <v>657</v>
      </c>
      <c r="N674" s="1329"/>
      <c r="O674" s="132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8"/>
      <c r="G675" s="1328"/>
      <c r="H675" s="1328"/>
      <c r="I675" s="1328"/>
      <c r="J675" s="1328"/>
      <c r="K675" s="1328"/>
      <c r="L675" s="1112" t="s">
        <v>1491</v>
      </c>
      <c r="M675" s="1329">
        <v>658</v>
      </c>
      <c r="N675" s="1329"/>
      <c r="O675" s="132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8"/>
      <c r="G676" s="1328"/>
      <c r="H676" s="1328"/>
      <c r="I676" s="1328"/>
      <c r="J676" s="1328"/>
      <c r="K676" s="1328"/>
      <c r="L676" s="1112" t="s">
        <v>1488</v>
      </c>
      <c r="M676" s="1329">
        <v>659</v>
      </c>
      <c r="N676" s="1329"/>
      <c r="O676" s="1328" t="s">
        <v>743</v>
      </c>
    </row>
    <row r="677" spans="1:15" x14ac:dyDescent="0.25">
      <c r="A677" s="1147" t="s">
        <v>1489</v>
      </c>
      <c r="B677" s="1112" t="str">
        <f t="shared" ca="1" si="72"/>
        <v>J107</v>
      </c>
      <c r="C677" s="1112" t="str">
        <f t="shared" ca="1" si="73"/>
        <v>J108</v>
      </c>
      <c r="D677" s="1112" t="s">
        <v>1457</v>
      </c>
      <c r="E677" s="1112" t="s">
        <v>1628</v>
      </c>
      <c r="F677" s="1328"/>
      <c r="G677" s="1328"/>
      <c r="H677" s="1328"/>
      <c r="I677" s="1328"/>
      <c r="J677" s="1328"/>
      <c r="K677" s="1328"/>
      <c r="L677" s="1112" t="s">
        <v>1489</v>
      </c>
      <c r="M677" s="1329">
        <v>660</v>
      </c>
      <c r="N677" s="1329"/>
      <c r="O677" s="1328">
        <v>118</v>
      </c>
    </row>
    <row r="678" spans="1:15" x14ac:dyDescent="0.25">
      <c r="A678" s="1147" t="s">
        <v>1505</v>
      </c>
      <c r="B678" s="1112" t="str">
        <f t="shared" ca="1" si="72"/>
        <v>L107</v>
      </c>
      <c r="C678" s="1112" t="str">
        <f t="shared" ca="1" si="73"/>
        <v>L108</v>
      </c>
      <c r="D678" s="1112" t="s">
        <v>1457</v>
      </c>
      <c r="E678" s="1112" t="s">
        <v>1628</v>
      </c>
      <c r="F678" s="1328"/>
      <c r="G678" s="1328"/>
      <c r="H678" s="1328"/>
      <c r="I678" s="1328"/>
      <c r="J678" s="1328"/>
      <c r="K678" s="1328"/>
      <c r="L678" s="1112" t="s">
        <v>1505</v>
      </c>
      <c r="M678" s="1329">
        <v>661</v>
      </c>
      <c r="N678" s="1329"/>
      <c r="O678" s="1328" t="s">
        <v>1766</v>
      </c>
    </row>
    <row r="679" spans="1:15" x14ac:dyDescent="0.25">
      <c r="A679" s="1147" t="s">
        <v>1490</v>
      </c>
      <c r="B679" s="1112" t="str">
        <f t="shared" ca="1" si="72"/>
        <v>N107</v>
      </c>
      <c r="C679" s="1112" t="str">
        <f t="shared" ca="1" si="73"/>
        <v>N108</v>
      </c>
      <c r="D679" s="1112" t="s">
        <v>1457</v>
      </c>
      <c r="E679" s="1112" t="s">
        <v>1628</v>
      </c>
      <c r="F679" s="1328"/>
      <c r="G679" s="1328"/>
      <c r="H679" s="1328"/>
      <c r="I679" s="1328"/>
      <c r="J679" s="1328"/>
      <c r="K679" s="1328"/>
      <c r="L679" s="1112" t="s">
        <v>1490</v>
      </c>
      <c r="M679" s="1329">
        <v>662</v>
      </c>
      <c r="N679" s="1329"/>
      <c r="O679" s="1328"/>
    </row>
    <row r="680" spans="1:15" x14ac:dyDescent="0.25">
      <c r="A680" s="1147" t="s">
        <v>1598</v>
      </c>
      <c r="B680" s="1112" t="str">
        <f t="shared" ca="1" si="72"/>
        <v>P107</v>
      </c>
      <c r="C680" s="1112" t="str">
        <f t="shared" ca="1" si="73"/>
        <v>P108</v>
      </c>
      <c r="D680" s="1112" t="s">
        <v>1457</v>
      </c>
      <c r="E680" s="1112" t="s">
        <v>1628</v>
      </c>
      <c r="F680" s="1328"/>
      <c r="G680" s="1328"/>
      <c r="H680" s="1328"/>
      <c r="I680" s="1328"/>
      <c r="J680" s="1328"/>
      <c r="K680" s="1328"/>
      <c r="L680" s="1112" t="s">
        <v>1598</v>
      </c>
      <c r="M680" s="1329">
        <v>663</v>
      </c>
      <c r="N680" s="1329"/>
      <c r="O680" s="1328"/>
    </row>
    <row r="681" spans="1:15" x14ac:dyDescent="0.25">
      <c r="A681" s="1147" t="s">
        <v>1599</v>
      </c>
      <c r="B681" s="1112" t="str">
        <f t="shared" ca="1" si="72"/>
        <v>R107</v>
      </c>
      <c r="C681" s="1112" t="str">
        <f t="shared" ca="1" si="73"/>
        <v>R108</v>
      </c>
      <c r="D681" s="1112" t="s">
        <v>1457</v>
      </c>
      <c r="E681" s="1112" t="s">
        <v>1628</v>
      </c>
      <c r="F681" s="1328"/>
      <c r="G681" s="1328"/>
      <c r="H681" s="1328"/>
      <c r="I681" s="1328"/>
      <c r="J681" s="1328"/>
      <c r="K681" s="1328"/>
      <c r="L681" s="1112" t="s">
        <v>1599</v>
      </c>
      <c r="M681" s="1329">
        <v>664</v>
      </c>
      <c r="N681" s="1329"/>
      <c r="O681" s="1328"/>
    </row>
    <row r="682" spans="1:15" x14ac:dyDescent="0.25">
      <c r="A682" s="1147" t="s">
        <v>1600</v>
      </c>
      <c r="B682" s="1112" t="str">
        <f t="shared" ca="1" si="72"/>
        <v>T107</v>
      </c>
      <c r="C682" s="1112" t="str">
        <f t="shared" ca="1" si="73"/>
        <v>T108</v>
      </c>
      <c r="D682" s="1112" t="s">
        <v>1457</v>
      </c>
      <c r="E682" s="1112" t="s">
        <v>1628</v>
      </c>
      <c r="F682" s="1328"/>
      <c r="G682" s="1328"/>
      <c r="H682" s="1328"/>
      <c r="I682" s="1328"/>
      <c r="J682" s="1328"/>
      <c r="K682" s="1328"/>
      <c r="L682" s="1112" t="s">
        <v>1600</v>
      </c>
      <c r="M682" s="1329">
        <v>665</v>
      </c>
      <c r="N682" s="1329"/>
      <c r="O682" s="132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8"/>
      <c r="G683" s="1328"/>
      <c r="H683" s="1328"/>
      <c r="I683" s="1328"/>
      <c r="J683" s="1328"/>
      <c r="K683" s="1328"/>
      <c r="L683" s="1112" t="s">
        <v>1493</v>
      </c>
      <c r="M683" s="1329">
        <v>666</v>
      </c>
      <c r="N683" s="1329"/>
      <c r="O683" s="132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8"/>
      <c r="G684" s="1328"/>
      <c r="H684" s="1328"/>
      <c r="I684" s="1328"/>
      <c r="J684" s="1328"/>
      <c r="K684" s="1328"/>
      <c r="L684" s="1112" t="s">
        <v>1494</v>
      </c>
      <c r="M684" s="1329">
        <v>667</v>
      </c>
      <c r="N684" s="1329"/>
      <c r="O684" s="1328"/>
    </row>
    <row r="685" spans="1:15" x14ac:dyDescent="0.25">
      <c r="A685" s="1147" t="s">
        <v>1607</v>
      </c>
      <c r="B685" s="1112" t="str">
        <f ca="1">IFERROR(_xlfn.CONCAT("C",MATCH(A685,INDIRECT("'"&amp;E685&amp;"'!C"&amp;$O$675&amp;":C"&amp;$O$677),0)+$O$675-1),"")</f>
        <v>C115</v>
      </c>
      <c r="C685" s="1112" t="str">
        <f ca="1">IFERROR(_xlfn.CONCAT("E",MATCH(A685,INDIRECT("'"&amp;E685&amp;"'!C"&amp;$O$675&amp;":C"&amp;$O$677),0)+$O$675-1),"")</f>
        <v>E115</v>
      </c>
      <c r="D685" s="1112" t="s">
        <v>1457</v>
      </c>
      <c r="E685" s="1112" t="s">
        <v>1628</v>
      </c>
      <c r="F685" s="1328"/>
      <c r="G685" s="1328"/>
      <c r="H685" s="1328"/>
      <c r="I685" s="1328"/>
      <c r="J685" s="1328"/>
      <c r="K685" s="1328"/>
      <c r="L685" s="1112" t="s">
        <v>1607</v>
      </c>
      <c r="M685" s="1329">
        <v>668</v>
      </c>
      <c r="N685" s="1329"/>
      <c r="O685" s="132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8"/>
      <c r="G686" s="1328"/>
      <c r="H686" s="1328"/>
      <c r="I686" s="1328"/>
      <c r="J686" s="1328"/>
      <c r="K686" s="1328"/>
      <c r="L686" s="1112" t="s">
        <v>1604</v>
      </c>
      <c r="M686" s="1329">
        <v>669</v>
      </c>
      <c r="N686" s="1329"/>
      <c r="O686" s="132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8"/>
      <c r="G687" s="1328"/>
      <c r="H687" s="1328"/>
      <c r="I687" s="1328"/>
      <c r="J687" s="1328"/>
      <c r="K687" s="1328"/>
      <c r="L687" s="1112" t="s">
        <v>1618</v>
      </c>
      <c r="M687" s="1329">
        <v>670</v>
      </c>
      <c r="N687" s="1329"/>
      <c r="O687" s="132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8"/>
      <c r="G688" s="1328"/>
      <c r="H688" s="1328"/>
      <c r="I688" s="1328"/>
      <c r="J688" s="1328"/>
      <c r="K688" s="1328"/>
      <c r="L688" s="1112" t="s">
        <v>1495</v>
      </c>
      <c r="M688" s="1329">
        <v>671</v>
      </c>
      <c r="N688" s="1329"/>
      <c r="O688" s="132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8"/>
      <c r="G689" s="1328"/>
      <c r="H689" s="1328"/>
      <c r="I689" s="1328"/>
      <c r="J689" s="1328"/>
      <c r="K689" s="1328"/>
      <c r="L689" s="1112" t="s">
        <v>1496</v>
      </c>
      <c r="M689" s="1329">
        <v>672</v>
      </c>
      <c r="N689" s="1329"/>
      <c r="O689" s="132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8"/>
      <c r="G690" s="1328"/>
      <c r="H690" s="1328"/>
      <c r="I690" s="1328"/>
      <c r="J690" s="1328"/>
      <c r="K690" s="1328"/>
      <c r="L690" s="1112" t="s">
        <v>1497</v>
      </c>
      <c r="M690" s="1329">
        <v>673</v>
      </c>
      <c r="N690" s="1329"/>
      <c r="O690" s="132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8"/>
      <c r="G691" s="1328"/>
      <c r="H691" s="1328"/>
      <c r="I691" s="1328"/>
      <c r="J691" s="1328"/>
      <c r="K691" s="1328"/>
      <c r="L691" s="1112" t="s">
        <v>1603</v>
      </c>
      <c r="M691" s="1329">
        <v>674</v>
      </c>
      <c r="N691" s="1329"/>
      <c r="O691" s="132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8"/>
      <c r="G692" s="1328"/>
      <c r="H692" s="1328"/>
      <c r="I692" s="1328"/>
      <c r="J692" s="1328"/>
      <c r="K692" s="1328"/>
      <c r="L692" s="1112" t="s">
        <v>1491</v>
      </c>
      <c r="M692" s="1329">
        <v>675</v>
      </c>
      <c r="N692" s="1329"/>
      <c r="O692" s="132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8"/>
      <c r="G693" s="1328"/>
      <c r="H693" s="1328"/>
      <c r="I693" s="1328"/>
      <c r="J693" s="1328"/>
      <c r="K693" s="1328"/>
      <c r="L693" s="1112" t="s">
        <v>1488</v>
      </c>
      <c r="M693" s="1329">
        <v>676</v>
      </c>
      <c r="N693" s="1329"/>
      <c r="O693" s="1328" t="s">
        <v>743</v>
      </c>
    </row>
    <row r="694" spans="1:15" x14ac:dyDescent="0.25">
      <c r="A694" s="1144" t="s">
        <v>1489</v>
      </c>
      <c r="B694" s="1112" t="str">
        <f t="shared" ca="1" si="74"/>
        <v>J121</v>
      </c>
      <c r="C694" s="1112" t="str">
        <f t="shared" ca="1" si="75"/>
        <v>J122</v>
      </c>
      <c r="D694" s="1112" t="s">
        <v>1457</v>
      </c>
      <c r="E694" s="1112" t="s">
        <v>1628</v>
      </c>
      <c r="F694" s="1328"/>
      <c r="G694" s="1328"/>
      <c r="H694" s="1328"/>
      <c r="I694" s="1328"/>
      <c r="J694" s="1328"/>
      <c r="K694" s="1328"/>
      <c r="L694" s="1112" t="s">
        <v>1489</v>
      </c>
      <c r="M694" s="1329">
        <v>677</v>
      </c>
      <c r="N694" s="1329"/>
      <c r="O694" s="1328">
        <v>134</v>
      </c>
    </row>
    <row r="695" spans="1:15" x14ac:dyDescent="0.25">
      <c r="A695" s="1144" t="s">
        <v>1505</v>
      </c>
      <c r="B695" s="1112" t="str">
        <f t="shared" ca="1" si="74"/>
        <v>L121</v>
      </c>
      <c r="C695" s="1112" t="str">
        <f t="shared" ca="1" si="75"/>
        <v>L122</v>
      </c>
      <c r="D695" s="1112" t="s">
        <v>1457</v>
      </c>
      <c r="E695" s="1112" t="s">
        <v>1628</v>
      </c>
      <c r="F695" s="1328"/>
      <c r="G695" s="1328"/>
      <c r="H695" s="1328"/>
      <c r="I695" s="1328"/>
      <c r="J695" s="1328"/>
      <c r="K695" s="1328"/>
      <c r="L695" s="1112" t="s">
        <v>1505</v>
      </c>
      <c r="M695" s="1329">
        <v>678</v>
      </c>
      <c r="N695" s="1329"/>
      <c r="O695" s="1328" t="s">
        <v>1767</v>
      </c>
    </row>
    <row r="696" spans="1:15" x14ac:dyDescent="0.25">
      <c r="A696" s="1144" t="s">
        <v>1490</v>
      </c>
      <c r="B696" s="1112" t="str">
        <f t="shared" ca="1" si="74"/>
        <v>N121</v>
      </c>
      <c r="C696" s="1112" t="str">
        <f t="shared" ca="1" si="75"/>
        <v>N122</v>
      </c>
      <c r="D696" s="1112" t="s">
        <v>1457</v>
      </c>
      <c r="E696" s="1112" t="s">
        <v>1628</v>
      </c>
      <c r="F696" s="1328"/>
      <c r="G696" s="1328"/>
      <c r="H696" s="1328"/>
      <c r="I696" s="1328"/>
      <c r="J696" s="1328"/>
      <c r="K696" s="1328"/>
      <c r="L696" s="1112" t="s">
        <v>1490</v>
      </c>
      <c r="M696" s="1329">
        <v>679</v>
      </c>
      <c r="N696" s="1329"/>
      <c r="O696" s="1328"/>
    </row>
    <row r="697" spans="1:15" x14ac:dyDescent="0.25">
      <c r="A697" s="1144" t="s">
        <v>1598</v>
      </c>
      <c r="B697" s="1112" t="str">
        <f t="shared" ca="1" si="74"/>
        <v>P121</v>
      </c>
      <c r="C697" s="1112" t="str">
        <f t="shared" ca="1" si="75"/>
        <v>P122</v>
      </c>
      <c r="D697" s="1112" t="s">
        <v>1457</v>
      </c>
      <c r="E697" s="1112" t="s">
        <v>1628</v>
      </c>
      <c r="F697" s="1328"/>
      <c r="G697" s="1328"/>
      <c r="H697" s="1328"/>
      <c r="I697" s="1328"/>
      <c r="J697" s="1328"/>
      <c r="K697" s="1328"/>
      <c r="L697" s="1112" t="s">
        <v>1598</v>
      </c>
      <c r="M697" s="1329">
        <v>680</v>
      </c>
      <c r="N697" s="1329"/>
      <c r="O697" s="1328"/>
    </row>
    <row r="698" spans="1:15" x14ac:dyDescent="0.25">
      <c r="A698" s="1144" t="s">
        <v>1599</v>
      </c>
      <c r="B698" s="1112" t="str">
        <f t="shared" ca="1" si="74"/>
        <v>R121</v>
      </c>
      <c r="C698" s="1112" t="str">
        <f t="shared" ca="1" si="75"/>
        <v>R122</v>
      </c>
      <c r="D698" s="1112" t="s">
        <v>1457</v>
      </c>
      <c r="E698" s="1112" t="s">
        <v>1628</v>
      </c>
      <c r="F698" s="1328"/>
      <c r="G698" s="1328"/>
      <c r="H698" s="1328"/>
      <c r="I698" s="1328"/>
      <c r="J698" s="1328"/>
      <c r="K698" s="1328"/>
      <c r="L698" s="1112" t="s">
        <v>1599</v>
      </c>
      <c r="M698" s="1329">
        <v>681</v>
      </c>
      <c r="N698" s="1329"/>
      <c r="O698" s="1328"/>
    </row>
    <row r="699" spans="1:15" x14ac:dyDescent="0.25">
      <c r="A699" s="1144" t="s">
        <v>1600</v>
      </c>
      <c r="B699" s="1112" t="str">
        <f t="shared" ca="1" si="74"/>
        <v>T121</v>
      </c>
      <c r="C699" s="1112" t="str">
        <f t="shared" ca="1" si="75"/>
        <v>T122</v>
      </c>
      <c r="D699" s="1112" t="s">
        <v>1457</v>
      </c>
      <c r="E699" s="1112" t="s">
        <v>1628</v>
      </c>
      <c r="F699" s="1328"/>
      <c r="G699" s="1328"/>
      <c r="H699" s="1328"/>
      <c r="I699" s="1328"/>
      <c r="J699" s="1328"/>
      <c r="K699" s="1328"/>
      <c r="L699" s="1112" t="s">
        <v>1600</v>
      </c>
      <c r="M699" s="1329">
        <v>682</v>
      </c>
      <c r="N699" s="1329"/>
      <c r="O699" s="132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8"/>
      <c r="G700" s="1328"/>
      <c r="H700" s="1328"/>
      <c r="I700" s="1328"/>
      <c r="J700" s="1328"/>
      <c r="K700" s="1328"/>
      <c r="L700" s="1112" t="s">
        <v>1493</v>
      </c>
      <c r="M700" s="1329">
        <v>683</v>
      </c>
      <c r="N700" s="1329"/>
      <c r="O700" s="132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8"/>
      <c r="G701" s="1328"/>
      <c r="H701" s="1328"/>
      <c r="I701" s="1328"/>
      <c r="J701" s="1328"/>
      <c r="K701" s="1328"/>
      <c r="L701" s="1112" t="s">
        <v>1494</v>
      </c>
      <c r="M701" s="1329">
        <v>684</v>
      </c>
      <c r="N701" s="1329"/>
      <c r="O701" s="1328"/>
    </row>
    <row r="702" spans="1:15" x14ac:dyDescent="0.25">
      <c r="A702" s="1144" t="s">
        <v>1607</v>
      </c>
      <c r="B702" s="1112" t="str">
        <f ca="1">IFERROR(_xlfn.CONCAT("C",MATCH(A702,INDIRECT("'"&amp;E702&amp;"'!C"&amp;$O$692&amp;":C"&amp;$O$694),0)+$O$692-1),"")</f>
        <v>C131</v>
      </c>
      <c r="C702" s="1112" t="str">
        <f ca="1">IFERROR(_xlfn.CONCAT("E",MATCH(A702,INDIRECT("'"&amp;E702&amp;"'!C"&amp;$O$692&amp;":C"&amp;$O$694),0)+$O$692-1),"")</f>
        <v>E131</v>
      </c>
      <c r="D702" s="1112" t="s">
        <v>1457</v>
      </c>
      <c r="E702" s="1112" t="s">
        <v>1628</v>
      </c>
      <c r="F702" s="1328"/>
      <c r="G702" s="1328"/>
      <c r="H702" s="1328"/>
      <c r="I702" s="1328"/>
      <c r="J702" s="1328"/>
      <c r="K702" s="1328"/>
      <c r="L702" s="1112" t="s">
        <v>1607</v>
      </c>
      <c r="M702" s="1329">
        <v>685</v>
      </c>
      <c r="N702" s="1329"/>
      <c r="O702" s="132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8"/>
      <c r="G703" s="1328"/>
      <c r="H703" s="1328"/>
      <c r="I703" s="1328"/>
      <c r="J703" s="1328"/>
      <c r="K703" s="1328"/>
      <c r="L703" s="1112" t="s">
        <v>1604</v>
      </c>
      <c r="M703" s="1329">
        <v>686</v>
      </c>
      <c r="N703" s="1329"/>
      <c r="O703" s="132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8"/>
      <c r="G704" s="1328"/>
      <c r="H704" s="1328"/>
      <c r="I704" s="1328"/>
      <c r="J704" s="1328"/>
      <c r="K704" s="1328"/>
      <c r="L704" s="1112" t="s">
        <v>1618</v>
      </c>
      <c r="M704" s="1329">
        <v>687</v>
      </c>
      <c r="N704" s="1329"/>
      <c r="O704" s="132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8"/>
      <c r="G705" s="1328"/>
      <c r="H705" s="1328"/>
      <c r="I705" s="1328"/>
      <c r="J705" s="1328"/>
      <c r="K705" s="1328"/>
      <c r="L705" s="1112" t="s">
        <v>1495</v>
      </c>
      <c r="M705" s="1329">
        <v>688</v>
      </c>
      <c r="N705" s="1329"/>
      <c r="O705" s="132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8"/>
      <c r="G706" s="1328"/>
      <c r="H706" s="1328"/>
      <c r="I706" s="1328"/>
      <c r="J706" s="1328"/>
      <c r="K706" s="1328"/>
      <c r="L706" s="1112" t="s">
        <v>1496</v>
      </c>
      <c r="M706" s="1329">
        <v>689</v>
      </c>
      <c r="N706" s="1329"/>
      <c r="O706" s="132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8"/>
      <c r="G707" s="1328"/>
      <c r="H707" s="1328"/>
      <c r="I707" s="1328"/>
      <c r="J707" s="1328"/>
      <c r="K707" s="1328"/>
      <c r="L707" s="1112" t="s">
        <v>1497</v>
      </c>
      <c r="M707" s="1329">
        <v>690</v>
      </c>
      <c r="N707" s="1329"/>
      <c r="O707" s="132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8"/>
      <c r="G708" s="1328"/>
      <c r="H708" s="1328"/>
      <c r="I708" s="1328"/>
      <c r="J708" s="1328"/>
      <c r="K708" s="1328"/>
      <c r="L708" s="1112" t="s">
        <v>1495</v>
      </c>
      <c r="M708" s="1329">
        <v>691</v>
      </c>
      <c r="N708" s="1329"/>
      <c r="O708" s="132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8"/>
      <c r="G709" s="1328"/>
      <c r="H709" s="1328"/>
      <c r="I709" s="1328"/>
      <c r="J709" s="1328"/>
      <c r="K709" s="1328"/>
      <c r="L709" s="1112" t="s">
        <v>1496</v>
      </c>
      <c r="M709" s="1329">
        <v>692</v>
      </c>
      <c r="N709" s="1329"/>
      <c r="O709" s="132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8"/>
      <c r="G710" s="1328"/>
      <c r="H710" s="1328"/>
      <c r="I710" s="1328"/>
      <c r="J710" s="1328"/>
      <c r="K710" s="1328"/>
      <c r="L710" s="1112" t="s">
        <v>1497</v>
      </c>
      <c r="M710" s="1329">
        <v>693</v>
      </c>
      <c r="N710" s="1329"/>
      <c r="O710" s="132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8"/>
      <c r="G711" s="1328"/>
      <c r="H711" s="1328"/>
      <c r="I711" s="1328"/>
      <c r="J711" s="1328"/>
      <c r="K711" s="1328"/>
      <c r="L711" s="1112" t="s">
        <v>1495</v>
      </c>
      <c r="M711" s="1329">
        <v>694</v>
      </c>
      <c r="N711" s="1329"/>
      <c r="O711" s="132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8"/>
      <c r="G712" s="1328"/>
      <c r="H712" s="1328"/>
      <c r="I712" s="1328"/>
      <c r="J712" s="1328"/>
      <c r="K712" s="1328"/>
      <c r="L712" s="1112" t="s">
        <v>1496</v>
      </c>
      <c r="M712" s="1329">
        <v>695</v>
      </c>
      <c r="N712" s="1329"/>
      <c r="O712" s="132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8"/>
      <c r="G713" s="1328"/>
      <c r="H713" s="1328"/>
      <c r="I713" s="1328"/>
      <c r="J713" s="1328"/>
      <c r="K713" s="1328"/>
      <c r="L713" s="1112" t="s">
        <v>1497</v>
      </c>
      <c r="M713" s="1329">
        <v>696</v>
      </c>
      <c r="N713" s="1329"/>
      <c r="O713" s="132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8"/>
      <c r="G714" s="1328"/>
      <c r="H714" s="1328"/>
      <c r="I714" s="1328"/>
      <c r="J714" s="1328"/>
      <c r="K714" s="1328"/>
      <c r="L714" s="1112" t="s">
        <v>1495</v>
      </c>
      <c r="M714" s="1329">
        <v>697</v>
      </c>
      <c r="N714" s="1329"/>
      <c r="O714" s="132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8"/>
      <c r="G715" s="1328"/>
      <c r="H715" s="1328"/>
      <c r="I715" s="1328"/>
      <c r="J715" s="1328"/>
      <c r="K715" s="1328"/>
      <c r="L715" s="1112" t="s">
        <v>1496</v>
      </c>
      <c r="M715" s="1329">
        <v>698</v>
      </c>
      <c r="N715" s="1329"/>
      <c r="O715" s="132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8"/>
      <c r="G716" s="1328"/>
      <c r="H716" s="1328"/>
      <c r="I716" s="1328"/>
      <c r="J716" s="1328"/>
      <c r="K716" s="1328"/>
      <c r="L716" s="1112" t="s">
        <v>1497</v>
      </c>
      <c r="M716" s="1329">
        <v>699</v>
      </c>
      <c r="N716" s="1329"/>
      <c r="O716" s="132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8"/>
      <c r="G717" s="1328"/>
      <c r="H717" s="1328"/>
      <c r="I717" s="1328"/>
      <c r="J717" s="1328"/>
      <c r="K717" s="1328"/>
      <c r="L717" s="1112" t="s">
        <v>1495</v>
      </c>
      <c r="M717" s="1329">
        <v>700</v>
      </c>
      <c r="N717" s="1329"/>
      <c r="O717" s="132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8"/>
      <c r="G718" s="1328"/>
      <c r="H718" s="1328"/>
      <c r="I718" s="1328"/>
      <c r="J718" s="1328"/>
      <c r="K718" s="1328"/>
      <c r="L718" s="1112" t="s">
        <v>1496</v>
      </c>
      <c r="M718" s="1329">
        <v>701</v>
      </c>
      <c r="N718" s="1329"/>
      <c r="O718" s="132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8"/>
      <c r="G719" s="1328"/>
      <c r="H719" s="1328"/>
      <c r="I719" s="1328"/>
      <c r="J719" s="1328"/>
      <c r="K719" s="1328"/>
      <c r="L719" s="1112" t="s">
        <v>1497</v>
      </c>
      <c r="M719" s="1329">
        <v>702</v>
      </c>
      <c r="N719" s="1329"/>
      <c r="O719" s="132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8"/>
      <c r="G720" s="1328"/>
      <c r="H720" s="1328"/>
      <c r="I720" s="1328"/>
      <c r="J720" s="1328"/>
      <c r="K720" s="1328"/>
      <c r="L720" s="1112" t="s">
        <v>1603</v>
      </c>
      <c r="M720" s="1329">
        <v>703</v>
      </c>
      <c r="N720" s="1329"/>
      <c r="O720" s="132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8"/>
      <c r="G721" s="1328"/>
      <c r="H721" s="1328"/>
      <c r="I721" s="1328"/>
      <c r="J721" s="1328"/>
      <c r="K721" s="1328"/>
      <c r="L721" s="1112" t="s">
        <v>1491</v>
      </c>
      <c r="M721" s="1329">
        <v>704</v>
      </c>
      <c r="N721" s="1329"/>
      <c r="O721" s="132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8"/>
      <c r="G722" s="1328"/>
      <c r="H722" s="1328"/>
      <c r="I722" s="1328"/>
      <c r="J722" s="1328"/>
      <c r="K722" s="1328"/>
      <c r="L722" s="1112" t="s">
        <v>1488</v>
      </c>
      <c r="M722" s="1329">
        <v>705</v>
      </c>
      <c r="N722" s="1329"/>
      <c r="O722" s="132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8"/>
      <c r="G723" s="1328"/>
      <c r="H723" s="1328"/>
      <c r="I723" s="1328"/>
      <c r="J723" s="1328"/>
      <c r="K723" s="1328"/>
      <c r="L723" s="1112" t="s">
        <v>1489</v>
      </c>
      <c r="M723" s="1329">
        <v>706</v>
      </c>
      <c r="N723" s="1329"/>
      <c r="O723" s="1328">
        <v>150</v>
      </c>
    </row>
    <row r="724" spans="1:15" x14ac:dyDescent="0.25">
      <c r="A724" s="1147" t="s">
        <v>1505</v>
      </c>
      <c r="B724" s="1112" t="str">
        <f t="shared" ca="1" si="77"/>
        <v>L137</v>
      </c>
      <c r="C724" s="1112" t="str">
        <f t="shared" ca="1" si="78"/>
        <v>L138</v>
      </c>
      <c r="D724" s="1112" t="s">
        <v>1457</v>
      </c>
      <c r="E724" s="1112" t="s">
        <v>1628</v>
      </c>
      <c r="F724" s="1328"/>
      <c r="G724" s="1328"/>
      <c r="H724" s="1328"/>
      <c r="I724" s="1328"/>
      <c r="J724" s="1328"/>
      <c r="K724" s="1328"/>
      <c r="L724" s="1112" t="s">
        <v>1505</v>
      </c>
      <c r="M724" s="1329">
        <v>707</v>
      </c>
      <c r="N724" s="1329"/>
      <c r="O724" s="1328" t="s">
        <v>1768</v>
      </c>
    </row>
    <row r="725" spans="1:15" x14ac:dyDescent="0.25">
      <c r="A725" s="1147" t="s">
        <v>1490</v>
      </c>
      <c r="B725" s="1112" t="str">
        <f t="shared" ca="1" si="77"/>
        <v>N137</v>
      </c>
      <c r="C725" s="1112" t="str">
        <f t="shared" ca="1" si="78"/>
        <v>N138</v>
      </c>
      <c r="D725" s="1112" t="s">
        <v>1457</v>
      </c>
      <c r="E725" s="1112" t="s">
        <v>1628</v>
      </c>
      <c r="F725" s="1328"/>
      <c r="G725" s="1328"/>
      <c r="H725" s="1328"/>
      <c r="I725" s="1328"/>
      <c r="J725" s="1328"/>
      <c r="K725" s="1328"/>
      <c r="L725" s="1112" t="s">
        <v>1490</v>
      </c>
      <c r="M725" s="1329">
        <v>708</v>
      </c>
      <c r="N725" s="1329"/>
      <c r="O725" s="1328"/>
    </row>
    <row r="726" spans="1:15" x14ac:dyDescent="0.25">
      <c r="A726" s="1147" t="s">
        <v>1598</v>
      </c>
      <c r="B726" s="1112" t="str">
        <f t="shared" ca="1" si="77"/>
        <v>P137</v>
      </c>
      <c r="C726" s="1112" t="str">
        <f t="shared" ca="1" si="78"/>
        <v>P138</v>
      </c>
      <c r="D726" s="1112" t="s">
        <v>1457</v>
      </c>
      <c r="E726" s="1112" t="s">
        <v>1628</v>
      </c>
      <c r="F726" s="1328"/>
      <c r="G726" s="1328"/>
      <c r="H726" s="1328"/>
      <c r="I726" s="1328"/>
      <c r="J726" s="1328"/>
      <c r="K726" s="1328"/>
      <c r="L726" s="1112" t="s">
        <v>1598</v>
      </c>
      <c r="M726" s="1329">
        <v>709</v>
      </c>
      <c r="N726" s="1329"/>
      <c r="O726" s="1328"/>
    </row>
    <row r="727" spans="1:15" x14ac:dyDescent="0.25">
      <c r="A727" s="1147" t="s">
        <v>1599</v>
      </c>
      <c r="B727" s="1112" t="str">
        <f t="shared" ca="1" si="77"/>
        <v>R137</v>
      </c>
      <c r="C727" s="1112" t="str">
        <f t="shared" ca="1" si="78"/>
        <v>R138</v>
      </c>
      <c r="D727" s="1112" t="s">
        <v>1457</v>
      </c>
      <c r="E727" s="1112" t="s">
        <v>1628</v>
      </c>
      <c r="F727" s="1328"/>
      <c r="G727" s="1328"/>
      <c r="H727" s="1328"/>
      <c r="I727" s="1328"/>
      <c r="J727" s="1328"/>
      <c r="K727" s="1328"/>
      <c r="L727" s="1112" t="s">
        <v>1599</v>
      </c>
      <c r="M727" s="1329">
        <v>710</v>
      </c>
      <c r="N727" s="1329"/>
      <c r="O727" s="1328"/>
    </row>
    <row r="728" spans="1:15" x14ac:dyDescent="0.25">
      <c r="A728" s="1147" t="s">
        <v>1600</v>
      </c>
      <c r="B728" s="1112" t="str">
        <f t="shared" ca="1" si="77"/>
        <v>T137</v>
      </c>
      <c r="C728" s="1112" t="str">
        <f t="shared" ca="1" si="78"/>
        <v>T138</v>
      </c>
      <c r="D728" s="1112" t="s">
        <v>1457</v>
      </c>
      <c r="E728" s="1112" t="s">
        <v>1628</v>
      </c>
      <c r="F728" s="1328"/>
      <c r="G728" s="1328"/>
      <c r="H728" s="1328"/>
      <c r="I728" s="1328"/>
      <c r="J728" s="1328"/>
      <c r="K728" s="1328"/>
      <c r="L728" s="1112" t="s">
        <v>1600</v>
      </c>
      <c r="M728" s="1329">
        <v>711</v>
      </c>
      <c r="N728" s="1329"/>
      <c r="O728" s="132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8"/>
      <c r="G729" s="1328"/>
      <c r="H729" s="1328"/>
      <c r="I729" s="1328"/>
      <c r="J729" s="1328"/>
      <c r="K729" s="1328"/>
      <c r="L729" s="1112" t="s">
        <v>1493</v>
      </c>
      <c r="M729" s="1329">
        <v>712</v>
      </c>
      <c r="N729" s="1329"/>
      <c r="O729" s="132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8"/>
      <c r="G730" s="1328"/>
      <c r="H730" s="1328"/>
      <c r="I730" s="1328"/>
      <c r="J730" s="1328"/>
      <c r="K730" s="1328"/>
      <c r="L730" s="1112" t="s">
        <v>1494</v>
      </c>
      <c r="M730" s="1329">
        <v>713</v>
      </c>
      <c r="N730" s="1329"/>
      <c r="O730" s="1328"/>
    </row>
    <row r="731" spans="1:15" x14ac:dyDescent="0.25">
      <c r="A731" s="1147" t="s">
        <v>1607</v>
      </c>
      <c r="B731" s="1112" t="str">
        <f ca="1">IFERROR(_xlfn.CONCAT("C",MATCH(A731,INDIRECT("'"&amp;E731&amp;"'!C"&amp;$O$721&amp;":C"&amp;$O$723),0)+$O$721-1),"")</f>
        <v>C147</v>
      </c>
      <c r="C731" s="1112" t="str">
        <f ca="1">IFERROR(_xlfn.CONCAT("E",MATCH(A731,INDIRECT("'"&amp;E731&amp;"'!C"&amp;$O$721&amp;":C"&amp;$O$723),0)+$O$721-1),"")</f>
        <v>E147</v>
      </c>
      <c r="D731" s="1112" t="s">
        <v>1457</v>
      </c>
      <c r="E731" s="1112" t="s">
        <v>1628</v>
      </c>
      <c r="F731" s="1328"/>
      <c r="G731" s="1328"/>
      <c r="H731" s="1328"/>
      <c r="I731" s="1328"/>
      <c r="J731" s="1328"/>
      <c r="K731" s="1328"/>
      <c r="L731" s="1112" t="s">
        <v>1607</v>
      </c>
      <c r="M731" s="1329">
        <v>714</v>
      </c>
      <c r="N731" s="1329"/>
      <c r="O731" s="132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8"/>
      <c r="G732" s="1328"/>
      <c r="H732" s="1328"/>
      <c r="I732" s="1328"/>
      <c r="J732" s="1328"/>
      <c r="K732" s="1328"/>
      <c r="L732" s="1112" t="s">
        <v>1604</v>
      </c>
      <c r="M732" s="1329">
        <v>715</v>
      </c>
      <c r="N732" s="1329"/>
      <c r="O732" s="132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8"/>
      <c r="G733" s="1328"/>
      <c r="H733" s="1328"/>
      <c r="I733" s="1328"/>
      <c r="J733" s="1328"/>
      <c r="K733" s="1328"/>
      <c r="L733" s="1112" t="s">
        <v>1618</v>
      </c>
      <c r="M733" s="1329">
        <v>716</v>
      </c>
      <c r="N733" s="1329"/>
      <c r="O733" s="132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8"/>
      <c r="G734" s="1328"/>
      <c r="H734" s="1328"/>
      <c r="I734" s="1328"/>
      <c r="J734" s="1328"/>
      <c r="K734" s="1328"/>
      <c r="L734" s="1112" t="s">
        <v>1495</v>
      </c>
      <c r="M734" s="1329">
        <v>717</v>
      </c>
      <c r="N734" s="1329"/>
      <c r="O734" s="132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8"/>
      <c r="G735" s="1328"/>
      <c r="H735" s="1328"/>
      <c r="I735" s="1328"/>
      <c r="J735" s="1328"/>
      <c r="K735" s="1328"/>
      <c r="L735" s="1112" t="s">
        <v>1496</v>
      </c>
      <c r="M735" s="1329">
        <v>718</v>
      </c>
      <c r="N735" s="1329"/>
      <c r="O735" s="132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8"/>
      <c r="G736" s="1328"/>
      <c r="H736" s="1328"/>
      <c r="I736" s="1328"/>
      <c r="J736" s="1328"/>
      <c r="K736" s="1328"/>
      <c r="L736" s="1112" t="s">
        <v>1497</v>
      </c>
      <c r="M736" s="1329">
        <v>719</v>
      </c>
      <c r="N736" s="1329"/>
      <c r="O736" s="132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8"/>
      <c r="G737" s="1328"/>
      <c r="H737" s="1328"/>
      <c r="I737" s="1328"/>
      <c r="J737" s="1328"/>
      <c r="K737" s="1328"/>
      <c r="L737" s="1112" t="s">
        <v>1495</v>
      </c>
      <c r="M737" s="1329">
        <v>720</v>
      </c>
      <c r="N737" s="1329"/>
      <c r="O737" s="132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8"/>
      <c r="G738" s="1328"/>
      <c r="H738" s="1328"/>
      <c r="I738" s="1328"/>
      <c r="J738" s="1328"/>
      <c r="K738" s="1328"/>
      <c r="L738" s="1112" t="s">
        <v>1496</v>
      </c>
      <c r="M738" s="1329">
        <v>721</v>
      </c>
      <c r="N738" s="1329"/>
      <c r="O738" s="132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8"/>
      <c r="G739" s="1328"/>
      <c r="H739" s="1328"/>
      <c r="I739" s="1328"/>
      <c r="J739" s="1328"/>
      <c r="K739" s="1328"/>
      <c r="L739" s="1112" t="s">
        <v>1497</v>
      </c>
      <c r="M739" s="1329">
        <v>722</v>
      </c>
      <c r="N739" s="1329"/>
      <c r="O739" s="132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8"/>
      <c r="G740" s="1328"/>
      <c r="H740" s="1328"/>
      <c r="I740" s="1328"/>
      <c r="J740" s="1328"/>
      <c r="K740" s="1328"/>
      <c r="L740" s="1112" t="s">
        <v>1495</v>
      </c>
      <c r="M740" s="1329">
        <v>723</v>
      </c>
      <c r="N740" s="1329"/>
      <c r="O740" s="132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8"/>
      <c r="G741" s="1328"/>
      <c r="H741" s="1328"/>
      <c r="I741" s="1328"/>
      <c r="J741" s="1328"/>
      <c r="K741" s="1328"/>
      <c r="L741" s="1112" t="s">
        <v>1496</v>
      </c>
      <c r="M741" s="1329">
        <v>724</v>
      </c>
      <c r="N741" s="1329"/>
      <c r="O741" s="132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8"/>
      <c r="G742" s="1328"/>
      <c r="H742" s="1328"/>
      <c r="I742" s="1328"/>
      <c r="J742" s="1328"/>
      <c r="K742" s="1328"/>
      <c r="L742" s="1112" t="s">
        <v>1497</v>
      </c>
      <c r="M742" s="1329">
        <v>725</v>
      </c>
      <c r="N742" s="1329"/>
      <c r="O742" s="132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8"/>
      <c r="G743" s="1328"/>
      <c r="H743" s="1328"/>
      <c r="I743" s="1328"/>
      <c r="J743" s="1328"/>
      <c r="K743" s="1328"/>
      <c r="L743" s="1112" t="s">
        <v>1495</v>
      </c>
      <c r="M743" s="1329">
        <v>726</v>
      </c>
      <c r="N743" s="1329"/>
      <c r="O743" s="132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8"/>
      <c r="G744" s="1328"/>
      <c r="H744" s="1328"/>
      <c r="I744" s="1328"/>
      <c r="J744" s="1328"/>
      <c r="K744" s="1328"/>
      <c r="L744" s="1112" t="s">
        <v>1496</v>
      </c>
      <c r="M744" s="1329">
        <v>727</v>
      </c>
      <c r="N744" s="1329"/>
      <c r="O744" s="132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8"/>
      <c r="G745" s="1328"/>
      <c r="H745" s="1328"/>
      <c r="I745" s="1328"/>
      <c r="J745" s="1328"/>
      <c r="K745" s="1328"/>
      <c r="L745" s="1112" t="s">
        <v>1497</v>
      </c>
      <c r="M745" s="1329">
        <v>728</v>
      </c>
      <c r="N745" s="1329"/>
      <c r="O745" s="132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8"/>
      <c r="G746" s="1328"/>
      <c r="H746" s="1328"/>
      <c r="I746" s="1328"/>
      <c r="J746" s="1328"/>
      <c r="K746" s="1328"/>
      <c r="L746" s="1112" t="s">
        <v>1495</v>
      </c>
      <c r="M746" s="1329">
        <v>729</v>
      </c>
      <c r="N746" s="1329"/>
      <c r="O746" s="132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8"/>
      <c r="G747" s="1328"/>
      <c r="H747" s="1328"/>
      <c r="I747" s="1328"/>
      <c r="J747" s="1328"/>
      <c r="K747" s="1328"/>
      <c r="L747" s="1112" t="s">
        <v>1496</v>
      </c>
      <c r="M747" s="1329">
        <v>730</v>
      </c>
      <c r="N747" s="1329"/>
      <c r="O747" s="132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8"/>
      <c r="G748" s="1328"/>
      <c r="H748" s="1328"/>
      <c r="I748" s="1328"/>
      <c r="J748" s="1328"/>
      <c r="K748" s="1328"/>
      <c r="L748" s="1112" t="s">
        <v>1497</v>
      </c>
      <c r="M748" s="1329">
        <v>731</v>
      </c>
      <c r="N748" s="1329"/>
      <c r="O748" s="132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8"/>
      <c r="G749" s="1328"/>
      <c r="H749" s="1328"/>
      <c r="I749" s="1328"/>
      <c r="J749" s="1328"/>
      <c r="K749" s="1328"/>
      <c r="L749" s="1112" t="s">
        <v>1603</v>
      </c>
      <c r="M749" s="1329">
        <v>732</v>
      </c>
      <c r="N749" s="1329"/>
      <c r="O749" s="132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8"/>
      <c r="G750" s="1328"/>
      <c r="H750" s="1328"/>
      <c r="I750" s="1328"/>
      <c r="J750" s="1328"/>
      <c r="K750" s="1328"/>
      <c r="L750" s="1112" t="s">
        <v>1491</v>
      </c>
      <c r="M750" s="1329">
        <v>733</v>
      </c>
      <c r="N750" s="1329"/>
      <c r="O750" s="132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8"/>
      <c r="G751" s="1328"/>
      <c r="H751" s="1328"/>
      <c r="I751" s="1328"/>
      <c r="J751" s="1328"/>
      <c r="K751" s="1328"/>
      <c r="L751" s="1112" t="s">
        <v>1488</v>
      </c>
      <c r="M751" s="1329">
        <v>734</v>
      </c>
      <c r="N751" s="1329"/>
      <c r="O751" s="132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8"/>
      <c r="G752" s="1328"/>
      <c r="H752" s="1328"/>
      <c r="I752" s="1328"/>
      <c r="J752" s="1328"/>
      <c r="K752" s="1328"/>
      <c r="L752" s="1112" t="s">
        <v>1489</v>
      </c>
      <c r="M752" s="1329">
        <v>735</v>
      </c>
      <c r="N752" s="1329"/>
      <c r="O752" s="132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8"/>
      <c r="G753" s="1328"/>
      <c r="H753" s="1328"/>
      <c r="I753" s="1328"/>
      <c r="J753" s="1328"/>
      <c r="K753" s="1328"/>
      <c r="L753" s="1112" t="s">
        <v>1505</v>
      </c>
      <c r="M753" s="1329">
        <v>736</v>
      </c>
      <c r="N753" s="1329"/>
      <c r="O753" s="1328" t="s">
        <v>1769</v>
      </c>
    </row>
    <row r="754" spans="1:15" x14ac:dyDescent="0.25">
      <c r="A754" s="1144" t="s">
        <v>1490</v>
      </c>
      <c r="B754" s="1112" t="str">
        <f t="shared" ca="1" si="81"/>
        <v>N153</v>
      </c>
      <c r="C754" s="1112" t="str">
        <f t="shared" ca="1" si="80"/>
        <v>N154</v>
      </c>
      <c r="D754" s="1112" t="s">
        <v>1457</v>
      </c>
      <c r="E754" s="1112" t="s">
        <v>1628</v>
      </c>
      <c r="F754" s="1328"/>
      <c r="G754" s="1328"/>
      <c r="H754" s="1328"/>
      <c r="I754" s="1328"/>
      <c r="J754" s="1328"/>
      <c r="K754" s="1328"/>
      <c r="L754" s="1112" t="s">
        <v>1490</v>
      </c>
      <c r="M754" s="1329">
        <v>737</v>
      </c>
      <c r="N754" s="1329"/>
      <c r="O754" s="1328"/>
    </row>
    <row r="755" spans="1:15" x14ac:dyDescent="0.25">
      <c r="A755" s="1144" t="s">
        <v>1598</v>
      </c>
      <c r="B755" s="1112" t="str">
        <f t="shared" ca="1" si="81"/>
        <v>P153</v>
      </c>
      <c r="C755" s="1112" t="str">
        <f t="shared" ca="1" si="80"/>
        <v>P154</v>
      </c>
      <c r="D755" s="1112" t="s">
        <v>1457</v>
      </c>
      <c r="E755" s="1112" t="s">
        <v>1628</v>
      </c>
      <c r="F755" s="1328"/>
      <c r="G755" s="1328"/>
      <c r="H755" s="1328"/>
      <c r="I755" s="1328"/>
      <c r="J755" s="1328"/>
      <c r="K755" s="1328"/>
      <c r="L755" s="1112" t="s">
        <v>1598</v>
      </c>
      <c r="M755" s="1329">
        <v>738</v>
      </c>
      <c r="N755" s="1329"/>
      <c r="O755" s="1328"/>
    </row>
    <row r="756" spans="1:15" x14ac:dyDescent="0.25">
      <c r="A756" s="1144" t="s">
        <v>1599</v>
      </c>
      <c r="B756" s="1112" t="str">
        <f t="shared" ca="1" si="81"/>
        <v>R153</v>
      </c>
      <c r="C756" s="1112" t="str">
        <f t="shared" ca="1" si="80"/>
        <v>R154</v>
      </c>
      <c r="D756" s="1112" t="s">
        <v>1457</v>
      </c>
      <c r="E756" s="1112" t="s">
        <v>1628</v>
      </c>
      <c r="F756" s="1328"/>
      <c r="G756" s="1328"/>
      <c r="H756" s="1328"/>
      <c r="I756" s="1328"/>
      <c r="J756" s="1328"/>
      <c r="K756" s="1328"/>
      <c r="L756" s="1112" t="s">
        <v>1599</v>
      </c>
      <c r="M756" s="1329">
        <v>739</v>
      </c>
      <c r="N756" s="1329"/>
      <c r="O756" s="1328"/>
    </row>
    <row r="757" spans="1:15" x14ac:dyDescent="0.25">
      <c r="A757" s="1144" t="s">
        <v>1600</v>
      </c>
      <c r="B757" s="1112" t="str">
        <f t="shared" ca="1" si="81"/>
        <v>T153</v>
      </c>
      <c r="C757" s="1112" t="str">
        <f t="shared" ca="1" si="80"/>
        <v>T154</v>
      </c>
      <c r="D757" s="1112" t="s">
        <v>1457</v>
      </c>
      <c r="E757" s="1112" t="s">
        <v>1628</v>
      </c>
      <c r="F757" s="1328"/>
      <c r="G757" s="1328"/>
      <c r="H757" s="1328"/>
      <c r="I757" s="1328"/>
      <c r="J757" s="1328"/>
      <c r="K757" s="1328"/>
      <c r="L757" s="1112" t="s">
        <v>1600</v>
      </c>
      <c r="M757" s="1329">
        <v>740</v>
      </c>
      <c r="N757" s="1329"/>
      <c r="O757" s="132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8"/>
      <c r="G758" s="1328"/>
      <c r="H758" s="1328"/>
      <c r="I758" s="1328"/>
      <c r="J758" s="1328"/>
      <c r="K758" s="1328"/>
      <c r="L758" s="1112" t="s">
        <v>1493</v>
      </c>
      <c r="M758" s="1329">
        <v>741</v>
      </c>
      <c r="N758" s="1329"/>
      <c r="O758" s="132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8"/>
      <c r="G759" s="1328"/>
      <c r="H759" s="1328"/>
      <c r="I759" s="1328"/>
      <c r="J759" s="1328"/>
      <c r="K759" s="1328"/>
      <c r="L759" s="1112" t="s">
        <v>1494</v>
      </c>
      <c r="M759" s="1329">
        <v>742</v>
      </c>
      <c r="N759" s="1329"/>
      <c r="O759" s="1328"/>
    </row>
    <row r="760" spans="1:15" x14ac:dyDescent="0.25">
      <c r="A760" s="1144" t="s">
        <v>1607</v>
      </c>
      <c r="B760" s="1112" t="str">
        <f ca="1">IFERROR(_xlfn.CONCAT("C",MATCH(A760,INDIRECT("'"&amp;E760&amp;"'!C"&amp;$O$750&amp;":C"&amp;$O$752),0)+$O$750-1),"")</f>
        <v>C161</v>
      </c>
      <c r="C760" s="1112" t="str">
        <f ca="1">IFERROR(_xlfn.CONCAT("E",MATCH(A760,INDIRECT("'"&amp;E760&amp;"'!C"&amp;$O$750&amp;":C"&amp;$O$752),0)+$O$750-1),"")</f>
        <v>E161</v>
      </c>
      <c r="D760" s="1112" t="s">
        <v>1457</v>
      </c>
      <c r="E760" s="1112" t="s">
        <v>1628</v>
      </c>
      <c r="F760" s="1328"/>
      <c r="G760" s="1328"/>
      <c r="H760" s="1328"/>
      <c r="I760" s="1328"/>
      <c r="J760" s="1328"/>
      <c r="K760" s="1328"/>
      <c r="L760" s="1112" t="s">
        <v>1607</v>
      </c>
      <c r="M760" s="1329">
        <v>743</v>
      </c>
      <c r="N760" s="1329"/>
      <c r="O760" s="132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8"/>
      <c r="G761" s="1328"/>
      <c r="H761" s="1328"/>
      <c r="I761" s="1328"/>
      <c r="J761" s="1328"/>
      <c r="K761" s="1328"/>
      <c r="L761" s="1112" t="s">
        <v>1604</v>
      </c>
      <c r="M761" s="1329">
        <v>744</v>
      </c>
      <c r="N761" s="1329"/>
      <c r="O761" s="132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8"/>
      <c r="G762" s="1328"/>
      <c r="H762" s="1328"/>
      <c r="I762" s="1328"/>
      <c r="J762" s="1328"/>
      <c r="K762" s="1328"/>
      <c r="L762" s="1112" t="s">
        <v>1497</v>
      </c>
      <c r="M762" s="1329">
        <v>745</v>
      </c>
      <c r="N762" s="1329"/>
      <c r="O762" s="132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8"/>
      <c r="G763" s="1328"/>
      <c r="H763" s="1328"/>
      <c r="I763" s="1328"/>
      <c r="J763" s="1328"/>
      <c r="K763" s="1328"/>
      <c r="L763" s="1112" t="s">
        <v>1603</v>
      </c>
      <c r="M763" s="1329">
        <v>746</v>
      </c>
      <c r="N763" s="1329"/>
      <c r="O763" s="132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8"/>
      <c r="G764" s="1328"/>
      <c r="H764" s="1328"/>
      <c r="I764" s="1328"/>
      <c r="J764" s="1328"/>
      <c r="K764" s="1328"/>
      <c r="L764" s="1112" t="s">
        <v>1491</v>
      </c>
      <c r="M764" s="1329">
        <v>747</v>
      </c>
      <c r="N764" s="1329"/>
      <c r="O764" s="132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8"/>
      <c r="G765" s="1328"/>
      <c r="H765" s="1328"/>
      <c r="I765" s="1328"/>
      <c r="J765" s="1328"/>
      <c r="K765" s="1328"/>
      <c r="L765" s="1112" t="s">
        <v>1488</v>
      </c>
      <c r="M765" s="1329">
        <v>748</v>
      </c>
      <c r="N765" s="1329"/>
      <c r="O765" s="132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8"/>
      <c r="G766" s="1328"/>
      <c r="H766" s="1328"/>
      <c r="I766" s="1328"/>
      <c r="J766" s="1328"/>
      <c r="K766" s="1328"/>
      <c r="L766" s="1112" t="s">
        <v>1489</v>
      </c>
      <c r="M766" s="1329">
        <v>749</v>
      </c>
      <c r="N766" s="1329"/>
      <c r="O766" s="1328">
        <v>178</v>
      </c>
    </row>
    <row r="767" spans="1:15" x14ac:dyDescent="0.25">
      <c r="A767" s="1147" t="s">
        <v>1505</v>
      </c>
      <c r="B767" s="1112" t="str">
        <f t="shared" ca="1" si="82"/>
        <v>L167</v>
      </c>
      <c r="C767" s="1112" t="str">
        <f t="shared" ca="1" si="83"/>
        <v>L168</v>
      </c>
      <c r="D767" s="1112" t="s">
        <v>1457</v>
      </c>
      <c r="E767" s="1112" t="s">
        <v>1628</v>
      </c>
      <c r="F767" s="1328"/>
      <c r="G767" s="1328"/>
      <c r="H767" s="1328"/>
      <c r="I767" s="1328"/>
      <c r="J767" s="1328"/>
      <c r="K767" s="1328"/>
      <c r="L767" s="1112" t="s">
        <v>1505</v>
      </c>
      <c r="M767" s="1329">
        <v>750</v>
      </c>
      <c r="N767" s="1329"/>
      <c r="O767" s="1328" t="s">
        <v>1770</v>
      </c>
    </row>
    <row r="768" spans="1:15" x14ac:dyDescent="0.25">
      <c r="A768" s="1147" t="s">
        <v>1490</v>
      </c>
      <c r="B768" s="1112" t="str">
        <f t="shared" ca="1" si="82"/>
        <v>N167</v>
      </c>
      <c r="C768" s="1112" t="str">
        <f t="shared" ca="1" si="83"/>
        <v>N168</v>
      </c>
      <c r="D768" s="1112" t="s">
        <v>1457</v>
      </c>
      <c r="E768" s="1112" t="s">
        <v>1628</v>
      </c>
      <c r="F768" s="1328"/>
      <c r="G768" s="1328"/>
      <c r="H768" s="1328"/>
      <c r="I768" s="1328"/>
      <c r="J768" s="1328"/>
      <c r="K768" s="1328"/>
      <c r="L768" s="1112" t="s">
        <v>1490</v>
      </c>
      <c r="M768" s="1329">
        <v>751</v>
      </c>
      <c r="N768" s="1329"/>
      <c r="O768" s="1328"/>
    </row>
    <row r="769" spans="1:15" x14ac:dyDescent="0.25">
      <c r="A769" s="1147" t="s">
        <v>1598</v>
      </c>
      <c r="B769" s="1112" t="str">
        <f t="shared" ca="1" si="82"/>
        <v>P167</v>
      </c>
      <c r="C769" s="1112" t="str">
        <f t="shared" ca="1" si="83"/>
        <v>P168</v>
      </c>
      <c r="D769" s="1112" t="s">
        <v>1457</v>
      </c>
      <c r="E769" s="1112" t="s">
        <v>1628</v>
      </c>
      <c r="F769" s="1328"/>
      <c r="G769" s="1328"/>
      <c r="H769" s="1328"/>
      <c r="I769" s="1328"/>
      <c r="J769" s="1328"/>
      <c r="K769" s="1328"/>
      <c r="L769" s="1112" t="s">
        <v>1598</v>
      </c>
      <c r="M769" s="1329">
        <v>752</v>
      </c>
      <c r="N769" s="1329"/>
      <c r="O769" s="1328"/>
    </row>
    <row r="770" spans="1:15" x14ac:dyDescent="0.25">
      <c r="A770" s="1147" t="s">
        <v>1599</v>
      </c>
      <c r="B770" s="1112" t="str">
        <f t="shared" ca="1" si="82"/>
        <v>R167</v>
      </c>
      <c r="C770" s="1112" t="str">
        <f t="shared" ca="1" si="83"/>
        <v>R168</v>
      </c>
      <c r="D770" s="1112" t="s">
        <v>1457</v>
      </c>
      <c r="E770" s="1112" t="s">
        <v>1628</v>
      </c>
      <c r="F770" s="1328"/>
      <c r="G770" s="1328"/>
      <c r="H770" s="1328"/>
      <c r="I770" s="1328"/>
      <c r="J770" s="1328"/>
      <c r="K770" s="1328"/>
      <c r="L770" s="1112" t="s">
        <v>1599</v>
      </c>
      <c r="M770" s="1329">
        <v>753</v>
      </c>
      <c r="N770" s="1329"/>
      <c r="O770" s="1328"/>
    </row>
    <row r="771" spans="1:15" x14ac:dyDescent="0.25">
      <c r="A771" s="1147" t="s">
        <v>1600</v>
      </c>
      <c r="B771" s="1112" t="str">
        <f t="shared" ca="1" si="82"/>
        <v>T167</v>
      </c>
      <c r="C771" s="1112" t="str">
        <f t="shared" ca="1" si="83"/>
        <v>T168</v>
      </c>
      <c r="D771" s="1112" t="s">
        <v>1457</v>
      </c>
      <c r="E771" s="1112" t="s">
        <v>1628</v>
      </c>
      <c r="F771" s="1328"/>
      <c r="G771" s="1328"/>
      <c r="H771" s="1328"/>
      <c r="I771" s="1328"/>
      <c r="J771" s="1328"/>
      <c r="K771" s="1328"/>
      <c r="L771" s="1112" t="s">
        <v>1600</v>
      </c>
      <c r="M771" s="1329">
        <v>754</v>
      </c>
      <c r="N771" s="1329"/>
      <c r="O771" s="132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8"/>
      <c r="G772" s="1328"/>
      <c r="H772" s="1328"/>
      <c r="I772" s="1328"/>
      <c r="J772" s="1328"/>
      <c r="K772" s="1328"/>
      <c r="L772" s="1112" t="s">
        <v>1493</v>
      </c>
      <c r="M772" s="1329">
        <v>755</v>
      </c>
      <c r="N772" s="1329"/>
      <c r="O772" s="132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8"/>
      <c r="G773" s="1328"/>
      <c r="H773" s="1328"/>
      <c r="I773" s="1328"/>
      <c r="J773" s="1328"/>
      <c r="K773" s="1328"/>
      <c r="L773" s="1112" t="s">
        <v>1494</v>
      </c>
      <c r="M773" s="1329">
        <v>756</v>
      </c>
      <c r="N773" s="1329"/>
      <c r="O773" s="1328"/>
    </row>
    <row r="774" spans="1:15" x14ac:dyDescent="0.25">
      <c r="A774" s="1147" t="s">
        <v>1607</v>
      </c>
      <c r="B774" s="1112" t="str">
        <f ca="1">IFERROR(_xlfn.CONCAT("C",MATCH(A774,INDIRECT("'"&amp;E774&amp;"'!C"&amp;$O$764&amp;":C"&amp;$O$766),0)+$O$764-1),"")</f>
        <v>C175</v>
      </c>
      <c r="C774" s="1112" t="str">
        <f ca="1">IFERROR(_xlfn.CONCAT("E",MATCH(A774,INDIRECT("'"&amp;E774&amp;"'!C"&amp;$O$764&amp;":C"&amp;$O$766),0)+$O$764-1),"")</f>
        <v>E175</v>
      </c>
      <c r="D774" s="1112" t="s">
        <v>1457</v>
      </c>
      <c r="E774" s="1112" t="s">
        <v>1628</v>
      </c>
      <c r="F774" s="1328"/>
      <c r="G774" s="1328"/>
      <c r="H774" s="1328"/>
      <c r="I774" s="1328"/>
      <c r="J774" s="1328"/>
      <c r="K774" s="1328"/>
      <c r="L774" s="1112" t="s">
        <v>1607</v>
      </c>
      <c r="M774" s="1329">
        <v>757</v>
      </c>
      <c r="N774" s="1329"/>
      <c r="O774" s="132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8"/>
      <c r="G775" s="1328"/>
      <c r="H775" s="1328"/>
      <c r="I775" s="1328"/>
      <c r="J775" s="1328"/>
      <c r="K775" s="1328"/>
      <c r="L775" s="1112" t="s">
        <v>1604</v>
      </c>
      <c r="M775" s="1329">
        <v>758</v>
      </c>
      <c r="N775" s="1329"/>
      <c r="O775" s="132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8"/>
      <c r="G776" s="1328"/>
      <c r="H776" s="1328"/>
      <c r="I776" s="1328"/>
      <c r="J776" s="1328"/>
      <c r="K776" s="1328"/>
      <c r="L776" s="1112" t="s">
        <v>1497</v>
      </c>
      <c r="M776" s="1329">
        <v>759</v>
      </c>
      <c r="N776" s="1329"/>
      <c r="O776" s="132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8"/>
      <c r="G777" s="1328"/>
      <c r="H777" s="1328"/>
      <c r="I777" s="1328"/>
      <c r="J777" s="1328"/>
      <c r="K777" s="1328"/>
      <c r="L777" s="1112" t="s">
        <v>1603</v>
      </c>
      <c r="M777" s="1329">
        <v>760</v>
      </c>
      <c r="N777" s="1329"/>
      <c r="O777" s="132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8"/>
      <c r="G778" s="1328"/>
      <c r="H778" s="1328"/>
      <c r="I778" s="1328"/>
      <c r="J778" s="1328"/>
      <c r="K778" s="1328"/>
      <c r="L778" s="1112" t="s">
        <v>1491</v>
      </c>
      <c r="M778" s="1329">
        <v>761</v>
      </c>
      <c r="N778" s="1329"/>
      <c r="O778" s="132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8"/>
      <c r="G779" s="1328"/>
      <c r="H779" s="1328"/>
      <c r="I779" s="1328"/>
      <c r="J779" s="1328"/>
      <c r="K779" s="1328"/>
      <c r="L779" s="1112" t="s">
        <v>1488</v>
      </c>
      <c r="M779" s="1329">
        <v>762</v>
      </c>
      <c r="N779" s="1329"/>
      <c r="O779" s="132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8"/>
      <c r="G780" s="1328"/>
      <c r="H780" s="1328"/>
      <c r="I780" s="1328"/>
      <c r="J780" s="1328"/>
      <c r="K780" s="1328"/>
      <c r="L780" s="1112" t="s">
        <v>1489</v>
      </c>
      <c r="M780" s="1329">
        <v>763</v>
      </c>
      <c r="N780" s="1329"/>
      <c r="O780" s="1328">
        <v>192</v>
      </c>
    </row>
    <row r="781" spans="1:15" x14ac:dyDescent="0.25">
      <c r="A781" s="1144" t="s">
        <v>1505</v>
      </c>
      <c r="B781" s="1112" t="str">
        <f t="shared" ca="1" si="84"/>
        <v>L181</v>
      </c>
      <c r="C781" s="1112" t="str">
        <f t="shared" ca="1" si="85"/>
        <v>L182</v>
      </c>
      <c r="D781" s="1112" t="s">
        <v>1457</v>
      </c>
      <c r="E781" s="1112" t="s">
        <v>1628</v>
      </c>
      <c r="F781" s="1328"/>
      <c r="G781" s="1328"/>
      <c r="H781" s="1328"/>
      <c r="I781" s="1328"/>
      <c r="J781" s="1328"/>
      <c r="K781" s="1328"/>
      <c r="L781" s="1112" t="s">
        <v>1505</v>
      </c>
      <c r="M781" s="1329">
        <v>764</v>
      </c>
      <c r="N781" s="1329"/>
      <c r="O781" s="1328" t="s">
        <v>1771</v>
      </c>
    </row>
    <row r="782" spans="1:15" x14ac:dyDescent="0.25">
      <c r="A782" s="1144" t="s">
        <v>1490</v>
      </c>
      <c r="B782" s="1112" t="str">
        <f t="shared" ca="1" si="84"/>
        <v>N181</v>
      </c>
      <c r="C782" s="1112" t="str">
        <f t="shared" ca="1" si="85"/>
        <v>N182</v>
      </c>
      <c r="D782" s="1112" t="s">
        <v>1457</v>
      </c>
      <c r="E782" s="1112" t="s">
        <v>1628</v>
      </c>
      <c r="F782" s="1328"/>
      <c r="G782" s="1328"/>
      <c r="H782" s="1328"/>
      <c r="I782" s="1328"/>
      <c r="J782" s="1328"/>
      <c r="K782" s="1328"/>
      <c r="L782" s="1112" t="s">
        <v>1490</v>
      </c>
      <c r="M782" s="1329">
        <v>765</v>
      </c>
      <c r="N782" s="1329"/>
      <c r="O782" s="1328"/>
    </row>
    <row r="783" spans="1:15" x14ac:dyDescent="0.25">
      <c r="A783" s="1144" t="s">
        <v>1598</v>
      </c>
      <c r="B783" s="1112" t="str">
        <f t="shared" ca="1" si="84"/>
        <v>P181</v>
      </c>
      <c r="C783" s="1112" t="str">
        <f t="shared" ca="1" si="85"/>
        <v>P182</v>
      </c>
      <c r="D783" s="1112" t="s">
        <v>1457</v>
      </c>
      <c r="E783" s="1112" t="s">
        <v>1628</v>
      </c>
      <c r="F783" s="1328"/>
      <c r="G783" s="1328"/>
      <c r="H783" s="1328"/>
      <c r="I783" s="1328"/>
      <c r="J783" s="1328"/>
      <c r="K783" s="1328"/>
      <c r="L783" s="1112" t="s">
        <v>1598</v>
      </c>
      <c r="M783" s="1329">
        <v>766</v>
      </c>
      <c r="N783" s="1329"/>
      <c r="O783" s="1328"/>
    </row>
    <row r="784" spans="1:15" x14ac:dyDescent="0.25">
      <c r="A784" s="1144" t="s">
        <v>1599</v>
      </c>
      <c r="B784" s="1112" t="str">
        <f t="shared" ca="1" si="84"/>
        <v>R181</v>
      </c>
      <c r="C784" s="1112" t="str">
        <f t="shared" ca="1" si="85"/>
        <v>R182</v>
      </c>
      <c r="D784" s="1112" t="s">
        <v>1457</v>
      </c>
      <c r="E784" s="1112" t="s">
        <v>1628</v>
      </c>
      <c r="F784" s="1328"/>
      <c r="G784" s="1328"/>
      <c r="H784" s="1328"/>
      <c r="I784" s="1328"/>
      <c r="J784" s="1328"/>
      <c r="K784" s="1328"/>
      <c r="L784" s="1112" t="s">
        <v>1599</v>
      </c>
      <c r="M784" s="1329">
        <v>767</v>
      </c>
      <c r="N784" s="1329"/>
      <c r="O784" s="1328"/>
    </row>
    <row r="785" spans="1:15" x14ac:dyDescent="0.25">
      <c r="A785" s="1144" t="s">
        <v>1600</v>
      </c>
      <c r="B785" s="1112" t="str">
        <f t="shared" ca="1" si="84"/>
        <v>T181</v>
      </c>
      <c r="C785" s="1112" t="str">
        <f t="shared" ca="1" si="85"/>
        <v>T182</v>
      </c>
      <c r="D785" s="1112" t="s">
        <v>1457</v>
      </c>
      <c r="E785" s="1112" t="s">
        <v>1628</v>
      </c>
      <c r="F785" s="1328"/>
      <c r="G785" s="1328"/>
      <c r="H785" s="1328"/>
      <c r="I785" s="1328"/>
      <c r="J785" s="1328"/>
      <c r="K785" s="1328"/>
      <c r="L785" s="1112" t="s">
        <v>1600</v>
      </c>
      <c r="M785" s="1329">
        <v>768</v>
      </c>
      <c r="N785" s="1329"/>
      <c r="O785" s="132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8"/>
      <c r="G786" s="1328"/>
      <c r="H786" s="1328"/>
      <c r="I786" s="1328"/>
      <c r="J786" s="1328"/>
      <c r="K786" s="1328"/>
      <c r="L786" s="1112" t="s">
        <v>1493</v>
      </c>
      <c r="M786" s="1329">
        <v>769</v>
      </c>
      <c r="N786" s="1329"/>
      <c r="O786" s="132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8"/>
      <c r="G787" s="1328"/>
      <c r="H787" s="1328"/>
      <c r="I787" s="1328"/>
      <c r="J787" s="1328"/>
      <c r="K787" s="1328"/>
      <c r="L787" s="1112" t="s">
        <v>1494</v>
      </c>
      <c r="M787" s="1329">
        <v>770</v>
      </c>
      <c r="N787" s="1329"/>
      <c r="O787" s="1328"/>
    </row>
    <row r="788" spans="1:15" x14ac:dyDescent="0.25">
      <c r="A788" s="1144" t="s">
        <v>1607</v>
      </c>
      <c r="B788" s="1112" t="str">
        <f ca="1">IFERROR(_xlfn.CONCAT("C",MATCH(A788,INDIRECT("'"&amp;E788&amp;"'!C"&amp;$O$778&amp;":C"&amp;$O$780),0)+$O$778-1),"")</f>
        <v>C189</v>
      </c>
      <c r="C788" s="1112" t="str">
        <f ca="1">IFERROR(_xlfn.CONCAT("E",MATCH(A788,INDIRECT("'"&amp;E788&amp;"'!C"&amp;$O$778&amp;":C"&amp;$O$780),0)+$O$778-1),"")</f>
        <v>E189</v>
      </c>
      <c r="D788" s="1112" t="s">
        <v>1457</v>
      </c>
      <c r="E788" s="1112" t="s">
        <v>1628</v>
      </c>
      <c r="F788" s="1328"/>
      <c r="G788" s="1328"/>
      <c r="H788" s="1328"/>
      <c r="I788" s="1328"/>
      <c r="J788" s="1328"/>
      <c r="K788" s="1328"/>
      <c r="L788" s="1112" t="s">
        <v>1607</v>
      </c>
      <c r="M788" s="1329">
        <v>771</v>
      </c>
      <c r="N788" s="1329"/>
      <c r="O788" s="132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8"/>
      <c r="G789" s="1328"/>
      <c r="H789" s="1328"/>
      <c r="I789" s="1328"/>
      <c r="J789" s="1328"/>
      <c r="K789" s="1328"/>
      <c r="L789" s="1112" t="s">
        <v>1604</v>
      </c>
      <c r="M789" s="1329">
        <v>772</v>
      </c>
      <c r="N789" s="1329"/>
      <c r="O789" s="132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8"/>
      <c r="G790" s="1328"/>
      <c r="H790" s="1328"/>
      <c r="I790" s="1328"/>
      <c r="J790" s="1328"/>
      <c r="K790" s="1328"/>
      <c r="L790" s="1112" t="s">
        <v>1618</v>
      </c>
      <c r="M790" s="1329">
        <v>773</v>
      </c>
      <c r="N790" s="1329"/>
      <c r="O790" s="132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8"/>
      <c r="G791" s="1328"/>
      <c r="H791" s="1328"/>
      <c r="I791" s="1328"/>
      <c r="J791" s="1328"/>
      <c r="K791" s="1328"/>
      <c r="L791" s="1112" t="s">
        <v>1495</v>
      </c>
      <c r="M791" s="1329">
        <v>774</v>
      </c>
      <c r="N791" s="1329"/>
      <c r="O791" s="132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8"/>
      <c r="G792" s="1328"/>
      <c r="H792" s="1328"/>
      <c r="I792" s="1328"/>
      <c r="J792" s="1328"/>
      <c r="K792" s="1328"/>
      <c r="L792" s="1112" t="s">
        <v>1496</v>
      </c>
      <c r="M792" s="1329">
        <v>775</v>
      </c>
      <c r="N792" s="1329"/>
      <c r="O792" s="1328"/>
    </row>
    <row r="793" spans="1:15" x14ac:dyDescent="0.25">
      <c r="A793" s="1144" t="s">
        <v>1497</v>
      </c>
      <c r="B793" s="1112" t="str">
        <f t="shared" ca="1" si="86"/>
        <v>L184</v>
      </c>
      <c r="C793" s="1112" t="str">
        <f t="shared" ca="1" si="87"/>
        <v>L185</v>
      </c>
      <c r="D793" s="1112" t="s">
        <v>1457</v>
      </c>
      <c r="E793" s="1112" t="s">
        <v>1628</v>
      </c>
      <c r="F793" s="1328"/>
      <c r="G793" s="1328"/>
      <c r="H793" s="1328"/>
      <c r="I793" s="1328"/>
      <c r="J793" s="1328"/>
      <c r="K793" s="1328"/>
      <c r="L793" s="1112" t="s">
        <v>1497</v>
      </c>
      <c r="M793" s="1329">
        <v>776</v>
      </c>
      <c r="N793" s="1329"/>
      <c r="O793" s="132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8"/>
      <c r="G794" s="1328"/>
      <c r="H794" s="1328"/>
      <c r="I794" s="1328"/>
      <c r="J794" s="1328"/>
      <c r="K794" s="1328"/>
      <c r="L794" s="1112" t="s">
        <v>1603</v>
      </c>
      <c r="M794" s="1329">
        <v>777</v>
      </c>
      <c r="N794" s="1329"/>
      <c r="O794" s="132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8"/>
      <c r="G795" s="1328"/>
      <c r="H795" s="1328"/>
      <c r="I795" s="1328"/>
      <c r="J795" s="1328"/>
      <c r="K795" s="1328"/>
      <c r="L795" s="1112" t="s">
        <v>1491</v>
      </c>
      <c r="M795" s="1329">
        <v>778</v>
      </c>
      <c r="N795" s="1329"/>
      <c r="O795" s="132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8"/>
      <c r="G796" s="1328"/>
      <c r="H796" s="1328"/>
      <c r="I796" s="1328"/>
      <c r="J796" s="1328"/>
      <c r="K796" s="1328"/>
      <c r="L796" s="1112" t="s">
        <v>1488</v>
      </c>
      <c r="M796" s="1329">
        <v>779</v>
      </c>
      <c r="N796" s="1329"/>
      <c r="O796" s="132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8"/>
      <c r="G797" s="1328"/>
      <c r="H797" s="1328"/>
      <c r="I797" s="1328"/>
      <c r="J797" s="1328"/>
      <c r="K797" s="1328"/>
      <c r="L797" s="1112" t="s">
        <v>1489</v>
      </c>
      <c r="M797" s="1329">
        <v>780</v>
      </c>
      <c r="N797" s="1329"/>
      <c r="O797" s="1328">
        <v>206</v>
      </c>
    </row>
    <row r="798" spans="1:15" x14ac:dyDescent="0.25">
      <c r="A798" s="1147" t="s">
        <v>1505</v>
      </c>
      <c r="B798" s="1112" t="str">
        <f t="shared" ca="1" si="88"/>
        <v>L195</v>
      </c>
      <c r="C798" s="1112" t="str">
        <f t="shared" ca="1" si="89"/>
        <v>L196</v>
      </c>
      <c r="D798" s="1112" t="s">
        <v>1457</v>
      </c>
      <c r="E798" s="1112" t="s">
        <v>1628</v>
      </c>
      <c r="F798" s="1328"/>
      <c r="G798" s="1328"/>
      <c r="H798" s="1328"/>
      <c r="I798" s="1328"/>
      <c r="J798" s="1328"/>
      <c r="K798" s="1328"/>
      <c r="L798" s="1112" t="s">
        <v>1505</v>
      </c>
      <c r="M798" s="1329">
        <v>781</v>
      </c>
      <c r="N798" s="1329"/>
      <c r="O798" s="1328" t="s">
        <v>1772</v>
      </c>
    </row>
    <row r="799" spans="1:15" x14ac:dyDescent="0.25">
      <c r="A799" s="1147" t="s">
        <v>1490</v>
      </c>
      <c r="B799" s="1112" t="str">
        <f t="shared" ca="1" si="88"/>
        <v>N195</v>
      </c>
      <c r="C799" s="1112" t="str">
        <f t="shared" ca="1" si="89"/>
        <v>N196</v>
      </c>
      <c r="D799" s="1112" t="s">
        <v>1457</v>
      </c>
      <c r="E799" s="1112" t="s">
        <v>1628</v>
      </c>
      <c r="F799" s="1328"/>
      <c r="G799" s="1328"/>
      <c r="H799" s="1328"/>
      <c r="I799" s="1328"/>
      <c r="J799" s="1328"/>
      <c r="K799" s="1328"/>
      <c r="L799" s="1112" t="s">
        <v>1490</v>
      </c>
      <c r="M799" s="1329">
        <v>782</v>
      </c>
      <c r="N799" s="1329"/>
      <c r="O799" s="1328"/>
    </row>
    <row r="800" spans="1:15" x14ac:dyDescent="0.25">
      <c r="A800" s="1147" t="s">
        <v>1598</v>
      </c>
      <c r="B800" s="1112" t="str">
        <f t="shared" ca="1" si="88"/>
        <v>P195</v>
      </c>
      <c r="C800" s="1112" t="str">
        <f t="shared" ca="1" si="89"/>
        <v>P196</v>
      </c>
      <c r="D800" s="1112" t="s">
        <v>1457</v>
      </c>
      <c r="E800" s="1112" t="s">
        <v>1628</v>
      </c>
      <c r="F800" s="1328"/>
      <c r="G800" s="1328"/>
      <c r="H800" s="1328"/>
      <c r="I800" s="1328"/>
      <c r="J800" s="1328"/>
      <c r="K800" s="1328"/>
      <c r="L800" s="1112" t="s">
        <v>1598</v>
      </c>
      <c r="M800" s="1329">
        <v>783</v>
      </c>
      <c r="N800" s="1329"/>
      <c r="O800" s="1328"/>
    </row>
    <row r="801" spans="1:15" x14ac:dyDescent="0.25">
      <c r="A801" s="1147" t="s">
        <v>1599</v>
      </c>
      <c r="B801" s="1112" t="str">
        <f t="shared" ca="1" si="88"/>
        <v>R195</v>
      </c>
      <c r="C801" s="1112" t="str">
        <f t="shared" ca="1" si="89"/>
        <v>R196</v>
      </c>
      <c r="D801" s="1112" t="s">
        <v>1457</v>
      </c>
      <c r="E801" s="1112" t="s">
        <v>1628</v>
      </c>
      <c r="F801" s="1328"/>
      <c r="G801" s="1328"/>
      <c r="H801" s="1328"/>
      <c r="I801" s="1328"/>
      <c r="J801" s="1328"/>
      <c r="K801" s="1328"/>
      <c r="L801" s="1112" t="s">
        <v>1599</v>
      </c>
      <c r="M801" s="1329">
        <v>784</v>
      </c>
      <c r="N801" s="1329"/>
      <c r="O801" s="1328"/>
    </row>
    <row r="802" spans="1:15" x14ac:dyDescent="0.25">
      <c r="A802" s="1147" t="s">
        <v>1600</v>
      </c>
      <c r="B802" s="1112" t="str">
        <f t="shared" ca="1" si="88"/>
        <v>T195</v>
      </c>
      <c r="C802" s="1112" t="str">
        <f t="shared" ca="1" si="89"/>
        <v>T196</v>
      </c>
      <c r="D802" s="1112" t="s">
        <v>1457</v>
      </c>
      <c r="E802" s="1112" t="s">
        <v>1628</v>
      </c>
      <c r="F802" s="1328"/>
      <c r="G802" s="1328"/>
      <c r="H802" s="1328"/>
      <c r="I802" s="1328"/>
      <c r="J802" s="1328"/>
      <c r="K802" s="1328"/>
      <c r="L802" s="1112" t="s">
        <v>1600</v>
      </c>
      <c r="M802" s="1329">
        <v>785</v>
      </c>
      <c r="N802" s="1329"/>
      <c r="O802" s="132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8"/>
      <c r="G803" s="1328"/>
      <c r="H803" s="1328"/>
      <c r="I803" s="1328"/>
      <c r="J803" s="1328"/>
      <c r="K803" s="1328"/>
      <c r="L803" s="1112" t="s">
        <v>1493</v>
      </c>
      <c r="M803" s="1329">
        <v>786</v>
      </c>
      <c r="N803" s="1329"/>
      <c r="O803" s="132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8"/>
      <c r="G804" s="1328"/>
      <c r="H804" s="1328"/>
      <c r="I804" s="1328"/>
      <c r="J804" s="1328"/>
      <c r="K804" s="1328"/>
      <c r="L804" s="1112" t="s">
        <v>1494</v>
      </c>
      <c r="M804" s="1329">
        <v>787</v>
      </c>
      <c r="N804" s="1329"/>
      <c r="O804" s="1328"/>
    </row>
    <row r="805" spans="1:15" x14ac:dyDescent="0.25">
      <c r="A805" s="1147" t="s">
        <v>1607</v>
      </c>
      <c r="B805" s="1112" t="str">
        <f ca="1">IFERROR(_xlfn.CONCAT("C",MATCH(A805,INDIRECT("'"&amp;E805&amp;"'!C"&amp;$O$795&amp;":C"&amp;$O$797),0)+$O$795-1),"")</f>
        <v>C203</v>
      </c>
      <c r="C805" s="1112" t="str">
        <f ca="1">IFERROR(_xlfn.CONCAT("E",MATCH(A805,INDIRECT("'"&amp;E805&amp;"'!C"&amp;$O$795&amp;":C"&amp;$O$797),0)+$O$795-1),"")</f>
        <v>E203</v>
      </c>
      <c r="D805" s="1112" t="s">
        <v>1457</v>
      </c>
      <c r="E805" s="1112" t="s">
        <v>1628</v>
      </c>
      <c r="F805" s="1328"/>
      <c r="G805" s="1328"/>
      <c r="H805" s="1328"/>
      <c r="I805" s="1328"/>
      <c r="J805" s="1328"/>
      <c r="K805" s="1328"/>
      <c r="L805" s="1112" t="s">
        <v>1607</v>
      </c>
      <c r="M805" s="1329">
        <v>788</v>
      </c>
      <c r="N805" s="1329"/>
      <c r="O805" s="132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8"/>
      <c r="G806" s="1328"/>
      <c r="H806" s="1328"/>
      <c r="I806" s="1328"/>
      <c r="J806" s="1328"/>
      <c r="K806" s="1328"/>
      <c r="L806" s="1112" t="s">
        <v>1604</v>
      </c>
      <c r="M806" s="1329">
        <v>789</v>
      </c>
      <c r="N806" s="1329"/>
      <c r="O806" s="132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8"/>
      <c r="G807" s="1328"/>
      <c r="H807" s="1328"/>
      <c r="I807" s="1328"/>
      <c r="J807" s="1328"/>
      <c r="K807" s="1328"/>
      <c r="L807" s="1112" t="s">
        <v>1618</v>
      </c>
      <c r="M807" s="1329">
        <v>790</v>
      </c>
      <c r="N807" s="1329"/>
      <c r="O807" s="132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8"/>
      <c r="G808" s="1328"/>
      <c r="H808" s="1328"/>
      <c r="I808" s="1328"/>
      <c r="J808" s="1328"/>
      <c r="K808" s="1328"/>
      <c r="L808" s="1112" t="s">
        <v>1495</v>
      </c>
      <c r="M808" s="1329">
        <v>791</v>
      </c>
      <c r="N808" s="1329"/>
      <c r="O808" s="132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8"/>
      <c r="G809" s="1328"/>
      <c r="H809" s="1328"/>
      <c r="I809" s="1328"/>
      <c r="J809" s="1328"/>
      <c r="K809" s="1328"/>
      <c r="L809" s="1112" t="s">
        <v>1496</v>
      </c>
      <c r="M809" s="1329">
        <v>792</v>
      </c>
      <c r="N809" s="1329"/>
      <c r="O809" s="132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8"/>
      <c r="G810" s="1328"/>
      <c r="H810" s="1328"/>
      <c r="I810" s="1328"/>
      <c r="J810" s="1328"/>
      <c r="K810" s="1328"/>
      <c r="L810" s="1112" t="s">
        <v>1497</v>
      </c>
      <c r="M810" s="1329">
        <v>793</v>
      </c>
      <c r="N810" s="1329"/>
      <c r="O810" s="132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8"/>
      <c r="G811" s="1328"/>
      <c r="H811" s="1328"/>
      <c r="I811" s="1328"/>
      <c r="J811" s="1328"/>
      <c r="K811" s="1328"/>
      <c r="L811" s="1112" t="s">
        <v>1603</v>
      </c>
      <c r="M811" s="1329">
        <v>794</v>
      </c>
      <c r="N811" s="1329"/>
      <c r="O811" s="132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8"/>
      <c r="G812" s="1328"/>
      <c r="H812" s="1328"/>
      <c r="I812" s="1328"/>
      <c r="J812" s="1328"/>
      <c r="K812" s="1328"/>
      <c r="L812" s="1112" t="s">
        <v>1491</v>
      </c>
      <c r="M812" s="1329">
        <v>795</v>
      </c>
      <c r="N812" s="1329"/>
      <c r="O812" s="132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8"/>
      <c r="G813" s="1328"/>
      <c r="H813" s="1328"/>
      <c r="I813" s="1328"/>
      <c r="J813" s="1328"/>
      <c r="K813" s="1328"/>
      <c r="L813" s="1112" t="s">
        <v>1488</v>
      </c>
      <c r="M813" s="1329">
        <v>796</v>
      </c>
      <c r="N813" s="1329"/>
      <c r="O813" s="132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8"/>
      <c r="G814" s="1328"/>
      <c r="H814" s="1328"/>
      <c r="I814" s="1328"/>
      <c r="J814" s="1328"/>
      <c r="K814" s="1328"/>
      <c r="L814" s="1112" t="s">
        <v>1489</v>
      </c>
      <c r="M814" s="1329">
        <v>797</v>
      </c>
      <c r="N814" s="1329"/>
      <c r="O814" s="1328">
        <v>222</v>
      </c>
    </row>
    <row r="815" spans="1:15" x14ac:dyDescent="0.25">
      <c r="A815" s="1144" t="s">
        <v>1505</v>
      </c>
      <c r="B815" s="1112" t="str">
        <f t="shared" ca="1" si="90"/>
        <v>L209</v>
      </c>
      <c r="C815" s="1112" t="str">
        <f t="shared" ca="1" si="91"/>
        <v>L210</v>
      </c>
      <c r="D815" s="1112" t="s">
        <v>1457</v>
      </c>
      <c r="E815" s="1112" t="s">
        <v>1628</v>
      </c>
      <c r="F815" s="1328"/>
      <c r="G815" s="1328"/>
      <c r="H815" s="1328"/>
      <c r="I815" s="1328"/>
      <c r="J815" s="1328"/>
      <c r="K815" s="1328"/>
      <c r="L815" s="1112" t="s">
        <v>1505</v>
      </c>
      <c r="M815" s="1329">
        <v>798</v>
      </c>
      <c r="N815" s="1329"/>
      <c r="O815" s="1328" t="s">
        <v>1773</v>
      </c>
    </row>
    <row r="816" spans="1:15" x14ac:dyDescent="0.25">
      <c r="A816" s="1144" t="s">
        <v>1490</v>
      </c>
      <c r="B816" s="1112" t="str">
        <f t="shared" ca="1" si="90"/>
        <v>N209</v>
      </c>
      <c r="C816" s="1112" t="str">
        <f t="shared" ca="1" si="91"/>
        <v>N210</v>
      </c>
      <c r="D816" s="1112" t="s">
        <v>1457</v>
      </c>
      <c r="E816" s="1112" t="s">
        <v>1628</v>
      </c>
      <c r="F816" s="1328"/>
      <c r="G816" s="1328"/>
      <c r="H816" s="1328"/>
      <c r="I816" s="1328"/>
      <c r="J816" s="1328"/>
      <c r="K816" s="1328"/>
      <c r="L816" s="1112" t="s">
        <v>1490</v>
      </c>
      <c r="M816" s="1329">
        <v>799</v>
      </c>
      <c r="N816" s="1329"/>
      <c r="O816" s="1328"/>
    </row>
    <row r="817" spans="1:15" x14ac:dyDescent="0.25">
      <c r="A817" s="1144" t="s">
        <v>1598</v>
      </c>
      <c r="B817" s="1112" t="str">
        <f t="shared" ca="1" si="90"/>
        <v>P209</v>
      </c>
      <c r="C817" s="1112" t="str">
        <f t="shared" ca="1" si="91"/>
        <v>P210</v>
      </c>
      <c r="D817" s="1112" t="s">
        <v>1457</v>
      </c>
      <c r="E817" s="1112" t="s">
        <v>1628</v>
      </c>
      <c r="F817" s="1328"/>
      <c r="G817" s="1328"/>
      <c r="H817" s="1328"/>
      <c r="I817" s="1328"/>
      <c r="J817" s="1328"/>
      <c r="K817" s="1328"/>
      <c r="L817" s="1112" t="s">
        <v>1598</v>
      </c>
      <c r="M817" s="1329">
        <v>800</v>
      </c>
      <c r="N817" s="1329"/>
      <c r="O817" s="1328"/>
    </row>
    <row r="818" spans="1:15" x14ac:dyDescent="0.25">
      <c r="A818" s="1144" t="s">
        <v>1599</v>
      </c>
      <c r="B818" s="1112" t="str">
        <f t="shared" ca="1" si="90"/>
        <v>R209</v>
      </c>
      <c r="C818" s="1112" t="str">
        <f t="shared" ca="1" si="91"/>
        <v>R210</v>
      </c>
      <c r="D818" s="1112" t="s">
        <v>1457</v>
      </c>
      <c r="E818" s="1112" t="s">
        <v>1628</v>
      </c>
      <c r="F818" s="1328"/>
      <c r="G818" s="1328"/>
      <c r="H818" s="1328"/>
      <c r="I818" s="1328"/>
      <c r="J818" s="1328"/>
      <c r="K818" s="1328"/>
      <c r="L818" s="1112" t="s">
        <v>1599</v>
      </c>
      <c r="M818" s="1329">
        <v>801</v>
      </c>
      <c r="N818" s="1329"/>
      <c r="O818" s="1328"/>
    </row>
    <row r="819" spans="1:15" x14ac:dyDescent="0.25">
      <c r="A819" s="1144" t="s">
        <v>1600</v>
      </c>
      <c r="B819" s="1112" t="str">
        <f t="shared" ca="1" si="90"/>
        <v>T209</v>
      </c>
      <c r="C819" s="1112" t="str">
        <f t="shared" ca="1" si="91"/>
        <v>T210</v>
      </c>
      <c r="D819" s="1112" t="s">
        <v>1457</v>
      </c>
      <c r="E819" s="1112" t="s">
        <v>1628</v>
      </c>
      <c r="F819" s="1328"/>
      <c r="G819" s="1328"/>
      <c r="H819" s="1328"/>
      <c r="I819" s="1328"/>
      <c r="J819" s="1328"/>
      <c r="K819" s="1328"/>
      <c r="L819" s="1112" t="s">
        <v>1600</v>
      </c>
      <c r="M819" s="1329">
        <v>802</v>
      </c>
      <c r="N819" s="1329"/>
      <c r="O819" s="132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8"/>
      <c r="G820" s="1328"/>
      <c r="H820" s="1328"/>
      <c r="I820" s="1328"/>
      <c r="J820" s="1328"/>
      <c r="K820" s="1328"/>
      <c r="L820" s="1112" t="s">
        <v>1493</v>
      </c>
      <c r="M820" s="1329">
        <v>803</v>
      </c>
      <c r="N820" s="1329"/>
      <c r="O820" s="132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8"/>
      <c r="G821" s="1328"/>
      <c r="H821" s="1328"/>
      <c r="I821" s="1328"/>
      <c r="J821" s="1328"/>
      <c r="K821" s="1328"/>
      <c r="L821" s="1112" t="s">
        <v>1494</v>
      </c>
      <c r="M821" s="1329">
        <v>804</v>
      </c>
      <c r="N821" s="1329"/>
      <c r="O821" s="1328"/>
    </row>
    <row r="822" spans="1:15" x14ac:dyDescent="0.25">
      <c r="A822" s="1144" t="s">
        <v>1607</v>
      </c>
      <c r="B822" s="1112" t="str">
        <f ca="1">IFERROR(_xlfn.CONCAT("C",MATCH(A822,INDIRECT("'"&amp;E822&amp;"'!C"&amp;$O$812&amp;":C"&amp;$O$814),0)+$O$812-1),"")</f>
        <v>C219</v>
      </c>
      <c r="C822" s="1112" t="str">
        <f ca="1">IFERROR(_xlfn.CONCAT("E",MATCH(A822,INDIRECT("'"&amp;E822&amp;"'!C"&amp;$O$812&amp;":C"&amp;$O$814),0)+$O$812-1),"")</f>
        <v>E219</v>
      </c>
      <c r="D822" s="1112" t="s">
        <v>1457</v>
      </c>
      <c r="E822" s="1112" t="s">
        <v>1628</v>
      </c>
      <c r="F822" s="1328"/>
      <c r="G822" s="1328"/>
      <c r="H822" s="1328"/>
      <c r="I822" s="1328"/>
      <c r="J822" s="1328"/>
      <c r="K822" s="1328"/>
      <c r="L822" s="1112" t="s">
        <v>1607</v>
      </c>
      <c r="M822" s="1329">
        <v>805</v>
      </c>
      <c r="N822" s="1329"/>
      <c r="O822" s="132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8"/>
      <c r="G823" s="1328"/>
      <c r="H823" s="1328"/>
      <c r="I823" s="1328"/>
      <c r="J823" s="1328"/>
      <c r="K823" s="1328"/>
      <c r="L823" s="1112" t="s">
        <v>1604</v>
      </c>
      <c r="M823" s="1329">
        <v>806</v>
      </c>
      <c r="N823" s="1329"/>
      <c r="O823" s="132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8"/>
      <c r="G824" s="1328"/>
      <c r="H824" s="1328"/>
      <c r="I824" s="1328"/>
      <c r="J824" s="1328"/>
      <c r="K824" s="1328"/>
      <c r="L824" s="1112" t="s">
        <v>1618</v>
      </c>
      <c r="M824" s="1329">
        <v>807</v>
      </c>
      <c r="N824" s="1329"/>
      <c r="O824" s="132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8"/>
      <c r="G825" s="1328"/>
      <c r="H825" s="1328"/>
      <c r="I825" s="1328"/>
      <c r="J825" s="1328"/>
      <c r="K825" s="1328"/>
      <c r="L825" s="1112" t="s">
        <v>1495</v>
      </c>
      <c r="M825" s="1329">
        <v>808</v>
      </c>
      <c r="N825" s="1329"/>
      <c r="O825" s="132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8"/>
      <c r="G826" s="1328"/>
      <c r="H826" s="1328"/>
      <c r="I826" s="1328"/>
      <c r="J826" s="1328"/>
      <c r="K826" s="1328"/>
      <c r="L826" s="1112" t="s">
        <v>1496</v>
      </c>
      <c r="M826" s="1329">
        <v>809</v>
      </c>
      <c r="N826" s="1329"/>
      <c r="O826" s="1328"/>
    </row>
    <row r="827" spans="1:15" x14ac:dyDescent="0.25">
      <c r="A827" s="1144" t="s">
        <v>1497</v>
      </c>
      <c r="B827" s="1112" t="str">
        <f t="shared" ca="1" si="92"/>
        <v>L213</v>
      </c>
      <c r="C827" s="1112" t="str">
        <f t="shared" ca="1" si="93"/>
        <v>L</v>
      </c>
      <c r="D827" s="1112" t="s">
        <v>1464</v>
      </c>
      <c r="E827" s="1112" t="s">
        <v>1628</v>
      </c>
      <c r="F827" s="1328"/>
      <c r="G827" s="1328"/>
      <c r="H827" s="1328"/>
      <c r="I827" s="1328"/>
      <c r="J827" s="1328"/>
      <c r="K827" s="1328"/>
      <c r="L827" s="1112" t="s">
        <v>1497</v>
      </c>
      <c r="M827" s="1329">
        <v>810</v>
      </c>
      <c r="N827" s="1329"/>
      <c r="O827" s="132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8"/>
      <c r="G828" s="1328"/>
      <c r="H828" s="1328"/>
      <c r="I828" s="1328"/>
      <c r="J828" s="1328"/>
      <c r="K828" s="1328"/>
      <c r="L828" s="1112" t="s">
        <v>1495</v>
      </c>
      <c r="M828" s="1329">
        <v>811</v>
      </c>
      <c r="N828" s="1329"/>
      <c r="O828" s="132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8"/>
      <c r="G829" s="1328"/>
      <c r="H829" s="1328"/>
      <c r="I829" s="1328"/>
      <c r="J829" s="1328"/>
      <c r="K829" s="1328"/>
      <c r="L829" s="1112" t="s">
        <v>1496</v>
      </c>
      <c r="M829" s="1329">
        <v>812</v>
      </c>
      <c r="N829" s="1329"/>
      <c r="O829" s="1328"/>
    </row>
    <row r="830" spans="1:15" x14ac:dyDescent="0.25">
      <c r="A830" s="1144" t="s">
        <v>1497</v>
      </c>
      <c r="B830" s="1112" t="str">
        <f t="shared" ca="1" si="94"/>
        <v>L214</v>
      </c>
      <c r="C830" s="1112" t="str">
        <f t="shared" ca="1" si="93"/>
        <v>L</v>
      </c>
      <c r="D830" s="1112" t="s">
        <v>1464</v>
      </c>
      <c r="E830" s="1112" t="s">
        <v>1628</v>
      </c>
      <c r="F830" s="1328"/>
      <c r="G830" s="1328"/>
      <c r="H830" s="1328"/>
      <c r="I830" s="1328"/>
      <c r="J830" s="1328"/>
      <c r="K830" s="1328"/>
      <c r="L830" s="1112" t="s">
        <v>1497</v>
      </c>
      <c r="M830" s="1329">
        <v>813</v>
      </c>
      <c r="N830" s="1329"/>
      <c r="O830" s="132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8"/>
      <c r="G831" s="1328"/>
      <c r="H831" s="1328"/>
      <c r="I831" s="1328"/>
      <c r="J831" s="1328"/>
      <c r="K831" s="1328"/>
      <c r="L831" s="1112" t="s">
        <v>1495</v>
      </c>
      <c r="M831" s="1329">
        <v>814</v>
      </c>
      <c r="N831" s="1329"/>
      <c r="O831" s="132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8"/>
      <c r="G832" s="1328"/>
      <c r="H832" s="1328"/>
      <c r="I832" s="1328"/>
      <c r="J832" s="1328"/>
      <c r="K832" s="1328"/>
      <c r="L832" s="1112" t="s">
        <v>1496</v>
      </c>
      <c r="M832" s="1329">
        <v>815</v>
      </c>
      <c r="N832" s="1329"/>
      <c r="O832" s="1328"/>
    </row>
    <row r="833" spans="1:15" x14ac:dyDescent="0.25">
      <c r="A833" s="1144" t="s">
        <v>1497</v>
      </c>
      <c r="B833" s="1112" t="str">
        <f t="shared" ca="1" si="95"/>
        <v>L215</v>
      </c>
      <c r="C833" s="1112" t="str">
        <f t="shared" ca="1" si="93"/>
        <v>L</v>
      </c>
      <c r="D833" s="1112" t="s">
        <v>1464</v>
      </c>
      <c r="E833" s="1112" t="s">
        <v>1628</v>
      </c>
      <c r="F833" s="1328"/>
      <c r="G833" s="1328"/>
      <c r="H833" s="1328"/>
      <c r="I833" s="1328"/>
      <c r="J833" s="1328"/>
      <c r="K833" s="1328"/>
      <c r="L833" s="1112" t="s">
        <v>1497</v>
      </c>
      <c r="M833" s="1329">
        <v>816</v>
      </c>
      <c r="N833" s="1329"/>
      <c r="O833" s="132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8"/>
      <c r="G834" s="1328"/>
      <c r="H834" s="1328"/>
      <c r="I834" s="1328"/>
      <c r="J834" s="1328"/>
      <c r="K834" s="1328"/>
      <c r="L834" s="1112" t="s">
        <v>1495</v>
      </c>
      <c r="M834" s="1329">
        <v>817</v>
      </c>
      <c r="N834" s="1329"/>
      <c r="O834" s="132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8"/>
      <c r="G835" s="1328"/>
      <c r="H835" s="1328"/>
      <c r="I835" s="1328"/>
      <c r="J835" s="1328"/>
      <c r="K835" s="1328"/>
      <c r="L835" s="1112" t="s">
        <v>1496</v>
      </c>
      <c r="M835" s="1329">
        <v>818</v>
      </c>
      <c r="N835" s="1329"/>
      <c r="O835" s="1328"/>
    </row>
    <row r="836" spans="1:15" x14ac:dyDescent="0.25">
      <c r="A836" s="1144" t="s">
        <v>1497</v>
      </c>
      <c r="B836" s="1112" t="str">
        <f t="shared" ca="1" si="96"/>
        <v>L216</v>
      </c>
      <c r="C836" s="1112" t="str">
        <f t="shared" ca="1" si="93"/>
        <v>L</v>
      </c>
      <c r="D836" s="1112" t="s">
        <v>1464</v>
      </c>
      <c r="E836" s="1112" t="s">
        <v>1628</v>
      </c>
      <c r="F836" s="1328"/>
      <c r="G836" s="1328"/>
      <c r="H836" s="1328"/>
      <c r="I836" s="1328"/>
      <c r="J836" s="1328"/>
      <c r="K836" s="1328"/>
      <c r="L836" s="1112" t="s">
        <v>1497</v>
      </c>
      <c r="M836" s="1329">
        <v>819</v>
      </c>
      <c r="N836" s="1329"/>
      <c r="O836" s="132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8"/>
      <c r="G837" s="1328"/>
      <c r="H837" s="1328"/>
      <c r="I837" s="1328"/>
      <c r="J837" s="1328"/>
      <c r="K837" s="1328"/>
      <c r="L837" s="1112" t="s">
        <v>1495</v>
      </c>
      <c r="M837" s="1329">
        <v>820</v>
      </c>
      <c r="N837" s="1329"/>
      <c r="O837" s="132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8"/>
      <c r="G838" s="1328"/>
      <c r="H838" s="1328"/>
      <c r="I838" s="1328"/>
      <c r="J838" s="1328"/>
      <c r="K838" s="1328"/>
      <c r="L838" s="1112" t="s">
        <v>1496</v>
      </c>
      <c r="M838" s="1329">
        <v>821</v>
      </c>
      <c r="N838" s="1329"/>
      <c r="O838" s="1328"/>
    </row>
    <row r="839" spans="1:15" x14ac:dyDescent="0.25">
      <c r="A839" s="1144" t="s">
        <v>1497</v>
      </c>
      <c r="B839" s="1112" t="str">
        <f t="shared" ca="1" si="97"/>
        <v>L217</v>
      </c>
      <c r="C839" s="1112" t="str">
        <f t="shared" ca="1" si="93"/>
        <v>L</v>
      </c>
      <c r="D839" s="1112" t="s">
        <v>1464</v>
      </c>
      <c r="E839" s="1112" t="s">
        <v>1628</v>
      </c>
      <c r="F839" s="1328"/>
      <c r="G839" s="1328"/>
      <c r="H839" s="1328"/>
      <c r="I839" s="1328"/>
      <c r="J839" s="1328"/>
      <c r="K839" s="1328"/>
      <c r="L839" s="1112" t="s">
        <v>1497</v>
      </c>
      <c r="M839" s="1329">
        <v>822</v>
      </c>
      <c r="N839" s="1329"/>
      <c r="O839" s="132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8"/>
      <c r="G840" s="1328"/>
      <c r="H840" s="1328"/>
      <c r="I840" s="1328"/>
      <c r="J840" s="1328"/>
      <c r="K840" s="1328"/>
      <c r="L840" s="1112" t="s">
        <v>1603</v>
      </c>
      <c r="M840" s="1329">
        <v>823</v>
      </c>
      <c r="N840" s="1329"/>
      <c r="O840" s="132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8"/>
      <c r="G841" s="1328"/>
      <c r="H841" s="1328"/>
      <c r="I841" s="1328"/>
      <c r="J841" s="1328"/>
      <c r="K841" s="1328"/>
      <c r="L841" s="1112" t="s">
        <v>1491</v>
      </c>
      <c r="M841" s="1329">
        <v>824</v>
      </c>
      <c r="N841" s="1329"/>
      <c r="O841" s="132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8"/>
      <c r="G842" s="1328"/>
      <c r="H842" s="1328"/>
      <c r="I842" s="1328"/>
      <c r="J842" s="1328"/>
      <c r="K842" s="1328"/>
      <c r="L842" s="1112" t="s">
        <v>1488</v>
      </c>
      <c r="M842" s="1329">
        <v>825</v>
      </c>
      <c r="N842" s="1329"/>
      <c r="O842" s="132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8"/>
      <c r="G843" s="1328"/>
      <c r="H843" s="1328"/>
      <c r="I843" s="1328"/>
      <c r="J843" s="1328"/>
      <c r="K843" s="1328"/>
      <c r="L843" s="1112" t="s">
        <v>1489</v>
      </c>
      <c r="M843" s="1329">
        <v>826</v>
      </c>
      <c r="N843" s="1329"/>
      <c r="O843" s="1328">
        <v>238</v>
      </c>
    </row>
    <row r="844" spans="1:15" x14ac:dyDescent="0.25">
      <c r="A844" s="1147" t="s">
        <v>1505</v>
      </c>
      <c r="B844" s="1112" t="str">
        <f t="shared" ca="1" si="98"/>
        <v>L225</v>
      </c>
      <c r="C844" s="1112" t="str">
        <f t="shared" ca="1" si="99"/>
        <v>L226</v>
      </c>
      <c r="D844" s="1112" t="s">
        <v>1457</v>
      </c>
      <c r="E844" s="1112" t="s">
        <v>1628</v>
      </c>
      <c r="F844" s="1328"/>
      <c r="G844" s="1328"/>
      <c r="H844" s="1328"/>
      <c r="I844" s="1328"/>
      <c r="J844" s="1328"/>
      <c r="K844" s="1328"/>
      <c r="L844" s="1112" t="s">
        <v>1505</v>
      </c>
      <c r="M844" s="1329">
        <v>827</v>
      </c>
      <c r="N844" s="1329"/>
      <c r="O844" s="1328" t="s">
        <v>1774</v>
      </c>
    </row>
    <row r="845" spans="1:15" x14ac:dyDescent="0.25">
      <c r="A845" s="1147" t="s">
        <v>1490</v>
      </c>
      <c r="B845" s="1112" t="str">
        <f t="shared" ca="1" si="98"/>
        <v>N225</v>
      </c>
      <c r="C845" s="1112" t="str">
        <f t="shared" ca="1" si="99"/>
        <v>N226</v>
      </c>
      <c r="D845" s="1112" t="s">
        <v>1457</v>
      </c>
      <c r="E845" s="1112" t="s">
        <v>1628</v>
      </c>
      <c r="F845" s="1328"/>
      <c r="G845" s="1328"/>
      <c r="H845" s="1328"/>
      <c r="I845" s="1328"/>
      <c r="J845" s="1328"/>
      <c r="K845" s="1328"/>
      <c r="L845" s="1112" t="s">
        <v>1490</v>
      </c>
      <c r="M845" s="1329">
        <v>828</v>
      </c>
      <c r="N845" s="1329"/>
      <c r="O845" s="1328"/>
    </row>
    <row r="846" spans="1:15" x14ac:dyDescent="0.25">
      <c r="A846" s="1147" t="s">
        <v>1598</v>
      </c>
      <c r="B846" s="1112" t="str">
        <f t="shared" ca="1" si="98"/>
        <v>P225</v>
      </c>
      <c r="C846" s="1112" t="str">
        <f t="shared" ca="1" si="99"/>
        <v>P226</v>
      </c>
      <c r="D846" s="1112" t="s">
        <v>1457</v>
      </c>
      <c r="E846" s="1112" t="s">
        <v>1628</v>
      </c>
      <c r="F846" s="1328"/>
      <c r="G846" s="1328"/>
      <c r="H846" s="1328"/>
      <c r="I846" s="1328"/>
      <c r="J846" s="1328"/>
      <c r="K846" s="1328"/>
      <c r="L846" s="1112" t="s">
        <v>1598</v>
      </c>
      <c r="M846" s="1329">
        <v>829</v>
      </c>
      <c r="N846" s="1329"/>
      <c r="O846" s="1328"/>
    </row>
    <row r="847" spans="1:15" x14ac:dyDescent="0.25">
      <c r="A847" s="1147" t="s">
        <v>1599</v>
      </c>
      <c r="B847" s="1112" t="str">
        <f t="shared" ca="1" si="98"/>
        <v>R225</v>
      </c>
      <c r="C847" s="1112" t="str">
        <f t="shared" ca="1" si="99"/>
        <v>R226</v>
      </c>
      <c r="D847" s="1112" t="s">
        <v>1457</v>
      </c>
      <c r="E847" s="1112" t="s">
        <v>1628</v>
      </c>
      <c r="F847" s="1328"/>
      <c r="G847" s="1328"/>
      <c r="H847" s="1328"/>
      <c r="I847" s="1328"/>
      <c r="J847" s="1328"/>
      <c r="K847" s="1328"/>
      <c r="L847" s="1112" t="s">
        <v>1599</v>
      </c>
      <c r="M847" s="1329">
        <v>830</v>
      </c>
      <c r="N847" s="1329"/>
      <c r="O847" s="1328"/>
    </row>
    <row r="848" spans="1:15" x14ac:dyDescent="0.25">
      <c r="A848" s="1147" t="s">
        <v>1600</v>
      </c>
      <c r="B848" s="1112" t="str">
        <f t="shared" ca="1" si="98"/>
        <v>T225</v>
      </c>
      <c r="C848" s="1112" t="str">
        <f t="shared" ca="1" si="99"/>
        <v>T226</v>
      </c>
      <c r="D848" s="1112" t="s">
        <v>1457</v>
      </c>
      <c r="E848" s="1112" t="s">
        <v>1628</v>
      </c>
      <c r="F848" s="1328"/>
      <c r="G848" s="1328"/>
      <c r="H848" s="1328"/>
      <c r="I848" s="1328"/>
      <c r="J848" s="1328"/>
      <c r="K848" s="1328"/>
      <c r="L848" s="1112" t="s">
        <v>1600</v>
      </c>
      <c r="M848" s="1329">
        <v>831</v>
      </c>
      <c r="N848" s="1329"/>
      <c r="O848" s="132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8"/>
      <c r="G849" s="1328"/>
      <c r="H849" s="1328"/>
      <c r="I849" s="1328"/>
      <c r="J849" s="1328"/>
      <c r="K849" s="1328"/>
      <c r="L849" s="1112" t="s">
        <v>1493</v>
      </c>
      <c r="M849" s="1329">
        <v>832</v>
      </c>
      <c r="N849" s="1329"/>
      <c r="O849" s="132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8"/>
      <c r="G850" s="1328"/>
      <c r="H850" s="1328"/>
      <c r="I850" s="1328"/>
      <c r="J850" s="1328"/>
      <c r="K850" s="1328"/>
      <c r="L850" s="1112" t="s">
        <v>1494</v>
      </c>
      <c r="M850" s="1329">
        <v>833</v>
      </c>
      <c r="N850" s="1329"/>
      <c r="O850" s="1328"/>
    </row>
    <row r="851" spans="1:15" x14ac:dyDescent="0.25">
      <c r="A851" s="1147" t="s">
        <v>1607</v>
      </c>
      <c r="B851" s="1112" t="str">
        <f ca="1">IFERROR(_xlfn.CONCAT("C",MATCH(A851,INDIRECT("'"&amp;E851&amp;"'!C"&amp;$O$841&amp;":C"&amp;$O$843),0)+$O$841-1),"")</f>
        <v>C235</v>
      </c>
      <c r="C851" s="1112" t="str">
        <f ca="1">IFERROR(_xlfn.CONCAT("E",MATCH(A851,INDIRECT("'"&amp;E851&amp;"'!C"&amp;$O$841&amp;":C"&amp;$O$843),0)+$O$841-1),"")</f>
        <v>E235</v>
      </c>
      <c r="D851" s="1112" t="s">
        <v>1457</v>
      </c>
      <c r="E851" s="1112" t="s">
        <v>1628</v>
      </c>
      <c r="F851" s="1328"/>
      <c r="G851" s="1328"/>
      <c r="H851" s="1328"/>
      <c r="I851" s="1328"/>
      <c r="J851" s="1328"/>
      <c r="K851" s="1328"/>
      <c r="L851" s="1112" t="s">
        <v>1607</v>
      </c>
      <c r="M851" s="1329">
        <v>834</v>
      </c>
      <c r="N851" s="1329"/>
      <c r="O851" s="132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8"/>
      <c r="G852" s="1328"/>
      <c r="H852" s="1328"/>
      <c r="I852" s="1328"/>
      <c r="J852" s="1328"/>
      <c r="K852" s="1328"/>
      <c r="L852" s="1112" t="s">
        <v>1604</v>
      </c>
      <c r="M852" s="1329">
        <v>835</v>
      </c>
      <c r="N852" s="1329"/>
      <c r="O852" s="132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8"/>
      <c r="G853" s="1328"/>
      <c r="H853" s="1328"/>
      <c r="I853" s="1328"/>
      <c r="J853" s="1328"/>
      <c r="K853" s="1328"/>
      <c r="L853" s="1112" t="s">
        <v>1618</v>
      </c>
      <c r="M853" s="1329">
        <v>836</v>
      </c>
      <c r="N853" s="1329"/>
      <c r="O853" s="132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8"/>
      <c r="G854" s="1328"/>
      <c r="H854" s="1328"/>
      <c r="I854" s="1328"/>
      <c r="J854" s="1328"/>
      <c r="K854" s="1328"/>
      <c r="L854" s="1112" t="s">
        <v>1495</v>
      </c>
      <c r="M854" s="1329">
        <v>837</v>
      </c>
      <c r="N854" s="1329"/>
      <c r="O854" s="132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8"/>
      <c r="G855" s="1328"/>
      <c r="H855" s="1328"/>
      <c r="I855" s="1328"/>
      <c r="J855" s="1328"/>
      <c r="K855" s="1328"/>
      <c r="L855" s="1112" t="s">
        <v>1496</v>
      </c>
      <c r="M855" s="1329">
        <v>838</v>
      </c>
      <c r="N855" s="1329"/>
      <c r="O855" s="1328"/>
    </row>
    <row r="856" spans="1:15" x14ac:dyDescent="0.25">
      <c r="A856" s="1147" t="s">
        <v>1497</v>
      </c>
      <c r="B856" s="1112" t="str">
        <f t="shared" ca="1" si="100"/>
        <v>L229</v>
      </c>
      <c r="C856" s="1112" t="str">
        <f t="shared" ca="1" si="101"/>
        <v>L</v>
      </c>
      <c r="D856" s="1112" t="s">
        <v>1464</v>
      </c>
      <c r="E856" s="1112" t="s">
        <v>1628</v>
      </c>
      <c r="F856" s="1328"/>
      <c r="G856" s="1328"/>
      <c r="H856" s="1328"/>
      <c r="I856" s="1328"/>
      <c r="J856" s="1328"/>
      <c r="K856" s="1328"/>
      <c r="L856" s="1112" t="s">
        <v>1497</v>
      </c>
      <c r="M856" s="1329">
        <v>839</v>
      </c>
      <c r="N856" s="1329"/>
      <c r="O856" s="132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8"/>
      <c r="G857" s="1328"/>
      <c r="H857" s="1328"/>
      <c r="I857" s="1328"/>
      <c r="J857" s="1328"/>
      <c r="K857" s="1328"/>
      <c r="L857" s="1112" t="s">
        <v>1495</v>
      </c>
      <c r="M857" s="1329">
        <v>840</v>
      </c>
      <c r="N857" s="1329"/>
      <c r="O857" s="132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8"/>
      <c r="G858" s="1328"/>
      <c r="H858" s="1328"/>
      <c r="I858" s="1328"/>
      <c r="J858" s="1328"/>
      <c r="K858" s="1328"/>
      <c r="L858" s="1112" t="s">
        <v>1496</v>
      </c>
      <c r="M858" s="1329">
        <v>841</v>
      </c>
      <c r="N858" s="1329"/>
      <c r="O858" s="1328"/>
    </row>
    <row r="859" spans="1:15" x14ac:dyDescent="0.25">
      <c r="A859" s="1147" t="s">
        <v>1497</v>
      </c>
      <c r="B859" s="1112" t="str">
        <f t="shared" ca="1" si="102"/>
        <v>L230</v>
      </c>
      <c r="C859" s="1112" t="str">
        <f t="shared" ca="1" si="101"/>
        <v>L</v>
      </c>
      <c r="D859" s="1112" t="s">
        <v>1464</v>
      </c>
      <c r="E859" s="1112" t="s">
        <v>1628</v>
      </c>
      <c r="F859" s="1328"/>
      <c r="G859" s="1328"/>
      <c r="H859" s="1328"/>
      <c r="I859" s="1328"/>
      <c r="J859" s="1328"/>
      <c r="K859" s="1328"/>
      <c r="L859" s="1112" t="s">
        <v>1497</v>
      </c>
      <c r="M859" s="1329">
        <v>842</v>
      </c>
      <c r="N859" s="1329"/>
      <c r="O859" s="132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8"/>
      <c r="G860" s="1328"/>
      <c r="H860" s="1328"/>
      <c r="I860" s="1328"/>
      <c r="J860" s="1328"/>
      <c r="K860" s="1328"/>
      <c r="L860" s="1112" t="s">
        <v>1495</v>
      </c>
      <c r="M860" s="1329">
        <v>843</v>
      </c>
      <c r="N860" s="1329"/>
      <c r="O860" s="132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8"/>
      <c r="G861" s="1328"/>
      <c r="H861" s="1328"/>
      <c r="I861" s="1328"/>
      <c r="J861" s="1328"/>
      <c r="K861" s="1328"/>
      <c r="L861" s="1112" t="s">
        <v>1496</v>
      </c>
      <c r="M861" s="1329">
        <v>844</v>
      </c>
      <c r="N861" s="1329"/>
      <c r="O861" s="1328"/>
    </row>
    <row r="862" spans="1:15" x14ac:dyDescent="0.25">
      <c r="A862" s="1147" t="s">
        <v>1497</v>
      </c>
      <c r="B862" s="1112" t="str">
        <f t="shared" ca="1" si="103"/>
        <v>L231</v>
      </c>
      <c r="C862" s="1112" t="str">
        <f t="shared" ca="1" si="101"/>
        <v>L</v>
      </c>
      <c r="D862" s="1112" t="s">
        <v>1464</v>
      </c>
      <c r="E862" s="1112" t="s">
        <v>1628</v>
      </c>
      <c r="F862" s="1328"/>
      <c r="G862" s="1328"/>
      <c r="H862" s="1328"/>
      <c r="I862" s="1328"/>
      <c r="J862" s="1328"/>
      <c r="K862" s="1328"/>
      <c r="L862" s="1112" t="s">
        <v>1497</v>
      </c>
      <c r="M862" s="1329">
        <v>845</v>
      </c>
      <c r="N862" s="1329"/>
      <c r="O862" s="132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8"/>
      <c r="G863" s="1328"/>
      <c r="H863" s="1328"/>
      <c r="I863" s="1328"/>
      <c r="J863" s="1328"/>
      <c r="K863" s="1328"/>
      <c r="L863" s="1112" t="s">
        <v>1495</v>
      </c>
      <c r="M863" s="1329">
        <v>846</v>
      </c>
      <c r="N863" s="1329"/>
      <c r="O863" s="132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8"/>
      <c r="G864" s="1328"/>
      <c r="H864" s="1328"/>
      <c r="I864" s="1328"/>
      <c r="J864" s="1328"/>
      <c r="K864" s="1328"/>
      <c r="L864" s="1112" t="s">
        <v>1496</v>
      </c>
      <c r="M864" s="1329">
        <v>847</v>
      </c>
      <c r="N864" s="1329"/>
      <c r="O864" s="1328"/>
    </row>
    <row r="865" spans="1:15" x14ac:dyDescent="0.25">
      <c r="A865" s="1147" t="s">
        <v>1497</v>
      </c>
      <c r="B865" s="1112" t="str">
        <f t="shared" ca="1" si="104"/>
        <v>L232</v>
      </c>
      <c r="C865" s="1112" t="str">
        <f t="shared" ca="1" si="101"/>
        <v>L</v>
      </c>
      <c r="D865" s="1112" t="s">
        <v>1464</v>
      </c>
      <c r="E865" s="1112" t="s">
        <v>1628</v>
      </c>
      <c r="F865" s="1328"/>
      <c r="G865" s="1328"/>
      <c r="H865" s="1328"/>
      <c r="I865" s="1328"/>
      <c r="J865" s="1328"/>
      <c r="K865" s="1328"/>
      <c r="L865" s="1112" t="s">
        <v>1497</v>
      </c>
      <c r="M865" s="1329">
        <v>848</v>
      </c>
      <c r="N865" s="1329"/>
      <c r="O865" s="132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8"/>
      <c r="G866" s="1328"/>
      <c r="H866" s="1328"/>
      <c r="I866" s="1328"/>
      <c r="J866" s="1328"/>
      <c r="K866" s="1328"/>
      <c r="L866" s="1112" t="s">
        <v>1495</v>
      </c>
      <c r="M866" s="1329">
        <v>849</v>
      </c>
      <c r="N866" s="1329"/>
      <c r="O866" s="132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8"/>
      <c r="G867" s="1328"/>
      <c r="H867" s="1328"/>
      <c r="I867" s="1328"/>
      <c r="J867" s="1328"/>
      <c r="K867" s="1328"/>
      <c r="L867" s="1112" t="s">
        <v>1496</v>
      </c>
      <c r="M867" s="1329">
        <v>850</v>
      </c>
      <c r="N867" s="1329"/>
      <c r="O867" s="1328"/>
    </row>
    <row r="868" spans="1:15" x14ac:dyDescent="0.25">
      <c r="A868" s="1147" t="s">
        <v>1497</v>
      </c>
      <c r="B868" s="1112" t="str">
        <f t="shared" ca="1" si="105"/>
        <v>L233</v>
      </c>
      <c r="C868" s="1112" t="str">
        <f t="shared" ca="1" si="101"/>
        <v>L</v>
      </c>
      <c r="D868" s="1112" t="s">
        <v>1464</v>
      </c>
      <c r="E868" s="1112" t="s">
        <v>1628</v>
      </c>
      <c r="F868" s="1328"/>
      <c r="G868" s="1328"/>
      <c r="H868" s="1328"/>
      <c r="I868" s="1328"/>
      <c r="J868" s="1328"/>
      <c r="K868" s="1328"/>
      <c r="L868" s="1112" t="s">
        <v>1497</v>
      </c>
      <c r="M868" s="1329">
        <v>851</v>
      </c>
      <c r="N868" s="1329"/>
      <c r="O868" s="132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8"/>
      <c r="G869" s="1328"/>
      <c r="H869" s="1328"/>
      <c r="I869" s="1328"/>
      <c r="J869" s="1328"/>
      <c r="K869" s="1328"/>
      <c r="L869" s="1112" t="s">
        <v>1603</v>
      </c>
      <c r="M869" s="1329">
        <v>852</v>
      </c>
      <c r="N869" s="1329"/>
      <c r="O869" s="132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8"/>
      <c r="G870" s="1328"/>
      <c r="H870" s="1328"/>
      <c r="I870" s="1328"/>
      <c r="J870" s="1328"/>
      <c r="K870" s="1328"/>
      <c r="L870" s="1112" t="s">
        <v>1491</v>
      </c>
      <c r="M870" s="1329">
        <v>853</v>
      </c>
      <c r="N870" s="1329"/>
      <c r="O870" s="132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8"/>
      <c r="G871" s="1328"/>
      <c r="H871" s="1328"/>
      <c r="I871" s="1328"/>
      <c r="J871" s="1328"/>
      <c r="K871" s="1328"/>
      <c r="L871" s="1112" t="s">
        <v>1488</v>
      </c>
      <c r="M871" s="1329">
        <v>854</v>
      </c>
      <c r="N871" s="1329"/>
      <c r="O871" s="132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8"/>
      <c r="G872" s="1328"/>
      <c r="H872" s="1328"/>
      <c r="I872" s="1328"/>
      <c r="J872" s="1328"/>
      <c r="K872" s="1328"/>
      <c r="L872" s="1112" t="s">
        <v>1489</v>
      </c>
      <c r="M872" s="1329">
        <v>855</v>
      </c>
      <c r="N872" s="1329"/>
      <c r="O872" s="1328">
        <v>252</v>
      </c>
    </row>
    <row r="873" spans="1:15" x14ac:dyDescent="0.25">
      <c r="A873" s="1144" t="s">
        <v>1505</v>
      </c>
      <c r="B873" s="1112" t="str">
        <f t="shared" ca="1" si="106"/>
        <v>L241</v>
      </c>
      <c r="C873" s="1112" t="str">
        <f t="shared" ca="1" si="107"/>
        <v>L242</v>
      </c>
      <c r="D873" s="1112" t="s">
        <v>1457</v>
      </c>
      <c r="E873" s="1112" t="s">
        <v>1628</v>
      </c>
      <c r="F873" s="1328"/>
      <c r="G873" s="1328"/>
      <c r="H873" s="1328"/>
      <c r="I873" s="1328"/>
      <c r="J873" s="1328"/>
      <c r="K873" s="1328"/>
      <c r="L873" s="1112" t="s">
        <v>1505</v>
      </c>
      <c r="M873" s="1329">
        <v>856</v>
      </c>
      <c r="N873" s="1329"/>
      <c r="O873" s="1328" t="s">
        <v>1775</v>
      </c>
    </row>
    <row r="874" spans="1:15" x14ac:dyDescent="0.25">
      <c r="A874" s="1144" t="s">
        <v>1490</v>
      </c>
      <c r="B874" s="1112" t="str">
        <f t="shared" ca="1" si="106"/>
        <v>N241</v>
      </c>
      <c r="C874" s="1112" t="str">
        <f t="shared" ca="1" si="107"/>
        <v>N242</v>
      </c>
      <c r="D874" s="1112" t="s">
        <v>1457</v>
      </c>
      <c r="E874" s="1112" t="s">
        <v>1628</v>
      </c>
      <c r="F874" s="1328"/>
      <c r="G874" s="1328"/>
      <c r="H874" s="1328"/>
      <c r="I874" s="1328"/>
      <c r="J874" s="1328"/>
      <c r="K874" s="1328"/>
      <c r="L874" s="1112" t="s">
        <v>1490</v>
      </c>
      <c r="M874" s="1329">
        <v>857</v>
      </c>
      <c r="N874" s="1329"/>
      <c r="O874" s="1328"/>
    </row>
    <row r="875" spans="1:15" x14ac:dyDescent="0.25">
      <c r="A875" s="1144" t="s">
        <v>1598</v>
      </c>
      <c r="B875" s="1112" t="str">
        <f t="shared" ca="1" si="106"/>
        <v>P241</v>
      </c>
      <c r="C875" s="1112" t="str">
        <f t="shared" ca="1" si="107"/>
        <v>P242</v>
      </c>
      <c r="D875" s="1112" t="s">
        <v>1457</v>
      </c>
      <c r="E875" s="1112" t="s">
        <v>1628</v>
      </c>
      <c r="F875" s="1328"/>
      <c r="G875" s="1328"/>
      <c r="H875" s="1328"/>
      <c r="I875" s="1328"/>
      <c r="J875" s="1328"/>
      <c r="K875" s="1328"/>
      <c r="L875" s="1112" t="s">
        <v>1598</v>
      </c>
      <c r="M875" s="1329">
        <v>858</v>
      </c>
      <c r="N875" s="1329"/>
      <c r="O875" s="1328"/>
    </row>
    <row r="876" spans="1:15" x14ac:dyDescent="0.25">
      <c r="A876" s="1144" t="s">
        <v>1599</v>
      </c>
      <c r="B876" s="1112" t="str">
        <f t="shared" ca="1" si="106"/>
        <v>R241</v>
      </c>
      <c r="C876" s="1112" t="str">
        <f t="shared" ca="1" si="107"/>
        <v>R242</v>
      </c>
      <c r="D876" s="1112" t="s">
        <v>1457</v>
      </c>
      <c r="E876" s="1112" t="s">
        <v>1628</v>
      </c>
      <c r="F876" s="1328"/>
      <c r="G876" s="1328"/>
      <c r="H876" s="1328"/>
      <c r="I876" s="1328"/>
      <c r="J876" s="1328"/>
      <c r="K876" s="1328"/>
      <c r="L876" s="1112" t="s">
        <v>1599</v>
      </c>
      <c r="M876" s="1329">
        <v>859</v>
      </c>
      <c r="N876" s="1329"/>
      <c r="O876" s="1328"/>
    </row>
    <row r="877" spans="1:15" x14ac:dyDescent="0.25">
      <c r="A877" s="1144" t="s">
        <v>1600</v>
      </c>
      <c r="B877" s="1112" t="str">
        <f t="shared" ca="1" si="106"/>
        <v>T241</v>
      </c>
      <c r="C877" s="1112" t="str">
        <f t="shared" ca="1" si="107"/>
        <v>T242</v>
      </c>
      <c r="D877" s="1112" t="s">
        <v>1457</v>
      </c>
      <c r="E877" s="1112" t="s">
        <v>1628</v>
      </c>
      <c r="F877" s="1328"/>
      <c r="G877" s="1328"/>
      <c r="H877" s="1328"/>
      <c r="I877" s="1328"/>
      <c r="J877" s="1328"/>
      <c r="K877" s="1328"/>
      <c r="L877" s="1112" t="s">
        <v>1600</v>
      </c>
      <c r="M877" s="1329">
        <v>860</v>
      </c>
      <c r="N877" s="1329"/>
      <c r="O877" s="132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8"/>
      <c r="G878" s="1328"/>
      <c r="H878" s="1328"/>
      <c r="I878" s="1328"/>
      <c r="J878" s="1328"/>
      <c r="K878" s="1328"/>
      <c r="L878" s="1112" t="s">
        <v>1493</v>
      </c>
      <c r="M878" s="1329">
        <v>861</v>
      </c>
      <c r="N878" s="1329"/>
      <c r="O878" s="132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8"/>
      <c r="G879" s="1328"/>
      <c r="H879" s="1328"/>
      <c r="I879" s="1328"/>
      <c r="J879" s="1328"/>
      <c r="K879" s="1328"/>
      <c r="L879" s="1112" t="s">
        <v>1494</v>
      </c>
      <c r="M879" s="1329">
        <v>862</v>
      </c>
      <c r="N879" s="1329"/>
      <c r="O879" s="1328"/>
    </row>
    <row r="880" spans="1:15" x14ac:dyDescent="0.25">
      <c r="A880" s="1144" t="s">
        <v>1607</v>
      </c>
      <c r="B880" s="1112" t="str">
        <f ca="1">IFERROR(_xlfn.CONCAT("C",MATCH(A880,INDIRECT("'"&amp;E880&amp;"'!C"&amp;$O$870&amp;":C"&amp;$O$872),0)+$O$870-1),"")</f>
        <v>C249</v>
      </c>
      <c r="C880" s="1112" t="str">
        <f ca="1">IFERROR(_xlfn.CONCAT("E",MATCH(A880,INDIRECT("'"&amp;E880&amp;"'!C"&amp;$O$870&amp;":C"&amp;$O$872),0)+$O$870-1),"")</f>
        <v>E249</v>
      </c>
      <c r="D880" s="1112" t="s">
        <v>1457</v>
      </c>
      <c r="E880" s="1112" t="s">
        <v>1628</v>
      </c>
      <c r="F880" s="1328"/>
      <c r="G880" s="1328"/>
      <c r="H880" s="1328"/>
      <c r="I880" s="1328"/>
      <c r="J880" s="1328"/>
      <c r="K880" s="1328"/>
      <c r="L880" s="1112" t="s">
        <v>1607</v>
      </c>
      <c r="M880" s="1329">
        <v>863</v>
      </c>
      <c r="N880" s="1329"/>
      <c r="O880" s="132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8"/>
      <c r="G881" s="1328"/>
      <c r="H881" s="1328"/>
      <c r="I881" s="1328"/>
      <c r="J881" s="1328"/>
      <c r="K881" s="1328"/>
      <c r="L881" s="1112" t="s">
        <v>1604</v>
      </c>
      <c r="M881" s="1329">
        <v>864</v>
      </c>
      <c r="N881" s="1329"/>
      <c r="O881" s="132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8"/>
      <c r="G882" s="1328"/>
      <c r="H882" s="1328"/>
      <c r="I882" s="1328"/>
      <c r="J882" s="1328"/>
      <c r="K882" s="1328"/>
      <c r="L882" s="1112" t="s">
        <v>1618</v>
      </c>
      <c r="M882" s="1329">
        <v>865</v>
      </c>
      <c r="N882" s="1329"/>
      <c r="O882" s="132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8"/>
      <c r="G883" s="1328"/>
      <c r="H883" s="1328"/>
      <c r="I883" s="1328"/>
      <c r="J883" s="1328"/>
      <c r="K883" s="1328"/>
      <c r="L883" s="1112" t="s">
        <v>1495</v>
      </c>
      <c r="M883" s="1329">
        <v>866</v>
      </c>
      <c r="N883" s="1329"/>
      <c r="O883" s="132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8"/>
      <c r="G884" s="1328"/>
      <c r="H884" s="1328"/>
      <c r="I884" s="1328"/>
      <c r="J884" s="1328"/>
      <c r="K884" s="1328"/>
      <c r="L884" s="1112" t="s">
        <v>1496</v>
      </c>
      <c r="M884" s="1329">
        <v>867</v>
      </c>
      <c r="N884" s="1329"/>
      <c r="O884" s="132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8"/>
      <c r="G885" s="1328"/>
      <c r="H885" s="1328"/>
      <c r="I885" s="1328"/>
      <c r="J885" s="1328"/>
      <c r="K885" s="1328"/>
      <c r="L885" s="1112" t="s">
        <v>1497</v>
      </c>
      <c r="M885" s="1329">
        <v>868</v>
      </c>
      <c r="N885" s="1329"/>
      <c r="O885" s="132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8"/>
      <c r="G886" s="1328"/>
      <c r="H886" s="1328"/>
      <c r="I886" s="1328"/>
      <c r="J886" s="1328"/>
      <c r="K886" s="1328"/>
      <c r="L886" s="1112" t="s">
        <v>1620</v>
      </c>
      <c r="M886" s="1329">
        <v>869</v>
      </c>
      <c r="N886" s="1329"/>
      <c r="O886" s="132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8"/>
      <c r="G887" s="1328"/>
      <c r="H887" s="1328"/>
      <c r="I887" s="1328"/>
      <c r="J887" s="1328"/>
      <c r="K887" s="1328"/>
      <c r="L887" s="1112" t="s">
        <v>1603</v>
      </c>
      <c r="M887" s="1329">
        <v>870</v>
      </c>
      <c r="N887" s="1329"/>
      <c r="O887" s="132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8"/>
      <c r="G888" s="1328"/>
      <c r="H888" s="1328"/>
      <c r="I888" s="1328"/>
      <c r="J888" s="1328"/>
      <c r="K888" s="1328"/>
      <c r="L888" s="1112" t="s">
        <v>1491</v>
      </c>
      <c r="M888" s="1329">
        <v>871</v>
      </c>
      <c r="N888" s="1329"/>
      <c r="O888" s="132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8"/>
      <c r="G889" s="1328"/>
      <c r="H889" s="1328"/>
      <c r="I889" s="1328"/>
      <c r="J889" s="1328"/>
      <c r="K889" s="1328"/>
      <c r="L889" s="1112" t="s">
        <v>1488</v>
      </c>
      <c r="M889" s="1329">
        <v>872</v>
      </c>
      <c r="N889" s="1329"/>
      <c r="O889" s="132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8"/>
      <c r="G890" s="1328"/>
      <c r="H890" s="1328"/>
      <c r="I890" s="1328"/>
      <c r="J890" s="1328"/>
      <c r="K890" s="1328"/>
      <c r="L890" s="1112" t="s">
        <v>1489</v>
      </c>
      <c r="M890" s="1329">
        <v>873</v>
      </c>
      <c r="N890" s="1329"/>
      <c r="O890" s="1328">
        <v>266</v>
      </c>
    </row>
    <row r="891" spans="1:15" x14ac:dyDescent="0.25">
      <c r="A891" s="1147" t="s">
        <v>1505</v>
      </c>
      <c r="B891" s="1112" t="str">
        <f t="shared" ca="1" si="108"/>
        <v>L255</v>
      </c>
      <c r="C891" s="1112" t="str">
        <f t="shared" ca="1" si="109"/>
        <v>L256</v>
      </c>
      <c r="D891" s="1112" t="s">
        <v>1457</v>
      </c>
      <c r="E891" s="1112" t="s">
        <v>1628</v>
      </c>
      <c r="F891" s="1328"/>
      <c r="G891" s="1328"/>
      <c r="H891" s="1328"/>
      <c r="I891" s="1328"/>
      <c r="J891" s="1328"/>
      <c r="K891" s="1328"/>
      <c r="L891" s="1112" t="s">
        <v>1505</v>
      </c>
      <c r="M891" s="1329">
        <v>874</v>
      </c>
      <c r="N891" s="1329"/>
      <c r="O891" s="1328" t="s">
        <v>1776</v>
      </c>
    </row>
    <row r="892" spans="1:15" x14ac:dyDescent="0.25">
      <c r="A892" s="1147" t="s">
        <v>1490</v>
      </c>
      <c r="B892" s="1112" t="str">
        <f t="shared" ca="1" si="108"/>
        <v>N255</v>
      </c>
      <c r="C892" s="1112" t="str">
        <f t="shared" ca="1" si="109"/>
        <v>N256</v>
      </c>
      <c r="D892" s="1112" t="s">
        <v>1457</v>
      </c>
      <c r="E892" s="1112" t="s">
        <v>1628</v>
      </c>
      <c r="F892" s="1328"/>
      <c r="G892" s="1328"/>
      <c r="H892" s="1328"/>
      <c r="I892" s="1328"/>
      <c r="J892" s="1328"/>
      <c r="K892" s="1328"/>
      <c r="L892" s="1112" t="s">
        <v>1490</v>
      </c>
      <c r="M892" s="1329">
        <v>875</v>
      </c>
      <c r="N892" s="1329"/>
      <c r="O892" s="1328"/>
    </row>
    <row r="893" spans="1:15" x14ac:dyDescent="0.25">
      <c r="A893" s="1147" t="s">
        <v>1598</v>
      </c>
      <c r="B893" s="1112" t="str">
        <f t="shared" ca="1" si="108"/>
        <v>P255</v>
      </c>
      <c r="C893" s="1112" t="str">
        <f t="shared" ca="1" si="109"/>
        <v>P256</v>
      </c>
      <c r="D893" s="1112" t="s">
        <v>1457</v>
      </c>
      <c r="E893" s="1112" t="s">
        <v>1628</v>
      </c>
      <c r="F893" s="1328"/>
      <c r="G893" s="1328"/>
      <c r="H893" s="1328"/>
      <c r="I893" s="1328"/>
      <c r="J893" s="1328"/>
      <c r="K893" s="1328"/>
      <c r="L893" s="1112" t="s">
        <v>1598</v>
      </c>
      <c r="M893" s="1329">
        <v>876</v>
      </c>
      <c r="N893" s="1329"/>
      <c r="O893" s="1328"/>
    </row>
    <row r="894" spans="1:15" x14ac:dyDescent="0.25">
      <c r="A894" s="1147" t="s">
        <v>1599</v>
      </c>
      <c r="B894" s="1112" t="str">
        <f t="shared" ca="1" si="108"/>
        <v>R255</v>
      </c>
      <c r="C894" s="1112" t="str">
        <f t="shared" ca="1" si="109"/>
        <v>R256</v>
      </c>
      <c r="D894" s="1112" t="s">
        <v>1457</v>
      </c>
      <c r="E894" s="1112" t="s">
        <v>1628</v>
      </c>
      <c r="F894" s="1328"/>
      <c r="G894" s="1328"/>
      <c r="H894" s="1328"/>
      <c r="I894" s="1328"/>
      <c r="J894" s="1328"/>
      <c r="K894" s="1328"/>
      <c r="L894" s="1112" t="s">
        <v>1599</v>
      </c>
      <c r="M894" s="1329">
        <v>877</v>
      </c>
      <c r="N894" s="1329"/>
      <c r="O894" s="1328"/>
    </row>
    <row r="895" spans="1:15" x14ac:dyDescent="0.25">
      <c r="A895" s="1147" t="s">
        <v>1600</v>
      </c>
      <c r="B895" s="1112" t="str">
        <f t="shared" ca="1" si="108"/>
        <v>T255</v>
      </c>
      <c r="C895" s="1112" t="str">
        <f t="shared" ca="1" si="109"/>
        <v>T256</v>
      </c>
      <c r="D895" s="1112" t="s">
        <v>1457</v>
      </c>
      <c r="E895" s="1112" t="s">
        <v>1628</v>
      </c>
      <c r="F895" s="1328"/>
      <c r="G895" s="1328"/>
      <c r="H895" s="1328"/>
      <c r="I895" s="1328"/>
      <c r="J895" s="1328"/>
      <c r="K895" s="1328"/>
      <c r="L895" s="1112" t="s">
        <v>1600</v>
      </c>
      <c r="M895" s="1329">
        <v>878</v>
      </c>
      <c r="N895" s="1329"/>
      <c r="O895" s="132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8"/>
      <c r="G896" s="1328"/>
      <c r="H896" s="1328"/>
      <c r="I896" s="1328"/>
      <c r="J896" s="1328"/>
      <c r="K896" s="1328"/>
      <c r="L896" s="1112" t="s">
        <v>1493</v>
      </c>
      <c r="M896" s="1329">
        <v>879</v>
      </c>
      <c r="N896" s="1329"/>
      <c r="O896" s="132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8"/>
      <c r="G897" s="1328"/>
      <c r="H897" s="1328"/>
      <c r="I897" s="1328"/>
      <c r="J897" s="1328"/>
      <c r="K897" s="1328"/>
      <c r="L897" s="1112" t="s">
        <v>1494</v>
      </c>
      <c r="M897" s="1329">
        <v>880</v>
      </c>
      <c r="N897" s="1329"/>
      <c r="O897" s="1328"/>
    </row>
    <row r="898" spans="1:15" x14ac:dyDescent="0.25">
      <c r="A898" s="1147" t="s">
        <v>1607</v>
      </c>
      <c r="B898" s="1112" t="str">
        <f ca="1">IFERROR(_xlfn.CONCAT("C",MATCH(A898,INDIRECT("'"&amp;E898&amp;"'!C"&amp;$O$888&amp;":C"&amp;$O$890),0)+$O$888-1),"")</f>
        <v>C263</v>
      </c>
      <c r="C898" s="1112" t="str">
        <f ca="1">IFERROR(_xlfn.CONCAT("E",MATCH(A898,INDIRECT("'"&amp;E898&amp;"'!C"&amp;$O$888&amp;":C"&amp;$O$890),0)+$O$888-1),"")</f>
        <v>E263</v>
      </c>
      <c r="D898" s="1112" t="s">
        <v>1457</v>
      </c>
      <c r="E898" s="1112" t="s">
        <v>1628</v>
      </c>
      <c r="F898" s="1328"/>
      <c r="G898" s="1328"/>
      <c r="H898" s="1328"/>
      <c r="I898" s="1328"/>
      <c r="J898" s="1328"/>
      <c r="K898" s="1328"/>
      <c r="L898" s="1112" t="s">
        <v>1607</v>
      </c>
      <c r="M898" s="1329">
        <v>881</v>
      </c>
      <c r="N898" s="1329"/>
      <c r="O898" s="132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8"/>
      <c r="G899" s="1328"/>
      <c r="H899" s="1328"/>
      <c r="I899" s="1328"/>
      <c r="J899" s="1328"/>
      <c r="K899" s="1328"/>
      <c r="L899" s="1112" t="s">
        <v>1604</v>
      </c>
      <c r="M899" s="1329">
        <v>882</v>
      </c>
      <c r="N899" s="1329"/>
      <c r="O899" s="132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8"/>
      <c r="G900" s="1328"/>
      <c r="H900" s="1328"/>
      <c r="I900" s="1328"/>
      <c r="J900" s="1328"/>
      <c r="K900" s="1328"/>
      <c r="L900" s="1112" t="s">
        <v>1618</v>
      </c>
      <c r="M900" s="1329">
        <v>883</v>
      </c>
      <c r="N900" s="1329"/>
      <c r="O900" s="132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8"/>
      <c r="G901" s="1328"/>
      <c r="H901" s="1328"/>
      <c r="I901" s="1328"/>
      <c r="J901" s="1328"/>
      <c r="K901" s="1328"/>
      <c r="L901" s="1112" t="s">
        <v>1495</v>
      </c>
      <c r="M901" s="1329">
        <v>884</v>
      </c>
      <c r="N901" s="1329"/>
      <c r="O901" s="132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8"/>
      <c r="G902" s="1328"/>
      <c r="H902" s="1328"/>
      <c r="I902" s="1328"/>
      <c r="J902" s="1328"/>
      <c r="K902" s="1328"/>
      <c r="L902" s="1112" t="s">
        <v>1496</v>
      </c>
      <c r="M902" s="1329">
        <v>885</v>
      </c>
      <c r="N902" s="1329"/>
      <c r="O902" s="132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8"/>
      <c r="G903" s="1328"/>
      <c r="H903" s="1328"/>
      <c r="I903" s="1328"/>
      <c r="J903" s="1328"/>
      <c r="K903" s="1328"/>
      <c r="L903" s="1112" t="s">
        <v>1497</v>
      </c>
      <c r="M903" s="1329">
        <v>886</v>
      </c>
      <c r="N903" s="1329"/>
      <c r="O903" s="132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8"/>
      <c r="G904" s="1328"/>
      <c r="H904" s="1328"/>
      <c r="I904" s="1328"/>
      <c r="J904" s="1328"/>
      <c r="K904" s="1328"/>
      <c r="L904" s="1112" t="s">
        <v>1603</v>
      </c>
      <c r="M904" s="1329">
        <v>887</v>
      </c>
      <c r="N904" s="1329"/>
      <c r="O904" s="132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8"/>
      <c r="G905" s="1328"/>
      <c r="H905" s="1328"/>
      <c r="I905" s="1328"/>
      <c r="J905" s="1328"/>
      <c r="K905" s="1328"/>
      <c r="L905" s="1112" t="s">
        <v>1491</v>
      </c>
      <c r="M905" s="1329">
        <v>888</v>
      </c>
      <c r="N905" s="1329"/>
      <c r="O905" s="132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8"/>
      <c r="G906" s="1328"/>
      <c r="H906" s="1328"/>
      <c r="I906" s="1328"/>
      <c r="J906" s="1328"/>
      <c r="K906" s="1328"/>
      <c r="L906" s="1112" t="s">
        <v>1489</v>
      </c>
      <c r="M906" s="1329">
        <v>889</v>
      </c>
      <c r="N906" s="1329"/>
      <c r="O906" s="1328" t="s">
        <v>743</v>
      </c>
    </row>
    <row r="907" spans="1:15" x14ac:dyDescent="0.25">
      <c r="A907" s="1144" t="s">
        <v>1505</v>
      </c>
      <c r="B907" s="1112" t="str">
        <f t="shared" ca="1" si="110"/>
        <v>L269</v>
      </c>
      <c r="C907" s="1112" t="str">
        <f t="shared" ca="1" si="111"/>
        <v>L270</v>
      </c>
      <c r="D907" s="1112" t="s">
        <v>1457</v>
      </c>
      <c r="E907" s="1112" t="s">
        <v>1628</v>
      </c>
      <c r="F907" s="1328"/>
      <c r="G907" s="1328"/>
      <c r="H907" s="1328"/>
      <c r="I907" s="1328"/>
      <c r="J907" s="1328"/>
      <c r="K907" s="1328"/>
      <c r="L907" s="1112" t="s">
        <v>1505</v>
      </c>
      <c r="M907" s="1329">
        <v>890</v>
      </c>
      <c r="N907" s="1329"/>
      <c r="O907" s="1328">
        <v>280</v>
      </c>
    </row>
    <row r="908" spans="1:15" x14ac:dyDescent="0.25">
      <c r="A908" s="1144" t="s">
        <v>1490</v>
      </c>
      <c r="B908" s="1112" t="str">
        <f t="shared" ca="1" si="110"/>
        <v>N269</v>
      </c>
      <c r="C908" s="1112" t="str">
        <f t="shared" ca="1" si="111"/>
        <v>N270</v>
      </c>
      <c r="D908" s="1112" t="s">
        <v>1457</v>
      </c>
      <c r="E908" s="1112" t="s">
        <v>1628</v>
      </c>
      <c r="F908" s="1328"/>
      <c r="G908" s="1328"/>
      <c r="H908" s="1328"/>
      <c r="I908" s="1328"/>
      <c r="J908" s="1328"/>
      <c r="K908" s="1328"/>
      <c r="L908" s="1112" t="s">
        <v>1490</v>
      </c>
      <c r="M908" s="1329">
        <v>891</v>
      </c>
      <c r="N908" s="1329"/>
      <c r="O908" s="1328" t="s">
        <v>1777</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8"/>
      <c r="G909" s="1328"/>
      <c r="H909" s="1328"/>
      <c r="I909" s="1328"/>
      <c r="J909" s="1328"/>
      <c r="K909" s="1328"/>
      <c r="L909" s="1112" t="s">
        <v>1493</v>
      </c>
      <c r="M909" s="1329">
        <v>892</v>
      </c>
      <c r="N909" s="1329"/>
      <c r="O909" s="132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8"/>
      <c r="G910" s="1328"/>
      <c r="H910" s="1328"/>
      <c r="I910" s="1328"/>
      <c r="J910" s="1328"/>
      <c r="K910" s="1328"/>
      <c r="L910" s="1112" t="s">
        <v>1494</v>
      </c>
      <c r="M910" s="1329">
        <v>893</v>
      </c>
      <c r="N910" s="1329"/>
      <c r="O910" s="1328"/>
    </row>
    <row r="911" spans="1:15" x14ac:dyDescent="0.25">
      <c r="A911" s="1144" t="s">
        <v>1607</v>
      </c>
      <c r="B911" s="1112" t="str">
        <f ca="1">IFERROR(_xlfn.CONCAT("C",MATCH(A911,INDIRECT("'"&amp;E911&amp;"'!C"&amp;$O$905&amp;":C"&amp;$O$907),0)+$O$905-1),"")</f>
        <v>C277</v>
      </c>
      <c r="C911" s="1112" t="str">
        <f ca="1">IFERROR(_xlfn.CONCAT("E",MATCH(A911,INDIRECT("'"&amp;E911&amp;"'!C"&amp;$O$905&amp;":C"&amp;$O$907),0)+$O$905-1),"")</f>
        <v>E277</v>
      </c>
      <c r="D911" s="1112" t="s">
        <v>1457</v>
      </c>
      <c r="E911" s="1112" t="s">
        <v>1628</v>
      </c>
      <c r="F911" s="1328"/>
      <c r="G911" s="1328"/>
      <c r="H911" s="1328"/>
      <c r="I911" s="1328"/>
      <c r="J911" s="1328"/>
      <c r="K911" s="1328"/>
      <c r="L911" s="1112" t="s">
        <v>1607</v>
      </c>
      <c r="M911" s="1329">
        <v>894</v>
      </c>
      <c r="N911" s="1329"/>
      <c r="O911" s="132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8"/>
      <c r="G912" s="1328"/>
      <c r="H912" s="1328"/>
      <c r="I912" s="1328"/>
      <c r="J912" s="1328"/>
      <c r="K912" s="1328"/>
      <c r="L912" s="1112" t="s">
        <v>1604</v>
      </c>
      <c r="M912" s="1329">
        <v>895</v>
      </c>
      <c r="N912" s="1329"/>
      <c r="O912" s="132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8"/>
      <c r="G913" s="1328"/>
      <c r="H913" s="1328"/>
      <c r="I913" s="1328"/>
      <c r="J913" s="1328"/>
      <c r="K913" s="1328"/>
      <c r="L913" s="1112" t="s">
        <v>1504</v>
      </c>
      <c r="M913" s="1329">
        <v>896</v>
      </c>
      <c r="N913" s="1329"/>
      <c r="O913" s="132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8"/>
      <c r="G914" s="1328"/>
      <c r="H914" s="1328"/>
      <c r="I914" s="1328"/>
      <c r="J914" s="1328"/>
      <c r="K914" s="1328"/>
      <c r="L914" s="1112" t="s">
        <v>1603</v>
      </c>
      <c r="M914" s="1329">
        <v>897</v>
      </c>
      <c r="N914" s="1329"/>
      <c r="O914" s="132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8"/>
      <c r="G915" s="1328"/>
      <c r="H915" s="1328"/>
      <c r="I915" s="1328"/>
      <c r="J915" s="1328"/>
      <c r="K915" s="1328"/>
      <c r="L915" s="1112" t="s">
        <v>1491</v>
      </c>
      <c r="M915" s="1329">
        <v>898</v>
      </c>
      <c r="N915" s="1329"/>
      <c r="O915" s="132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8"/>
      <c r="G916" s="1328"/>
      <c r="H916" s="1328"/>
      <c r="I916" s="1328"/>
      <c r="J916" s="1328"/>
      <c r="K916" s="1328"/>
      <c r="L916" s="1112" t="s">
        <v>1489</v>
      </c>
      <c r="M916" s="1329">
        <v>899</v>
      </c>
      <c r="N916" s="1329"/>
      <c r="O916" s="1328" t="s">
        <v>743</v>
      </c>
    </row>
    <row r="917" spans="1:15" x14ac:dyDescent="0.25">
      <c r="A917" s="1147" t="s">
        <v>1505</v>
      </c>
      <c r="B917" s="1112" t="str">
        <f t="shared" ca="1" si="112"/>
        <v>L283</v>
      </c>
      <c r="C917" s="1112" t="str">
        <f t="shared" ca="1" si="113"/>
        <v>L284</v>
      </c>
      <c r="D917" s="1112" t="s">
        <v>1457</v>
      </c>
      <c r="E917" s="1112" t="s">
        <v>1628</v>
      </c>
      <c r="F917" s="1328"/>
      <c r="G917" s="1328"/>
      <c r="H917" s="1328"/>
      <c r="I917" s="1328"/>
      <c r="J917" s="1328"/>
      <c r="K917" s="1328"/>
      <c r="L917" s="1112" t="s">
        <v>1505</v>
      </c>
      <c r="M917" s="1329">
        <v>900</v>
      </c>
      <c r="N917" s="1329"/>
      <c r="O917" s="1328">
        <v>294</v>
      </c>
    </row>
    <row r="918" spans="1:15" x14ac:dyDescent="0.25">
      <c r="A918" s="1147" t="s">
        <v>1490</v>
      </c>
      <c r="B918" s="1112" t="str">
        <f t="shared" ca="1" si="112"/>
        <v>N283</v>
      </c>
      <c r="C918" s="1112" t="str">
        <f t="shared" ca="1" si="113"/>
        <v>N284</v>
      </c>
      <c r="D918" s="1112" t="s">
        <v>1457</v>
      </c>
      <c r="E918" s="1112" t="s">
        <v>1628</v>
      </c>
      <c r="F918" s="1328"/>
      <c r="G918" s="1328"/>
      <c r="H918" s="1328"/>
      <c r="I918" s="1328"/>
      <c r="J918" s="1328"/>
      <c r="K918" s="1328"/>
      <c r="L918" s="1112" t="s">
        <v>1490</v>
      </c>
      <c r="M918" s="1329">
        <v>901</v>
      </c>
      <c r="N918" s="1329"/>
      <c r="O918" s="1328" t="s">
        <v>1778</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8"/>
      <c r="G919" s="1328"/>
      <c r="H919" s="1328"/>
      <c r="I919" s="1328"/>
      <c r="J919" s="1328"/>
      <c r="K919" s="1328"/>
      <c r="L919" s="1112" t="s">
        <v>1493</v>
      </c>
      <c r="M919" s="1329">
        <v>902</v>
      </c>
      <c r="N919" s="1329"/>
      <c r="O919" s="132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8"/>
      <c r="G920" s="1328"/>
      <c r="H920" s="1328"/>
      <c r="I920" s="1328"/>
      <c r="J920" s="1328"/>
      <c r="K920" s="1328"/>
      <c r="L920" s="1112" t="s">
        <v>1494</v>
      </c>
      <c r="M920" s="1329">
        <v>903</v>
      </c>
      <c r="N920" s="1329"/>
      <c r="O920" s="1328"/>
    </row>
    <row r="921" spans="1:15" x14ac:dyDescent="0.25">
      <c r="A921" s="1147" t="s">
        <v>1607</v>
      </c>
      <c r="B921" s="1112" t="str">
        <f ca="1">IFERROR(_xlfn.CONCAT("C",MATCH(A921,INDIRECT("'"&amp;E921&amp;"'!C"&amp;$O$915&amp;":C"&amp;$O$917),0)+$O$915-1),"")</f>
        <v>C291</v>
      </c>
      <c r="C921" s="1112" t="str">
        <f ca="1">IFERROR(_xlfn.CONCAT("E",MATCH(A921,INDIRECT("'"&amp;E921&amp;"'!C"&amp;$O$915&amp;":C"&amp;$O$917),0)+$O$915-1),"")</f>
        <v>E291</v>
      </c>
      <c r="D921" s="1112" t="s">
        <v>1457</v>
      </c>
      <c r="E921" s="1112" t="s">
        <v>1628</v>
      </c>
      <c r="F921" s="1328"/>
      <c r="G921" s="1328"/>
      <c r="H921" s="1328"/>
      <c r="I921" s="1328"/>
      <c r="J921" s="1328"/>
      <c r="K921" s="1328"/>
      <c r="L921" s="1112" t="s">
        <v>1607</v>
      </c>
      <c r="M921" s="1329">
        <v>904</v>
      </c>
      <c r="N921" s="1329"/>
      <c r="O921" s="132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8"/>
      <c r="G922" s="1328"/>
      <c r="H922" s="1328"/>
      <c r="I922" s="1328"/>
      <c r="J922" s="1328"/>
      <c r="K922" s="1328"/>
      <c r="L922" s="1112" t="s">
        <v>1604</v>
      </c>
      <c r="M922" s="1329">
        <v>905</v>
      </c>
      <c r="N922" s="1329"/>
      <c r="O922" s="132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8"/>
      <c r="G923" s="1328"/>
      <c r="H923" s="1328"/>
      <c r="I923" s="1328"/>
      <c r="J923" s="1328"/>
      <c r="K923" s="1328"/>
      <c r="L923" s="1112" t="s">
        <v>1504</v>
      </c>
      <c r="M923" s="1329">
        <v>906</v>
      </c>
      <c r="N923" s="1329"/>
      <c r="O923" s="132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8"/>
      <c r="G924" s="1328"/>
      <c r="H924" s="1328"/>
      <c r="I924" s="1328"/>
      <c r="J924" s="1328"/>
      <c r="K924" s="1328"/>
      <c r="L924" s="1112" t="s">
        <v>1603</v>
      </c>
      <c r="M924" s="1329">
        <v>907</v>
      </c>
      <c r="N924" s="1329"/>
      <c r="O924" s="132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8"/>
      <c r="G925" s="1328"/>
      <c r="H925" s="1328"/>
      <c r="I925" s="1328"/>
      <c r="J925" s="1328"/>
      <c r="K925" s="1328"/>
      <c r="L925" s="1112" t="s">
        <v>1491</v>
      </c>
      <c r="M925" s="1329">
        <v>908</v>
      </c>
      <c r="N925" s="1329"/>
      <c r="O925" s="132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8"/>
      <c r="G926" s="1328"/>
      <c r="H926" s="1328"/>
      <c r="I926" s="1328"/>
      <c r="J926" s="1328"/>
      <c r="K926" s="1328"/>
      <c r="L926" s="1112" t="s">
        <v>1489</v>
      </c>
      <c r="M926" s="1329">
        <v>909</v>
      </c>
      <c r="N926" s="1329"/>
      <c r="O926" s="1328" t="s">
        <v>743</v>
      </c>
    </row>
    <row r="927" spans="1:15" x14ac:dyDescent="0.25">
      <c r="A927" s="1144" t="s">
        <v>1505</v>
      </c>
      <c r="B927" s="1112" t="str">
        <f t="shared" ca="1" si="114"/>
        <v>L297</v>
      </c>
      <c r="C927" s="1112" t="str">
        <f t="shared" ca="1" si="115"/>
        <v>L298</v>
      </c>
      <c r="D927" s="1112" t="s">
        <v>1457</v>
      </c>
      <c r="E927" s="1112" t="s">
        <v>1628</v>
      </c>
      <c r="F927" s="1328"/>
      <c r="G927" s="1328"/>
      <c r="H927" s="1328"/>
      <c r="I927" s="1328"/>
      <c r="J927" s="1328"/>
      <c r="K927" s="1328"/>
      <c r="L927" s="1112" t="s">
        <v>1505</v>
      </c>
      <c r="M927" s="1329">
        <v>910</v>
      </c>
      <c r="N927" s="1329"/>
      <c r="O927" s="1328">
        <v>308</v>
      </c>
    </row>
    <row r="928" spans="1:15" x14ac:dyDescent="0.25">
      <c r="A928" s="1144" t="s">
        <v>1490</v>
      </c>
      <c r="B928" s="1112" t="str">
        <f t="shared" ca="1" si="114"/>
        <v>N297</v>
      </c>
      <c r="C928" s="1112" t="str">
        <f t="shared" ca="1" si="115"/>
        <v>N298</v>
      </c>
      <c r="D928" s="1112" t="s">
        <v>1457</v>
      </c>
      <c r="E928" s="1112" t="s">
        <v>1628</v>
      </c>
      <c r="F928" s="1328"/>
      <c r="G928" s="1328"/>
      <c r="H928" s="1328"/>
      <c r="I928" s="1328"/>
      <c r="J928" s="1328"/>
      <c r="K928" s="1328"/>
      <c r="L928" s="1112" t="s">
        <v>1490</v>
      </c>
      <c r="M928" s="1329">
        <v>911</v>
      </c>
      <c r="N928" s="1329"/>
      <c r="O928" s="1328" t="s">
        <v>1779</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8"/>
      <c r="G929" s="1328"/>
      <c r="H929" s="1328"/>
      <c r="I929" s="1328"/>
      <c r="J929" s="1328"/>
      <c r="K929" s="1328"/>
      <c r="L929" s="1112" t="s">
        <v>1493</v>
      </c>
      <c r="M929" s="1329">
        <v>912</v>
      </c>
      <c r="N929" s="1329"/>
      <c r="O929" s="132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8"/>
      <c r="G930" s="1328"/>
      <c r="H930" s="1328"/>
      <c r="I930" s="1328"/>
      <c r="J930" s="1328"/>
      <c r="K930" s="1328"/>
      <c r="L930" s="1112" t="s">
        <v>1494</v>
      </c>
      <c r="M930" s="1329">
        <v>913</v>
      </c>
      <c r="N930" s="1329"/>
      <c r="O930" s="1328"/>
    </row>
    <row r="931" spans="1:15" x14ac:dyDescent="0.25">
      <c r="A931" s="1144" t="s">
        <v>1607</v>
      </c>
      <c r="B931" s="1112" t="str">
        <f ca="1">IFERROR(_xlfn.CONCAT("C",MATCH(A931,INDIRECT("'"&amp;E931&amp;"'!C"&amp;$O$925&amp;":C"&amp;$O$927),0)+$O$925-1),"")</f>
        <v>C305</v>
      </c>
      <c r="C931" s="1112" t="str">
        <f ca="1">IFERROR(_xlfn.CONCAT("E",MATCH(A931,INDIRECT("'"&amp;E931&amp;"'!C"&amp;$O$925&amp;":C"&amp;$O$927),0)+$O$925-1),"")</f>
        <v>E305</v>
      </c>
      <c r="D931" s="1112" t="s">
        <v>1457</v>
      </c>
      <c r="E931" s="1112" t="s">
        <v>1628</v>
      </c>
      <c r="F931" s="1328"/>
      <c r="G931" s="1328"/>
      <c r="H931" s="1328"/>
      <c r="I931" s="1328"/>
      <c r="J931" s="1328"/>
      <c r="K931" s="1328"/>
      <c r="L931" s="1112" t="s">
        <v>1607</v>
      </c>
      <c r="M931" s="1329">
        <v>914</v>
      </c>
      <c r="N931" s="1329"/>
      <c r="O931" s="132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8"/>
      <c r="G932" s="1328"/>
      <c r="H932" s="1328"/>
      <c r="I932" s="1328"/>
      <c r="J932" s="1328"/>
      <c r="K932" s="1328"/>
      <c r="L932" s="1112" t="s">
        <v>1604</v>
      </c>
      <c r="M932" s="1329">
        <v>915</v>
      </c>
      <c r="N932" s="1329"/>
      <c r="O932" s="132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8"/>
      <c r="G933" s="1328"/>
      <c r="H933" s="1328"/>
      <c r="I933" s="1328"/>
      <c r="J933" s="1328"/>
      <c r="K933" s="1328"/>
      <c r="L933" s="1112" t="s">
        <v>1504</v>
      </c>
      <c r="M933" s="1329">
        <v>916</v>
      </c>
      <c r="N933" s="1329"/>
      <c r="O933" s="132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8"/>
      <c r="G934" s="1328"/>
      <c r="H934" s="1328"/>
      <c r="I934" s="1328"/>
      <c r="J934" s="1328"/>
      <c r="K934" s="1328"/>
      <c r="L934" s="1112" t="s">
        <v>1603</v>
      </c>
      <c r="M934" s="1329">
        <v>917</v>
      </c>
      <c r="N934" s="1329"/>
      <c r="O934" s="132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8"/>
      <c r="G935" s="1328"/>
      <c r="H935" s="1328"/>
      <c r="I935" s="1328"/>
      <c r="J935" s="1328"/>
      <c r="K935" s="1328"/>
      <c r="L935" s="1112" t="s">
        <v>1491</v>
      </c>
      <c r="M935" s="1329">
        <v>918</v>
      </c>
      <c r="N935" s="1329"/>
      <c r="O935" s="132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8"/>
      <c r="G936" s="1328"/>
      <c r="H936" s="1328"/>
      <c r="I936" s="1328"/>
      <c r="J936" s="1328"/>
      <c r="K936" s="1328"/>
      <c r="L936" s="1112" t="s">
        <v>1489</v>
      </c>
      <c r="M936" s="1329">
        <v>919</v>
      </c>
      <c r="N936" s="1329"/>
      <c r="O936" s="1328" t="s">
        <v>743</v>
      </c>
    </row>
    <row r="937" spans="1:15" x14ac:dyDescent="0.25">
      <c r="A937" s="1147" t="s">
        <v>1505</v>
      </c>
      <c r="B937" s="1112" t="str">
        <f t="shared" ca="1" si="116"/>
        <v>L311</v>
      </c>
      <c r="C937" s="1112" t="str">
        <f t="shared" ca="1" si="117"/>
        <v>L312</v>
      </c>
      <c r="D937" s="1112" t="s">
        <v>1457</v>
      </c>
      <c r="E937" s="1112" t="s">
        <v>1628</v>
      </c>
      <c r="F937" s="1328"/>
      <c r="G937" s="1328"/>
      <c r="H937" s="1328"/>
      <c r="I937" s="1328"/>
      <c r="J937" s="1328"/>
      <c r="K937" s="1328"/>
      <c r="L937" s="1112" t="s">
        <v>1505</v>
      </c>
      <c r="M937" s="1329">
        <v>920</v>
      </c>
      <c r="N937" s="1329"/>
      <c r="O937" s="1328">
        <v>322</v>
      </c>
    </row>
    <row r="938" spans="1:15" x14ac:dyDescent="0.25">
      <c r="A938" s="1147" t="s">
        <v>1490</v>
      </c>
      <c r="B938" s="1112" t="str">
        <f t="shared" ca="1" si="116"/>
        <v>N311</v>
      </c>
      <c r="C938" s="1112" t="str">
        <f t="shared" ca="1" si="117"/>
        <v>N312</v>
      </c>
      <c r="D938" s="1112" t="s">
        <v>1457</v>
      </c>
      <c r="E938" s="1112" t="s">
        <v>1628</v>
      </c>
      <c r="F938" s="1328"/>
      <c r="G938" s="1328"/>
      <c r="H938" s="1328"/>
      <c r="I938" s="1328"/>
      <c r="J938" s="1328"/>
      <c r="K938" s="1328"/>
      <c r="L938" s="1112" t="s">
        <v>1490</v>
      </c>
      <c r="M938" s="1329">
        <v>921</v>
      </c>
      <c r="N938" s="1329"/>
      <c r="O938" s="1328" t="s">
        <v>1780</v>
      </c>
    </row>
    <row r="939" spans="1:15" x14ac:dyDescent="0.25">
      <c r="A939" s="1147" t="s">
        <v>1598</v>
      </c>
      <c r="B939" s="1112" t="str">
        <f t="shared" ca="1" si="116"/>
        <v>P311</v>
      </c>
      <c r="C939" s="1112" t="str">
        <f t="shared" ca="1" si="117"/>
        <v>P312</v>
      </c>
      <c r="D939" s="1112" t="s">
        <v>1457</v>
      </c>
      <c r="E939" s="1112" t="s">
        <v>1628</v>
      </c>
      <c r="F939" s="1328"/>
      <c r="G939" s="1328"/>
      <c r="H939" s="1328"/>
      <c r="I939" s="1328"/>
      <c r="J939" s="1328"/>
      <c r="K939" s="1328"/>
      <c r="L939" s="1112" t="s">
        <v>1598</v>
      </c>
      <c r="M939" s="1329">
        <v>922</v>
      </c>
      <c r="N939" s="1329"/>
      <c r="O939" s="1328"/>
    </row>
    <row r="940" spans="1:15" x14ac:dyDescent="0.25">
      <c r="A940" s="1147" t="s">
        <v>1599</v>
      </c>
      <c r="B940" s="1112" t="str">
        <f t="shared" ca="1" si="116"/>
        <v>R311</v>
      </c>
      <c r="C940" s="1112" t="str">
        <f t="shared" ca="1" si="117"/>
        <v>R312</v>
      </c>
      <c r="D940" s="1112" t="s">
        <v>1457</v>
      </c>
      <c r="E940" s="1112" t="s">
        <v>1628</v>
      </c>
      <c r="F940" s="1328"/>
      <c r="G940" s="1328"/>
      <c r="H940" s="1328"/>
      <c r="I940" s="1328"/>
      <c r="J940" s="1328"/>
      <c r="K940" s="1328"/>
      <c r="L940" s="1112" t="s">
        <v>1599</v>
      </c>
      <c r="M940" s="1329">
        <v>923</v>
      </c>
      <c r="N940" s="1329"/>
      <c r="O940" s="1328"/>
    </row>
    <row r="941" spans="1:15" x14ac:dyDescent="0.25">
      <c r="A941" s="1147" t="s">
        <v>1600</v>
      </c>
      <c r="B941" s="1112" t="str">
        <f t="shared" ca="1" si="116"/>
        <v>T311</v>
      </c>
      <c r="C941" s="1112" t="str">
        <f t="shared" ca="1" si="117"/>
        <v>T312</v>
      </c>
      <c r="D941" s="1112" t="s">
        <v>1457</v>
      </c>
      <c r="E941" s="1112" t="s">
        <v>1628</v>
      </c>
      <c r="F941" s="1328"/>
      <c r="G941" s="1328"/>
      <c r="H941" s="1328"/>
      <c r="I941" s="1328"/>
      <c r="J941" s="1328"/>
      <c r="K941" s="1328"/>
      <c r="L941" s="1112" t="s">
        <v>1600</v>
      </c>
      <c r="M941" s="1329">
        <v>924</v>
      </c>
      <c r="N941" s="1329"/>
      <c r="O941" s="132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8"/>
      <c r="G942" s="1328"/>
      <c r="H942" s="1328"/>
      <c r="I942" s="1328"/>
      <c r="J942" s="1328"/>
      <c r="K942" s="1328"/>
      <c r="L942" s="1112" t="s">
        <v>1493</v>
      </c>
      <c r="M942" s="1329">
        <v>925</v>
      </c>
      <c r="N942" s="1329"/>
      <c r="O942" s="132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8"/>
      <c r="G943" s="1328"/>
      <c r="H943" s="1328"/>
      <c r="I943" s="1328"/>
      <c r="J943" s="1328"/>
      <c r="K943" s="1328"/>
      <c r="L943" s="1112" t="s">
        <v>1494</v>
      </c>
      <c r="M943" s="1329">
        <v>926</v>
      </c>
      <c r="N943" s="1329"/>
      <c r="O943" s="1328"/>
    </row>
    <row r="944" spans="1:15" x14ac:dyDescent="0.25">
      <c r="A944" s="1147" t="s">
        <v>1607</v>
      </c>
      <c r="B944" s="1112" t="str">
        <f ca="1">IFERROR(_xlfn.CONCAT("C",MATCH(A944,INDIRECT("'"&amp;E944&amp;"'!C"&amp;$O$935&amp;":C"&amp;$O$937),0)+$O$935-1),"")</f>
        <v>C319</v>
      </c>
      <c r="C944" s="1112" t="str">
        <f ca="1">IFERROR(_xlfn.CONCAT("E",MATCH(A944,INDIRECT("'"&amp;E944&amp;"'!C"&amp;$O$935&amp;":C"&amp;$O$937),0)+$O$935-1),"")</f>
        <v>E319</v>
      </c>
      <c r="D944" s="1112" t="s">
        <v>1457</v>
      </c>
      <c r="E944" s="1112" t="s">
        <v>1628</v>
      </c>
      <c r="F944" s="1328"/>
      <c r="G944" s="1328"/>
      <c r="H944" s="1328"/>
      <c r="I944" s="1328"/>
      <c r="J944" s="1328"/>
      <c r="K944" s="1328"/>
      <c r="L944" s="1112" t="s">
        <v>1607</v>
      </c>
      <c r="M944" s="1329">
        <v>927</v>
      </c>
      <c r="N944" s="1329"/>
      <c r="O944" s="132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8"/>
      <c r="G945" s="1328"/>
      <c r="H945" s="1328"/>
      <c r="I945" s="1328"/>
      <c r="J945" s="1328"/>
      <c r="K945" s="1328"/>
      <c r="L945" s="1112" t="s">
        <v>1604</v>
      </c>
      <c r="M945" s="1329">
        <v>928</v>
      </c>
      <c r="N945" s="1329"/>
      <c r="O945" s="132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8"/>
      <c r="G946" s="1328"/>
      <c r="H946" s="1328"/>
      <c r="I946" s="1328"/>
      <c r="J946" s="1328"/>
      <c r="K946" s="1328"/>
      <c r="L946" s="1112" t="s">
        <v>1497</v>
      </c>
      <c r="M946" s="1329">
        <v>929</v>
      </c>
      <c r="N946" s="1329"/>
      <c r="O946" s="132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8"/>
      <c r="G947" s="1328"/>
      <c r="H947" s="1328"/>
      <c r="I947" s="1328"/>
      <c r="J947" s="1328"/>
      <c r="K947" s="1328"/>
      <c r="L947" s="1112" t="s">
        <v>1603</v>
      </c>
      <c r="M947" s="1329">
        <v>930</v>
      </c>
      <c r="N947" s="1329"/>
      <c r="O947" s="132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8"/>
      <c r="G948" s="1328"/>
      <c r="H948" s="1328"/>
      <c r="I948" s="1328"/>
      <c r="J948" s="1328"/>
      <c r="K948" s="1328"/>
      <c r="L948" s="1112" t="s">
        <v>1491</v>
      </c>
      <c r="M948" s="1329">
        <v>931</v>
      </c>
      <c r="N948" s="1329"/>
      <c r="O948" s="132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8"/>
      <c r="G949" s="1328"/>
      <c r="H949" s="1328"/>
      <c r="I949" s="1328"/>
      <c r="J949" s="1328"/>
      <c r="K949" s="1328"/>
      <c r="L949" s="1112" t="s">
        <v>1489</v>
      </c>
      <c r="M949" s="1329">
        <v>932</v>
      </c>
      <c r="N949" s="1329"/>
      <c r="O949" s="1328" t="s">
        <v>743</v>
      </c>
    </row>
    <row r="950" spans="1:15" x14ac:dyDescent="0.25">
      <c r="A950" s="1144" t="s">
        <v>1490</v>
      </c>
      <c r="B950" s="1112" t="str">
        <f t="shared" ca="1" si="118"/>
        <v>N325</v>
      </c>
      <c r="C950" s="1112" t="str">
        <f t="shared" ca="1" si="119"/>
        <v>N326</v>
      </c>
      <c r="D950" s="1112" t="s">
        <v>1457</v>
      </c>
      <c r="E950" s="1112" t="s">
        <v>1628</v>
      </c>
      <c r="F950" s="1328"/>
      <c r="G950" s="1328"/>
      <c r="H950" s="1328"/>
      <c r="I950" s="1328"/>
      <c r="J950" s="1328"/>
      <c r="K950" s="1328"/>
      <c r="L950" s="1112" t="s">
        <v>1490</v>
      </c>
      <c r="M950" s="1329">
        <v>933</v>
      </c>
      <c r="N950" s="1329"/>
      <c r="O950" s="132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8"/>
      <c r="G951" s="1328"/>
      <c r="H951" s="1328"/>
      <c r="I951" s="1328"/>
      <c r="J951" s="1328"/>
      <c r="K951" s="1328"/>
      <c r="L951" s="1112" t="s">
        <v>1493</v>
      </c>
      <c r="M951" s="1329">
        <v>934</v>
      </c>
      <c r="N951" s="1329"/>
      <c r="O951" s="1328" t="s">
        <v>1781</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8"/>
      <c r="G952" s="1328"/>
      <c r="H952" s="1328"/>
      <c r="I952" s="1328"/>
      <c r="J952" s="1328"/>
      <c r="K952" s="1328"/>
      <c r="L952" s="1112" t="s">
        <v>1494</v>
      </c>
      <c r="M952" s="1329">
        <v>935</v>
      </c>
      <c r="N952" s="1329"/>
      <c r="O952" s="1328"/>
    </row>
    <row r="953" spans="1:15" x14ac:dyDescent="0.25">
      <c r="A953" s="1144" t="s">
        <v>1607</v>
      </c>
      <c r="B953" s="1112" t="str">
        <f ca="1">IFERROR(_xlfn.CONCAT("C",MATCH(A953,INDIRECT("'"&amp;E953&amp;"'!C"&amp;$O$948&amp;":C"&amp;$O$950),0)+$O$948-1),"")</f>
        <v>C333</v>
      </c>
      <c r="C953" s="1112" t="str">
        <f ca="1">IFERROR(_xlfn.CONCAT("E",MATCH(A953,INDIRECT("'"&amp;E953&amp;"'!C"&amp;$O$948&amp;":C"&amp;$O$950),0)+$O$948-1),"")</f>
        <v>E333</v>
      </c>
      <c r="D953" s="1112" t="s">
        <v>1457</v>
      </c>
      <c r="E953" s="1112" t="s">
        <v>1628</v>
      </c>
      <c r="F953" s="1328"/>
      <c r="G953" s="1328"/>
      <c r="H953" s="1328"/>
      <c r="I953" s="1328"/>
      <c r="J953" s="1328"/>
      <c r="K953" s="1328"/>
      <c r="L953" s="1112" t="s">
        <v>1607</v>
      </c>
      <c r="M953" s="1329">
        <v>936</v>
      </c>
      <c r="N953" s="1329"/>
      <c r="O953" s="132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8"/>
      <c r="G954" s="1328"/>
      <c r="H954" s="1328"/>
      <c r="I954" s="1328"/>
      <c r="J954" s="1328"/>
      <c r="K954" s="1328"/>
      <c r="L954" s="1112" t="s">
        <v>1604</v>
      </c>
      <c r="M954" s="1329">
        <v>937</v>
      </c>
      <c r="N954" s="1329"/>
      <c r="O954" s="132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8"/>
      <c r="G955" s="1328"/>
      <c r="H955" s="1328"/>
      <c r="I955" s="1328"/>
      <c r="J955" s="1328"/>
      <c r="K955" s="1328"/>
      <c r="L955" s="1112" t="s">
        <v>1504</v>
      </c>
      <c r="M955" s="1329">
        <v>938</v>
      </c>
      <c r="N955" s="1329"/>
      <c r="O955" s="132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8"/>
      <c r="G956" s="1328"/>
      <c r="H956" s="1328"/>
      <c r="I956" s="1328"/>
      <c r="J956" s="1328"/>
      <c r="K956" s="1328"/>
      <c r="L956" s="1112" t="s">
        <v>1585</v>
      </c>
      <c r="M956" s="1329">
        <v>939</v>
      </c>
      <c r="N956" s="1329"/>
      <c r="O956" s="1328"/>
    </row>
    <row r="957" spans="1:15" x14ac:dyDescent="0.25">
      <c r="A957" s="1144" t="s">
        <v>1586</v>
      </c>
      <c r="B957" s="1112" t="str">
        <f t="shared" ca="1" si="120"/>
        <v>L328</v>
      </c>
      <c r="C957" s="1112" t="str">
        <f t="shared" ca="1" si="121"/>
        <v>L329</v>
      </c>
      <c r="D957" s="1112" t="s">
        <v>1457</v>
      </c>
      <c r="E957" s="1112" t="s">
        <v>1628</v>
      </c>
      <c r="F957" s="1328"/>
      <c r="G957" s="1328"/>
      <c r="H957" s="1328"/>
      <c r="I957" s="1328"/>
      <c r="J957" s="1328"/>
      <c r="K957" s="1328"/>
      <c r="L957" s="1112" t="s">
        <v>1586</v>
      </c>
      <c r="M957" s="1329">
        <v>940</v>
      </c>
      <c r="N957" s="1329"/>
      <c r="O957" s="1328"/>
    </row>
    <row r="958" spans="1:15" x14ac:dyDescent="0.25">
      <c r="A958" s="133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8"/>
      <c r="G958" s="1328"/>
      <c r="H958" s="1328"/>
      <c r="I958" s="1328"/>
      <c r="J958" s="1328"/>
      <c r="K958" s="1328"/>
      <c r="L958" s="1112" t="s">
        <v>1603</v>
      </c>
      <c r="M958" s="1329">
        <v>941</v>
      </c>
      <c r="N958" s="1329"/>
      <c r="O958" s="1328" t="s">
        <v>742</v>
      </c>
    </row>
    <row r="959" spans="1:15" x14ac:dyDescent="0.25">
      <c r="A959" s="133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8"/>
      <c r="G959" s="1328"/>
      <c r="H959" s="1328"/>
      <c r="I959" s="1328"/>
      <c r="J959" s="1328"/>
      <c r="K959" s="1328"/>
      <c r="L959" s="1112" t="s">
        <v>1491</v>
      </c>
      <c r="M959" s="1329">
        <v>942</v>
      </c>
      <c r="N959" s="1329"/>
      <c r="O959" s="1328">
        <v>337</v>
      </c>
    </row>
    <row r="960" spans="1:15" x14ac:dyDescent="0.25">
      <c r="A960" s="133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8"/>
      <c r="G960" s="1328"/>
      <c r="H960" s="1328"/>
      <c r="I960" s="1328"/>
      <c r="J960" s="1328"/>
      <c r="K960" s="1328"/>
      <c r="L960" s="1112" t="s">
        <v>1489</v>
      </c>
      <c r="M960" s="1329">
        <v>943</v>
      </c>
      <c r="N960" s="1329"/>
      <c r="O960" s="1328" t="s">
        <v>743</v>
      </c>
    </row>
    <row r="961" spans="1:15" x14ac:dyDescent="0.25">
      <c r="A961" s="133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8"/>
      <c r="G961" s="1328"/>
      <c r="H961" s="1328"/>
      <c r="I961" s="1328"/>
      <c r="J961" s="1328"/>
      <c r="K961" s="1328"/>
      <c r="L961" s="1112" t="s">
        <v>1490</v>
      </c>
      <c r="M961" s="1329">
        <v>944</v>
      </c>
      <c r="N961" s="1329"/>
      <c r="O961" s="1328">
        <v>350</v>
      </c>
    </row>
    <row r="962" spans="1:15" x14ac:dyDescent="0.25">
      <c r="A962" s="133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8"/>
      <c r="G962" s="1328"/>
      <c r="H962" s="1328"/>
      <c r="I962" s="1328"/>
      <c r="J962" s="1328"/>
      <c r="K962" s="1328"/>
      <c r="L962" s="1112" t="s">
        <v>1493</v>
      </c>
      <c r="M962" s="1329">
        <v>945</v>
      </c>
      <c r="N962" s="1329"/>
      <c r="O962" s="1328" t="s">
        <v>1782</v>
      </c>
    </row>
    <row r="963" spans="1:15" x14ac:dyDescent="0.25">
      <c r="A963" s="133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8"/>
      <c r="G963" s="1328"/>
      <c r="H963" s="1328"/>
      <c r="I963" s="1328"/>
      <c r="J963" s="1328"/>
      <c r="K963" s="1328"/>
      <c r="L963" s="1112" t="s">
        <v>1494</v>
      </c>
      <c r="M963" s="1329">
        <v>946</v>
      </c>
      <c r="N963" s="1329"/>
      <c r="O963" s="1328"/>
    </row>
    <row r="964" spans="1:15" x14ac:dyDescent="0.25">
      <c r="A964" s="1330" t="s">
        <v>1607</v>
      </c>
      <c r="B964" s="1112" t="str">
        <f ca="1">IFERROR(_xlfn.CONCAT("C",MATCH(A964,INDIRECT("'"&amp;E964&amp;"'!C"&amp;$O$959&amp;":C"&amp;$O$961),0)+$O$959-1),"")</f>
        <v>C347</v>
      </c>
      <c r="C964" s="1112" t="str">
        <f ca="1">IFERROR(_xlfn.CONCAT("E",MATCH(A964,INDIRECT("'"&amp;E964&amp;"'!C"&amp;$O$959&amp;":C"&amp;$O$961),0)+$O$959-1),"")</f>
        <v>E347</v>
      </c>
      <c r="D964" s="1112" t="s">
        <v>1457</v>
      </c>
      <c r="E964" s="1112" t="s">
        <v>1628</v>
      </c>
      <c r="F964" s="1328"/>
      <c r="G964" s="1328"/>
      <c r="H964" s="1328"/>
      <c r="I964" s="1328"/>
      <c r="J964" s="1328"/>
      <c r="K964" s="1328"/>
      <c r="L964" s="1112" t="s">
        <v>1607</v>
      </c>
      <c r="M964" s="1329">
        <v>947</v>
      </c>
      <c r="N964" s="1329"/>
      <c r="O964" s="1328"/>
    </row>
    <row r="965" spans="1:15" x14ac:dyDescent="0.25">
      <c r="A965" s="133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8"/>
      <c r="G965" s="1328"/>
      <c r="H965" s="1328"/>
      <c r="I965" s="1328"/>
      <c r="J965" s="1328"/>
      <c r="K965" s="1328"/>
      <c r="L965" s="1112" t="s">
        <v>1604</v>
      </c>
      <c r="M965" s="1329">
        <v>948</v>
      </c>
      <c r="N965" s="1329"/>
      <c r="O965" s="1328"/>
    </row>
    <row r="966" spans="1:15" x14ac:dyDescent="0.25">
      <c r="A966" s="133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8"/>
      <c r="G966" s="1328"/>
      <c r="H966" s="1328"/>
      <c r="I966" s="1328"/>
      <c r="J966" s="1328"/>
      <c r="K966" s="1328"/>
      <c r="L966" s="1112" t="s">
        <v>1504</v>
      </c>
      <c r="M966" s="1329">
        <v>949</v>
      </c>
      <c r="N966" s="1329"/>
      <c r="O966" s="1328"/>
    </row>
    <row r="967" spans="1:15" x14ac:dyDescent="0.25">
      <c r="A967" s="133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8"/>
      <c r="G967" s="1328"/>
      <c r="H967" s="1328"/>
      <c r="I967" s="1328"/>
      <c r="J967" s="1328"/>
      <c r="K967" s="1328"/>
      <c r="L967" s="1112" t="s">
        <v>1585</v>
      </c>
      <c r="M967" s="1329">
        <v>950</v>
      </c>
      <c r="N967" s="1329"/>
      <c r="O967" s="132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8"/>
      <c r="G968" s="1328"/>
      <c r="H968" s="1328"/>
      <c r="I968" s="1328"/>
      <c r="J968" s="1328"/>
      <c r="K968" s="1328"/>
      <c r="L968" s="1112" t="s">
        <v>1603</v>
      </c>
      <c r="M968" s="1329">
        <v>951</v>
      </c>
      <c r="N968" s="1329"/>
      <c r="O968" s="132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8"/>
      <c r="G969" s="1328"/>
      <c r="H969" s="1328"/>
      <c r="I969" s="1328"/>
      <c r="J969" s="1328"/>
      <c r="K969" s="1328"/>
      <c r="L969" s="1112" t="s">
        <v>1491</v>
      </c>
      <c r="M969" s="1329">
        <v>952</v>
      </c>
      <c r="N969" s="1329"/>
      <c r="O969" s="132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8"/>
      <c r="G970" s="1328"/>
      <c r="H970" s="1328"/>
      <c r="I970" s="1328"/>
      <c r="J970" s="1328"/>
      <c r="K970" s="1328"/>
      <c r="L970" s="1112" t="s">
        <v>1489</v>
      </c>
      <c r="M970" s="1329">
        <v>953</v>
      </c>
      <c r="N970" s="1329"/>
      <c r="O970" s="132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8"/>
      <c r="G971" s="1328"/>
      <c r="H971" s="1328"/>
      <c r="I971" s="1328"/>
      <c r="J971" s="1328"/>
      <c r="K971" s="1328"/>
      <c r="L971" s="1112" t="s">
        <v>1490</v>
      </c>
      <c r="M971" s="1329">
        <v>954</v>
      </c>
      <c r="N971" s="1329"/>
      <c r="O971" s="132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8"/>
      <c r="G972" s="1328"/>
      <c r="H972" s="1328"/>
      <c r="I972" s="1328"/>
      <c r="J972" s="1328"/>
      <c r="K972" s="1328"/>
      <c r="L972" s="1112" t="s">
        <v>1493</v>
      </c>
      <c r="M972" s="1329">
        <v>955</v>
      </c>
      <c r="N972" s="1329"/>
      <c r="O972" s="1328" t="s">
        <v>1783</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8"/>
      <c r="G973" s="1328"/>
      <c r="H973" s="1328"/>
      <c r="I973" s="1328"/>
      <c r="J973" s="1328"/>
      <c r="K973" s="1328"/>
      <c r="L973" s="1112" t="s">
        <v>1494</v>
      </c>
      <c r="M973" s="1329">
        <v>956</v>
      </c>
      <c r="N973" s="1329"/>
      <c r="O973" s="1328"/>
    </row>
    <row r="974" spans="1:15" x14ac:dyDescent="0.25">
      <c r="A974" s="1144" t="s">
        <v>1607</v>
      </c>
      <c r="B974" s="1112" t="str">
        <f ca="1">IFERROR(_xlfn.CONCAT("C",MATCH(A974,INDIRECT("'"&amp;E974&amp;"'!C"&amp;$O$969&amp;":C"&amp;$O$971),0)+$O$969-1),"")</f>
        <v>C361</v>
      </c>
      <c r="C974" s="1112" t="str">
        <f ca="1">IFERROR(_xlfn.CONCAT("E",MATCH(A974,INDIRECT("'"&amp;E974&amp;"'!C"&amp;$O$969&amp;":C"&amp;$O$971),0)+$O$969-1),"")</f>
        <v>E361</v>
      </c>
      <c r="D974" s="1112" t="s">
        <v>1457</v>
      </c>
      <c r="E974" s="1112" t="s">
        <v>1628</v>
      </c>
      <c r="F974" s="1328"/>
      <c r="G974" s="1328"/>
      <c r="H974" s="1328"/>
      <c r="I974" s="1328"/>
      <c r="J974" s="1328"/>
      <c r="K974" s="1328"/>
      <c r="L974" s="1112" t="s">
        <v>1607</v>
      </c>
      <c r="M974" s="1329">
        <v>957</v>
      </c>
      <c r="N974" s="1329"/>
      <c r="O974" s="132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8"/>
      <c r="G975" s="1328"/>
      <c r="H975" s="1328"/>
      <c r="I975" s="1328"/>
      <c r="J975" s="1328"/>
      <c r="K975" s="1328"/>
      <c r="L975" s="1112" t="s">
        <v>1604</v>
      </c>
      <c r="M975" s="1329">
        <v>958</v>
      </c>
      <c r="N975" s="1329"/>
      <c r="O975" s="132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8"/>
      <c r="G976" s="1328"/>
      <c r="H976" s="1328"/>
      <c r="I976" s="1328"/>
      <c r="J976" s="1328"/>
      <c r="K976" s="1328"/>
      <c r="L976" s="1112" t="s">
        <v>1504</v>
      </c>
      <c r="M976" s="1329">
        <v>959</v>
      </c>
      <c r="N976" s="1329"/>
      <c r="O976" s="132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8"/>
      <c r="G977" s="1328"/>
      <c r="H977" s="1328"/>
      <c r="I977" s="1328"/>
      <c r="J977" s="1328"/>
      <c r="K977" s="1328"/>
      <c r="L977" s="1112" t="s">
        <v>1603</v>
      </c>
      <c r="M977" s="1329">
        <v>960</v>
      </c>
      <c r="N977" s="1329"/>
      <c r="O977" s="132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8"/>
      <c r="G978" s="1328"/>
      <c r="H978" s="1328"/>
      <c r="I978" s="1328"/>
      <c r="J978" s="1328"/>
      <c r="K978" s="1328"/>
      <c r="L978" s="1112" t="s">
        <v>1491</v>
      </c>
      <c r="M978" s="1329">
        <v>961</v>
      </c>
      <c r="N978" s="1329"/>
      <c r="O978" s="132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8"/>
      <c r="G979" s="1328"/>
      <c r="H979" s="1328"/>
      <c r="I979" s="1328"/>
      <c r="J979" s="1328"/>
      <c r="K979" s="1328"/>
      <c r="L979" s="1112" t="s">
        <v>1489</v>
      </c>
      <c r="M979" s="1329">
        <v>962</v>
      </c>
      <c r="N979" s="1329"/>
      <c r="O979" s="132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8"/>
      <c r="G980" s="1328"/>
      <c r="H980" s="1328"/>
      <c r="I980" s="1328"/>
      <c r="J980" s="1328"/>
      <c r="K980" s="1328"/>
      <c r="L980" s="1112" t="s">
        <v>1490</v>
      </c>
      <c r="M980" s="1329">
        <v>963</v>
      </c>
      <c r="N980" s="1329"/>
      <c r="O980" s="132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8"/>
      <c r="G981" s="1328"/>
      <c r="H981" s="1328"/>
      <c r="I981" s="1328"/>
      <c r="J981" s="1328"/>
      <c r="K981" s="1328"/>
      <c r="L981" s="1112" t="s">
        <v>1493</v>
      </c>
      <c r="M981" s="1329">
        <v>964</v>
      </c>
      <c r="N981" s="1329"/>
      <c r="O981" s="1328" t="s">
        <v>1784</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8"/>
      <c r="G982" s="1328"/>
      <c r="H982" s="1328"/>
      <c r="I982" s="1328"/>
      <c r="J982" s="1328"/>
      <c r="K982" s="1328"/>
      <c r="L982" s="1112" t="s">
        <v>1494</v>
      </c>
      <c r="M982" s="1329">
        <v>965</v>
      </c>
      <c r="N982" s="1329"/>
      <c r="O982" s="1328"/>
    </row>
    <row r="983" spans="1:15" x14ac:dyDescent="0.25">
      <c r="A983" s="1147" t="s">
        <v>1607</v>
      </c>
      <c r="B983" s="1112" t="str">
        <f ca="1">IFERROR(_xlfn.CONCAT("C",MATCH(A983,INDIRECT("'"&amp;E983&amp;"'!C"&amp;$O$978&amp;":C"&amp;$O$980),0)+$O$978-1),"")</f>
        <v>C375</v>
      </c>
      <c r="C983" s="1112" t="str">
        <f ca="1">IFERROR(_xlfn.CONCAT("E",MATCH(A983,INDIRECT("'"&amp;E983&amp;"'!C"&amp;$O$978&amp;":C"&amp;$O$980),0)+$O$978-1),"")</f>
        <v>E375</v>
      </c>
      <c r="D983" s="1112" t="s">
        <v>1457</v>
      </c>
      <c r="E983" s="1112" t="s">
        <v>1628</v>
      </c>
      <c r="F983" s="1328"/>
      <c r="G983" s="1328"/>
      <c r="H983" s="1328"/>
      <c r="I983" s="1328"/>
      <c r="J983" s="1328"/>
      <c r="K983" s="1328"/>
      <c r="L983" s="1112" t="s">
        <v>1607</v>
      </c>
      <c r="M983" s="1329">
        <v>966</v>
      </c>
      <c r="N983" s="1329"/>
      <c r="O983" s="132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8"/>
      <c r="G984" s="1328"/>
      <c r="H984" s="1328"/>
      <c r="I984" s="1328"/>
      <c r="J984" s="1328"/>
      <c r="K984" s="1328"/>
      <c r="L984" s="1112" t="s">
        <v>1604</v>
      </c>
      <c r="M984" s="1329">
        <v>967</v>
      </c>
      <c r="N984" s="1329"/>
      <c r="O984" s="132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8"/>
      <c r="G985" s="1328"/>
      <c r="H985" s="1328"/>
      <c r="I985" s="1328"/>
      <c r="J985" s="1328"/>
      <c r="K985" s="1328"/>
      <c r="L985" s="1112" t="s">
        <v>1504</v>
      </c>
      <c r="M985" s="1329">
        <v>968</v>
      </c>
      <c r="N985" s="1329"/>
      <c r="O985" s="132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9">
        <v>969</v>
      </c>
      <c r="N986" s="1329"/>
      <c r="O986" s="132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9">
        <v>970</v>
      </c>
      <c r="N987" s="1329"/>
      <c r="O987" s="132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9">
        <v>971</v>
      </c>
      <c r="N988" s="1329"/>
      <c r="O988" s="132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9">
        <v>972</v>
      </c>
      <c r="N989" s="1329"/>
      <c r="O989" s="132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9">
        <v>973</v>
      </c>
      <c r="N990" s="1329"/>
      <c r="O990" s="132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9">
        <v>974</v>
      </c>
      <c r="N991" s="1329"/>
      <c r="O991" s="1328" t="s">
        <v>1785</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9">
        <v>975</v>
      </c>
      <c r="N992" s="1329"/>
      <c r="O992" s="132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9">
        <v>976</v>
      </c>
      <c r="N993" s="1329"/>
      <c r="O993" s="132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9">
        <v>977</v>
      </c>
      <c r="N994" s="1329"/>
      <c r="O994" s="1328"/>
    </row>
    <row r="995" spans="1:15" x14ac:dyDescent="0.25">
      <c r="A995" s="1144" t="s">
        <v>1607</v>
      </c>
      <c r="B995" s="1112" t="str">
        <f t="shared" ca="1" si="124"/>
        <v>C389</v>
      </c>
      <c r="C995" s="1112" t="str">
        <f ca="1">IFERROR(_xlfn.CONCAT("E",MATCH(A995,INDIRECT("'"&amp;E995&amp;"'!C"&amp;$O$987&amp;":C"&amp;$O$989),0)+$O$987-1),"")</f>
        <v>E389</v>
      </c>
      <c r="D995" s="1112" t="s">
        <v>1457</v>
      </c>
      <c r="E995" s="1112" t="s">
        <v>1628</v>
      </c>
      <c r="F995" s="1112"/>
      <c r="G995" s="1112"/>
      <c r="H995" s="1112"/>
      <c r="I995" s="1112"/>
      <c r="J995" s="1112"/>
      <c r="K995" s="1112"/>
      <c r="L995" s="1112" t="s">
        <v>1607</v>
      </c>
      <c r="M995" s="1329">
        <v>978</v>
      </c>
      <c r="N995" s="1329"/>
      <c r="O995" s="132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9">
        <v>979</v>
      </c>
      <c r="N996" s="1329"/>
      <c r="O996" s="132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9">
        <v>980</v>
      </c>
      <c r="N997" s="1329"/>
      <c r="O997" s="132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9">
        <v>981</v>
      </c>
      <c r="N998" s="1329"/>
      <c r="O998" s="132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9">
        <v>982</v>
      </c>
      <c r="N999" s="1329"/>
      <c r="O999" s="132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9">
        <v>983</v>
      </c>
      <c r="N1000" s="1329"/>
      <c r="O1000" s="132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9">
        <v>984</v>
      </c>
      <c r="N1001" s="1329"/>
      <c r="O1001" s="132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9">
        <v>985</v>
      </c>
      <c r="N1002" s="1329"/>
      <c r="O1002" s="132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9">
        <v>986</v>
      </c>
      <c r="N1003" s="1329"/>
      <c r="O1003" s="132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9">
        <v>987</v>
      </c>
      <c r="N1004" s="1329"/>
      <c r="O1004" s="132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9">
        <v>988</v>
      </c>
      <c r="N1005" s="1329"/>
      <c r="O1005" s="132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9">
        <v>989</v>
      </c>
      <c r="N1006" s="1329"/>
      <c r="O1006" s="132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9">
        <v>990</v>
      </c>
      <c r="N1007" s="1329"/>
      <c r="O1007" s="132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9">
        <v>991</v>
      </c>
      <c r="N1008" s="1329"/>
      <c r="O1008" s="132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9">
        <v>992</v>
      </c>
      <c r="N1009" s="1329"/>
      <c r="O1009" s="132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9">
        <v>993</v>
      </c>
      <c r="N1010" s="1329"/>
      <c r="O1010" s="132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9">
        <v>994</v>
      </c>
      <c r="N1011" s="1329"/>
      <c r="O1011" s="132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9">
        <v>995</v>
      </c>
      <c r="N1012" s="1329"/>
      <c r="O1012" s="132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9">
        <v>996</v>
      </c>
      <c r="N1013" s="1329"/>
      <c r="O1013" s="132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9">
        <v>997</v>
      </c>
      <c r="N1014" s="1329"/>
      <c r="O1014" s="132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9">
        <v>998</v>
      </c>
      <c r="N1015" s="1329"/>
      <c r="O1015" s="132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9">
        <v>999</v>
      </c>
      <c r="N1016" s="1329"/>
      <c r="O1016" s="132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9">
        <v>1000</v>
      </c>
      <c r="N1017" s="1329"/>
      <c r="O1017" s="132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9">
        <v>1001</v>
      </c>
      <c r="N1018" s="1329"/>
      <c r="O1018" s="1328" t="s">
        <v>1786</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9">
        <v>1002</v>
      </c>
      <c r="N1019" s="1329"/>
      <c r="O1019" s="132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9">
        <v>1003</v>
      </c>
      <c r="N1020" s="1329"/>
      <c r="O1020" s="132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9">
        <v>1004</v>
      </c>
      <c r="N1021" s="1329"/>
      <c r="O1021" s="132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9">
        <v>1005</v>
      </c>
      <c r="N1022" s="1329"/>
      <c r="O1022" s="1328"/>
    </row>
    <row r="1023" spans="1:15" x14ac:dyDescent="0.25">
      <c r="A1023" s="1147" t="s">
        <v>1607</v>
      </c>
      <c r="B1023" s="1112" t="str">
        <f t="shared" ca="1" si="134"/>
        <v>C403</v>
      </c>
      <c r="C1023" s="1112" t="str">
        <f ca="1">IFERROR(_xlfn.CONCAT("E",MATCH(A1023,INDIRECT("'"&amp;E1023&amp;"'!C"&amp;$O$1015&amp;":C"&amp;$O$1017),0)+$O$1015-1),"")</f>
        <v>E403</v>
      </c>
      <c r="D1023" s="1112" t="s">
        <v>1457</v>
      </c>
      <c r="E1023" s="1112" t="s">
        <v>1628</v>
      </c>
      <c r="F1023" s="1112"/>
      <c r="G1023" s="1112"/>
      <c r="H1023" s="1112"/>
      <c r="I1023" s="1112"/>
      <c r="J1023" s="1112"/>
      <c r="K1023" s="1112"/>
      <c r="L1023" s="1112" t="s">
        <v>1607</v>
      </c>
      <c r="M1023" s="1329">
        <v>1006</v>
      </c>
      <c r="N1023" s="1329"/>
      <c r="O1023" s="132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9">
        <v>1007</v>
      </c>
      <c r="N1024" s="1329"/>
      <c r="O1024" s="132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9">
        <v>1008</v>
      </c>
      <c r="N1025" s="1329"/>
      <c r="O1025" s="132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9">
        <v>1009</v>
      </c>
      <c r="N1026" s="1329"/>
      <c r="O1026" s="132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9">
        <v>1010</v>
      </c>
      <c r="N1027" s="1329"/>
      <c r="O1027" s="132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9">
        <v>1011</v>
      </c>
      <c r="N1028" s="1329"/>
      <c r="O1028" s="132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9">
        <v>1012</v>
      </c>
      <c r="N1029" s="1329"/>
      <c r="O1029" s="132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9">
        <v>1013</v>
      </c>
      <c r="N1030" s="1329"/>
      <c r="O1030" s="132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9">
        <v>1014</v>
      </c>
      <c r="N1031" s="1329"/>
      <c r="O1031" s="132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9">
        <v>1015</v>
      </c>
      <c r="N1032" s="1329"/>
      <c r="O1032" s="132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9">
        <v>1016</v>
      </c>
      <c r="N1033" s="1329"/>
      <c r="O1033" s="132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9">
        <v>1017</v>
      </c>
      <c r="N1034" s="1329"/>
      <c r="O1034" s="132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9">
        <v>1018</v>
      </c>
      <c r="N1035" s="1329"/>
      <c r="O1035" s="132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9">
        <v>1019</v>
      </c>
      <c r="N1036" s="1329"/>
      <c r="O1036" s="132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9">
        <v>1020</v>
      </c>
      <c r="N1037" s="1329"/>
      <c r="O1037" s="132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9">
        <v>1021</v>
      </c>
      <c r="N1038" s="1329"/>
      <c r="O1038" s="132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9">
        <v>1022</v>
      </c>
      <c r="N1039" s="1329"/>
      <c r="O1039" s="132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9">
        <v>1023</v>
      </c>
      <c r="N1040" s="1329"/>
      <c r="O1040" s="132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9">
        <v>1024</v>
      </c>
      <c r="N1041" s="1329"/>
      <c r="O1041" s="132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9">
        <v>1025</v>
      </c>
      <c r="N1042" s="1329"/>
      <c r="O1042" s="132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9">
        <v>1026</v>
      </c>
      <c r="N1043" s="1329"/>
      <c r="O1043" s="132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9">
        <v>1027</v>
      </c>
      <c r="N1044" s="1329"/>
      <c r="O1044" s="132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9">
        <v>1028</v>
      </c>
      <c r="N1045" s="1329"/>
      <c r="O1045" s="132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9">
        <v>1029</v>
      </c>
      <c r="N1046" s="1329"/>
      <c r="O1046" s="1328" t="s">
        <v>1787</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9">
        <v>1030</v>
      </c>
      <c r="N1047" s="1329"/>
      <c r="O1047" s="1328"/>
    </row>
    <row r="1048" spans="1:15" x14ac:dyDescent="0.25">
      <c r="A1048" s="1144" t="s">
        <v>1607</v>
      </c>
      <c r="B1048" s="1112" t="str">
        <f ca="1">IFERROR(_xlfn.CONCAT("C",MATCH(A1048,INDIRECT("'"&amp;E1048&amp;"'!C"&amp;$O$1043&amp;":C"&amp;$O$1045),0)+$O$1043-1),"")</f>
        <v>C417</v>
      </c>
      <c r="C1048" s="1112" t="str">
        <f ca="1">IFERROR(_xlfn.CONCAT("E",MATCH(A1048,INDIRECT("'"&amp;E1048&amp;"'!C"&amp;$O$1043&amp;":C"&amp;$O$1045),0)+$O$1043-1),"")</f>
        <v>E417</v>
      </c>
      <c r="D1048" s="1112" t="s">
        <v>1457</v>
      </c>
      <c r="E1048" s="1112" t="s">
        <v>1628</v>
      </c>
      <c r="F1048" s="1112"/>
      <c r="G1048" s="1112"/>
      <c r="H1048" s="1112"/>
      <c r="I1048" s="1112"/>
      <c r="J1048" s="1112"/>
      <c r="K1048" s="1112"/>
      <c r="L1048" s="1112" t="s">
        <v>1607</v>
      </c>
      <c r="M1048" s="1329">
        <v>1031</v>
      </c>
      <c r="N1048" s="1329"/>
      <c r="O1048" s="132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9">
        <v>1032</v>
      </c>
      <c r="N1049" s="1329"/>
      <c r="O1049" s="132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9">
        <v>1033</v>
      </c>
      <c r="N1050" s="1329"/>
      <c r="O1050" s="132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9">
        <v>1034</v>
      </c>
      <c r="N1051" s="1329"/>
      <c r="O1051" s="132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9">
        <v>1035</v>
      </c>
      <c r="N1052" s="1329"/>
      <c r="O1052" s="1328"/>
    </row>
    <row r="1053" spans="1:15" x14ac:dyDescent="0.25">
      <c r="A1053" s="1144" t="s">
        <v>1747</v>
      </c>
      <c r="B1053" s="1112" t="str">
        <f t="shared" ca="1" si="142"/>
        <v>N413</v>
      </c>
      <c r="C1053" s="1112" t="str">
        <f t="shared" ca="1" si="143"/>
        <v>N</v>
      </c>
      <c r="D1053" s="1112" t="s">
        <v>1464</v>
      </c>
      <c r="E1053" s="1112" t="s">
        <v>1628</v>
      </c>
      <c r="F1053" s="1112"/>
      <c r="G1053" s="1112"/>
      <c r="H1053" s="1112"/>
      <c r="I1053" s="1112"/>
      <c r="J1053" s="1112"/>
      <c r="K1053" s="1112"/>
      <c r="L1053" s="1112" t="s">
        <v>1747</v>
      </c>
      <c r="M1053" s="1329">
        <v>1036</v>
      </c>
      <c r="N1053" s="1329"/>
      <c r="O1053" s="132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9">
        <v>1037</v>
      </c>
      <c r="N1054" s="1329"/>
      <c r="O1054" s="132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9">
        <v>1038</v>
      </c>
      <c r="N1055" s="1329"/>
      <c r="O1055" s="1328"/>
    </row>
    <row r="1056" spans="1:15" x14ac:dyDescent="0.25">
      <c r="A1056" s="1144" t="s">
        <v>1747</v>
      </c>
      <c r="B1056" s="1112" t="str">
        <f t="shared" ca="1" si="144"/>
        <v>N414</v>
      </c>
      <c r="C1056" s="1112" t="str">
        <f t="shared" ca="1" si="143"/>
        <v>N</v>
      </c>
      <c r="D1056" s="1112" t="s">
        <v>1464</v>
      </c>
      <c r="E1056" s="1112" t="s">
        <v>1628</v>
      </c>
      <c r="F1056" s="1112"/>
      <c r="G1056" s="1112"/>
      <c r="H1056" s="1112"/>
      <c r="I1056" s="1112"/>
      <c r="J1056" s="1112"/>
      <c r="K1056" s="1112"/>
      <c r="L1056" s="1112" t="s">
        <v>1747</v>
      </c>
      <c r="M1056" s="1329">
        <v>1039</v>
      </c>
      <c r="N1056" s="1329"/>
      <c r="O1056" s="132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9">
        <v>1040</v>
      </c>
      <c r="N1057" s="1329"/>
      <c r="O1057" s="132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9">
        <v>1041</v>
      </c>
      <c r="N1058" s="1329"/>
      <c r="O1058" s="1328"/>
    </row>
    <row r="1059" spans="1:15" x14ac:dyDescent="0.25">
      <c r="A1059" s="1144" t="s">
        <v>1747</v>
      </c>
      <c r="B1059" s="1112" t="str">
        <f t="shared" ca="1" si="145"/>
        <v>N415</v>
      </c>
      <c r="C1059" s="1112" t="str">
        <f t="shared" ca="1" si="143"/>
        <v>N</v>
      </c>
      <c r="D1059" s="1112" t="s">
        <v>1464</v>
      </c>
      <c r="E1059" s="1112" t="s">
        <v>1628</v>
      </c>
      <c r="F1059" s="1112"/>
      <c r="G1059" s="1112"/>
      <c r="H1059" s="1112"/>
      <c r="I1059" s="1112"/>
      <c r="J1059" s="1112"/>
      <c r="K1059" s="1112"/>
      <c r="L1059" s="1112" t="s">
        <v>1747</v>
      </c>
      <c r="M1059" s="1329">
        <v>1042</v>
      </c>
      <c r="N1059" s="1329"/>
      <c r="O1059" s="132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9">
        <v>1043</v>
      </c>
      <c r="N1060" s="1329"/>
      <c r="O1060" s="132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9">
        <v>1044</v>
      </c>
      <c r="N1061" s="1329"/>
      <c r="O1061" s="1328"/>
    </row>
    <row r="1062" spans="1:15" x14ac:dyDescent="0.25">
      <c r="A1062" s="1144" t="s">
        <v>1747</v>
      </c>
      <c r="B1062" s="1112" t="str">
        <f t="shared" ca="1" si="146"/>
        <v>N416</v>
      </c>
      <c r="C1062" s="1112" t="str">
        <f t="shared" ca="1" si="143"/>
        <v>N</v>
      </c>
      <c r="D1062" s="1112" t="s">
        <v>1464</v>
      </c>
      <c r="E1062" s="1112" t="s">
        <v>1628</v>
      </c>
      <c r="F1062" s="1112"/>
      <c r="G1062" s="1112"/>
      <c r="H1062" s="1112"/>
      <c r="I1062" s="1112"/>
      <c r="J1062" s="1112"/>
      <c r="K1062" s="1112"/>
      <c r="L1062" s="1112" t="s">
        <v>1747</v>
      </c>
      <c r="M1062" s="1329">
        <v>1045</v>
      </c>
      <c r="N1062" s="1329"/>
      <c r="O1062" s="132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9">
        <v>1046</v>
      </c>
      <c r="N1063" s="1329"/>
      <c r="O1063" s="132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9">
        <v>1047</v>
      </c>
      <c r="N1064" s="1329"/>
      <c r="O1064" s="1328"/>
    </row>
    <row r="1065" spans="1:15" x14ac:dyDescent="0.25">
      <c r="A1065" s="1144" t="s">
        <v>1747</v>
      </c>
      <c r="B1065" s="1112" t="str">
        <f t="shared" ca="1" si="147"/>
        <v>N417</v>
      </c>
      <c r="C1065" s="1112" t="str">
        <f t="shared" ca="1" si="143"/>
        <v>N</v>
      </c>
      <c r="D1065" s="1112" t="s">
        <v>1464</v>
      </c>
      <c r="E1065" s="1112" t="s">
        <v>1628</v>
      </c>
      <c r="F1065" s="1112"/>
      <c r="G1065" s="1112"/>
      <c r="H1065" s="1112"/>
      <c r="I1065" s="1112"/>
      <c r="J1065" s="1112"/>
      <c r="K1065" s="1112"/>
      <c r="L1065" s="1112" t="s">
        <v>1747</v>
      </c>
      <c r="M1065" s="1329">
        <v>1048</v>
      </c>
      <c r="N1065" s="1329"/>
      <c r="O1065" s="132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9">
        <v>1049</v>
      </c>
      <c r="N1066" s="1329"/>
      <c r="O1066" s="132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9">
        <v>1050</v>
      </c>
      <c r="N1067" s="1329"/>
      <c r="O1067" s="132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9">
        <v>1051</v>
      </c>
      <c r="N1068" s="1329"/>
      <c r="O1068" s="132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9">
        <v>1052</v>
      </c>
      <c r="N1069" s="1329"/>
      <c r="O1069" s="132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9">
        <v>1053</v>
      </c>
      <c r="N1070" s="1329"/>
      <c r="O1070" s="1328" t="s">
        <v>1788</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9">
        <v>1054</v>
      </c>
      <c r="N1071" s="1329"/>
      <c r="O1071" s="1328"/>
    </row>
    <row r="1072" spans="1:15" x14ac:dyDescent="0.25">
      <c r="A1072" s="1147" t="s">
        <v>1607</v>
      </c>
      <c r="B1072" s="1112" t="str">
        <f ca="1">IFERROR(_xlfn.CONCAT("C",MATCH(A1072,INDIRECT("'"&amp;E1072&amp;"'!C"&amp;$O$1067&amp;":C"&amp;$O$1069),0)+$O$1067-1),"")</f>
        <v>C431</v>
      </c>
      <c r="C1072" s="1112" t="str">
        <f ca="1">IFERROR(_xlfn.CONCAT("E",MATCH(A1072,INDIRECT("'"&amp;E1072&amp;"'!C"&amp;$O$1067&amp;":C"&amp;$O$1069),0)+$O$1067-1),"")</f>
        <v>E431</v>
      </c>
      <c r="D1072" s="1112" t="s">
        <v>1457</v>
      </c>
      <c r="E1072" s="1112" t="s">
        <v>1628</v>
      </c>
      <c r="F1072" s="1112"/>
      <c r="G1072" s="1112"/>
      <c r="H1072" s="1112"/>
      <c r="I1072" s="1112"/>
      <c r="J1072" s="1112"/>
      <c r="K1072" s="1112"/>
      <c r="L1072" s="1112" t="s">
        <v>1607</v>
      </c>
      <c r="M1072" s="1329">
        <v>1055</v>
      </c>
      <c r="N1072" s="1329"/>
      <c r="O1072" s="132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9">
        <v>1056</v>
      </c>
      <c r="N1073" s="1329"/>
      <c r="O1073" s="132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9">
        <v>1057</v>
      </c>
      <c r="N1074" s="1329"/>
      <c r="O1074" s="132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9">
        <v>1058</v>
      </c>
      <c r="N1075" s="1329"/>
      <c r="O1075" s="132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9">
        <v>1059</v>
      </c>
      <c r="N1076" s="1329"/>
      <c r="O1076" s="1328"/>
    </row>
    <row r="1077" spans="1:15" x14ac:dyDescent="0.25">
      <c r="A1077" s="1147" t="s">
        <v>1747</v>
      </c>
      <c r="B1077" s="1112" t="str">
        <f t="shared" ca="1" si="148"/>
        <v>N427</v>
      </c>
      <c r="C1077" s="1112" t="str">
        <f t="shared" ca="1" si="149"/>
        <v>N</v>
      </c>
      <c r="D1077" s="1112" t="s">
        <v>1464</v>
      </c>
      <c r="E1077" s="1112" t="s">
        <v>1628</v>
      </c>
      <c r="F1077" s="1112"/>
      <c r="G1077" s="1112"/>
      <c r="H1077" s="1112"/>
      <c r="I1077" s="1112"/>
      <c r="J1077" s="1112"/>
      <c r="K1077" s="1112"/>
      <c r="L1077" s="1112" t="s">
        <v>1747</v>
      </c>
      <c r="M1077" s="1329">
        <v>1060</v>
      </c>
      <c r="N1077" s="1329"/>
      <c r="O1077" s="132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9">
        <v>1061</v>
      </c>
      <c r="N1078" s="1329"/>
      <c r="O1078" s="132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9">
        <v>1062</v>
      </c>
      <c r="N1079" s="1329"/>
      <c r="O1079" s="1328"/>
    </row>
    <row r="1080" spans="1:15" x14ac:dyDescent="0.25">
      <c r="A1080" s="1147" t="s">
        <v>1747</v>
      </c>
      <c r="B1080" s="1112" t="str">
        <f t="shared" ca="1" si="150"/>
        <v>N428</v>
      </c>
      <c r="C1080" s="1112" t="str">
        <f t="shared" ca="1" si="149"/>
        <v>N</v>
      </c>
      <c r="D1080" s="1112" t="s">
        <v>1464</v>
      </c>
      <c r="E1080" s="1112" t="s">
        <v>1628</v>
      </c>
      <c r="F1080" s="1112"/>
      <c r="G1080" s="1112"/>
      <c r="H1080" s="1112"/>
      <c r="I1080" s="1112"/>
      <c r="J1080" s="1112"/>
      <c r="K1080" s="1112"/>
      <c r="L1080" s="1112" t="s">
        <v>1747</v>
      </c>
      <c r="M1080" s="1329">
        <v>1063</v>
      </c>
      <c r="N1080" s="1329"/>
      <c r="O1080" s="132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9">
        <v>1064</v>
      </c>
      <c r="N1081" s="1329"/>
      <c r="O1081" s="132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9">
        <v>1065</v>
      </c>
      <c r="N1082" s="1329"/>
      <c r="O1082" s="1328"/>
    </row>
    <row r="1083" spans="1:15" x14ac:dyDescent="0.25">
      <c r="A1083" s="1147" t="s">
        <v>1747</v>
      </c>
      <c r="B1083" s="1112" t="str">
        <f t="shared" ca="1" si="151"/>
        <v>N429</v>
      </c>
      <c r="C1083" s="1112" t="str">
        <f t="shared" ca="1" si="149"/>
        <v>N</v>
      </c>
      <c r="D1083" s="1112" t="s">
        <v>1464</v>
      </c>
      <c r="E1083" s="1112" t="s">
        <v>1628</v>
      </c>
      <c r="F1083" s="1112"/>
      <c r="G1083" s="1112"/>
      <c r="H1083" s="1112"/>
      <c r="I1083" s="1112"/>
      <c r="J1083" s="1112"/>
      <c r="K1083" s="1112"/>
      <c r="L1083" s="1112" t="s">
        <v>1747</v>
      </c>
      <c r="M1083" s="1329">
        <v>1066</v>
      </c>
      <c r="N1083" s="1329"/>
      <c r="O1083" s="132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9">
        <v>1067</v>
      </c>
      <c r="N1084" s="1329"/>
      <c r="O1084" s="132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9">
        <v>1068</v>
      </c>
      <c r="N1085" s="1329"/>
      <c r="O1085" s="1328"/>
    </row>
    <row r="1086" spans="1:15" x14ac:dyDescent="0.25">
      <c r="A1086" s="1147" t="s">
        <v>1747</v>
      </c>
      <c r="B1086" s="1112" t="str">
        <f t="shared" ca="1" si="152"/>
        <v>N430</v>
      </c>
      <c r="C1086" s="1112" t="str">
        <f t="shared" ca="1" si="149"/>
        <v>N</v>
      </c>
      <c r="D1086" s="1112" t="s">
        <v>1464</v>
      </c>
      <c r="E1086" s="1112" t="s">
        <v>1628</v>
      </c>
      <c r="F1086" s="1112"/>
      <c r="G1086" s="1112"/>
      <c r="H1086" s="1112"/>
      <c r="I1086" s="1112"/>
      <c r="J1086" s="1112"/>
      <c r="K1086" s="1112"/>
      <c r="L1086" s="1112" t="s">
        <v>1747</v>
      </c>
      <c r="M1086" s="1329">
        <v>1069</v>
      </c>
      <c r="N1086" s="1329"/>
      <c r="O1086" s="132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9">
        <v>1070</v>
      </c>
      <c r="N1087" s="1329"/>
      <c r="O1087" s="132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9">
        <v>1071</v>
      </c>
      <c r="N1088" s="1329"/>
      <c r="O1088" s="1328"/>
    </row>
    <row r="1089" spans="1:15" x14ac:dyDescent="0.25">
      <c r="A1089" s="1147" t="s">
        <v>1747</v>
      </c>
      <c r="B1089" s="1112" t="str">
        <f t="shared" ca="1" si="153"/>
        <v>N431</v>
      </c>
      <c r="C1089" s="1112" t="str">
        <f t="shared" ca="1" si="149"/>
        <v>N</v>
      </c>
      <c r="D1089" s="1112" t="s">
        <v>1464</v>
      </c>
      <c r="E1089" s="1112" t="s">
        <v>1628</v>
      </c>
      <c r="F1089" s="1112"/>
      <c r="G1089" s="1112"/>
      <c r="H1089" s="1112"/>
      <c r="I1089" s="1112"/>
      <c r="J1089" s="1112"/>
      <c r="K1089" s="1112"/>
      <c r="L1089" s="1112" t="s">
        <v>1747</v>
      </c>
      <c r="M1089" s="1329">
        <v>1072</v>
      </c>
      <c r="N1089" s="1329"/>
      <c r="O1089" s="132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9">
        <v>1073</v>
      </c>
      <c r="N1090" s="1329"/>
      <c r="O1090" s="132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9">
        <v>1074</v>
      </c>
      <c r="N1091" s="1329"/>
      <c r="O1091" s="132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9">
        <v>1075</v>
      </c>
      <c r="N1092" s="1329"/>
      <c r="O1092" s="132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9">
        <v>1076</v>
      </c>
      <c r="N1093" s="1329"/>
      <c r="O1093" s="132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9">
        <v>1077</v>
      </c>
      <c r="N1094" s="1329"/>
      <c r="O1094" s="1328" t="s">
        <v>1789</v>
      </c>
    </row>
    <row r="1095" spans="1:15" x14ac:dyDescent="0.25">
      <c r="A1095" s="1144" t="s">
        <v>1607</v>
      </c>
      <c r="B1095" s="1112" t="str">
        <f ca="1">IFERROR(_xlfn.CONCAT("C",MATCH(A1095,INDIRECT("'"&amp;E1095&amp;"'!C"&amp;$O$1091&amp;":C"&amp;$O$1093),0)+$O$1091-1),"")</f>
        <v>C445</v>
      </c>
      <c r="C1095" s="1112" t="str">
        <f ca="1">IFERROR(_xlfn.CONCAT("E",MATCH(A1095,INDIRECT("'"&amp;E1095&amp;"'!C"&amp;$O$1091&amp;":C"&amp;$O$1093),0)+$O$1091-1),"")</f>
        <v>E445</v>
      </c>
      <c r="D1095" s="1112" t="s">
        <v>1457</v>
      </c>
      <c r="E1095" s="1112" t="s">
        <v>1628</v>
      </c>
      <c r="F1095" s="1112"/>
      <c r="G1095" s="1112"/>
      <c r="H1095" s="1112"/>
      <c r="I1095" s="1112"/>
      <c r="J1095" s="1112"/>
      <c r="K1095" s="1112"/>
      <c r="L1095" s="1112" t="s">
        <v>1607</v>
      </c>
      <c r="M1095" s="1329">
        <v>1078</v>
      </c>
      <c r="N1095" s="1329"/>
      <c r="O1095" s="132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9">
        <v>1079</v>
      </c>
      <c r="N1096" s="1329"/>
      <c r="O1096" s="1328"/>
    </row>
    <row r="1097" spans="1:15" x14ac:dyDescent="0.25">
      <c r="O1097" s="1260"/>
    </row>
    <row r="1098" spans="1:15" x14ac:dyDescent="0.25">
      <c r="O1098" s="1260"/>
    </row>
    <row r="1099" spans="1:15" x14ac:dyDescent="0.25">
      <c r="O1099" s="1260"/>
    </row>
    <row r="1100" spans="1:15" x14ac:dyDescent="0.25">
      <c r="O1100" s="1260"/>
    </row>
    <row r="1101" spans="1:15" x14ac:dyDescent="0.25">
      <c r="O1101" s="1260"/>
    </row>
    <row r="1102" spans="1:15" x14ac:dyDescent="0.25">
      <c r="O1102" s="1260"/>
    </row>
    <row r="1103" spans="1:15" x14ac:dyDescent="0.25">
      <c r="O1103" s="1260"/>
    </row>
    <row r="1104" spans="1:15" x14ac:dyDescent="0.25">
      <c r="O1104" s="1260"/>
    </row>
    <row r="1105" spans="15:15" x14ac:dyDescent="0.25">
      <c r="O1105" s="1260"/>
    </row>
    <row r="1106" spans="15:15" x14ac:dyDescent="0.25">
      <c r="O1106" s="1260"/>
    </row>
    <row r="1107" spans="15:15" x14ac:dyDescent="0.25">
      <c r="O1107" s="1260"/>
    </row>
    <row r="1108" spans="15:15" x14ac:dyDescent="0.25">
      <c r="O1108" s="1260"/>
    </row>
    <row r="1109" spans="15:15" x14ac:dyDescent="0.25">
      <c r="O1109" s="1260"/>
    </row>
    <row r="1110" spans="15:15" x14ac:dyDescent="0.25">
      <c r="O1110" s="1260"/>
    </row>
    <row r="1111" spans="15:15" x14ac:dyDescent="0.25">
      <c r="O1111" s="1260"/>
    </row>
    <row r="1112" spans="15:15" x14ac:dyDescent="0.25">
      <c r="O1112" s="1260"/>
    </row>
    <row r="1113" spans="15:15" x14ac:dyDescent="0.25">
      <c r="O1113" s="1260"/>
    </row>
    <row r="1114" spans="15:15" x14ac:dyDescent="0.25">
      <c r="O1114" s="1260"/>
    </row>
    <row r="1115" spans="15:15" x14ac:dyDescent="0.25">
      <c r="O1115" s="1260"/>
    </row>
    <row r="1116" spans="15:15" x14ac:dyDescent="0.25">
      <c r="O1116" s="1260"/>
    </row>
    <row r="1117" spans="15:15" x14ac:dyDescent="0.25">
      <c r="O1117" s="1260"/>
    </row>
    <row r="1118" spans="15:15" x14ac:dyDescent="0.25">
      <c r="O1118" s="1260"/>
    </row>
    <row r="1119" spans="15:15" x14ac:dyDescent="0.25">
      <c r="O1119" s="1260"/>
    </row>
    <row r="1120" spans="15:15" x14ac:dyDescent="0.25">
      <c r="O1120" s="1260"/>
    </row>
    <row r="1121" spans="15:15" x14ac:dyDescent="0.25">
      <c r="O1121" s="1260"/>
    </row>
    <row r="1122" spans="15:15" x14ac:dyDescent="0.25">
      <c r="O1122" s="1260"/>
    </row>
    <row r="1123" spans="15:15" x14ac:dyDescent="0.25">
      <c r="O1123" s="1260"/>
    </row>
    <row r="1124" spans="15:15" x14ac:dyDescent="0.25">
      <c r="O1124" s="1260"/>
    </row>
    <row r="1125" spans="15:15" x14ac:dyDescent="0.25">
      <c r="O1125" s="1260"/>
    </row>
    <row r="1126" spans="15:15" x14ac:dyDescent="0.25">
      <c r="O1126" s="1260"/>
    </row>
    <row r="1127" spans="15:15" x14ac:dyDescent="0.25">
      <c r="O1127" s="1260"/>
    </row>
    <row r="1128" spans="15:15" x14ac:dyDescent="0.25">
      <c r="O1128" s="1260"/>
    </row>
    <row r="1129" spans="15:15" x14ac:dyDescent="0.25">
      <c r="O1129" s="1260"/>
    </row>
    <row r="1130" spans="15:15" x14ac:dyDescent="0.25">
      <c r="O1130" s="1260"/>
    </row>
    <row r="1131" spans="15:15" x14ac:dyDescent="0.25">
      <c r="O1131" s="1260"/>
    </row>
    <row r="1132" spans="15:15" x14ac:dyDescent="0.25">
      <c r="O1132" s="1260"/>
    </row>
    <row r="1133" spans="15:15" x14ac:dyDescent="0.25">
      <c r="O1133" s="1260"/>
    </row>
    <row r="1134" spans="15:15" x14ac:dyDescent="0.25">
      <c r="O1134" s="1260"/>
    </row>
    <row r="1135" spans="15:15" x14ac:dyDescent="0.25">
      <c r="O1135" s="1260"/>
    </row>
    <row r="1136" spans="15:15" x14ac:dyDescent="0.25">
      <c r="O1136" s="1260"/>
    </row>
    <row r="1137" spans="15:15" x14ac:dyDescent="0.25">
      <c r="O1137" s="1260"/>
    </row>
    <row r="1138" spans="15:15" x14ac:dyDescent="0.25">
      <c r="O1138" s="1260"/>
    </row>
    <row r="1139" spans="15:15" x14ac:dyDescent="0.25">
      <c r="O1139" s="1260"/>
    </row>
    <row r="1140" spans="15:15" x14ac:dyDescent="0.25">
      <c r="O1140" s="1260"/>
    </row>
    <row r="1141" spans="15:15" x14ac:dyDescent="0.25">
      <c r="O1141" s="1260"/>
    </row>
    <row r="1142" spans="15:15" x14ac:dyDescent="0.25">
      <c r="O1142" s="1260"/>
    </row>
    <row r="1143" spans="15:15" x14ac:dyDescent="0.25">
      <c r="O1143" s="1260"/>
    </row>
    <row r="1144" spans="15:15" x14ac:dyDescent="0.25">
      <c r="O1144" s="1260"/>
    </row>
    <row r="1145" spans="15:15" x14ac:dyDescent="0.25">
      <c r="O1145" s="1260"/>
    </row>
  </sheetData>
  <sheetProtection algorithmName="SHA-512" hashValue="h41YbiK6HygZmbRtbbcbBoNSpthMIw/sUtAenwoR3vnNcwWnWPrQGjmrGDzqyeYd+GLH2IClF5IghC9sHRAxsA==" saltValue="YGXlkWkIllyhvk16D0rtUQ==" spinCount="100000" sheet="1" objects="1" scenarios="1"/>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2022-01-21T08:41:06Z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