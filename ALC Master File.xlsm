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149FB1F-6881-486B-8B14-545E538803C7}" xr6:coauthVersionLast="46" xr6:coauthVersionMax="46" xr10:uidLastSave="{00000000-0000-0000-0000-000000000000}"/>
  <workbookProtection workbookAlgorithmName="SHA-512" workbookHashValue="HAzPgMYy02llqKFLAde7/ec0izQ9UA3QrsnTW2NXM3SnNegeySHUNqP/Qtkeu0wE0dMRDvF+boKiB3yI4AZumA==" workbookSaltValue="2RsdqLQI7EH2YoOsK5AKZ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B293" i="92"/>
  <c r="C517" i="92"/>
  <c r="C647" i="92"/>
  <c r="C1111" i="92"/>
  <c r="B736" i="92"/>
  <c r="B1204" i="92"/>
  <c r="C301" i="92"/>
  <c r="C933" i="92"/>
  <c r="C592" i="92"/>
  <c r="B696" i="92"/>
  <c r="C400" i="92"/>
  <c r="C273" i="92"/>
  <c r="C150" i="92"/>
  <c r="B367" i="92"/>
  <c r="C554" i="92"/>
  <c r="B512" i="92"/>
  <c r="C722" i="92"/>
  <c r="B80" i="92"/>
  <c r="C1173" i="92"/>
  <c r="B30" i="92"/>
  <c r="B850" i="92"/>
  <c r="B258" i="92"/>
  <c r="B72" i="92"/>
  <c r="C490" i="92"/>
  <c r="C432" i="92"/>
  <c r="B325" i="92"/>
  <c r="B363" i="92"/>
  <c r="B1098" i="92"/>
  <c r="B774" i="92"/>
  <c r="B954" i="92"/>
  <c r="B471" i="92"/>
  <c r="B526" i="92"/>
  <c r="C126" i="92"/>
  <c r="B1004" i="92"/>
  <c r="B365" i="92"/>
  <c r="C557" i="92"/>
  <c r="B1182" i="92"/>
  <c r="B908" i="92"/>
  <c r="C206" i="92"/>
  <c r="C497" i="92"/>
  <c r="B344" i="92"/>
  <c r="C23" i="92"/>
  <c r="C725" i="92"/>
  <c r="B814" i="92"/>
  <c r="C600" i="92"/>
  <c r="C1179" i="92"/>
  <c r="C756" i="92"/>
  <c r="B856" i="92"/>
  <c r="B117" i="92"/>
  <c r="C938" i="92"/>
  <c r="C988" i="92"/>
  <c r="B469" i="92"/>
  <c r="B116" i="92"/>
  <c r="B496" i="92"/>
  <c r="C261" i="92"/>
  <c r="B266" i="92"/>
  <c r="C220" i="92"/>
  <c r="C695" i="92"/>
  <c r="C839" i="92"/>
  <c r="C353" i="92"/>
  <c r="C973" i="92"/>
  <c r="C293" i="92"/>
  <c r="C339" i="92"/>
  <c r="B407" i="92"/>
  <c r="B417" i="92"/>
  <c r="C477" i="92"/>
  <c r="B289" i="92"/>
  <c r="C334" i="92"/>
  <c r="B699" i="92"/>
  <c r="C550" i="92"/>
  <c r="C430" i="92"/>
  <c r="C847" i="92"/>
  <c r="C1185" i="92"/>
  <c r="C199" i="92"/>
  <c r="C4" i="92"/>
  <c r="C929" i="92"/>
  <c r="B686" i="92"/>
  <c r="B319" i="92"/>
  <c r="C305" i="92"/>
  <c r="B274" i="92"/>
  <c r="C394" i="92"/>
  <c r="C823" i="92"/>
  <c r="B773" i="92"/>
  <c r="C474" i="92"/>
  <c r="C711" i="92"/>
  <c r="B384" i="92"/>
  <c r="C435" i="92"/>
  <c r="B997" i="92"/>
  <c r="C1209" i="92"/>
  <c r="C1009" i="92"/>
  <c r="B427" i="92"/>
  <c r="C970" i="92"/>
  <c r="C1119" i="92"/>
  <c r="C205" i="92"/>
  <c r="C623" i="92"/>
  <c r="C758" i="92"/>
  <c r="B800" i="92"/>
  <c r="B816" i="92"/>
  <c r="B948" i="92"/>
  <c r="B237" i="92"/>
  <c r="C821" i="92"/>
  <c r="C222" i="92"/>
  <c r="B573" i="92"/>
  <c r="B523" i="92"/>
  <c r="C716" i="92"/>
  <c r="B388" i="92"/>
  <c r="B1209" i="92"/>
  <c r="C932" i="92"/>
  <c r="C359" i="92"/>
  <c r="C51" i="92"/>
  <c r="B569" i="92"/>
  <c r="C692" i="92"/>
  <c r="B888" i="92"/>
  <c r="B1018" i="92"/>
  <c r="B837" i="92"/>
  <c r="C239" i="92"/>
  <c r="C957" i="92"/>
  <c r="C49" i="92"/>
  <c r="C706" i="92"/>
  <c r="C240" i="92"/>
  <c r="B647" i="92"/>
  <c r="C100" i="92"/>
  <c r="C233" i="92"/>
  <c r="C484" i="92"/>
  <c r="B642" i="92"/>
  <c r="C448" i="92"/>
  <c r="C251" i="92"/>
  <c r="B419" i="92"/>
  <c r="C69" i="92"/>
  <c r="B552" i="92"/>
  <c r="B969" i="92"/>
  <c r="B416" i="92"/>
  <c r="C526" i="92"/>
  <c r="B468" i="92"/>
  <c r="B275" i="92"/>
  <c r="C491" i="92"/>
  <c r="C634" i="92"/>
  <c r="C465" i="92"/>
  <c r="C835" i="92"/>
  <c r="C372" i="92"/>
  <c r="C1177" i="92"/>
  <c r="B903" i="92"/>
  <c r="B362" i="92"/>
  <c r="B174" i="92"/>
  <c r="C370" i="92"/>
  <c r="B129" i="92"/>
  <c r="C114" i="92"/>
  <c r="B764" i="92"/>
  <c r="B144" i="92"/>
  <c r="C561" i="92"/>
  <c r="B421" i="92"/>
  <c r="C1149" i="92"/>
  <c r="C72" i="92"/>
  <c r="B54" i="92"/>
  <c r="B1027" i="92"/>
  <c r="C235" i="92"/>
  <c r="B356" i="92"/>
  <c r="C874" i="92"/>
  <c r="B688" i="92"/>
  <c r="C427" i="92"/>
  <c r="C796" i="92"/>
  <c r="B951" i="92"/>
  <c r="B1054" i="92"/>
  <c r="C615" i="92"/>
  <c r="B910" i="92"/>
  <c r="C662" i="92"/>
  <c r="B1191" i="92"/>
  <c r="C37" i="92"/>
  <c r="B136" i="92"/>
  <c r="B1097" i="92"/>
  <c r="C609" i="92"/>
  <c r="B59" i="92"/>
  <c r="C1123" i="92"/>
  <c r="C849" i="92"/>
  <c r="C147" i="92"/>
  <c r="C1219" i="92"/>
  <c r="C1200" i="92"/>
  <c r="B1107" i="92"/>
  <c r="C643" i="92"/>
  <c r="C631" i="92"/>
  <c r="B1123" i="92"/>
  <c r="C218" i="92"/>
  <c r="C1011" i="92"/>
  <c r="B377" i="92"/>
  <c r="C547" i="92"/>
  <c r="B525" i="92"/>
  <c r="B209" i="92"/>
  <c r="C734" i="92"/>
  <c r="C1006" i="92"/>
  <c r="B101" i="92"/>
  <c r="C605" i="92"/>
  <c r="C767" i="92"/>
  <c r="B489" i="92"/>
  <c r="C313" i="92"/>
  <c r="B502" i="92"/>
  <c r="C142" i="92"/>
  <c r="B69" i="92"/>
  <c r="C186" i="92"/>
  <c r="C591" i="92"/>
  <c r="B111" i="92"/>
  <c r="C1211" i="92"/>
  <c r="B501" i="92"/>
  <c r="C648" i="92"/>
  <c r="B207" i="92"/>
  <c r="C883" i="92"/>
  <c r="C298" i="92"/>
  <c r="C487" i="92"/>
  <c r="B613" i="92"/>
  <c r="C564" i="92"/>
  <c r="C383" i="92"/>
  <c r="C65" i="92"/>
  <c r="C997" i="92"/>
  <c r="C619" i="92"/>
  <c r="B560" i="92"/>
  <c r="B915" i="92"/>
  <c r="C422" i="92"/>
  <c r="C1044" i="92"/>
  <c r="C282" i="92"/>
  <c r="C555" i="92"/>
  <c r="C728" i="92"/>
  <c r="C127" i="92"/>
  <c r="B530" i="92"/>
  <c r="C357" i="92"/>
  <c r="B926" i="92"/>
  <c r="B246" i="92"/>
  <c r="C110" i="92"/>
  <c r="C195" i="92"/>
  <c r="B1181" i="92"/>
  <c r="B1069" i="92"/>
  <c r="B431" i="92"/>
  <c r="C1051" i="92"/>
  <c r="B462" i="92"/>
  <c r="C572" i="92"/>
  <c r="B952" i="92"/>
  <c r="C1031" i="92"/>
  <c r="C671" i="92"/>
  <c r="B708" i="92"/>
  <c r="C335" i="92"/>
  <c r="B1128" i="92"/>
  <c r="C406" i="92"/>
  <c r="B415" i="92"/>
  <c r="B1175" i="92"/>
  <c r="B545" i="92"/>
  <c r="C524" i="92"/>
  <c r="B444" i="92"/>
  <c r="C618" i="92"/>
  <c r="C495" i="92"/>
  <c r="B485" i="92"/>
  <c r="B180" i="92"/>
  <c r="B299" i="92"/>
  <c r="B887" i="92"/>
  <c r="C363" i="92"/>
  <c r="C940" i="92"/>
  <c r="B497" i="92"/>
  <c r="C762" i="92"/>
  <c r="B124" i="92"/>
  <c r="C436" i="92"/>
  <c r="B92" i="92"/>
  <c r="C896" i="92"/>
  <c r="C759" i="92"/>
  <c r="B375" i="92"/>
  <c r="B740" i="92"/>
  <c r="C801" i="92"/>
  <c r="C80" i="92"/>
  <c r="B984" i="92"/>
  <c r="C1118" i="92"/>
  <c r="C672" i="92"/>
  <c r="C772" i="92"/>
  <c r="B379" i="92"/>
  <c r="B1141" i="92"/>
  <c r="B128" i="92"/>
  <c r="C52" i="92"/>
  <c r="C182" i="92"/>
  <c r="C403" i="92"/>
  <c r="B843" i="92"/>
  <c r="B1032" i="92"/>
  <c r="C944" i="92"/>
  <c r="B347" i="92"/>
  <c r="B665" i="92"/>
  <c r="B1029" i="92"/>
  <c r="B366" i="92"/>
  <c r="B1059" i="92"/>
  <c r="B920" i="92"/>
  <c r="C386" i="92"/>
  <c r="B28" i="92"/>
  <c r="C974" i="92"/>
  <c r="B823" i="92"/>
  <c r="C71" i="92"/>
  <c r="B104" i="92"/>
  <c r="B157" i="92"/>
  <c r="B1095" i="92"/>
  <c r="C44" i="92"/>
  <c r="C552" i="92"/>
  <c r="C969" i="92"/>
  <c r="C913" i="92"/>
  <c r="C181" i="92"/>
  <c r="B261" i="92"/>
  <c r="B121" i="92"/>
  <c r="B304" i="92"/>
  <c r="C784" i="92"/>
  <c r="B391" i="92"/>
  <c r="B504" i="92"/>
  <c r="B35" i="92"/>
  <c r="C1215" i="92"/>
  <c r="B971" i="92"/>
  <c r="C563" i="92"/>
  <c r="C420" i="92"/>
  <c r="B1201" i="92"/>
  <c r="C304" i="92"/>
  <c r="B610" i="92"/>
  <c r="C1193" i="92"/>
  <c r="C604" i="92"/>
  <c r="C470" i="92"/>
  <c r="B747" i="92"/>
  <c r="C367" i="92"/>
  <c r="B57" i="92"/>
  <c r="B1197" i="92"/>
  <c r="B636" i="92"/>
  <c r="B276" i="92"/>
  <c r="C894" i="92"/>
  <c r="C899" i="92"/>
  <c r="B1172" i="92"/>
  <c r="B97" i="92"/>
  <c r="B36" i="92"/>
  <c r="C1178" i="92"/>
  <c r="B70" i="92"/>
  <c r="B466" i="92"/>
  <c r="B14" i="92"/>
  <c r="C846" i="92"/>
  <c r="C738" i="92"/>
  <c r="C343" i="92"/>
  <c r="C431" i="92"/>
  <c r="C822" i="92"/>
  <c r="C489" i="92"/>
  <c r="C669" i="92"/>
  <c r="C452" i="92"/>
  <c r="C336" i="92"/>
  <c r="C645" i="92"/>
  <c r="C963" i="92"/>
  <c r="C1147" i="92"/>
  <c r="C1070" i="92"/>
  <c r="B519" i="92"/>
  <c r="C1057" i="92"/>
  <c r="B515" i="92"/>
  <c r="B230" i="92"/>
  <c r="B620" i="92"/>
  <c r="C1137" i="92"/>
  <c r="B1057" i="92"/>
  <c r="C1128" i="92"/>
  <c r="C660" i="92"/>
  <c r="C16" i="92"/>
  <c r="C478" i="92"/>
  <c r="B75" i="92"/>
  <c r="B115" i="92"/>
  <c r="B208" i="92"/>
  <c r="C992" i="92"/>
  <c r="B950" i="92"/>
  <c r="C761" i="92"/>
  <c r="C117" i="92"/>
  <c r="B703" i="92"/>
  <c r="B459" i="92"/>
  <c r="B188" i="92"/>
  <c r="B434" i="92"/>
  <c r="B790" i="92"/>
  <c r="C331" i="92"/>
  <c r="B1072" i="92"/>
  <c r="C319" i="92"/>
  <c r="C511" i="92"/>
  <c r="C396" i="92"/>
  <c r="B491" i="92"/>
  <c r="B142" i="92"/>
  <c r="C811" i="92"/>
  <c r="B632" i="92"/>
  <c r="B789" i="92"/>
  <c r="C43" i="92"/>
  <c r="B813" i="92"/>
  <c r="C439" i="92"/>
  <c r="C486" i="92"/>
  <c r="B1124" i="92"/>
  <c r="C10" i="92"/>
  <c r="B171" i="92"/>
  <c r="C338" i="92"/>
  <c r="B548" i="92"/>
  <c r="B855" i="92"/>
  <c r="C749" i="92"/>
  <c r="B691" i="92"/>
  <c r="C284" i="92"/>
  <c r="B446" i="92"/>
  <c r="B880" i="92"/>
  <c r="C919" i="92"/>
  <c r="B549" i="92"/>
  <c r="B21" i="92"/>
  <c r="C589" i="92"/>
  <c r="B970" i="92"/>
  <c r="B465" i="92"/>
  <c r="C1096" i="92"/>
  <c r="C525" i="92"/>
  <c r="C945" i="92"/>
  <c r="C409" i="92"/>
  <c r="C768" i="92"/>
  <c r="B528" i="92"/>
  <c r="B480" i="92"/>
  <c r="B998" i="92"/>
  <c r="C590" i="92"/>
  <c r="B321" i="92"/>
  <c r="B667" i="92"/>
  <c r="B307" i="92"/>
  <c r="B18" i="92"/>
  <c r="C815" i="92"/>
  <c r="B183" i="92"/>
  <c r="C28" i="92"/>
  <c r="B1119" i="92"/>
  <c r="C1124" i="92"/>
  <c r="C3" i="92"/>
  <c r="B197" i="92"/>
  <c r="B454" i="92"/>
  <c r="C1055" i="92"/>
  <c r="C447" i="92"/>
  <c r="B487" i="92"/>
  <c r="C1060" i="92"/>
  <c r="C33" i="92"/>
  <c r="C15" i="92"/>
  <c r="C1172" i="92"/>
  <c r="C325" i="92"/>
  <c r="B1093" i="92"/>
  <c r="C737" i="92"/>
  <c r="C310" i="92"/>
  <c r="B66" i="92"/>
  <c r="B483" i="92"/>
  <c r="C766" i="92"/>
  <c r="C776" i="92"/>
  <c r="C456" i="92"/>
  <c r="C1120" i="92"/>
  <c r="C948" i="92"/>
  <c r="C956" i="92"/>
  <c r="C1028" i="92"/>
  <c r="B430" i="92"/>
  <c r="B203" i="92"/>
  <c r="C1013" i="92"/>
  <c r="B958" i="92"/>
  <c r="C989" i="92"/>
  <c r="B550" i="92"/>
  <c r="C8" i="92"/>
  <c r="C851" i="92"/>
  <c r="B461" i="92"/>
  <c r="B279" i="92"/>
  <c r="C640" i="92"/>
  <c r="C360" i="92"/>
  <c r="C837" i="92"/>
  <c r="C415" i="92"/>
  <c r="C798" i="92"/>
  <c r="C59" i="92"/>
  <c r="C770" i="92"/>
  <c r="B862" i="92"/>
  <c r="B1154" i="92"/>
  <c r="B44" i="92"/>
  <c r="B968" i="92"/>
  <c r="C280" i="92"/>
  <c r="B644" i="92"/>
  <c r="C950" i="92"/>
  <c r="C800" i="92"/>
  <c r="B368" i="92"/>
  <c r="B49" i="92"/>
  <c r="C272" i="92"/>
  <c r="C1152" i="92"/>
  <c r="B1121" i="92"/>
  <c r="B91" i="92"/>
  <c r="B967" i="92"/>
  <c r="C91" i="92"/>
  <c r="C255" i="92"/>
  <c r="C865" i="92"/>
  <c r="C1078" i="92"/>
  <c r="B109" i="92"/>
  <c r="C423" i="92"/>
  <c r="C667" i="92"/>
  <c r="C528" i="92"/>
  <c r="B709" i="92"/>
  <c r="C476" i="92"/>
  <c r="C1099" i="92"/>
  <c r="B1159" i="92"/>
  <c r="B885" i="92"/>
  <c r="B1070" i="92"/>
  <c r="B282" i="92"/>
  <c r="B60" i="92"/>
  <c r="C675" i="92"/>
  <c r="B20" i="92"/>
  <c r="C175" i="92"/>
  <c r="B538" i="92"/>
  <c r="C562" i="92"/>
  <c r="B1003" i="92"/>
  <c r="C141" i="92"/>
  <c r="B499" i="92"/>
  <c r="B10" i="92"/>
  <c r="C1148" i="92"/>
  <c r="B1113" i="92"/>
  <c r="B1219" i="92"/>
  <c r="C935" i="92"/>
  <c r="C750" i="92"/>
  <c r="B448" i="92"/>
  <c r="C419" i="92"/>
  <c r="C407" i="92"/>
  <c r="B758" i="92"/>
  <c r="C512" i="92"/>
  <c r="B241" i="92"/>
  <c r="B1026" i="92"/>
  <c r="C498" i="92"/>
  <c r="B1042" i="92"/>
  <c r="C787" i="92"/>
  <c r="C676" i="92"/>
  <c r="B815" i="92"/>
  <c r="C399" i="92"/>
  <c r="C794" i="92"/>
  <c r="B1186" i="92"/>
  <c r="B1052" i="92"/>
  <c r="B400" i="92"/>
  <c r="C36" i="92"/>
  <c r="C124" i="92"/>
  <c r="B1094" i="92"/>
  <c r="B845" i="92"/>
  <c r="B787" i="92"/>
  <c r="C953" i="92"/>
  <c r="C296" i="92"/>
  <c r="B654" i="92"/>
  <c r="C979" i="92"/>
  <c r="C232" i="92"/>
  <c r="C466" i="92"/>
  <c r="B689" i="92"/>
  <c r="B396" i="92"/>
  <c r="C323" i="92"/>
  <c r="B478" i="92"/>
  <c r="C803" i="92"/>
  <c r="C898" i="92"/>
  <c r="B492" i="92"/>
  <c r="C832" i="92"/>
  <c r="B288" i="92"/>
  <c r="C534" i="92"/>
  <c r="C1029" i="92"/>
  <c r="C806" i="92"/>
  <c r="C1157" i="92"/>
  <c r="B1132" i="92"/>
  <c r="C527" i="92"/>
  <c r="B78" i="92"/>
  <c r="C349" i="92"/>
  <c r="C765" i="92"/>
  <c r="B1108" i="92"/>
  <c r="B332" i="92"/>
  <c r="C106" i="92"/>
  <c r="C644" i="92"/>
  <c r="B829" i="92"/>
  <c r="B95" i="92"/>
  <c r="C53" i="92"/>
  <c r="B429" i="92"/>
  <c r="B935" i="92"/>
  <c r="C140" i="92"/>
  <c r="B717" i="92"/>
  <c r="B589" i="92"/>
  <c r="C29" i="92"/>
  <c r="B1065" i="92"/>
  <c r="C825" i="92"/>
  <c r="C176" i="92"/>
  <c r="C320" i="92"/>
  <c r="C405" i="92"/>
  <c r="B336" i="92"/>
  <c r="B884" i="92"/>
  <c r="C178" i="92"/>
  <c r="C1180" i="92"/>
  <c r="B488" i="92"/>
  <c r="B842" i="92"/>
  <c r="B1037" i="92"/>
  <c r="B309" i="92"/>
  <c r="B328" i="92"/>
  <c r="C881" i="92"/>
  <c r="B191" i="92"/>
  <c r="B925" i="92"/>
  <c r="C954" i="92"/>
  <c r="B84" i="92"/>
  <c r="B227" i="92"/>
  <c r="B680" i="92"/>
  <c r="C539" i="92"/>
  <c r="B310" i="92"/>
  <c r="B503" i="92"/>
  <c r="C588" i="92"/>
  <c r="B1164" i="92"/>
  <c r="B1143" i="92"/>
  <c r="B249" i="92"/>
  <c r="C862" i="92"/>
  <c r="C951" i="92"/>
  <c r="C1109" i="92"/>
  <c r="B721" i="92"/>
  <c r="B828" i="92"/>
  <c r="B354" i="92"/>
  <c r="C558" i="92"/>
  <c r="B710" i="92"/>
  <c r="C1024" i="92"/>
  <c r="B484" i="92"/>
  <c r="B565" i="92"/>
  <c r="C1168" i="92"/>
  <c r="C30" i="92"/>
  <c r="B1050" i="92"/>
  <c r="B962" i="92"/>
  <c r="B450" i="92"/>
  <c r="B467" i="92"/>
  <c r="B784" i="92"/>
  <c r="B866" i="92"/>
  <c r="C743" i="92"/>
  <c r="C1095" i="92"/>
  <c r="C581" i="92"/>
  <c r="C1081" i="92"/>
  <c r="B1045" i="92"/>
  <c r="C580" i="92"/>
  <c r="B1024" i="92"/>
  <c r="C330" i="92"/>
  <c r="B112" i="92"/>
  <c r="C425" i="92"/>
  <c r="C540" i="92"/>
  <c r="B1205" i="92"/>
  <c r="B326" i="92"/>
  <c r="C595" i="92"/>
  <c r="B470" i="92"/>
  <c r="C438" i="92"/>
  <c r="B378" i="92"/>
  <c r="B1142" i="92"/>
  <c r="C639" i="92"/>
  <c r="C666" i="92"/>
  <c r="B399" i="92"/>
  <c r="C318" i="92"/>
  <c r="B7" i="92"/>
  <c r="C295" i="92"/>
  <c r="B146" i="92"/>
  <c r="C481" i="92"/>
  <c r="C504" i="92"/>
  <c r="C673" i="92"/>
  <c r="B663" i="92"/>
  <c r="C845" i="92"/>
  <c r="B120" i="92"/>
  <c r="C88" i="92"/>
  <c r="B37" i="92"/>
  <c r="B684" i="92"/>
  <c r="C656" i="92"/>
  <c r="B212" i="92"/>
  <c r="B150" i="92"/>
  <c r="B918" i="92"/>
  <c r="C428" i="92"/>
  <c r="C887" i="92"/>
  <c r="B844" i="92"/>
  <c r="C287" i="92"/>
  <c r="B877" i="92"/>
  <c r="C1068" i="92"/>
  <c r="B520" i="92"/>
  <c r="B1111" i="92"/>
  <c r="C493" i="92"/>
  <c r="C191" i="92"/>
  <c r="B406" i="92"/>
  <c r="C245" i="92"/>
  <c r="B242" i="92"/>
  <c r="C684" i="92"/>
  <c r="C303" i="92"/>
  <c r="C259" i="92"/>
  <c r="C918" i="92"/>
  <c r="B397" i="92"/>
  <c r="B759" i="92"/>
  <c r="C352" i="92"/>
  <c r="B861" i="92"/>
  <c r="B199" i="92"/>
  <c r="C892" i="92"/>
  <c r="C1196" i="92"/>
  <c r="B498" i="92"/>
  <c r="B411" i="92"/>
  <c r="B836" i="92"/>
  <c r="B1203" i="92"/>
  <c r="C473" i="92"/>
  <c r="C529" i="92"/>
  <c r="B451" i="92"/>
  <c r="C655" i="92"/>
  <c r="B264" i="92"/>
  <c r="B733" i="92"/>
  <c r="B724" i="92"/>
  <c r="C212" i="92"/>
  <c r="B463" i="92"/>
  <c r="C736" i="92"/>
  <c r="C1050" i="92"/>
  <c r="B615" i="92"/>
  <c r="B702" i="92"/>
  <c r="C624" i="92"/>
  <c r="B987" i="92"/>
  <c r="C1191" i="92"/>
  <c r="B211" i="92"/>
  <c r="C1150" i="92"/>
  <c r="B1193" i="92"/>
  <c r="B991" i="92"/>
  <c r="B401" i="92"/>
  <c r="B98" i="92"/>
  <c r="C732" i="92"/>
  <c r="B324" i="92"/>
  <c r="C878" i="92"/>
  <c r="B3" i="92"/>
  <c r="C174" i="92"/>
  <c r="C14" i="92"/>
  <c r="B5" i="92"/>
  <c r="C893" i="92"/>
  <c r="C1176" i="92"/>
  <c r="C67" i="92"/>
  <c r="C346" i="92"/>
  <c r="C870" i="92"/>
  <c r="B993" i="92"/>
  <c r="B646" i="92"/>
  <c r="C1007" i="92"/>
  <c r="C1122" i="92"/>
  <c r="B1211" i="92"/>
  <c r="C183" i="92"/>
  <c r="C608" i="92"/>
  <c r="C880" i="92"/>
  <c r="B705" i="92"/>
  <c r="B190" i="92"/>
  <c r="C429" i="92"/>
  <c r="B670" i="92"/>
  <c r="B848" i="92"/>
  <c r="B822" i="92"/>
  <c r="B792" i="92"/>
  <c r="C1012" i="92"/>
  <c r="C1204" i="92"/>
  <c r="C302" i="92"/>
  <c r="B762" i="92"/>
  <c r="C368" i="92"/>
  <c r="B585" i="92"/>
  <c r="B65" i="92"/>
  <c r="B71" i="92"/>
  <c r="B1077" i="92"/>
  <c r="C248" i="92"/>
  <c r="C664" i="92"/>
  <c r="C264" i="92"/>
  <c r="B659" i="92"/>
  <c r="B927" i="92"/>
  <c r="C21" i="92"/>
  <c r="B262" i="92"/>
  <c r="B300" i="92"/>
  <c r="C70" i="92"/>
  <c r="C1097" i="92"/>
  <c r="B955" i="92"/>
  <c r="C209" i="92"/>
  <c r="B113" i="92"/>
  <c r="C289" i="92"/>
  <c r="B890" i="92"/>
  <c r="B595" i="92"/>
  <c r="B443" i="92"/>
  <c r="B192" i="92"/>
  <c r="C653" i="92"/>
  <c r="B50" i="92"/>
  <c r="C791" i="92"/>
  <c r="C516" i="92"/>
  <c r="C1100" i="92"/>
  <c r="C1139" i="92"/>
  <c r="C856" i="92"/>
  <c r="C270" i="92"/>
  <c r="B1139" i="92"/>
  <c r="B529" i="92"/>
  <c r="C1205" i="92"/>
  <c r="B719" i="92"/>
  <c r="B799" i="92"/>
  <c r="B43" i="92"/>
  <c r="B215" i="92"/>
  <c r="B472" i="92"/>
  <c r="B51" i="92"/>
  <c r="B167" i="92"/>
  <c r="B371" i="92"/>
  <c r="B913" i="92"/>
  <c r="C96" i="92"/>
  <c r="B173" i="92"/>
  <c r="B26" i="92"/>
  <c r="B580" i="92"/>
  <c r="B1016" i="92"/>
  <c r="B63" i="92"/>
  <c r="B1198" i="92"/>
  <c r="C971" i="92"/>
  <c r="B303" i="92"/>
  <c r="C879" i="92"/>
  <c r="B744" i="92"/>
  <c r="B1006" i="92"/>
  <c r="B933" i="92"/>
  <c r="B259" i="92"/>
  <c r="B196" i="92"/>
  <c r="C375" i="92"/>
  <c r="C939" i="92"/>
  <c r="B988" i="92"/>
  <c r="B785" i="92"/>
  <c r="C135" i="92"/>
  <c r="B514" i="92"/>
  <c r="C1048" i="92"/>
  <c r="C538" i="92"/>
  <c r="B878" i="92"/>
  <c r="B574" i="92"/>
  <c r="B675" i="92"/>
  <c r="C322" i="92"/>
  <c r="C506" i="92"/>
  <c r="B853" i="92"/>
  <c r="C968" i="92"/>
  <c r="B618" i="92"/>
  <c r="B821" i="92"/>
  <c r="C1021" i="92"/>
  <c r="C1043" i="92"/>
  <c r="C94" i="92"/>
  <c r="B871" i="92"/>
  <c r="B1011" i="92"/>
  <c r="B423" i="92"/>
  <c r="B182" i="92"/>
  <c r="B383" i="92"/>
  <c r="C840" i="92"/>
  <c r="C783" i="92"/>
  <c r="B168" i="92"/>
  <c r="C380" i="92"/>
  <c r="B298" i="92"/>
  <c r="B1151" i="92"/>
  <c r="B851" i="92"/>
  <c r="C95" i="92"/>
  <c r="C416" i="92"/>
  <c r="B222" i="92"/>
  <c r="C451" i="92"/>
  <c r="B942" i="92"/>
  <c r="B87" i="92"/>
  <c r="B481" i="92"/>
  <c r="C679" i="92"/>
  <c r="B395" i="92"/>
  <c r="B907" i="92"/>
  <c r="C73" i="92"/>
  <c r="C535" i="92"/>
  <c r="B767" i="92"/>
  <c r="C354" i="92"/>
  <c r="C81" i="92"/>
  <c r="B449" i="92"/>
  <c r="B456" i="92"/>
  <c r="C638" i="92"/>
  <c r="B587" i="92"/>
  <c r="B134" i="92"/>
  <c r="B94" i="92"/>
  <c r="B1008" i="92"/>
  <c r="B906" i="92"/>
  <c r="B1056" i="92"/>
  <c r="B934" i="92"/>
  <c r="C779" i="92"/>
  <c r="B860" i="92"/>
  <c r="B783" i="92"/>
  <c r="C115" i="92"/>
  <c r="B218" i="92"/>
  <c r="C773" i="92"/>
  <c r="B148" i="92"/>
  <c r="C1017" i="92"/>
  <c r="C903" i="92"/>
  <c r="C471" i="92"/>
  <c r="B79" i="92"/>
  <c r="B929" i="92"/>
  <c r="B923" i="92"/>
  <c r="C924" i="92"/>
  <c r="C395" i="92"/>
  <c r="B147" i="92"/>
  <c r="C275" i="92"/>
  <c r="C882" i="92"/>
  <c r="C1046" i="92"/>
  <c r="C785" i="92"/>
  <c r="C371" i="92"/>
  <c r="B390" i="92"/>
  <c r="C387" i="92"/>
  <c r="B1002" i="92"/>
  <c r="C221" i="92"/>
  <c r="B763" i="92"/>
  <c r="C1026" i="92"/>
  <c r="C306" i="92"/>
  <c r="C56" i="92"/>
  <c r="B99" i="92"/>
  <c r="C844" i="92"/>
  <c r="B536" i="92"/>
  <c r="C99" i="92"/>
  <c r="C810" i="92"/>
  <c r="C1016" i="92"/>
  <c r="B475" i="92"/>
  <c r="C223" i="92"/>
  <c r="B1033" i="92"/>
  <c r="C886" i="92"/>
  <c r="B608" i="92"/>
  <c r="B389" i="92"/>
  <c r="C1075" i="92"/>
  <c r="B513" i="92"/>
  <c r="B460" i="92"/>
  <c r="B339" i="92"/>
  <c r="B1208" i="92"/>
  <c r="B517" i="92"/>
  <c r="C693" i="92"/>
  <c r="B1076" i="92"/>
  <c r="C137" i="92"/>
  <c r="B306" i="92"/>
  <c r="B141" i="92"/>
  <c r="C152" i="92"/>
  <c r="B831" i="92"/>
  <c r="B331" i="92"/>
  <c r="B810" i="92"/>
  <c r="B176" i="92"/>
  <c r="C483" i="92"/>
  <c r="B508" i="92"/>
  <c r="B1088" i="92"/>
  <c r="C397" i="92"/>
  <c r="C739" i="92"/>
  <c r="C92" i="92"/>
  <c r="B1166" i="92"/>
  <c r="B522" i="92"/>
  <c r="B978" i="92"/>
  <c r="C276" i="92"/>
  <c r="B68" i="92"/>
  <c r="B220" i="92"/>
  <c r="C321" i="92"/>
  <c r="C830" i="92"/>
  <c r="C1041" i="92"/>
  <c r="C1072" i="92"/>
  <c r="C381" i="92"/>
  <c r="B404" i="92"/>
  <c r="C998" i="92"/>
  <c r="B645" i="92"/>
  <c r="C388" i="92"/>
  <c r="B359" i="92"/>
  <c r="C98" i="92"/>
  <c r="C342" i="92"/>
  <c r="B1005" i="92"/>
  <c r="C285" i="92"/>
  <c r="B477" i="92"/>
  <c r="C463" i="92"/>
  <c r="C454" i="92"/>
  <c r="B640" i="92"/>
  <c r="C1192" i="92"/>
  <c r="B118" i="92"/>
  <c r="C986" i="92"/>
  <c r="C262" i="92"/>
  <c r="C1030" i="92"/>
  <c r="B295" i="92"/>
  <c r="C1022" i="92"/>
  <c r="C518" i="92"/>
  <c r="C84" i="92"/>
  <c r="B567" i="92"/>
  <c r="B863" i="92"/>
  <c r="B872" i="92"/>
  <c r="B917" i="92"/>
  <c r="C530" i="92"/>
  <c r="B253" i="92"/>
  <c r="C445" i="92"/>
  <c r="B302" i="92"/>
  <c r="B1090" i="92"/>
  <c r="C678" i="92"/>
  <c r="C457" i="92"/>
  <c r="C1188" i="92"/>
  <c r="B1207" i="92"/>
  <c r="B869" i="92"/>
  <c r="B533" i="92"/>
  <c r="C499" i="92"/>
  <c r="B223" i="92"/>
  <c r="B263" i="92"/>
  <c r="C542" i="92"/>
  <c r="C101" i="92"/>
  <c r="C279" i="92"/>
  <c r="B695" i="92"/>
  <c r="B760" i="92"/>
  <c r="C712" i="92"/>
  <c r="C698" i="92"/>
  <c r="C1213" i="92"/>
  <c r="C690" i="92"/>
  <c r="B312" i="92"/>
  <c r="B592" i="92"/>
  <c r="C686" i="92"/>
  <c r="B138" i="92"/>
  <c r="C977" i="92"/>
  <c r="B745" i="92"/>
  <c r="C9" i="92"/>
  <c r="B9" i="92"/>
  <c r="B639" i="92"/>
  <c r="C670" i="92"/>
  <c r="B765" i="92"/>
  <c r="B687" i="92"/>
  <c r="B731" i="92"/>
  <c r="C708" i="92"/>
  <c r="B576" i="92"/>
  <c r="C1010" i="92"/>
  <c r="B500" i="92"/>
  <c r="C389" i="92"/>
  <c r="C730" i="92"/>
  <c r="C556" i="92"/>
  <c r="C546" i="92"/>
  <c r="B1122" i="92"/>
  <c r="B653" i="92"/>
  <c r="C775" i="92"/>
  <c r="B405" i="92"/>
  <c r="C536" i="92"/>
  <c r="B1195" i="92"/>
  <c r="B746" i="92"/>
  <c r="C132" i="92"/>
  <c r="B1055" i="92"/>
  <c r="B685" i="92"/>
  <c r="B597" i="92"/>
  <c r="C1133" i="92"/>
  <c r="C214" i="92"/>
  <c r="B349" i="92"/>
  <c r="C47" i="92"/>
  <c r="B265" i="92"/>
  <c r="C358" i="92"/>
  <c r="B376" i="92"/>
  <c r="B1101" i="92"/>
  <c r="C576" i="92"/>
  <c r="B402" i="92"/>
  <c r="C314" i="92"/>
  <c r="B817" i="92"/>
  <c r="B205" i="92"/>
  <c r="C993" i="92"/>
  <c r="C850" i="92"/>
  <c r="B1025" i="92"/>
  <c r="B206" i="92"/>
  <c r="B768" i="92"/>
  <c r="B226" i="92"/>
  <c r="B974" i="92"/>
  <c r="C19" i="92"/>
  <c r="C1086" i="92"/>
  <c r="B252" i="92"/>
  <c r="C1107" i="92"/>
  <c r="C216" i="92"/>
  <c r="B1080" i="92"/>
  <c r="B572" i="92"/>
  <c r="B67" i="92"/>
  <c r="C151" i="92"/>
  <c r="C895" i="92"/>
  <c r="C392" i="92"/>
  <c r="B1185" i="92"/>
  <c r="C185" i="92"/>
  <c r="C533" i="92"/>
  <c r="B170" i="92"/>
  <c r="B518" i="92"/>
  <c r="C385" i="92"/>
  <c r="C217" i="92"/>
  <c r="C741" i="92"/>
  <c r="B544" i="92"/>
  <c r="C168" i="92"/>
  <c r="C440" i="92"/>
  <c r="B982" i="92"/>
  <c r="B1009" i="92"/>
  <c r="C213" i="92"/>
  <c r="B661" i="92"/>
  <c r="C532" i="92"/>
  <c r="C799" i="92"/>
  <c r="C204" i="92"/>
  <c r="B156" i="92"/>
  <c r="C382" i="92"/>
  <c r="B939" i="92"/>
  <c r="B418" i="92"/>
  <c r="B373" i="92"/>
  <c r="B280" i="92"/>
  <c r="B1129" i="92"/>
  <c r="B648" i="92"/>
  <c r="C1062" i="92"/>
  <c r="B849" i="92"/>
  <c r="B224" i="92"/>
  <c r="B409" i="92"/>
  <c r="C983" i="92"/>
  <c r="B296" i="92"/>
  <c r="C234" i="92"/>
  <c r="B507" i="92"/>
  <c r="B172" i="92"/>
  <c r="B169" i="92"/>
  <c r="B509" i="92"/>
  <c r="C707" i="92"/>
  <c r="B656" i="92"/>
  <c r="C1071" i="92"/>
  <c r="B1007" i="92"/>
  <c r="C66" i="92"/>
  <c r="C247" i="92"/>
  <c r="C917" i="92"/>
  <c r="B732" i="92"/>
  <c r="C1103" i="92"/>
  <c r="B540" i="92"/>
  <c r="C1113" i="92"/>
  <c r="B110" i="92"/>
  <c r="C155" i="92"/>
  <c r="B314" i="92"/>
  <c r="C598" i="92"/>
  <c r="C64" i="92"/>
  <c r="C464" i="92"/>
  <c r="C201" i="92"/>
  <c r="B1078" i="92"/>
  <c r="C959" i="92"/>
  <c r="C630" i="92"/>
  <c r="B631" i="92"/>
  <c r="B1148" i="92"/>
  <c r="B796" i="92"/>
  <c r="B1202" i="92"/>
  <c r="B24" i="92"/>
  <c r="B1100" i="92"/>
  <c r="B990" i="92"/>
  <c r="C705" i="92"/>
  <c r="C729" i="92"/>
  <c r="C934" i="92"/>
  <c r="C1056" i="92"/>
  <c r="C68" i="92"/>
  <c r="C1001" i="92"/>
  <c r="C507" i="92"/>
  <c r="C108" i="92"/>
  <c r="C374" i="92"/>
  <c r="C831" i="92"/>
  <c r="B175" i="92"/>
  <c r="C537" i="92"/>
  <c r="C931" i="92"/>
  <c r="B269" i="92"/>
  <c r="C687" i="92"/>
  <c r="B1017" i="92"/>
  <c r="B382" i="92"/>
  <c r="C1076" i="92"/>
  <c r="B4" i="92"/>
  <c r="C1163" i="92"/>
  <c r="B201" i="92"/>
  <c r="B735" i="92"/>
  <c r="B539" i="92"/>
  <c r="B753" i="92"/>
  <c r="C238" i="92"/>
  <c r="C76" i="92"/>
  <c r="B651" i="92"/>
  <c r="C575" i="92"/>
  <c r="C897" i="92"/>
  <c r="C1003" i="92"/>
  <c r="C718" i="92"/>
  <c r="C426" i="92"/>
  <c r="C307" i="92"/>
  <c r="C911" i="92"/>
  <c r="B894" i="92"/>
  <c r="B53" i="92"/>
  <c r="B154" i="92"/>
  <c r="C146" i="92"/>
  <c r="B527" i="92"/>
  <c r="C61" i="92"/>
  <c r="C333" i="92"/>
  <c r="C510" i="92"/>
  <c r="C268" i="92"/>
  <c r="C636" i="92"/>
  <c r="B1038" i="92"/>
  <c r="C242" i="92"/>
  <c r="C763" i="92"/>
  <c r="C97" i="92"/>
  <c r="C75" i="92"/>
  <c r="B494" i="92"/>
  <c r="C1084" i="92"/>
  <c r="B221" i="92"/>
  <c r="C958" i="92"/>
  <c r="B839" i="92"/>
  <c r="C328" i="92"/>
  <c r="C788" i="92"/>
  <c r="B74" i="92"/>
  <c r="C689" i="92"/>
  <c r="B81" i="92"/>
  <c r="B305" i="92"/>
  <c r="B1075" i="92"/>
  <c r="C838" i="92"/>
  <c r="C133" i="92"/>
  <c r="B858" i="92"/>
  <c r="B189" i="92"/>
  <c r="C171" i="92"/>
  <c r="C585" i="92"/>
  <c r="C1053" i="92"/>
  <c r="B922" i="92"/>
  <c r="C691" i="92"/>
  <c r="B1176" i="92"/>
  <c r="B1114" i="92"/>
  <c r="B977" i="92"/>
  <c r="C362" i="92"/>
  <c r="B707" i="92"/>
  <c r="C813" i="92"/>
  <c r="B776" i="92"/>
  <c r="C1015" i="92"/>
  <c r="B90" i="92"/>
  <c r="C930" i="92"/>
  <c r="B546" i="92"/>
  <c r="B930" i="92"/>
  <c r="B728" i="92"/>
  <c r="C1159" i="92"/>
  <c r="B1082" i="92"/>
  <c r="B972" i="92"/>
  <c r="C398" i="92"/>
  <c r="C250" i="92"/>
  <c r="B322" i="92"/>
  <c r="B693" i="92"/>
  <c r="B1040" i="92"/>
  <c r="B139" i="92"/>
  <c r="C742" i="92"/>
  <c r="C704" i="92"/>
  <c r="C253" i="92"/>
  <c r="B486" i="92"/>
  <c r="B27" i="92"/>
  <c r="B1085" i="92"/>
  <c r="C366" i="92"/>
  <c r="B320" i="92"/>
  <c r="C324" i="92"/>
  <c r="C1090" i="92"/>
  <c r="C720" i="92"/>
  <c r="B1152" i="92"/>
  <c r="B490" i="92"/>
  <c r="C249" i="92"/>
  <c r="B838" i="92"/>
  <c r="C774" i="92"/>
  <c r="B1086" i="92"/>
  <c r="B945" i="92"/>
  <c r="B805" i="92"/>
  <c r="B107" i="92"/>
  <c r="B413" i="92"/>
  <c r="B1013" i="92"/>
  <c r="B46" i="92"/>
  <c r="C281" i="92"/>
  <c r="C149" i="92"/>
  <c r="B928" i="92"/>
  <c r="C745" i="92"/>
  <c r="B1134" i="92"/>
  <c r="C434" i="92"/>
  <c r="B342" i="92"/>
  <c r="C746" i="92"/>
  <c r="C616" i="92"/>
  <c r="C627" i="92"/>
  <c r="C902" i="92"/>
  <c r="B240" i="92"/>
  <c r="C859" i="92"/>
  <c r="B317" i="92"/>
  <c r="B1170" i="92"/>
  <c r="B16" i="92"/>
  <c r="C113" i="92"/>
  <c r="B270" i="92"/>
  <c r="B386" i="92"/>
  <c r="B1000" i="92"/>
  <c r="B818" i="92"/>
  <c r="B937" i="92"/>
  <c r="B749" i="92"/>
  <c r="B720" i="92"/>
  <c r="B791" i="92"/>
  <c r="B655" i="92"/>
  <c r="B1199" i="92"/>
  <c r="B698" i="92"/>
  <c r="B714" i="92"/>
  <c r="B1015" i="92"/>
  <c r="C694" i="92"/>
  <c r="C1105" i="92"/>
  <c r="C633" i="92"/>
  <c r="B126" i="92"/>
  <c r="B254" i="92"/>
  <c r="C365" i="92"/>
  <c r="C863" i="92"/>
  <c r="B62" i="92"/>
  <c r="B664" i="92"/>
  <c r="C674" i="92"/>
  <c r="C1183" i="92"/>
  <c r="B673" i="92"/>
  <c r="C697" i="92"/>
  <c r="B1162" i="92"/>
  <c r="B541" i="92"/>
  <c r="B697" i="92"/>
  <c r="B15" i="92"/>
  <c r="C129" i="92"/>
  <c r="B452" i="92"/>
  <c r="B635" i="92"/>
  <c r="B611" i="92"/>
  <c r="C641" i="92"/>
  <c r="C1156" i="92"/>
  <c r="C1117" i="92"/>
  <c r="C891" i="92"/>
  <c r="C872" i="92"/>
  <c r="B531" i="92"/>
  <c r="C327" i="92"/>
  <c r="C721" i="92"/>
  <c r="C187" i="92"/>
  <c r="C1087" i="92"/>
  <c r="B761" i="92"/>
  <c r="B963" i="92"/>
  <c r="C1005" i="92"/>
  <c r="C355" i="92"/>
  <c r="C999" i="92"/>
  <c r="C696" i="92"/>
  <c r="C256" i="92"/>
  <c r="C11" i="92"/>
  <c r="B145" i="92"/>
  <c r="B229" i="92"/>
  <c r="C569" i="92"/>
  <c r="B563" i="92"/>
  <c r="B556" i="92"/>
  <c r="C947" i="92"/>
  <c r="C125" i="92"/>
  <c r="B578" i="92"/>
  <c r="B575" i="92"/>
  <c r="C104" i="92"/>
  <c r="C1165" i="92"/>
  <c r="B370" i="92"/>
  <c r="C1207" i="92"/>
  <c r="C781" i="92"/>
  <c r="B947" i="92"/>
  <c r="B616" i="92"/>
  <c r="B806" i="92"/>
  <c r="B833" i="92"/>
  <c r="B739" i="92"/>
  <c r="C1136" i="92"/>
  <c r="B743" i="92"/>
  <c r="B847" i="92"/>
  <c r="C519" i="92"/>
  <c r="B976" i="92"/>
  <c r="B200" i="92"/>
  <c r="C980" i="92"/>
  <c r="C1052" i="92"/>
  <c r="C468" i="92"/>
  <c r="C612" i="92"/>
  <c r="C523" i="92"/>
  <c r="B532" i="92"/>
  <c r="C373" i="92"/>
  <c r="C906" i="92"/>
  <c r="B216" i="92"/>
  <c r="B232" i="92"/>
  <c r="C391" i="92"/>
  <c r="C225" i="92"/>
  <c r="B213" i="92"/>
  <c r="B493" i="92"/>
  <c r="B751" i="92"/>
  <c r="B285" i="92"/>
  <c r="C1040" i="92"/>
  <c r="B89" i="92"/>
  <c r="B820" i="92"/>
  <c r="B1105" i="92"/>
  <c r="C1126" i="92"/>
  <c r="C1186" i="92"/>
  <c r="B393" i="92"/>
  <c r="C190" i="92"/>
  <c r="C1197" i="92"/>
  <c r="B1044" i="92"/>
  <c r="B424" i="92"/>
  <c r="B130" i="92"/>
  <c r="B425" i="92"/>
  <c r="C418" i="92"/>
  <c r="B876" i="92"/>
  <c r="B628" i="92"/>
  <c r="C369" i="92"/>
  <c r="B387" i="92"/>
  <c r="B956" i="92"/>
  <c r="C364" i="92"/>
  <c r="C154" i="92"/>
  <c r="C960" i="92"/>
  <c r="B392" i="92"/>
  <c r="B29" i="92"/>
  <c r="B455" i="92"/>
  <c r="B243" i="92"/>
  <c r="C266" i="92"/>
  <c r="B674" i="92"/>
  <c r="C283" i="92"/>
  <c r="C312" i="92"/>
  <c r="B271" i="92"/>
  <c r="B346" i="92"/>
  <c r="C167" i="92"/>
  <c r="B453" i="92"/>
  <c r="B1167" i="92"/>
  <c r="C153" i="92"/>
  <c r="B140" i="92"/>
  <c r="B352" i="92"/>
  <c r="C941" i="92"/>
  <c r="C224" i="92"/>
  <c r="B381" i="92"/>
  <c r="B228" i="92"/>
  <c r="B1061" i="92"/>
  <c r="C290" i="92"/>
  <c r="B1071" i="92"/>
  <c r="C24" i="92"/>
  <c r="C459" i="92"/>
  <c r="C818" i="92"/>
  <c r="B291" i="92"/>
  <c r="B73" i="92"/>
  <c r="B1019" i="92"/>
  <c r="B716" i="92"/>
  <c r="C227" i="92"/>
  <c r="C955" i="92"/>
  <c r="B668" i="92"/>
  <c r="B957" i="92"/>
  <c r="B239" i="92"/>
  <c r="B953" i="92"/>
  <c r="B398" i="92"/>
  <c r="C340" i="92"/>
  <c r="C964" i="92"/>
  <c r="B1014" i="92"/>
  <c r="B1068" i="92"/>
  <c r="C77" i="92"/>
  <c r="B755" i="92"/>
  <c r="C817" i="92"/>
  <c r="B267" i="92"/>
  <c r="C814" i="92"/>
  <c r="B625" i="92"/>
  <c r="B1104" i="92"/>
  <c r="C107" i="92"/>
  <c r="B495" i="92"/>
  <c r="C1130" i="92"/>
  <c r="B290" i="92"/>
  <c r="B1117" i="92"/>
  <c r="C1210" i="92"/>
  <c r="B1218" i="92"/>
  <c r="C203" i="92"/>
  <c r="C500" i="92"/>
  <c r="B893" i="92"/>
  <c r="B6" i="92"/>
  <c r="C308" i="92"/>
  <c r="C332" i="92"/>
  <c r="B245" i="92"/>
  <c r="C215" i="92"/>
  <c r="B588" i="92"/>
  <c r="B268" i="92"/>
  <c r="B476" i="92"/>
  <c r="C754" i="92"/>
  <c r="B537" i="92"/>
  <c r="C668" i="92"/>
  <c r="C548" i="92"/>
  <c r="C942" i="92"/>
  <c r="B899" i="92"/>
  <c r="C421" i="92"/>
  <c r="B521" i="92"/>
  <c r="C55" i="92"/>
  <c r="C102" i="92"/>
  <c r="B730" i="92"/>
  <c r="B225" i="92"/>
  <c r="C1027" i="92"/>
  <c r="B598" i="92"/>
  <c r="C271" i="92"/>
  <c r="C795" i="92"/>
  <c r="C1146" i="92"/>
  <c r="C861" i="92"/>
  <c r="C58" i="92"/>
  <c r="B278" i="92"/>
  <c r="C192" i="92"/>
  <c r="C34" i="92"/>
  <c r="B179" i="92"/>
  <c r="B19" i="92"/>
  <c r="B711" i="92"/>
  <c r="C229" i="92"/>
  <c r="B830" i="92"/>
  <c r="C475" i="92"/>
  <c r="C757" i="92"/>
  <c r="C1132" i="92"/>
  <c r="B281" i="92"/>
  <c r="B1028" i="92"/>
  <c r="C194" i="92"/>
  <c r="B771" i="92"/>
  <c r="B649" i="92"/>
  <c r="C915" i="92"/>
  <c r="C764" i="92"/>
  <c r="B219" i="92"/>
  <c r="C139" i="92"/>
  <c r="B788" i="92"/>
  <c r="B1130" i="92"/>
  <c r="C1171" i="92"/>
  <c r="B690" i="92"/>
  <c r="C780" i="92"/>
  <c r="C254" i="92"/>
  <c r="C246" i="92"/>
  <c r="B1183" i="92"/>
  <c r="C852" i="92"/>
  <c r="C207" i="92"/>
  <c r="B932" i="92"/>
  <c r="C462" i="92"/>
  <c r="B627" i="92"/>
  <c r="B979" i="92"/>
  <c r="B343" i="92"/>
  <c r="C85" i="92"/>
  <c r="B316" i="92"/>
  <c r="B410" i="92"/>
  <c r="C329" i="92"/>
  <c r="C816" i="92"/>
  <c r="C965" i="92"/>
  <c r="B447" i="92"/>
  <c r="B1036" i="92"/>
  <c r="B671" i="92"/>
  <c r="C344" i="92"/>
  <c r="C378" i="92"/>
  <c r="B1103" i="92"/>
  <c r="B1171" i="92"/>
  <c r="B329" i="92"/>
  <c r="B313" i="92"/>
  <c r="B859" i="92"/>
  <c r="B474" i="92"/>
  <c r="C578" i="92"/>
  <c r="C916" i="92"/>
  <c r="B868" i="92"/>
  <c r="B403" i="92"/>
  <c r="C1000" i="92"/>
  <c r="B479" i="92"/>
  <c r="C1038" i="92"/>
  <c r="C309" i="92"/>
  <c r="C482" i="92"/>
  <c r="B1035" i="92"/>
  <c r="B772" i="92"/>
  <c r="C967" i="92"/>
  <c r="B870" i="92"/>
  <c r="C6" i="92"/>
  <c r="B591" i="92"/>
  <c r="C111" i="92"/>
  <c r="B47" i="92"/>
  <c r="B432" i="92"/>
  <c r="B775" i="92"/>
  <c r="C663" i="92"/>
  <c r="C299" i="92"/>
  <c r="B1041" i="92"/>
  <c r="C458" i="92"/>
  <c r="B355" i="92"/>
  <c r="C890" i="92"/>
  <c r="B433" i="92"/>
  <c r="C348" i="92"/>
  <c r="B341" i="92"/>
  <c r="B883" i="92"/>
  <c r="B723" i="92"/>
  <c r="B1188" i="92"/>
  <c r="C804" i="92"/>
  <c r="C661" i="92"/>
  <c r="B374" i="92"/>
  <c r="C1085" i="92"/>
  <c r="B617" i="92"/>
  <c r="C1129" i="92"/>
  <c r="C629" i="92"/>
  <c r="B996" i="92"/>
  <c r="B965" i="92"/>
  <c r="B1165" i="92"/>
  <c r="C961" i="92"/>
  <c r="C179" i="92"/>
  <c r="C901" i="92"/>
  <c r="B769" i="92"/>
  <c r="B1155" i="92"/>
  <c r="B1210" i="92"/>
  <c r="C1034" i="92"/>
  <c r="C789" i="92"/>
  <c r="C502" i="92"/>
  <c r="B177" i="92"/>
  <c r="C1039" i="92"/>
  <c r="B898" i="92"/>
  <c r="C1036" i="92"/>
  <c r="B989" i="92"/>
  <c r="C480" i="92"/>
  <c r="B1215" i="92"/>
  <c r="C710" i="92"/>
  <c r="C460" i="92"/>
  <c r="B505" i="92"/>
  <c r="B330" i="92"/>
  <c r="B1087" i="92"/>
  <c r="B385" i="92"/>
  <c r="B757" i="92"/>
  <c r="B127" i="92"/>
  <c r="C1033" i="92"/>
  <c r="C87" i="92"/>
  <c r="C724" i="92"/>
  <c r="B892" i="92"/>
  <c r="B594" i="92"/>
  <c r="C1218" i="92"/>
  <c r="B590" i="92"/>
  <c r="B626" i="92"/>
  <c r="B1133" i="92"/>
  <c r="C860" i="92"/>
  <c r="C651" i="92"/>
  <c r="B534" i="92"/>
  <c r="B629" i="92"/>
  <c r="C994" i="92"/>
  <c r="B658" i="92"/>
  <c r="C713" i="92"/>
  <c r="B25" i="92"/>
  <c r="C128" i="92"/>
  <c r="B178" i="92"/>
  <c r="B873" i="92"/>
  <c r="C1208" i="92"/>
  <c r="B1021" i="92"/>
  <c r="B1064" i="92"/>
  <c r="C410" i="92"/>
  <c r="C1115" i="92"/>
  <c r="C211" i="92"/>
  <c r="C241" i="92"/>
  <c r="B132" i="92"/>
  <c r="C665" i="92"/>
  <c r="B473" i="92"/>
  <c r="B809" i="92"/>
  <c r="B909" i="92"/>
  <c r="B901" i="92"/>
  <c r="C877" i="92"/>
  <c r="C531" i="92"/>
  <c r="C54" i="92"/>
  <c r="B1200" i="92"/>
  <c r="C1121" i="92"/>
  <c r="C1112" i="92"/>
  <c r="B251" i="92"/>
  <c r="B825" i="92"/>
  <c r="C593" i="92"/>
  <c r="B604" i="92"/>
  <c r="C1184" i="92"/>
  <c r="C297" i="92"/>
  <c r="B88" i="92"/>
  <c r="B11" i="92"/>
  <c r="C620" i="92"/>
  <c r="B722" i="92"/>
  <c r="B351" i="92"/>
  <c r="C864" i="92"/>
  <c r="C316" i="92"/>
  <c r="C1065" i="92"/>
  <c r="B886" i="92"/>
  <c r="B137" i="92"/>
  <c r="B819" i="92"/>
  <c r="B715" i="92"/>
  <c r="C1101" i="92"/>
  <c r="C867" i="92"/>
  <c r="C889" i="92"/>
  <c r="B85" i="92"/>
  <c r="B1118" i="92"/>
  <c r="B58" i="92"/>
  <c r="C876" i="92"/>
  <c r="B441" i="92"/>
  <c r="B1178" i="92"/>
  <c r="C390" i="92"/>
  <c r="B542" i="92"/>
  <c r="C1116" i="92"/>
  <c r="C565" i="92"/>
  <c r="B801" i="92"/>
  <c r="C1032" i="92"/>
  <c r="C802" i="92"/>
  <c r="C93" i="92"/>
  <c r="B1213" i="92"/>
  <c r="C573" i="92"/>
  <c r="C180" i="92"/>
  <c r="C130" i="92"/>
  <c r="C621" i="92"/>
  <c r="C157" i="92"/>
  <c r="B105" i="92"/>
  <c r="B766" i="92"/>
  <c r="B662" i="92"/>
  <c r="C574" i="92"/>
  <c r="C326" i="92"/>
  <c r="B210" i="92"/>
  <c r="C1008" i="92"/>
  <c r="B93" i="92"/>
  <c r="B153" i="92"/>
  <c r="C269" i="92"/>
  <c r="B1194" i="92"/>
  <c r="C444" i="92"/>
  <c r="B803" i="92"/>
  <c r="B619" i="92"/>
  <c r="B570" i="92"/>
  <c r="B779" i="92"/>
  <c r="B1180" i="92"/>
  <c r="C1170" i="92"/>
  <c r="B750" i="92"/>
  <c r="B681" i="92"/>
  <c r="C747" i="92"/>
  <c r="B361" i="92"/>
  <c r="C437" i="92"/>
  <c r="C472" i="92"/>
  <c r="B905" i="92"/>
  <c r="C121" i="92"/>
  <c r="C496" i="92"/>
  <c r="B260" i="92"/>
  <c r="C520" i="92"/>
  <c r="C509" i="92"/>
  <c r="B1106" i="92"/>
  <c r="C143" i="92"/>
  <c r="B865" i="92"/>
  <c r="C1110" i="92"/>
  <c r="C112" i="92"/>
  <c r="B867" i="92"/>
  <c r="B1060" i="92"/>
  <c r="C541" i="92"/>
  <c r="C461" i="92"/>
  <c r="B1063" i="92"/>
  <c r="C485" i="92"/>
  <c r="C937" i="92"/>
  <c r="C599" i="92"/>
  <c r="C571" i="92"/>
  <c r="C291" i="92"/>
  <c r="C543" i="92"/>
  <c r="B543" i="92"/>
  <c r="C995" i="92"/>
  <c r="B677" i="92"/>
  <c r="C1079" i="92"/>
  <c r="C912" i="92"/>
  <c r="C442" i="92"/>
  <c r="B554" i="92"/>
  <c r="C828" i="92"/>
  <c r="C632" i="92"/>
  <c r="C910" i="92"/>
  <c r="B1173" i="92"/>
  <c r="C12" i="92"/>
  <c r="C1054" i="92"/>
  <c r="C449" i="92"/>
  <c r="B1137" i="92"/>
  <c r="B718" i="92"/>
  <c r="C265" i="92"/>
  <c r="B782" i="92"/>
  <c r="B234" i="92"/>
  <c r="C32" i="92"/>
  <c r="B250" i="92"/>
  <c r="B624" i="92"/>
  <c r="C402" i="92"/>
  <c r="C921" i="92"/>
  <c r="C515" i="92"/>
  <c r="B1074" i="92"/>
  <c r="B781" i="92"/>
  <c r="B152" i="92"/>
  <c r="C652" i="92"/>
  <c r="C237" i="92"/>
  <c r="B345" i="92"/>
  <c r="B1047" i="92"/>
  <c r="C123" i="92"/>
  <c r="B125" i="92"/>
  <c r="C777" i="92"/>
  <c r="C748" i="92"/>
  <c r="C45" i="92"/>
  <c r="B727" i="92"/>
  <c r="C545" i="92"/>
  <c r="B798" i="92"/>
  <c r="B881" i="92"/>
  <c r="B360" i="92"/>
  <c r="C1064" i="92"/>
  <c r="B457" i="92"/>
  <c r="C278" i="92"/>
  <c r="B511" i="92"/>
  <c r="B812" i="92"/>
  <c r="B100" i="92"/>
  <c r="B961" i="92"/>
  <c r="B198" i="92"/>
  <c r="C134" i="92"/>
  <c r="B1022" i="92"/>
  <c r="B248" i="92"/>
  <c r="C1198" i="92"/>
  <c r="C446" i="92"/>
  <c r="C1212" i="92"/>
  <c r="B436" i="92"/>
  <c r="C943" i="92"/>
  <c r="B596" i="92"/>
  <c r="B34" i="92"/>
  <c r="B854" i="92"/>
  <c r="B902" i="92"/>
  <c r="B23" i="92"/>
  <c r="C492" i="92"/>
  <c r="C82" i="92"/>
  <c r="B1212" i="92"/>
  <c r="B1112" i="92"/>
  <c r="C868" i="92"/>
  <c r="C505" i="92"/>
  <c r="C170" i="92"/>
  <c r="C18" i="92"/>
  <c r="C197" i="92"/>
  <c r="B973" i="92"/>
  <c r="C501" i="92"/>
  <c r="C22" i="92"/>
  <c r="B420" i="92"/>
  <c r="B726" i="92"/>
  <c r="C752" i="92"/>
  <c r="C654" i="92"/>
  <c r="C922" i="92"/>
  <c r="B1067" i="92"/>
  <c r="C824" i="92"/>
  <c r="C401" i="92"/>
  <c r="B599" i="92"/>
  <c r="B1110" i="92"/>
  <c r="B944" i="92"/>
  <c r="B337" i="92"/>
  <c r="C424" i="92"/>
  <c r="C820" i="92"/>
  <c r="C1203" i="92"/>
  <c r="B1190" i="92"/>
  <c r="B882" i="92"/>
  <c r="C1134" i="92"/>
  <c r="B1145" i="92"/>
  <c r="B564" i="92"/>
  <c r="B1043" i="92"/>
  <c r="B82" i="92"/>
  <c r="C1144" i="92"/>
  <c r="B738" i="92"/>
  <c r="C1154" i="92"/>
  <c r="C188" i="92"/>
  <c r="C210" i="92"/>
  <c r="C252" i="92"/>
  <c r="C521" i="92"/>
  <c r="C848" i="92"/>
  <c r="B1189" i="92"/>
  <c r="C1190" i="92"/>
  <c r="B428" i="92"/>
  <c r="B255" i="92"/>
  <c r="C1202" i="92"/>
  <c r="C976" i="92"/>
  <c r="C975" i="92"/>
  <c r="C760" i="92"/>
  <c r="C136" i="92"/>
  <c r="C1098" i="92"/>
  <c r="B283" i="92"/>
  <c r="C952" i="92"/>
  <c r="C1158" i="92"/>
  <c r="B204" i="92"/>
  <c r="B879" i="92"/>
  <c r="C771" i="92"/>
  <c r="C1035" i="92"/>
  <c r="C1102" i="92"/>
  <c r="B318" i="92"/>
  <c r="C751" i="92"/>
  <c r="B348" i="92"/>
  <c r="B694" i="92"/>
  <c r="C469" i="92"/>
  <c r="C379" i="92"/>
  <c r="B506" i="92"/>
  <c r="C1169" i="92"/>
  <c r="C855" i="92"/>
  <c r="C560" i="92"/>
  <c r="B832" i="92"/>
  <c r="C236" i="92"/>
  <c r="C26" i="92"/>
  <c r="C726" i="92"/>
  <c r="C1143" i="92"/>
  <c r="B1140" i="92"/>
  <c r="B372" i="92"/>
  <c r="B551" i="92"/>
  <c r="C119" i="92"/>
  <c r="B535" i="92"/>
  <c r="B1049" i="92"/>
  <c r="B61" i="92"/>
  <c r="C411" i="92"/>
  <c r="B1062" i="92"/>
  <c r="C1160" i="92"/>
  <c r="C681" i="92"/>
  <c r="C782" i="92"/>
  <c r="B1079" i="92"/>
  <c r="C1135" i="92"/>
  <c r="C735" i="92"/>
  <c r="B1034" i="92"/>
  <c r="C709" i="92"/>
  <c r="B794" i="92"/>
  <c r="C926" i="92"/>
  <c r="C740" i="92"/>
  <c r="C985" i="92"/>
  <c r="C826" i="92"/>
  <c r="B357" i="92"/>
  <c r="B911" i="92"/>
  <c r="B422" i="92"/>
  <c r="B614" i="92"/>
  <c r="C928" i="92"/>
  <c r="C904" i="92"/>
  <c r="B679" i="92"/>
  <c r="B102" i="92"/>
  <c r="B236" i="92"/>
  <c r="C1018" i="92"/>
  <c r="C317" i="92"/>
  <c r="B187" i="92"/>
  <c r="C549" i="92"/>
  <c r="B986" i="92"/>
  <c r="C356" i="92"/>
  <c r="C733" i="92"/>
  <c r="B233" i="92"/>
  <c r="B643" i="92"/>
  <c r="B315" i="92"/>
  <c r="C1020" i="92"/>
  <c r="C294" i="92"/>
  <c r="C1201" i="92"/>
  <c r="C105" i="92"/>
  <c r="C577" i="92"/>
  <c r="C341" i="92"/>
  <c r="C990" i="92"/>
  <c r="B995" i="92"/>
  <c r="C488" i="92"/>
  <c r="B439" i="92"/>
  <c r="C1067" i="92"/>
  <c r="B1214" i="92"/>
  <c r="C551" i="92"/>
  <c r="C657" i="92"/>
  <c r="B1126" i="92"/>
  <c r="B1196" i="92"/>
  <c r="B581" i="92"/>
  <c r="B826" i="92"/>
  <c r="C27" i="92"/>
  <c r="B786" i="92"/>
  <c r="C78" i="92"/>
  <c r="B1096" i="92"/>
  <c r="B1187" i="92"/>
  <c r="C1166" i="92"/>
  <c r="B561" i="92"/>
  <c r="B622" i="92"/>
  <c r="B994" i="92"/>
  <c r="B524" i="92"/>
  <c r="B895" i="92"/>
  <c r="B612" i="92"/>
  <c r="C1093" i="92"/>
  <c r="C920" i="92"/>
  <c r="C292" i="92"/>
  <c r="B412" i="92"/>
  <c r="C48" i="92"/>
  <c r="B999" i="92"/>
  <c r="C594" i="92"/>
  <c r="B586" i="92"/>
  <c r="B1160" i="92"/>
  <c r="B795" i="92"/>
  <c r="B657" i="92"/>
  <c r="C703" i="92"/>
  <c r="B874" i="92"/>
  <c r="C1214" i="92"/>
  <c r="C1131" i="92"/>
  <c r="C900" i="92"/>
  <c r="B235" i="92"/>
  <c r="B1153" i="92"/>
  <c r="C1161" i="92"/>
  <c r="C467" i="92"/>
  <c r="B669" i="92"/>
  <c r="C412" i="92"/>
  <c r="B985" i="92"/>
  <c r="B808" i="92"/>
  <c r="B900" i="92"/>
  <c r="C719" i="92"/>
  <c r="B1217" i="92"/>
  <c r="B55" i="92"/>
  <c r="C231" i="92"/>
  <c r="B566" i="92"/>
  <c r="C613" i="92"/>
  <c r="B1120" i="92"/>
  <c r="B1046" i="92"/>
  <c r="C858" i="92"/>
  <c r="B33" i="92"/>
  <c r="C1037" i="92"/>
  <c r="B638" i="92"/>
  <c r="C622" i="92"/>
  <c r="B408" i="92"/>
  <c r="C74" i="92"/>
  <c r="B672" i="92"/>
  <c r="C962" i="92"/>
  <c r="C1187" i="92"/>
  <c r="C805" i="92"/>
  <c r="B606" i="92"/>
  <c r="B1158" i="92"/>
  <c r="B777" i="92"/>
  <c r="B32" i="92"/>
  <c r="B414" i="92"/>
  <c r="B257" i="92"/>
  <c r="C566" i="92"/>
  <c r="C202" i="92"/>
  <c r="C122" i="92"/>
  <c r="C184" i="92"/>
  <c r="C1216" i="92"/>
  <c r="B949" i="92"/>
  <c r="B992" i="92"/>
  <c r="C1151" i="92"/>
  <c r="C884" i="92"/>
  <c r="B308" i="92"/>
  <c r="B605" i="92"/>
  <c r="B704" i="92"/>
  <c r="C628" i="92"/>
  <c r="C1025" i="92"/>
  <c r="C1174" i="92"/>
  <c r="C1194" i="92"/>
  <c r="B916" i="92"/>
  <c r="C544" i="92"/>
  <c r="B938" i="92"/>
  <c r="C414" i="92"/>
  <c r="C731" i="92"/>
  <c r="B840" i="92"/>
  <c r="B752" i="92"/>
  <c r="C907" i="92"/>
  <c r="B1174" i="92"/>
  <c r="C243" i="92"/>
  <c r="B1031" i="92"/>
  <c r="C614" i="92"/>
  <c r="C793" i="92"/>
  <c r="C843" i="92"/>
  <c r="C479" i="92"/>
  <c r="C936" i="92"/>
  <c r="B185" i="92"/>
  <c r="B272" i="92"/>
  <c r="B1138" i="92"/>
  <c r="B607" i="92"/>
  <c r="C1061" i="92"/>
  <c r="B184" i="92"/>
  <c r="C978" i="92"/>
  <c r="C413" i="92"/>
  <c r="B358" i="92"/>
  <c r="B297" i="92"/>
  <c r="B334" i="92"/>
  <c r="B77" i="92"/>
  <c r="C1045" i="92"/>
  <c r="C688" i="92"/>
  <c r="B1091" i="92"/>
  <c r="B1168" i="92"/>
  <c r="C1014" i="92"/>
  <c r="B1089" i="92"/>
  <c r="B914" i="92"/>
  <c r="C981" i="92"/>
  <c r="B1179" i="92"/>
  <c r="C230" i="92"/>
  <c r="B1084" i="92"/>
  <c r="B56" i="92"/>
  <c r="C450" i="92"/>
  <c r="C288" i="92"/>
  <c r="C345" i="92"/>
  <c r="B1156" i="92"/>
  <c r="B555" i="92"/>
  <c r="B1131" i="92"/>
  <c r="B340" i="92"/>
  <c r="C1047" i="92"/>
  <c r="C949" i="92"/>
  <c r="C347" i="92"/>
  <c r="B780" i="92"/>
  <c r="B846" i="92"/>
  <c r="B287" i="92"/>
  <c r="B1023" i="92"/>
  <c r="C257" i="92"/>
  <c r="C1162" i="92"/>
  <c r="C841" i="92"/>
  <c r="B634" i="92"/>
  <c r="C1094" i="92"/>
  <c r="B889" i="92"/>
  <c r="C659" i="92"/>
  <c r="B666" i="92"/>
  <c r="B983" i="92"/>
  <c r="B975" i="92"/>
  <c r="C1004" i="92"/>
  <c r="B131" i="92"/>
  <c r="B600" i="92"/>
  <c r="B1001" i="92"/>
  <c r="B311" i="92"/>
  <c r="B108" i="92"/>
  <c r="C260" i="92"/>
  <c r="B559" i="92"/>
  <c r="C1217" i="92"/>
  <c r="C208" i="92"/>
  <c r="B630" i="92"/>
  <c r="C836" i="92"/>
  <c r="B692" i="92"/>
  <c r="C118" i="92"/>
  <c r="B338" i="92"/>
  <c r="C1082" i="92"/>
  <c r="B186" i="92"/>
  <c r="C807" i="92"/>
  <c r="C885" i="92"/>
  <c r="B577" i="92"/>
  <c r="B557" i="92"/>
  <c r="C1195" i="92"/>
  <c r="B558" i="92"/>
  <c r="B981" i="92"/>
  <c r="C148" i="92"/>
  <c r="B482" i="92"/>
  <c r="C1049" i="92"/>
  <c r="C677" i="92"/>
  <c r="C1019" i="92"/>
  <c r="C83" i="92"/>
  <c r="C702" i="92"/>
  <c r="B1053" i="92"/>
  <c r="B1030" i="92"/>
  <c r="C300" i="92"/>
  <c r="C116" i="92"/>
  <c r="C62" i="92"/>
  <c r="B1192" i="92"/>
  <c r="C1181" i="92"/>
  <c r="B284" i="92"/>
  <c r="C508" i="92"/>
  <c r="C90" i="92"/>
  <c r="B562" i="92"/>
  <c r="C200" i="92"/>
  <c r="C797" i="92"/>
  <c r="B323" i="92"/>
  <c r="B76" i="92"/>
  <c r="C946" i="92"/>
  <c r="C1199" i="92"/>
  <c r="B770" i="92"/>
  <c r="B149" i="92"/>
  <c r="C1073" i="92"/>
  <c r="B286" i="92"/>
  <c r="C857" i="92"/>
  <c r="C829" i="92"/>
  <c r="B458" i="92"/>
  <c r="C263" i="92"/>
  <c r="C1167" i="92"/>
  <c r="B202" i="92"/>
  <c r="C244" i="92"/>
  <c r="B445" i="92"/>
  <c r="B119" i="92"/>
  <c r="C646" i="92"/>
  <c r="C607" i="92"/>
  <c r="C914" i="92"/>
  <c r="C727" i="92"/>
  <c r="C267" i="92"/>
  <c r="B1163" i="92"/>
  <c r="B8" i="92"/>
  <c r="B1102" i="92"/>
  <c r="C513" i="92"/>
  <c r="B919" i="92"/>
  <c r="C79" i="92"/>
  <c r="C258" i="92"/>
  <c r="B256" i="92"/>
  <c r="C337" i="92"/>
  <c r="C658" i="92"/>
  <c r="C57" i="92"/>
  <c r="B1216" i="92"/>
  <c r="C361" i="92"/>
  <c r="B754" i="92"/>
  <c r="B1127" i="92"/>
  <c r="B1073" i="92"/>
  <c r="C611" i="92"/>
  <c r="B1206" i="92"/>
  <c r="C570" i="92"/>
  <c r="B133" i="92"/>
  <c r="B741" i="92"/>
  <c r="C376" i="92"/>
  <c r="C1142" i="92"/>
  <c r="C873" i="92"/>
  <c r="B83" i="92"/>
  <c r="C984" i="92"/>
  <c r="B1149" i="92"/>
  <c r="B641" i="92"/>
  <c r="C1155" i="92"/>
  <c r="C1189" i="92"/>
  <c r="B1092" i="92"/>
  <c r="B516" i="92"/>
  <c r="B966" i="92"/>
  <c r="B238" i="92"/>
  <c r="B924" i="92"/>
  <c r="C1164" i="92"/>
  <c r="B980" i="92"/>
  <c r="C699" i="92"/>
  <c r="C923" i="92"/>
  <c r="B623" i="92"/>
  <c r="C1114" i="92"/>
  <c r="B273" i="92"/>
  <c r="C755" i="92"/>
  <c r="C286" i="92"/>
  <c r="C196" i="92"/>
  <c r="B1066" i="92"/>
  <c r="B579" i="92"/>
  <c r="C1175" i="92"/>
  <c r="B864" i="92"/>
  <c r="B802" i="92"/>
  <c r="C854" i="92"/>
  <c r="C1023" i="92"/>
  <c r="C991" i="92"/>
  <c r="C1077" i="92"/>
  <c r="C198" i="92"/>
  <c r="C567" i="92"/>
  <c r="C869" i="92"/>
  <c r="C610" i="92"/>
  <c r="B633" i="92"/>
  <c r="C455" i="92"/>
  <c r="C1125" i="92"/>
  <c r="C169" i="92"/>
  <c r="C866" i="92"/>
  <c r="C753" i="92"/>
  <c r="B1081" i="92"/>
  <c r="B547" i="92"/>
  <c r="C637" i="92"/>
  <c r="C377" i="92"/>
  <c r="B621" i="92"/>
  <c r="B912" i="92"/>
  <c r="C384" i="92"/>
  <c r="B936" i="92"/>
  <c r="C769" i="92"/>
  <c r="B335" i="92"/>
  <c r="B1125" i="92"/>
  <c r="B294" i="92"/>
  <c r="C7" i="92"/>
  <c r="C871" i="92"/>
  <c r="B231" i="92"/>
  <c r="B122" i="92"/>
  <c r="C350" i="92"/>
  <c r="B333" i="92"/>
  <c r="B678" i="92"/>
  <c r="B725" i="92"/>
  <c r="C1104" i="92"/>
  <c r="B734" i="92"/>
  <c r="B1136" i="92"/>
  <c r="C1066" i="92"/>
  <c r="C20" i="92"/>
  <c r="C1063" i="92"/>
  <c r="B706" i="92"/>
  <c r="B1099" i="92"/>
  <c r="B593" i="92"/>
  <c r="C966" i="92"/>
  <c r="B217" i="92"/>
  <c r="C351" i="92"/>
  <c r="B244" i="92"/>
  <c r="C819" i="92"/>
  <c r="B1115" i="92"/>
  <c r="B742" i="92"/>
  <c r="B353" i="92"/>
  <c r="B834" i="92"/>
  <c r="B756" i="92"/>
  <c r="C1059" i="92"/>
  <c r="B875" i="92"/>
  <c r="C987" i="92"/>
  <c r="C597" i="92"/>
  <c r="C393" i="92"/>
  <c r="B22" i="92"/>
  <c r="B712" i="92"/>
  <c r="C1080" i="92"/>
  <c r="B380" i="92"/>
  <c r="C1153" i="92"/>
  <c r="B931" i="92"/>
  <c r="B103" i="92"/>
  <c r="C626" i="92"/>
  <c r="C744" i="92"/>
  <c r="C905" i="92"/>
  <c r="C1138" i="92"/>
  <c r="B1147" i="92"/>
  <c r="C433" i="92"/>
  <c r="B1150" i="92"/>
  <c r="C1088" i="92"/>
  <c r="C842" i="92"/>
  <c r="C972" i="92"/>
  <c r="B827" i="92"/>
  <c r="C441" i="92"/>
  <c r="C909" i="92"/>
  <c r="C1145" i="92"/>
  <c r="B1058" i="92"/>
  <c r="B1010" i="92"/>
  <c r="C1127" i="92"/>
  <c r="B48" i="92"/>
  <c r="C311" i="92"/>
  <c r="B435" i="92"/>
  <c r="B1116" i="92"/>
  <c r="B841" i="92"/>
  <c r="B1083" i="92"/>
  <c r="B1144" i="92"/>
  <c r="B941" i="92"/>
  <c r="B897" i="92"/>
  <c r="C274" i="92"/>
  <c r="C50" i="92"/>
  <c r="C1058" i="92"/>
  <c r="B1020" i="92"/>
  <c r="C925" i="92"/>
  <c r="C120" i="92"/>
  <c r="C685" i="92"/>
  <c r="B652" i="92"/>
  <c r="C827" i="92"/>
  <c r="B609" i="92"/>
  <c r="B1169" i="92"/>
  <c r="B1184" i="92"/>
  <c r="B193" i="92"/>
  <c r="B891" i="92"/>
  <c r="C1182" i="92"/>
  <c r="B52" i="92"/>
  <c r="C408" i="92"/>
  <c r="C587" i="92"/>
  <c r="B676" i="92"/>
  <c r="C144" i="92"/>
  <c r="B1051" i="92"/>
  <c r="B426" i="92"/>
  <c r="C1106" i="92"/>
  <c r="C63" i="92"/>
  <c r="B12" i="92"/>
  <c r="C138" i="92"/>
  <c r="C723" i="92"/>
  <c r="C642" i="92"/>
  <c r="C908" i="92"/>
  <c r="B86" i="92"/>
  <c r="C606" i="92"/>
  <c r="B437" i="92"/>
  <c r="B811" i="92"/>
  <c r="C596" i="92"/>
  <c r="C680" i="92"/>
  <c r="B369" i="92"/>
  <c r="C228" i="92"/>
  <c r="C982" i="92"/>
  <c r="B510" i="92"/>
  <c r="C145" i="92"/>
  <c r="B797" i="92"/>
  <c r="B155" i="92"/>
  <c r="C1042" i="92"/>
  <c r="C443" i="92"/>
  <c r="C786" i="92"/>
  <c r="B713" i="92"/>
  <c r="C103" i="92"/>
  <c r="B135" i="92"/>
  <c r="C792" i="92"/>
  <c r="B650" i="92"/>
  <c r="B1135" i="92"/>
  <c r="C172" i="92"/>
  <c r="C790" i="92"/>
  <c r="B835" i="92"/>
  <c r="C834" i="92"/>
  <c r="B852" i="92"/>
  <c r="B946" i="92"/>
  <c r="B904" i="92"/>
  <c r="C715" i="92"/>
  <c r="B292" i="92"/>
  <c r="C717" i="92"/>
  <c r="B194" i="92"/>
  <c r="B729" i="92"/>
  <c r="B940" i="92"/>
  <c r="C156" i="92"/>
  <c r="C808" i="92"/>
  <c r="C417" i="92"/>
  <c r="B114" i="92"/>
  <c r="C1091" i="92"/>
  <c r="B921" i="92"/>
  <c r="B438" i="92"/>
  <c r="B195" i="92"/>
  <c r="C35" i="92"/>
  <c r="C812" i="92"/>
  <c r="C1108" i="92"/>
  <c r="C853" i="92"/>
  <c r="C714" i="92"/>
  <c r="C625" i="92"/>
  <c r="B857" i="92"/>
  <c r="B1109" i="92"/>
  <c r="C173" i="92"/>
  <c r="B748" i="92"/>
  <c r="C226" i="92"/>
  <c r="B96" i="92"/>
  <c r="C109" i="92"/>
  <c r="B824" i="92"/>
  <c r="C46" i="92"/>
  <c r="B804" i="92"/>
  <c r="B1177" i="92"/>
  <c r="C996" i="92"/>
  <c r="B301" i="92"/>
  <c r="C86" i="92"/>
  <c r="B807" i="92"/>
  <c r="C522" i="92"/>
  <c r="C25" i="92"/>
  <c r="C649" i="92"/>
  <c r="B1157" i="92"/>
  <c r="B106" i="92"/>
  <c r="B364" i="92"/>
  <c r="B350" i="92"/>
  <c r="C177" i="92"/>
  <c r="B943" i="92"/>
  <c r="B394" i="92"/>
  <c r="B442" i="92"/>
  <c r="B327" i="92"/>
  <c r="B571" i="92"/>
  <c r="B964" i="92"/>
  <c r="B45" i="92"/>
  <c r="C1206" i="92"/>
  <c r="C650" i="92"/>
  <c r="B660" i="92"/>
  <c r="C503" i="92"/>
  <c r="B143" i="92"/>
  <c r="B960" i="92"/>
  <c r="C1140" i="92"/>
  <c r="C494" i="92"/>
  <c r="C1069" i="92"/>
  <c r="B1161" i="92"/>
  <c r="C1074" i="92"/>
  <c r="C559" i="92"/>
  <c r="C579" i="92"/>
  <c r="B214" i="92"/>
  <c r="C927" i="92"/>
  <c r="B151" i="92"/>
  <c r="B959" i="92"/>
  <c r="B464" i="92"/>
  <c r="C453" i="92"/>
  <c r="C219" i="92"/>
  <c r="C404" i="92"/>
  <c r="C875" i="92"/>
  <c r="C89" i="92"/>
  <c r="B737" i="92"/>
  <c r="B440" i="92"/>
  <c r="C888" i="92"/>
  <c r="B1039" i="92"/>
  <c r="C315" i="92"/>
  <c r="B123" i="92"/>
  <c r="B793" i="92"/>
  <c r="C5" i="92"/>
  <c r="C131" i="92"/>
  <c r="C1092" i="92"/>
  <c r="C514" i="92"/>
  <c r="B1048" i="92"/>
  <c r="B181" i="92"/>
  <c r="C1083" i="92"/>
  <c r="B247" i="92"/>
  <c r="C833" i="92"/>
  <c r="B1146" i="92"/>
  <c r="C635" i="92"/>
  <c r="C586" i="92"/>
  <c r="C1002" i="92"/>
  <c r="C60" i="92"/>
  <c r="B637" i="92"/>
  <c r="B896" i="92"/>
  <c r="B1012" i="92"/>
  <c r="C193" i="92"/>
  <c r="C1141" i="92"/>
  <c r="C617" i="92"/>
  <c r="C1089" i="92"/>
  <c r="C189" i="92"/>
  <c r="B64" i="92"/>
  <c r="C809" i="92"/>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1" i="92"/>
  <c r="C700" i="92"/>
  <c r="C778" i="92"/>
  <c r="B700" i="92"/>
  <c r="C701" i="92"/>
  <c r="B683" i="92"/>
  <c r="C683" i="92"/>
  <c r="B778" i="92"/>
  <c r="C682" i="92"/>
  <c r="B682"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3" i="92"/>
  <c r="B584" i="92"/>
  <c r="C584" i="92"/>
  <c r="C583" i="92"/>
  <c r="B583" i="92"/>
  <c r="C602" i="92"/>
  <c r="B602" i="92"/>
  <c r="B601" i="92"/>
  <c r="B553" i="92"/>
  <c r="C568" i="92"/>
  <c r="B568" i="92"/>
  <c r="C601" i="92"/>
  <c r="C603" i="92"/>
  <c r="C553" i="92"/>
  <c r="B582" i="92"/>
  <c r="C58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Q17" i="70" s="1"/>
  <c r="BE21" i="72"/>
  <c r="BC21" i="72"/>
  <c r="BD21" i="72" s="1"/>
  <c r="BH21" i="72"/>
  <c r="BI21" i="72"/>
  <c r="I25" i="72"/>
  <c r="K17" i="72"/>
  <c r="N14" i="72"/>
  <c r="I20" i="72"/>
  <c r="K18" i="72"/>
  <c r="N18" i="72"/>
  <c r="J18" i="72"/>
  <c r="P14" i="70" s="1"/>
  <c r="I18" i="72"/>
  <c r="BI18" i="72"/>
  <c r="BH18" i="72"/>
  <c r="BC18" i="72"/>
  <c r="BD18" i="72" s="1"/>
  <c r="BE18" i="72"/>
  <c r="L18" i="72"/>
  <c r="K22" i="72"/>
  <c r="Q18" i="70" s="1"/>
  <c r="N22" i="72"/>
  <c r="J22" i="72"/>
  <c r="P18" i="70" s="1"/>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J17" i="72"/>
  <c r="P13" i="70" s="1"/>
  <c r="I14" i="72"/>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O13" i="70"/>
  <c r="AQ19" i="72"/>
  <c r="Q13" i="70"/>
  <c r="O21" i="70"/>
  <c r="O14" i="70"/>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K26" i="72"/>
  <c r="Q22" i="70" s="1"/>
  <c r="N26" i="72"/>
  <c r="I29" i="72"/>
  <c r="O25" i="70" s="1"/>
  <c r="K29" i="72"/>
  <c r="N29" i="72"/>
  <c r="L29" i="72"/>
  <c r="J29" i="72"/>
  <c r="P25" i="70" s="1"/>
  <c r="D30" i="76"/>
  <c r="K32" i="72"/>
  <c r="Q28" i="70" s="1"/>
  <c r="N32" i="72"/>
  <c r="J32" i="72"/>
  <c r="P28" i="70" s="1"/>
  <c r="L32" i="72"/>
  <c r="I32" i="72"/>
  <c r="O28" i="70" s="1"/>
  <c r="D32" i="76"/>
  <c r="I34" i="72"/>
  <c r="K34" i="72"/>
  <c r="L34" i="72"/>
  <c r="N34" i="72"/>
  <c r="J34" i="72"/>
  <c r="P30" i="70" s="1"/>
  <c r="D31" i="76"/>
  <c r="N33" i="72"/>
  <c r="L33" i="72"/>
  <c r="J33" i="72"/>
  <c r="P29" i="70" s="1"/>
  <c r="I33" i="72"/>
  <c r="K33" i="72"/>
  <c r="Q29" i="70" s="1"/>
  <c r="D29" i="76"/>
  <c r="I31" i="72"/>
  <c r="O27" i="70" s="1"/>
  <c r="K31" i="72"/>
  <c r="N31" i="72"/>
  <c r="J31" i="72"/>
  <c r="P27" i="70" s="1"/>
  <c r="L31" i="72"/>
  <c r="D25" i="76"/>
  <c r="J27" i="72"/>
  <c r="P23" i="70" s="1"/>
  <c r="I27" i="72"/>
  <c r="O23" i="70" s="1"/>
  <c r="L27" i="72"/>
  <c r="K27" i="72"/>
  <c r="N27" i="72"/>
  <c r="I12" i="76"/>
  <c r="D28" i="76"/>
  <c r="J30" i="72"/>
  <c r="P26" i="70" s="1"/>
  <c r="I30" i="72"/>
  <c r="O26" i="70" s="1"/>
  <c r="K30" i="72"/>
  <c r="Q26" i="70" s="1"/>
  <c r="L30" i="72"/>
  <c r="N30" i="72"/>
  <c r="D26" i="76"/>
  <c r="K28" i="72"/>
  <c r="Q24" i="70" s="1"/>
  <c r="N28" i="72"/>
  <c r="L28" i="72"/>
  <c r="J28" i="72"/>
  <c r="P24" i="70" s="1"/>
  <c r="I28" i="72"/>
  <c r="O24" i="70" s="1"/>
  <c r="O22" i="70"/>
  <c r="Q25" i="70"/>
  <c r="O30"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<sst xmlns="http://schemas.openxmlformats.org/spreadsheetml/2006/main" count="16545" uniqueCount="1893">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</sst>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8" t="s">
        <v>759</v>
      </c>
      <c r="B1" s="1398"/>
      <c r="C1" s="1398"/>
      <c r="D1" s="1398"/>
      <c r="E1" s="1398"/>
    </row>
    <row r="2" spans="1:5" x14ac:dyDescent="0.25">
      <c r="A2" s="1398" t="s">
        <v>760</v>
      </c>
      <c r="B2" s="1398"/>
      <c r="C2" s="1398"/>
      <c r="D2" s="1398"/>
      <c r="E2" s="1398"/>
    </row>
    <row r="3" spans="1:5" x14ac:dyDescent="0.25">
      <c r="A3" s="71"/>
    </row>
    <row r="4" spans="1:5" ht="78" customHeight="1" x14ac:dyDescent="0.25">
      <c r="A4" s="1416" t="s">
        <v>761</v>
      </c>
      <c r="B4" s="1416"/>
      <c r="C4" s="1416"/>
      <c r="D4" s="1416"/>
      <c r="E4" s="1416"/>
    </row>
    <row r="5" spans="1:5" x14ac:dyDescent="0.25">
      <c r="A5" s="71"/>
    </row>
    <row r="6" spans="1:5" ht="31.5" customHeight="1" x14ac:dyDescent="0.25">
      <c r="A6" s="1415" t="s">
        <v>762</v>
      </c>
      <c r="B6" s="1415"/>
      <c r="C6" s="1415"/>
      <c r="D6" s="1415"/>
      <c r="E6" s="1415"/>
    </row>
    <row r="7" spans="1:5" ht="15.75" thickBot="1" x14ac:dyDescent="0.3">
      <c r="A7" s="72"/>
    </row>
    <row r="8" spans="1:5" ht="15" customHeight="1" x14ac:dyDescent="0.25">
      <c r="A8" s="1409" t="s">
        <v>763</v>
      </c>
      <c r="B8" s="1410"/>
      <c r="C8" s="1410"/>
      <c r="D8" s="1410"/>
      <c r="E8" s="1411"/>
    </row>
    <row r="9" spans="1:5" ht="15" customHeight="1" thickBot="1" x14ac:dyDescent="0.3">
      <c r="A9" s="1412" t="s">
        <v>764</v>
      </c>
      <c r="B9" s="1413"/>
      <c r="C9" s="1413"/>
      <c r="D9" s="1413"/>
      <c r="E9" s="1414"/>
    </row>
    <row r="10" spans="1:5" x14ac:dyDescent="0.25">
      <c r="A10" s="73"/>
      <c r="B10" s="1406"/>
      <c r="C10" s="1406"/>
      <c r="D10" s="77"/>
    </row>
    <row r="11" spans="1:5" ht="31.5" customHeight="1" thickBot="1" x14ac:dyDescent="0.3">
      <c r="A11" s="75" t="s">
        <v>765</v>
      </c>
      <c r="B11" s="1407" t="s">
        <v>766</v>
      </c>
      <c r="C11" s="1407"/>
      <c r="D11" s="77">
        <f>Welcome!$D$4</f>
        <v>0</v>
      </c>
    </row>
    <row r="12" spans="1:5" ht="15.75" thickBot="1" x14ac:dyDescent="0.3">
      <c r="A12" s="75" t="s">
        <v>767</v>
      </c>
      <c r="B12" s="1408">
        <f>'MDA Worksheet'!$R$18</f>
        <v>0</v>
      </c>
      <c r="C12" s="140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5"/>
      <c r="C17" s="1405"/>
      <c r="D17" s="1405"/>
      <c r="E17" s="1405"/>
    </row>
    <row r="18" spans="1:5" x14ac:dyDescent="0.25">
      <c r="A18" s="73"/>
      <c r="B18" s="116"/>
      <c r="C18" s="73"/>
      <c r="D18" s="116"/>
    </row>
    <row r="19" spans="1:5" ht="15.75" thickBot="1" x14ac:dyDescent="0.3">
      <c r="A19" s="75" t="s">
        <v>843</v>
      </c>
      <c r="B19" s="1405">
        <f>Welcome!$D$8</f>
        <v>0</v>
      </c>
      <c r="C19" s="1405"/>
      <c r="D19" s="1405"/>
      <c r="E19" s="140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83" t="s">
        <v>1235</v>
      </c>
      <c r="B42" s="1384"/>
      <c r="C42" s="1384"/>
      <c r="D42" s="1384"/>
      <c r="E42" s="1385"/>
    </row>
    <row r="43" spans="1:5" s="807" customFormat="1" x14ac:dyDescent="0.25">
      <c r="A43" s="1386"/>
      <c r="B43" s="1387"/>
      <c r="C43" s="1387"/>
      <c r="D43" s="1387"/>
      <c r="E43" s="1388"/>
    </row>
    <row r="44" spans="1:5" s="807" customFormat="1" ht="15.75" thickBot="1" x14ac:dyDescent="0.3">
      <c r="A44" s="1389"/>
      <c r="B44" s="1390"/>
      <c r="C44" s="1390"/>
      <c r="D44" s="1390"/>
      <c r="E44" s="1391"/>
    </row>
    <row r="45" spans="1:5" s="807" customFormat="1" ht="15.75" thickBot="1" x14ac:dyDescent="0.3">
      <c r="A45" s="840"/>
    </row>
    <row r="46" spans="1:5" s="807" customFormat="1" ht="15.75" thickBot="1" x14ac:dyDescent="0.3">
      <c r="A46" s="1383" t="s">
        <v>1224</v>
      </c>
      <c r="B46" s="1384"/>
      <c r="C46" s="1384"/>
      <c r="D46" s="1384"/>
      <c r="E46" s="1385"/>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77"/>
      <c r="B53" s="1378"/>
      <c r="C53" s="1378"/>
      <c r="D53" s="1378"/>
      <c r="E53" s="1379"/>
    </row>
    <row r="54" spans="1:5" s="807" customFormat="1" ht="15.75" thickBot="1" x14ac:dyDescent="0.3">
      <c r="A54" s="1380"/>
      <c r="B54" s="1381"/>
      <c r="C54" s="1381"/>
      <c r="D54" s="1381"/>
      <c r="E54" s="1382"/>
    </row>
    <row r="55" spans="1:5" ht="15.75" thickBot="1" x14ac:dyDescent="0.3">
      <c r="A55" s="840"/>
      <c r="B55" s="807"/>
      <c r="C55" s="807"/>
      <c r="D55" s="807"/>
      <c r="E55" s="807"/>
    </row>
    <row r="56" spans="1:5" ht="30.75" customHeight="1" thickBot="1" x14ac:dyDescent="0.3">
      <c r="A56" s="1399" t="s">
        <v>775</v>
      </c>
      <c r="B56" s="1400"/>
      <c r="C56" s="1400"/>
      <c r="D56" s="1400"/>
      <c r="E56" s="140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2" t="s">
        <v>787</v>
      </c>
      <c r="B67" s="1403"/>
      <c r="C67" s="1403"/>
      <c r="D67" s="1403"/>
      <c r="E67" s="140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2" t="s">
        <v>1236</v>
      </c>
      <c r="B74" s="1393"/>
      <c r="C74" s="1393"/>
      <c r="D74" s="1393"/>
      <c r="E74" s="1394"/>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95" t="s">
        <v>790</v>
      </c>
      <c r="B78" s="1396"/>
      <c r="C78" s="1396"/>
      <c r="D78" s="1396"/>
      <c r="E78" s="139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5" t="s">
        <v>792</v>
      </c>
      <c r="B83" s="1396"/>
      <c r="C83" s="1396"/>
      <c r="D83" s="1396"/>
      <c r="E83" s="139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7" t="s">
        <v>1208</v>
      </c>
      <c r="D3" s="14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8" t="s">
        <v>1251</v>
      </c>
      <c r="C29" s="1429"/>
      <c r="D29" s="1429"/>
      <c r="E29" s="1429"/>
      <c r="F29" s="1429"/>
      <c r="G29" s="1429"/>
      <c r="H29" s="1429"/>
      <c r="I29" s="14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9"/>
      <c r="C30" s="1420"/>
      <c r="D30" s="1420"/>
      <c r="E30" s="1420"/>
      <c r="F30" s="1420"/>
      <c r="G30" s="1420"/>
      <c r="H30" s="1420"/>
      <c r="I30" s="14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2"/>
      <c r="C31" s="1423"/>
      <c r="D31" s="1423"/>
      <c r="E31" s="1423"/>
      <c r="F31" s="1423"/>
      <c r="G31" s="1423"/>
      <c r="H31" s="1423"/>
      <c r="I31" s="14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2"/>
      <c r="C32" s="1423"/>
      <c r="D32" s="1423"/>
      <c r="E32" s="1423"/>
      <c r="F32" s="1423"/>
      <c r="G32" s="1423"/>
      <c r="H32" s="1423"/>
      <c r="I32" s="14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2"/>
      <c r="C33" s="1423"/>
      <c r="D33" s="1423"/>
      <c r="E33" s="1423"/>
      <c r="F33" s="1423"/>
      <c r="G33" s="1423"/>
      <c r="H33" s="1423"/>
      <c r="I33" s="14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2"/>
      <c r="C34" s="1423"/>
      <c r="D34" s="1423"/>
      <c r="E34" s="1423"/>
      <c r="F34" s="1423"/>
      <c r="G34" s="1423"/>
      <c r="H34" s="1423"/>
      <c r="I34" s="14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5"/>
      <c r="C35" s="1426"/>
      <c r="D35" s="1426"/>
      <c r="E35" s="1426"/>
      <c r="F35" s="1426"/>
      <c r="G35" s="1426"/>
      <c r="H35" s="1426"/>
      <c r="I35" s="14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1" t="s">
        <v>1165</v>
      </c>
      <c r="C37" s="1432"/>
      <c r="D37" s="1432"/>
      <c r="E37" s="1432"/>
      <c r="F37" s="1432"/>
      <c r="G37" s="1432"/>
      <c r="H37" s="1432"/>
      <c r="I37" s="14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9"/>
      <c r="C38" s="1420"/>
      <c r="D38" s="1420"/>
      <c r="E38" s="1420"/>
      <c r="F38" s="1420"/>
      <c r="G38" s="1420"/>
      <c r="H38" s="1420"/>
      <c r="I38" s="14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2"/>
      <c r="C39" s="1423"/>
      <c r="D39" s="1423"/>
      <c r="E39" s="1423"/>
      <c r="F39" s="1423"/>
      <c r="G39" s="1423"/>
      <c r="H39" s="1423"/>
      <c r="I39" s="14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2"/>
      <c r="C40" s="1423"/>
      <c r="D40" s="1423"/>
      <c r="E40" s="1423"/>
      <c r="F40" s="1423"/>
      <c r="G40" s="1423"/>
      <c r="H40" s="1423"/>
      <c r="I40" s="14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2"/>
      <c r="C41" s="1423"/>
      <c r="D41" s="1423"/>
      <c r="E41" s="1423"/>
      <c r="F41" s="1423"/>
      <c r="G41" s="1423"/>
      <c r="H41" s="1423"/>
      <c r="I41" s="14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2"/>
      <c r="C42" s="1423"/>
      <c r="D42" s="1423"/>
      <c r="E42" s="1423"/>
      <c r="F42" s="1423"/>
      <c r="G42" s="1423"/>
      <c r="H42" s="1423"/>
      <c r="I42" s="14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5"/>
      <c r="C43" s="1426"/>
      <c r="D43" s="1426"/>
      <c r="E43" s="1426"/>
      <c r="F43" s="1426"/>
      <c r="G43" s="1426"/>
      <c r="H43" s="1426"/>
      <c r="I43" s="14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7" t="s">
        <v>917</v>
      </c>
      <c r="G2" s="1437"/>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8">
        <f>SUM($I$6:$I$15)</f>
        <v>0</v>
      </c>
      <c r="J17" s="1440" t="s">
        <v>1387</v>
      </c>
      <c r="K17" s="1442">
        <f>SUM($K$6:$K$15)</f>
        <v>0</v>
      </c>
      <c r="L17" s="1440" t="s">
        <v>1388</v>
      </c>
      <c r="M17" s="738"/>
      <c r="N17" s="738"/>
      <c r="O17" s="738"/>
      <c r="P17" s="1438">
        <f>SUMIF($F$6:$F$15,"&gt;0",$P$6:$P$15)</f>
        <v>0</v>
      </c>
      <c r="Q17" s="1434" t="s">
        <v>1389</v>
      </c>
      <c r="R17" s="14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9"/>
      <c r="J18" s="1441"/>
      <c r="K18" s="1443"/>
      <c r="L18" s="1441"/>
      <c r="M18" s="738"/>
      <c r="N18" s="738"/>
      <c r="O18" s="738"/>
      <c r="P18" s="1439"/>
      <c r="Q18" s="1435"/>
      <c r="R18" s="1436"/>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7" t="str">
        <f>IFERROR(VLOOKUP($H$4,'Market Geography'!$D:$G,4,FALSE),"Select Market")</f>
        <v>Select Market</v>
      </c>
      <c r="I3" s="1448"/>
      <c r="J3" s="1448"/>
      <c r="K3" s="144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4">
        <f>Welcome!$D$4</f>
        <v>0</v>
      </c>
      <c r="I4" s="1445"/>
      <c r="J4" s="1445"/>
      <c r="K4" s="144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4" t="str">
        <f>'Multi-Customer'!$S$49</f>
        <v>Enter Customer(s)</v>
      </c>
      <c r="I5" s="1445"/>
      <c r="J5" s="1445"/>
      <c r="K5" s="144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4" t="str">
        <f>'Multi-Customer'!$AH$40</f>
        <v>MULTIPLE TYPES</v>
      </c>
      <c r="I6" s="1445"/>
      <c r="J6" s="1445"/>
      <c r="K6" s="144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0" t="s">
        <v>206</v>
      </c>
      <c r="I7" s="1451"/>
      <c r="J7" s="1451"/>
      <c r="K7" s="1452"/>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5" t="s">
        <v>119</v>
      </c>
      <c r="H33" s="1456"/>
      <c r="I33" s="466">
        <f>IF($E$3="MDA",'PIM Ranges'!$AX$7,'PIM Ranges'!$BJ$7)</f>
        <v>8.8999999999999996E-2</v>
      </c>
      <c r="J33" s="134"/>
      <c r="K33" s="1457" t="str">
        <f>IF(COUNTIF($AB$10:$AB$30,"ERROR")&lt;1,"",IF(COUNTIF($AB$10:$AB$30,"ERROR")&lt;2,(COUNTIF($AB$10:$AB$30,"ERROR")&amp;" Margin Missing Above"),(COUNTIF($AB$10:$AB$30,"ERROR")&amp;" Margins Missing Above")))</f>
        <v/>
      </c>
      <c r="L33" s="145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3" t="s">
        <v>491</v>
      </c>
      <c r="H34" s="1454"/>
      <c r="I34" s="462">
        <f>J31</f>
        <v>0</v>
      </c>
      <c r="J34" s="134"/>
      <c r="K34" s="1457" t="str">
        <f>IF(COUNTIFS($L$10:$L$30,"X",$AF$10:$AF$30,"BELOW")&lt;1,"",IF(COUNTIFS($L$10:$L$30,"X",$AF$10:$AF$30,"BELOW")&lt;2,(COUNTIFS($L$10:$L$30,"X",$AF$10:$AF$30,"BELOW")&amp;" Margin Below Minimum"),(COUNTIFS($L$10:$L$30,"X",$AF$10:$AF$30,"BELOW")&amp;" Margins Below Minimum")))</f>
        <v/>
      </c>
      <c r="L34" s="145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3" t="s">
        <v>1342</v>
      </c>
      <c r="H35" s="1454"/>
      <c r="I35" s="463" t="str">
        <f>IFERROR(I34/G31,"")</f>
        <v/>
      </c>
      <c r="K35" s="1457" t="str">
        <f>IF(COUNTIFS($L$10:$L$30,"X",$AF$10:$AF$30,"ABOVE")&lt;1,"",IF(COUNTIFS($L$10:$L$30,"X",$AF$10:$AF$30,"ABOVE")&lt;2,(COUNTIFS($L$10:$L$30,"X",$AF$10:$AF$30,"ABOVE")&amp;" Margin Above Maximum"),(COUNTIFS($L$10:$L$30,"X",$AF$10:$AF$30,"ABOVE")&amp;" Margins Above Maximum")))</f>
        <v/>
      </c>
      <c r="L35" s="145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3"/>
      <c r="H36" s="145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3" t="str">
        <f>IFERROR(IF(I35&gt;I33,"","Below Recommended TAGP: "),"")</f>
        <v/>
      </c>
      <c r="H37" s="145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3"/>
      <c r="H38" s="145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3" t="s">
        <v>1343</v>
      </c>
      <c r="H39" s="145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8" t="s">
        <v>492</v>
      </c>
      <c r="H40" s="1459"/>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0"/>
      <c r="G52" s="14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0"/>
      <c r="G53" s="14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0"/>
      <c r="G54" s="14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cen5dfJVQ4Hwpc3jSQlm/V5bCLG8yk9yEx6GzZxaa9dY67XefGak+UoUiBhNJ5CJpaYvV5vpuggZHeakbILow==" saltValue="orA4DRVGsCt+zmwVfNIx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1" sqref="E11"/>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2" t="s">
        <v>1246</v>
      </c>
      <c r="H3" s="1476">
        <f>Welcome!$D$8</f>
        <v>0</v>
      </c>
      <c r="I3" s="1477"/>
      <c r="J3" s="1039"/>
      <c r="K3" s="1162" t="s">
        <v>110</v>
      </c>
      <c r="L3" s="1478" t="str">
        <f>IFERROR(VLOOKUP($L$4,'Market Geography'!$D:$G,4,FALSE),"Select Market")</f>
        <v>Select Market</v>
      </c>
      <c r="M3" s="1479"/>
      <c r="N3" s="731"/>
      <c r="O3" s="731"/>
      <c r="P3" s="731"/>
      <c r="Q3" s="179"/>
      <c r="R3" s="1229">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80" t="str">
        <f>Welcome!$D$12</f>
        <v>Select Term</v>
      </c>
      <c r="I4" s="1481"/>
      <c r="J4" s="181"/>
      <c r="K4" s="1163" t="s">
        <v>881</v>
      </c>
      <c r="L4" s="1482">
        <f>Welcome!$D$4</f>
        <v>0</v>
      </c>
      <c r="M4" s="1483"/>
      <c r="N4" s="731"/>
      <c r="O4" s="731"/>
      <c r="P4" s="731"/>
      <c r="Q4" s="179"/>
      <c r="R4" s="1229">
        <v>0</v>
      </c>
      <c r="S4" s="180"/>
      <c r="T4" s="177"/>
      <c r="U4" s="177" t="s">
        <v>1791</v>
      </c>
      <c r="V4" s="177">
        <v>40</v>
      </c>
      <c r="W4" s="177"/>
      <c r="X4" s="177"/>
      <c r="Y4" s="177"/>
      <c r="Z4" s="177"/>
      <c r="AA4" s="177"/>
      <c r="AB4" s="177"/>
      <c r="AC4" s="177"/>
      <c r="AD4" s="177"/>
      <c r="AE4" s="177"/>
    </row>
    <row r="5" spans="1:31" s="1040" customFormat="1" ht="18" customHeight="1" thickBot="1" x14ac:dyDescent="0.3">
      <c r="D5" s="1182"/>
      <c r="E5" s="1346"/>
      <c r="G5" s="1163" t="s">
        <v>1252</v>
      </c>
      <c r="H5" s="1484">
        <f>'PIM Model'!$G$31</f>
        <v>0</v>
      </c>
      <c r="I5" s="1485"/>
      <c r="J5" s="1039"/>
      <c r="K5" s="1163" t="s">
        <v>107</v>
      </c>
      <c r="L5" s="1482" t="str">
        <f>'Multi-Customer'!$S$49</f>
        <v>Enter Customer(s)</v>
      </c>
      <c r="M5" s="1483"/>
      <c r="N5" s="731"/>
      <c r="O5" s="731"/>
      <c r="P5" s="731"/>
      <c r="Q5" s="179"/>
      <c r="R5" s="1229">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86">
        <f>'Variable Costs (Back)'!$K$26</f>
        <v>0</v>
      </c>
      <c r="I6" s="1487"/>
      <c r="J6" s="1039"/>
      <c r="K6" s="1163" t="s">
        <v>1262</v>
      </c>
      <c r="L6" s="1482" t="str">
        <f>'Multi-Customer'!$AH$40</f>
        <v>MULTIPLE TYPES</v>
      </c>
      <c r="M6" s="1483"/>
      <c r="N6" s="731"/>
      <c r="O6" s="731"/>
      <c r="P6" s="731"/>
      <c r="Q6" s="179"/>
      <c r="R6" s="1229">
        <v>0</v>
      </c>
      <c r="S6" s="180"/>
      <c r="T6" s="177"/>
      <c r="U6" s="177" t="s">
        <v>1793</v>
      </c>
      <c r="V6" s="177">
        <v>68</v>
      </c>
      <c r="W6" s="177"/>
      <c r="X6" s="177"/>
      <c r="Y6" s="177"/>
      <c r="Z6" s="177"/>
      <c r="AA6" s="177"/>
      <c r="AB6" s="177"/>
      <c r="AC6" s="177"/>
      <c r="AD6" s="177"/>
      <c r="AE6" s="177"/>
    </row>
    <row r="7" spans="1:31" s="1040" customFormat="1" ht="15.75" thickBot="1" x14ac:dyDescent="0.3">
      <c r="D7" s="534"/>
      <c r="E7" s="1347"/>
      <c r="G7" s="1164" t="s">
        <v>1254</v>
      </c>
      <c r="H7" s="1488">
        <f>IFERROR('PIM Ranges'!$AU$3,0)</f>
        <v>0</v>
      </c>
      <c r="I7" s="1489"/>
      <c r="J7" s="1039"/>
      <c r="K7" s="1164" t="s">
        <v>1255</v>
      </c>
      <c r="L7" s="1490" t="s">
        <v>206</v>
      </c>
      <c r="M7" s="1491"/>
      <c r="N7" s="1056"/>
      <c r="O7" s="1056"/>
      <c r="P7" s="1056"/>
      <c r="Q7" s="179"/>
      <c r="R7" s="1229">
        <v>0</v>
      </c>
      <c r="S7" s="180"/>
      <c r="T7" s="177"/>
      <c r="U7" s="177" t="s">
        <v>1794</v>
      </c>
      <c r="V7" s="177">
        <v>82</v>
      </c>
      <c r="W7" s="177"/>
      <c r="X7" s="177"/>
      <c r="Y7" s="177"/>
      <c r="Z7" s="177"/>
      <c r="AA7" s="177"/>
      <c r="AB7" s="177"/>
      <c r="AC7" s="177"/>
      <c r="AD7" s="177"/>
      <c r="AE7" s="177"/>
    </row>
    <row r="8" spans="1:31" s="1040" customFormat="1" ht="18" customHeight="1" thickBot="1" x14ac:dyDescent="0.3">
      <c r="D8" s="1494"/>
      <c r="E8" s="1495"/>
      <c r="F8" s="136"/>
      <c r="I8" s="177"/>
      <c r="J8" s="177"/>
      <c r="K8" s="177"/>
      <c r="L8" s="177"/>
      <c r="M8" s="177"/>
      <c r="N8" s="177"/>
      <c r="O8" s="177"/>
      <c r="P8" s="177"/>
      <c r="Q8" s="182"/>
      <c r="R8" s="1229">
        <v>0</v>
      </c>
      <c r="S8" s="180"/>
      <c r="T8" s="177"/>
      <c r="U8" s="177" t="s">
        <v>1795</v>
      </c>
      <c r="V8" s="177">
        <v>96</v>
      </c>
      <c r="W8" s="177"/>
      <c r="X8" s="177"/>
      <c r="Y8" s="177"/>
      <c r="Z8" s="177"/>
      <c r="AA8" s="177"/>
      <c r="AB8" s="177"/>
      <c r="AC8" s="177"/>
      <c r="AD8" s="177"/>
      <c r="AE8" s="177"/>
    </row>
    <row r="9" spans="1:31" s="1040" customFormat="1" ht="16.5" customHeight="1" x14ac:dyDescent="0.25">
      <c r="D9" s="1494"/>
      <c r="E9" s="1495"/>
      <c r="F9" s="136"/>
      <c r="G9" s="1165" t="s">
        <v>896</v>
      </c>
      <c r="H9" s="1492">
        <f>IFERROR('PIM Model'!$G$31,0)</f>
        <v>0</v>
      </c>
      <c r="I9" s="1493"/>
      <c r="L9" s="177"/>
      <c r="M9" s="177"/>
      <c r="N9" s="177"/>
      <c r="O9" s="177"/>
      <c r="P9" s="177"/>
      <c r="Q9" s="182"/>
      <c r="R9" s="1229">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6" t="s">
        <v>897</v>
      </c>
      <c r="H10" s="1470">
        <f>IFERROR('PIM Model'!$G$32,0)</f>
        <v>0</v>
      </c>
      <c r="I10" s="1471"/>
      <c r="L10" s="177"/>
      <c r="M10" s="177"/>
      <c r="N10" s="177"/>
      <c r="O10" s="177"/>
      <c r="P10" s="177"/>
      <c r="Q10" s="182"/>
      <c r="R10" s="1229">
        <v>0</v>
      </c>
      <c r="S10" s="1496" t="s">
        <v>1623</v>
      </c>
      <c r="T10" s="1496"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96"/>
      <c r="T11" s="1496"/>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5" t="s">
        <v>898</v>
      </c>
      <c r="E12" s="1475"/>
      <c r="F12" s="185"/>
      <c r="G12" s="1472"/>
      <c r="H12" s="1473"/>
      <c r="I12" s="186"/>
      <c r="J12" s="1474"/>
      <c r="K12" s="1474"/>
      <c r="L12" s="184"/>
      <c r="M12" s="184"/>
      <c r="N12" s="184"/>
      <c r="O12" s="184"/>
      <c r="P12" s="187"/>
      <c r="Q12" s="179"/>
      <c r="R12" s="1229"/>
      <c r="S12" s="1157" t="s">
        <v>1588</v>
      </c>
      <c r="T12" s="1157"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1735</v>
      </c>
      <c r="T15" s="1265"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5" t="s">
        <v>898</v>
      </c>
      <c r="E26" s="1475"/>
      <c r="F26" s="185"/>
      <c r="G26" s="1472"/>
      <c r="H26" s="1473"/>
      <c r="I26" s="186"/>
      <c r="J26" s="1474"/>
      <c r="K26" s="1474"/>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5" t="s">
        <v>898</v>
      </c>
      <c r="E40" s="1475"/>
      <c r="F40" s="185"/>
      <c r="G40" s="1472"/>
      <c r="H40" s="1473"/>
      <c r="I40" s="186"/>
      <c r="J40" s="1474"/>
      <c r="K40" s="1474"/>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9" t="s">
        <v>524</v>
      </c>
      <c r="E54" s="1469"/>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9" t="s">
        <v>524</v>
      </c>
      <c r="E68" s="1469"/>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9" t="s">
        <v>530</v>
      </c>
      <c r="E82" s="1469"/>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9" t="s">
        <v>530</v>
      </c>
      <c r="E96" s="1469"/>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9" t="s">
        <v>1177</v>
      </c>
      <c r="E110" s="1469"/>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9" t="s">
        <v>1177</v>
      </c>
      <c r="E118" s="1469"/>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9" t="s">
        <v>1177</v>
      </c>
      <c r="E126" s="1469"/>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9" t="s">
        <v>1177</v>
      </c>
      <c r="E134" s="1469"/>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9" t="s">
        <v>1177</v>
      </c>
      <c r="E142" s="1469"/>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9" t="s">
        <v>724</v>
      </c>
      <c r="E150" s="1469"/>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9" t="s">
        <v>1158</v>
      </c>
      <c r="E158" s="1469"/>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9" t="s">
        <v>1158</v>
      </c>
      <c r="E166" s="1469"/>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9" t="s">
        <v>1057</v>
      </c>
      <c r="E174" s="1469"/>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9" t="s">
        <v>1576</v>
      </c>
      <c r="E182" s="1469"/>
      <c r="F182" s="213"/>
      <c r="G182" s="236"/>
      <c r="H182" s="183"/>
      <c r="I182" s="237"/>
      <c r="J182" s="216"/>
      <c r="K182" s="217"/>
      <c r="L182" s="183"/>
      <c r="M182" s="217"/>
      <c r="N182" s="146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5"/>
      <c r="P182" s="1466"/>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7"/>
      <c r="O183" s="1467"/>
      <c r="P183" s="1468"/>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7"/>
      <c r="O184" s="1467"/>
      <c r="P184" s="1468"/>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7"/>
      <c r="O185" s="1467"/>
      <c r="P185" s="1468"/>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61" t="s">
        <v>1579</v>
      </c>
      <c r="E189" s="1462"/>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63" t="s">
        <v>1580</v>
      </c>
      <c r="E190" s="1464"/>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9" t="s">
        <v>1209</v>
      </c>
      <c r="E193" s="1469"/>
      <c r="F193" s="213"/>
      <c r="G193" s="236"/>
      <c r="H193" s="183"/>
      <c r="I193" s="237"/>
      <c r="J193" s="216"/>
      <c r="K193" s="217"/>
      <c r="L193" s="183"/>
      <c r="M193" s="217"/>
      <c r="N193" s="146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5"/>
      <c r="P193" s="1466"/>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7"/>
      <c r="O194" s="1467"/>
      <c r="P194" s="1468"/>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7"/>
      <c r="O195" s="1467"/>
      <c r="P195" s="1468"/>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7"/>
      <c r="O196" s="1467"/>
      <c r="P196" s="1468"/>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500"/>
      <c r="K197" s="194" t="s">
        <v>751</v>
      </c>
      <c r="L197" s="1500"/>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501"/>
      <c r="K198" s="1174"/>
      <c r="L198" s="1502"/>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9" t="s">
        <v>1209</v>
      </c>
      <c r="E205" s="1469"/>
      <c r="F205" s="213"/>
      <c r="G205" s="236"/>
      <c r="H205" s="183"/>
      <c r="I205" s="237"/>
      <c r="J205" s="216"/>
      <c r="K205" s="217"/>
      <c r="L205" s="183"/>
      <c r="M205" s="217"/>
      <c r="N205" s="146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5"/>
      <c r="P205" s="1466"/>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7"/>
      <c r="O206" s="1467"/>
      <c r="P206" s="1468"/>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7"/>
      <c r="O207" s="1467"/>
      <c r="P207" s="1468"/>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7"/>
      <c r="O208" s="1467"/>
      <c r="P208" s="1468"/>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500"/>
      <c r="K209" s="194" t="s">
        <v>751</v>
      </c>
      <c r="L209" s="1500"/>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501"/>
      <c r="K210" s="1174"/>
      <c r="L210" s="1502"/>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7" t="s">
        <v>1586</v>
      </c>
      <c r="E217" s="1497"/>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98"/>
      <c r="D231" s="1498"/>
      <c r="I231" s="655"/>
      <c r="L231" s="1040"/>
      <c r="M231" s="1499"/>
      <c r="N231" s="1499"/>
      <c r="O231" s="1499"/>
      <c r="P231" s="1499"/>
      <c r="R231" s="1039"/>
    </row>
  </sheetData>
  <sheetProtection algorithmName="SHA-512" hashValue="cU3DC8cDACdU3+/1IIDEAVmrFZBXg6HQVQhq5V8xbzXiwe/ju/wUG9LKYZGmscj61OwpyRCUC7OILtn/iRmyQQ==" saltValue="J0aatRu4CMXRtKpv8ECye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239" priority="369">
      <formula>$M$230&gt;0</formula>
    </cfRule>
    <cfRule type="cellIs" dxfId="238" priority="372" operator="lessThan">
      <formula>$P$229</formula>
    </cfRule>
    <cfRule type="cellIs" dxfId="237" priority="373" operator="greaterThan">
      <formula>$P$229</formula>
    </cfRule>
  </conditionalFormatting>
  <conditionalFormatting sqref="I14">
    <cfRule type="expression" dxfId="236" priority="371">
      <formula>$E$14&lt;&gt;"Please Select"</formula>
    </cfRule>
  </conditionalFormatting>
  <conditionalFormatting sqref="G61 K61">
    <cfRule type="expression" dxfId="235" priority="370">
      <formula>OR($E56="DS Tiered Average Invoice Dollar Qualifier",$E56="DS Threshold Average Invoice Dollar Qualifier")</formula>
    </cfRule>
  </conditionalFormatting>
  <conditionalFormatting sqref="G14">
    <cfRule type="expression" dxfId="234" priority="367">
      <formula>$E$14&lt;&gt;"Please Select"</formula>
    </cfRule>
  </conditionalFormatting>
  <conditionalFormatting sqref="G17">
    <cfRule type="expression" dxfId="233" priority="360">
      <formula>$E$15="YES"</formula>
    </cfRule>
  </conditionalFormatting>
  <conditionalFormatting sqref="G31">
    <cfRule type="expression" dxfId="232" priority="359">
      <formula>$E$15="YES"</formula>
    </cfRule>
  </conditionalFormatting>
  <conditionalFormatting sqref="G45">
    <cfRule type="expression" dxfId="231" priority="357">
      <formula>$E$15="YES"</formula>
    </cfRule>
  </conditionalFormatting>
  <conditionalFormatting sqref="E14">
    <cfRule type="expression" dxfId="230" priority="355">
      <formula>$E$13="No"</formula>
    </cfRule>
    <cfRule type="expression" dxfId="229" priority="356">
      <formula>$E$13="Yes"</formula>
    </cfRule>
  </conditionalFormatting>
  <conditionalFormatting sqref="E28">
    <cfRule type="expression" dxfId="228" priority="353">
      <formula>$E$27="No"</formula>
    </cfRule>
    <cfRule type="expression" dxfId="227" priority="354">
      <formula>$E$27="Yes"</formula>
    </cfRule>
  </conditionalFormatting>
  <conditionalFormatting sqref="E42">
    <cfRule type="expression" dxfId="226" priority="351">
      <formula>$E$41="No"</formula>
    </cfRule>
    <cfRule type="expression" dxfId="225" priority="352">
      <formula>$E$41="Yes"</formula>
    </cfRule>
  </conditionalFormatting>
  <conditionalFormatting sqref="M14">
    <cfRule type="expression" dxfId="224" priority="348">
      <formula>$K$14&lt;&gt;"Corporate Office"</formula>
    </cfRule>
    <cfRule type="expression" dxfId="223" priority="349">
      <formula>AND($K$14="Corporate Office",$I$14="Check")</formula>
    </cfRule>
    <cfRule type="expression" dxfId="222" priority="350">
      <formula>AND($I$14="Credit Memo",$K$14="Corporate Office")</formula>
    </cfRule>
  </conditionalFormatting>
  <conditionalFormatting sqref="M28">
    <cfRule type="expression" dxfId="221" priority="345">
      <formula>$K$28&lt;&gt;"Corporate Office"</formula>
    </cfRule>
    <cfRule type="expression" dxfId="220" priority="346">
      <formula>AND($K$28="Corporate Office",$I$28="Check")</formula>
    </cfRule>
    <cfRule type="expression" dxfId="219" priority="347">
      <formula>AND($I$28="Credit Memo",$K$28="Corporate Office")</formula>
    </cfRule>
  </conditionalFormatting>
  <conditionalFormatting sqref="M42">
    <cfRule type="expression" dxfId="218" priority="342">
      <formula>$K$42&lt;&gt;"Corporate Office"</formula>
    </cfRule>
    <cfRule type="expression" dxfId="217" priority="343">
      <formula>AND($K$42="Corporate Office",$I$42="Check")</formula>
    </cfRule>
    <cfRule type="expression" dxfId="216" priority="344">
      <formula>AND($I$42="Credit Memo",$K$42="Corporate Office")</formula>
    </cfRule>
  </conditionalFormatting>
  <conditionalFormatting sqref="E56">
    <cfRule type="expression" dxfId="215" priority="339">
      <formula>$E$55="Yes"</formula>
    </cfRule>
    <cfRule type="expression" dxfId="214" priority="340">
      <formula>$E$55="No"</formula>
    </cfRule>
  </conditionalFormatting>
  <conditionalFormatting sqref="E70">
    <cfRule type="expression" dxfId="213" priority="337">
      <formula>$E$69="Yes"</formula>
    </cfRule>
    <cfRule type="expression" dxfId="212" priority="338">
      <formula>$E$69="No"</formula>
    </cfRule>
  </conditionalFormatting>
  <conditionalFormatting sqref="K14">
    <cfRule type="expression" dxfId="211" priority="336">
      <formula>AND($E14&lt;&gt;"Please Select",$I14&lt;&gt;"Check")</formula>
    </cfRule>
  </conditionalFormatting>
  <conditionalFormatting sqref="I56">
    <cfRule type="expression" dxfId="210" priority="335">
      <formula>$E$56&lt;&gt;"Please Select"</formula>
    </cfRule>
  </conditionalFormatting>
  <conditionalFormatting sqref="G56">
    <cfRule type="expression" dxfId="209" priority="333">
      <formula>$E$56&lt;&gt;"Please Select"</formula>
    </cfRule>
  </conditionalFormatting>
  <conditionalFormatting sqref="I28">
    <cfRule type="expression" dxfId="208" priority="332">
      <formula>$E$28&lt;&gt;"Please Select"</formula>
    </cfRule>
  </conditionalFormatting>
  <conditionalFormatting sqref="G28">
    <cfRule type="expression" dxfId="207" priority="331">
      <formula>$E$28&lt;&gt;"Please Select"</formula>
    </cfRule>
  </conditionalFormatting>
  <conditionalFormatting sqref="I42">
    <cfRule type="expression" dxfId="206" priority="329">
      <formula>$E$42&lt;&gt;"Please Select"</formula>
    </cfRule>
  </conditionalFormatting>
  <conditionalFormatting sqref="G42">
    <cfRule type="expression" dxfId="205" priority="328">
      <formula>$E$42&lt;&gt;"Please Select"</formula>
    </cfRule>
  </conditionalFormatting>
  <conditionalFormatting sqref="I70">
    <cfRule type="expression" dxfId="204" priority="326">
      <formula>$E$70&lt;&gt;"Please Select"</formula>
    </cfRule>
  </conditionalFormatting>
  <conditionalFormatting sqref="G70">
    <cfRule type="expression" dxfId="203" priority="324">
      <formula>$E$70&lt;&gt;"Please Select"</formula>
    </cfRule>
  </conditionalFormatting>
  <conditionalFormatting sqref="M56">
    <cfRule type="expression" dxfId="202" priority="316">
      <formula>$K$56&lt;&gt;"Corporate Office"</formula>
    </cfRule>
    <cfRule type="expression" dxfId="201" priority="317">
      <formula>AND($K$56="Corporate Office",$I$56="Check")</formula>
    </cfRule>
    <cfRule type="expression" dxfId="200" priority="318">
      <formula>AND($I$56="Credit Memo",$K$56="Corporate Office")</formula>
    </cfRule>
  </conditionalFormatting>
  <conditionalFormatting sqref="M70">
    <cfRule type="expression" dxfId="199" priority="313">
      <formula>$K$70&lt;&gt;"Corporate Office"</formula>
    </cfRule>
    <cfRule type="expression" dxfId="198" priority="314">
      <formula>AND($K$70="Corporate Office",$I$70="Check")</formula>
    </cfRule>
    <cfRule type="expression" dxfId="197" priority="315">
      <formula>AND($I$70="Credit Memo",$K$70="Corporate Office")</formula>
    </cfRule>
  </conditionalFormatting>
  <conditionalFormatting sqref="I84">
    <cfRule type="expression" dxfId="196" priority="312">
      <formula>$E$84&lt;&gt;"Please Select"</formula>
    </cfRule>
  </conditionalFormatting>
  <conditionalFormatting sqref="G84">
    <cfRule type="expression" dxfId="195" priority="310">
      <formula>$E$84&lt;&gt;"Please Select"</formula>
    </cfRule>
  </conditionalFormatting>
  <conditionalFormatting sqref="M84">
    <cfRule type="expression" dxfId="194" priority="307">
      <formula>$K$84&lt;&gt;"Corporate Office"</formula>
    </cfRule>
    <cfRule type="expression" dxfId="193" priority="308">
      <formula>AND($K$84="Corporate Office",$I$84="Check")</formula>
    </cfRule>
    <cfRule type="expression" dxfId="192" priority="309">
      <formula>AND($I$84="Credit Memo",$K$84="Corporate Office")</formula>
    </cfRule>
  </conditionalFormatting>
  <conditionalFormatting sqref="I98">
    <cfRule type="expression" dxfId="191" priority="306">
      <formula>$E$98&lt;&gt;"Please Select"</formula>
    </cfRule>
  </conditionalFormatting>
  <conditionalFormatting sqref="G98">
    <cfRule type="expression" dxfId="190" priority="304">
      <formula>$E$98&lt;&gt;"Please Select"</formula>
    </cfRule>
  </conditionalFormatting>
  <conditionalFormatting sqref="M98">
    <cfRule type="expression" dxfId="189" priority="301">
      <formula>$K$98&lt;&gt;"Corporate Office"</formula>
    </cfRule>
    <cfRule type="expression" dxfId="188" priority="302">
      <formula>AND($K$98="Corporate Office",$I$98="Check")</formula>
    </cfRule>
    <cfRule type="expression" dxfId="187" priority="303">
      <formula>AND($I$98="Credit Memo",$K$98="Corporate Office")</formula>
    </cfRule>
  </conditionalFormatting>
  <conditionalFormatting sqref="E98">
    <cfRule type="expression" dxfId="186" priority="299">
      <formula>$E$97="Yes"</formula>
    </cfRule>
    <cfRule type="expression" dxfId="185" priority="300">
      <formula>$E$97="No"</formula>
    </cfRule>
  </conditionalFormatting>
  <conditionalFormatting sqref="E84">
    <cfRule type="expression" dxfId="184" priority="297">
      <formula>$E$83="Yes"</formula>
    </cfRule>
    <cfRule type="expression" dxfId="183" priority="298">
      <formula>$E$83="No"</formula>
    </cfRule>
  </conditionalFormatting>
  <conditionalFormatting sqref="G33">
    <cfRule type="expression" dxfId="182" priority="296">
      <formula>OR($E28="Volume Incentive Threshold",$E28="Volume Incentive Tiered")</formula>
    </cfRule>
  </conditionalFormatting>
  <conditionalFormatting sqref="G34">
    <cfRule type="expression" dxfId="181" priority="295">
      <formula>$E28="Volume Incentive Tiered"</formula>
    </cfRule>
  </conditionalFormatting>
  <conditionalFormatting sqref="G47">
    <cfRule type="expression" dxfId="180" priority="294">
      <formula>OR($E42="Volume Incentive Threshold",$E42="Volume Incentive Tiered")</formula>
    </cfRule>
  </conditionalFormatting>
  <conditionalFormatting sqref="G48">
    <cfRule type="expression" dxfId="179" priority="293">
      <formula>$E42="Volume Incentive Tiered"</formula>
    </cfRule>
  </conditionalFormatting>
  <conditionalFormatting sqref="G19">
    <cfRule type="expression" dxfId="178" priority="292">
      <formula>OR($E14="Volume Incentive Threshold",$E14="Volume Incentive Tiered")</formula>
    </cfRule>
  </conditionalFormatting>
  <conditionalFormatting sqref="G20 K20">
    <cfRule type="expression" dxfId="177" priority="291">
      <formula>$E14="Volume Incentive Tiered"</formula>
    </cfRule>
  </conditionalFormatting>
  <conditionalFormatting sqref="G62 K62">
    <cfRule type="expression" dxfId="176" priority="290">
      <formula>$E56="DS Tiered Average Invoice Dollar Qualifier"</formula>
    </cfRule>
  </conditionalFormatting>
  <conditionalFormatting sqref="G75">
    <cfRule type="expression" dxfId="175" priority="289">
      <formula>OR($E70="DS Tiered Average Invoice Dollar Qualifier",$E70="DS Threshold Average Invoice Dollar Qualifier")</formula>
    </cfRule>
  </conditionalFormatting>
  <conditionalFormatting sqref="G76">
    <cfRule type="expression" dxfId="174" priority="288">
      <formula>$E70="DS Tiered Average Invoice Dollar Qualifier"</formula>
    </cfRule>
  </conditionalFormatting>
  <conditionalFormatting sqref="G89">
    <cfRule type="expression" dxfId="173" priority="287">
      <formula>OR($E$84="EB Threshold Percent Qualifier",$E$84="EB Tiered Percent Qualifier")</formula>
    </cfRule>
  </conditionalFormatting>
  <conditionalFormatting sqref="K90">
    <cfRule type="expression" dxfId="172" priority="286">
      <formula>$E84="EB Tiered Percent Qualifier"</formula>
    </cfRule>
  </conditionalFormatting>
  <conditionalFormatting sqref="G103">
    <cfRule type="expression" dxfId="171" priority="285">
      <formula>OR($E$98="EB Threshold Percent Qualifier",$E$98="EB Tiered Percent Qualifier")</formula>
    </cfRule>
  </conditionalFormatting>
  <conditionalFormatting sqref="I112">
    <cfRule type="expression" dxfId="170" priority="281">
      <formula>$E$112&lt;&gt;"Please Select"</formula>
    </cfRule>
  </conditionalFormatting>
  <conditionalFormatting sqref="G112">
    <cfRule type="expression" dxfId="169" priority="279">
      <formula>$E$112&lt;&gt;"Please Select"</formula>
    </cfRule>
  </conditionalFormatting>
  <conditionalFormatting sqref="M112">
    <cfRule type="expression" dxfId="168" priority="276">
      <formula>$K$112&lt;&gt;"Corporate Office"</formula>
    </cfRule>
    <cfRule type="expression" dxfId="167" priority="277">
      <formula>AND($K$112="Corporate Office",$I$112="Check")</formula>
    </cfRule>
    <cfRule type="expression" dxfId="166" priority="278">
      <formula>AND($I$112="Credit Memo",$K$112="Corporate Office")</formula>
    </cfRule>
  </conditionalFormatting>
  <conditionalFormatting sqref="E112">
    <cfRule type="expression" dxfId="165" priority="275">
      <formula>$E$111="Yes"</formula>
    </cfRule>
  </conditionalFormatting>
  <conditionalFormatting sqref="G115">
    <cfRule type="expression" dxfId="164" priority="274">
      <formula>$E$112="Growth Incentive Single Rate"</formula>
    </cfRule>
  </conditionalFormatting>
  <conditionalFormatting sqref="K115">
    <cfRule type="expression" dxfId="163" priority="273">
      <formula>$E$112&lt;&gt;"Please Select"</formula>
    </cfRule>
  </conditionalFormatting>
  <conditionalFormatting sqref="I152">
    <cfRule type="expression" dxfId="162" priority="272">
      <formula>$E$152&lt;&gt;"Please Select"</formula>
    </cfRule>
  </conditionalFormatting>
  <conditionalFormatting sqref="G152">
    <cfRule type="expression" dxfId="161" priority="270">
      <formula>$E$152&lt;&gt;"Please Select"</formula>
    </cfRule>
  </conditionalFormatting>
  <conditionalFormatting sqref="M152">
    <cfRule type="expression" dxfId="160" priority="267">
      <formula>$K$152&lt;&gt;"Corporate Office"</formula>
    </cfRule>
    <cfRule type="expression" dxfId="159" priority="268">
      <formula>AND($K$152="Corporate Office",$I$152="Check")</formula>
    </cfRule>
    <cfRule type="expression" dxfId="158" priority="269">
      <formula>AND($I$152="Credit Memo",$K$152="Corporate Office")</formula>
    </cfRule>
  </conditionalFormatting>
  <conditionalFormatting sqref="G155">
    <cfRule type="expression" dxfId="157" priority="266">
      <formula>$E$152="E-Commerce Incentive Threshold"</formula>
    </cfRule>
  </conditionalFormatting>
  <conditionalFormatting sqref="E152">
    <cfRule type="expression" dxfId="156" priority="264">
      <formula>$E$151="Yes"</formula>
    </cfRule>
  </conditionalFormatting>
  <conditionalFormatting sqref="I160">
    <cfRule type="expression" dxfId="155" priority="263">
      <formula>$E$160&lt;&gt;"Please Select"</formula>
    </cfRule>
  </conditionalFormatting>
  <conditionalFormatting sqref="M160">
    <cfRule type="expression" dxfId="154" priority="260">
      <formula>$K$160&lt;&gt;"Corporate Office"</formula>
    </cfRule>
    <cfRule type="expression" dxfId="153" priority="261">
      <formula>AND($K$160="Corporate Office",$I$160="Check")</formula>
    </cfRule>
    <cfRule type="expression" dxfId="152" priority="262">
      <formula>AND($I$160="Credit Memo",$K$160="Corporate Office")</formula>
    </cfRule>
  </conditionalFormatting>
  <conditionalFormatting sqref="E160">
    <cfRule type="expression" dxfId="151" priority="259">
      <formula>$E$159="Yes"</formula>
    </cfRule>
  </conditionalFormatting>
  <conditionalFormatting sqref="G163">
    <cfRule type="expression" dxfId="150" priority="258">
      <formula>$E$160&lt;&gt;"Please Select"</formula>
    </cfRule>
  </conditionalFormatting>
  <conditionalFormatting sqref="E168">
    <cfRule type="expression" dxfId="149" priority="257">
      <formula>$E$167="Yes"</formula>
    </cfRule>
  </conditionalFormatting>
  <conditionalFormatting sqref="I168">
    <cfRule type="expression" dxfId="148" priority="256">
      <formula>$E$168&lt;&gt;"Please Select"</formula>
    </cfRule>
  </conditionalFormatting>
  <conditionalFormatting sqref="M168">
    <cfRule type="expression" dxfId="147" priority="253">
      <formula>$K$168&lt;&gt;"Corporate Office"</formula>
    </cfRule>
    <cfRule type="expression" dxfId="146" priority="254">
      <formula>AND($K$168="Corporate Office",$I$168="Check")</formula>
    </cfRule>
    <cfRule type="expression" dxfId="145" priority="255">
      <formula>AND($I$168="Credit Memo",$K$168="Corporate Office")</formula>
    </cfRule>
  </conditionalFormatting>
  <conditionalFormatting sqref="G171">
    <cfRule type="expression" dxfId="144" priority="252">
      <formula>$E$168&lt;&gt;"Please Select"</formula>
    </cfRule>
  </conditionalFormatting>
  <conditionalFormatting sqref="I176">
    <cfRule type="expression" dxfId="143" priority="250">
      <formula>$E$176&lt;&gt;"Please Select"</formula>
    </cfRule>
  </conditionalFormatting>
  <conditionalFormatting sqref="G176">
    <cfRule type="expression" dxfId="142" priority="248">
      <formula>$E$176&lt;&gt;"Please Select"</formula>
    </cfRule>
  </conditionalFormatting>
  <conditionalFormatting sqref="M176">
    <cfRule type="expression" dxfId="141" priority="245">
      <formula>$K$176&lt;&gt;"Corporate Office"</formula>
    </cfRule>
    <cfRule type="expression" dxfId="140" priority="246">
      <formula>AND($K$176="Corporate Office",$I$176="Check")</formula>
    </cfRule>
    <cfRule type="expression" dxfId="139" priority="247">
      <formula>AND($I$176="Credit Memo",$K$176="Corporate Office")</formula>
    </cfRule>
  </conditionalFormatting>
  <conditionalFormatting sqref="E176">
    <cfRule type="expression" dxfId="138" priority="244">
      <formula>$E$175="Yes"</formula>
    </cfRule>
  </conditionalFormatting>
  <conditionalFormatting sqref="K155">
    <cfRule type="expression" dxfId="137" priority="242">
      <formula>$E$152&lt;&gt;"Please Select"</formula>
    </cfRule>
  </conditionalFormatting>
  <conditionalFormatting sqref="K179">
    <cfRule type="expression" dxfId="136" priority="241">
      <formula>$E$176&lt;&gt;"Please Select"</formula>
    </cfRule>
  </conditionalFormatting>
  <conditionalFormatting sqref="I184">
    <cfRule type="expression" dxfId="135" priority="235">
      <formula>$E184&lt;&gt;"Please Select"</formula>
    </cfRule>
  </conditionalFormatting>
  <conditionalFormatting sqref="M184">
    <cfRule type="expression" dxfId="134" priority="232">
      <formula>$K184&lt;&gt;"Corporate Office"</formula>
    </cfRule>
    <cfRule type="expression" dxfId="133" priority="233">
      <formula>AND($K184="Corporate Office",$I184="Check")</formula>
    </cfRule>
    <cfRule type="expression" dxfId="132" priority="234">
      <formula>AND($I184="Credit Memo",$K184="Corporate Office")</formula>
    </cfRule>
  </conditionalFormatting>
  <conditionalFormatting sqref="E184">
    <cfRule type="expression" dxfId="131" priority="231">
      <formula>$E$183="Yes"</formula>
    </cfRule>
  </conditionalFormatting>
  <conditionalFormatting sqref="G190">
    <cfRule type="expression" dxfId="130" priority="230">
      <formula>$E184&lt;&gt;"Please Select"</formula>
    </cfRule>
  </conditionalFormatting>
  <conditionalFormatting sqref="I190">
    <cfRule type="expression" dxfId="129" priority="226">
      <formula>COUNT(SEARCH("ICM", $G190))=1</formula>
    </cfRule>
    <cfRule type="expression" dxfId="128" priority="229">
      <formula>$E184&lt;&gt;"Please Select"</formula>
    </cfRule>
  </conditionalFormatting>
  <conditionalFormatting sqref="K187">
    <cfRule type="expression" dxfId="127" priority="225">
      <formula>$E184 = "Prepaid Rollover"</formula>
    </cfRule>
  </conditionalFormatting>
  <conditionalFormatting sqref="M190">
    <cfRule type="expression" dxfId="126" priority="223">
      <formula>$E184&lt;&gt;"Please Select"</formula>
    </cfRule>
  </conditionalFormatting>
  <conditionalFormatting sqref="M187">
    <cfRule type="expression" dxfId="125" priority="222">
      <formula>$E184&lt;&gt;"Please Select"</formula>
    </cfRule>
  </conditionalFormatting>
  <conditionalFormatting sqref="K190">
    <cfRule type="expression" dxfId="124" priority="221">
      <formula>$E184&lt;&gt;"Please Select"</formula>
    </cfRule>
  </conditionalFormatting>
  <conditionalFormatting sqref="N182:P185">
    <cfRule type="expression" dxfId="123" priority="219">
      <formula>AND($G$187&lt;100000,$G187&gt;=10000)</formula>
    </cfRule>
    <cfRule type="expression" dxfId="122" priority="220">
      <formula>$G187&gt;=100000</formula>
    </cfRule>
  </conditionalFormatting>
  <conditionalFormatting sqref="O190">
    <cfRule type="expression" dxfId="121" priority="218">
      <formula>$E184&lt;&gt;"Please Select"</formula>
    </cfRule>
  </conditionalFormatting>
  <conditionalFormatting sqref="G195">
    <cfRule type="expression" dxfId="120" priority="199">
      <formula>$E195="Prepay Multi Yr Under"</formula>
    </cfRule>
  </conditionalFormatting>
  <conditionalFormatting sqref="G207">
    <cfRule type="expression" dxfId="119" priority="198">
      <formula>$E207="Prepay Multi Yr Under"</formula>
    </cfRule>
  </conditionalFormatting>
  <conditionalFormatting sqref="I195">
    <cfRule type="expression" dxfId="118" priority="197">
      <formula>$E195&lt;&gt;"Please Select"</formula>
    </cfRule>
  </conditionalFormatting>
  <conditionalFormatting sqref="I207">
    <cfRule type="expression" dxfId="117" priority="196">
      <formula>$E207&lt;&gt;"Please Select"</formula>
    </cfRule>
  </conditionalFormatting>
  <conditionalFormatting sqref="M195">
    <cfRule type="expression" dxfId="116" priority="193">
      <formula>$K195&lt;&gt;"Corporate Office"</formula>
    </cfRule>
    <cfRule type="expression" dxfId="115" priority="194">
      <formula>AND($K195="Corporate Office",$I195="Check")</formula>
    </cfRule>
    <cfRule type="expression" dxfId="114" priority="195">
      <formula>AND($I195="Credit Memo",$K195="Corporate Office")</formula>
    </cfRule>
  </conditionalFormatting>
  <conditionalFormatting sqref="M207">
    <cfRule type="expression" dxfId="113" priority="190">
      <formula>$K207&lt;&gt;"Corporate Office"</formula>
    </cfRule>
    <cfRule type="expression" dxfId="0" priority="191">
      <formula>AND($K207="Corporate Office",$I207="Check")</formula>
    </cfRule>
    <cfRule type="expression" dxfId="112" priority="192">
      <formula>AND($I207="Credit Memo",$K207="Corporate Office")</formula>
    </cfRule>
  </conditionalFormatting>
  <conditionalFormatting sqref="N193:P196">
    <cfRule type="expression" dxfId="111" priority="188">
      <formula>AND($G$198&lt;100000,$G198&gt;=10000)</formula>
    </cfRule>
    <cfRule type="expression" dxfId="110" priority="189">
      <formula>$G198&gt;=100000</formula>
    </cfRule>
  </conditionalFormatting>
  <conditionalFormatting sqref="N205:P208">
    <cfRule type="expression" dxfId="109" priority="186">
      <formula>AND($G$210&lt;=100000,$G210&gt;=10000)</formula>
    </cfRule>
    <cfRule type="expression" dxfId="108" priority="187">
      <formula>$G210&gt;=100000</formula>
    </cfRule>
  </conditionalFormatting>
  <conditionalFormatting sqref="I219">
    <cfRule type="expression" dxfId="107" priority="158">
      <formula>$E219&lt;&gt;"Please Select"</formula>
    </cfRule>
  </conditionalFormatting>
  <conditionalFormatting sqref="E219">
    <cfRule type="expression" dxfId="106" priority="157">
      <formula>$E$218="Yes"</formula>
    </cfRule>
  </conditionalFormatting>
  <conditionalFormatting sqref="K222">
    <cfRule type="expression" dxfId="105" priority="155">
      <formula>$E$219&lt;&gt;"Please Select"</formula>
    </cfRule>
  </conditionalFormatting>
  <conditionalFormatting sqref="E195">
    <cfRule type="expression" dxfId="104" priority="135">
      <formula>$E$194="Yes"</formula>
    </cfRule>
  </conditionalFormatting>
  <conditionalFormatting sqref="K21:K23 G21:G23">
    <cfRule type="expression" dxfId="103" priority="134">
      <formula>$E$14="Volume Incentive Tiered"</formula>
    </cfRule>
  </conditionalFormatting>
  <conditionalFormatting sqref="K63:K65 G63:G65">
    <cfRule type="expression" dxfId="102" priority="123">
      <formula>$E$56="DS Tiered Average Invoice Dollar Qualifier"</formula>
    </cfRule>
  </conditionalFormatting>
  <conditionalFormatting sqref="K91:K93">
    <cfRule type="expression" dxfId="101" priority="122">
      <formula>$E$84="EB Tiered Percent Qualifier"</formula>
    </cfRule>
  </conditionalFormatting>
  <conditionalFormatting sqref="K34">
    <cfRule type="expression" dxfId="100" priority="119">
      <formula>$E28="Volume Incentive Tiered"</formula>
    </cfRule>
  </conditionalFormatting>
  <conditionalFormatting sqref="K35:K37">
    <cfRule type="expression" dxfId="99" priority="118">
      <formula>$E$28="Volume Incentive Tiered"</formula>
    </cfRule>
  </conditionalFormatting>
  <conditionalFormatting sqref="K48">
    <cfRule type="expression" dxfId="98" priority="116">
      <formula>$E42="Volume Incentive Tiered"</formula>
    </cfRule>
  </conditionalFormatting>
  <conditionalFormatting sqref="K49:K51">
    <cfRule type="expression" dxfId="97" priority="115">
      <formula>$E$42="Volume Incentive Tiered"</formula>
    </cfRule>
  </conditionalFormatting>
  <conditionalFormatting sqref="K75">
    <cfRule type="expression" dxfId="96" priority="114">
      <formula>OR($E70="DS Tiered Average Invoice Dollar Qualifier",$E70="DS Threshold Average Invoice Dollar Qualifier")</formula>
    </cfRule>
  </conditionalFormatting>
  <conditionalFormatting sqref="K76">
    <cfRule type="expression" dxfId="95" priority="113">
      <formula>$E70="DS Tiered Average Invoice Dollar Qualifier"</formula>
    </cfRule>
  </conditionalFormatting>
  <conditionalFormatting sqref="K77:K79">
    <cfRule type="expression" dxfId="94" priority="112">
      <formula>$E$70="DS Tiered Average Invoice Dollar Qualifier"</formula>
    </cfRule>
  </conditionalFormatting>
  <conditionalFormatting sqref="K104">
    <cfRule type="expression" dxfId="93" priority="110">
      <formula>$E98="EB Tiered Percent Qualifier"</formula>
    </cfRule>
  </conditionalFormatting>
  <conditionalFormatting sqref="K105:K107">
    <cfRule type="expression" dxfId="92" priority="109">
      <formula>$E$98="EB Tiered Percent Qualifier"</formula>
    </cfRule>
  </conditionalFormatting>
  <conditionalFormatting sqref="T12:T14">
    <cfRule type="cellIs" dxfId="91" priority="108" operator="equal">
      <formula>"Yes"</formula>
    </cfRule>
  </conditionalFormatting>
  <conditionalFormatting sqref="K19">
    <cfRule type="expression" dxfId="90" priority="105">
      <formula>$E$14&lt;&gt;"Please Select"</formula>
    </cfRule>
  </conditionalFormatting>
  <conditionalFormatting sqref="K33">
    <cfRule type="expression" dxfId="89" priority="104">
      <formula>$E$28&lt;&gt;"Please Select"</formula>
    </cfRule>
  </conditionalFormatting>
  <conditionalFormatting sqref="K47">
    <cfRule type="expression" dxfId="88" priority="103">
      <formula>$E$42&lt;&gt;"Please Select"</formula>
    </cfRule>
  </conditionalFormatting>
  <conditionalFormatting sqref="K89">
    <cfRule type="expression" dxfId="87" priority="102">
      <formula>$E$84&lt;&gt;"Please Select"</formula>
    </cfRule>
  </conditionalFormatting>
  <conditionalFormatting sqref="K103">
    <cfRule type="expression" dxfId="86" priority="101">
      <formula>$E$98&lt;&gt;"Please Select"</formula>
    </cfRule>
  </conditionalFormatting>
  <conditionalFormatting sqref="K28">
    <cfRule type="expression" dxfId="85" priority="94">
      <formula>AND($E28&lt;&gt;"Please Select",$I28&lt;&gt;"Check")</formula>
    </cfRule>
  </conditionalFormatting>
  <conditionalFormatting sqref="K42">
    <cfRule type="expression" dxfId="84" priority="93">
      <formula>AND($E42&lt;&gt;"Please Select",$I42&lt;&gt;"Check")</formula>
    </cfRule>
  </conditionalFormatting>
  <conditionalFormatting sqref="K56">
    <cfRule type="expression" dxfId="83" priority="92">
      <formula>AND($E56&lt;&gt;"Please Select",$I56&lt;&gt;"Check")</formula>
    </cfRule>
  </conditionalFormatting>
  <conditionalFormatting sqref="K70">
    <cfRule type="expression" dxfId="82" priority="91">
      <formula>AND($E70&lt;&gt;"Please Select",$I70&lt;&gt;"Check")</formula>
    </cfRule>
  </conditionalFormatting>
  <conditionalFormatting sqref="K84">
    <cfRule type="expression" dxfId="81" priority="90">
      <formula>AND($E84&lt;&gt;"Please Select",$I84&lt;&gt;"Check")</formula>
    </cfRule>
  </conditionalFormatting>
  <conditionalFormatting sqref="K98">
    <cfRule type="expression" dxfId="80" priority="89">
      <formula>AND($E98&lt;&gt;"Please Select",$I98&lt;&gt;"Check")</formula>
    </cfRule>
  </conditionalFormatting>
  <conditionalFormatting sqref="K112">
    <cfRule type="expression" dxfId="79" priority="88">
      <formula>AND($E112&lt;&gt;"Please Select",$I112&lt;&gt;"Check")</formula>
    </cfRule>
  </conditionalFormatting>
  <conditionalFormatting sqref="K152">
    <cfRule type="expression" dxfId="78" priority="87">
      <formula>AND($E152&lt;&gt;"Please Select",$I152&lt;&gt;"Check")</formula>
    </cfRule>
  </conditionalFormatting>
  <conditionalFormatting sqref="K176">
    <cfRule type="expression" dxfId="77" priority="84">
      <formula>AND($E176&lt;&gt;"Please Select",$I176&lt;&gt;"Check")</formula>
    </cfRule>
  </conditionalFormatting>
  <conditionalFormatting sqref="G35:G37">
    <cfRule type="expression" dxfId="76" priority="76">
      <formula>$E$28="Volume Incentive Tiered"</formula>
    </cfRule>
  </conditionalFormatting>
  <conditionalFormatting sqref="G49:G51">
    <cfRule type="expression" dxfId="75" priority="73">
      <formula>$E$42="Volume Incentive Tiered"</formula>
    </cfRule>
  </conditionalFormatting>
  <conditionalFormatting sqref="G77:G79">
    <cfRule type="expression" dxfId="74" priority="70">
      <formula>$E$70="DS Tiered Average Invoice Dollar Qualifier"</formula>
    </cfRule>
  </conditionalFormatting>
  <conditionalFormatting sqref="I187">
    <cfRule type="expression" dxfId="73" priority="63">
      <formula>$E$184&lt;&gt;"Please Select"</formula>
    </cfRule>
  </conditionalFormatting>
  <conditionalFormatting sqref="G198">
    <cfRule type="expression" dxfId="72" priority="61">
      <formula>$E$195="Prepaid Single Payment"</formula>
    </cfRule>
  </conditionalFormatting>
  <conditionalFormatting sqref="G210">
    <cfRule type="expression" dxfId="71" priority="60">
      <formula>$E$207="Prepaid Single Payment"</formula>
    </cfRule>
  </conditionalFormatting>
  <conditionalFormatting sqref="G105:G107">
    <cfRule type="expression" dxfId="70" priority="59">
      <formula>$E$98="EB Tiered Percent Qualifier"</formula>
    </cfRule>
  </conditionalFormatting>
  <conditionalFormatting sqref="G91:G93">
    <cfRule type="expression" dxfId="69" priority="58">
      <formula>$E$84="EB Tiered Percent Qualifier"</formula>
    </cfRule>
  </conditionalFormatting>
  <conditionalFormatting sqref="G90">
    <cfRule type="expression" dxfId="68" priority="57">
      <formula>$E$84="EB Tiered Percent Qualifier"</formula>
    </cfRule>
  </conditionalFormatting>
  <conditionalFormatting sqref="G104">
    <cfRule type="expression" dxfId="67" priority="56">
      <formula>$E$98="EB Tiered Percent Qualifier"</formula>
    </cfRule>
  </conditionalFormatting>
  <conditionalFormatting sqref="I89:I93">
    <cfRule type="cellIs" dxfId="66" priority="55" operator="equal">
      <formula>0</formula>
    </cfRule>
  </conditionalFormatting>
  <conditionalFormatting sqref="I103:I107">
    <cfRule type="cellIs" dxfId="65" priority="54" operator="equal">
      <formula>0</formula>
    </cfRule>
  </conditionalFormatting>
  <conditionalFormatting sqref="M198">
    <cfRule type="expression" dxfId="64" priority="53">
      <formula>$E$195&lt;&gt;"Prepay Multi Yr Under"</formula>
    </cfRule>
  </conditionalFormatting>
  <conditionalFormatting sqref="M199">
    <cfRule type="expression" dxfId="63" priority="52">
      <formula>$E$195&lt;&gt;"Prepay Multi Yr Under"</formula>
    </cfRule>
  </conditionalFormatting>
  <conditionalFormatting sqref="M200">
    <cfRule type="expression" dxfId="62" priority="51">
      <formula>$E$195&lt;&gt;"Prepay Multi Yr Under"</formula>
    </cfRule>
  </conditionalFormatting>
  <conditionalFormatting sqref="M201">
    <cfRule type="expression" dxfId="61" priority="50">
      <formula>$E$195&lt;&gt;"Prepay Multi Yr Under"</formula>
    </cfRule>
  </conditionalFormatting>
  <conditionalFormatting sqref="M202">
    <cfRule type="expression" dxfId="60" priority="49">
      <formula>$E$195&lt;&gt;"Prepay Multi Yr Under"</formula>
    </cfRule>
  </conditionalFormatting>
  <conditionalFormatting sqref="M210">
    <cfRule type="expression" dxfId="59" priority="48">
      <formula>$E$207&lt;&gt;"Prepay Multi Yr Under"</formula>
    </cfRule>
  </conditionalFormatting>
  <conditionalFormatting sqref="M211">
    <cfRule type="expression" dxfId="58" priority="47">
      <formula>$E$207&lt;&gt;"Prepay Multi Yr Under"</formula>
    </cfRule>
  </conditionalFormatting>
  <conditionalFormatting sqref="M212">
    <cfRule type="expression" dxfId="57" priority="46">
      <formula>$E$207&lt;&gt;"Prepay Multi Yr Under"</formula>
    </cfRule>
  </conditionalFormatting>
  <conditionalFormatting sqref="M213">
    <cfRule type="expression" dxfId="56" priority="45">
      <formula>$E$207&lt;&gt;"Prepay Multi Yr Under"</formula>
    </cfRule>
  </conditionalFormatting>
  <conditionalFormatting sqref="M214">
    <cfRule type="expression" dxfId="55" priority="44">
      <formula>$E$207&lt;&gt;"Prepay Multi Yr Under"</formula>
    </cfRule>
  </conditionalFormatting>
  <conditionalFormatting sqref="K198:K202">
    <cfRule type="expression" dxfId="54" priority="43">
      <formula>$E$195="Prepaid Single Payment"</formula>
    </cfRule>
  </conditionalFormatting>
  <conditionalFormatting sqref="K210:K214">
    <cfRule type="expression" dxfId="53" priority="42">
      <formula>$E$207="Prepaid Single Payment"</formula>
    </cfRule>
  </conditionalFormatting>
  <conditionalFormatting sqref="E207">
    <cfRule type="expression" dxfId="52" priority="41">
      <formula>$E$206="Yes"</formula>
    </cfRule>
  </conditionalFormatting>
  <conditionalFormatting sqref="I120">
    <cfRule type="expression" dxfId="51" priority="39">
      <formula>$E$120&lt;&gt;"Please Select"</formula>
    </cfRule>
  </conditionalFormatting>
  <conditionalFormatting sqref="G120">
    <cfRule type="expression" dxfId="50" priority="38">
      <formula>$E$120&lt;&gt;"Please Select"</formula>
    </cfRule>
  </conditionalFormatting>
  <conditionalFormatting sqref="M120">
    <cfRule type="expression" dxfId="49" priority="35">
      <formula>$K$120&lt;&gt;"Corporate Office"</formula>
    </cfRule>
    <cfRule type="expression" dxfId="48" priority="36">
      <formula>AND($K$120="Corporate Office",$I$120="Check")</formula>
    </cfRule>
    <cfRule type="expression" dxfId="47" priority="37">
      <formula>AND($I$120="Credit Memo",$K$120="Corporate Office")</formula>
    </cfRule>
  </conditionalFormatting>
  <conditionalFormatting sqref="E120">
    <cfRule type="expression" dxfId="46" priority="34">
      <formula>$E$119="Yes"</formula>
    </cfRule>
  </conditionalFormatting>
  <conditionalFormatting sqref="G123">
    <cfRule type="expression" dxfId="45" priority="33">
      <formula>$E$120="Growth Incentive Single Rate"</formula>
    </cfRule>
  </conditionalFormatting>
  <conditionalFormatting sqref="K123">
    <cfRule type="expression" dxfId="44" priority="32">
      <formula>$E$120&lt;&gt;"Please Select"</formula>
    </cfRule>
  </conditionalFormatting>
  <conditionalFormatting sqref="K120">
    <cfRule type="expression" dxfId="43" priority="31">
      <formula>AND($E120&lt;&gt;"Please Select",$I120&lt;&gt;"Check")</formula>
    </cfRule>
  </conditionalFormatting>
  <conditionalFormatting sqref="I128">
    <cfRule type="expression" dxfId="42" priority="30">
      <formula>$E$128&lt;&gt;"Please Select"</formula>
    </cfRule>
  </conditionalFormatting>
  <conditionalFormatting sqref="G128">
    <cfRule type="expression" dxfId="41" priority="29">
      <formula>$E$128&lt;&gt;"Please Select"</formula>
    </cfRule>
  </conditionalFormatting>
  <conditionalFormatting sqref="M128">
    <cfRule type="expression" dxfId="40" priority="26">
      <formula>$K$128&lt;&gt;"Corporate Office"</formula>
    </cfRule>
    <cfRule type="expression" dxfId="39" priority="27">
      <formula>AND($K$128="Corporate Office",$I$128="Check")</formula>
    </cfRule>
    <cfRule type="expression" dxfId="38" priority="28">
      <formula>AND($I$128="Credit Memo",$K$128="Corporate Office")</formula>
    </cfRule>
  </conditionalFormatting>
  <conditionalFormatting sqref="E128">
    <cfRule type="expression" dxfId="37" priority="25">
      <formula>$E$127="Yes"</formula>
    </cfRule>
  </conditionalFormatting>
  <conditionalFormatting sqref="G131">
    <cfRule type="expression" dxfId="36" priority="24">
      <formula>$E$128="Growth Incentive Single Rate"</formula>
    </cfRule>
  </conditionalFormatting>
  <conditionalFormatting sqref="K131">
    <cfRule type="expression" dxfId="35" priority="23">
      <formula>$E$128&lt;&gt;"Please Select"</formula>
    </cfRule>
  </conditionalFormatting>
  <conditionalFormatting sqref="K128">
    <cfRule type="expression" dxfId="34" priority="22">
      <formula>AND($E128&lt;&gt;"Please Select",$I128&lt;&gt;"Check")</formula>
    </cfRule>
  </conditionalFormatting>
  <conditionalFormatting sqref="I144">
    <cfRule type="expression" dxfId="33" priority="21">
      <formula>$E$144&lt;&gt;"Please Select"</formula>
    </cfRule>
  </conditionalFormatting>
  <conditionalFormatting sqref="G144">
    <cfRule type="expression" dxfId="32" priority="20">
      <formula>$E$144&lt;&gt;"Please Select"</formula>
    </cfRule>
  </conditionalFormatting>
  <conditionalFormatting sqref="M144">
    <cfRule type="expression" dxfId="31" priority="17">
      <formula>$K$144&lt;&gt;"Corporate Office"</formula>
    </cfRule>
    <cfRule type="expression" dxfId="30" priority="18">
      <formula>AND($K$144="Corporate Office",$I$144="Check")</formula>
    </cfRule>
    <cfRule type="expression" dxfId="29" priority="19">
      <formula>AND($I$144="Credit Memo",$K$144="Corporate Office")</formula>
    </cfRule>
  </conditionalFormatting>
  <conditionalFormatting sqref="E144">
    <cfRule type="expression" dxfId="28" priority="16">
      <formula>$E$143="Yes"</formula>
    </cfRule>
  </conditionalFormatting>
  <conditionalFormatting sqref="G147">
    <cfRule type="expression" dxfId="27" priority="15">
      <formula>$E$144="Growth Incentive Single Rate"</formula>
    </cfRule>
  </conditionalFormatting>
  <conditionalFormatting sqref="K147">
    <cfRule type="expression" dxfId="26" priority="14">
      <formula>$E$144&lt;&gt;"Please Select"</formula>
    </cfRule>
  </conditionalFormatting>
  <conditionalFormatting sqref="K144">
    <cfRule type="expression" dxfId="25" priority="13">
      <formula>AND($E144&lt;&gt;"Please Select",$I144&lt;&gt;"Check")</formula>
    </cfRule>
  </conditionalFormatting>
  <conditionalFormatting sqref="I136">
    <cfRule type="expression" dxfId="24" priority="12">
      <formula>$E$136&lt;&gt;"Please Select"</formula>
    </cfRule>
  </conditionalFormatting>
  <conditionalFormatting sqref="G136">
    <cfRule type="expression" dxfId="23" priority="11">
      <formula>$E$136&lt;&gt;"Please Select"</formula>
    </cfRule>
  </conditionalFormatting>
  <conditionalFormatting sqref="M136">
    <cfRule type="expression" dxfId="22" priority="8">
      <formula>$K$136&lt;&gt;"Corporate Office"</formula>
    </cfRule>
    <cfRule type="expression" dxfId="21" priority="9">
      <formula>AND($K$136="Corporate Office",$I$136="Check")</formula>
    </cfRule>
    <cfRule type="expression" dxfId="20" priority="10">
      <formula>AND($I$136="Credit Memo",$K$136="Corporate Office")</formula>
    </cfRule>
  </conditionalFormatting>
  <conditionalFormatting sqref="E136">
    <cfRule type="expression" dxfId="19" priority="7">
      <formula>$E$135="Yes"</formula>
    </cfRule>
  </conditionalFormatting>
  <conditionalFormatting sqref="G139">
    <cfRule type="expression" dxfId="18" priority="6">
      <formula>$E$136="Growth Incentive Single Rate"</formula>
    </cfRule>
  </conditionalFormatting>
  <conditionalFormatting sqref="K139">
    <cfRule type="expression" dxfId="17" priority="5">
      <formula>$E$136&lt;&gt;"Please Select"</formula>
    </cfRule>
  </conditionalFormatting>
  <conditionalFormatting sqref="K136">
    <cfRule type="expression" dxfId="16" priority="4">
      <formula>AND($E136&lt;&gt;"Please Select",$I136&lt;&gt;"Check")</formula>
    </cfRule>
  </conditionalFormatting>
  <conditionalFormatting sqref="K223">
    <cfRule type="cellIs" dxfId="15" priority="3" operator="equal">
      <formula>"Recommended NCI is 1%"</formula>
    </cfRule>
    <cfRule type="cellIs" dxfId="14" priority="1" operator="equal">
      <formula>"Rate cannot be greater than the Prepaid Rate % of Sales"</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3" t="s">
        <v>210</v>
      </c>
      <c r="D2" s="1503"/>
      <c r="E2" s="1503"/>
      <c r="F2" s="502"/>
      <c r="G2" s="172"/>
      <c r="H2" s="172"/>
      <c r="I2" s="172"/>
      <c r="J2" s="172"/>
      <c r="K2" s="172"/>
      <c r="L2" s="175"/>
    </row>
    <row r="3" spans="2:23" x14ac:dyDescent="0.25">
      <c r="B3" s="178"/>
      <c r="C3" s="1512" t="s">
        <v>1246</v>
      </c>
      <c r="D3" s="1513"/>
      <c r="E3" s="385">
        <f>Welcome!$D$8</f>
        <v>0</v>
      </c>
      <c r="F3" s="388"/>
      <c r="G3" s="472" t="s">
        <v>110</v>
      </c>
      <c r="H3" s="1508" t="str">
        <f>IFERROR(VLOOKUP($H$4,'Market Geography'!$D:$G,4,FALSE),"Select Market")</f>
        <v>Select Market</v>
      </c>
      <c r="I3" s="1508"/>
      <c r="J3" s="1508"/>
      <c r="K3" s="1509"/>
      <c r="L3" s="179"/>
    </row>
    <row r="4" spans="2:23" x14ac:dyDescent="0.25">
      <c r="B4" s="178"/>
      <c r="C4" s="1514" t="s">
        <v>1247</v>
      </c>
      <c r="D4" s="1515"/>
      <c r="E4" s="354" t="str">
        <f>Welcome!$D$12</f>
        <v>Select Term</v>
      </c>
      <c r="F4" s="503"/>
      <c r="G4" s="473" t="s">
        <v>881</v>
      </c>
      <c r="H4" s="1510">
        <f>Welcome!$D$4</f>
        <v>0</v>
      </c>
      <c r="I4" s="1510"/>
      <c r="J4" s="1510"/>
      <c r="K4" s="1511"/>
      <c r="L4" s="179"/>
    </row>
    <row r="5" spans="2:23" x14ac:dyDescent="0.25">
      <c r="B5" s="178"/>
      <c r="C5" s="1514" t="s">
        <v>1252</v>
      </c>
      <c r="D5" s="1515"/>
      <c r="E5" s="143">
        <f>'PIM Model'!$G$31</f>
        <v>0</v>
      </c>
      <c r="F5" s="504"/>
      <c r="G5" s="473" t="s">
        <v>107</v>
      </c>
      <c r="H5" s="1510" t="str">
        <f>'Multi-Customer'!$S$49</f>
        <v>Enter Customer(s)</v>
      </c>
      <c r="I5" s="1510"/>
      <c r="J5" s="1510"/>
      <c r="K5" s="1511"/>
      <c r="L5" s="179"/>
    </row>
    <row r="6" spans="2:23" x14ac:dyDescent="0.25">
      <c r="B6" s="178"/>
      <c r="C6" s="1514" t="s">
        <v>1253</v>
      </c>
      <c r="D6" s="1515"/>
      <c r="E6" s="144">
        <f>'PIM Model'!$E$6</f>
        <v>0</v>
      </c>
      <c r="F6" s="388"/>
      <c r="G6" s="473" t="s">
        <v>1262</v>
      </c>
      <c r="H6" s="1510" t="str">
        <f>IF('Multi-Customer'!$AH$40 = "MULTIPLE MENU TYPES","MULTIPLE TYPES",'Multi-Customer'!$AH$40)</f>
        <v>MULTIPLE TYPES</v>
      </c>
      <c r="I6" s="1510"/>
      <c r="J6" s="1510"/>
      <c r="K6" s="1511"/>
      <c r="L6" s="179"/>
      <c r="R6" s="505"/>
    </row>
    <row r="7" spans="2:23" ht="15.75" thickBot="1" x14ac:dyDescent="0.3">
      <c r="B7" s="178"/>
      <c r="C7" s="1519" t="s">
        <v>1254</v>
      </c>
      <c r="D7" s="1520"/>
      <c r="E7" s="386">
        <f>IFERROR('PIM Ranges'!$AU$3,0)</f>
        <v>0</v>
      </c>
      <c r="F7" s="177"/>
      <c r="G7" s="474" t="s">
        <v>1255</v>
      </c>
      <c r="H7" s="1517" t="s">
        <v>206</v>
      </c>
      <c r="I7" s="1517"/>
      <c r="J7" s="1517"/>
      <c r="K7" s="1518"/>
      <c r="L7" s="179"/>
      <c r="P7" s="177"/>
      <c r="Q7" s="153"/>
      <c r="R7" s="506"/>
      <c r="S7" s="134"/>
      <c r="T7" s="153"/>
      <c r="U7" s="177"/>
      <c r="V7" s="153"/>
      <c r="W7" s="177"/>
    </row>
    <row r="8" spans="2:23" ht="13.9" customHeight="1" x14ac:dyDescent="0.25">
      <c r="B8" s="178"/>
      <c r="D8" s="136"/>
      <c r="E8" s="1460"/>
      <c r="F8" s="1460"/>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6" t="s">
        <v>886</v>
      </c>
      <c r="J10" s="1506"/>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4" t="str">
        <f>IFERROR($E11/$E$5,"")</f>
        <v/>
      </c>
      <c r="J11" s="1504"/>
      <c r="K11" s="245"/>
      <c r="L11" s="179"/>
      <c r="R11" s="505"/>
    </row>
    <row r="12" spans="2:23" ht="36" customHeight="1" x14ac:dyDescent="0.25">
      <c r="B12" s="178"/>
      <c r="C12" s="244"/>
      <c r="D12" s="1521" t="s">
        <v>684</v>
      </c>
      <c r="E12" s="152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4" t="str">
        <f>IFERROR(E13/E5,"")</f>
        <v/>
      </c>
      <c r="J13" s="1504"/>
      <c r="K13" s="245"/>
      <c r="L13" s="179"/>
    </row>
    <row r="14" spans="2:23" s="773" customFormat="1" ht="36.6" customHeight="1" x14ac:dyDescent="0.25">
      <c r="B14" s="178"/>
      <c r="C14" s="244"/>
      <c r="D14" s="1521" t="s">
        <v>1167</v>
      </c>
      <c r="E14" s="152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4" t="str">
        <f>IFERROR($E15/$E$5,"")</f>
        <v/>
      </c>
      <c r="J15" s="1504"/>
      <c r="K15" s="245"/>
      <c r="L15" s="179"/>
    </row>
    <row r="16" spans="2:23" ht="26.45" customHeight="1" x14ac:dyDescent="0.25">
      <c r="B16" s="178"/>
      <c r="C16" s="244"/>
      <c r="D16" s="1516" t="s">
        <v>686</v>
      </c>
      <c r="E16" s="1516"/>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4" t="str">
        <f>IFERROR($E17/$E$5,"")</f>
        <v/>
      </c>
      <c r="J17" s="1504"/>
      <c r="K17" s="245"/>
      <c r="L17" s="179"/>
    </row>
    <row r="18" spans="2:12" ht="25.9" customHeight="1" x14ac:dyDescent="0.25">
      <c r="B18" s="178"/>
      <c r="C18" s="244"/>
      <c r="D18" s="1516" t="s">
        <v>685</v>
      </c>
      <c r="E18" s="152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5" t="str">
        <f>IFERROR($E19/$E$5,"")</f>
        <v/>
      </c>
      <c r="J19" s="1505"/>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4" t="str">
        <f>IFERROR($E23/$E$5,"")</f>
        <v/>
      </c>
      <c r="J23" s="1504"/>
      <c r="K23" s="245"/>
      <c r="L23" s="179"/>
    </row>
    <row r="24" spans="2:12" ht="16.149999999999999" customHeight="1" x14ac:dyDescent="0.25">
      <c r="B24" s="178"/>
      <c r="C24" s="244"/>
      <c r="D24" s="1507" t="s">
        <v>928</v>
      </c>
      <c r="E24" s="1507"/>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6" t="s">
        <v>886</v>
      </c>
      <c r="J28" s="1506"/>
      <c r="K28" s="245"/>
      <c r="L28" s="179"/>
    </row>
    <row r="29" spans="2:12" ht="25.15" customHeight="1" x14ac:dyDescent="0.25">
      <c r="B29" s="178"/>
      <c r="C29" s="244"/>
      <c r="D29" s="526" t="s">
        <v>221</v>
      </c>
      <c r="E29" s="527">
        <f>IFERROR('EB_CM (Back)'!$F$47,0)</f>
        <v>0</v>
      </c>
      <c r="F29" s="188"/>
      <c r="G29" s="514">
        <f>IFERROR(E29/'PIM Model'!$H$31,0)</f>
        <v>0</v>
      </c>
      <c r="H29" s="188"/>
      <c r="I29" s="1504" t="str">
        <f>IFERROR($E29/$E$5,"")</f>
        <v/>
      </c>
      <c r="J29" s="1504"/>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4" t="str">
        <f>IFERROR($E30/$E$5,"")</f>
        <v/>
      </c>
      <c r="J30" s="1504"/>
      <c r="K30" s="245"/>
      <c r="L30" s="179"/>
    </row>
    <row r="31" spans="2:12" ht="27.6" customHeight="1" x14ac:dyDescent="0.25">
      <c r="B31" s="178"/>
      <c r="C31" s="532"/>
      <c r="D31" s="1516" t="s">
        <v>230</v>
      </c>
      <c r="E31" s="1516"/>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6"/>
      <c r="E37" s="1516"/>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2" t="s">
        <v>1246</v>
      </c>
      <c r="D4" s="1513"/>
      <c r="E4" s="648">
        <f>Welcome!$D$8</f>
        <v>0</v>
      </c>
      <c r="F4" s="139"/>
      <c r="G4" s="472" t="s">
        <v>110</v>
      </c>
      <c r="H4" s="1447" t="str">
        <f>IFERROR(VLOOKUP($H$5,'Market Geography'!$D:$G,4,FALSE),"Select Market")</f>
        <v>Select Market</v>
      </c>
      <c r="I4" s="1448"/>
      <c r="J4" s="1449"/>
      <c r="K4" s="924"/>
      <c r="L4" s="924"/>
      <c r="M4" s="924"/>
      <c r="N4" s="924"/>
      <c r="O4" s="924"/>
      <c r="P4" s="798"/>
      <c r="Q4" s="800"/>
      <c r="R4" s="739"/>
      <c r="S4" s="538"/>
    </row>
    <row r="5" spans="1:31" x14ac:dyDescent="0.25">
      <c r="B5" s="178"/>
      <c r="C5" s="1514" t="s">
        <v>1247</v>
      </c>
      <c r="D5" s="1515"/>
      <c r="E5" s="354" t="str">
        <f>Welcome!$D$12</f>
        <v>Select Term</v>
      </c>
      <c r="F5" s="139"/>
      <c r="G5" s="473" t="s">
        <v>881</v>
      </c>
      <c r="H5" s="1444">
        <f>Welcome!$D$4</f>
        <v>0</v>
      </c>
      <c r="I5" s="1445"/>
      <c r="J5" s="1446"/>
      <c r="K5" s="924"/>
      <c r="L5" s="924"/>
      <c r="M5" s="924"/>
      <c r="N5" s="924"/>
      <c r="O5" s="924"/>
      <c r="P5" s="798"/>
      <c r="Q5" s="800"/>
      <c r="R5" s="739"/>
      <c r="S5" s="538"/>
    </row>
    <row r="6" spans="1:31" x14ac:dyDescent="0.25">
      <c r="B6" s="178"/>
      <c r="C6" s="1514" t="s">
        <v>1252</v>
      </c>
      <c r="D6" s="1515"/>
      <c r="E6" s="355">
        <f>IFERROR('PIM Model'!$G$31,0)</f>
        <v>0</v>
      </c>
      <c r="F6" s="387"/>
      <c r="G6" s="473" t="s">
        <v>107</v>
      </c>
      <c r="H6" s="1444" t="str">
        <f>'Multi-Customer'!$S$49</f>
        <v>Enter Customer(s)</v>
      </c>
      <c r="I6" s="1445"/>
      <c r="J6" s="1446"/>
      <c r="K6" s="924"/>
      <c r="L6" s="924"/>
      <c r="M6" s="924"/>
      <c r="N6" s="924"/>
      <c r="O6" s="924"/>
      <c r="P6" s="798"/>
      <c r="Q6" s="800"/>
      <c r="R6" s="739"/>
      <c r="S6" s="538"/>
    </row>
    <row r="7" spans="1:31" x14ac:dyDescent="0.25">
      <c r="B7" s="178"/>
      <c r="C7" s="1514" t="s">
        <v>1253</v>
      </c>
      <c r="D7" s="1515"/>
      <c r="E7" s="539">
        <f>IFERROR('Variable Costs (Back)'!$K$26,0)</f>
        <v>0</v>
      </c>
      <c r="F7" s="177"/>
      <c r="G7" s="473" t="s">
        <v>1262</v>
      </c>
      <c r="H7" s="1444" t="str">
        <f>'Multi-Customer'!$AH$40</f>
        <v>MULTIPLE TYPES</v>
      </c>
      <c r="I7" s="1445"/>
      <c r="J7" s="1446"/>
      <c r="K7" s="924"/>
      <c r="L7" s="924"/>
      <c r="M7" s="924"/>
      <c r="N7" s="924"/>
      <c r="O7" s="924"/>
      <c r="P7" s="798"/>
      <c r="Q7" s="800"/>
      <c r="R7" s="739"/>
      <c r="S7" s="538"/>
    </row>
    <row r="8" spans="1:31" ht="15.75" thickBot="1" x14ac:dyDescent="0.3">
      <c r="B8" s="178"/>
      <c r="C8" s="1519" t="s">
        <v>1254</v>
      </c>
      <c r="D8" s="1520"/>
      <c r="E8" s="386">
        <f>IFERROR('PIM Ranges'!$AU$3,0)</f>
        <v>0</v>
      </c>
      <c r="F8" s="388"/>
      <c r="G8" s="474" t="s">
        <v>1255</v>
      </c>
      <c r="H8" s="1523" t="s">
        <v>206</v>
      </c>
      <c r="I8" s="1524"/>
      <c r="J8" s="1525"/>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1" t="s">
        <v>1207</v>
      </c>
      <c r="R11" s="1531"/>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6" t="s">
        <v>1207</v>
      </c>
      <c r="R21" s="1527"/>
      <c r="S21" s="179"/>
      <c r="T21" s="5"/>
    </row>
    <row r="22" spans="2:21" s="1321" customFormat="1" ht="21" customHeight="1" x14ac:dyDescent="0.25">
      <c r="B22" s="178"/>
      <c r="C22" s="244"/>
      <c r="D22" s="1339" t="s">
        <v>1831</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0" t="s">
        <v>230</v>
      </c>
      <c r="E33" s="1530"/>
      <c r="F33" s="1530"/>
      <c r="G33" s="1530"/>
      <c r="H33" s="557"/>
      <c r="I33" s="1529" t="str">
        <f>IF($J$34=0,IF($N$34=0,"","Customer EB % Missing"),IF($N$34=0,"Customer Drops/Wk Missing","Customer EB % &amp; Drops/Wk Missing"))</f>
        <v/>
      </c>
      <c r="J33" s="1529"/>
      <c r="K33" s="1529"/>
      <c r="L33" s="1529"/>
      <c r="M33" s="1529"/>
      <c r="N33" s="1529"/>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6" t="s">
        <v>1207</v>
      </c>
      <c r="R38" s="1527"/>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8"/>
      <c r="C42" s="1528"/>
      <c r="D42" s="1528"/>
      <c r="N42" s="1499"/>
      <c r="O42" s="1499"/>
      <c r="P42" s="1499"/>
      <c r="Q42" s="1499"/>
      <c r="R42" s="1499"/>
      <c r="S42" s="1499"/>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428" priority="74" operator="containsText" text="Below Average">
      <formula>NOT(ISERROR(SEARCH("Below Average",I26)))</formula>
    </cfRule>
  </conditionalFormatting>
  <conditionalFormatting sqref="N12">
    <cfRule type="expression" dxfId="427" priority="49">
      <formula>$Q$12="yes"</formula>
    </cfRule>
    <cfRule type="containsText" dxfId="426" priority="65" operator="containsText" text="Spend">
      <formula>NOT(ISERROR(SEARCH("Spend",N12)))</formula>
    </cfRule>
    <cfRule type="containsText" dxfId="425" priority="69" operator="containsText" text="Approve">
      <formula>NOT(ISERROR(SEARCH("Approve",N12)))</formula>
    </cfRule>
  </conditionalFormatting>
  <conditionalFormatting sqref="N13:N16">
    <cfRule type="containsText" dxfId="424" priority="64" operator="containsText" text="Reject">
      <formula>NOT(ISERROR(SEARCH("Reject",N13)))</formula>
    </cfRule>
    <cfRule type="containsText" dxfId="423" priority="68" operator="containsText" text="Approve">
      <formula>NOT(ISERROR(SEARCH("Approve",N13)))</formula>
    </cfRule>
  </conditionalFormatting>
  <conditionalFormatting sqref="E16">
    <cfRule type="cellIs" dxfId="422" priority="61" operator="notEqual">
      <formula>0</formula>
    </cfRule>
  </conditionalFormatting>
  <conditionalFormatting sqref="Q38:R39">
    <cfRule type="expression" dxfId="421" priority="55">
      <formula>H41&lt;0</formula>
    </cfRule>
  </conditionalFormatting>
  <conditionalFormatting sqref="N13">
    <cfRule type="expression" dxfId="420" priority="46">
      <formula>$Q$13="Yes"</formula>
    </cfRule>
  </conditionalFormatting>
  <conditionalFormatting sqref="Q11:R11">
    <cfRule type="expression" dxfId="419" priority="40">
      <formula>OR($N$13="Reject",$N$13="")</formula>
    </cfRule>
    <cfRule type="expression" dxfId="418" priority="43">
      <formula>$N$12="Spend"</formula>
    </cfRule>
  </conditionalFormatting>
  <conditionalFormatting sqref="Q12:R12">
    <cfRule type="expression" dxfId="417" priority="42">
      <formula>$N$12="spend"</formula>
    </cfRule>
  </conditionalFormatting>
  <conditionalFormatting sqref="Q13:R13">
    <cfRule type="expression" dxfId="416" priority="41">
      <formula>OR($N$13="Reject",$N$13="")</formula>
    </cfRule>
  </conditionalFormatting>
  <conditionalFormatting sqref="R23">
    <cfRule type="containsText" dxfId="415" priority="35" operator="containsText" text="Caution">
      <formula>NOT(ISERROR(SEARCH("Caution",R23)))</formula>
    </cfRule>
  </conditionalFormatting>
  <conditionalFormatting sqref="N23">
    <cfRule type="expression" dxfId="414" priority="24" stopIfTrue="1">
      <formula>$Q$23="Yes"</formula>
    </cfRule>
    <cfRule type="containsText" dxfId="413" priority="27" operator="containsText" text="Reject">
      <formula>NOT(ISERROR(SEARCH("Reject",N23)))</formula>
    </cfRule>
    <cfRule type="containsText" dxfId="412" priority="28" operator="containsText" text="Caution">
      <formula>NOT(ISERROR(SEARCH("Caution",N23)))</formula>
    </cfRule>
    <cfRule type="expression" dxfId="411" priority="29">
      <formula>$N$23="Approve"</formula>
    </cfRule>
  </conditionalFormatting>
  <conditionalFormatting sqref="Q21:R22">
    <cfRule type="expression" dxfId="410" priority="10">
      <formula>$U$1=""</formula>
    </cfRule>
    <cfRule type="expression" dxfId="409" priority="11">
      <formula>$U$1="Caution"</formula>
    </cfRule>
    <cfRule type="expression" dxfId="408" priority="12">
      <formula>$U$1="Reject"</formula>
    </cfRule>
    <cfRule type="expression" dxfId="407" priority="13">
      <formula>AND($Q$23&lt;&gt;"Yes",$U$1="Approve")</formula>
    </cfRule>
    <cfRule type="expression" dxfId="406" priority="14">
      <formula>AND($Q$23="Yes",$U$1="Approve")</formula>
    </cfRule>
  </conditionalFormatting>
  <conditionalFormatting sqref="Q23:R23">
    <cfRule type="expression" dxfId="405" priority="5">
      <formula>$U$1=""</formula>
    </cfRule>
    <cfRule type="expression" dxfId="404" priority="6">
      <formula>$U$1="Caution"</formula>
    </cfRule>
    <cfRule type="expression" dxfId="403" priority="7">
      <formula>$U$1="Reject"</formula>
    </cfRule>
    <cfRule type="expression" dxfId="402" priority="8">
      <formula>AND($Q$23&lt;&gt;"Yes",$U$1="Approve")</formula>
    </cfRule>
    <cfRule type="expression" dxfId="401" priority="9">
      <formula>AND($Q$23="Yes",$U$1="Approve")</formula>
    </cfRule>
  </conditionalFormatting>
  <conditionalFormatting sqref="N39">
    <cfRule type="expression" dxfId="400" priority="1">
      <formula>$H$34&gt;0</formula>
    </cfRule>
    <cfRule type="containsText" dxfId="399" priority="2" operator="containsText" text="Reject">
      <formula>NOT(ISERROR(SEARCH("Reject",N39)))</formula>
    </cfRule>
    <cfRule type="expression" dxfId="398" priority="3">
      <formula>$Q$39="Yes"</formula>
    </cfRule>
    <cfRule type="expression" dxfId="39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7" t="s">
        <v>649</v>
      </c>
      <c r="D2" s="1538"/>
      <c r="E2" s="1538"/>
      <c r="F2" s="1538"/>
      <c r="G2" s="1538"/>
      <c r="H2" s="1538"/>
      <c r="I2" s="1538"/>
      <c r="J2" s="1538"/>
      <c r="K2" s="1538"/>
      <c r="L2" s="1538"/>
      <c r="M2" s="1538"/>
      <c r="N2" s="1538"/>
      <c r="O2" s="1538"/>
      <c r="P2" s="1539"/>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0"/>
      <c r="G4" s="1540"/>
      <c r="P4" s="611"/>
      <c r="T4" s="1" t="s">
        <v>483</v>
      </c>
    </row>
    <row r="5" spans="3:23" x14ac:dyDescent="0.25">
      <c r="C5" s="137"/>
      <c r="E5" s="395"/>
      <c r="P5" s="138"/>
    </row>
    <row r="6" spans="3:23" x14ac:dyDescent="0.25">
      <c r="C6" s="137"/>
      <c r="E6" s="136" t="s">
        <v>1263</v>
      </c>
      <c r="F6" s="1540"/>
      <c r="G6" s="1540"/>
      <c r="P6" s="138"/>
    </row>
    <row r="7" spans="3:23" x14ac:dyDescent="0.25">
      <c r="C7" s="137"/>
      <c r="E7" s="136"/>
      <c r="P7" s="138"/>
    </row>
    <row r="8" spans="3:23" x14ac:dyDescent="0.25">
      <c r="C8" s="137"/>
      <c r="E8" s="136" t="s">
        <v>1264</v>
      </c>
      <c r="F8" s="1540"/>
      <c r="G8" s="1540"/>
      <c r="P8" s="138"/>
    </row>
    <row r="9" spans="3:23" x14ac:dyDescent="0.25">
      <c r="C9" s="137"/>
      <c r="E9" s="136" t="s">
        <v>1265</v>
      </c>
      <c r="F9" s="1540"/>
      <c r="G9" s="1540"/>
      <c r="P9" s="138"/>
    </row>
    <row r="10" spans="3:23" x14ac:dyDescent="0.25">
      <c r="C10" s="137"/>
      <c r="E10" s="136" t="s">
        <v>877</v>
      </c>
      <c r="F10" s="1540"/>
      <c r="G10" s="1540"/>
      <c r="P10" s="138"/>
    </row>
    <row r="11" spans="3:23" x14ac:dyDescent="0.25">
      <c r="C11" s="137"/>
      <c r="E11" s="136" t="s">
        <v>830</v>
      </c>
      <c r="F11" s="1540"/>
      <c r="G11" s="1540"/>
      <c r="P11" s="138"/>
    </row>
    <row r="12" spans="3:23" x14ac:dyDescent="0.25">
      <c r="C12" s="137"/>
      <c r="E12" s="136" t="s">
        <v>1266</v>
      </c>
      <c r="F12" s="1540"/>
      <c r="G12" s="1540"/>
      <c r="P12" s="138"/>
    </row>
    <row r="13" spans="3:23" x14ac:dyDescent="0.25">
      <c r="C13" s="137"/>
      <c r="E13" s="136"/>
      <c r="F13" s="1542"/>
      <c r="G13" s="1542"/>
      <c r="P13" s="138"/>
    </row>
    <row r="14" spans="3:23" x14ac:dyDescent="0.25">
      <c r="C14" s="137"/>
      <c r="E14" s="136" t="s">
        <v>1267</v>
      </c>
      <c r="F14" s="1541"/>
      <c r="G14" s="1541"/>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3" t="str">
        <f>IF(F14="","",F14+(364*IF(OR(Welcome!D12="Select Term",Welcome!D12=""),0,Welcome!D12))+6)</f>
        <v/>
      </c>
      <c r="G17" s="1543"/>
      <c r="O17" s="944"/>
      <c r="P17" s="138"/>
    </row>
    <row r="18" spans="1:17" ht="13.5" customHeight="1" x14ac:dyDescent="0.25">
      <c r="C18" s="137"/>
      <c r="P18" s="138"/>
    </row>
    <row r="19" spans="1:17" s="777" customFormat="1" ht="14.25" customHeight="1" x14ac:dyDescent="0.25">
      <c r="C19" s="137"/>
      <c r="E19" s="136" t="s">
        <v>1269</v>
      </c>
      <c r="F19" s="1535">
        <f>Welcome!D8</f>
        <v>0</v>
      </c>
      <c r="G19" s="1536"/>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2" t="s">
        <v>1566</v>
      </c>
      <c r="G44" s="1533"/>
      <c r="H44" s="1534"/>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0q6gzP+LCj2hnqgR4ecVSBLm484h/U7aYkD5Ju8wwhWWShJ257aZAQLBwdVMzyD4VKvVEYGFwtrn3auPEaj3sA==" saltValue="g0+j500jK3JvY7m4WJFvb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91" priority="13">
      <formula>$A23&gt;$W$2</formula>
    </cfRule>
  </conditionalFormatting>
  <conditionalFormatting sqref="E23:O32">
    <cfRule type="expression" dxfId="390" priority="9">
      <formula>$D23=$W$2</formula>
    </cfRule>
  </conditionalFormatting>
  <conditionalFormatting sqref="E21:O21 F22:L22">
    <cfRule type="expression" dxfId="389" priority="10">
      <formula>$W$2=0</formula>
    </cfRule>
  </conditionalFormatting>
  <conditionalFormatting sqref="F14:G14">
    <cfRule type="expression" dxfId="388" priority="6">
      <formula>$F$14&lt;NOW()</formula>
    </cfRule>
    <cfRule type="expression" dxfId="387" priority="7">
      <formula>$Q$14&lt;&gt;7</formula>
    </cfRule>
  </conditionalFormatting>
  <conditionalFormatting sqref="E22">
    <cfRule type="expression" dxfId="386" priority="5">
      <formula>$W$2=0</formula>
    </cfRule>
  </conditionalFormatting>
  <conditionalFormatting sqref="M22">
    <cfRule type="expression" dxfId="385" priority="4">
      <formula>$W$2=0</formula>
    </cfRule>
  </conditionalFormatting>
  <conditionalFormatting sqref="N22:O22">
    <cfRule type="expression" dxfId="384" priority="3">
      <formula>$W$2=0</formula>
    </cfRule>
  </conditionalFormatting>
  <conditionalFormatting sqref="M23:M32">
    <cfRule type="expression" dxfId="383" priority="2">
      <formula>$A23&gt;$W$2</formula>
    </cfRule>
  </conditionalFormatting>
  <conditionalFormatting sqref="M23:M32">
    <cfRule type="expression" dxfId="382" priority="1">
      <formula>$D23=$W$2</formula>
    </cfRule>
  </conditionalFormatting>
  <conditionalFormatting sqref="F23:J32 M23:O32">
    <cfRule type="containsBlanks" dxfId="381" priority="14" stopIfTrue="1">
      <formula>LEN(TRIM(F23))=0</formula>
    </cfRule>
    <cfRule type="notContainsBlanks" dxfId="38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5" t="s">
        <v>1289</v>
      </c>
      <c r="C2" s="1548"/>
      <c r="D2" s="1548"/>
      <c r="E2" s="1548"/>
      <c r="F2" s="1548"/>
      <c r="G2" s="1548"/>
      <c r="H2" s="1548"/>
      <c r="I2" s="1548"/>
      <c r="J2" s="1549"/>
      <c r="K2" s="908"/>
      <c r="L2" s="908"/>
      <c r="M2" s="1544" t="s">
        <v>1290</v>
      </c>
      <c r="N2" s="1544"/>
      <c r="O2" s="1544"/>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5" t="s">
        <v>1303</v>
      </c>
      <c r="C7" s="1546"/>
      <c r="D7" s="1546"/>
      <c r="E7" s="1546"/>
      <c r="F7" s="1546"/>
      <c r="G7" s="1546"/>
      <c r="H7" s="1546"/>
      <c r="I7" s="1547"/>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0" t="s">
        <v>1330</v>
      </c>
      <c r="C15" s="1551"/>
      <c r="D15" s="1551"/>
      <c r="E15" s="1551"/>
      <c r="F15" s="1551"/>
      <c r="G15" s="1551"/>
      <c r="H15" s="1551"/>
      <c r="I15" s="1552"/>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379" priority="2" operator="equal">
      <formula>"No"</formula>
    </cfRule>
  </conditionalFormatting>
  <conditionalFormatting sqref="E13">
    <cfRule type="cellIs" dxfId="37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3" t="s">
        <v>1358</v>
      </c>
      <c r="C2" s="1546"/>
      <c r="D2" s="1546"/>
      <c r="E2" s="1546"/>
      <c r="F2" s="1546"/>
      <c r="G2" s="1546"/>
      <c r="H2" s="1546"/>
      <c r="I2" s="1546"/>
      <c r="J2" s="1546"/>
      <c r="K2" s="1546"/>
      <c r="L2" s="1546"/>
      <c r="M2" s="1546"/>
      <c r="N2" s="1547"/>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4" t="s">
        <v>1373</v>
      </c>
      <c r="C8" s="1546"/>
      <c r="D8" s="1546"/>
      <c r="E8" s="1546"/>
      <c r="F8" s="1546"/>
      <c r="G8" s="1546"/>
      <c r="H8" s="1546"/>
      <c r="I8" s="1546"/>
      <c r="J8" s="1546"/>
      <c r="K8" s="1546"/>
      <c r="L8" s="1546"/>
      <c r="M8" s="1546"/>
      <c r="N8" s="1547"/>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4" t="s">
        <v>1385</v>
      </c>
      <c r="C32" s="1555"/>
      <c r="D32" s="1555"/>
      <c r="E32" s="1555"/>
      <c r="F32" s="1555"/>
      <c r="G32" s="1555"/>
      <c r="H32" s="1555"/>
      <c r="I32" s="1555"/>
      <c r="J32" s="1555"/>
      <c r="K32" s="1555"/>
      <c r="L32" s="1555"/>
      <c r="M32" s="1555"/>
      <c r="N32" s="1556"/>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377" priority="14">
      <formula>$E11="EXCLUDE"</formula>
    </cfRule>
  </conditionalFormatting>
  <conditionalFormatting sqref="N24:N26">
    <cfRule type="expression" dxfId="376" priority="15">
      <formula>$E25="EXCLUDE"</formula>
    </cfRule>
  </conditionalFormatting>
  <conditionalFormatting sqref="N11 N14:N15 N23">
    <cfRule type="expression" dxfId="375" priority="16">
      <formula>$E12="EXCLUDE"</formula>
    </cfRule>
  </conditionalFormatting>
  <conditionalFormatting sqref="N12">
    <cfRule type="expression" dxfId="374" priority="17">
      <formula>$E14="EXCLUDE"</formula>
    </cfRule>
  </conditionalFormatting>
  <conditionalFormatting sqref="N13 N21">
    <cfRule type="expression" dxfId="373" priority="18">
      <formula>$E20="EXCLUDE"</formula>
    </cfRule>
  </conditionalFormatting>
  <conditionalFormatting sqref="N27:N28 N18">
    <cfRule type="expression" dxfId="372" priority="19">
      <formula>$E21="EXCLUDE"</formula>
    </cfRule>
  </conditionalFormatting>
  <conditionalFormatting sqref="N30">
    <cfRule type="expression" dxfId="371" priority="20">
      <formula>$E23="EXCLUDE"</formula>
    </cfRule>
  </conditionalFormatting>
  <conditionalFormatting sqref="N17 N29 N19 N22">
    <cfRule type="expression" dxfId="370" priority="21">
      <formula>$E17="EXCLUDE"</formula>
    </cfRule>
  </conditionalFormatting>
  <conditionalFormatting sqref="N20">
    <cfRule type="expression" dxfId="369" priority="22">
      <formula>$E18="EXCLUDE"</formula>
    </cfRule>
  </conditionalFormatting>
  <conditionalFormatting sqref="N50">
    <cfRule type="expression" dxfId="368" priority="5">
      <formula>$E45="EXCLUDE"</formula>
    </cfRule>
  </conditionalFormatting>
  <conditionalFormatting sqref="N58:N60">
    <cfRule type="expression" dxfId="367" priority="6">
      <formula>$E59="EXCLUDE"</formula>
    </cfRule>
  </conditionalFormatting>
  <conditionalFormatting sqref="N48:N49 N57">
    <cfRule type="expression" dxfId="366" priority="7">
      <formula>$E49="EXCLUDE"</formula>
    </cfRule>
  </conditionalFormatting>
  <conditionalFormatting sqref="N46">
    <cfRule type="expression" dxfId="365" priority="8">
      <formula>$E48="EXCLUDE"</formula>
    </cfRule>
  </conditionalFormatting>
  <conditionalFormatting sqref="N47 N55">
    <cfRule type="expression" dxfId="364" priority="9">
      <formula>$E54="EXCLUDE"</formula>
    </cfRule>
  </conditionalFormatting>
  <conditionalFormatting sqref="N61:N62 N52">
    <cfRule type="expression" dxfId="363" priority="10">
      <formula>$E55="EXCLUDE"</formula>
    </cfRule>
  </conditionalFormatting>
  <conditionalFormatting sqref="N64">
    <cfRule type="expression" dxfId="362" priority="11">
      <formula>$E57="EXCLUDE"</formula>
    </cfRule>
  </conditionalFormatting>
  <conditionalFormatting sqref="N51 N63 N53 N56">
    <cfRule type="expression" dxfId="361" priority="12">
      <formula>$E51="EXCLUDE"</formula>
    </cfRule>
  </conditionalFormatting>
  <conditionalFormatting sqref="N54">
    <cfRule type="expression" dxfId="360" priority="13">
      <formula>$E52="EXCLUDE"</formula>
    </cfRule>
  </conditionalFormatting>
  <conditionalFormatting sqref="N36:N45">
    <cfRule type="expression" dxfId="35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4"/>
      <c r="K1" s="1574"/>
      <c r="L1" s="1574"/>
      <c r="M1" s="1574"/>
      <c r="N1" s="1574"/>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0" t="s">
        <v>1587</v>
      </c>
      <c r="C3" s="1572"/>
      <c r="D3" s="1572"/>
      <c r="E3" s="1572"/>
      <c r="F3" s="1572"/>
      <c r="G3" s="1572"/>
      <c r="H3" s="1572"/>
      <c r="I3" s="1572"/>
      <c r="J3" s="1572"/>
      <c r="K3" s="1572"/>
      <c r="L3" s="1572"/>
      <c r="M3" s="1572"/>
      <c r="N3" s="1572"/>
      <c r="O3" s="1572"/>
      <c r="P3" s="1572"/>
      <c r="Q3" s="1572"/>
      <c r="R3" s="1572"/>
      <c r="S3" s="1572"/>
      <c r="T3" s="1572"/>
      <c r="U3" s="1573"/>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63" t="s">
        <v>1588</v>
      </c>
      <c r="E5" s="1564"/>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5">
        <v>1201</v>
      </c>
      <c r="E7" s="1566"/>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7" t="str">
        <f>AA3</f>
        <v/>
      </c>
      <c r="E9" s="1568"/>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7" t="str">
        <f>AB3</f>
        <v/>
      </c>
      <c r="E11" s="1568"/>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6" t="s">
        <v>651</v>
      </c>
      <c r="E13" s="1547"/>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5" t="s">
        <v>1600</v>
      </c>
      <c r="E15" s="1566"/>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0" t="s">
        <v>1601</v>
      </c>
      <c r="C17" s="1572"/>
      <c r="D17" s="1572"/>
      <c r="E17" s="1572"/>
      <c r="F17" s="1572"/>
      <c r="G17" s="1572"/>
      <c r="H17" s="1572"/>
      <c r="I17" s="1572"/>
      <c r="J17" s="1572"/>
      <c r="K17" s="1572"/>
      <c r="L17" s="1572"/>
      <c r="M17" s="1572"/>
      <c r="N17" s="1572"/>
      <c r="O17" s="1572"/>
      <c r="P17" s="1572"/>
      <c r="Q17" s="1572"/>
      <c r="R17" s="1572"/>
      <c r="S17" s="1572"/>
      <c r="T17" s="1572"/>
      <c r="U17" s="1573"/>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63" t="s">
        <v>1588</v>
      </c>
      <c r="E19" s="1564"/>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5">
        <v>1202</v>
      </c>
      <c r="E21" s="1566"/>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7" t="str">
        <f>AA4</f>
        <v/>
      </c>
      <c r="E23" s="1568"/>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7" t="str">
        <f>AB4</f>
        <v/>
      </c>
      <c r="E25" s="1568"/>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6" t="s">
        <v>651</v>
      </c>
      <c r="E27" s="1547"/>
      <c r="F27" s="1196"/>
      <c r="G27" s="1248"/>
      <c r="H27" s="1196"/>
      <c r="I27" s="1196"/>
      <c r="J27" s="1196"/>
      <c r="K27" s="1196"/>
      <c r="L27" s="1196"/>
      <c r="M27" s="1196"/>
      <c r="N27" s="1196"/>
      <c r="O27" s="1196"/>
      <c r="P27" s="1196"/>
      <c r="Q27" s="1196"/>
      <c r="R27" s="1196"/>
      <c r="S27" s="1196"/>
      <c r="T27" s="1196"/>
      <c r="U27" s="1196"/>
      <c r="W27" s="1267">
        <v>4901</v>
      </c>
      <c r="X27" s="1269" t="s">
        <v>1735</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1713</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5" t="s">
        <v>1600</v>
      </c>
      <c r="E29" s="1566"/>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1717</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0" t="s">
        <v>1602</v>
      </c>
      <c r="C31" s="1572"/>
      <c r="D31" s="1572"/>
      <c r="E31" s="1572"/>
      <c r="F31" s="1572"/>
      <c r="G31" s="1572"/>
      <c r="H31" s="1572"/>
      <c r="I31" s="1572"/>
      <c r="J31" s="1572"/>
      <c r="K31" s="1572"/>
      <c r="L31" s="1572"/>
      <c r="M31" s="1572"/>
      <c r="N31" s="1572"/>
      <c r="O31" s="1572"/>
      <c r="P31" s="1572"/>
      <c r="Q31" s="1572"/>
      <c r="R31" s="1572"/>
      <c r="S31" s="1572"/>
      <c r="T31" s="1572"/>
      <c r="U31" s="1573"/>
      <c r="W31" s="1267">
        <v>501</v>
      </c>
      <c r="X31" s="1269" t="s">
        <v>1719</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63" t="s">
        <v>1603</v>
      </c>
      <c r="E33" s="1564"/>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1722</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5">
        <v>1401</v>
      </c>
      <c r="E35" s="1566"/>
      <c r="F35" s="1196"/>
      <c r="G35" s="1248"/>
      <c r="H35" s="1196"/>
      <c r="I35" s="1196"/>
      <c r="J35" s="1196"/>
      <c r="K35" s="1196"/>
      <c r="L35" s="1196"/>
      <c r="M35" s="1196"/>
      <c r="N35" s="1196"/>
      <c r="O35" s="1196"/>
      <c r="P35" s="1196"/>
      <c r="Q35" s="1196"/>
      <c r="R35" s="1196"/>
      <c r="S35" s="1196"/>
      <c r="T35" s="1196"/>
      <c r="U35" s="1196"/>
      <c r="W35" s="1267">
        <v>601</v>
      </c>
      <c r="X35" s="1269" t="s">
        <v>1725</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7" t="str">
        <f>AA5</f>
        <v/>
      </c>
      <c r="E37" s="1568"/>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1734</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7" t="str">
        <f>AB5</f>
        <v/>
      </c>
      <c r="E39" s="1568"/>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6" t="s">
        <v>651</v>
      </c>
      <c r="E41" s="1547"/>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5" t="s">
        <v>1600</v>
      </c>
      <c r="E43" s="1566"/>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0" t="s">
        <v>1614</v>
      </c>
      <c r="C45" s="1572"/>
      <c r="D45" s="1572"/>
      <c r="E45" s="1572"/>
      <c r="F45" s="1572"/>
      <c r="G45" s="1572"/>
      <c r="H45" s="1572"/>
      <c r="I45" s="1572"/>
      <c r="J45" s="1572"/>
      <c r="K45" s="1572"/>
      <c r="L45" s="1572"/>
      <c r="M45" s="1572"/>
      <c r="N45" s="1572"/>
      <c r="O45" s="1572"/>
      <c r="P45" s="1572"/>
      <c r="Q45" s="1572"/>
      <c r="R45" s="1572"/>
      <c r="S45" s="1572"/>
      <c r="T45" s="1572"/>
      <c r="U45" s="1573"/>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63" t="s">
        <v>1603</v>
      </c>
      <c r="E47" s="1564"/>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5">
        <v>1402</v>
      </c>
      <c r="E49" s="1566"/>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7" t="str">
        <f>AA6</f>
        <v/>
      </c>
      <c r="E51" s="1568"/>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7" t="str">
        <f>AB6</f>
        <v/>
      </c>
      <c r="E53" s="1568"/>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6" t="s">
        <v>651</v>
      </c>
      <c r="E55" s="1547"/>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5" t="s">
        <v>1600</v>
      </c>
      <c r="E57" s="1566"/>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0" t="s">
        <v>1615</v>
      </c>
      <c r="C59" s="1572"/>
      <c r="D59" s="1572"/>
      <c r="E59" s="1572"/>
      <c r="F59" s="1572"/>
      <c r="G59" s="1572"/>
      <c r="H59" s="1572"/>
      <c r="I59" s="1572"/>
      <c r="J59" s="1572"/>
      <c r="K59" s="1572"/>
      <c r="L59" s="1572"/>
      <c r="M59" s="1572"/>
      <c r="N59" s="1572"/>
      <c r="O59" s="1572"/>
      <c r="P59" s="1572"/>
      <c r="Q59" s="1572"/>
      <c r="R59" s="1572"/>
      <c r="S59" s="1572"/>
      <c r="T59" s="1572"/>
      <c r="U59" s="1573"/>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63" t="s">
        <v>1616</v>
      </c>
      <c r="E61" s="1564"/>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5">
        <v>1501</v>
      </c>
      <c r="E63" s="1566"/>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7" t="str">
        <f>AA7</f>
        <v/>
      </c>
      <c r="E65" s="1568"/>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7" t="str">
        <f>AB7</f>
        <v/>
      </c>
      <c r="E67" s="1568"/>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6" t="s">
        <v>651</v>
      </c>
      <c r="E71" s="1547"/>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5" t="s">
        <v>1600</v>
      </c>
      <c r="E73" s="1566"/>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0" t="s">
        <v>1617</v>
      </c>
      <c r="C75" s="1572"/>
      <c r="D75" s="1572"/>
      <c r="E75" s="1572"/>
      <c r="F75" s="1572"/>
      <c r="G75" s="1572"/>
      <c r="H75" s="1572"/>
      <c r="I75" s="1572"/>
      <c r="J75" s="1572"/>
      <c r="K75" s="1572"/>
      <c r="L75" s="1572"/>
      <c r="M75" s="1572"/>
      <c r="N75" s="1572"/>
      <c r="O75" s="1572"/>
      <c r="P75" s="1572"/>
      <c r="Q75" s="1572"/>
      <c r="R75" s="1572"/>
      <c r="S75" s="1572"/>
      <c r="T75" s="1572"/>
      <c r="U75" s="1573"/>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63" t="s">
        <v>1616</v>
      </c>
      <c r="E77" s="1564"/>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5">
        <v>1502</v>
      </c>
      <c r="E79" s="1566"/>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7" t="str">
        <f>AA8</f>
        <v/>
      </c>
      <c r="E81" s="1568"/>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7" t="str">
        <f>AB8</f>
        <v/>
      </c>
      <c r="E83" s="1568"/>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6" t="s">
        <v>651</v>
      </c>
      <c r="E87" s="1547"/>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5" t="s">
        <v>1600</v>
      </c>
      <c r="E89" s="1566"/>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0" t="s">
        <v>1618</v>
      </c>
      <c r="C91" s="1572"/>
      <c r="D91" s="1572"/>
      <c r="E91" s="1572"/>
      <c r="F91" s="1572"/>
      <c r="G91" s="1572"/>
      <c r="H91" s="1572"/>
      <c r="I91" s="1572"/>
      <c r="J91" s="1572"/>
      <c r="K91" s="1572"/>
      <c r="L91" s="1572"/>
      <c r="M91" s="1572"/>
      <c r="N91" s="1572"/>
      <c r="O91" s="1572"/>
      <c r="P91" s="1572"/>
      <c r="Q91" s="1572"/>
      <c r="R91" s="1572"/>
      <c r="S91" s="1572"/>
      <c r="T91" s="1572"/>
      <c r="U91" s="1573"/>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63" t="s">
        <v>1625</v>
      </c>
      <c r="E93" s="1564"/>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5">
        <v>5501</v>
      </c>
      <c r="E95" s="1566"/>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7" t="str">
        <f>AA9</f>
        <v/>
      </c>
      <c r="E97" s="1568"/>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7" t="str">
        <f>AB9</f>
        <v/>
      </c>
      <c r="E99" s="1568"/>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6" t="s">
        <v>651</v>
      </c>
      <c r="E101" s="1547"/>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5" t="s">
        <v>1628</v>
      </c>
      <c r="E103" s="1562"/>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0" t="s">
        <v>1629</v>
      </c>
      <c r="C105" s="1561"/>
      <c r="D105" s="1561"/>
      <c r="E105" s="1561"/>
      <c r="F105" s="1561"/>
      <c r="G105" s="1561"/>
      <c r="H105" s="1561"/>
      <c r="I105" s="1561"/>
      <c r="J105" s="1561"/>
      <c r="K105" s="1561"/>
      <c r="L105" s="1561"/>
      <c r="M105" s="1561"/>
      <c r="N105" s="1561"/>
      <c r="O105" s="1561"/>
      <c r="P105" s="1561"/>
      <c r="Q105" s="1561"/>
      <c r="R105" s="1561"/>
      <c r="S105" s="1561"/>
      <c r="T105" s="1561"/>
      <c r="U105" s="1562"/>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63" t="s">
        <v>1625</v>
      </c>
      <c r="E107" s="1564"/>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5">
        <v>5502</v>
      </c>
      <c r="E109" s="1566"/>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7" t="str">
        <f>AA10</f>
        <v/>
      </c>
      <c r="E111" s="1568"/>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7" t="str">
        <f>AB10</f>
        <v/>
      </c>
      <c r="E113" s="1568"/>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6" t="s">
        <v>651</v>
      </c>
      <c r="E115" s="1547"/>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5" t="s">
        <v>1628</v>
      </c>
      <c r="E117" s="1562"/>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0" t="s">
        <v>1630</v>
      </c>
      <c r="C119" s="1561"/>
      <c r="D119" s="1561"/>
      <c r="E119" s="1561"/>
      <c r="F119" s="1561"/>
      <c r="G119" s="1561"/>
      <c r="H119" s="1561"/>
      <c r="I119" s="1561"/>
      <c r="J119" s="1561"/>
      <c r="K119" s="1561"/>
      <c r="L119" s="1561"/>
      <c r="M119" s="1561"/>
      <c r="N119" s="1561"/>
      <c r="O119" s="1561"/>
      <c r="P119" s="1561"/>
      <c r="Q119" s="1561"/>
      <c r="R119" s="1561"/>
      <c r="S119" s="1561"/>
      <c r="T119" s="1561"/>
      <c r="U119" s="1562"/>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63" t="s">
        <v>1626</v>
      </c>
      <c r="E121" s="1564"/>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5">
        <v>2801</v>
      </c>
      <c r="E123" s="1566"/>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7" t="str">
        <f>AA11</f>
        <v/>
      </c>
      <c r="E125" s="1568"/>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7" t="str">
        <f>AB11</f>
        <v/>
      </c>
      <c r="E127" s="1568"/>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6" t="s">
        <v>651</v>
      </c>
      <c r="E131" s="1547"/>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5" t="s">
        <v>1628</v>
      </c>
      <c r="E133" s="1562"/>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0" t="s">
        <v>1631</v>
      </c>
      <c r="C135" s="1561"/>
      <c r="D135" s="1561"/>
      <c r="E135" s="1561"/>
      <c r="F135" s="1561"/>
      <c r="G135" s="1561"/>
      <c r="H135" s="1561"/>
      <c r="I135" s="1561"/>
      <c r="J135" s="1561"/>
      <c r="K135" s="1561"/>
      <c r="L135" s="1561"/>
      <c r="M135" s="1561"/>
      <c r="N135" s="1561"/>
      <c r="O135" s="1561"/>
      <c r="P135" s="1561"/>
      <c r="Q135" s="1561"/>
      <c r="R135" s="1561"/>
      <c r="S135" s="1561"/>
      <c r="T135" s="1561"/>
      <c r="U135" s="1562"/>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63" t="s">
        <v>1626</v>
      </c>
      <c r="E137" s="1564"/>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5">
        <v>2802</v>
      </c>
      <c r="E139" s="1566"/>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7" t="str">
        <f>AA12</f>
        <v/>
      </c>
      <c r="E141" s="1568"/>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7" t="str">
        <f>AB12</f>
        <v/>
      </c>
      <c r="E143" s="1568"/>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6" t="s">
        <v>651</v>
      </c>
      <c r="E147" s="1547"/>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5" t="s">
        <v>1628</v>
      </c>
      <c r="E149" s="1562"/>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0" t="s">
        <v>1632</v>
      </c>
      <c r="C151" s="1561"/>
      <c r="D151" s="1561"/>
      <c r="E151" s="1561"/>
      <c r="F151" s="1561"/>
      <c r="G151" s="1561"/>
      <c r="H151" s="1561"/>
      <c r="I151" s="1561"/>
      <c r="J151" s="1561"/>
      <c r="K151" s="1561"/>
      <c r="L151" s="1561"/>
      <c r="M151" s="1561"/>
      <c r="N151" s="1561"/>
      <c r="O151" s="1561"/>
      <c r="P151" s="1561"/>
      <c r="Q151" s="1561"/>
      <c r="R151" s="1561"/>
      <c r="S151" s="1561"/>
      <c r="T151" s="1561"/>
      <c r="U151" s="1562"/>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63" t="s">
        <v>1633</v>
      </c>
      <c r="E153" s="1564"/>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5">
        <v>3401</v>
      </c>
      <c r="E155" s="1566"/>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7" t="str">
        <f>AA13</f>
        <v/>
      </c>
      <c r="E157" s="1568"/>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7" t="str">
        <f>AB13</f>
        <v/>
      </c>
      <c r="E159" s="1568"/>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6" t="s">
        <v>651</v>
      </c>
      <c r="E161" s="1547"/>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5" t="s">
        <v>1634</v>
      </c>
      <c r="E163" s="1562"/>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0" t="s">
        <v>1635</v>
      </c>
      <c r="C165" s="1561"/>
      <c r="D165" s="1561"/>
      <c r="E165" s="1561"/>
      <c r="F165" s="1561"/>
      <c r="G165" s="1561"/>
      <c r="H165" s="1561"/>
      <c r="I165" s="1561"/>
      <c r="J165" s="1561"/>
      <c r="K165" s="1561"/>
      <c r="L165" s="1561"/>
      <c r="M165" s="1561"/>
      <c r="N165" s="1561"/>
      <c r="O165" s="1561"/>
      <c r="P165" s="1561"/>
      <c r="Q165" s="1561"/>
      <c r="R165" s="1561"/>
      <c r="S165" s="1561"/>
      <c r="T165" s="1561"/>
      <c r="U165" s="1562"/>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63" t="s">
        <v>1633</v>
      </c>
      <c r="E167" s="1564"/>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5">
        <v>3402</v>
      </c>
      <c r="E169" s="1566"/>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7" t="str">
        <f>AA14</f>
        <v/>
      </c>
      <c r="E171" s="1568"/>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7" t="str">
        <f>AB14</f>
        <v/>
      </c>
      <c r="E173" s="1568"/>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6" t="s">
        <v>651</v>
      </c>
      <c r="E175" s="1547"/>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5" t="s">
        <v>1634</v>
      </c>
      <c r="E177" s="1562"/>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0" t="s">
        <v>1636</v>
      </c>
      <c r="C179" s="1561"/>
      <c r="D179" s="1561"/>
      <c r="E179" s="1561"/>
      <c r="F179" s="1561"/>
      <c r="G179" s="1561"/>
      <c r="H179" s="1561"/>
      <c r="I179" s="1561"/>
      <c r="J179" s="1561"/>
      <c r="K179" s="1561"/>
      <c r="L179" s="1561"/>
      <c r="M179" s="1561"/>
      <c r="N179" s="1561"/>
      <c r="O179" s="1561"/>
      <c r="P179" s="1561"/>
      <c r="Q179" s="1561"/>
      <c r="R179" s="1561"/>
      <c r="S179" s="1561"/>
      <c r="T179" s="1561"/>
      <c r="U179" s="1562"/>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63" t="s">
        <v>1637</v>
      </c>
      <c r="E181" s="1564"/>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5">
        <v>3501</v>
      </c>
      <c r="E183" s="1566"/>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7" t="str">
        <f>AA15</f>
        <v/>
      </c>
      <c r="E185" s="1568"/>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7" t="str">
        <f>AB15</f>
        <v/>
      </c>
      <c r="E187" s="1568"/>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6" t="s">
        <v>651</v>
      </c>
      <c r="E189" s="1547"/>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5" t="s">
        <v>1634</v>
      </c>
      <c r="E191" s="1562"/>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0" t="s">
        <v>1638</v>
      </c>
      <c r="C193" s="1561"/>
      <c r="D193" s="1561"/>
      <c r="E193" s="1561"/>
      <c r="F193" s="1561"/>
      <c r="G193" s="1561"/>
      <c r="H193" s="1561"/>
      <c r="I193" s="1561"/>
      <c r="J193" s="1561"/>
      <c r="K193" s="1561"/>
      <c r="L193" s="1561"/>
      <c r="M193" s="1561"/>
      <c r="N193" s="1561"/>
      <c r="O193" s="1561"/>
      <c r="P193" s="1561"/>
      <c r="Q193" s="1561"/>
      <c r="R193" s="1561"/>
      <c r="S193" s="1561"/>
      <c r="T193" s="1561"/>
      <c r="U193" s="1562"/>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63" t="s">
        <v>1637</v>
      </c>
      <c r="E195" s="1564"/>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5">
        <v>3502</v>
      </c>
      <c r="E197" s="1566"/>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7" t="str">
        <f>AA16</f>
        <v/>
      </c>
      <c r="E199" s="1568"/>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7" t="str">
        <f>AB16</f>
        <v/>
      </c>
      <c r="E201" s="1568"/>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6" t="s">
        <v>651</v>
      </c>
      <c r="E203" s="1547"/>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5" t="s">
        <v>1634</v>
      </c>
      <c r="E205" s="1562"/>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0" t="s">
        <v>1639</v>
      </c>
      <c r="C207" s="1561"/>
      <c r="D207" s="1561"/>
      <c r="E207" s="1561"/>
      <c r="F207" s="1561"/>
      <c r="G207" s="1561"/>
      <c r="H207" s="1561"/>
      <c r="I207" s="1561"/>
      <c r="J207" s="1561"/>
      <c r="K207" s="1561"/>
      <c r="L207" s="1561"/>
      <c r="M207" s="1561"/>
      <c r="N207" s="1561"/>
      <c r="O207" s="1561"/>
      <c r="P207" s="1561"/>
      <c r="Q207" s="1561"/>
      <c r="R207" s="1561"/>
      <c r="S207" s="1561"/>
      <c r="T207" s="1561"/>
      <c r="U207" s="1562"/>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63" t="s">
        <v>1640</v>
      </c>
      <c r="E209" s="1564"/>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5">
        <v>3601</v>
      </c>
      <c r="E211" s="1566"/>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7" t="str">
        <f>AA17</f>
        <v/>
      </c>
      <c r="E213" s="1568"/>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7" t="str">
        <f>AB17</f>
        <v/>
      </c>
      <c r="E215" s="1568"/>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6" t="s">
        <v>651</v>
      </c>
      <c r="E219" s="1547"/>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5" t="s">
        <v>1634</v>
      </c>
      <c r="E221" s="1562"/>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0" t="s">
        <v>1641</v>
      </c>
      <c r="C223" s="1561"/>
      <c r="D223" s="1561"/>
      <c r="E223" s="1561"/>
      <c r="F223" s="1561"/>
      <c r="G223" s="1561"/>
      <c r="H223" s="1561"/>
      <c r="I223" s="1561"/>
      <c r="J223" s="1561"/>
      <c r="K223" s="1561"/>
      <c r="L223" s="1561"/>
      <c r="M223" s="1561"/>
      <c r="N223" s="1561"/>
      <c r="O223" s="1561"/>
      <c r="P223" s="1561"/>
      <c r="Q223" s="1561"/>
      <c r="R223" s="1561"/>
      <c r="S223" s="1561"/>
      <c r="T223" s="1561"/>
      <c r="U223" s="1562"/>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63" t="s">
        <v>1640</v>
      </c>
      <c r="E225" s="1564"/>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5">
        <v>3602</v>
      </c>
      <c r="E227" s="1566"/>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7" t="str">
        <f>AA18</f>
        <v/>
      </c>
      <c r="E229" s="1568"/>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7" t="str">
        <f>AB18</f>
        <v/>
      </c>
      <c r="E231" s="1568"/>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6" t="s">
        <v>651</v>
      </c>
      <c r="E235" s="1547"/>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5" t="s">
        <v>1634</v>
      </c>
      <c r="E237" s="1562"/>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69" t="s">
        <v>1785</v>
      </c>
      <c r="C239" s="1570"/>
      <c r="D239" s="1570"/>
      <c r="E239" s="1570"/>
      <c r="F239" s="1570"/>
      <c r="G239" s="1570"/>
      <c r="H239" s="1570"/>
      <c r="I239" s="1570"/>
      <c r="J239" s="1570"/>
      <c r="K239" s="1570"/>
      <c r="L239" s="1570"/>
      <c r="M239" s="1570"/>
      <c r="N239" s="1570"/>
      <c r="O239" s="1570"/>
      <c r="P239" s="1570"/>
      <c r="Q239" s="1570"/>
      <c r="R239" s="1570"/>
      <c r="S239" s="1570"/>
      <c r="T239" s="1570"/>
      <c r="U239" s="1571"/>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63" t="s">
        <v>1642</v>
      </c>
      <c r="E241" s="1564"/>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5">
        <v>1301</v>
      </c>
      <c r="E243" s="1566"/>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7" t="str">
        <f>AA19</f>
        <v/>
      </c>
      <c r="E245" s="1568"/>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7" t="str">
        <f>AB19</f>
        <v/>
      </c>
      <c r="E247" s="1568"/>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6" t="s">
        <v>651</v>
      </c>
      <c r="E249" s="1547"/>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5" t="s">
        <v>1600</v>
      </c>
      <c r="E251" s="1562"/>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69" t="s">
        <v>1784</v>
      </c>
      <c r="C253" s="1570"/>
      <c r="D253" s="1570"/>
      <c r="E253" s="1570"/>
      <c r="F253" s="1570"/>
      <c r="G253" s="1570"/>
      <c r="H253" s="1570"/>
      <c r="I253" s="1570"/>
      <c r="J253" s="1570"/>
      <c r="K253" s="1570"/>
      <c r="L253" s="1570"/>
      <c r="M253" s="1570"/>
      <c r="N253" s="1570"/>
      <c r="O253" s="1570"/>
      <c r="P253" s="1570"/>
      <c r="Q253" s="1570"/>
      <c r="R253" s="1570"/>
      <c r="S253" s="1570"/>
      <c r="T253" s="1570"/>
      <c r="U253" s="1571"/>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63" t="s">
        <v>1642</v>
      </c>
      <c r="E255" s="1564"/>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5">
        <v>1302</v>
      </c>
      <c r="E257" s="1566"/>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7" t="str">
        <f>AA20</f>
        <v/>
      </c>
      <c r="E259" s="1568"/>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7" t="str">
        <f>AB20</f>
        <v/>
      </c>
      <c r="E261" s="1568"/>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6" t="s">
        <v>651</v>
      </c>
      <c r="E263" s="1547"/>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5" t="s">
        <v>1600</v>
      </c>
      <c r="E265" s="1562"/>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69" t="s">
        <v>1786</v>
      </c>
      <c r="C267" s="1570"/>
      <c r="D267" s="1570"/>
      <c r="E267" s="1570"/>
      <c r="F267" s="1570"/>
      <c r="G267" s="1570"/>
      <c r="H267" s="1570"/>
      <c r="I267" s="1570"/>
      <c r="J267" s="1570"/>
      <c r="K267" s="1570"/>
      <c r="L267" s="1570"/>
      <c r="M267" s="1570"/>
      <c r="N267" s="1570"/>
      <c r="O267" s="1570"/>
      <c r="P267" s="1570"/>
      <c r="Q267" s="1570"/>
      <c r="R267" s="1570"/>
      <c r="S267" s="1570"/>
      <c r="T267" s="1570"/>
      <c r="U267" s="1571"/>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63" t="s">
        <v>1642</v>
      </c>
      <c r="E269" s="1564"/>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5">
        <v>1303</v>
      </c>
      <c r="E271" s="1566"/>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7" t="str">
        <f>AA21</f>
        <v/>
      </c>
      <c r="E273" s="1568"/>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7" t="str">
        <f>AB21</f>
        <v/>
      </c>
      <c r="E275" s="1568"/>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6" t="s">
        <v>651</v>
      </c>
      <c r="E277" s="1547"/>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5" t="s">
        <v>1600</v>
      </c>
      <c r="E279" s="1562"/>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69" t="s">
        <v>1787</v>
      </c>
      <c r="C281" s="1570"/>
      <c r="D281" s="1570"/>
      <c r="E281" s="1570"/>
      <c r="F281" s="1570"/>
      <c r="G281" s="1570"/>
      <c r="H281" s="1570"/>
      <c r="I281" s="1570"/>
      <c r="J281" s="1570"/>
      <c r="K281" s="1570"/>
      <c r="L281" s="1570"/>
      <c r="M281" s="1570"/>
      <c r="N281" s="1570"/>
      <c r="O281" s="1570"/>
      <c r="P281" s="1570"/>
      <c r="Q281" s="1570"/>
      <c r="R281" s="1570"/>
      <c r="S281" s="1570"/>
      <c r="T281" s="1570"/>
      <c r="U281" s="1571"/>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63" t="s">
        <v>1642</v>
      </c>
      <c r="E283" s="1564"/>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5">
        <v>1304</v>
      </c>
      <c r="E285" s="1566"/>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7" t="str">
        <f>AA22</f>
        <v/>
      </c>
      <c r="E287" s="1568"/>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7" t="str">
        <f>AB22</f>
        <v/>
      </c>
      <c r="E289" s="1568"/>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6" t="s">
        <v>651</v>
      </c>
      <c r="E291" s="1547"/>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5" t="s">
        <v>1600</v>
      </c>
      <c r="E293" s="1562"/>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69" t="s">
        <v>1788</v>
      </c>
      <c r="C295" s="1570"/>
      <c r="D295" s="1570"/>
      <c r="E295" s="1570"/>
      <c r="F295" s="1570"/>
      <c r="G295" s="1570"/>
      <c r="H295" s="1570"/>
      <c r="I295" s="1570"/>
      <c r="J295" s="1570"/>
      <c r="K295" s="1570"/>
      <c r="L295" s="1570"/>
      <c r="M295" s="1570"/>
      <c r="N295" s="1570"/>
      <c r="O295" s="1570"/>
      <c r="P295" s="1570"/>
      <c r="Q295" s="1570"/>
      <c r="R295" s="1570"/>
      <c r="S295" s="1570"/>
      <c r="T295" s="1570"/>
      <c r="U295" s="1571"/>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63" t="s">
        <v>1642</v>
      </c>
      <c r="E297" s="1564"/>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5">
        <v>1305</v>
      </c>
      <c r="E299" s="1566"/>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7" t="str">
        <f>AA23</f>
        <v/>
      </c>
      <c r="E301" s="1568"/>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7" t="str">
        <f>AB23</f>
        <v/>
      </c>
      <c r="E303" s="1568"/>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6" t="s">
        <v>651</v>
      </c>
      <c r="E305" s="1547"/>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5" t="s">
        <v>1600</v>
      </c>
      <c r="E307" s="1562"/>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0" t="s">
        <v>1645</v>
      </c>
      <c r="C309" s="1561"/>
      <c r="D309" s="1561"/>
      <c r="E309" s="1561"/>
      <c r="F309" s="1561"/>
      <c r="G309" s="1561"/>
      <c r="H309" s="1561"/>
      <c r="I309" s="1561"/>
      <c r="J309" s="1561"/>
      <c r="K309" s="1561"/>
      <c r="L309" s="1561"/>
      <c r="M309" s="1561"/>
      <c r="N309" s="1561"/>
      <c r="O309" s="1561"/>
      <c r="P309" s="1561"/>
      <c r="Q309" s="1561"/>
      <c r="R309" s="1561"/>
      <c r="S309" s="1561"/>
      <c r="T309" s="1561"/>
      <c r="U309" s="1562"/>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63" t="s">
        <v>1643</v>
      </c>
      <c r="E311" s="1564"/>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5">
        <v>4001</v>
      </c>
      <c r="E313" s="1566"/>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7" t="str">
        <f>AA24</f>
        <v/>
      </c>
      <c r="E315" s="1568"/>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7" t="str">
        <f>AB24</f>
        <v/>
      </c>
      <c r="E317" s="1568"/>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6" t="s">
        <v>651</v>
      </c>
      <c r="E319" s="1547"/>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5" t="s">
        <v>1600</v>
      </c>
      <c r="E321" s="1562"/>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69" t="s">
        <v>1808</v>
      </c>
      <c r="C323" s="1570"/>
      <c r="D323" s="1570"/>
      <c r="E323" s="1570"/>
      <c r="F323" s="1570"/>
      <c r="G323" s="1570"/>
      <c r="H323" s="1570"/>
      <c r="I323" s="1570"/>
      <c r="J323" s="1570"/>
      <c r="K323" s="1570"/>
      <c r="L323" s="1570"/>
      <c r="M323" s="1570"/>
      <c r="N323" s="1570"/>
      <c r="O323" s="1570"/>
      <c r="P323" s="1570"/>
      <c r="Q323" s="1570"/>
      <c r="R323" s="1570"/>
      <c r="S323" s="1570"/>
      <c r="T323" s="1570"/>
      <c r="U323" s="1571"/>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75" t="s">
        <v>1703</v>
      </c>
      <c r="E325" s="1576"/>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77">
        <v>4601</v>
      </c>
      <c r="E327" s="1578"/>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7" t="str">
        <f>AA25</f>
        <v/>
      </c>
      <c r="E329" s="1568"/>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7" t="str">
        <f>AB25</f>
        <v/>
      </c>
      <c r="E331" s="1568"/>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6" t="s">
        <v>651</v>
      </c>
      <c r="E333" s="1547"/>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77" t="s">
        <v>1709</v>
      </c>
      <c r="E335" s="1571"/>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69" t="s">
        <v>1809</v>
      </c>
      <c r="C337" s="1570"/>
      <c r="D337" s="1570"/>
      <c r="E337" s="1570"/>
      <c r="F337" s="1570"/>
      <c r="G337" s="1570"/>
      <c r="H337" s="1570"/>
      <c r="I337" s="1570"/>
      <c r="J337" s="1570"/>
      <c r="K337" s="1570"/>
      <c r="L337" s="1570"/>
      <c r="M337" s="1570"/>
      <c r="N337" s="1570"/>
      <c r="O337" s="1570"/>
      <c r="P337" s="1570"/>
      <c r="Q337" s="1570"/>
      <c r="R337" s="1570"/>
      <c r="S337" s="1570"/>
      <c r="T337" s="1570"/>
      <c r="U337" s="1571"/>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75" t="s">
        <v>1703</v>
      </c>
      <c r="E339" s="1576"/>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77">
        <v>4602</v>
      </c>
      <c r="E341" s="1578"/>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7" t="str">
        <f>AA26</f>
        <v/>
      </c>
      <c r="E343" s="1568"/>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7" t="str">
        <f>AB26</f>
        <v/>
      </c>
      <c r="E345" s="1568"/>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6" t="s">
        <v>651</v>
      </c>
      <c r="E347" s="1547"/>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77" t="s">
        <v>1709</v>
      </c>
      <c r="E349" s="1571"/>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9" t="s">
        <v>1710</v>
      </c>
      <c r="C351" s="1580"/>
      <c r="D351" s="1580"/>
      <c r="E351" s="1580"/>
      <c r="F351" s="1580"/>
      <c r="G351" s="1580"/>
      <c r="H351" s="1580"/>
      <c r="I351" s="1580"/>
      <c r="J351" s="1580"/>
      <c r="K351" s="1580"/>
      <c r="L351" s="1580"/>
      <c r="M351" s="1580"/>
      <c r="N351" s="1580"/>
      <c r="O351" s="1580"/>
      <c r="P351" s="1580"/>
      <c r="Q351" s="1580"/>
      <c r="R351" s="1580"/>
      <c r="S351" s="1580"/>
      <c r="T351" s="1580"/>
      <c r="U351" s="1581"/>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75" t="s">
        <v>1711</v>
      </c>
      <c r="E353" s="1576"/>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77">
        <v>4901</v>
      </c>
      <c r="E355" s="1578"/>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7" t="str">
        <f>AA27</f>
        <v/>
      </c>
      <c r="E357" s="1568"/>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7" t="str">
        <f>AB27</f>
        <v/>
      </c>
      <c r="E359" s="1568"/>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6" t="s">
        <v>651</v>
      </c>
      <c r="E361" s="1547"/>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77" t="s">
        <v>1709</v>
      </c>
      <c r="E363" s="1571"/>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69" t="s">
        <v>1712</v>
      </c>
      <c r="C365" s="1570"/>
      <c r="D365" s="1570"/>
      <c r="E365" s="1570"/>
      <c r="F365" s="1570"/>
      <c r="G365" s="1570"/>
      <c r="H365" s="1570"/>
      <c r="I365" s="1570"/>
      <c r="J365" s="1570"/>
      <c r="K365" s="1570"/>
      <c r="L365" s="1570"/>
      <c r="M365" s="1570"/>
      <c r="N365" s="1570"/>
      <c r="O365" s="1570"/>
      <c r="P365" s="1570"/>
      <c r="Q365" s="1570"/>
      <c r="R365" s="1570"/>
      <c r="S365" s="1570"/>
      <c r="T365" s="1570"/>
      <c r="U365" s="1571"/>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75" t="s">
        <v>1713</v>
      </c>
      <c r="E367" s="1576"/>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77">
        <v>5001</v>
      </c>
      <c r="E369" s="1578"/>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7" t="str">
        <f>AA28</f>
        <v/>
      </c>
      <c r="E371" s="1568"/>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7" t="str">
        <f>AB28</f>
        <v/>
      </c>
      <c r="E373" s="1568"/>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6" t="s">
        <v>651</v>
      </c>
      <c r="E375" s="1547"/>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77" t="s">
        <v>1600</v>
      </c>
      <c r="E377" s="1571"/>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69" t="s">
        <v>1714</v>
      </c>
      <c r="C379" s="1570"/>
      <c r="D379" s="1570"/>
      <c r="E379" s="1570"/>
      <c r="F379" s="1570"/>
      <c r="G379" s="1570"/>
      <c r="H379" s="1570"/>
      <c r="I379" s="1570"/>
      <c r="J379" s="1570"/>
      <c r="K379" s="1570"/>
      <c r="L379" s="1570"/>
      <c r="M379" s="1570"/>
      <c r="N379" s="1570"/>
      <c r="O379" s="1570"/>
      <c r="P379" s="1570"/>
      <c r="Q379" s="1570"/>
      <c r="R379" s="1570"/>
      <c r="S379" s="1570"/>
      <c r="T379" s="1570"/>
      <c r="U379" s="1571"/>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63" t="s">
        <v>1210</v>
      </c>
      <c r="E381" s="1564"/>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65">
        <v>801</v>
      </c>
      <c r="E383" s="1566"/>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7" t="str">
        <f>AA29</f>
        <v/>
      </c>
      <c r="E385" s="1568"/>
      <c r="F385" s="1215"/>
      <c r="G385" s="1215"/>
      <c r="H385" s="1176"/>
      <c r="I385" s="1215"/>
      <c r="J385" s="1176"/>
      <c r="K385" s="1215"/>
      <c r="L385" s="1176"/>
      <c r="M385" s="1215"/>
      <c r="N385" s="1215"/>
      <c r="O385" s="1215"/>
      <c r="P385" s="1215"/>
      <c r="Q385" s="1215"/>
      <c r="R385" s="1243" t="s">
        <v>1715</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7" t="str">
        <f>AB29</f>
        <v/>
      </c>
      <c r="E387" s="1568"/>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6" t="s">
        <v>651</v>
      </c>
      <c r="E389" s="1547"/>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5" t="s">
        <v>1709</v>
      </c>
      <c r="E391" s="1562"/>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0" t="s">
        <v>1716</v>
      </c>
      <c r="C393" s="1561"/>
      <c r="D393" s="1561"/>
      <c r="E393" s="1561"/>
      <c r="F393" s="1561"/>
      <c r="G393" s="1561"/>
      <c r="H393" s="1561"/>
      <c r="I393" s="1561"/>
      <c r="J393" s="1561"/>
      <c r="K393" s="1561"/>
      <c r="L393" s="1561"/>
      <c r="M393" s="1561"/>
      <c r="N393" s="1561"/>
      <c r="O393" s="1561"/>
      <c r="P393" s="1561"/>
      <c r="Q393" s="1561"/>
      <c r="R393" s="1561"/>
      <c r="S393" s="1561"/>
      <c r="T393" s="1561"/>
      <c r="U393" s="1562"/>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63" t="s">
        <v>1717</v>
      </c>
      <c r="E395" s="1564"/>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65">
        <v>901</v>
      </c>
      <c r="E397" s="1566"/>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7" t="str">
        <f>AA30</f>
        <v/>
      </c>
      <c r="E399" s="1568"/>
      <c r="F399" s="1215"/>
      <c r="G399" s="1215"/>
      <c r="H399" s="1176">
        <v>0</v>
      </c>
      <c r="I399" s="1215"/>
      <c r="J399" s="1176"/>
      <c r="K399" s="1215"/>
      <c r="L399" s="1215"/>
      <c r="M399" s="1215"/>
      <c r="N399" s="1215"/>
      <c r="O399" s="1215"/>
      <c r="P399" s="1215"/>
      <c r="Q399" s="1215"/>
      <c r="R399" s="1243" t="s">
        <v>1715</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7" t="str">
        <f>AB30</f>
        <v/>
      </c>
      <c r="E401" s="1568"/>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6" t="s">
        <v>651</v>
      </c>
      <c r="E403" s="1547"/>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5" t="s">
        <v>1709</v>
      </c>
      <c r="E405" s="1562"/>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0" t="s">
        <v>1718</v>
      </c>
      <c r="C407" s="1561"/>
      <c r="D407" s="1561"/>
      <c r="E407" s="1561"/>
      <c r="F407" s="1561"/>
      <c r="G407" s="1561"/>
      <c r="H407" s="1561"/>
      <c r="I407" s="1561"/>
      <c r="J407" s="1561"/>
      <c r="K407" s="1561"/>
      <c r="L407" s="1561"/>
      <c r="M407" s="1561"/>
      <c r="N407" s="1561"/>
      <c r="O407" s="1561"/>
      <c r="P407" s="1561"/>
      <c r="Q407" s="1561"/>
      <c r="R407" s="1561"/>
      <c r="S407" s="1561"/>
      <c r="T407" s="1561"/>
      <c r="U407" s="1562"/>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63" t="s">
        <v>1719</v>
      </c>
      <c r="E409" s="1564"/>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65">
        <v>501</v>
      </c>
      <c r="E411" s="1566"/>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7" t="str">
        <f>AA31</f>
        <v/>
      </c>
      <c r="E413" s="1568"/>
      <c r="F413" s="1215"/>
      <c r="G413" s="1215"/>
      <c r="H413" s="1176"/>
      <c r="I413" s="1215"/>
      <c r="J413" s="1215"/>
      <c r="K413" s="1215"/>
      <c r="L413" s="1215"/>
      <c r="M413" s="1215"/>
      <c r="N413" s="1215"/>
      <c r="O413" s="1215"/>
      <c r="P413" s="1215"/>
      <c r="Q413" s="1215"/>
      <c r="R413" s="1243" t="s">
        <v>1715</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7" t="str">
        <f>AB31</f>
        <v/>
      </c>
      <c r="E415" s="1568"/>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6" t="s">
        <v>651</v>
      </c>
      <c r="E417" s="1547"/>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5" t="s">
        <v>1709</v>
      </c>
      <c r="E419" s="1562"/>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0" t="s">
        <v>1720</v>
      </c>
      <c r="C421" s="1561"/>
      <c r="D421" s="1561"/>
      <c r="E421" s="1561"/>
      <c r="F421" s="1561"/>
      <c r="G421" s="1561"/>
      <c r="H421" s="1561"/>
      <c r="I421" s="1561"/>
      <c r="J421" s="1561"/>
      <c r="K421" s="1561"/>
      <c r="L421" s="1561"/>
      <c r="M421" s="1561"/>
      <c r="N421" s="1561"/>
      <c r="O421" s="1561"/>
      <c r="P421" s="1561"/>
      <c r="Q421" s="1561"/>
      <c r="R421" s="1561"/>
      <c r="S421" s="1561"/>
      <c r="T421" s="1561"/>
      <c r="U421" s="1562"/>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63" t="s">
        <v>1719</v>
      </c>
      <c r="E423" s="1564"/>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82">
        <v>502</v>
      </c>
      <c r="E425" s="1566"/>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7" t="str">
        <f>AA32</f>
        <v/>
      </c>
      <c r="E427" s="1568"/>
      <c r="F427" s="1215"/>
      <c r="G427" s="1215"/>
      <c r="H427" s="1176"/>
      <c r="I427" s="1215"/>
      <c r="J427" s="1215"/>
      <c r="K427" s="1215"/>
      <c r="L427" s="1215"/>
      <c r="M427" s="1215"/>
      <c r="N427" s="1215"/>
      <c r="O427" s="1215"/>
      <c r="P427" s="1215"/>
      <c r="Q427" s="1215"/>
      <c r="R427" s="1243" t="s">
        <v>1715</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7" t="str">
        <f>AB32</f>
        <v/>
      </c>
      <c r="E429" s="1568"/>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6" t="s">
        <v>651</v>
      </c>
      <c r="E431" s="1547"/>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5" t="s">
        <v>1709</v>
      </c>
      <c r="E433" s="1562"/>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0" t="s">
        <v>1721</v>
      </c>
      <c r="C435" s="1561"/>
      <c r="D435" s="1561"/>
      <c r="E435" s="1561"/>
      <c r="F435" s="1561"/>
      <c r="G435" s="1561"/>
      <c r="H435" s="1561"/>
      <c r="I435" s="1561"/>
      <c r="J435" s="1561"/>
      <c r="K435" s="1561"/>
      <c r="L435" s="1561"/>
      <c r="M435" s="1561"/>
      <c r="N435" s="1561"/>
      <c r="O435" s="1561"/>
      <c r="P435" s="1561"/>
      <c r="Q435" s="1561"/>
      <c r="R435" s="1561"/>
      <c r="S435" s="1561"/>
      <c r="T435" s="1561"/>
      <c r="U435" s="1562"/>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63" t="s">
        <v>1722</v>
      </c>
      <c r="E437" s="1564"/>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65">
        <v>5601</v>
      </c>
      <c r="E439" s="1566"/>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7" t="str">
        <f>AA33</f>
        <v/>
      </c>
      <c r="E441" s="1568"/>
      <c r="F441" s="1215"/>
      <c r="G441" s="1215"/>
      <c r="H441" s="1176">
        <v>50000</v>
      </c>
      <c r="I441" s="1215"/>
      <c r="J441" s="1177">
        <v>1</v>
      </c>
      <c r="K441" s="1215"/>
      <c r="L441" s="1176"/>
      <c r="M441" s="1215"/>
      <c r="N441" s="1202"/>
      <c r="O441" s="1215"/>
      <c r="P441" s="1215"/>
      <c r="Q441" s="1215"/>
      <c r="R441" s="1243" t="s">
        <v>1715</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7" t="str">
        <f>AB33</f>
        <v/>
      </c>
      <c r="E443" s="1568"/>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6" t="s">
        <v>651</v>
      </c>
      <c r="E445" s="1547"/>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5" t="s">
        <v>1709</v>
      </c>
      <c r="E447" s="1562"/>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0" t="s">
        <v>1723</v>
      </c>
      <c r="C449" s="1561"/>
      <c r="D449" s="1561"/>
      <c r="E449" s="1561"/>
      <c r="F449" s="1561"/>
      <c r="G449" s="1561"/>
      <c r="H449" s="1561"/>
      <c r="I449" s="1561"/>
      <c r="J449" s="1561"/>
      <c r="K449" s="1561"/>
      <c r="L449" s="1561"/>
      <c r="M449" s="1561"/>
      <c r="N449" s="1561"/>
      <c r="O449" s="1561"/>
      <c r="P449" s="1561"/>
      <c r="Q449" s="1561"/>
      <c r="R449" s="1561"/>
      <c r="S449" s="1561"/>
      <c r="T449" s="1561"/>
      <c r="U449" s="1562"/>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63" t="s">
        <v>1722</v>
      </c>
      <c r="E451" s="1564"/>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65">
        <v>5602</v>
      </c>
      <c r="E453" s="1566"/>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7" t="str">
        <f>AA34</f>
        <v/>
      </c>
      <c r="E455" s="1568"/>
      <c r="F455" s="1215"/>
      <c r="G455" s="1215"/>
      <c r="H455" s="1242"/>
      <c r="I455" s="1215"/>
      <c r="J455" s="1177">
        <v>1</v>
      </c>
      <c r="K455" s="1215"/>
      <c r="L455" s="1202"/>
      <c r="M455" s="1215"/>
      <c r="N455" s="1202"/>
      <c r="O455" s="1215"/>
      <c r="P455" s="1215"/>
      <c r="Q455" s="1215"/>
      <c r="R455" s="1243" t="s">
        <v>1715</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7" t="str">
        <f>AB34</f>
        <v/>
      </c>
      <c r="E457" s="1568"/>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6" t="s">
        <v>651</v>
      </c>
      <c r="E459" s="1547"/>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5" t="s">
        <v>1709</v>
      </c>
      <c r="E461" s="1562"/>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0" t="s">
        <v>1724</v>
      </c>
      <c r="C463" s="1561"/>
      <c r="D463" s="1561"/>
      <c r="E463" s="1561"/>
      <c r="F463" s="1561"/>
      <c r="G463" s="1561"/>
      <c r="H463" s="1561"/>
      <c r="I463" s="1561"/>
      <c r="J463" s="1561"/>
      <c r="K463" s="1561"/>
      <c r="L463" s="1561"/>
      <c r="M463" s="1561"/>
      <c r="N463" s="1561"/>
      <c r="O463" s="1561"/>
      <c r="P463" s="1561"/>
      <c r="Q463" s="1561"/>
      <c r="R463" s="1561"/>
      <c r="S463" s="1561"/>
      <c r="T463" s="1561"/>
      <c r="U463" s="1562"/>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63" t="s">
        <v>1725</v>
      </c>
      <c r="E465" s="1564"/>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65">
        <v>601</v>
      </c>
      <c r="E467" s="1566"/>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57" t="s">
        <v>1726</v>
      </c>
      <c r="O468" s="1557"/>
      <c r="P468" s="1557"/>
      <c r="Q468" s="1215"/>
      <c r="R468" s="1211" t="s">
        <v>1706</v>
      </c>
      <c r="S468" s="1215"/>
      <c r="T468" s="1211" t="s">
        <v>1707</v>
      </c>
      <c r="U468" s="1215"/>
    </row>
    <row r="469" spans="1:21" ht="30.75" customHeight="1" thickBot="1" x14ac:dyDescent="0.3">
      <c r="A469" s="1258"/>
      <c r="B469" s="1215"/>
      <c r="C469" s="1208" t="s">
        <v>1485</v>
      </c>
      <c r="D469" s="1567" t="str">
        <f>AA35</f>
        <v/>
      </c>
      <c r="E469" s="1568"/>
      <c r="F469" s="1215"/>
      <c r="G469" s="1215"/>
      <c r="H469" s="1176"/>
      <c r="I469" s="1215"/>
      <c r="J469" s="1177">
        <v>1</v>
      </c>
      <c r="K469" s="1215"/>
      <c r="L469" s="1176"/>
      <c r="M469" s="1215"/>
      <c r="N469" s="1558" t="s">
        <v>1727</v>
      </c>
      <c r="O469" s="1558"/>
      <c r="P469" s="1558"/>
      <c r="Q469" s="1215"/>
      <c r="R469" s="1243" t="s">
        <v>1715</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59" t="s">
        <v>1728</v>
      </c>
      <c r="O470" s="1559"/>
      <c r="P470" s="1559"/>
      <c r="Q470" s="1215"/>
      <c r="R470" s="1215"/>
      <c r="S470" s="1215"/>
      <c r="T470" s="1215"/>
      <c r="U470" s="1215"/>
    </row>
    <row r="471" spans="1:21" ht="30.75" thickBot="1" x14ac:dyDescent="0.3">
      <c r="A471" s="1258"/>
      <c r="B471" s="1215"/>
      <c r="C471" s="1208" t="s">
        <v>1486</v>
      </c>
      <c r="D471" s="1567" t="str">
        <f>AB35</f>
        <v/>
      </c>
      <c r="E471" s="1568"/>
      <c r="F471" s="1215"/>
      <c r="G471" s="1215"/>
      <c r="H471" s="1210" t="s">
        <v>1595</v>
      </c>
      <c r="I471" s="1215"/>
      <c r="J471" s="1177">
        <v>3</v>
      </c>
      <c r="K471" s="1215"/>
      <c r="L471" s="1202"/>
      <c r="M471" s="1215"/>
      <c r="N471" s="1559" t="s">
        <v>1729</v>
      </c>
      <c r="O471" s="1559"/>
      <c r="P471" s="1559"/>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58" t="s">
        <v>1730</v>
      </c>
      <c r="O472" s="1558"/>
      <c r="P472" s="1558"/>
      <c r="Q472" s="1215"/>
      <c r="R472" s="1215"/>
      <c r="S472" s="1215"/>
      <c r="T472" s="1243" t="s">
        <v>653</v>
      </c>
      <c r="U472" s="1215"/>
    </row>
    <row r="473" spans="1:21" ht="30.75" thickBot="1" x14ac:dyDescent="0.3">
      <c r="A473" s="1258"/>
      <c r="B473" s="1215"/>
      <c r="C473" s="1209" t="s">
        <v>1598</v>
      </c>
      <c r="D473" s="1546" t="s">
        <v>651</v>
      </c>
      <c r="E473" s="1547"/>
      <c r="F473" s="1215"/>
      <c r="G473" s="1215"/>
      <c r="H473" s="1215"/>
      <c r="I473" s="1215"/>
      <c r="J473" s="1177">
        <v>5</v>
      </c>
      <c r="K473" s="1215"/>
      <c r="L473" s="1202"/>
      <c r="M473" s="1215"/>
      <c r="N473" s="1558" t="s">
        <v>1731</v>
      </c>
      <c r="O473" s="1558"/>
      <c r="P473" s="1558"/>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5" t="s">
        <v>1709</v>
      </c>
      <c r="E475" s="1562"/>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0" t="s">
        <v>1732</v>
      </c>
      <c r="C477" s="1561"/>
      <c r="D477" s="1561"/>
      <c r="E477" s="1561"/>
      <c r="F477" s="1561"/>
      <c r="G477" s="1561"/>
      <c r="H477" s="1561"/>
      <c r="I477" s="1561"/>
      <c r="J477" s="1561"/>
      <c r="K477" s="1561"/>
      <c r="L477" s="1561"/>
      <c r="M477" s="1561"/>
      <c r="N477" s="1561"/>
      <c r="O477" s="1561"/>
      <c r="P477" s="1561"/>
      <c r="Q477" s="1561"/>
      <c r="R477" s="1561"/>
      <c r="S477" s="1561"/>
      <c r="T477" s="1561"/>
      <c r="U477" s="1562"/>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63" t="s">
        <v>1725</v>
      </c>
      <c r="E479" s="1564"/>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65">
        <v>602</v>
      </c>
      <c r="E481" s="1566"/>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57" t="s">
        <v>1726</v>
      </c>
      <c r="O482" s="1557"/>
      <c r="P482" s="1557"/>
      <c r="Q482" s="1215"/>
      <c r="R482" s="1211" t="s">
        <v>1706</v>
      </c>
      <c r="S482" s="1215"/>
      <c r="T482" s="1211" t="s">
        <v>1707</v>
      </c>
      <c r="U482" s="1215"/>
    </row>
    <row r="483" spans="1:21" ht="30.75" customHeight="1" thickBot="1" x14ac:dyDescent="0.3">
      <c r="A483" s="1258"/>
      <c r="B483" s="1215"/>
      <c r="C483" s="1208" t="s">
        <v>1485</v>
      </c>
      <c r="D483" s="1567" t="str">
        <f>AA36</f>
        <v/>
      </c>
      <c r="E483" s="1568"/>
      <c r="F483" s="1215"/>
      <c r="G483" s="1215"/>
      <c r="H483" s="1242"/>
      <c r="I483" s="1215"/>
      <c r="J483" s="1177">
        <v>1</v>
      </c>
      <c r="K483" s="1215"/>
      <c r="L483" s="1202"/>
      <c r="M483" s="1215"/>
      <c r="N483" s="1558" t="s">
        <v>1727</v>
      </c>
      <c r="O483" s="1558"/>
      <c r="P483" s="1558"/>
      <c r="Q483" s="1215"/>
      <c r="R483" s="1243" t="s">
        <v>1715</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58" t="s">
        <v>1728</v>
      </c>
      <c r="O484" s="1558"/>
      <c r="P484" s="1558"/>
      <c r="Q484" s="1215"/>
      <c r="R484" s="1215"/>
      <c r="S484" s="1215"/>
      <c r="T484" s="1215"/>
      <c r="U484" s="1215"/>
    </row>
    <row r="485" spans="1:21" ht="30.75" thickBot="1" x14ac:dyDescent="0.3">
      <c r="A485" s="1258"/>
      <c r="B485" s="1215"/>
      <c r="C485" s="1208" t="s">
        <v>1486</v>
      </c>
      <c r="D485" s="1567" t="str">
        <f>AB36</f>
        <v/>
      </c>
      <c r="E485" s="1568"/>
      <c r="F485" s="1215"/>
      <c r="G485" s="1215"/>
      <c r="H485" s="1210" t="s">
        <v>1595</v>
      </c>
      <c r="I485" s="1215"/>
      <c r="J485" s="1177">
        <v>3</v>
      </c>
      <c r="K485" s="1215"/>
      <c r="L485" s="1202"/>
      <c r="M485" s="1215"/>
      <c r="N485" s="1558" t="s">
        <v>1729</v>
      </c>
      <c r="O485" s="1558"/>
      <c r="P485" s="1558"/>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58" t="s">
        <v>1730</v>
      </c>
      <c r="O486" s="1558"/>
      <c r="P486" s="1558"/>
      <c r="Q486" s="1215"/>
      <c r="R486" s="1215"/>
      <c r="S486" s="1215"/>
      <c r="T486" s="1243" t="s">
        <v>653</v>
      </c>
      <c r="U486" s="1215"/>
    </row>
    <row r="487" spans="1:21" ht="30.75" thickBot="1" x14ac:dyDescent="0.3">
      <c r="A487" s="1258"/>
      <c r="B487" s="1215"/>
      <c r="C487" s="1209" t="s">
        <v>1598</v>
      </c>
      <c r="D487" s="1546" t="s">
        <v>651</v>
      </c>
      <c r="E487" s="1547"/>
      <c r="F487" s="1215"/>
      <c r="G487" s="1215"/>
      <c r="H487" s="1215"/>
      <c r="I487" s="1215"/>
      <c r="J487" s="1177">
        <v>5</v>
      </c>
      <c r="K487" s="1215"/>
      <c r="L487" s="1202"/>
      <c r="M487" s="1215"/>
      <c r="N487" s="1558" t="s">
        <v>1731</v>
      </c>
      <c r="O487" s="1558"/>
      <c r="P487" s="1558"/>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5" t="s">
        <v>1709</v>
      </c>
      <c r="E489" s="1562"/>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0" t="s">
        <v>1733</v>
      </c>
      <c r="C491" s="1561"/>
      <c r="D491" s="1561"/>
      <c r="E491" s="1561"/>
      <c r="F491" s="1561"/>
      <c r="G491" s="1561"/>
      <c r="H491" s="1561"/>
      <c r="I491" s="1561"/>
      <c r="J491" s="1561"/>
      <c r="K491" s="1561"/>
      <c r="L491" s="1561"/>
      <c r="M491" s="1561"/>
      <c r="N491" s="1561"/>
      <c r="O491" s="1561"/>
      <c r="P491" s="1561"/>
      <c r="Q491" s="1561"/>
      <c r="R491" s="1561"/>
      <c r="S491" s="1561"/>
      <c r="T491" s="1561"/>
      <c r="U491" s="1562"/>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63" t="s">
        <v>1734</v>
      </c>
      <c r="E493" s="1564"/>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5">
        <v>1001</v>
      </c>
      <c r="E495" s="1566"/>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7" t="str">
        <f>AA37</f>
        <v/>
      </c>
      <c r="E497" s="1568"/>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7" t="str">
        <f>AB37</f>
        <v/>
      </c>
      <c r="E499" s="1568"/>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6" t="s">
        <v>651</v>
      </c>
      <c r="E501" s="1547"/>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358" priority="48">
      <formula>$J6="Check"</formula>
    </cfRule>
  </conditionalFormatting>
  <conditionalFormatting sqref="N20">
    <cfRule type="expression" dxfId="357" priority="46">
      <formula>$J20="Check"</formula>
    </cfRule>
  </conditionalFormatting>
  <conditionalFormatting sqref="N34">
    <cfRule type="expression" dxfId="356" priority="45">
      <formula>$J34="Check"</formula>
    </cfRule>
  </conditionalFormatting>
  <conditionalFormatting sqref="N48">
    <cfRule type="expression" dxfId="355" priority="44">
      <formula>$J48="Check"</formula>
    </cfRule>
  </conditionalFormatting>
  <conditionalFormatting sqref="N62">
    <cfRule type="expression" dxfId="354" priority="43">
      <formula>$J62="Check"</formula>
    </cfRule>
  </conditionalFormatting>
  <conditionalFormatting sqref="N78">
    <cfRule type="expression" dxfId="353" priority="42">
      <formula>$J78="Check"</formula>
    </cfRule>
  </conditionalFormatting>
  <conditionalFormatting sqref="N94">
    <cfRule type="expression" dxfId="352" priority="41">
      <formula>$J94="Check"</formula>
    </cfRule>
  </conditionalFormatting>
  <conditionalFormatting sqref="N108">
    <cfRule type="expression" dxfId="351" priority="40">
      <formula>$J108="Check"</formula>
    </cfRule>
  </conditionalFormatting>
  <conditionalFormatting sqref="N122">
    <cfRule type="expression" dxfId="350" priority="39">
      <formula>$J122="Check"</formula>
    </cfRule>
  </conditionalFormatting>
  <conditionalFormatting sqref="N138">
    <cfRule type="expression" dxfId="349" priority="38">
      <formula>$J138="Check"</formula>
    </cfRule>
  </conditionalFormatting>
  <conditionalFormatting sqref="N242">
    <cfRule type="expression" dxfId="348" priority="31">
      <formula>$J242="Check"</formula>
    </cfRule>
  </conditionalFormatting>
  <conditionalFormatting sqref="N226">
    <cfRule type="expression" dxfId="347" priority="30">
      <formula>$J226="Check"</formula>
    </cfRule>
  </conditionalFormatting>
  <conditionalFormatting sqref="N210">
    <cfRule type="expression" dxfId="346" priority="29">
      <formula>$J210="Check"</formula>
    </cfRule>
  </conditionalFormatting>
  <conditionalFormatting sqref="N196">
    <cfRule type="expression" dxfId="345" priority="28">
      <formula>$J196="Check"</formula>
    </cfRule>
  </conditionalFormatting>
  <conditionalFormatting sqref="N182">
    <cfRule type="expression" dxfId="344" priority="27">
      <formula>$J182="Check"</formula>
    </cfRule>
  </conditionalFormatting>
  <conditionalFormatting sqref="N168">
    <cfRule type="expression" dxfId="343" priority="26">
      <formula>$J168="Check"</formula>
    </cfRule>
  </conditionalFormatting>
  <conditionalFormatting sqref="N154">
    <cfRule type="expression" dxfId="342" priority="25">
      <formula>$J154="Check"</formula>
    </cfRule>
  </conditionalFormatting>
  <conditionalFormatting sqref="N312">
    <cfRule type="expression" dxfId="341" priority="24">
      <formula>$J312="Check"</formula>
    </cfRule>
  </conditionalFormatting>
  <conditionalFormatting sqref="N326">
    <cfRule type="expression" dxfId="340" priority="23">
      <formula>$J326="Check"</formula>
    </cfRule>
  </conditionalFormatting>
  <conditionalFormatting sqref="N340">
    <cfRule type="expression" dxfId="339" priority="22">
      <formula>$J340="Check"</formula>
    </cfRule>
  </conditionalFormatting>
  <conditionalFormatting sqref="N354">
    <cfRule type="expression" dxfId="338" priority="21">
      <formula>$J354="Check"</formula>
    </cfRule>
  </conditionalFormatting>
  <conditionalFormatting sqref="N368">
    <cfRule type="expression" dxfId="337" priority="20">
      <formula>$J368="Check"</formula>
    </cfRule>
  </conditionalFormatting>
  <conditionalFormatting sqref="N382">
    <cfRule type="expression" dxfId="336" priority="19">
      <formula>$J382="Check"</formula>
    </cfRule>
  </conditionalFormatting>
  <conditionalFormatting sqref="N396">
    <cfRule type="expression" dxfId="335" priority="17">
      <formula>$J396="Check"</formula>
    </cfRule>
  </conditionalFormatting>
  <conditionalFormatting sqref="N410">
    <cfRule type="expression" dxfId="334" priority="15">
      <formula>$J410="Check"</formula>
    </cfRule>
  </conditionalFormatting>
  <conditionalFormatting sqref="N424">
    <cfRule type="expression" dxfId="333" priority="14">
      <formula>$J424="Check"</formula>
    </cfRule>
  </conditionalFormatting>
  <conditionalFormatting sqref="N438">
    <cfRule type="expression" dxfId="332" priority="13">
      <formula>$J438="Check"</formula>
    </cfRule>
  </conditionalFormatting>
  <conditionalFormatting sqref="N452">
    <cfRule type="expression" dxfId="331" priority="12">
      <formula>$J452="Check"</formula>
    </cfRule>
  </conditionalFormatting>
  <conditionalFormatting sqref="N466">
    <cfRule type="expression" dxfId="330" priority="11">
      <formula>$J466="Check"</formula>
    </cfRule>
  </conditionalFormatting>
  <conditionalFormatting sqref="N480">
    <cfRule type="expression" dxfId="329" priority="10">
      <formula>$J480="Check"</formula>
    </cfRule>
  </conditionalFormatting>
  <conditionalFormatting sqref="N256">
    <cfRule type="expression" dxfId="328" priority="9">
      <formula>$J256="Check"</formula>
    </cfRule>
  </conditionalFormatting>
  <conditionalFormatting sqref="N270">
    <cfRule type="expression" dxfId="327" priority="8">
      <formula>$J270="Check"</formula>
    </cfRule>
  </conditionalFormatting>
  <conditionalFormatting sqref="N284">
    <cfRule type="expression" dxfId="326" priority="7">
      <formula>$J284="Check"</formula>
    </cfRule>
  </conditionalFormatting>
  <conditionalFormatting sqref="N298">
    <cfRule type="expression" dxfId="325" priority="6">
      <formula>$J298="Check"</formula>
    </cfRule>
  </conditionalFormatting>
  <conditionalFormatting sqref="P248">
    <cfRule type="expression" dxfId="324" priority="5">
      <formula>$H242="Monthly"</formula>
    </cfRule>
  </conditionalFormatting>
  <conditionalFormatting sqref="P262">
    <cfRule type="expression" dxfId="323" priority="4">
      <formula>$H256="Monthly"</formula>
    </cfRule>
  </conditionalFormatting>
  <conditionalFormatting sqref="P276">
    <cfRule type="expression" dxfId="322" priority="3">
      <formula>$H270="Monthly"</formula>
    </cfRule>
  </conditionalFormatting>
  <conditionalFormatting sqref="P290">
    <cfRule type="expression" dxfId="321" priority="2">
      <formula>$H284="Monthly"</formula>
    </cfRule>
  </conditionalFormatting>
  <conditionalFormatting sqref="P304">
    <cfRule type="expression" dxfId="32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6"/>
      <c r="K2" s="1586"/>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10" t="e">
        <f>VLOOKUP($J$4,'Market Geography'!$D:$G,4,FALSE)</f>
        <v>#N/A</v>
      </c>
      <c r="K3" s="1510"/>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10">
        <f>Welcome!$D$4</f>
        <v>0</v>
      </c>
      <c r="K4" s="1510"/>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7" t="e">
        <f>VLOOKUP($J$4,'Market Geography'!$D:$F,3,FALSE)</f>
        <v>#N/A</v>
      </c>
      <c r="K5" s="1587"/>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10" t="s">
        <v>134</v>
      </c>
      <c r="K6" s="1510"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10" t="str">
        <f>IF(Welcome!$D$8="MDA","C","N")</f>
        <v>N</v>
      </c>
      <c r="K7" s="1510"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3" t="s">
        <v>975</v>
      </c>
      <c r="AE13" s="1584"/>
      <c r="AF13" s="1585"/>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9" t="s">
        <v>1020</v>
      </c>
      <c r="F1" s="1590"/>
      <c r="G1" s="1590"/>
      <c r="H1" s="1590"/>
      <c r="I1" s="1590"/>
      <c r="J1" s="1591"/>
      <c r="L1" s="1589" t="s">
        <v>1019</v>
      </c>
      <c r="M1" s="1591"/>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9" t="s">
        <v>1021</v>
      </c>
      <c r="F20" s="1590"/>
      <c r="G20" s="1591"/>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8" t="s">
        <v>113</v>
      </c>
      <c r="M22" s="1588"/>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9" t="s">
        <v>1019</v>
      </c>
      <c r="M23" s="15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8" t="s">
        <v>1022</v>
      </c>
      <c r="F28" s="1588"/>
      <c r="G28" s="1588"/>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2" t="s">
        <v>837</v>
      </c>
      <c r="U1" s="1592"/>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2" t="s">
        <v>838</v>
      </c>
      <c r="U5" s="15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2"/>
      <c r="U6" s="15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3"/>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3"/>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4" t="s">
        <v>960</v>
      </c>
      <c r="AX5" s="1595"/>
      <c r="AY5" s="488">
        <v>1757315</v>
      </c>
      <c r="AZ5" s="282" t="s">
        <v>214</v>
      </c>
      <c r="BA5" s="1" t="s">
        <v>214</v>
      </c>
      <c r="BB5" s="481">
        <v>3.2000000000000001E-2</v>
      </c>
      <c r="BC5" s="481">
        <v>6.9000000000000006E-2</v>
      </c>
      <c r="BD5" s="481">
        <v>8.2000000000000003E-2</v>
      </c>
      <c r="BE5" s="481">
        <v>9.6000000000000002E-2</v>
      </c>
      <c r="BF5" s="482">
        <v>0.13300000000000001</v>
      </c>
      <c r="BI5" s="1594" t="s">
        <v>961</v>
      </c>
      <c r="BJ5" s="15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7" t="s">
        <v>959</v>
      </c>
      <c r="AR10" s="1597"/>
      <c r="AW10" s="1596" t="s">
        <v>957</v>
      </c>
      <c r="AX10" s="1596"/>
      <c r="AY10" s="1596"/>
      <c r="AZ10" s="1596"/>
      <c r="BA10" s="1596"/>
      <c r="BD10" s="1596" t="s">
        <v>958</v>
      </c>
      <c r="BE10" s="1596"/>
      <c r="BF10" s="1596"/>
      <c r="BG10" s="1596"/>
      <c r="BH10" s="15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01" t="s">
        <v>799</v>
      </c>
      <c r="B1" s="1601"/>
      <c r="C1" s="1601"/>
      <c r="D1" s="1601"/>
      <c r="F1" s="1602" t="s">
        <v>728</v>
      </c>
      <c r="G1" s="1602"/>
      <c r="I1" s="1603" t="s">
        <v>798</v>
      </c>
      <c r="J1" s="1604"/>
      <c r="K1" s="1604"/>
      <c r="L1" s="1604"/>
      <c r="M1" s="1604"/>
      <c r="N1" s="1604"/>
      <c r="O1" s="1604"/>
      <c r="P1" s="1604"/>
      <c r="Q1" s="1604"/>
      <c r="R1" s="1604"/>
      <c r="S1" s="1604"/>
      <c r="T1" s="1604"/>
      <c r="U1" s="1604"/>
      <c r="V1" s="1605"/>
    </row>
    <row r="2" spans="1:23" x14ac:dyDescent="0.25">
      <c r="I2" s="325"/>
      <c r="J2" s="135"/>
      <c r="K2" s="135"/>
      <c r="L2" s="135"/>
      <c r="M2" s="135"/>
      <c r="N2" s="135"/>
      <c r="O2" s="135"/>
      <c r="P2" s="135"/>
      <c r="Q2" s="135"/>
      <c r="R2" s="135"/>
      <c r="S2" s="135"/>
      <c r="T2" s="135"/>
      <c r="U2" s="135"/>
      <c r="V2" s="328"/>
    </row>
    <row r="3" spans="1:23" x14ac:dyDescent="0.25">
      <c r="A3" s="1039" t="s">
        <v>245</v>
      </c>
      <c r="B3" s="1599">
        <f>Welcome!$D$4</f>
        <v>0</v>
      </c>
      <c r="C3" s="1599"/>
      <c r="I3" s="321">
        <v>1</v>
      </c>
      <c r="J3" s="1039" t="s">
        <v>754</v>
      </c>
      <c r="L3" s="1599" t="str">
        <f>"ALC "&amp;'Required Info to Submit'!$F$6</f>
        <v xml:space="preserve">ALC </v>
      </c>
      <c r="M3" s="1599"/>
      <c r="N3" s="1599"/>
      <c r="O3" s="1599"/>
      <c r="P3" s="1599"/>
      <c r="R3" s="1039"/>
      <c r="V3" s="138"/>
    </row>
    <row r="4" spans="1:23" ht="45" x14ac:dyDescent="0.25">
      <c r="A4" s="1039" t="s">
        <v>735</v>
      </c>
      <c r="B4" s="1598">
        <f>'Required Info to Submit'!$F$6</f>
        <v>0</v>
      </c>
      <c r="C4" s="1598"/>
      <c r="D4" s="1049" t="s">
        <v>889</v>
      </c>
      <c r="F4" s="242" t="s">
        <v>729</v>
      </c>
      <c r="G4" s="629">
        <f>Incentives!$H$9</f>
        <v>0</v>
      </c>
      <c r="H4" s="279"/>
      <c r="I4" s="321">
        <v>2</v>
      </c>
      <c r="J4" s="1039" t="s">
        <v>730</v>
      </c>
      <c r="L4" s="329">
        <f>'Required Info to Submit'!$F$14</f>
        <v>0</v>
      </c>
      <c r="M4" s="329"/>
      <c r="N4" s="329"/>
      <c r="O4" s="330">
        <v>3</v>
      </c>
      <c r="P4" s="1599" t="s">
        <v>732</v>
      </c>
      <c r="Q4" s="1599"/>
      <c r="R4" s="1599"/>
      <c r="S4" s="1600" t="e">
        <f>$L$4+(364*$G$5)+6</f>
        <v>#VALUE!</v>
      </c>
      <c r="T4" s="1600"/>
      <c r="U4" s="329"/>
      <c r="V4" s="138"/>
    </row>
    <row r="5" spans="1:23" x14ac:dyDescent="0.25">
      <c r="A5" s="1039" t="s">
        <v>1017</v>
      </c>
      <c r="B5" s="1606">
        <f>'Required Info to Submit'!$F$8</f>
        <v>0</v>
      </c>
      <c r="C5" s="1606"/>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07">
        <f>'Required Info to Submit'!$F$14</f>
        <v>0</v>
      </c>
      <c r="C6" s="1607"/>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599" t="s">
        <v>755</v>
      </c>
      <c r="Q6" s="1599"/>
      <c r="R6" s="1599"/>
      <c r="S6" s="1608">
        <f>-('Tracking &amp; Profitability'!$E$23)</f>
        <v>0</v>
      </c>
      <c r="T6" s="1608"/>
      <c r="U6" s="20"/>
      <c r="V6" s="138"/>
    </row>
    <row r="7" spans="1:23" x14ac:dyDescent="0.25">
      <c r="A7" s="1039" t="s">
        <v>794</v>
      </c>
      <c r="B7" s="1599">
        <f>'Required Info to Submit'!$F$10</f>
        <v>0</v>
      </c>
      <c r="C7" s="1599"/>
      <c r="F7" s="1049" t="str">
        <f>IF(Incentives!E15="Yes","VB","")</f>
        <v/>
      </c>
      <c r="G7" s="1049" t="str">
        <f>IF(Incentives!E57="YES","DS","")</f>
        <v/>
      </c>
      <c r="I7" s="321">
        <v>6</v>
      </c>
      <c r="J7" s="1039" t="s">
        <v>756</v>
      </c>
      <c r="L7" s="1599" t="str">
        <f>'MDA Worksheet'!$K$95</f>
        <v/>
      </c>
      <c r="M7" s="1599"/>
      <c r="N7" s="1599"/>
      <c r="O7" s="330">
        <v>8</v>
      </c>
      <c r="P7" s="1599" t="s">
        <v>869</v>
      </c>
      <c r="Q7" s="1599"/>
      <c r="R7" s="1599"/>
      <c r="S7" s="1599">
        <f>'Required Info to Submit'!$F$10</f>
        <v>0</v>
      </c>
      <c r="T7" s="1599"/>
      <c r="V7" s="138"/>
    </row>
    <row r="8" spans="1:23" x14ac:dyDescent="0.25">
      <c r="A8" s="1039" t="s">
        <v>795</v>
      </c>
      <c r="B8" s="1599">
        <f>'Required Info to Submit'!$F$9</f>
        <v>0</v>
      </c>
      <c r="C8" s="1599"/>
      <c r="F8" s="1049" t="str">
        <f>IF(Incentives!E85="Yes","EB","")</f>
        <v/>
      </c>
      <c r="G8" s="1049" t="str">
        <f>IF(Incentives!E113="Yes","SG","")</f>
        <v/>
      </c>
      <c r="I8" s="137"/>
      <c r="M8" s="1039"/>
      <c r="R8" s="1039"/>
      <c r="V8" s="138"/>
    </row>
    <row r="9" spans="1:23" x14ac:dyDescent="0.25">
      <c r="A9" s="1039" t="s">
        <v>654</v>
      </c>
      <c r="B9" s="1599">
        <f>'Required Info to Submit'!$F$12</f>
        <v>0</v>
      </c>
      <c r="C9" s="1599"/>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599">
        <f>'Required Info to Submit'!$F$11</f>
        <v>0</v>
      </c>
      <c r="C10" s="1599"/>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15"/>
      <c r="C11" s="1615"/>
      <c r="F11" s="1049" t="str">
        <f>IF(Incentives!E208="Yes","Roll","")</f>
        <v/>
      </c>
      <c r="I11" s="1609" t="s">
        <v>736</v>
      </c>
      <c r="J11" s="1610"/>
      <c r="K11" s="1610"/>
      <c r="L11" s="1611"/>
      <c r="M11" s="284"/>
      <c r="N11" s="1609" t="s">
        <v>478</v>
      </c>
      <c r="O11" s="1610"/>
      <c r="P11" s="1610"/>
      <c r="Q11" s="1611"/>
      <c r="R11" s="284"/>
      <c r="S11" s="1609" t="s">
        <v>530</v>
      </c>
      <c r="T11" s="1610"/>
      <c r="U11" s="1610"/>
      <c r="V11" s="1611"/>
    </row>
    <row r="12" spans="1:23" ht="15.75" thickBot="1" x14ac:dyDescent="0.3">
      <c r="A12" s="1616" t="s">
        <v>736</v>
      </c>
      <c r="B12" s="1617"/>
      <c r="C12" s="1617"/>
      <c r="D12" s="1618"/>
      <c r="E12" s="816"/>
      <c r="F12" s="135"/>
      <c r="G12" s="135"/>
      <c r="H12" s="772"/>
      <c r="I12" s="1619" t="s">
        <v>737</v>
      </c>
      <c r="J12" s="1620"/>
      <c r="K12" s="1620"/>
      <c r="L12" s="1621"/>
      <c r="M12" s="284"/>
      <c r="N12" s="1619" t="s">
        <v>738</v>
      </c>
      <c r="O12" s="1620"/>
      <c r="P12" s="1620"/>
      <c r="Q12" s="1621"/>
      <c r="R12" s="284"/>
      <c r="S12" s="1619" t="s">
        <v>739</v>
      </c>
      <c r="T12" s="1620"/>
      <c r="U12" s="1620"/>
      <c r="V12" s="162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09" t="s">
        <v>1168</v>
      </c>
      <c r="J23" s="1610"/>
      <c r="K23" s="1610"/>
      <c r="L23" s="1611"/>
      <c r="M23" s="771"/>
      <c r="N23" s="1612" t="s">
        <v>1169</v>
      </c>
      <c r="O23" s="1613"/>
      <c r="P23" s="1613"/>
      <c r="Q23" s="1614"/>
      <c r="R23" s="771"/>
      <c r="S23" s="1609" t="s">
        <v>1164</v>
      </c>
      <c r="T23" s="1610"/>
      <c r="U23" s="1610"/>
      <c r="V23" s="1611"/>
    </row>
    <row r="24" spans="1:23" ht="15.75" thickBot="1" x14ac:dyDescent="0.3">
      <c r="A24" s="1616" t="s">
        <v>478</v>
      </c>
      <c r="B24" s="1617"/>
      <c r="C24" s="1617"/>
      <c r="D24" s="1618"/>
      <c r="E24" s="283"/>
      <c r="F24" s="135"/>
      <c r="G24" s="135"/>
      <c r="H24" s="284"/>
      <c r="I24" s="1619" t="s">
        <v>748</v>
      </c>
      <c r="J24" s="1620"/>
      <c r="K24" s="1620"/>
      <c r="L24" s="1621"/>
      <c r="M24" s="771"/>
      <c r="N24" s="1622" t="s">
        <v>748</v>
      </c>
      <c r="O24" s="1623"/>
      <c r="P24" s="1623"/>
      <c r="Q24" s="1624"/>
      <c r="R24" s="771"/>
      <c r="S24" s="1619" t="s">
        <v>749</v>
      </c>
      <c r="T24" s="1620"/>
      <c r="U24" s="1620"/>
      <c r="V24" s="1621"/>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5" t="s">
        <v>750</v>
      </c>
      <c r="J33" s="1626"/>
      <c r="K33" s="1626"/>
      <c r="L33" s="1627"/>
      <c r="M33" s="772"/>
      <c r="N33" s="1628" t="s">
        <v>1058</v>
      </c>
      <c r="O33" s="1629"/>
      <c r="P33" s="1629"/>
      <c r="Q33" s="1630"/>
      <c r="R33" s="772"/>
      <c r="S33" s="1628" t="s">
        <v>1177</v>
      </c>
      <c r="T33" s="1629"/>
      <c r="U33" s="1629"/>
      <c r="V33" s="1630"/>
    </row>
    <row r="34" spans="1:22" ht="15.75" thickBot="1" x14ac:dyDescent="0.3">
      <c r="A34" s="1616" t="s">
        <v>530</v>
      </c>
      <c r="B34" s="1617"/>
      <c r="C34" s="1617"/>
      <c r="D34" s="1618"/>
      <c r="E34" s="283"/>
      <c r="F34" s="135"/>
      <c r="G34" s="135"/>
      <c r="H34" s="284"/>
      <c r="I34" s="1631" t="s">
        <v>753</v>
      </c>
      <c r="J34" s="1632"/>
      <c r="K34" s="1632"/>
      <c r="L34" s="1633"/>
      <c r="M34" s="772"/>
      <c r="N34" s="1634" t="s">
        <v>752</v>
      </c>
      <c r="O34" s="1635"/>
      <c r="P34" s="1635"/>
      <c r="Q34" s="1636"/>
      <c r="R34" s="772"/>
      <c r="S34" s="1619" t="s">
        <v>1183</v>
      </c>
      <c r="T34" s="1620"/>
      <c r="U34" s="1620"/>
      <c r="V34" s="162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9" t="s">
        <v>1221</v>
      </c>
      <c r="O41" s="1610"/>
      <c r="P41" s="1610"/>
      <c r="Q41" s="1611"/>
      <c r="S41" s="1609"/>
      <c r="T41" s="1610"/>
      <c r="U41" s="1610"/>
      <c r="V41" s="1611"/>
    </row>
    <row r="42" spans="1:22" ht="15.75" thickBot="1" x14ac:dyDescent="0.3">
      <c r="A42" s="256"/>
      <c r="B42" s="310">
        <f>Incentives!$G$91</f>
        <v>0</v>
      </c>
      <c r="C42" s="320">
        <v>1</v>
      </c>
      <c r="D42" s="700">
        <f>Incentives!$K$91</f>
        <v>0</v>
      </c>
      <c r="E42" s="318"/>
      <c r="N42" s="1619" t="s">
        <v>1222</v>
      </c>
      <c r="O42" s="1620"/>
      <c r="P42" s="1620"/>
      <c r="Q42" s="1621"/>
      <c r="S42" s="1619"/>
      <c r="T42" s="1620"/>
      <c r="U42" s="1620"/>
      <c r="V42" s="1621"/>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6" t="s">
        <v>1177</v>
      </c>
      <c r="B44" s="1617"/>
      <c r="C44" s="1617"/>
      <c r="D44" s="1618"/>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616" t="s">
        <v>750</v>
      </c>
      <c r="B51" s="1617"/>
      <c r="C51" s="1617"/>
      <c r="D51" s="1618"/>
      <c r="E51" s="283"/>
      <c r="I51" s="810">
        <v>8</v>
      </c>
      <c r="J51" s="263">
        <f>IFERROR('MDA Worksheet'!D102,"")</f>
        <v>0</v>
      </c>
      <c r="K51" s="1047" t="str">
        <f>IFERROR('MDA Worksheet'!K102,"")</f>
        <v/>
      </c>
      <c r="N51" s="137" t="s">
        <v>1223</v>
      </c>
      <c r="O51" s="1637" t="str">
        <f>"Amount to be paid to the customer $ "&amp;TEXT(D69,"#,###,###.00")</f>
        <v>Amount to be paid to the customer $ .00</v>
      </c>
      <c r="P51" s="1637"/>
      <c r="Q51" s="1638"/>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37" t="str">
        <f>"Claw Back Amount $ "&amp;TEXT(D71,"#,###,###.00")</f>
        <v>Claw Back Amount $ .00</v>
      </c>
      <c r="P52" s="1637"/>
      <c r="Q52" s="1638"/>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6" t="s">
        <v>1168</v>
      </c>
      <c r="B57" s="1617"/>
      <c r="C57" s="1617"/>
      <c r="D57" s="1618"/>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6" t="s">
        <v>1210</v>
      </c>
      <c r="B66" s="1617"/>
      <c r="C66" s="1617"/>
      <c r="D66" s="1618"/>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6" t="e">
        <f>Incentives!#REF!</f>
        <v>#REF!</v>
      </c>
      <c r="B74" s="1617"/>
      <c r="C74" s="1617"/>
      <c r="D74" s="1617"/>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616" t="s">
        <v>1057</v>
      </c>
      <c r="B80" s="1617"/>
      <c r="C80" s="1617"/>
      <c r="D80" s="1618"/>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19" priority="16">
      <formula>$B$60="YES - Annual"</formula>
    </cfRule>
  </conditionalFormatting>
  <conditionalFormatting sqref="B60">
    <cfRule type="cellIs" dxfId="318" priority="19" operator="equal">
      <formula>"YES"</formula>
    </cfRule>
  </conditionalFormatting>
  <conditionalFormatting sqref="N23:Q23">
    <cfRule type="expression" dxfId="317" priority="15">
      <formula>$B$60="Yes"</formula>
    </cfRule>
  </conditionalFormatting>
  <conditionalFormatting sqref="B15 J15">
    <cfRule type="expression" dxfId="316" priority="22">
      <formula>$B$15="Annually"</formula>
    </cfRule>
  </conditionalFormatting>
  <conditionalFormatting sqref="B47">
    <cfRule type="expression" dxfId="315" priority="12">
      <formula>$B$47="Annually"</formula>
    </cfRule>
  </conditionalFormatting>
  <conditionalFormatting sqref="S36:V36">
    <cfRule type="expression" dxfId="314" priority="13">
      <formula>$T$36="Check"</formula>
    </cfRule>
  </conditionalFormatting>
  <conditionalFormatting sqref="B27">
    <cfRule type="cellIs" dxfId="313" priority="11" operator="equal">
      <formula>"Annually"</formula>
    </cfRule>
  </conditionalFormatting>
  <conditionalFormatting sqref="B37">
    <cfRule type="cellIs" dxfId="312" priority="21" operator="equal">
      <formula>"Annually"</formula>
    </cfRule>
  </conditionalFormatting>
  <conditionalFormatting sqref="B54">
    <cfRule type="cellIs" dxfId="311" priority="20" operator="equal">
      <formula>"Annually"</formula>
    </cfRule>
  </conditionalFormatting>
  <conditionalFormatting sqref="O16">
    <cfRule type="cellIs" dxfId="310" priority="10" operator="equal">
      <formula>"Annually"</formula>
    </cfRule>
  </conditionalFormatting>
  <conditionalFormatting sqref="T16">
    <cfRule type="cellIs" dxfId="309" priority="9" operator="equal">
      <formula>"Annually"</formula>
    </cfRule>
  </conditionalFormatting>
  <conditionalFormatting sqref="J37">
    <cfRule type="cellIs" dxfId="308" priority="18" operator="equal">
      <formula>"Annually"</formula>
    </cfRule>
  </conditionalFormatting>
  <conditionalFormatting sqref="T37">
    <cfRule type="expression" dxfId="307" priority="8">
      <formula>$B$47="Annually"</formula>
    </cfRule>
  </conditionalFormatting>
  <conditionalFormatting sqref="I30">
    <cfRule type="expression" dxfId="306" priority="7">
      <formula>$I$30=3</formula>
    </cfRule>
  </conditionalFormatting>
  <conditionalFormatting sqref="I31">
    <cfRule type="expression" dxfId="305" priority="6">
      <formula>$I$31=3</formula>
    </cfRule>
  </conditionalFormatting>
  <conditionalFormatting sqref="B62:B64">
    <cfRule type="expression" dxfId="304" priority="5">
      <formula>$B$60="YES - Annual"</formula>
    </cfRule>
    <cfRule type="expression" dxfId="303" priority="17">
      <formula>$B$60="No"</formula>
    </cfRule>
  </conditionalFormatting>
  <conditionalFormatting sqref="N32:Q32">
    <cfRule type="expression" dxfId="302" priority="14">
      <formula>$B$62=4</formula>
    </cfRule>
  </conditionalFormatting>
  <conditionalFormatting sqref="N31:Q32">
    <cfRule type="expression" dxfId="301" priority="23">
      <formula>$B$62=3</formula>
    </cfRule>
  </conditionalFormatting>
  <conditionalFormatting sqref="N30:Q32">
    <cfRule type="expression" dxfId="300" priority="24">
      <formula>$B$62=2</formula>
    </cfRule>
  </conditionalFormatting>
  <conditionalFormatting sqref="B61:B62">
    <cfRule type="expression" dxfId="299" priority="4">
      <formula>$B$60="NO"</formula>
    </cfRule>
  </conditionalFormatting>
  <conditionalFormatting sqref="B61">
    <cfRule type="expression" dxfId="298" priority="3">
      <formula>$B$60="YES - Annual"</formula>
    </cfRule>
  </conditionalFormatting>
  <conditionalFormatting sqref="D63:D64">
    <cfRule type="expression" dxfId="297" priority="2">
      <formula>$B$60&lt;&gt;"Yes - Purchase Commitment"</formula>
    </cfRule>
  </conditionalFormatting>
  <conditionalFormatting sqref="O45">
    <cfRule type="expression" dxfId="29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7" t="s">
        <v>722</v>
      </c>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8"/>
      <c r="AD2" s="1678"/>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9"/>
    </row>
    <row r="3" spans="2:68" x14ac:dyDescent="0.25">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c r="AA3" s="1681"/>
      <c r="AB3" s="1681"/>
      <c r="AC3" s="1681"/>
      <c r="AD3" s="1681"/>
      <c r="AE3" s="1681"/>
      <c r="AF3" s="1681"/>
      <c r="AG3" s="1681"/>
      <c r="AH3" s="1681"/>
      <c r="AI3" s="1681"/>
      <c r="AJ3" s="1681"/>
      <c r="AK3" s="1681"/>
      <c r="AL3" s="1681"/>
      <c r="AM3" s="1681"/>
      <c r="AN3" s="1681"/>
      <c r="AO3" s="1681"/>
      <c r="AP3" s="1681"/>
      <c r="AQ3" s="1681"/>
      <c r="AR3" s="1681"/>
      <c r="AS3" s="1681"/>
      <c r="AT3" s="1681"/>
      <c r="AU3" s="1681"/>
      <c r="AV3" s="1681"/>
      <c r="AW3" s="1681"/>
      <c r="AX3" s="1681"/>
      <c r="AY3" s="1681"/>
      <c r="AZ3" s="1681"/>
      <c r="BA3" s="1681"/>
      <c r="BB3" s="1681"/>
      <c r="BC3" s="1681"/>
      <c r="BD3" s="1681"/>
      <c r="BE3" s="1681"/>
      <c r="BF3" s="16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9" t="s">
        <v>649</v>
      </c>
      <c r="C8" s="1640"/>
      <c r="D8" s="1640"/>
      <c r="E8" s="1640"/>
      <c r="F8" s="1640"/>
      <c r="G8" s="1640"/>
      <c r="H8" s="1640"/>
      <c r="I8" s="1640"/>
      <c r="J8" s="1640"/>
      <c r="K8" s="1640"/>
      <c r="L8" s="1640"/>
      <c r="M8" s="1640"/>
      <c r="N8" s="1640"/>
      <c r="O8" s="1640"/>
      <c r="P8" s="1640"/>
      <c r="Q8" s="1640"/>
      <c r="R8" s="1640"/>
      <c r="S8" s="1640"/>
      <c r="T8" s="1640"/>
      <c r="U8" s="1640"/>
      <c r="V8" s="1640"/>
      <c r="W8" s="1640"/>
      <c r="X8" s="1640"/>
      <c r="Y8" s="1640"/>
      <c r="Z8" s="1640"/>
      <c r="AA8" s="1640"/>
      <c r="AB8" s="1640"/>
      <c r="AC8" s="1640"/>
      <c r="AD8" s="1640"/>
      <c r="AE8" s="1640"/>
      <c r="AF8" s="1640"/>
      <c r="AG8" s="1640"/>
      <c r="AH8" s="1640"/>
      <c r="AI8" s="1640"/>
      <c r="AJ8" s="1640"/>
      <c r="AK8" s="1640"/>
      <c r="AL8" s="1640"/>
      <c r="AM8" s="1640"/>
      <c r="AN8" s="1640"/>
      <c r="AO8" s="1640"/>
      <c r="AP8" s="1640"/>
      <c r="AQ8" s="1640"/>
      <c r="AR8" s="1640"/>
      <c r="AS8" s="1640"/>
      <c r="AT8" s="1640"/>
      <c r="AU8" s="1640"/>
      <c r="AV8" s="1640"/>
      <c r="AW8" s="1640"/>
      <c r="AX8" s="1640"/>
      <c r="AY8" s="1640"/>
      <c r="AZ8" s="1640"/>
      <c r="BA8" s="1640"/>
      <c r="BB8" s="1640"/>
      <c r="BC8" s="1640"/>
      <c r="BD8" s="1640"/>
      <c r="BE8" s="1640"/>
      <c r="BF8" s="1641"/>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6" t="s">
        <v>881</v>
      </c>
      <c r="C10" s="1592"/>
      <c r="D10" s="1592"/>
      <c r="E10" s="1592"/>
      <c r="F10" s="1592"/>
      <c r="G10" s="1592"/>
      <c r="H10" s="1592"/>
      <c r="I10" s="1592"/>
      <c r="J10" s="1592"/>
      <c r="K10" s="1687">
        <f>'Tracking &amp; Profitability'!$H$5</f>
        <v>0</v>
      </c>
      <c r="L10" s="1687"/>
      <c r="M10" s="1687"/>
      <c r="N10" s="1687"/>
      <c r="O10" s="1687"/>
      <c r="P10" s="1687"/>
      <c r="Q10" s="1687"/>
      <c r="R10" s="1687"/>
      <c r="S10" s="1687"/>
      <c r="T10" s="1687"/>
      <c r="U10" s="1687"/>
      <c r="V10" s="1687"/>
      <c r="W10" s="1687"/>
      <c r="X10" s="1687"/>
      <c r="Y10" s="1687"/>
      <c r="Z10" s="1687"/>
      <c r="AA10" s="1687"/>
      <c r="AB10" s="1687"/>
      <c r="AC10" s="1687"/>
      <c r="AD10" s="1687"/>
      <c r="AE10" s="1687"/>
      <c r="AI10" s="1592" t="s">
        <v>721</v>
      </c>
      <c r="AJ10" s="1592"/>
      <c r="AK10" s="1592"/>
      <c r="AL10" s="1592"/>
      <c r="AM10" s="1592"/>
      <c r="AN10" s="1592"/>
      <c r="AO10" s="1592"/>
      <c r="AP10" s="1592"/>
      <c r="AQ10" s="1592"/>
      <c r="AR10" s="1592"/>
      <c r="AT10" s="1695"/>
      <c r="AU10" s="1695"/>
      <c r="AV10" s="1695"/>
      <c r="AW10" s="1695"/>
      <c r="AX10" s="1695"/>
      <c r="AY10" s="1695"/>
      <c r="AZ10" s="1695"/>
      <c r="BA10" s="1695"/>
      <c r="BB10" s="1695"/>
      <c r="BC10" s="1695"/>
      <c r="BD10" s="1695"/>
      <c r="BF10" s="138"/>
    </row>
    <row r="11" spans="2:68" x14ac:dyDescent="0.25">
      <c r="B11" s="137"/>
      <c r="AL11" s="2"/>
      <c r="AM11" s="2"/>
      <c r="AN11" s="2"/>
      <c r="AO11" s="2"/>
      <c r="AP11" s="2"/>
      <c r="AQ11" s="2"/>
      <c r="AR11" s="2"/>
      <c r="AS11" s="2"/>
      <c r="AT11" s="2"/>
      <c r="AU11" s="2"/>
      <c r="AV11" s="2"/>
      <c r="BF11" s="138"/>
    </row>
    <row r="12" spans="2:68" x14ac:dyDescent="0.25">
      <c r="B12" s="1689" t="s">
        <v>882</v>
      </c>
      <c r="C12" s="1686"/>
      <c r="D12" s="1686"/>
      <c r="E12" s="1686"/>
      <c r="F12" s="1686"/>
      <c r="G12" s="1686"/>
      <c r="H12" s="1686"/>
      <c r="I12" s="1686"/>
      <c r="J12" s="1686"/>
      <c r="K12" s="1697">
        <f>'Required Info to Submit'!$F$4</f>
        <v>0</v>
      </c>
      <c r="L12" s="1697"/>
      <c r="M12" s="1697"/>
      <c r="N12" s="1697"/>
      <c r="O12" s="1697"/>
      <c r="P12" s="1697"/>
      <c r="Q12" s="1697"/>
      <c r="R12" s="1697"/>
      <c r="S12" s="1697"/>
      <c r="T12" s="1697"/>
      <c r="U12" s="1697"/>
      <c r="V12" s="1697"/>
      <c r="W12" s="1697"/>
      <c r="X12" s="1697"/>
      <c r="Y12" s="1697"/>
      <c r="Z12" s="1697"/>
      <c r="AA12" s="1697"/>
      <c r="AB12" s="1697"/>
      <c r="AC12" s="1697"/>
      <c r="AD12" s="1697"/>
      <c r="AE12" s="16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9" t="s">
        <v>899</v>
      </c>
      <c r="C14" s="1686"/>
      <c r="D14" s="1686"/>
      <c r="E14" s="1686"/>
      <c r="F14" s="1686"/>
      <c r="G14" s="1686"/>
      <c r="H14" s="1686"/>
      <c r="I14" s="1686"/>
      <c r="J14" s="1686"/>
      <c r="K14" s="1686"/>
      <c r="L14" s="1686"/>
      <c r="M14" s="1686"/>
      <c r="N14" s="1686"/>
      <c r="O14" s="1686"/>
      <c r="P14" s="1686"/>
      <c r="Q14" s="1686"/>
      <c r="R14" s="1688">
        <f>'Required Info to Submit'!$F$6</f>
        <v>0</v>
      </c>
      <c r="S14" s="1688"/>
      <c r="T14" s="1688"/>
      <c r="U14" s="1688"/>
      <c r="V14" s="1688"/>
      <c r="W14" s="1688"/>
      <c r="X14" s="1688"/>
      <c r="Y14" s="1688"/>
      <c r="Z14" s="1688"/>
      <c r="AA14" s="1688"/>
      <c r="AB14" s="1688"/>
      <c r="AC14" s="1688"/>
      <c r="AD14" s="1688"/>
      <c r="AE14" s="1688"/>
      <c r="AF14" s="1688"/>
      <c r="AG14" s="1688"/>
      <c r="AH14" s="1688"/>
      <c r="AI14" s="1688"/>
      <c r="AJ14" s="1688"/>
      <c r="AK14" s="1688"/>
      <c r="AL14" s="1688"/>
      <c r="AM14" s="1688"/>
      <c r="AN14" s="1688"/>
      <c r="AO14" s="1688"/>
      <c r="AP14" s="1688"/>
      <c r="AQ14" s="1688"/>
      <c r="AR14" s="1688"/>
      <c r="AS14" s="1688"/>
      <c r="AT14" s="1688"/>
      <c r="AU14" s="1688"/>
      <c r="AV14" s="1688"/>
      <c r="AW14" s="1688"/>
      <c r="AX14" s="1688"/>
      <c r="AY14" s="1688"/>
      <c r="AZ14" s="1688"/>
      <c r="BA14" s="1688"/>
      <c r="BB14" s="1688"/>
      <c r="BC14" s="1688"/>
      <c r="BD14" s="1688"/>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9" t="s">
        <v>720</v>
      </c>
      <c r="C16" s="1686"/>
      <c r="D16" s="1686"/>
      <c r="E16" s="1686"/>
      <c r="F16" s="1686"/>
      <c r="G16" s="1686"/>
      <c r="H16" s="1686"/>
      <c r="I16" s="1686"/>
      <c r="J16" s="1686"/>
      <c r="K16" s="1686"/>
      <c r="L16" s="1686"/>
      <c r="M16" s="1686"/>
      <c r="N16" s="1686"/>
      <c r="O16" s="1686"/>
      <c r="P16" s="1686"/>
      <c r="Q16" s="1686"/>
      <c r="R16" s="1697" t="s">
        <v>241</v>
      </c>
      <c r="S16" s="1697"/>
      <c r="T16" s="1681" t="s">
        <v>650</v>
      </c>
      <c r="U16" s="1681"/>
      <c r="V16" s="1681"/>
      <c r="W16" s="1681"/>
      <c r="X16" s="1681"/>
      <c r="Y16" s="1681"/>
      <c r="Z16" s="1681"/>
      <c r="AA16" s="1681"/>
      <c r="AB16" s="1681"/>
      <c r="AC16" s="1681"/>
      <c r="AD16" s="1681"/>
      <c r="AE16" s="1681"/>
      <c r="AF16" s="1681"/>
      <c r="AG16" s="1681"/>
      <c r="AH16" s="1681"/>
      <c r="AI16" s="1681"/>
      <c r="AJ16" s="1681"/>
      <c r="AK16" s="1681"/>
      <c r="AL16" s="1681"/>
      <c r="AO16" s="1681"/>
      <c r="AP16" s="1681"/>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90" t="s">
        <v>875</v>
      </c>
      <c r="C18" s="1691"/>
      <c r="D18" s="1691"/>
      <c r="E18" s="1691"/>
      <c r="F18" s="1691"/>
      <c r="G18" s="1691"/>
      <c r="H18" s="1691"/>
      <c r="I18" s="1691"/>
      <c r="J18" s="1691"/>
      <c r="K18" s="1691"/>
      <c r="L18" s="1691"/>
      <c r="M18" s="1691"/>
      <c r="N18" s="1691"/>
      <c r="O18" s="1691"/>
      <c r="P18" s="1691"/>
      <c r="Q18" s="1691"/>
      <c r="R18" s="1687">
        <f>'Required Info to Submit'!$F$8</f>
        <v>0</v>
      </c>
      <c r="S18" s="1687"/>
      <c r="T18" s="1687"/>
      <c r="U18" s="1687"/>
      <c r="V18" s="1687"/>
      <c r="W18" s="1687"/>
      <c r="X18" s="1687"/>
      <c r="Y18" s="1687"/>
      <c r="Z18" s="1687"/>
      <c r="AA18" s="1687"/>
      <c r="AB18" s="1687"/>
      <c r="AC18" s="1687"/>
      <c r="AD18" s="1687"/>
      <c r="AE18" s="1687"/>
      <c r="AF18" s="1687"/>
      <c r="AG18" s="1687"/>
      <c r="AH18" s="1687"/>
      <c r="AI18" s="1687"/>
      <c r="AJ18" s="1687"/>
      <c r="AK18" s="1687"/>
      <c r="AL18" s="1687"/>
      <c r="AN18" s="1686" t="s">
        <v>877</v>
      </c>
      <c r="AO18" s="1686"/>
      <c r="AP18" s="1686"/>
      <c r="AQ18" s="1686"/>
      <c r="AR18" s="1686"/>
      <c r="AS18" s="1686"/>
      <c r="AT18" s="1686"/>
      <c r="AU18" s="1686"/>
      <c r="AV18" s="1687">
        <f>'Required Info to Submit'!F10</f>
        <v>0</v>
      </c>
      <c r="AW18" s="1687"/>
      <c r="AX18" s="1687"/>
      <c r="AY18" s="1687"/>
      <c r="AZ18" s="1687"/>
      <c r="BA18" s="1687"/>
      <c r="BB18" s="1687"/>
      <c r="BC18" s="1687"/>
      <c r="BD18" s="1687"/>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9" t="s">
        <v>876</v>
      </c>
      <c r="C20" s="1686"/>
      <c r="D20" s="1686"/>
      <c r="E20" s="1686"/>
      <c r="F20" s="1686"/>
      <c r="G20" s="1686"/>
      <c r="H20" s="1686"/>
      <c r="I20" s="1686"/>
      <c r="J20" s="1686"/>
      <c r="K20" s="1686"/>
      <c r="L20" s="1686"/>
      <c r="M20" s="1686"/>
      <c r="N20" s="1686"/>
      <c r="O20" s="1686"/>
      <c r="P20" s="1686"/>
      <c r="Q20" s="1686"/>
      <c r="R20" s="1687">
        <f>'Required Info to Submit'!F9</f>
        <v>0</v>
      </c>
      <c r="S20" s="1687"/>
      <c r="T20" s="1687"/>
      <c r="U20" s="1687"/>
      <c r="V20" s="1687"/>
      <c r="W20" s="1687"/>
      <c r="X20" s="1687"/>
      <c r="Y20" s="1687"/>
      <c r="Z20" s="1687"/>
      <c r="AA20" s="1687"/>
      <c r="AB20" s="1687"/>
      <c r="AC20" s="1687"/>
      <c r="AD20" s="1687"/>
      <c r="AE20" s="1687"/>
      <c r="AF20" s="1687"/>
      <c r="AG20" s="1687"/>
      <c r="AH20" s="1687"/>
      <c r="AI20" s="1687"/>
      <c r="AJ20" s="1687"/>
      <c r="AK20" s="1687"/>
      <c r="AL20" s="1687"/>
      <c r="AN20" s="1686" t="s">
        <v>830</v>
      </c>
      <c r="AO20" s="1686"/>
      <c r="AP20" s="1686"/>
      <c r="AQ20" s="1686"/>
      <c r="AR20" s="1686"/>
      <c r="AS20" s="1686"/>
      <c r="AT20" s="1686"/>
      <c r="AU20" s="1686"/>
      <c r="AV20" s="1687">
        <f>'Required Info to Submit'!F11</f>
        <v>0</v>
      </c>
      <c r="AW20" s="1687"/>
      <c r="AX20" s="1687"/>
      <c r="AY20" s="1687"/>
      <c r="AZ20" s="1687"/>
      <c r="BA20" s="1687"/>
      <c r="BB20" s="1687"/>
      <c r="BC20" s="1687"/>
      <c r="BD20" s="1687"/>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9" t="s">
        <v>878</v>
      </c>
      <c r="C22" s="1686"/>
      <c r="D22" s="1686"/>
      <c r="E22" s="1686"/>
      <c r="F22" s="1686"/>
      <c r="G22" s="1686"/>
      <c r="H22" s="1686"/>
      <c r="I22" s="1686"/>
      <c r="J22" s="1686"/>
      <c r="K22" s="1686"/>
      <c r="L22" s="1686"/>
      <c r="M22" s="1686"/>
      <c r="N22" s="1686"/>
      <c r="O22" s="1686"/>
      <c r="P22" s="1686"/>
      <c r="Q22" s="1686"/>
      <c r="R22" s="1687">
        <f>'Required Info to Submit'!F12</f>
        <v>0</v>
      </c>
      <c r="S22" s="1687"/>
      <c r="T22" s="1687"/>
      <c r="U22" s="1687"/>
      <c r="V22" s="1687"/>
      <c r="W22" s="1687"/>
      <c r="X22" s="1687"/>
      <c r="Y22" s="1687"/>
      <c r="Z22" s="1687"/>
      <c r="AA22" s="1687"/>
      <c r="AB22" s="1687"/>
      <c r="AC22" s="1687"/>
      <c r="AD22" s="1687"/>
      <c r="AE22" s="1687"/>
      <c r="AF22" s="1687"/>
      <c r="AG22" s="1687"/>
      <c r="AH22" s="1687"/>
      <c r="AI22" s="1687"/>
      <c r="AJ22" s="1687"/>
      <c r="AK22" s="1687"/>
      <c r="AL22" s="1687"/>
      <c r="AN22" s="1686"/>
      <c r="AO22" s="1686"/>
      <c r="AP22" s="1686"/>
      <c r="AQ22" s="1686"/>
      <c r="AR22" s="1686"/>
      <c r="AS22" s="1686"/>
      <c r="AT22" s="1686"/>
      <c r="AU22" s="1686"/>
      <c r="AV22" s="1693"/>
      <c r="AW22" s="1693"/>
      <c r="AX22" s="1693"/>
      <c r="AY22" s="1693"/>
      <c r="AZ22" s="1693"/>
      <c r="BA22" s="1693"/>
      <c r="BB22" s="1693"/>
      <c r="BC22" s="1693"/>
      <c r="BD22" s="1693"/>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9" t="s">
        <v>879</v>
      </c>
      <c r="C24" s="1686"/>
      <c r="D24" s="1686"/>
      <c r="E24" s="1686"/>
      <c r="F24" s="1686"/>
      <c r="G24" s="1686"/>
      <c r="H24" s="1686"/>
      <c r="I24" s="1686"/>
      <c r="J24" s="1686"/>
      <c r="K24" s="1686"/>
      <c r="L24" s="1686"/>
      <c r="M24" s="1686"/>
      <c r="N24" s="1686"/>
      <c r="O24" s="1686"/>
      <c r="P24" s="1686"/>
      <c r="Q24" s="1686"/>
      <c r="R24" s="1698">
        <f>'Required Info to Submit'!$F$14</f>
        <v>0</v>
      </c>
      <c r="S24" s="1698"/>
      <c r="T24" s="1698"/>
      <c r="U24" s="1698"/>
      <c r="V24" s="1698"/>
      <c r="W24" s="1698"/>
      <c r="X24" s="1698"/>
      <c r="Y24" s="1698"/>
      <c r="Z24" s="1698"/>
      <c r="AA24" s="1698"/>
      <c r="AB24" s="1698"/>
      <c r="AC24" s="1698"/>
      <c r="AN24" s="1592" t="s">
        <v>883</v>
      </c>
      <c r="AO24" s="1592"/>
      <c r="AP24" s="1592"/>
      <c r="AQ24" s="1592"/>
      <c r="AR24" s="1592"/>
      <c r="AS24" s="1592"/>
      <c r="AT24" s="1592"/>
      <c r="AU24" s="1592"/>
      <c r="AV24" s="1694" t="e">
        <f>#REF!</f>
        <v>#REF!</v>
      </c>
      <c r="AW24" s="1694"/>
      <c r="AX24" s="1694"/>
      <c r="AY24" s="1694"/>
      <c r="AZ24" s="1694"/>
      <c r="BA24" s="1694"/>
      <c r="BB24" s="1694"/>
      <c r="BC24" s="1694"/>
      <c r="BD24" s="1694"/>
      <c r="BF24" s="138"/>
    </row>
    <row r="25" spans="2:68" ht="17.25" x14ac:dyDescent="0.25">
      <c r="B25" s="137"/>
      <c r="C25" s="267"/>
      <c r="D25" s="267"/>
      <c r="E25" s="267"/>
      <c r="F25" s="267"/>
      <c r="G25" s="267"/>
      <c r="H25" s="1692" t="s">
        <v>719</v>
      </c>
      <c r="I25" s="1692"/>
      <c r="J25" s="1692"/>
      <c r="K25" s="1692"/>
      <c r="L25" s="1692"/>
      <c r="M25" s="1692"/>
      <c r="N25" s="1692"/>
      <c r="O25" s="1692"/>
      <c r="P25" s="1692"/>
      <c r="Q25" s="267"/>
      <c r="AN25" s="1692" t="s">
        <v>718</v>
      </c>
      <c r="AO25" s="1692"/>
      <c r="AP25" s="1692"/>
      <c r="AQ25" s="1692"/>
      <c r="AR25" s="1692"/>
      <c r="AS25" s="1692"/>
      <c r="AT25" s="1692"/>
      <c r="BF25" s="138"/>
    </row>
    <row r="26" spans="2:68" ht="18.75" x14ac:dyDescent="0.3">
      <c r="B26" s="1639" t="s">
        <v>655</v>
      </c>
      <c r="C26" s="1640"/>
      <c r="D26" s="1640"/>
      <c r="E26" s="1640"/>
      <c r="F26" s="1640"/>
      <c r="G26" s="1640"/>
      <c r="H26" s="1640"/>
      <c r="I26" s="1640"/>
      <c r="J26" s="1640"/>
      <c r="K26" s="1640"/>
      <c r="L26" s="1640"/>
      <c r="M26" s="1640"/>
      <c r="N26" s="1640"/>
      <c r="O26" s="1640"/>
      <c r="P26" s="1640"/>
      <c r="Q26" s="1640"/>
      <c r="R26" s="1640"/>
      <c r="S26" s="1640"/>
      <c r="T26" s="1640"/>
      <c r="U26" s="1640"/>
      <c r="V26" s="1640"/>
      <c r="W26" s="1640"/>
      <c r="X26" s="1640"/>
      <c r="Y26" s="1640"/>
      <c r="Z26" s="1640"/>
      <c r="AA26" s="1640"/>
      <c r="AB26" s="1640"/>
      <c r="AC26" s="1640"/>
      <c r="AD26" s="1640"/>
      <c r="AE26" s="1640"/>
      <c r="AF26" s="1640"/>
      <c r="AG26" s="1640"/>
      <c r="AH26" s="1640"/>
      <c r="AI26" s="1640"/>
      <c r="AJ26" s="1640"/>
      <c r="AK26" s="1640"/>
      <c r="AL26" s="1640"/>
      <c r="AM26" s="1640"/>
      <c r="AN26" s="1640"/>
      <c r="AO26" s="1640"/>
      <c r="AP26" s="1640"/>
      <c r="AQ26" s="1640"/>
      <c r="AR26" s="1640"/>
      <c r="AS26" s="1640"/>
      <c r="AT26" s="1640"/>
      <c r="AU26" s="1640"/>
      <c r="AV26" s="1640"/>
      <c r="AW26" s="1640"/>
      <c r="AX26" s="1640"/>
      <c r="AY26" s="1640"/>
      <c r="AZ26" s="1640"/>
      <c r="BA26" s="1640"/>
      <c r="BB26" s="1640"/>
      <c r="BC26" s="1640"/>
      <c r="BD26" s="1640"/>
      <c r="BE26" s="1640"/>
      <c r="BF26" s="1641"/>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2" t="s">
        <v>656</v>
      </c>
      <c r="C28" s="1703"/>
      <c r="D28" s="1703"/>
      <c r="E28" s="1703"/>
      <c r="F28" s="1703"/>
      <c r="G28" s="1703"/>
      <c r="H28" s="1703"/>
      <c r="I28" s="1703"/>
      <c r="J28" s="1703"/>
      <c r="K28" s="1703"/>
      <c r="L28" s="1703"/>
      <c r="M28" s="1703"/>
      <c r="N28" s="1703"/>
      <c r="O28" s="1703"/>
      <c r="P28" s="1703"/>
      <c r="Q28" s="1703"/>
      <c r="T28" s="1699">
        <f>'Tracking &amp; Profitability'!$E$6</f>
        <v>0</v>
      </c>
      <c r="U28" s="1699"/>
      <c r="V28" s="1699"/>
      <c r="W28" s="1699"/>
      <c r="X28" s="1699"/>
      <c r="Y28" s="1699"/>
      <c r="Z28" s="1699"/>
      <c r="AA28" s="1699"/>
      <c r="AB28" s="1699"/>
      <c r="AF28" t="s">
        <v>717</v>
      </c>
      <c r="AO28" s="1697">
        <v>5</v>
      </c>
      <c r="AP28" s="1697"/>
      <c r="AQ28" s="1697"/>
      <c r="AR28" s="1681" t="s">
        <v>657</v>
      </c>
      <c r="AS28" s="1681"/>
      <c r="AU28" s="1697">
        <v>5</v>
      </c>
      <c r="AV28" s="1697"/>
      <c r="AW28" s="1697"/>
      <c r="AX28" s="1681" t="s">
        <v>716</v>
      </c>
      <c r="AY28" s="1681"/>
      <c r="BA28" s="1697">
        <v>5</v>
      </c>
      <c r="BB28" s="1697"/>
      <c r="BC28" s="1697"/>
      <c r="BD28" s="1681" t="s">
        <v>658</v>
      </c>
      <c r="BE28" s="1681"/>
      <c r="BF28" s="138"/>
    </row>
    <row r="29" spans="2:68" ht="17.25" x14ac:dyDescent="0.25">
      <c r="B29" s="137"/>
      <c r="T29" s="134"/>
      <c r="U29" s="134"/>
      <c r="V29" s="134"/>
      <c r="W29" s="134"/>
      <c r="X29" s="134"/>
      <c r="Y29" s="134"/>
      <c r="Z29" s="134"/>
      <c r="AA29" s="134"/>
      <c r="AB29" s="134"/>
      <c r="AF29" s="1692" t="s">
        <v>715</v>
      </c>
      <c r="AG29" s="1692"/>
      <c r="AH29" s="1692"/>
      <c r="AI29" s="1692"/>
      <c r="AJ29" s="1692"/>
      <c r="AK29" s="1692"/>
      <c r="AL29" s="1692"/>
      <c r="AM29" s="1692"/>
      <c r="AN29" s="1692"/>
      <c r="AO29" s="1692"/>
      <c r="AP29" s="1692"/>
      <c r="AQ29" s="1692"/>
      <c r="AR29" s="1692"/>
      <c r="AS29" s="1692"/>
      <c r="AT29" s="1692"/>
      <c r="AU29" s="1692"/>
      <c r="AV29" s="1692"/>
      <c r="AW29" s="1692"/>
      <c r="AX29" s="1692"/>
      <c r="AY29" s="1692"/>
      <c r="AZ29" s="1692"/>
      <c r="BA29" s="1692"/>
      <c r="BB29" s="1692"/>
      <c r="BC29" s="1692"/>
      <c r="BD29" s="1692"/>
      <c r="BE29" s="1692"/>
      <c r="BF29" s="138"/>
    </row>
    <row r="30" spans="2:68" x14ac:dyDescent="0.25">
      <c r="B30" s="1696" t="s">
        <v>712</v>
      </c>
      <c r="C30" s="1592"/>
      <c r="D30" s="1592"/>
      <c r="E30" s="1592"/>
      <c r="F30" s="1592"/>
      <c r="G30" s="1592"/>
      <c r="H30" s="1592"/>
      <c r="I30" s="1592"/>
      <c r="J30" s="1592"/>
      <c r="K30" s="1592"/>
      <c r="L30" s="1592"/>
      <c r="M30" s="1592"/>
      <c r="N30" s="1592"/>
      <c r="O30" s="1592"/>
      <c r="P30" s="1592"/>
      <c r="Q30" s="1592"/>
      <c r="T30" s="1706">
        <v>1</v>
      </c>
      <c r="U30" s="1706"/>
      <c r="V30" s="1706"/>
      <c r="W30" s="1706"/>
      <c r="AF30" s="1599" t="s">
        <v>714</v>
      </c>
      <c r="AG30" s="1599"/>
      <c r="AH30" s="1599"/>
      <c r="AI30" s="1599"/>
      <c r="AJ30" s="1599"/>
      <c r="AK30" s="1599"/>
      <c r="AL30" s="1599"/>
      <c r="AM30" s="1599"/>
      <c r="AN30" s="1599"/>
      <c r="AO30" s="1599"/>
      <c r="AP30" s="1697" t="s">
        <v>1044</v>
      </c>
      <c r="AQ30" s="1697"/>
      <c r="AR30" s="1697"/>
      <c r="AT30" s="1599" t="s">
        <v>713</v>
      </c>
      <c r="AU30" s="1599"/>
      <c r="AV30" s="1599"/>
      <c r="AW30" s="1599"/>
      <c r="AX30" s="1599"/>
      <c r="AY30" s="1599"/>
      <c r="AZ30" s="1599"/>
      <c r="BA30" s="1599"/>
      <c r="BB30" s="1599"/>
      <c r="BC30" s="1599"/>
      <c r="BF30" s="138"/>
    </row>
    <row r="31" spans="2:68" x14ac:dyDescent="0.25">
      <c r="B31" s="137"/>
      <c r="BF31" s="138"/>
      <c r="BP31" s="266"/>
    </row>
    <row r="32" spans="2:68" x14ac:dyDescent="0.25">
      <c r="B32" s="1696" t="s">
        <v>709</v>
      </c>
      <c r="C32" s="1592"/>
      <c r="D32" s="1592"/>
      <c r="E32" s="1592"/>
      <c r="F32" s="1592"/>
      <c r="G32" s="1592"/>
      <c r="H32" s="1592"/>
      <c r="I32" s="1592"/>
      <c r="J32" s="1592"/>
      <c r="K32" s="1592"/>
      <c r="L32" s="1592"/>
      <c r="M32" s="1592"/>
      <c r="N32" s="1592"/>
      <c r="O32" s="1592"/>
      <c r="P32" s="1592"/>
      <c r="Q32" s="1592"/>
      <c r="T32" s="1700" t="s">
        <v>1018</v>
      </c>
      <c r="U32" s="1700"/>
      <c r="V32" s="1700"/>
      <c r="W32" s="1700"/>
      <c r="X32" s="1700"/>
      <c r="Y32" s="1700"/>
      <c r="Z32" s="1700"/>
      <c r="AA32" s="1700"/>
      <c r="AB32" s="1700"/>
      <c r="AC32" s="1700"/>
      <c r="AD32" s="1700"/>
      <c r="AE32" s="1700"/>
      <c r="AF32" s="1700"/>
      <c r="AG32" s="1700"/>
      <c r="AH32" s="1700"/>
      <c r="AI32" s="1700"/>
      <c r="AJ32" s="1700"/>
      <c r="AK32" s="1700"/>
      <c r="AL32" s="1700"/>
      <c r="AM32" s="1700"/>
      <c r="AN32" s="1700"/>
      <c r="AO32" s="1700"/>
      <c r="BF32" s="138"/>
    </row>
    <row r="33" spans="2:92" x14ac:dyDescent="0.25">
      <c r="B33" s="137"/>
      <c r="BF33" s="138"/>
    </row>
    <row r="34" spans="2:92" x14ac:dyDescent="0.25">
      <c r="B34" s="137"/>
      <c r="C34" s="82"/>
      <c r="D34" s="82"/>
      <c r="E34" s="82"/>
      <c r="F34" s="82"/>
      <c r="G34" s="82"/>
      <c r="H34" s="82"/>
      <c r="I34" s="1697"/>
      <c r="J34" s="1697"/>
      <c r="K34" s="1681" t="s">
        <v>485</v>
      </c>
      <c r="L34" s="1681"/>
      <c r="M34" s="1681"/>
      <c r="N34" s="1681"/>
      <c r="O34" s="1681"/>
      <c r="P34" s="1681"/>
      <c r="Q34" s="1681"/>
      <c r="R34" s="1697" t="s">
        <v>241</v>
      </c>
      <c r="S34" s="1697"/>
      <c r="T34" s="1681" t="s">
        <v>484</v>
      </c>
      <c r="U34" s="1681"/>
      <c r="V34" s="1681"/>
      <c r="W34" s="1681"/>
      <c r="X34" s="1697"/>
      <c r="Y34" s="1697"/>
      <c r="Z34" s="1681" t="s">
        <v>483</v>
      </c>
      <c r="AA34" s="1681"/>
      <c r="AB34" s="1681"/>
      <c r="AF34" t="s">
        <v>711</v>
      </c>
      <c r="AL34" s="1697">
        <v>5</v>
      </c>
      <c r="AM34" s="1697"/>
      <c r="AN34" s="1697"/>
      <c r="AO34" t="s">
        <v>710</v>
      </c>
      <c r="BF34" s="138"/>
    </row>
    <row r="35" spans="2:92" x14ac:dyDescent="0.25">
      <c r="B35" s="137"/>
      <c r="BF35" s="138"/>
      <c r="BP35" s="268"/>
      <c r="CN35" s="266"/>
    </row>
    <row r="36" spans="2:92" x14ac:dyDescent="0.25">
      <c r="B36" s="1702" t="s">
        <v>708</v>
      </c>
      <c r="C36" s="1703"/>
      <c r="D36" s="1703"/>
      <c r="E36" s="1703"/>
      <c r="F36" s="1703"/>
      <c r="G36" s="1703"/>
      <c r="H36" s="1703"/>
      <c r="I36" s="1703"/>
      <c r="J36" s="1703"/>
      <c r="K36" s="1703"/>
      <c r="L36" s="1703"/>
      <c r="M36" s="1703"/>
      <c r="N36" s="1703"/>
      <c r="O36" s="1703"/>
      <c r="P36" s="1703"/>
      <c r="Q36" s="1703"/>
      <c r="R36" s="1703"/>
      <c r="T36" s="1712" t="str">
        <f>IFERROR($T$28/('Tracking &amp; Profitability'!$E$7*52*Welcome!$D$14),"Error on A La Carte")</f>
        <v>Error on A La Carte</v>
      </c>
      <c r="U36" s="1712"/>
      <c r="V36" s="1712"/>
      <c r="W36" s="1712"/>
      <c r="X36" s="1712"/>
      <c r="Y36" s="1712"/>
      <c r="Z36" s="1712"/>
      <c r="AA36" s="1712"/>
      <c r="AB36" s="1712"/>
      <c r="AF36" s="1703" t="s">
        <v>480</v>
      </c>
      <c r="AG36" s="1703"/>
      <c r="AH36" s="1703"/>
      <c r="AI36" s="1703"/>
      <c r="AJ36" s="1703"/>
      <c r="AK36" s="1703"/>
      <c r="AL36" s="1703"/>
      <c r="AM36" s="1703"/>
      <c r="AN36" s="1703"/>
      <c r="AO36" s="1703"/>
      <c r="AP36" s="1703"/>
      <c r="AQ36" s="1703"/>
      <c r="AR36" s="1703"/>
      <c r="AS36" s="1703"/>
      <c r="AU36" s="1697" t="e">
        <f>ROUND(((1-(('PIM Model'!$G$15+'PIM Model'!$G$17+'PIM Model'!$G$18)/'PIM Model'!$G$31))*100),0)&amp;"%/"&amp;ROUND((('PIM Model'!$G$15+'PIM Model'!$G$17+'PIM Model'!$G$18)/'PIM Model'!$G$31*100),0)&amp;"%"</f>
        <v>#DIV/0!</v>
      </c>
      <c r="AV36" s="1697"/>
      <c r="AW36" s="1697"/>
      <c r="AX36" s="1697"/>
      <c r="AY36" s="1697"/>
      <c r="AZ36" s="169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2" t="s">
        <v>706</v>
      </c>
      <c r="C38" s="1703"/>
      <c r="D38" s="1703"/>
      <c r="E38" s="1703"/>
      <c r="F38" s="1703"/>
      <c r="G38" s="1703"/>
      <c r="H38" s="1703"/>
      <c r="I38" s="1703"/>
      <c r="J38" s="1703"/>
      <c r="K38" s="1703"/>
      <c r="L38" s="1703"/>
      <c r="M38" s="1703"/>
      <c r="N38" s="1703"/>
      <c r="O38" s="1703"/>
      <c r="P38" s="1703"/>
      <c r="Q38" s="1703"/>
      <c r="R38" s="1703"/>
      <c r="T38" s="1713" t="str">
        <f>IFERROR('PIM Model'!$H$31/('PIM Model'!$E$6*52*Welcome!$D$14),"Error on A La Carte")</f>
        <v>Error on A La Carte</v>
      </c>
      <c r="U38" s="1713"/>
      <c r="V38" s="1713"/>
      <c r="W38" s="1713"/>
      <c r="X38" s="1713"/>
      <c r="Y38" s="1713"/>
      <c r="Z38" s="1713"/>
      <c r="AA38" s="1713"/>
      <c r="AB38" s="1713"/>
      <c r="AC38" s="269"/>
      <c r="AD38" s="269"/>
      <c r="AF38" s="1592" t="s">
        <v>659</v>
      </c>
      <c r="AG38" s="1592"/>
      <c r="AH38" s="1592"/>
      <c r="AI38" s="1592"/>
      <c r="AJ38" s="1592"/>
      <c r="AK38" s="1592"/>
      <c r="AL38" s="1592"/>
      <c r="AM38" s="1592"/>
      <c r="AN38" s="1592"/>
      <c r="AO38" s="1592"/>
      <c r="AP38" s="1592"/>
      <c r="AQ38" s="1592"/>
      <c r="AR38" s="1592"/>
      <c r="AS38" s="1592"/>
      <c r="AU38" s="1697">
        <f>COUNTIF('PIM Model'!$E$10:$E$30,"Include")</f>
        <v>21</v>
      </c>
      <c r="AV38" s="1697"/>
      <c r="AW38" s="1697"/>
      <c r="AX38" s="1697"/>
      <c r="AY38" s="1697"/>
      <c r="AZ38" s="1697"/>
      <c r="BF38" s="138"/>
    </row>
    <row r="39" spans="2:92" x14ac:dyDescent="0.25">
      <c r="B39" s="137"/>
      <c r="BF39" s="138"/>
    </row>
    <row r="40" spans="2:92" x14ac:dyDescent="0.25">
      <c r="B40" s="1702" t="s">
        <v>704</v>
      </c>
      <c r="C40" s="1703"/>
      <c r="D40" s="1703"/>
      <c r="E40" s="1703"/>
      <c r="F40" s="1703"/>
      <c r="G40" s="1703"/>
      <c r="H40" s="1703"/>
      <c r="I40" s="1703"/>
      <c r="J40" s="1703"/>
      <c r="K40" s="1703"/>
      <c r="L40" s="1703"/>
      <c r="M40" s="1703"/>
      <c r="N40" s="1703"/>
      <c r="O40" s="1703"/>
      <c r="P40" s="1703"/>
      <c r="Q40" s="1703"/>
      <c r="R40" s="1703"/>
      <c r="T40" s="1699">
        <f>IFERROR('PIM Model'!$G$31/'PIM Model'!$H$31,0)</f>
        <v>0</v>
      </c>
      <c r="U40" s="1699"/>
      <c r="V40" s="1699"/>
      <c r="W40" s="1699"/>
      <c r="X40" s="1699"/>
      <c r="Y40" s="1699"/>
      <c r="Z40" s="1699"/>
      <c r="AA40" s="1699"/>
      <c r="AB40" s="1699"/>
      <c r="AF40" s="1592" t="s">
        <v>707</v>
      </c>
      <c r="AG40" s="1592"/>
      <c r="AH40" s="1592"/>
      <c r="AI40" s="1592"/>
      <c r="AJ40" s="1592"/>
      <c r="AK40" s="1592"/>
      <c r="AL40" s="1592"/>
      <c r="AM40" s="1592"/>
      <c r="AN40" s="1592"/>
      <c r="AO40" s="1592"/>
      <c r="AP40" s="1592"/>
      <c r="AQ40" s="1592"/>
      <c r="AR40" s="1592"/>
      <c r="AS40" s="1592"/>
      <c r="AU40" s="1697">
        <f>$AO$28+$AU$28+$BA$28</f>
        <v>15</v>
      </c>
      <c r="AV40" s="1697"/>
      <c r="AW40" s="1697"/>
      <c r="BC40" s="1681"/>
      <c r="BD40" s="1681"/>
      <c r="BE40" s="1681"/>
      <c r="BF40" s="138"/>
    </row>
    <row r="41" spans="2:92" x14ac:dyDescent="0.25">
      <c r="B41" s="137"/>
      <c r="BF41" s="138"/>
      <c r="BP41" s="266"/>
      <c r="CN41" s="268"/>
    </row>
    <row r="42" spans="2:92" x14ac:dyDescent="0.25">
      <c r="B42" s="1696" t="s">
        <v>702</v>
      </c>
      <c r="C42" s="1592"/>
      <c r="D42" s="1592"/>
      <c r="E42" s="1592"/>
      <c r="F42" s="1592"/>
      <c r="G42" s="1592"/>
      <c r="H42" s="1592"/>
      <c r="I42" s="1592"/>
      <c r="J42" s="1592"/>
      <c r="K42" s="1592"/>
      <c r="L42" s="1592"/>
      <c r="M42" s="1592"/>
      <c r="N42" s="1592"/>
      <c r="O42" s="1592"/>
      <c r="P42" s="1592"/>
      <c r="Q42" s="1592"/>
      <c r="R42" s="1592"/>
      <c r="T42" s="1699" t="s">
        <v>758</v>
      </c>
      <c r="U42" s="1699"/>
      <c r="V42" s="1699"/>
      <c r="W42" s="1699"/>
      <c r="X42" s="1699"/>
      <c r="Y42" s="1699"/>
      <c r="Z42" s="1699"/>
      <c r="AA42" s="1699"/>
      <c r="AB42" s="1699"/>
      <c r="AF42" s="1592" t="s">
        <v>705</v>
      </c>
      <c r="AG42" s="1592"/>
      <c r="AH42" s="1592"/>
      <c r="AI42" s="1592"/>
      <c r="AJ42" s="1592"/>
      <c r="AK42" s="1592"/>
      <c r="AL42" s="1592"/>
      <c r="AM42" s="1592"/>
      <c r="AN42" s="1592"/>
      <c r="AO42" s="1592"/>
      <c r="AP42" s="1592"/>
      <c r="AQ42" s="1592"/>
      <c r="AR42" s="1592"/>
      <c r="AS42" s="1592"/>
      <c r="AU42" s="1697" t="s">
        <v>651</v>
      </c>
      <c r="AV42" s="1697"/>
      <c r="AW42" s="1697"/>
      <c r="BC42" s="1681"/>
      <c r="BD42" s="1681"/>
      <c r="BE42" s="1681"/>
      <c r="BF42" s="138"/>
    </row>
    <row r="43" spans="2:92" x14ac:dyDescent="0.25">
      <c r="B43" s="137"/>
      <c r="BF43" s="138"/>
      <c r="BP43" s="266"/>
      <c r="CN43" s="268"/>
    </row>
    <row r="44" spans="2:92" x14ac:dyDescent="0.25">
      <c r="B44" s="1702" t="s">
        <v>700</v>
      </c>
      <c r="C44" s="1703"/>
      <c r="D44" s="1703"/>
      <c r="E44" s="1703"/>
      <c r="F44" s="1703"/>
      <c r="G44" s="1703"/>
      <c r="H44" s="1703"/>
      <c r="I44" s="1703"/>
      <c r="J44" s="1703"/>
      <c r="K44" s="1703"/>
      <c r="L44" s="1703"/>
      <c r="M44" s="1703"/>
      <c r="N44" s="1703"/>
      <c r="O44" s="1703"/>
      <c r="P44" s="1703"/>
      <c r="Q44" s="1703"/>
      <c r="R44" s="1703"/>
      <c r="T44" s="1705">
        <f>'Tracking &amp; Profitability'!$E$7</f>
        <v>0</v>
      </c>
      <c r="U44" s="1705"/>
      <c r="V44" s="1705"/>
      <c r="W44" s="1705"/>
      <c r="X44" s="1705"/>
      <c r="Y44" s="1705"/>
      <c r="Z44" s="1705"/>
      <c r="AA44" s="1705"/>
      <c r="AB44" s="1705"/>
      <c r="AF44" s="1592" t="s">
        <v>703</v>
      </c>
      <c r="AG44" s="1592"/>
      <c r="AH44" s="1592"/>
      <c r="AI44" s="1592"/>
      <c r="AJ44" s="1592"/>
      <c r="AK44" s="1592"/>
      <c r="AL44" s="1592"/>
      <c r="AM44" s="1592"/>
      <c r="AN44" s="1592"/>
      <c r="AO44" s="1592"/>
      <c r="AP44" s="1592"/>
      <c r="AQ44" s="1592"/>
      <c r="AR44" s="1592"/>
      <c r="AS44" s="1592"/>
      <c r="AU44" s="1697" t="s">
        <v>651</v>
      </c>
      <c r="AV44" s="1697"/>
      <c r="AW44" s="1697"/>
      <c r="BC44" s="1681"/>
      <c r="BD44" s="1681"/>
      <c r="BE44" s="1681"/>
      <c r="BF44" s="138"/>
    </row>
    <row r="45" spans="2:92" x14ac:dyDescent="0.25">
      <c r="B45" s="137"/>
      <c r="BF45" s="138"/>
      <c r="CN45" s="268"/>
    </row>
    <row r="46" spans="2:92" x14ac:dyDescent="0.25">
      <c r="B46" s="1707" t="s">
        <v>660</v>
      </c>
      <c r="C46" s="1708"/>
      <c r="D46" s="1708"/>
      <c r="E46" s="1708"/>
      <c r="F46" s="1708"/>
      <c r="G46" s="1708"/>
      <c r="H46" s="1708"/>
      <c r="I46" s="1708"/>
      <c r="J46" s="1708"/>
      <c r="K46" s="1708"/>
      <c r="L46" s="1708"/>
      <c r="M46" s="1708"/>
      <c r="N46" s="1708"/>
      <c r="O46" s="1708"/>
      <c r="P46" s="1708"/>
      <c r="Q46" s="1708"/>
      <c r="R46" s="1708"/>
      <c r="T46" s="1687">
        <v>150</v>
      </c>
      <c r="U46" s="1687"/>
      <c r="V46" s="1687"/>
      <c r="W46" s="1687"/>
      <c r="X46" s="1687"/>
      <c r="Y46" s="1687"/>
      <c r="Z46" s="1687"/>
      <c r="AA46" s="1687"/>
      <c r="AB46" s="1687"/>
      <c r="AF46" s="1701" t="s">
        <v>701</v>
      </c>
      <c r="AG46" s="1701"/>
      <c r="AH46" s="1701"/>
      <c r="AI46" s="1701"/>
      <c r="AJ46" s="1701"/>
      <c r="AK46" s="1701"/>
      <c r="AL46" s="1701"/>
      <c r="AM46" s="1701"/>
      <c r="AN46" s="1701"/>
      <c r="AO46" s="1701"/>
      <c r="AP46" s="1701"/>
      <c r="AQ46" s="1701"/>
      <c r="AR46" s="1701"/>
      <c r="AS46" s="1701"/>
      <c r="AU46" s="1717">
        <v>0.3</v>
      </c>
      <c r="AV46" s="1717"/>
      <c r="AW46" s="1717"/>
      <c r="AX46" s="1717"/>
      <c r="AY46" s="1717"/>
      <c r="AZ46" s="1717"/>
      <c r="BF46" s="138"/>
    </row>
    <row r="47" spans="2:92" x14ac:dyDescent="0.25">
      <c r="B47" s="137"/>
      <c r="BF47" s="138"/>
      <c r="CN47" s="268"/>
    </row>
    <row r="48" spans="2:92" x14ac:dyDescent="0.25">
      <c r="B48" s="1702" t="s">
        <v>481</v>
      </c>
      <c r="C48" s="1703"/>
      <c r="D48" s="1703"/>
      <c r="E48" s="1703"/>
      <c r="F48" s="1703"/>
      <c r="G48" s="1703"/>
      <c r="H48" s="1703"/>
      <c r="I48" s="1703"/>
      <c r="J48" s="1703"/>
      <c r="K48" s="1703"/>
      <c r="L48" s="1703"/>
      <c r="M48" s="1703"/>
      <c r="N48" s="1703"/>
      <c r="O48" s="1703"/>
      <c r="P48" s="1703"/>
      <c r="Q48" s="1703"/>
      <c r="R48" s="1703"/>
      <c r="T48" s="1687">
        <f>$K$10</f>
        <v>0</v>
      </c>
      <c r="U48" s="1687"/>
      <c r="V48" s="1687"/>
      <c r="W48" s="1687"/>
      <c r="X48" s="1687"/>
      <c r="Y48" s="1687"/>
      <c r="Z48" s="1687"/>
      <c r="AA48" s="1687"/>
      <c r="AB48" s="1687"/>
      <c r="AF48" s="1701" t="s">
        <v>699</v>
      </c>
      <c r="AG48" s="1701"/>
      <c r="AH48" s="1701"/>
      <c r="AI48" s="1701"/>
      <c r="AJ48" s="1701"/>
      <c r="AK48" s="1701"/>
      <c r="AL48" s="1701"/>
      <c r="AM48" s="1701"/>
      <c r="AN48" s="1701"/>
      <c r="AO48" s="1701"/>
      <c r="AP48" s="1701"/>
      <c r="AQ48" s="1701"/>
      <c r="AR48" s="1701"/>
      <c r="AS48" s="1701"/>
      <c r="AU48" s="1721">
        <v>2.25</v>
      </c>
      <c r="AV48" s="1722"/>
      <c r="AW48" s="1722"/>
      <c r="AX48" s="1722"/>
      <c r="AY48" s="1722"/>
      <c r="AZ48" s="1722"/>
      <c r="BF48" s="138"/>
    </row>
    <row r="49" spans="2:92" x14ac:dyDescent="0.25">
      <c r="B49" s="137"/>
      <c r="BF49" s="138"/>
      <c r="CN49" s="268"/>
    </row>
    <row r="50" spans="2:92" x14ac:dyDescent="0.25">
      <c r="B50" s="1711" t="s">
        <v>698</v>
      </c>
      <c r="C50" s="1701"/>
      <c r="D50" s="1701"/>
      <c r="E50" s="1701"/>
      <c r="F50" s="1701"/>
      <c r="G50" s="1701"/>
      <c r="H50" s="1701"/>
      <c r="I50" s="1701"/>
      <c r="J50" s="1701"/>
      <c r="K50" s="1701"/>
      <c r="L50" s="1701"/>
      <c r="M50" s="1701"/>
      <c r="N50" s="1701"/>
      <c r="O50" s="1701"/>
      <c r="P50" s="1701"/>
      <c r="Q50" s="1701"/>
      <c r="R50" s="1701"/>
      <c r="T50" s="1709">
        <v>500</v>
      </c>
      <c r="U50" s="1709"/>
      <c r="V50" s="1709"/>
      <c r="W50" s="1709"/>
      <c r="X50" s="1709"/>
      <c r="Y50" s="1709"/>
      <c r="Z50" s="1592" t="s">
        <v>697</v>
      </c>
      <c r="AA50" s="1592"/>
      <c r="AB50" s="1592"/>
      <c r="AC50" s="1709">
        <v>35</v>
      </c>
      <c r="AD50" s="1709"/>
      <c r="AE50" s="1709"/>
      <c r="AF50" s="1709"/>
      <c r="AG50" s="170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4" t="s">
        <v>681</v>
      </c>
      <c r="C53" s="1715"/>
      <c r="D53" s="1715"/>
      <c r="E53" s="1715"/>
      <c r="F53" s="1715"/>
      <c r="G53" s="1715"/>
      <c r="H53" s="1715"/>
      <c r="I53" s="1715"/>
      <c r="J53" s="1715"/>
      <c r="K53" s="1715"/>
      <c r="L53" s="1715"/>
      <c r="M53" s="1715"/>
      <c r="N53" s="1715"/>
      <c r="O53" s="1715"/>
      <c r="P53" s="1715"/>
      <c r="Q53" s="1715"/>
      <c r="R53" s="1715"/>
      <c r="S53" s="1715"/>
      <c r="T53" s="1715"/>
      <c r="U53" s="1715"/>
      <c r="V53" s="1715"/>
      <c r="W53" s="1715"/>
      <c r="X53" s="1715"/>
      <c r="Y53" s="1715"/>
      <c r="Z53" s="1715"/>
      <c r="AA53" s="1715"/>
      <c r="AB53" s="1715"/>
      <c r="AC53" s="1715"/>
      <c r="AD53" s="1715"/>
      <c r="AE53" s="1715"/>
      <c r="AF53" s="1715"/>
      <c r="AG53" s="1715"/>
      <c r="AH53" s="1715"/>
      <c r="AI53" s="1715"/>
      <c r="AJ53" s="1715"/>
      <c r="AK53" s="1715"/>
      <c r="AL53" s="1715"/>
      <c r="AM53" s="1715"/>
      <c r="AN53" s="1715"/>
      <c r="AO53" s="1715"/>
      <c r="AP53" s="1715"/>
      <c r="AQ53" s="1715"/>
      <c r="AR53" s="1715"/>
      <c r="AS53" s="1715"/>
      <c r="AT53" s="1715"/>
      <c r="AU53" s="1715"/>
      <c r="AV53" s="1715"/>
      <c r="AW53" s="1715"/>
      <c r="AX53" s="1715"/>
      <c r="AY53" s="1715"/>
      <c r="AZ53" s="1715"/>
      <c r="BA53" s="1715"/>
      <c r="BB53" s="1715"/>
      <c r="BC53" s="1715"/>
      <c r="BD53" s="1715"/>
      <c r="BE53" s="1715"/>
      <c r="BF53" s="1716"/>
    </row>
    <row r="54" spans="2:92" x14ac:dyDescent="0.25">
      <c r="B54" s="1718" t="s">
        <v>696</v>
      </c>
      <c r="C54" s="1719"/>
      <c r="D54" s="1719"/>
      <c r="E54" s="1719"/>
      <c r="F54" s="1719"/>
      <c r="G54" s="1719"/>
      <c r="H54" s="1719"/>
      <c r="I54" s="1719"/>
      <c r="J54" s="1719"/>
      <c r="K54" s="1719"/>
      <c r="L54" s="1719"/>
      <c r="M54" s="1719"/>
      <c r="N54" s="1719"/>
      <c r="O54" s="1719"/>
      <c r="P54" s="1719"/>
      <c r="Q54" s="1719"/>
      <c r="R54" s="1719"/>
      <c r="S54" s="1719"/>
      <c r="T54" s="1719"/>
      <c r="U54" s="1719"/>
      <c r="V54" s="1719"/>
      <c r="W54" s="1719"/>
      <c r="X54" s="1719"/>
      <c r="Y54" s="1719"/>
      <c r="Z54" s="1719"/>
      <c r="AA54" s="1719"/>
      <c r="AB54" s="1719"/>
      <c r="AC54" s="1719"/>
      <c r="AD54" s="1719"/>
      <c r="AE54" s="1719"/>
      <c r="AF54" s="1719"/>
      <c r="AG54" s="1719"/>
      <c r="AH54" s="1719"/>
      <c r="AI54" s="1719"/>
      <c r="AJ54" s="1719"/>
      <c r="AK54" s="1719"/>
      <c r="AL54" s="1719"/>
      <c r="AM54" s="1719"/>
      <c r="AN54" s="1719"/>
      <c r="AO54" s="1719"/>
      <c r="AP54" s="1719"/>
      <c r="AQ54" s="1719"/>
      <c r="AR54" s="1719"/>
      <c r="AS54" s="1719"/>
      <c r="AT54" s="1719"/>
      <c r="AU54" s="1719"/>
      <c r="AV54" s="1719"/>
      <c r="AW54" s="1719"/>
      <c r="AX54" s="1719"/>
      <c r="AY54" s="1719"/>
      <c r="AZ54" s="1719"/>
      <c r="BA54" s="1719"/>
      <c r="BB54" s="1719"/>
      <c r="BC54" s="1719"/>
      <c r="BD54" s="1719"/>
      <c r="BE54" s="1719"/>
      <c r="BF54" s="1720"/>
      <c r="BP54" s="266"/>
    </row>
    <row r="55" spans="2:92" x14ac:dyDescent="0.25">
      <c r="B55" s="137"/>
      <c r="AC55" s="271"/>
      <c r="AD55" s="271"/>
      <c r="AE55" s="271"/>
      <c r="AF55" s="271"/>
      <c r="AG55" s="271"/>
      <c r="AH55" s="271"/>
      <c r="AK55" s="1686"/>
      <c r="AL55" s="1686"/>
      <c r="AM55" s="1686"/>
      <c r="AN55" s="1686"/>
      <c r="AO55" s="1542"/>
      <c r="AP55" s="1542"/>
      <c r="AQ55" s="1542"/>
      <c r="AR55" s="134"/>
      <c r="AS55" s="134"/>
      <c r="AT55" s="1542"/>
      <c r="AU55" s="1542"/>
      <c r="AV55" s="1542"/>
      <c r="AW55" s="134"/>
      <c r="AX55" s="134"/>
      <c r="AY55" s="1542"/>
      <c r="AZ55" s="1542"/>
      <c r="BA55" s="1542"/>
      <c r="BB55" s="134"/>
      <c r="BC55" s="134"/>
      <c r="BD55" s="1542"/>
      <c r="BE55" s="1542"/>
      <c r="BF55" s="1704"/>
      <c r="BP55" s="272"/>
    </row>
    <row r="56" spans="2:92" x14ac:dyDescent="0.25">
      <c r="B56" s="137"/>
      <c r="C56" s="1599" t="s">
        <v>103</v>
      </c>
      <c r="D56" s="1599"/>
      <c r="E56" s="1599"/>
      <c r="F56" s="1599"/>
      <c r="G56" s="1599"/>
      <c r="H56" s="1599"/>
      <c r="I56" s="1599"/>
      <c r="J56" s="1599"/>
      <c r="K56" s="1599"/>
      <c r="L56" s="1599"/>
      <c r="M56" s="1599"/>
      <c r="N56" s="1599"/>
      <c r="O56" s="1599"/>
      <c r="P56" s="1599"/>
      <c r="Q56" s="1599"/>
      <c r="R56" s="1599"/>
      <c r="S56" s="1599"/>
      <c r="T56" s="1599"/>
      <c r="U56" s="1599"/>
      <c r="V56" s="1599"/>
      <c r="W56" s="1599"/>
      <c r="X56" s="1599"/>
      <c r="Y56" s="1599"/>
      <c r="Z56" s="1599"/>
      <c r="AC56" s="1697" t="str">
        <f>'PIM Model'!$AD$11</f>
        <v/>
      </c>
      <c r="AD56" s="1697"/>
      <c r="AE56" s="1697" t="str">
        <f>'PIM Model'!$D$11</f>
        <v>%</v>
      </c>
      <c r="AF56" s="1697"/>
      <c r="AG56" s="1697" t="str">
        <f>'PIM Model'!$D$11</f>
        <v>%</v>
      </c>
      <c r="AH56" s="1697"/>
      <c r="AI56" s="1681" t="str">
        <f>'PIM Model'!$D$11</f>
        <v>%</v>
      </c>
      <c r="AJ56" s="1681"/>
      <c r="AK56" s="134"/>
      <c r="AL56" s="134"/>
      <c r="AM56" s="134"/>
      <c r="AN56" s="134"/>
      <c r="AO56" s="1542"/>
      <c r="AP56" s="1542"/>
      <c r="AQ56" s="1542"/>
      <c r="AR56" s="134"/>
      <c r="AS56" s="134"/>
      <c r="AT56" s="1542"/>
      <c r="AU56" s="1542"/>
      <c r="AV56" s="1542"/>
      <c r="AW56" s="134"/>
      <c r="AX56" s="134"/>
      <c r="AY56" s="1542"/>
      <c r="AZ56" s="1542"/>
      <c r="BA56" s="1542"/>
      <c r="BB56" s="134"/>
      <c r="BC56" s="134"/>
      <c r="BD56" s="1542"/>
      <c r="BE56" s="1542"/>
      <c r="BF56" s="1704"/>
      <c r="BP56" s="266"/>
    </row>
    <row r="57" spans="2:92" x14ac:dyDescent="0.25">
      <c r="B57" s="137"/>
      <c r="C57" s="1599" t="s">
        <v>102</v>
      </c>
      <c r="D57" s="1599"/>
      <c r="E57" s="1599"/>
      <c r="F57" s="1599"/>
      <c r="G57" s="1599"/>
      <c r="H57" s="1599"/>
      <c r="I57" s="1599"/>
      <c r="J57" s="1599"/>
      <c r="K57" s="1599"/>
      <c r="L57" s="1599"/>
      <c r="M57" s="1599"/>
      <c r="N57" s="1599"/>
      <c r="O57" s="1599"/>
      <c r="P57" s="1599"/>
      <c r="Q57" s="1599"/>
      <c r="R57" s="1599"/>
      <c r="S57" s="1599"/>
      <c r="T57" s="1599"/>
      <c r="U57" s="1599"/>
      <c r="V57" s="1599"/>
      <c r="W57" s="1599"/>
      <c r="X57" s="1599"/>
      <c r="Y57" s="1599"/>
      <c r="Z57" s="1599"/>
      <c r="AC57" s="1684" t="str">
        <f>'PIM Model'!$AD$13</f>
        <v/>
      </c>
      <c r="AD57" s="1684"/>
      <c r="AE57" s="1684" t="str">
        <f>'PIM Model'!$D$13</f>
        <v>%</v>
      </c>
      <c r="AF57" s="1684"/>
      <c r="AG57" s="1684" t="str">
        <f>'PIM Model'!$D$13</f>
        <v>%</v>
      </c>
      <c r="AH57" s="1684"/>
      <c r="AI57" s="1681" t="str">
        <f>'PIM Model'!$D$13</f>
        <v>%</v>
      </c>
      <c r="AJ57" s="168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9" t="s">
        <v>101</v>
      </c>
      <c r="D58" s="1599"/>
      <c r="E58" s="1599"/>
      <c r="F58" s="1599"/>
      <c r="G58" s="1599"/>
      <c r="H58" s="1599"/>
      <c r="I58" s="1599"/>
      <c r="J58" s="1599"/>
      <c r="K58" s="1599"/>
      <c r="L58" s="1599"/>
      <c r="M58" s="1599"/>
      <c r="N58" s="1599"/>
      <c r="O58" s="1599"/>
      <c r="P58" s="1599"/>
      <c r="Q58" s="1599"/>
      <c r="R58" s="1599"/>
      <c r="S58" s="1599"/>
      <c r="T58" s="1599"/>
      <c r="U58" s="1599"/>
      <c r="V58" s="1599"/>
      <c r="W58" s="1599"/>
      <c r="X58" s="1599"/>
      <c r="Y58" s="1599"/>
      <c r="Z58" s="1599"/>
      <c r="AC58" s="1684" t="str">
        <f>'PIM Model'!$AD$19</f>
        <v/>
      </c>
      <c r="AD58" s="1684"/>
      <c r="AE58" s="1684" t="str">
        <f>'PIM Model'!$D$19</f>
        <v>%</v>
      </c>
      <c r="AF58" s="1684"/>
      <c r="AG58" s="1684" t="str">
        <f>'PIM Model'!$D$19</f>
        <v>%</v>
      </c>
      <c r="AH58" s="1684"/>
      <c r="AI58" s="1681" t="str">
        <f>'PIM Model'!$D$19</f>
        <v>%</v>
      </c>
      <c r="AJ58" s="168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9" t="s">
        <v>100</v>
      </c>
      <c r="D59" s="1599"/>
      <c r="E59" s="1599"/>
      <c r="F59" s="1599"/>
      <c r="G59" s="1599"/>
      <c r="H59" s="1599"/>
      <c r="I59" s="1599"/>
      <c r="J59" s="1599"/>
      <c r="K59" s="1599"/>
      <c r="L59" s="1599"/>
      <c r="M59" s="1599"/>
      <c r="N59" s="1599"/>
      <c r="O59" s="1599"/>
      <c r="P59" s="1599"/>
      <c r="Q59" s="1599"/>
      <c r="R59" s="1599"/>
      <c r="S59" s="1599"/>
      <c r="T59" s="1599"/>
      <c r="U59" s="1599"/>
      <c r="V59" s="1599"/>
      <c r="W59" s="1599"/>
      <c r="X59" s="1599"/>
      <c r="Y59" s="1599"/>
      <c r="Z59" s="1599"/>
      <c r="AC59" s="1684" t="str">
        <f>'PIM Model'!$AD$14</f>
        <v/>
      </c>
      <c r="AD59" s="1684"/>
      <c r="AE59" s="1684" t="str">
        <f>'PIM Model'!$D$14</f>
        <v>%</v>
      </c>
      <c r="AF59" s="1684"/>
      <c r="AG59" s="1684" t="str">
        <f>'PIM Model'!$D$14</f>
        <v>%</v>
      </c>
      <c r="AH59" s="1684"/>
      <c r="AI59" s="1681" t="str">
        <f>'PIM Model'!$D$14</f>
        <v>%</v>
      </c>
      <c r="AJ59" s="168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9" t="s">
        <v>104</v>
      </c>
      <c r="D60" s="1599"/>
      <c r="E60" s="1599"/>
      <c r="F60" s="1599"/>
      <c r="G60" s="1599"/>
      <c r="H60" s="1599"/>
      <c r="I60" s="1599"/>
      <c r="J60" s="1599"/>
      <c r="K60" s="1599"/>
      <c r="L60" s="1599"/>
      <c r="M60" s="1599"/>
      <c r="N60" s="1599"/>
      <c r="O60" s="1599"/>
      <c r="P60" s="1599"/>
      <c r="Q60" s="1599"/>
      <c r="R60" s="1599"/>
      <c r="S60" s="1599"/>
      <c r="T60" s="1599"/>
      <c r="U60" s="1599"/>
      <c r="V60" s="1599"/>
      <c r="W60" s="1599"/>
      <c r="X60" s="1599"/>
      <c r="Y60" s="1599"/>
      <c r="Z60" s="1599"/>
      <c r="AC60" s="1684" t="str">
        <f>'PIM Model'!$AD$15</f>
        <v/>
      </c>
      <c r="AD60" s="1684"/>
      <c r="AE60" s="1684" t="str">
        <f>'PIM Model'!$D$15</f>
        <v>%</v>
      </c>
      <c r="AF60" s="1684"/>
      <c r="AG60" s="1684" t="str">
        <f>'PIM Model'!$D$15</f>
        <v>%</v>
      </c>
      <c r="AH60" s="1684"/>
      <c r="AI60" s="1681" t="str">
        <f>'PIM Model'!$D$15</f>
        <v>%</v>
      </c>
      <c r="AJ60" s="168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9" t="s">
        <v>99</v>
      </c>
      <c r="D61" s="1599"/>
      <c r="E61" s="1599"/>
      <c r="F61" s="1599"/>
      <c r="G61" s="1599"/>
      <c r="H61" s="1599"/>
      <c r="I61" s="1599"/>
      <c r="J61" s="1599"/>
      <c r="K61" s="1599"/>
      <c r="L61" s="1599"/>
      <c r="M61" s="1599"/>
      <c r="N61" s="1599"/>
      <c r="O61" s="1599"/>
      <c r="P61" s="1599"/>
      <c r="Q61" s="1599"/>
      <c r="R61" s="1599"/>
      <c r="S61" s="1599"/>
      <c r="T61" s="1599"/>
      <c r="U61" s="1599"/>
      <c r="V61" s="1599"/>
      <c r="W61" s="1599"/>
      <c r="X61" s="1599"/>
      <c r="Y61" s="1599"/>
      <c r="Z61" s="1599"/>
      <c r="AC61" s="1684" t="str">
        <f>'PIM Model'!$AD$10</f>
        <v/>
      </c>
      <c r="AD61" s="1684"/>
      <c r="AE61" s="1684" t="str">
        <f>'PIM Model'!$D$10</f>
        <v>%</v>
      </c>
      <c r="AF61" s="1684"/>
      <c r="AG61" s="1684" t="str">
        <f>'PIM Model'!$D$10</f>
        <v>%</v>
      </c>
      <c r="AH61" s="1684"/>
      <c r="AI61" s="1681" t="str">
        <f>'PIM Model'!$D$10</f>
        <v>%</v>
      </c>
      <c r="AJ61" s="168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8" t="s">
        <v>98</v>
      </c>
      <c r="D62" s="1498"/>
      <c r="E62" s="1498"/>
      <c r="F62" s="1498"/>
      <c r="G62" s="1498"/>
      <c r="H62" s="1498"/>
      <c r="I62" s="1498"/>
      <c r="J62" s="1498"/>
      <c r="K62" s="1498"/>
      <c r="L62" s="1498"/>
      <c r="M62" s="1498"/>
      <c r="N62" s="1498"/>
      <c r="O62" s="1498"/>
      <c r="P62" s="1498"/>
      <c r="Q62" s="1498"/>
      <c r="R62" s="1498"/>
      <c r="S62" s="1498"/>
      <c r="T62" s="1498"/>
      <c r="U62" s="1498"/>
      <c r="V62" s="1498"/>
      <c r="W62" s="1498"/>
      <c r="X62" s="1498"/>
      <c r="Y62" s="1498"/>
      <c r="Z62" s="1498"/>
      <c r="AC62" s="1684" t="str">
        <f>'PIM Model'!$AD$16</f>
        <v/>
      </c>
      <c r="AD62" s="1684"/>
      <c r="AE62" s="1684" t="str">
        <f>'PIM Model'!$D$16</f>
        <v>%</v>
      </c>
      <c r="AF62" s="1684"/>
      <c r="AG62" s="1684" t="str">
        <f>'PIM Model'!$D$16</f>
        <v>%</v>
      </c>
      <c r="AH62" s="1684"/>
      <c r="AI62" s="1681" t="str">
        <f>'PIM Model'!$D$16</f>
        <v>%</v>
      </c>
      <c r="AJ62" s="168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8" t="s">
        <v>97</v>
      </c>
      <c r="D63" s="1498"/>
      <c r="E63" s="1498"/>
      <c r="F63" s="1498"/>
      <c r="G63" s="1498"/>
      <c r="H63" s="1498"/>
      <c r="I63" s="1498"/>
      <c r="J63" s="1498"/>
      <c r="K63" s="1498"/>
      <c r="L63" s="1498"/>
      <c r="M63" s="1498"/>
      <c r="N63" s="1498"/>
      <c r="O63" s="1498"/>
      <c r="P63" s="1498"/>
      <c r="Q63" s="1498"/>
      <c r="R63" s="1498"/>
      <c r="S63" s="1498"/>
      <c r="T63" s="1498"/>
      <c r="U63" s="1498"/>
      <c r="V63" s="1498"/>
      <c r="W63" s="1498"/>
      <c r="X63" s="1498"/>
      <c r="Y63" s="1498"/>
      <c r="Z63" s="1498"/>
      <c r="AC63" s="1684" t="str">
        <f>'PIM Model'!$AD$20</f>
        <v/>
      </c>
      <c r="AD63" s="1684"/>
      <c r="AE63" s="1684" t="str">
        <f>'PIM Model'!$D$20</f>
        <v>%</v>
      </c>
      <c r="AF63" s="1684"/>
      <c r="AG63" s="1684" t="str">
        <f>'PIM Model'!$D$20</f>
        <v>%</v>
      </c>
      <c r="AH63" s="1684"/>
      <c r="AI63" s="1681" t="str">
        <f>'PIM Model'!$D$20</f>
        <v>%</v>
      </c>
      <c r="AJ63" s="168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8" t="s">
        <v>96</v>
      </c>
      <c r="D64" s="1498"/>
      <c r="E64" s="1498"/>
      <c r="F64" s="1498"/>
      <c r="G64" s="1498"/>
      <c r="H64" s="1498"/>
      <c r="I64" s="1498"/>
      <c r="J64" s="1498"/>
      <c r="K64" s="1498"/>
      <c r="L64" s="1498"/>
      <c r="M64" s="1498"/>
      <c r="N64" s="1498"/>
      <c r="O64" s="1498"/>
      <c r="P64" s="1498"/>
      <c r="Q64" s="1498"/>
      <c r="R64" s="1498"/>
      <c r="S64" s="1498"/>
      <c r="T64" s="1498"/>
      <c r="U64" s="1498"/>
      <c r="V64" s="1498"/>
      <c r="W64" s="1498"/>
      <c r="X64" s="1498"/>
      <c r="Y64" s="1498"/>
      <c r="Z64" s="1498"/>
      <c r="AC64" s="1684" t="str">
        <f>'PIM Model'!$AD$18</f>
        <v/>
      </c>
      <c r="AD64" s="1684"/>
      <c r="AE64" s="1684" t="str">
        <f>'PIM Model'!$D$18</f>
        <v>%</v>
      </c>
      <c r="AF64" s="1684"/>
      <c r="AG64" s="1684" t="str">
        <f>'PIM Model'!$D$18</f>
        <v>%</v>
      </c>
      <c r="AH64" s="1684"/>
      <c r="AI64" s="1681" t="str">
        <f>'PIM Model'!$D$18</f>
        <v>%</v>
      </c>
      <c r="AJ64" s="168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8" t="s">
        <v>95</v>
      </c>
      <c r="D65" s="1498"/>
      <c r="E65" s="1498"/>
      <c r="F65" s="1498"/>
      <c r="G65" s="1498"/>
      <c r="H65" s="1498"/>
      <c r="I65" s="1498"/>
      <c r="J65" s="1498"/>
      <c r="K65" s="1498"/>
      <c r="L65" s="1498"/>
      <c r="M65" s="1498"/>
      <c r="N65" s="1498"/>
      <c r="O65" s="1498"/>
      <c r="P65" s="1498"/>
      <c r="Q65" s="1498"/>
      <c r="R65" s="1498"/>
      <c r="S65" s="1498"/>
      <c r="T65" s="1498"/>
      <c r="U65" s="1498"/>
      <c r="V65" s="1498"/>
      <c r="W65" s="1498"/>
      <c r="X65" s="1498"/>
      <c r="Y65" s="1498"/>
      <c r="Z65" s="1498"/>
      <c r="AC65" s="1684" t="str">
        <f>'PIM Model'!$AD$17</f>
        <v/>
      </c>
      <c r="AD65" s="1684"/>
      <c r="AE65" s="1684" t="str">
        <f>'PIM Model'!$D$17</f>
        <v>%</v>
      </c>
      <c r="AF65" s="1684"/>
      <c r="AG65" s="1684" t="str">
        <f>'PIM Model'!$D$17</f>
        <v>%</v>
      </c>
      <c r="AH65" s="1684"/>
      <c r="AI65" s="1681" t="str">
        <f>'PIM Model'!$D$17</f>
        <v>%</v>
      </c>
      <c r="AJ65" s="168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8" t="s">
        <v>94</v>
      </c>
      <c r="D66" s="1498"/>
      <c r="E66" s="1498"/>
      <c r="F66" s="1498"/>
      <c r="G66" s="1498"/>
      <c r="H66" s="1498"/>
      <c r="I66" s="1498"/>
      <c r="J66" s="1498"/>
      <c r="K66" s="1498"/>
      <c r="L66" s="1498"/>
      <c r="M66" s="1498"/>
      <c r="N66" s="1498"/>
      <c r="O66" s="1498"/>
      <c r="P66" s="1498"/>
      <c r="Q66" s="1498"/>
      <c r="R66" s="1498"/>
      <c r="S66" s="1498"/>
      <c r="T66" s="1498"/>
      <c r="U66" s="1498"/>
      <c r="V66" s="1498"/>
      <c r="W66" s="1498"/>
      <c r="X66" s="1498"/>
      <c r="Y66" s="1498"/>
      <c r="Z66" s="1498"/>
      <c r="AC66" s="1684" t="str">
        <f>'PIM Model'!$AD$27</f>
        <v/>
      </c>
      <c r="AD66" s="1684"/>
      <c r="AE66" s="1684" t="str">
        <f>'PIM Model'!$D$27</f>
        <v>%</v>
      </c>
      <c r="AF66" s="1684"/>
      <c r="AG66" s="1684" t="str">
        <f>'PIM Model'!$D$27</f>
        <v>%</v>
      </c>
      <c r="AH66" s="1684"/>
      <c r="AI66" s="1681" t="str">
        <f>'PIM Model'!$D$27</f>
        <v>%</v>
      </c>
      <c r="AJ66" s="168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1" t="s">
        <v>695</v>
      </c>
      <c r="F67" s="1681"/>
      <c r="G67" s="1681"/>
      <c r="H67" s="1681"/>
      <c r="I67" s="1681"/>
      <c r="J67" s="1681"/>
      <c r="K67" s="1681"/>
      <c r="M67" s="1685" t="s">
        <v>241</v>
      </c>
      <c r="N67" s="1685"/>
      <c r="O67" s="1685"/>
      <c r="P67" t="s">
        <v>651</v>
      </c>
      <c r="S67" s="1683"/>
      <c r="T67" s="1683"/>
      <c r="U67" s="1683"/>
      <c r="V67" s="1681" t="s">
        <v>653</v>
      </c>
      <c r="W67" s="168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8" t="s">
        <v>93</v>
      </c>
      <c r="D68" s="1498"/>
      <c r="E68" s="1498"/>
      <c r="F68" s="1498"/>
      <c r="G68" s="1498"/>
      <c r="H68" s="1498"/>
      <c r="I68" s="1498"/>
      <c r="J68" s="1498"/>
      <c r="K68" s="1498"/>
      <c r="L68" s="1498"/>
      <c r="M68" s="1498"/>
      <c r="N68" s="1498"/>
      <c r="O68" s="1498"/>
      <c r="P68" s="1498"/>
      <c r="Q68" s="1498"/>
      <c r="R68" s="1498"/>
      <c r="S68" s="1498"/>
      <c r="T68" s="1498"/>
      <c r="U68" s="1498"/>
      <c r="V68" s="1498"/>
      <c r="W68" s="1498"/>
      <c r="X68" s="1498"/>
      <c r="Y68" s="1498"/>
      <c r="Z68" s="1498"/>
      <c r="AC68" s="1684" t="str">
        <f>'PIM Model'!$AD$21</f>
        <v/>
      </c>
      <c r="AD68" s="1684"/>
      <c r="AE68" s="1684" t="str">
        <f>'PIM Model'!$D$21</f>
        <v>%</v>
      </c>
      <c r="AF68" s="1684"/>
      <c r="AG68" s="1684" t="str">
        <f>'PIM Model'!$D$21</f>
        <v>%</v>
      </c>
      <c r="AH68" s="1684"/>
      <c r="AI68" s="1681" t="str">
        <f>'PIM Model'!$D$21</f>
        <v>%</v>
      </c>
      <c r="AJ68" s="168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8" t="s">
        <v>92</v>
      </c>
      <c r="D69" s="1498"/>
      <c r="E69" s="1498"/>
      <c r="F69" s="1498"/>
      <c r="G69" s="1498"/>
      <c r="H69" s="1498"/>
      <c r="I69" s="1498"/>
      <c r="J69" s="1498"/>
      <c r="K69" s="1498"/>
      <c r="L69" s="1498"/>
      <c r="M69" s="1498"/>
      <c r="N69" s="1498"/>
      <c r="O69" s="1498"/>
      <c r="P69" s="1498"/>
      <c r="Q69" s="1498"/>
      <c r="R69" s="1498"/>
      <c r="S69" s="1498"/>
      <c r="T69" s="1498"/>
      <c r="U69" s="1498"/>
      <c r="V69" s="1498"/>
      <c r="W69" s="1498"/>
      <c r="X69" s="1498"/>
      <c r="Y69" s="1498"/>
      <c r="Z69" s="1498"/>
      <c r="AC69" s="1684" t="str">
        <f>'PIM Model'!$AD$23</f>
        <v/>
      </c>
      <c r="AD69" s="1684"/>
      <c r="AE69" s="1684" t="str">
        <f>'PIM Model'!$D$23</f>
        <v>%</v>
      </c>
      <c r="AF69" s="1684"/>
      <c r="AG69" s="1684" t="str">
        <f>'PIM Model'!$D$23</f>
        <v>%</v>
      </c>
      <c r="AH69" s="1684"/>
      <c r="AI69" s="1681" t="str">
        <f>'PIM Model'!$D$23</f>
        <v>%</v>
      </c>
      <c r="AJ69" s="168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8" t="s">
        <v>91</v>
      </c>
      <c r="D70" s="1498"/>
      <c r="E70" s="1498"/>
      <c r="F70" s="1498"/>
      <c r="G70" s="1498"/>
      <c r="H70" s="1498"/>
      <c r="I70" s="1498"/>
      <c r="J70" s="1498"/>
      <c r="K70" s="1498"/>
      <c r="L70" s="1498"/>
      <c r="M70" s="1498"/>
      <c r="N70" s="1498"/>
      <c r="O70" s="1498"/>
      <c r="P70" s="1498"/>
      <c r="Q70" s="1498"/>
      <c r="R70" s="1498"/>
      <c r="S70" s="1498"/>
      <c r="T70" s="1498"/>
      <c r="U70" s="1498"/>
      <c r="V70" s="1498"/>
      <c r="W70" s="1498"/>
      <c r="X70" s="1498"/>
      <c r="Y70" s="1498"/>
      <c r="Z70" s="1498"/>
      <c r="AC70" s="1684" t="str">
        <f>'PIM Model'!$AD$24</f>
        <v/>
      </c>
      <c r="AD70" s="1684"/>
      <c r="AE70" s="1684" t="str">
        <f>'PIM Model'!$D$24</f>
        <v>%</v>
      </c>
      <c r="AF70" s="1684"/>
      <c r="AG70" s="1684" t="str">
        <f>'PIM Model'!$D$24</f>
        <v>%</v>
      </c>
      <c r="AH70" s="1684"/>
      <c r="AI70" s="1681" t="str">
        <f>'PIM Model'!$D$24</f>
        <v>%</v>
      </c>
      <c r="AJ70" s="1681"/>
      <c r="AK70" s="134"/>
      <c r="AL70" s="134"/>
      <c r="AM70" s="134"/>
      <c r="AN70" s="134"/>
      <c r="AO70" s="1542"/>
      <c r="AP70" s="1542"/>
      <c r="AQ70" s="1542"/>
      <c r="AR70" s="134"/>
      <c r="AS70" s="134"/>
      <c r="AT70" s="1542"/>
      <c r="AU70" s="1542"/>
      <c r="AV70" s="1542"/>
      <c r="AW70" s="134"/>
      <c r="AX70" s="134"/>
      <c r="AY70" s="1542"/>
      <c r="AZ70" s="1542"/>
      <c r="BA70" s="1542"/>
      <c r="BB70" s="134"/>
      <c r="BC70" s="134"/>
      <c r="BD70" s="1542"/>
      <c r="BE70" s="1542"/>
      <c r="BF70" s="1704"/>
    </row>
    <row r="71" spans="2:70" x14ac:dyDescent="0.25">
      <c r="B71" s="137"/>
      <c r="C71" s="1498" t="s">
        <v>90</v>
      </c>
      <c r="D71" s="1498"/>
      <c r="E71" s="1498"/>
      <c r="F71" s="1498"/>
      <c r="G71" s="1498"/>
      <c r="H71" s="1498"/>
      <c r="I71" s="1498"/>
      <c r="J71" s="1498"/>
      <c r="K71" s="1498"/>
      <c r="L71" s="1498"/>
      <c r="M71" s="1498"/>
      <c r="N71" s="1498"/>
      <c r="O71" s="1498"/>
      <c r="P71" s="1498"/>
      <c r="Q71" s="1498"/>
      <c r="R71" s="1498"/>
      <c r="S71" s="1498"/>
      <c r="T71" s="1498"/>
      <c r="U71" s="1498"/>
      <c r="V71" s="1498"/>
      <c r="W71" s="1498"/>
      <c r="X71" s="1498"/>
      <c r="Y71" s="1498"/>
      <c r="Z71" s="1498"/>
      <c r="AC71" s="1684" t="str">
        <f>'PIM Model'!$AD$25</f>
        <v/>
      </c>
      <c r="AD71" s="1684"/>
      <c r="AE71" s="1684" t="str">
        <f>'PIM Model'!$D$25</f>
        <v>%</v>
      </c>
      <c r="AF71" s="1684"/>
      <c r="AG71" s="1684" t="str">
        <f>'PIM Model'!$D$25</f>
        <v>%</v>
      </c>
      <c r="AH71" s="1684"/>
      <c r="AI71" s="1681" t="str">
        <f>'PIM Model'!$D$25</f>
        <v>%</v>
      </c>
      <c r="AJ71" s="1681"/>
      <c r="AK71" s="134"/>
      <c r="AL71" s="134"/>
      <c r="AM71" s="134"/>
      <c r="AN71" s="134"/>
      <c r="AO71" s="1542"/>
      <c r="AP71" s="1542"/>
      <c r="AQ71" s="1542"/>
      <c r="AR71" s="134"/>
      <c r="AS71" s="134"/>
      <c r="AT71" s="1542"/>
      <c r="AU71" s="1542"/>
      <c r="AV71" s="1542"/>
      <c r="AW71" s="134"/>
      <c r="AX71" s="134"/>
      <c r="AY71" s="1542"/>
      <c r="AZ71" s="1542"/>
      <c r="BA71" s="1542"/>
      <c r="BB71" s="134"/>
      <c r="BC71" s="134"/>
      <c r="BD71" s="1542"/>
      <c r="BE71" s="1542"/>
      <c r="BF71" s="1704"/>
    </row>
    <row r="72" spans="2:70" x14ac:dyDescent="0.25">
      <c r="B72" s="137"/>
      <c r="C72" s="1498" t="s">
        <v>89</v>
      </c>
      <c r="D72" s="1498"/>
      <c r="E72" s="1498"/>
      <c r="F72" s="1498"/>
      <c r="G72" s="1498"/>
      <c r="H72" s="1498"/>
      <c r="I72" s="1498"/>
      <c r="J72" s="1498"/>
      <c r="K72" s="1498"/>
      <c r="L72" s="1498"/>
      <c r="M72" s="1498"/>
      <c r="N72" s="1498"/>
      <c r="O72" s="1498"/>
      <c r="P72" s="1498"/>
      <c r="Q72" s="1498"/>
      <c r="R72" s="1498"/>
      <c r="S72" s="1498"/>
      <c r="T72" s="1498"/>
      <c r="U72" s="1498"/>
      <c r="V72" s="1498"/>
      <c r="W72" s="1498"/>
      <c r="X72" s="1498"/>
      <c r="Y72" s="1498"/>
      <c r="Z72" s="1498"/>
      <c r="AC72" s="1684" t="str">
        <f>'PIM Model'!$AD$26</f>
        <v/>
      </c>
      <c r="AD72" s="1684"/>
      <c r="AE72" s="1684" t="str">
        <f>'PIM Model'!$D$26</f>
        <v>%</v>
      </c>
      <c r="AF72" s="1684"/>
      <c r="AG72" s="1684" t="str">
        <f>'PIM Model'!$D$26</f>
        <v>%</v>
      </c>
      <c r="AH72" s="1684"/>
      <c r="AI72" s="1681" t="str">
        <f>'PIM Model'!$D$26</f>
        <v>%</v>
      </c>
      <c r="AJ72" s="1681"/>
      <c r="AK72" s="134"/>
      <c r="AL72" s="134"/>
      <c r="AM72" s="134"/>
      <c r="AN72" s="134"/>
      <c r="AO72" s="1542"/>
      <c r="AP72" s="1542"/>
      <c r="AQ72" s="1542"/>
      <c r="AR72" s="134"/>
      <c r="AS72" s="134"/>
      <c r="AT72" s="1542"/>
      <c r="AU72" s="1542"/>
      <c r="AV72" s="1542"/>
      <c r="AW72" s="134"/>
      <c r="AX72" s="134"/>
      <c r="AY72" s="1542"/>
      <c r="AZ72" s="1542"/>
      <c r="BA72" s="1542"/>
      <c r="BB72" s="134"/>
      <c r="BC72" s="134"/>
      <c r="BD72" s="1542"/>
      <c r="BE72" s="1542"/>
      <c r="BF72" s="1704"/>
    </row>
    <row r="73" spans="2:70" x14ac:dyDescent="0.25">
      <c r="B73" s="137"/>
      <c r="C73" s="1498" t="s">
        <v>88</v>
      </c>
      <c r="D73" s="1498"/>
      <c r="E73" s="1498"/>
      <c r="F73" s="1498"/>
      <c r="G73" s="1498"/>
      <c r="H73" s="1498"/>
      <c r="I73" s="1498"/>
      <c r="J73" s="1498"/>
      <c r="K73" s="1498"/>
      <c r="L73" s="1498"/>
      <c r="M73" s="1498"/>
      <c r="N73" s="1498"/>
      <c r="O73" s="1498"/>
      <c r="P73" s="1498"/>
      <c r="Q73" s="1498"/>
      <c r="R73" s="1498"/>
      <c r="S73" s="1498"/>
      <c r="T73" s="1498"/>
      <c r="U73" s="1498"/>
      <c r="V73" s="1498"/>
      <c r="W73" s="1498"/>
      <c r="X73" s="1498"/>
      <c r="Y73" s="1498"/>
      <c r="Z73" s="1498"/>
      <c r="AC73" s="1684" t="str">
        <f>'PIM Model'!$AD$29</f>
        <v/>
      </c>
      <c r="AD73" s="1684"/>
      <c r="AE73" s="1684" t="str">
        <f>'PIM Model'!$D$29</f>
        <v>%</v>
      </c>
      <c r="AF73" s="1684"/>
      <c r="AG73" s="1684" t="str">
        <f>'PIM Model'!$D$29</f>
        <v>%</v>
      </c>
      <c r="AH73" s="1684"/>
      <c r="AI73" s="1681" t="str">
        <f>'PIM Model'!$D$29</f>
        <v>%</v>
      </c>
      <c r="AJ73" s="1681"/>
      <c r="AK73" s="134"/>
      <c r="AL73" s="134"/>
      <c r="AM73" s="134"/>
      <c r="AN73" s="134"/>
      <c r="AO73" s="1542"/>
      <c r="AP73" s="1542"/>
      <c r="AQ73" s="1542"/>
      <c r="AR73" s="134"/>
      <c r="AS73" s="134"/>
      <c r="AT73" s="1542"/>
      <c r="AU73" s="1542"/>
      <c r="AV73" s="1542"/>
      <c r="AW73" s="134"/>
      <c r="AX73" s="134"/>
      <c r="AY73" s="1542"/>
      <c r="AZ73" s="1542"/>
      <c r="BA73" s="1542"/>
      <c r="BB73" s="134"/>
      <c r="BC73" s="134"/>
      <c r="BD73" s="1542"/>
      <c r="BE73" s="1542"/>
      <c r="BF73" s="1704"/>
    </row>
    <row r="74" spans="2:70" x14ac:dyDescent="0.25">
      <c r="B74" s="137"/>
      <c r="C74" s="1498" t="s">
        <v>87</v>
      </c>
      <c r="D74" s="1498"/>
      <c r="E74" s="1498"/>
      <c r="F74" s="1498"/>
      <c r="G74" s="1498"/>
      <c r="H74" s="1498"/>
      <c r="I74" s="1498"/>
      <c r="J74" s="1498"/>
      <c r="K74" s="1498"/>
      <c r="L74" s="1498"/>
      <c r="M74" s="1498"/>
      <c r="N74" s="1498"/>
      <c r="O74" s="1498"/>
      <c r="P74" s="1498"/>
      <c r="Q74" s="1498"/>
      <c r="R74" s="1498"/>
      <c r="S74" s="1498"/>
      <c r="T74" s="1498"/>
      <c r="U74" s="1498"/>
      <c r="V74" s="1498"/>
      <c r="W74" s="1498"/>
      <c r="X74" s="1498"/>
      <c r="Y74" s="1498"/>
      <c r="Z74" s="1498"/>
      <c r="AC74" s="1684" t="str">
        <f>'PIM Model'!$AD$30</f>
        <v/>
      </c>
      <c r="AD74" s="1684"/>
      <c r="AE74" s="1684" t="str">
        <f>'PIM Model'!$D$30</f>
        <v>%</v>
      </c>
      <c r="AF74" s="1684"/>
      <c r="AG74" s="1684" t="str">
        <f>'PIM Model'!$D$30</f>
        <v>%</v>
      </c>
      <c r="AH74" s="1684"/>
      <c r="AI74" s="1681" t="str">
        <f>'PIM Model'!$D$30</f>
        <v>%</v>
      </c>
      <c r="AJ74" s="1681"/>
      <c r="AK74" s="134"/>
      <c r="AL74" s="134"/>
      <c r="AM74" s="134"/>
      <c r="AN74" s="134"/>
      <c r="AO74" s="1542"/>
      <c r="AP74" s="1542"/>
      <c r="AQ74" s="1542"/>
      <c r="AR74" s="134"/>
      <c r="AS74" s="134"/>
      <c r="AT74" s="1542"/>
      <c r="AU74" s="1542"/>
      <c r="AV74" s="1542"/>
      <c r="AW74" s="134"/>
      <c r="AX74" s="134"/>
      <c r="AY74" s="1542"/>
      <c r="AZ74" s="1542"/>
      <c r="BA74" s="1542"/>
      <c r="BB74" s="134"/>
      <c r="BC74" s="134"/>
      <c r="BD74" s="1542"/>
      <c r="BE74" s="1542"/>
      <c r="BF74" s="1704"/>
    </row>
    <row r="75" spans="2:70" x14ac:dyDescent="0.25">
      <c r="B75" s="137"/>
      <c r="C75" s="1498" t="s">
        <v>86</v>
      </c>
      <c r="D75" s="1498"/>
      <c r="E75" s="1498"/>
      <c r="F75" s="1498"/>
      <c r="G75" s="1498"/>
      <c r="H75" s="1498"/>
      <c r="I75" s="1498"/>
      <c r="J75" s="1498"/>
      <c r="K75" s="1498"/>
      <c r="L75" s="1498"/>
      <c r="M75" s="1498"/>
      <c r="N75" s="1498"/>
      <c r="O75" s="1498"/>
      <c r="P75" s="1498"/>
      <c r="Q75" s="1498"/>
      <c r="R75" s="1498"/>
      <c r="S75" s="1498"/>
      <c r="T75" s="1498"/>
      <c r="U75" s="1498"/>
      <c r="V75" s="1498"/>
      <c r="W75" s="1498"/>
      <c r="X75" s="1498"/>
      <c r="Y75" s="1498"/>
      <c r="Z75" s="1498"/>
      <c r="AC75" s="1684" t="str">
        <f>'PIM Model'!$AD$28</f>
        <v/>
      </c>
      <c r="AD75" s="1684"/>
      <c r="AE75" s="1684" t="str">
        <f>'PIM Model'!$D$28</f>
        <v>%</v>
      </c>
      <c r="AF75" s="1684"/>
      <c r="AG75" s="1684" t="str">
        <f>'PIM Model'!$D$28</f>
        <v>%</v>
      </c>
      <c r="AH75" s="1684"/>
      <c r="AI75" s="1681" t="str">
        <f>'PIM Model'!$D$28</f>
        <v>%</v>
      </c>
      <c r="AJ75" s="1681"/>
      <c r="BF75" s="138"/>
    </row>
    <row r="76" spans="2:70" x14ac:dyDescent="0.25">
      <c r="B76" s="137"/>
      <c r="C76" s="1498" t="s">
        <v>105</v>
      </c>
      <c r="D76" s="1498"/>
      <c r="E76" s="1498"/>
      <c r="F76" s="1498"/>
      <c r="G76" s="1498"/>
      <c r="H76" s="1498"/>
      <c r="I76" s="1498"/>
      <c r="J76" s="1498"/>
      <c r="K76" s="1498"/>
      <c r="L76" s="1498"/>
      <c r="M76" s="1498"/>
      <c r="N76" s="1498"/>
      <c r="O76" s="1498"/>
      <c r="P76" s="1498"/>
      <c r="Q76" s="1498"/>
      <c r="R76" s="1498"/>
      <c r="S76" s="1498"/>
      <c r="T76" s="1498"/>
      <c r="U76" s="1498"/>
      <c r="V76" s="1498"/>
      <c r="W76" s="1498"/>
      <c r="X76" s="1498"/>
      <c r="Y76" s="1498"/>
      <c r="Z76" s="1498"/>
      <c r="AC76" s="1684" t="str">
        <f>'PIM Model'!$AD$22</f>
        <v/>
      </c>
      <c r="AD76" s="1684"/>
      <c r="AE76" s="1684" t="str">
        <f>'PIM Model'!$D$22</f>
        <v>%</v>
      </c>
      <c r="AF76" s="1684"/>
      <c r="AG76" s="1684" t="str">
        <f>'PIM Model'!$D$22</f>
        <v>%</v>
      </c>
      <c r="AH76" s="1684"/>
      <c r="AI76" s="1681" t="str">
        <f>'PIM Model'!$D$22</f>
        <v>%</v>
      </c>
      <c r="AJ76" s="1681"/>
      <c r="BF76" s="138"/>
    </row>
    <row r="77" spans="2:70" x14ac:dyDescent="0.25">
      <c r="B77" s="669"/>
      <c r="C77" s="1710" t="s">
        <v>726</v>
      </c>
      <c r="D77" s="1710"/>
      <c r="E77" s="1710"/>
      <c r="F77" s="1710"/>
      <c r="G77" s="1710"/>
      <c r="H77" s="1710"/>
      <c r="I77" s="1710"/>
      <c r="J77" s="1710"/>
      <c r="K77" s="1710"/>
      <c r="L77" s="1710"/>
      <c r="M77" s="1710"/>
      <c r="N77" s="1710"/>
      <c r="O77" s="1710"/>
      <c r="P77" s="1710"/>
      <c r="Q77" s="1710"/>
      <c r="R77" s="1710"/>
      <c r="S77" s="1710"/>
      <c r="T77" s="1710"/>
      <c r="U77" s="1710"/>
      <c r="V77" s="1710"/>
      <c r="W77" s="1710"/>
      <c r="X77" s="1710"/>
      <c r="Y77" s="1710"/>
      <c r="Z77" s="1710"/>
      <c r="AC77" s="1684" t="str">
        <f>'PIM Model'!$AD$12</f>
        <v/>
      </c>
      <c r="AD77" s="1684"/>
      <c r="AE77" s="1684" t="str">
        <f>'PIM Model'!$D$12</f>
        <v>%</v>
      </c>
      <c r="AF77" s="1684"/>
      <c r="AG77" s="1684" t="str">
        <f>'PIM Model'!$D$12</f>
        <v>%</v>
      </c>
      <c r="AH77" s="1684"/>
      <c r="AI77" s="1681" t="str">
        <f>'PIM Model'!$D$12</f>
        <v>%</v>
      </c>
      <c r="AJ77" s="1681"/>
      <c r="BF77" s="138"/>
    </row>
    <row r="78" spans="2:70" x14ac:dyDescent="0.25">
      <c r="B78" s="137"/>
      <c r="C78" s="1710" t="s">
        <v>727</v>
      </c>
      <c r="D78" s="1710"/>
      <c r="E78" s="1710"/>
      <c r="F78" s="1710"/>
      <c r="G78" s="1710"/>
      <c r="H78" s="1710"/>
      <c r="I78" s="1710"/>
      <c r="J78" s="1710"/>
      <c r="K78" s="1710"/>
      <c r="L78" s="1710"/>
      <c r="M78" s="1710"/>
      <c r="N78" s="1710"/>
      <c r="O78" s="1710"/>
      <c r="P78" s="1710"/>
      <c r="Q78" s="1710"/>
      <c r="R78" s="1710"/>
      <c r="S78" s="1710"/>
      <c r="T78" s="1710"/>
      <c r="U78" s="1710"/>
      <c r="V78" s="1710"/>
      <c r="W78" s="1710"/>
      <c r="X78" s="1710"/>
      <c r="Y78" s="1710"/>
      <c r="Z78" s="1710"/>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1" t="s">
        <v>694</v>
      </c>
      <c r="E81" s="1681"/>
      <c r="F81" s="1681"/>
      <c r="G81" s="1681"/>
      <c r="H81" s="1681"/>
      <c r="I81" s="1681"/>
      <c r="J81" s="1681"/>
      <c r="K81" s="1681"/>
      <c r="L81" s="1681"/>
      <c r="M81" s="1681"/>
      <c r="N81" s="1681"/>
      <c r="O81" s="1681"/>
      <c r="P81" s="1681"/>
      <c r="Q81" s="1681"/>
      <c r="R81" s="1681"/>
      <c r="S81" s="1681"/>
      <c r="T81" s="1681"/>
      <c r="U81" s="1681"/>
      <c r="V81" s="1681"/>
      <c r="W81" s="1681"/>
      <c r="X81" s="1681"/>
      <c r="Y81" s="1681"/>
      <c r="Z81" s="1681"/>
      <c r="AA81" s="1681"/>
      <c r="AB81" s="1681"/>
      <c r="AC81" s="1681"/>
      <c r="AD81" s="1681"/>
      <c r="AE81" s="1681"/>
      <c r="AF81" s="1681"/>
      <c r="AG81" s="1681"/>
      <c r="AH81" s="1681"/>
      <c r="AI81" s="1681"/>
      <c r="AJ81" s="1681"/>
      <c r="AK81" s="1681"/>
      <c r="AL81" s="1681"/>
      <c r="AM81" s="1681"/>
      <c r="AN81" s="1681"/>
      <c r="AO81" s="1681"/>
      <c r="AP81" s="1681"/>
      <c r="AQ81" s="1681"/>
      <c r="AR81" s="1681"/>
      <c r="AS81" s="1681"/>
      <c r="AT81" s="1681"/>
      <c r="AU81" s="1681"/>
      <c r="AV81" s="1681"/>
      <c r="AW81" s="1681"/>
      <c r="AX81" s="1681"/>
      <c r="AY81" s="1681"/>
      <c r="AZ81" s="1681"/>
      <c r="BA81" s="1681"/>
      <c r="BB81" s="1681"/>
      <c r="BC81" s="1681"/>
      <c r="BD81" s="1681"/>
      <c r="BF81" s="138"/>
    </row>
    <row r="82" spans="1:70" x14ac:dyDescent="0.25">
      <c r="B82" s="137"/>
      <c r="D82" s="1685" t="s">
        <v>241</v>
      </c>
      <c r="E82" s="1685"/>
      <c r="F82" s="1681" t="s">
        <v>693</v>
      </c>
      <c r="G82" s="1681"/>
      <c r="H82" s="1681"/>
      <c r="I82" s="1681"/>
      <c r="J82" s="1681"/>
      <c r="K82" s="1681"/>
      <c r="L82" s="1681"/>
      <c r="M82" s="1681"/>
      <c r="N82" s="1681"/>
      <c r="O82" s="1681"/>
      <c r="P82" s="1681"/>
      <c r="Q82" s="1681"/>
      <c r="R82" s="1681"/>
      <c r="S82" s="1681"/>
      <c r="T82" s="1681"/>
      <c r="U82" s="1681"/>
      <c r="V82" s="1681"/>
      <c r="W82" s="1681"/>
      <c r="X82" s="1681"/>
      <c r="Y82" s="1681"/>
      <c r="Z82" s="1681"/>
      <c r="AA82" s="1681"/>
      <c r="AB82" s="1681"/>
      <c r="AC82" s="1681"/>
      <c r="AD82" s="1681"/>
      <c r="AE82" s="1681"/>
      <c r="AF82" s="1681"/>
      <c r="AG82" s="1681"/>
      <c r="AH82" s="1681"/>
      <c r="AI82" s="1681"/>
      <c r="AJ82" s="1681"/>
      <c r="AK82" s="1681"/>
      <c r="AL82" s="1681"/>
      <c r="AM82" s="1681"/>
      <c r="AN82" s="1681"/>
      <c r="AO82" s="1681"/>
      <c r="AP82" s="1681"/>
      <c r="AQ82" s="1681"/>
      <c r="AR82" s="1681"/>
      <c r="AS82" s="1681"/>
      <c r="AT82" s="1681"/>
      <c r="AU82" s="1681"/>
      <c r="AV82" s="1681"/>
      <c r="AW82" s="1681"/>
      <c r="AX82" s="1681"/>
      <c r="AY82" s="1681"/>
      <c r="AZ82" s="1681"/>
      <c r="BA82" s="1681"/>
      <c r="BB82" s="1681"/>
      <c r="BC82" s="1681"/>
      <c r="BD82" s="1681"/>
      <c r="BF82" s="138"/>
    </row>
    <row r="83" spans="1:70" x14ac:dyDescent="0.25">
      <c r="B83" s="137"/>
      <c r="D83" s="1683"/>
      <c r="E83" s="1683"/>
      <c r="F83" s="1681" t="s">
        <v>692</v>
      </c>
      <c r="G83" s="1681"/>
      <c r="H83" s="1681"/>
      <c r="I83" s="1681"/>
      <c r="J83" s="1681"/>
      <c r="K83" s="1681"/>
      <c r="L83" s="1681"/>
      <c r="M83" s="1681"/>
      <c r="N83" s="1681"/>
      <c r="O83" s="1681"/>
      <c r="P83" s="1681"/>
      <c r="Q83" s="1681"/>
      <c r="R83" s="1681"/>
      <c r="S83" s="1681"/>
      <c r="T83" s="1681"/>
      <c r="U83" s="1681"/>
      <c r="V83" s="1681"/>
      <c r="W83" s="1681"/>
      <c r="X83" s="1681"/>
      <c r="Y83" s="1681"/>
      <c r="Z83" s="1681"/>
      <c r="AA83" s="1681"/>
      <c r="AB83" s="1681"/>
      <c r="AC83" s="1681"/>
      <c r="AD83" s="1681"/>
      <c r="AE83" s="1681"/>
      <c r="AF83" s="1681"/>
      <c r="AG83" s="1681"/>
      <c r="AH83" s="1681"/>
      <c r="AI83" s="1681"/>
      <c r="AJ83" s="1681"/>
      <c r="AK83" s="1681"/>
      <c r="AL83" s="1681"/>
      <c r="AM83" s="1681"/>
      <c r="AN83" s="1681"/>
      <c r="AO83" s="1681"/>
      <c r="AP83" s="1681"/>
      <c r="AQ83" s="1681"/>
      <c r="AR83" s="1681"/>
      <c r="AS83" s="1681"/>
      <c r="AT83" s="1681"/>
      <c r="AU83" s="1681"/>
      <c r="AV83" s="1681"/>
      <c r="AW83" s="1681"/>
      <c r="AX83" s="1681"/>
      <c r="AY83" s="1681"/>
      <c r="AZ83" s="1681"/>
      <c r="BA83" s="1681"/>
      <c r="BB83" s="1681"/>
      <c r="BC83" s="1681"/>
      <c r="BD83" s="1681"/>
      <c r="BF83" s="138"/>
    </row>
    <row r="84" spans="1:70" x14ac:dyDescent="0.25">
      <c r="A84" s="273"/>
      <c r="B84" s="137"/>
      <c r="D84" s="1683"/>
      <c r="E84" s="1683"/>
      <c r="F84" s="1681" t="s">
        <v>691</v>
      </c>
      <c r="G84" s="1681"/>
      <c r="H84" s="1681"/>
      <c r="I84" s="1681"/>
      <c r="J84" s="1681"/>
      <c r="K84" s="1681"/>
      <c r="L84" s="1681"/>
      <c r="M84" s="1681"/>
      <c r="N84" s="1681"/>
      <c r="O84" s="1681"/>
      <c r="P84" s="1681"/>
      <c r="Q84" s="1681"/>
      <c r="R84" s="1681"/>
      <c r="S84" s="1681"/>
      <c r="T84" s="1681"/>
      <c r="U84" s="1681"/>
      <c r="V84" s="1681"/>
      <c r="W84" s="1681"/>
      <c r="X84" s="1681"/>
      <c r="Y84" s="1681"/>
      <c r="Z84" s="1681"/>
      <c r="AA84" s="1681"/>
      <c r="AB84" s="1681"/>
      <c r="AC84" s="1681"/>
      <c r="AD84" s="1681"/>
      <c r="AE84" s="1681"/>
      <c r="AF84" s="1681"/>
      <c r="AG84" s="1681"/>
      <c r="AH84" s="1681"/>
      <c r="AI84" s="1681"/>
      <c r="AJ84" s="1681"/>
      <c r="AK84" s="1681"/>
      <c r="AL84" s="1681"/>
      <c r="AM84" s="1681"/>
      <c r="AN84" s="1681"/>
      <c r="AO84" s="1681"/>
      <c r="AP84" s="1681"/>
      <c r="AQ84" s="1681"/>
      <c r="AR84" s="1681"/>
      <c r="AS84" s="1681"/>
      <c r="AT84" s="1681"/>
      <c r="AU84" s="1681"/>
      <c r="AV84" s="1681"/>
      <c r="AW84" s="1681"/>
      <c r="AX84" s="1681"/>
      <c r="AY84" s="1681"/>
      <c r="AZ84" s="1681"/>
      <c r="BA84" s="1681"/>
      <c r="BB84" s="1681"/>
      <c r="BC84" s="1681"/>
      <c r="BD84" s="1681"/>
      <c r="BF84" s="138"/>
    </row>
    <row r="85" spans="1:70" x14ac:dyDescent="0.25">
      <c r="B85" s="137"/>
      <c r="BF85" s="138"/>
    </row>
    <row r="86" spans="1:70" x14ac:dyDescent="0.25">
      <c r="B86" s="137"/>
      <c r="D86" s="1681" t="s">
        <v>690</v>
      </c>
      <c r="E86" s="1681"/>
      <c r="F86" s="1681"/>
      <c r="G86" s="1681"/>
      <c r="H86" s="1681"/>
      <c r="I86" s="1681"/>
      <c r="J86" s="1681"/>
      <c r="K86" s="1681"/>
      <c r="L86" s="1681"/>
      <c r="M86" s="1681"/>
      <c r="N86" s="1681"/>
      <c r="O86" s="1681"/>
      <c r="P86" s="1681"/>
      <c r="Q86" s="1681"/>
      <c r="R86" s="1681"/>
      <c r="S86" s="1681"/>
      <c r="T86" s="1681"/>
      <c r="U86" s="1681"/>
      <c r="V86" s="1681"/>
      <c r="W86" s="1681"/>
      <c r="X86" s="1681"/>
      <c r="Y86" s="1681"/>
      <c r="Z86" s="1681"/>
      <c r="AA86" s="1681"/>
      <c r="AB86" s="1681"/>
      <c r="AC86" s="1681"/>
      <c r="AD86" s="1681"/>
      <c r="AE86" s="1681"/>
      <c r="AF86" s="1681"/>
      <c r="AG86" s="1681"/>
      <c r="AH86" s="1681"/>
      <c r="AI86" s="1681"/>
      <c r="AJ86" s="1681"/>
      <c r="AK86" s="1681"/>
      <c r="AL86" s="1681"/>
      <c r="AM86" s="1681"/>
      <c r="AN86" s="1681"/>
      <c r="AO86" s="1681"/>
      <c r="AP86" s="1681"/>
      <c r="AQ86" s="1681"/>
      <c r="AR86" s="1681"/>
      <c r="AS86" s="1681"/>
      <c r="AT86" s="1681"/>
      <c r="AU86" s="1681"/>
      <c r="AV86" s="1681"/>
      <c r="AW86" s="1681"/>
      <c r="AX86" s="1681"/>
      <c r="AY86" s="1681"/>
      <c r="AZ86" s="1681"/>
      <c r="BA86" s="1681"/>
      <c r="BB86" s="1681"/>
      <c r="BC86" s="1681"/>
      <c r="BD86" s="1681"/>
      <c r="BF86" s="138"/>
    </row>
    <row r="87" spans="1:70" x14ac:dyDescent="0.25">
      <c r="B87" s="137"/>
      <c r="D87" s="1685" t="s">
        <v>241</v>
      </c>
      <c r="E87" s="1685"/>
      <c r="F87" s="1681" t="s">
        <v>689</v>
      </c>
      <c r="G87" s="1681"/>
      <c r="H87" s="1681"/>
      <c r="I87" s="1681"/>
      <c r="J87" s="1681"/>
      <c r="K87" s="1681"/>
      <c r="L87" s="1681"/>
      <c r="M87" s="1681"/>
      <c r="N87" s="1681"/>
      <c r="O87" s="1681"/>
      <c r="P87" s="1681"/>
      <c r="Q87" s="1681"/>
      <c r="R87" s="1681"/>
      <c r="S87" s="1681"/>
      <c r="T87" s="1681"/>
      <c r="U87" s="1681"/>
      <c r="V87" s="1681"/>
      <c r="W87" s="1681"/>
      <c r="X87" s="1681"/>
      <c r="Y87" s="1681"/>
      <c r="Z87" s="1681"/>
      <c r="AA87" s="1681"/>
      <c r="AB87" s="1681"/>
      <c r="AC87" s="1681"/>
      <c r="AD87" s="1681"/>
      <c r="AE87" s="1681"/>
      <c r="AF87" s="1681"/>
      <c r="AG87" s="1681"/>
      <c r="AH87" s="1681"/>
      <c r="AI87" s="1681"/>
      <c r="AJ87" s="1681"/>
      <c r="AK87" s="1681"/>
      <c r="AL87" s="1681"/>
      <c r="AM87" s="1681"/>
      <c r="AN87" s="1681"/>
      <c r="AO87" s="1681"/>
      <c r="AP87" s="1681"/>
      <c r="AQ87" s="1681"/>
      <c r="AR87" s="1681"/>
      <c r="AS87" s="1681"/>
      <c r="AT87" s="1681"/>
      <c r="AU87" s="1681"/>
      <c r="AV87" s="1681"/>
      <c r="AW87" s="1681"/>
      <c r="AX87" s="1681"/>
      <c r="AY87" s="1681"/>
      <c r="AZ87" s="1681"/>
      <c r="BA87" s="1681"/>
      <c r="BB87" s="1681"/>
      <c r="BC87" s="1681"/>
      <c r="BD87" s="1681"/>
      <c r="BF87" s="138"/>
    </row>
    <row r="88" spans="1:70" x14ac:dyDescent="0.25">
      <c r="B88" s="137"/>
      <c r="D88" s="1683"/>
      <c r="E88" s="1683"/>
      <c r="F88" s="1681" t="s">
        <v>688</v>
      </c>
      <c r="G88" s="1681"/>
      <c r="H88" s="1681"/>
      <c r="I88" s="1681"/>
      <c r="J88" s="1681"/>
      <c r="K88" s="1681"/>
      <c r="L88" s="1681"/>
      <c r="M88" s="1681"/>
      <c r="N88" s="1681"/>
      <c r="O88" s="1681"/>
      <c r="P88" s="1681"/>
      <c r="Q88" s="1681"/>
      <c r="R88" s="1681"/>
      <c r="S88" s="1681"/>
      <c r="T88" s="1681"/>
      <c r="U88" s="1681"/>
      <c r="V88" s="1681"/>
      <c r="W88" s="1681"/>
      <c r="X88" s="1681"/>
      <c r="Y88" s="1681"/>
      <c r="Z88" s="1681"/>
      <c r="AA88" s="1681"/>
      <c r="AB88" s="1681"/>
      <c r="AC88" s="1681"/>
      <c r="AD88" s="1681"/>
      <c r="AE88" s="1681"/>
      <c r="AF88" s="1681"/>
      <c r="AG88" s="1681"/>
      <c r="AH88" s="1681"/>
      <c r="AI88" s="1681"/>
      <c r="AJ88" s="1681"/>
      <c r="AK88" s="1681"/>
      <c r="AL88" s="1681"/>
      <c r="AM88" s="1681"/>
      <c r="AN88" s="1681"/>
      <c r="AO88" s="1681"/>
      <c r="AP88" s="1681"/>
      <c r="AQ88" s="1681"/>
      <c r="AR88" s="1681"/>
      <c r="AS88" s="1681"/>
      <c r="AT88" s="1681"/>
      <c r="AU88" s="1681"/>
      <c r="AV88" s="1681"/>
      <c r="AW88" s="1681"/>
      <c r="AX88" s="1681"/>
      <c r="AY88" s="1681"/>
      <c r="AZ88" s="1681"/>
      <c r="BA88" s="1681"/>
      <c r="BB88" s="1681"/>
      <c r="BC88" s="1681"/>
      <c r="BD88" s="168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9" t="s">
        <v>1007</v>
      </c>
      <c r="C92" s="1640"/>
      <c r="D92" s="1640"/>
      <c r="E92" s="1640"/>
      <c r="F92" s="1640"/>
      <c r="G92" s="1640"/>
      <c r="H92" s="1640"/>
      <c r="I92" s="1640"/>
      <c r="J92" s="1640"/>
      <c r="K92" s="1640"/>
      <c r="L92" s="1640"/>
      <c r="M92" s="1640"/>
      <c r="N92" s="1640"/>
      <c r="O92" s="1640"/>
      <c r="P92" s="1640"/>
      <c r="Q92" s="1640"/>
      <c r="R92" s="1640"/>
      <c r="S92" s="1640"/>
      <c r="T92" s="1640"/>
      <c r="U92" s="1640"/>
      <c r="V92" s="1640"/>
      <c r="W92" s="1640"/>
      <c r="X92" s="1640"/>
      <c r="Y92" s="1640"/>
      <c r="Z92" s="1640"/>
      <c r="AA92" s="1640"/>
      <c r="AB92" s="1640"/>
      <c r="AC92" s="1640"/>
      <c r="AD92" s="1640"/>
      <c r="AE92" s="1640"/>
      <c r="AF92" s="1640"/>
      <c r="AG92" s="1640"/>
      <c r="AH92" s="1640"/>
      <c r="AI92" s="1640"/>
      <c r="AJ92" s="1640"/>
      <c r="AK92" s="1640"/>
      <c r="AL92" s="1640"/>
      <c r="AM92" s="1640"/>
      <c r="AN92" s="1640"/>
      <c r="AO92" s="1640"/>
      <c r="AP92" s="1640"/>
      <c r="AQ92" s="1640"/>
      <c r="AR92" s="1640"/>
      <c r="AS92" s="1640"/>
      <c r="AT92" s="1640"/>
      <c r="AU92" s="1640"/>
      <c r="AV92" s="1640"/>
      <c r="AW92" s="1640"/>
      <c r="AX92" s="1640"/>
      <c r="AY92" s="1640"/>
      <c r="AZ92" s="1640"/>
      <c r="BA92" s="1640"/>
      <c r="BB92" s="1640"/>
      <c r="BC92" s="1640"/>
      <c r="BD92" s="1640"/>
      <c r="BE92" s="1640"/>
      <c r="BF92" s="1641"/>
    </row>
    <row r="93" spans="1:70" ht="15.75" thickBot="1" x14ac:dyDescent="0.3">
      <c r="B93" s="137"/>
      <c r="BF93" s="138"/>
      <c r="BR93" s="266"/>
    </row>
    <row r="94" spans="1:70" ht="15.75" thickBot="1" x14ac:dyDescent="0.3">
      <c r="B94" s="137"/>
      <c r="D94" s="1676" t="s">
        <v>734</v>
      </c>
      <c r="E94" s="1646"/>
      <c r="F94" s="1646"/>
      <c r="G94" s="1646"/>
      <c r="H94" s="1646"/>
      <c r="I94" s="1646"/>
      <c r="J94" s="1646"/>
      <c r="K94" s="1645" t="s">
        <v>735</v>
      </c>
      <c r="L94" s="1646"/>
      <c r="M94" s="1646"/>
      <c r="N94" s="1646"/>
      <c r="O94" s="1646"/>
      <c r="P94" s="1646"/>
      <c r="Q94" s="1646"/>
      <c r="R94" s="1646"/>
      <c r="S94" s="1646"/>
      <c r="T94" s="1646"/>
      <c r="U94" s="1645" t="s">
        <v>795</v>
      </c>
      <c r="V94" s="1646"/>
      <c r="W94" s="1646"/>
      <c r="X94" s="1646"/>
      <c r="Y94" s="1646"/>
      <c r="Z94" s="1646"/>
      <c r="AA94" s="1646"/>
      <c r="AB94" s="1646"/>
      <c r="AC94" s="1646"/>
      <c r="AD94" s="1646"/>
      <c r="AE94" s="1646"/>
      <c r="AF94" s="1646"/>
      <c r="AG94" s="1646"/>
      <c r="AH94" s="1646"/>
      <c r="AI94" s="1646"/>
      <c r="AJ94" s="1645" t="s">
        <v>800</v>
      </c>
      <c r="AK94" s="1646"/>
      <c r="AL94" s="1646"/>
      <c r="AM94" s="1646"/>
      <c r="AN94" s="1646"/>
      <c r="AO94" s="1646"/>
      <c r="AP94" s="1646"/>
      <c r="AQ94" s="1646"/>
      <c r="AR94" s="1646"/>
      <c r="AS94" s="1646"/>
      <c r="AT94" s="1647"/>
      <c r="AU94" s="1645" t="s">
        <v>801</v>
      </c>
      <c r="AV94" s="1646"/>
      <c r="AW94" s="1646"/>
      <c r="AX94" s="1647"/>
      <c r="AY94" s="1645" t="s">
        <v>845</v>
      </c>
      <c r="AZ94" s="1646"/>
      <c r="BA94" s="1646"/>
      <c r="BB94" s="1646"/>
      <c r="BC94" s="1657"/>
      <c r="BF94" s="138"/>
    </row>
    <row r="95" spans="1:70" x14ac:dyDescent="0.25">
      <c r="B95" s="137"/>
      <c r="C95" s="625">
        <v>1</v>
      </c>
      <c r="D95" s="1675">
        <f>'Customer Inputs'!$B$6</f>
        <v>0</v>
      </c>
      <c r="E95" s="1675"/>
      <c r="F95" s="1675"/>
      <c r="G95" s="1675"/>
      <c r="H95" s="1675"/>
      <c r="I95" s="1675"/>
      <c r="J95" s="1675"/>
      <c r="K95" s="1662" t="str">
        <f>IFERROR(IFERROR('Multi-Customer'!$BB$39,VLOOKUP($D95,'Required Info to Submit'!$E$23:$J$32,2,FALSE)),"")</f>
        <v/>
      </c>
      <c r="L95" s="1662"/>
      <c r="M95" s="1662"/>
      <c r="N95" s="1662"/>
      <c r="O95" s="1662"/>
      <c r="P95" s="1662"/>
      <c r="Q95" s="1662"/>
      <c r="R95" s="1662"/>
      <c r="S95" s="1662"/>
      <c r="T95" s="1662"/>
      <c r="U95" s="1662" t="str">
        <f>IFERROR(IFERROR('Multi-Customer'!$BB$41&amp;" "&amp;'Multi-Customer'!$BB$42,VLOOKUP($D95,'Required Info to Submit'!$E$23:$J$32,3,FALSE)),"")</f>
        <v/>
      </c>
      <c r="V95" s="1662"/>
      <c r="W95" s="1662"/>
      <c r="X95" s="1662"/>
      <c r="Y95" s="1662"/>
      <c r="Z95" s="1662"/>
      <c r="AA95" s="1662"/>
      <c r="AB95" s="1662"/>
      <c r="AC95" s="1662"/>
      <c r="AD95" s="1662"/>
      <c r="AE95" s="1662"/>
      <c r="AF95" s="1662"/>
      <c r="AG95" s="1662"/>
      <c r="AH95" s="1662"/>
      <c r="AI95" s="1662"/>
      <c r="AJ95" s="1669" t="str">
        <f>IFERROR(IFERROR('Multi-Customer'!$BB$43,VLOOKUP($D95,'Required Info to Submit'!$E$23:$J$32,4,FALSE)),"")</f>
        <v/>
      </c>
      <c r="AK95" s="1670"/>
      <c r="AL95" s="1670"/>
      <c r="AM95" s="1670"/>
      <c r="AN95" s="1670"/>
      <c r="AO95" s="1670"/>
      <c r="AP95" s="1670"/>
      <c r="AQ95" s="1670"/>
      <c r="AR95" s="1670"/>
      <c r="AS95" s="1670"/>
      <c r="AT95" s="1671"/>
      <c r="AU95" s="1642" t="str">
        <f>IFERROR(IFERROR('Multi-Customer'!$BB$44,VLOOKUP($D95,'Required Info to Submit'!$E$23:$J$32,5,FALSE)),"")</f>
        <v/>
      </c>
      <c r="AV95" s="1643"/>
      <c r="AW95" s="1643"/>
      <c r="AX95" s="1644"/>
      <c r="AY95" s="1654" t="str">
        <f>IFERROR(IFERROR('Multi-Customer'!$BB$45,VLOOKUP($D95,'Required Info to Submit'!$E$23:$J$32,6,FALSE)),"")</f>
        <v/>
      </c>
      <c r="AZ95" s="1655"/>
      <c r="BA95" s="1655"/>
      <c r="BB95" s="1655"/>
      <c r="BC95" s="1656"/>
      <c r="BF95" s="138"/>
    </row>
    <row r="96" spans="1:70" x14ac:dyDescent="0.25">
      <c r="B96" s="137"/>
      <c r="C96" s="626">
        <v>2</v>
      </c>
      <c r="D96" s="1674">
        <f>'Customer Inputs'!$B$7</f>
        <v>0</v>
      </c>
      <c r="E96" s="1674"/>
      <c r="F96" s="1674"/>
      <c r="G96" s="1674"/>
      <c r="H96" s="1674"/>
      <c r="I96" s="1674"/>
      <c r="J96" s="1674"/>
      <c r="K96" s="1661" t="str">
        <f>IFERROR(IFERROR('Multi-Customer'!$BY$39,VLOOKUP($D96,'Required Info to Submit'!$E$23:$J$32,2,FALSE)),"")</f>
        <v/>
      </c>
      <c r="L96" s="1661"/>
      <c r="M96" s="1661"/>
      <c r="N96" s="1661"/>
      <c r="O96" s="1661"/>
      <c r="P96" s="1661"/>
      <c r="Q96" s="1661"/>
      <c r="R96" s="1661"/>
      <c r="S96" s="1661"/>
      <c r="T96" s="1661"/>
      <c r="U96" s="1661" t="str">
        <f>IFERROR(IFERROR('Multi-Customer'!$BY$41&amp;" "&amp;'Multi-Customer'!$BY$42,VLOOKUP($D96,'Required Info to Submit'!$E$23:$J$32,3,FALSE)),"")</f>
        <v/>
      </c>
      <c r="V96" s="1661"/>
      <c r="W96" s="1661"/>
      <c r="X96" s="1661"/>
      <c r="Y96" s="1661"/>
      <c r="Z96" s="1661"/>
      <c r="AA96" s="1661"/>
      <c r="AB96" s="1661"/>
      <c r="AC96" s="1661"/>
      <c r="AD96" s="1661"/>
      <c r="AE96" s="1661"/>
      <c r="AF96" s="1661"/>
      <c r="AG96" s="1661"/>
      <c r="AH96" s="1661"/>
      <c r="AI96" s="1661"/>
      <c r="AJ96" s="1666" t="str">
        <f>IFERROR(IFERROR('Multi-Customer'!$BY$43,VLOOKUP($D96,'Required Info to Submit'!$E$23:$J$32,4,FALSE)),"")</f>
        <v/>
      </c>
      <c r="AK96" s="1667"/>
      <c r="AL96" s="1667"/>
      <c r="AM96" s="1667"/>
      <c r="AN96" s="1667"/>
      <c r="AO96" s="1667"/>
      <c r="AP96" s="1667"/>
      <c r="AQ96" s="1667"/>
      <c r="AR96" s="1667"/>
      <c r="AS96" s="1667"/>
      <c r="AT96" s="1668"/>
      <c r="AU96" s="1589" t="str">
        <f>IFERROR(IFERROR('Multi-Customer'!$BY$44,VLOOKUP($D96,'Required Info to Submit'!$E$23:$J$32,5,FALSE)),"")</f>
        <v/>
      </c>
      <c r="AV96" s="1590"/>
      <c r="AW96" s="1590"/>
      <c r="AX96" s="1591"/>
      <c r="AY96" s="1651" t="str">
        <f>IFERROR(IFERROR('Multi-Customer'!$BY$45,VLOOKUP($D96,'Required Info to Submit'!$E$23:$J$32,6,FALSE)),"")</f>
        <v/>
      </c>
      <c r="AZ96" s="1652"/>
      <c r="BA96" s="1652"/>
      <c r="BB96" s="1652"/>
      <c r="BC96" s="1653"/>
      <c r="BF96" s="138"/>
    </row>
    <row r="97" spans="2:58" x14ac:dyDescent="0.25">
      <c r="B97" s="137"/>
      <c r="C97" s="626">
        <v>3</v>
      </c>
      <c r="D97" s="1674">
        <f>'Customer Inputs'!$B$8</f>
        <v>0</v>
      </c>
      <c r="E97" s="1674"/>
      <c r="F97" s="1674"/>
      <c r="G97" s="1674"/>
      <c r="H97" s="1674"/>
      <c r="I97" s="1674"/>
      <c r="J97" s="1674"/>
      <c r="K97" s="1661" t="str">
        <f>IFERROR(IFERROR('Multi-Customer'!$CV$39,VLOOKUP($D97,'Required Info to Submit'!$E$23:$J$32,2,FALSE)),"")</f>
        <v/>
      </c>
      <c r="L97" s="1661"/>
      <c r="M97" s="1661"/>
      <c r="N97" s="1661"/>
      <c r="O97" s="1661"/>
      <c r="P97" s="1661"/>
      <c r="Q97" s="1661"/>
      <c r="R97" s="1661"/>
      <c r="S97" s="1661"/>
      <c r="T97" s="1661"/>
      <c r="U97" s="1661" t="str">
        <f>IFERROR(IFERROR('Multi-Customer'!$CV$41&amp;" "&amp;'Multi-Customer'!$CV$42,VLOOKUP($D97,'Required Info to Submit'!$E$23:$J$32,3,FALSE)),"")</f>
        <v/>
      </c>
      <c r="V97" s="1661"/>
      <c r="W97" s="1661"/>
      <c r="X97" s="1661"/>
      <c r="Y97" s="1661"/>
      <c r="Z97" s="1661"/>
      <c r="AA97" s="1661"/>
      <c r="AB97" s="1661"/>
      <c r="AC97" s="1661"/>
      <c r="AD97" s="1661"/>
      <c r="AE97" s="1661"/>
      <c r="AF97" s="1661"/>
      <c r="AG97" s="1661"/>
      <c r="AH97" s="1661"/>
      <c r="AI97" s="1661"/>
      <c r="AJ97" s="1666" t="str">
        <f>IFERROR(IFERROR('Multi-Customer'!$CV$43,VLOOKUP($D97,'Required Info to Submit'!$E$23:$J$32,4,FALSE)),"")</f>
        <v/>
      </c>
      <c r="AK97" s="1667"/>
      <c r="AL97" s="1667"/>
      <c r="AM97" s="1667"/>
      <c r="AN97" s="1667"/>
      <c r="AO97" s="1667"/>
      <c r="AP97" s="1667"/>
      <c r="AQ97" s="1667"/>
      <c r="AR97" s="1667"/>
      <c r="AS97" s="1667"/>
      <c r="AT97" s="1668"/>
      <c r="AU97" s="1589" t="str">
        <f>IFERROR(IFERROR('Multi-Customer'!$CV$44,VLOOKUP($D97,'Required Info to Submit'!$E$23:$J$32,5,FALSE)),"")</f>
        <v/>
      </c>
      <c r="AV97" s="1590"/>
      <c r="AW97" s="1590"/>
      <c r="AX97" s="1591"/>
      <c r="AY97" s="1651" t="str">
        <f>IFERROR(IFERROR('Multi-Customer'!$CV$45,VLOOKUP($D97,'Required Info to Submit'!$E$23:$J$32,6,FALSE)),"")</f>
        <v/>
      </c>
      <c r="AZ97" s="1652"/>
      <c r="BA97" s="1652"/>
      <c r="BB97" s="1652"/>
      <c r="BC97" s="1653"/>
      <c r="BF97" s="138"/>
    </row>
    <row r="98" spans="2:58" x14ac:dyDescent="0.25">
      <c r="B98" s="137"/>
      <c r="C98" s="626">
        <v>4</v>
      </c>
      <c r="D98" s="1674">
        <f>'Customer Inputs'!$B$9</f>
        <v>0</v>
      </c>
      <c r="E98" s="1674"/>
      <c r="F98" s="1674"/>
      <c r="G98" s="1674"/>
      <c r="H98" s="1674"/>
      <c r="I98" s="1674"/>
      <c r="J98" s="1674"/>
      <c r="K98" s="1661" t="str">
        <f>IFERROR(IFERROR('Multi-Customer'!$DS$39,VLOOKUP($D98,'Required Info to Submit'!$E$23:$J$32,2,FALSE)),"")</f>
        <v/>
      </c>
      <c r="L98" s="1661"/>
      <c r="M98" s="1661"/>
      <c r="N98" s="1661"/>
      <c r="O98" s="1661"/>
      <c r="P98" s="1661"/>
      <c r="Q98" s="1661"/>
      <c r="R98" s="1661"/>
      <c r="S98" s="1661"/>
      <c r="T98" s="1661"/>
      <c r="U98" s="1661" t="str">
        <f>IFERROR(IFERROR('Multi-Customer'!$DS$41&amp;" "&amp;'Multi-Customer'!$DS$42,VLOOKUP($D98,'Required Info to Submit'!$E$23:$J$32,3,FALSE)),"")</f>
        <v/>
      </c>
      <c r="V98" s="1661"/>
      <c r="W98" s="1661"/>
      <c r="X98" s="1661"/>
      <c r="Y98" s="1661"/>
      <c r="Z98" s="1661"/>
      <c r="AA98" s="1661"/>
      <c r="AB98" s="1661"/>
      <c r="AC98" s="1661"/>
      <c r="AD98" s="1661"/>
      <c r="AE98" s="1661"/>
      <c r="AF98" s="1661"/>
      <c r="AG98" s="1661"/>
      <c r="AH98" s="1661"/>
      <c r="AI98" s="1661"/>
      <c r="AJ98" s="1666" t="str">
        <f>IFERROR(IFERROR('Multi-Customer'!$DS$43,VLOOKUP($D98,'Required Info to Submit'!$E$23:$J$32,4,FALSE)),"")</f>
        <v/>
      </c>
      <c r="AK98" s="1667"/>
      <c r="AL98" s="1667"/>
      <c r="AM98" s="1667"/>
      <c r="AN98" s="1667"/>
      <c r="AO98" s="1667"/>
      <c r="AP98" s="1667"/>
      <c r="AQ98" s="1667"/>
      <c r="AR98" s="1667"/>
      <c r="AS98" s="1667"/>
      <c r="AT98" s="1668"/>
      <c r="AU98" s="1589" t="str">
        <f>IFERROR(IFERROR('Multi-Customer'!$DS$44,VLOOKUP($D98,'Required Info to Submit'!$E$23:$J$32,5,FALSE)),"")</f>
        <v/>
      </c>
      <c r="AV98" s="1590"/>
      <c r="AW98" s="1590"/>
      <c r="AX98" s="1591"/>
      <c r="AY98" s="1651" t="str">
        <f>IFERROR(IFERROR('Multi-Customer'!$DS$45,VLOOKUP($D98,'Required Info to Submit'!$E$23:$J$32,6,FALSE)),"")</f>
        <v/>
      </c>
      <c r="AZ98" s="1652"/>
      <c r="BA98" s="1652"/>
      <c r="BB98" s="1652"/>
      <c r="BC98" s="1653"/>
      <c r="BF98" s="138"/>
    </row>
    <row r="99" spans="2:58" x14ac:dyDescent="0.25">
      <c r="B99" s="137"/>
      <c r="C99" s="626">
        <v>5</v>
      </c>
      <c r="D99" s="1674">
        <f>'Customer Inputs'!$B$10</f>
        <v>0</v>
      </c>
      <c r="E99" s="1674"/>
      <c r="F99" s="1674"/>
      <c r="G99" s="1674"/>
      <c r="H99" s="1674"/>
      <c r="I99" s="1674"/>
      <c r="J99" s="1674"/>
      <c r="K99" s="1661" t="str">
        <f>IFERROR(IFERROR('Multi-Customer'!$EP$39,VLOOKUP($D99,'Required Info to Submit'!$E$23:$J$32,2,FALSE)),"")</f>
        <v/>
      </c>
      <c r="L99" s="1661"/>
      <c r="M99" s="1661"/>
      <c r="N99" s="1661"/>
      <c r="O99" s="1661"/>
      <c r="P99" s="1661"/>
      <c r="Q99" s="1661"/>
      <c r="R99" s="1661"/>
      <c r="S99" s="1661"/>
      <c r="T99" s="1661"/>
      <c r="U99" s="1661" t="str">
        <f>IFERROR(IFERROR('Multi-Customer'!$EP$41&amp;" "&amp;'Multi-Customer'!$EP$42,VLOOKUP($D99,'Required Info to Submit'!$E$23:$J$32,3,FALSE)),"")</f>
        <v/>
      </c>
      <c r="V99" s="1661"/>
      <c r="W99" s="1661"/>
      <c r="X99" s="1661"/>
      <c r="Y99" s="1661"/>
      <c r="Z99" s="1661"/>
      <c r="AA99" s="1661"/>
      <c r="AB99" s="1661"/>
      <c r="AC99" s="1661"/>
      <c r="AD99" s="1661"/>
      <c r="AE99" s="1661"/>
      <c r="AF99" s="1661"/>
      <c r="AG99" s="1661"/>
      <c r="AH99" s="1661"/>
      <c r="AI99" s="1661"/>
      <c r="AJ99" s="1666" t="str">
        <f>IFERROR(IFERROR('Multi-Customer'!$EP$43,VLOOKUP($D99,'Required Info to Submit'!$E$23:$J$32,4,FALSE)),"")</f>
        <v/>
      </c>
      <c r="AK99" s="1667"/>
      <c r="AL99" s="1667"/>
      <c r="AM99" s="1667"/>
      <c r="AN99" s="1667"/>
      <c r="AO99" s="1667"/>
      <c r="AP99" s="1667"/>
      <c r="AQ99" s="1667"/>
      <c r="AR99" s="1667"/>
      <c r="AS99" s="1667"/>
      <c r="AT99" s="1668"/>
      <c r="AU99" s="1589" t="str">
        <f>IFERROR(IFERROR('Multi-Customer'!$EP$44,VLOOKUP($D99,'Required Info to Submit'!$E$23:$J$32,5,FALSE)),"")</f>
        <v/>
      </c>
      <c r="AV99" s="1590"/>
      <c r="AW99" s="1590"/>
      <c r="AX99" s="1591"/>
      <c r="AY99" s="1651" t="str">
        <f>IFERROR(IFERROR('Multi-Customer'!$EP$45,VLOOKUP($D99,'Required Info to Submit'!$E$23:$J$32,6,FALSE)),"")</f>
        <v/>
      </c>
      <c r="AZ99" s="1652"/>
      <c r="BA99" s="1652"/>
      <c r="BB99" s="1652"/>
      <c r="BC99" s="1653"/>
      <c r="BF99" s="138"/>
    </row>
    <row r="100" spans="2:58" x14ac:dyDescent="0.25">
      <c r="B100" s="137"/>
      <c r="C100" s="626">
        <v>6</v>
      </c>
      <c r="D100" s="1674">
        <f>'Customer Inputs'!$B$11</f>
        <v>0</v>
      </c>
      <c r="E100" s="1674"/>
      <c r="F100" s="1674"/>
      <c r="G100" s="1674"/>
      <c r="H100" s="1674"/>
      <c r="I100" s="1674"/>
      <c r="J100" s="1674"/>
      <c r="K100" s="1661" t="str">
        <f>IFERROR(IFERROR('Multi-Customer'!$FM$39,VLOOKUP($D100,'Required Info to Submit'!$E$23:$J$32,2,FALSE)),"")</f>
        <v/>
      </c>
      <c r="L100" s="1661"/>
      <c r="M100" s="1661"/>
      <c r="N100" s="1661"/>
      <c r="O100" s="1661"/>
      <c r="P100" s="1661"/>
      <c r="Q100" s="1661"/>
      <c r="R100" s="1661"/>
      <c r="S100" s="1661"/>
      <c r="T100" s="1661"/>
      <c r="U100" s="1661" t="str">
        <f>IFERROR(IFERROR('Multi-Customer'!$FM$41&amp;" "&amp;'Multi-Customer'!$FM$42,VLOOKUP($D100,'Required Info to Submit'!$E$23:$J$32,3,FALSE)),"")</f>
        <v/>
      </c>
      <c r="V100" s="1661"/>
      <c r="W100" s="1661"/>
      <c r="X100" s="1661"/>
      <c r="Y100" s="1661"/>
      <c r="Z100" s="1661"/>
      <c r="AA100" s="1661"/>
      <c r="AB100" s="1661"/>
      <c r="AC100" s="1661"/>
      <c r="AD100" s="1661"/>
      <c r="AE100" s="1661"/>
      <c r="AF100" s="1661"/>
      <c r="AG100" s="1661"/>
      <c r="AH100" s="1661"/>
      <c r="AI100" s="1661"/>
      <c r="AJ100" s="1666" t="str">
        <f>IFERROR(IFERROR('Multi-Customer'!$FM$43,VLOOKUP($D100,'Required Info to Submit'!$E$23:$J$32,4,FALSE)),"")</f>
        <v/>
      </c>
      <c r="AK100" s="1667"/>
      <c r="AL100" s="1667"/>
      <c r="AM100" s="1667"/>
      <c r="AN100" s="1667"/>
      <c r="AO100" s="1667"/>
      <c r="AP100" s="1667"/>
      <c r="AQ100" s="1667"/>
      <c r="AR100" s="1667"/>
      <c r="AS100" s="1667"/>
      <c r="AT100" s="1668"/>
      <c r="AU100" s="1589" t="str">
        <f>IFERROR(IFERROR('Multi-Customer'!$FM$44,VLOOKUP($D100,'Required Info to Submit'!$E$23:$J$32,5,FALSE)),"")</f>
        <v/>
      </c>
      <c r="AV100" s="1590"/>
      <c r="AW100" s="1590"/>
      <c r="AX100" s="1591"/>
      <c r="AY100" s="1651" t="str">
        <f>IFERROR(IFERROR('Multi-Customer'!$FM$45,VLOOKUP($D100,'Required Info to Submit'!$E$23:$J$32,6,FALSE)),"")</f>
        <v/>
      </c>
      <c r="AZ100" s="1652"/>
      <c r="BA100" s="1652"/>
      <c r="BB100" s="1652"/>
      <c r="BC100" s="1653"/>
      <c r="BF100" s="138"/>
    </row>
    <row r="101" spans="2:58" x14ac:dyDescent="0.25">
      <c r="B101" s="137"/>
      <c r="C101" s="626">
        <v>7</v>
      </c>
      <c r="D101" s="1674">
        <f>'Customer Inputs'!$B$12</f>
        <v>0</v>
      </c>
      <c r="E101" s="1674"/>
      <c r="F101" s="1674"/>
      <c r="G101" s="1674"/>
      <c r="H101" s="1674"/>
      <c r="I101" s="1674"/>
      <c r="J101" s="1674"/>
      <c r="K101" s="1661" t="str">
        <f>IFERROR(IFERROR('Multi-Customer'!$GJ$39,VLOOKUP($D101,'Required Info to Submit'!$E$23:$J$32,2,FALSE)),"")</f>
        <v/>
      </c>
      <c r="L101" s="1661"/>
      <c r="M101" s="1661"/>
      <c r="N101" s="1661"/>
      <c r="O101" s="1661"/>
      <c r="P101" s="1661"/>
      <c r="Q101" s="1661"/>
      <c r="R101" s="1661"/>
      <c r="S101" s="1661"/>
      <c r="T101" s="1661"/>
      <c r="U101" s="1661" t="str">
        <f>IFERROR(IFERROR('Multi-Customer'!$GJ$41&amp;" "&amp;'Multi-Customer'!$GJ$42,VLOOKUP($D101,'Required Info to Submit'!$E$23:$J$32,3,FALSE)),"")</f>
        <v/>
      </c>
      <c r="V101" s="1661"/>
      <c r="W101" s="1661"/>
      <c r="X101" s="1661"/>
      <c r="Y101" s="1661"/>
      <c r="Z101" s="1661"/>
      <c r="AA101" s="1661"/>
      <c r="AB101" s="1661"/>
      <c r="AC101" s="1661"/>
      <c r="AD101" s="1661"/>
      <c r="AE101" s="1661"/>
      <c r="AF101" s="1661"/>
      <c r="AG101" s="1661"/>
      <c r="AH101" s="1661"/>
      <c r="AI101" s="1661"/>
      <c r="AJ101" s="1666" t="str">
        <f>IFERROR(IFERROR('Multi-Customer'!$GJ$43,VLOOKUP($D101,'Required Info to Submit'!$E$23:$J$32,4,FALSE)),"")</f>
        <v/>
      </c>
      <c r="AK101" s="1667"/>
      <c r="AL101" s="1667"/>
      <c r="AM101" s="1667"/>
      <c r="AN101" s="1667"/>
      <c r="AO101" s="1667"/>
      <c r="AP101" s="1667"/>
      <c r="AQ101" s="1667"/>
      <c r="AR101" s="1667"/>
      <c r="AS101" s="1667"/>
      <c r="AT101" s="1668"/>
      <c r="AU101" s="1589" t="str">
        <f>IFERROR(IFERROR('Multi-Customer'!$GJ$44,VLOOKUP($D101,'Required Info to Submit'!$E$23:$J$32,5,FALSE)),"")</f>
        <v/>
      </c>
      <c r="AV101" s="1590"/>
      <c r="AW101" s="1590"/>
      <c r="AX101" s="1591"/>
      <c r="AY101" s="1651" t="str">
        <f>IFERROR(IFERROR('Multi-Customer'!$GJ$45,VLOOKUP($D101,'Required Info to Submit'!$E$23:$J$32,6,FALSE)),"")</f>
        <v/>
      </c>
      <c r="AZ101" s="1652"/>
      <c r="BA101" s="1652"/>
      <c r="BB101" s="1652"/>
      <c r="BC101" s="1653"/>
      <c r="BF101" s="138"/>
    </row>
    <row r="102" spans="2:58" x14ac:dyDescent="0.25">
      <c r="B102" s="137"/>
      <c r="C102" s="626">
        <v>8</v>
      </c>
      <c r="D102" s="1674">
        <f>'Customer Inputs'!$B$13</f>
        <v>0</v>
      </c>
      <c r="E102" s="1674"/>
      <c r="F102" s="1674"/>
      <c r="G102" s="1674"/>
      <c r="H102" s="1674"/>
      <c r="I102" s="1674"/>
      <c r="J102" s="1674"/>
      <c r="K102" s="1661" t="str">
        <f>IFERROR(IFERROR('Multi-Customer'!$HG$39,VLOOKUP($D102,'Required Info to Submit'!$E$23:$J$32,2,FALSE)),"")</f>
        <v/>
      </c>
      <c r="L102" s="1661"/>
      <c r="M102" s="1661"/>
      <c r="N102" s="1661"/>
      <c r="O102" s="1661"/>
      <c r="P102" s="1661"/>
      <c r="Q102" s="1661"/>
      <c r="R102" s="1661"/>
      <c r="S102" s="1661"/>
      <c r="T102" s="1661"/>
      <c r="U102" s="1661" t="str">
        <f>IFERROR(IFERROR('Multi-Customer'!$HG$41&amp;" "&amp;'Multi-Customer'!$HG$42,VLOOKUP($D102,'Required Info to Submit'!$E$23:$J$32,3,FALSE)),"")</f>
        <v/>
      </c>
      <c r="V102" s="1661"/>
      <c r="W102" s="1661"/>
      <c r="X102" s="1661"/>
      <c r="Y102" s="1661"/>
      <c r="Z102" s="1661"/>
      <c r="AA102" s="1661"/>
      <c r="AB102" s="1661"/>
      <c r="AC102" s="1661"/>
      <c r="AD102" s="1661"/>
      <c r="AE102" s="1661"/>
      <c r="AF102" s="1661"/>
      <c r="AG102" s="1661"/>
      <c r="AH102" s="1661"/>
      <c r="AI102" s="1661"/>
      <c r="AJ102" s="1666" t="str">
        <f>IFERROR(IFERROR('Multi-Customer'!$HG$43,VLOOKUP($D102,'Required Info to Submit'!$E$23:$J$32,4,FALSE)),"")</f>
        <v/>
      </c>
      <c r="AK102" s="1667"/>
      <c r="AL102" s="1667"/>
      <c r="AM102" s="1667"/>
      <c r="AN102" s="1667"/>
      <c r="AO102" s="1667"/>
      <c r="AP102" s="1667"/>
      <c r="AQ102" s="1667"/>
      <c r="AR102" s="1667"/>
      <c r="AS102" s="1667"/>
      <c r="AT102" s="1668"/>
      <c r="AU102" s="1589" t="str">
        <f>IFERROR(IFERROR('Multi-Customer'!$HG$44,VLOOKUP($D102,'Required Info to Submit'!$E$23:$J$32,5,FALSE)),"")</f>
        <v/>
      </c>
      <c r="AV102" s="1590"/>
      <c r="AW102" s="1590"/>
      <c r="AX102" s="1591"/>
      <c r="AY102" s="1651" t="str">
        <f>IFERROR(IFERROR('Multi-Customer'!$HG$45,VLOOKUP($D102,'Required Info to Submit'!$E$23:$J$32,6,FALSE)),"")</f>
        <v/>
      </c>
      <c r="AZ102" s="1652"/>
      <c r="BA102" s="1652"/>
      <c r="BB102" s="1652"/>
      <c r="BC102" s="1653"/>
      <c r="BF102" s="138"/>
    </row>
    <row r="103" spans="2:58" x14ac:dyDescent="0.25">
      <c r="B103" s="137"/>
      <c r="C103" s="626">
        <v>9</v>
      </c>
      <c r="D103" s="1674">
        <f>'Customer Inputs'!$B$14</f>
        <v>0</v>
      </c>
      <c r="E103" s="1674"/>
      <c r="F103" s="1674"/>
      <c r="G103" s="1674"/>
      <c r="H103" s="1674"/>
      <c r="I103" s="1674"/>
      <c r="J103" s="1674"/>
      <c r="K103" s="1661" t="str">
        <f>IFERROR(IFERROR('Multi-Customer'!$ID$39,VLOOKUP($D103,'Required Info to Submit'!$E$23:$J$32,2,FALSE)),"")</f>
        <v/>
      </c>
      <c r="L103" s="1661"/>
      <c r="M103" s="1661"/>
      <c r="N103" s="1661"/>
      <c r="O103" s="1661"/>
      <c r="P103" s="1661"/>
      <c r="Q103" s="1661"/>
      <c r="R103" s="1661"/>
      <c r="S103" s="1661"/>
      <c r="T103" s="1661"/>
      <c r="U103" s="1661" t="str">
        <f>IFERROR(IFERROR('Multi-Customer'!$ID$41&amp;" "&amp;'Multi-Customer'!$ID$42,VLOOKUP($D103,'Required Info to Submit'!$E$23:$J$32,3,FALSE)),"")</f>
        <v/>
      </c>
      <c r="V103" s="1661"/>
      <c r="W103" s="1661"/>
      <c r="X103" s="1661"/>
      <c r="Y103" s="1661"/>
      <c r="Z103" s="1661"/>
      <c r="AA103" s="1661"/>
      <c r="AB103" s="1661"/>
      <c r="AC103" s="1661"/>
      <c r="AD103" s="1661"/>
      <c r="AE103" s="1661"/>
      <c r="AF103" s="1661"/>
      <c r="AG103" s="1661"/>
      <c r="AH103" s="1661"/>
      <c r="AI103" s="1661"/>
      <c r="AJ103" s="1666" t="str">
        <f>IFERROR(IFERROR('Multi-Customer'!$ID$43,VLOOKUP($D103,'Required Info to Submit'!$E$23:$J$32,4,FALSE)),"")</f>
        <v/>
      </c>
      <c r="AK103" s="1667"/>
      <c r="AL103" s="1667"/>
      <c r="AM103" s="1667"/>
      <c r="AN103" s="1667"/>
      <c r="AO103" s="1667"/>
      <c r="AP103" s="1667"/>
      <c r="AQ103" s="1667"/>
      <c r="AR103" s="1667"/>
      <c r="AS103" s="1667"/>
      <c r="AT103" s="1668"/>
      <c r="AU103" s="1589" t="str">
        <f>IFERROR(IFERROR('Multi-Customer'!$ID$44,VLOOKUP($D103,'Required Info to Submit'!$E$23:$J$32,5,FALSE)),"")</f>
        <v/>
      </c>
      <c r="AV103" s="1590"/>
      <c r="AW103" s="1590"/>
      <c r="AX103" s="1591"/>
      <c r="AY103" s="1651" t="str">
        <f>IFERROR(IFERROR('Multi-Customer'!$ID$45,VLOOKUP($D103,'Required Info to Submit'!$E$23:$J$32,6,FALSE)),"")</f>
        <v/>
      </c>
      <c r="AZ103" s="1652"/>
      <c r="BA103" s="1652"/>
      <c r="BB103" s="1652"/>
      <c r="BC103" s="1653"/>
      <c r="BF103" s="138"/>
    </row>
    <row r="104" spans="2:58" ht="15.75" thickBot="1" x14ac:dyDescent="0.3">
      <c r="B104" s="137"/>
      <c r="C104" s="627">
        <v>10</v>
      </c>
      <c r="D104" s="1673">
        <f>'Customer Inputs'!$B$15</f>
        <v>0</v>
      </c>
      <c r="E104" s="1673"/>
      <c r="F104" s="1673"/>
      <c r="G104" s="1673"/>
      <c r="H104" s="1673"/>
      <c r="I104" s="1673"/>
      <c r="J104" s="1673"/>
      <c r="K104" s="1672" t="str">
        <f>IFERROR(IFERROR('Multi-Customer'!$JA$39,VLOOKUP($D104,'Required Info to Submit'!$E$23:$J$32,2,FALSE)),"")</f>
        <v/>
      </c>
      <c r="L104" s="1672"/>
      <c r="M104" s="1672"/>
      <c r="N104" s="1672"/>
      <c r="O104" s="1672"/>
      <c r="P104" s="1672"/>
      <c r="Q104" s="1672"/>
      <c r="R104" s="1672"/>
      <c r="S104" s="1672"/>
      <c r="T104" s="1672"/>
      <c r="U104" s="1672" t="str">
        <f>IFERROR(IFERROR('Multi-Customer'!$JA$41&amp;" "&amp;'Multi-Customer'!$JA$42,VLOOKUP($D104,'Required Info to Submit'!$E$23:$J$32,3,FALSE)),"")</f>
        <v/>
      </c>
      <c r="V104" s="1672"/>
      <c r="W104" s="1672"/>
      <c r="X104" s="1672"/>
      <c r="Y104" s="1672"/>
      <c r="Z104" s="1672"/>
      <c r="AA104" s="1672"/>
      <c r="AB104" s="1672"/>
      <c r="AC104" s="1672"/>
      <c r="AD104" s="1672"/>
      <c r="AE104" s="1672"/>
      <c r="AF104" s="1672"/>
      <c r="AG104" s="1672"/>
      <c r="AH104" s="1672"/>
      <c r="AI104" s="1672"/>
      <c r="AJ104" s="1663" t="str">
        <f>IFERROR(IFERROR('Multi-Customer'!$JA$43,VLOOKUP($D104,'Required Info to Submit'!$E$23:$J$32,4,FALSE)),"")</f>
        <v/>
      </c>
      <c r="AK104" s="1664"/>
      <c r="AL104" s="1664"/>
      <c r="AM104" s="1664"/>
      <c r="AN104" s="1664"/>
      <c r="AO104" s="1664"/>
      <c r="AP104" s="1664"/>
      <c r="AQ104" s="1664"/>
      <c r="AR104" s="1664"/>
      <c r="AS104" s="1664"/>
      <c r="AT104" s="1665"/>
      <c r="AU104" s="1658" t="str">
        <f>IFERROR(IFERROR('Multi-Customer'!$JA$44,VLOOKUP($D104,'Required Info to Submit'!$E$23:$J$32,5,FALSE)),"")</f>
        <v/>
      </c>
      <c r="AV104" s="1659"/>
      <c r="AW104" s="1659"/>
      <c r="AX104" s="1660"/>
      <c r="AY104" s="1648" t="str">
        <f>IFERROR(IFERROR('Multi-Customer'!$JA$45,VLOOKUP($D104,'Required Info to Submit'!$E$23:$J$32,6,FALSE)),"")</f>
        <v/>
      </c>
      <c r="AZ104" s="1649"/>
      <c r="BA104" s="1649"/>
      <c r="BB104" s="1649"/>
      <c r="BC104" s="1650"/>
      <c r="BF104" s="138"/>
    </row>
    <row r="105" spans="2:58" x14ac:dyDescent="0.25">
      <c r="B105" s="137"/>
      <c r="BF105" s="138"/>
    </row>
    <row r="106" spans="2:58" x14ac:dyDescent="0.25">
      <c r="B106" s="137"/>
      <c r="BF106" s="138"/>
    </row>
    <row r="107" spans="2:58" ht="18.75" x14ac:dyDescent="0.3">
      <c r="B107" s="1639" t="s">
        <v>1015</v>
      </c>
      <c r="C107" s="1640"/>
      <c r="D107" s="1640"/>
      <c r="E107" s="1640"/>
      <c r="F107" s="1640"/>
      <c r="G107" s="1640"/>
      <c r="H107" s="1640"/>
      <c r="I107" s="1640"/>
      <c r="J107" s="1640"/>
      <c r="K107" s="1640"/>
      <c r="L107" s="1640"/>
      <c r="M107" s="1640"/>
      <c r="N107" s="1640"/>
      <c r="O107" s="1640"/>
      <c r="P107" s="1640"/>
      <c r="Q107" s="1640"/>
      <c r="R107" s="1640"/>
      <c r="S107" s="1640"/>
      <c r="T107" s="1640"/>
      <c r="U107" s="1640"/>
      <c r="V107" s="1640"/>
      <c r="W107" s="1640"/>
      <c r="X107" s="1640"/>
      <c r="Y107" s="1640"/>
      <c r="Z107" s="1640"/>
      <c r="AA107" s="1640"/>
      <c r="AB107" s="1640"/>
      <c r="AC107" s="1640"/>
      <c r="AD107" s="1640"/>
      <c r="AE107" s="1640"/>
      <c r="AF107" s="1640"/>
      <c r="AG107" s="1640"/>
      <c r="AH107" s="1640"/>
      <c r="AI107" s="1640"/>
      <c r="AJ107" s="1640"/>
      <c r="AK107" s="1640"/>
      <c r="AL107" s="1640"/>
      <c r="AM107" s="1640"/>
      <c r="AN107" s="1640"/>
      <c r="AO107" s="1640"/>
      <c r="AP107" s="1640"/>
      <c r="AQ107" s="1640"/>
      <c r="AR107" s="1640"/>
      <c r="AS107" s="1640"/>
      <c r="AT107" s="1640"/>
      <c r="AU107" s="1640"/>
      <c r="AV107" s="1640"/>
      <c r="AW107" s="1640"/>
      <c r="AX107" s="1640"/>
      <c r="AY107" s="1640"/>
      <c r="AZ107" s="1640"/>
      <c r="BA107" s="1640"/>
      <c r="BB107" s="1640"/>
      <c r="BC107" s="1640"/>
      <c r="BD107" s="1640"/>
      <c r="BE107" s="1640"/>
      <c r="BF107" s="1641"/>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7" t="s">
        <v>1016</v>
      </c>
      <c r="V109" s="1728"/>
      <c r="W109" s="1728"/>
      <c r="X109" s="1728"/>
      <c r="Y109" s="1728"/>
      <c r="Z109" s="1728" t="s">
        <v>1009</v>
      </c>
      <c r="AA109" s="1728"/>
      <c r="AB109" s="1728"/>
      <c r="AC109" s="1728"/>
      <c r="AD109" s="1728"/>
      <c r="AE109" s="1728"/>
      <c r="AF109" s="1728" t="s">
        <v>1010</v>
      </c>
      <c r="AG109" s="1728"/>
      <c r="AH109" s="1728"/>
      <c r="AI109" s="1728"/>
      <c r="AJ109" s="1728"/>
      <c r="AK109" s="1728"/>
      <c r="AL109" s="1728"/>
      <c r="AM109" s="1728" t="s">
        <v>1013</v>
      </c>
      <c r="AN109" s="1728"/>
      <c r="AO109" s="1728"/>
      <c r="AP109" s="1728"/>
      <c r="AQ109" s="1728"/>
      <c r="AR109" s="1728"/>
      <c r="AS109" s="1754"/>
      <c r="AT109" s="242"/>
      <c r="AU109" s="242"/>
      <c r="AV109" s="242"/>
      <c r="AW109" s="242"/>
      <c r="AX109" s="242"/>
      <c r="AY109" s="242"/>
      <c r="AZ109" s="242"/>
      <c r="BA109" s="242"/>
      <c r="BB109" s="242"/>
      <c r="BC109" s="242"/>
      <c r="BD109" s="242"/>
      <c r="BE109" s="242"/>
      <c r="BF109" s="630"/>
    </row>
    <row r="110" spans="2:58" x14ac:dyDescent="0.25">
      <c r="B110" s="137"/>
      <c r="D110" s="1723" t="s">
        <v>99</v>
      </c>
      <c r="E110" s="1662"/>
      <c r="F110" s="1662"/>
      <c r="G110" s="1662"/>
      <c r="H110" s="1662"/>
      <c r="I110" s="1662"/>
      <c r="J110" s="1662"/>
      <c r="K110" s="1662"/>
      <c r="L110" s="1662"/>
      <c r="M110" s="1662"/>
      <c r="N110" s="1662"/>
      <c r="O110" s="1662"/>
      <c r="P110" s="1662"/>
      <c r="Q110" s="1662"/>
      <c r="R110" s="1662"/>
      <c r="S110" s="1662"/>
      <c r="T110" s="1724"/>
      <c r="U110" s="1732" t="str">
        <f>IF('PIM Model'!$B$10=0,"",'PIM Model'!$B$10)</f>
        <v/>
      </c>
      <c r="V110" s="1729"/>
      <c r="W110" s="1729"/>
      <c r="X110" s="1729"/>
      <c r="Y110" s="1729"/>
      <c r="Z110" s="1729" t="str">
        <f>'PIM Model'!$AF$10</f>
        <v/>
      </c>
      <c r="AA110" s="1729"/>
      <c r="AB110" s="1729"/>
      <c r="AC110" s="1729"/>
      <c r="AD110" s="1729"/>
      <c r="AE110" s="1729"/>
      <c r="AF110" s="1741" t="str">
        <f>'PIM Model'!$AG$10</f>
        <v/>
      </c>
      <c r="AG110" s="1742"/>
      <c r="AH110" s="1742"/>
      <c r="AI110" s="1742"/>
      <c r="AJ110" s="1742"/>
      <c r="AK110" s="1742"/>
      <c r="AL110" s="1743"/>
      <c r="AM110" s="1741" t="str">
        <f>'PIM Model'!$AH$10</f>
        <v/>
      </c>
      <c r="AN110" s="1742"/>
      <c r="AO110" s="1742"/>
      <c r="AP110" s="1742"/>
      <c r="AQ110" s="1742"/>
      <c r="AR110" s="1742"/>
      <c r="AS110" s="1755"/>
      <c r="BF110" s="138"/>
    </row>
    <row r="111" spans="2:58" x14ac:dyDescent="0.25">
      <c r="B111" s="137"/>
      <c r="D111" s="1725" t="s">
        <v>103</v>
      </c>
      <c r="E111" s="1661"/>
      <c r="F111" s="1661"/>
      <c r="G111" s="1661"/>
      <c r="H111" s="1661"/>
      <c r="I111" s="1661"/>
      <c r="J111" s="1661"/>
      <c r="K111" s="1661"/>
      <c r="L111" s="1661"/>
      <c r="M111" s="1661"/>
      <c r="N111" s="1661"/>
      <c r="O111" s="1661"/>
      <c r="P111" s="1661"/>
      <c r="Q111" s="1661"/>
      <c r="R111" s="1661"/>
      <c r="S111" s="1661"/>
      <c r="T111" s="1726"/>
      <c r="U111" s="1733" t="str">
        <f>IF('PIM Model'!$B$11=0,"",'PIM Model'!$B$11)</f>
        <v/>
      </c>
      <c r="V111" s="1588"/>
      <c r="W111" s="1588"/>
      <c r="X111" s="1588"/>
      <c r="Y111" s="1588"/>
      <c r="Z111" s="1588" t="str">
        <f>'PIM Model'!$AF$11</f>
        <v/>
      </c>
      <c r="AA111" s="1588"/>
      <c r="AB111" s="1588"/>
      <c r="AC111" s="1588"/>
      <c r="AD111" s="1588"/>
      <c r="AE111" s="1588"/>
      <c r="AF111" s="1651" t="str">
        <f>'PIM Model'!$AG$11</f>
        <v/>
      </c>
      <c r="AG111" s="1652"/>
      <c r="AH111" s="1652"/>
      <c r="AI111" s="1652"/>
      <c r="AJ111" s="1652"/>
      <c r="AK111" s="1652"/>
      <c r="AL111" s="1737"/>
      <c r="AM111" s="1651" t="str">
        <f>'PIM Model'!$AH$11</f>
        <v/>
      </c>
      <c r="AN111" s="1652"/>
      <c r="AO111" s="1652"/>
      <c r="AP111" s="1652"/>
      <c r="AQ111" s="1652"/>
      <c r="AR111" s="1652"/>
      <c r="AS111" s="1653"/>
      <c r="BF111" s="138"/>
    </row>
    <row r="112" spans="2:58" x14ac:dyDescent="0.25">
      <c r="B112" s="137"/>
      <c r="D112" s="1725" t="s">
        <v>1390</v>
      </c>
      <c r="E112" s="1661"/>
      <c r="F112" s="1661"/>
      <c r="G112" s="1661"/>
      <c r="H112" s="1661"/>
      <c r="I112" s="1661"/>
      <c r="J112" s="1661"/>
      <c r="K112" s="1661"/>
      <c r="L112" s="1661"/>
      <c r="M112" s="1661"/>
      <c r="N112" s="1661"/>
      <c r="O112" s="1661"/>
      <c r="P112" s="1661"/>
      <c r="Q112" s="1661"/>
      <c r="R112" s="1661"/>
      <c r="S112" s="1661"/>
      <c r="T112" s="1726"/>
      <c r="U112" s="1733" t="str">
        <f>IF('PIM Model'!$B$12=0,"",'PIM Model'!$B$12)</f>
        <v/>
      </c>
      <c r="V112" s="1588"/>
      <c r="W112" s="1588"/>
      <c r="X112" s="1588"/>
      <c r="Y112" s="1588"/>
      <c r="Z112" s="1588" t="str">
        <f>'PIM Model'!$AF$12</f>
        <v/>
      </c>
      <c r="AA112" s="1588"/>
      <c r="AB112" s="1588"/>
      <c r="AC112" s="1588"/>
      <c r="AD112" s="1588"/>
      <c r="AE112" s="1588"/>
      <c r="AF112" s="1651" t="str">
        <f>'PIM Model'!$AG$12</f>
        <v/>
      </c>
      <c r="AG112" s="1652"/>
      <c r="AH112" s="1652"/>
      <c r="AI112" s="1652"/>
      <c r="AJ112" s="1652"/>
      <c r="AK112" s="1652"/>
      <c r="AL112" s="1737"/>
      <c r="AM112" s="1651" t="str">
        <f>'PIM Model'!$AH$12</f>
        <v/>
      </c>
      <c r="AN112" s="1652"/>
      <c r="AO112" s="1652"/>
      <c r="AP112" s="1652"/>
      <c r="AQ112" s="1652"/>
      <c r="AR112" s="1652"/>
      <c r="AS112" s="1653"/>
      <c r="BF112" s="138"/>
    </row>
    <row r="113" spans="2:58" x14ac:dyDescent="0.25">
      <c r="B113" s="137"/>
      <c r="D113" s="1725" t="s">
        <v>102</v>
      </c>
      <c r="E113" s="1661"/>
      <c r="F113" s="1661"/>
      <c r="G113" s="1661"/>
      <c r="H113" s="1661"/>
      <c r="I113" s="1661"/>
      <c r="J113" s="1661"/>
      <c r="K113" s="1661"/>
      <c r="L113" s="1661"/>
      <c r="M113" s="1661"/>
      <c r="N113" s="1661"/>
      <c r="O113" s="1661"/>
      <c r="P113" s="1661"/>
      <c r="Q113" s="1661"/>
      <c r="R113" s="1661"/>
      <c r="S113" s="1661"/>
      <c r="T113" s="1726"/>
      <c r="U113" s="1733" t="str">
        <f>IF('PIM Model'!$B$13=0,"",'PIM Model'!$B$13)</f>
        <v/>
      </c>
      <c r="V113" s="1588"/>
      <c r="W113" s="1588"/>
      <c r="X113" s="1588"/>
      <c r="Y113" s="1588"/>
      <c r="Z113" s="1588" t="str">
        <f>'PIM Model'!$AF$13</f>
        <v/>
      </c>
      <c r="AA113" s="1588"/>
      <c r="AB113" s="1588"/>
      <c r="AC113" s="1588"/>
      <c r="AD113" s="1588"/>
      <c r="AE113" s="1588"/>
      <c r="AF113" s="1651" t="str">
        <f>'PIM Model'!$AG$13</f>
        <v/>
      </c>
      <c r="AG113" s="1652"/>
      <c r="AH113" s="1652"/>
      <c r="AI113" s="1652"/>
      <c r="AJ113" s="1652"/>
      <c r="AK113" s="1652"/>
      <c r="AL113" s="1737"/>
      <c r="AM113" s="1651" t="str">
        <f>'PIM Model'!$AH$13</f>
        <v/>
      </c>
      <c r="AN113" s="1652"/>
      <c r="AO113" s="1652"/>
      <c r="AP113" s="1652"/>
      <c r="AQ113" s="1652"/>
      <c r="AR113" s="1652"/>
      <c r="AS113" s="1653"/>
      <c r="BF113" s="138"/>
    </row>
    <row r="114" spans="2:58" x14ac:dyDescent="0.25">
      <c r="B114" s="137"/>
      <c r="D114" s="1725" t="s">
        <v>100</v>
      </c>
      <c r="E114" s="1661"/>
      <c r="F114" s="1661"/>
      <c r="G114" s="1661"/>
      <c r="H114" s="1661"/>
      <c r="I114" s="1661"/>
      <c r="J114" s="1661"/>
      <c r="K114" s="1661"/>
      <c r="L114" s="1661"/>
      <c r="M114" s="1661"/>
      <c r="N114" s="1661"/>
      <c r="O114" s="1661"/>
      <c r="P114" s="1661"/>
      <c r="Q114" s="1661"/>
      <c r="R114" s="1661"/>
      <c r="S114" s="1661"/>
      <c r="T114" s="1726"/>
      <c r="U114" s="1733" t="str">
        <f>IF('PIM Model'!$B$14=0,"",'PIM Model'!$B$14)</f>
        <v/>
      </c>
      <c r="V114" s="1588"/>
      <c r="W114" s="1588"/>
      <c r="X114" s="1588"/>
      <c r="Y114" s="1588"/>
      <c r="Z114" s="1588" t="str">
        <f>'PIM Model'!$AF$14</f>
        <v/>
      </c>
      <c r="AA114" s="1588"/>
      <c r="AB114" s="1588"/>
      <c r="AC114" s="1588"/>
      <c r="AD114" s="1588"/>
      <c r="AE114" s="1588"/>
      <c r="AF114" s="1651" t="str">
        <f>'PIM Model'!$AG$14</f>
        <v/>
      </c>
      <c r="AG114" s="1652"/>
      <c r="AH114" s="1652"/>
      <c r="AI114" s="1652"/>
      <c r="AJ114" s="1652"/>
      <c r="AK114" s="1652"/>
      <c r="AL114" s="1737"/>
      <c r="AM114" s="1651" t="str">
        <f>'PIM Model'!$AH$14</f>
        <v/>
      </c>
      <c r="AN114" s="1652"/>
      <c r="AO114" s="1652"/>
      <c r="AP114" s="1652"/>
      <c r="AQ114" s="1652"/>
      <c r="AR114" s="1652"/>
      <c r="AS114" s="1653"/>
      <c r="BF114" s="138"/>
    </row>
    <row r="115" spans="2:58" x14ac:dyDescent="0.25">
      <c r="B115" s="137"/>
      <c r="D115" s="1725" t="s">
        <v>104</v>
      </c>
      <c r="E115" s="1661"/>
      <c r="F115" s="1661"/>
      <c r="G115" s="1661"/>
      <c r="H115" s="1661"/>
      <c r="I115" s="1661"/>
      <c r="J115" s="1661"/>
      <c r="K115" s="1661"/>
      <c r="L115" s="1661"/>
      <c r="M115" s="1661"/>
      <c r="N115" s="1661"/>
      <c r="O115" s="1661"/>
      <c r="P115" s="1661"/>
      <c r="Q115" s="1661"/>
      <c r="R115" s="1661"/>
      <c r="S115" s="1661"/>
      <c r="T115" s="1726"/>
      <c r="U115" s="1733" t="str">
        <f>IF('PIM Model'!$B$15=0,"",'PIM Model'!$B$15)</f>
        <v/>
      </c>
      <c r="V115" s="1588"/>
      <c r="W115" s="1588"/>
      <c r="X115" s="1588"/>
      <c r="Y115" s="1588"/>
      <c r="Z115" s="1588" t="str">
        <f>'PIM Model'!$AF$15</f>
        <v/>
      </c>
      <c r="AA115" s="1588"/>
      <c r="AB115" s="1588"/>
      <c r="AC115" s="1588"/>
      <c r="AD115" s="1588"/>
      <c r="AE115" s="1588"/>
      <c r="AF115" s="1651" t="str">
        <f>'PIM Model'!$AG$15</f>
        <v/>
      </c>
      <c r="AG115" s="1652"/>
      <c r="AH115" s="1652"/>
      <c r="AI115" s="1652"/>
      <c r="AJ115" s="1652"/>
      <c r="AK115" s="1652"/>
      <c r="AL115" s="1737"/>
      <c r="AM115" s="1651" t="str">
        <f>'PIM Model'!$AH$15</f>
        <v/>
      </c>
      <c r="AN115" s="1652"/>
      <c r="AO115" s="1652"/>
      <c r="AP115" s="1652"/>
      <c r="AQ115" s="1652"/>
      <c r="AR115" s="1652"/>
      <c r="AS115" s="1653"/>
      <c r="BF115" s="138"/>
    </row>
    <row r="116" spans="2:58" x14ac:dyDescent="0.25">
      <c r="B116" s="137"/>
      <c r="D116" s="1725" t="s">
        <v>98</v>
      </c>
      <c r="E116" s="1661"/>
      <c r="F116" s="1661"/>
      <c r="G116" s="1661"/>
      <c r="H116" s="1661"/>
      <c r="I116" s="1661"/>
      <c r="J116" s="1661"/>
      <c r="K116" s="1661"/>
      <c r="L116" s="1661"/>
      <c r="M116" s="1661"/>
      <c r="N116" s="1661"/>
      <c r="O116" s="1661"/>
      <c r="P116" s="1661"/>
      <c r="Q116" s="1661"/>
      <c r="R116" s="1661"/>
      <c r="S116" s="1661"/>
      <c r="T116" s="1726"/>
      <c r="U116" s="1733" t="str">
        <f>IF('PIM Model'!$B$16=0,"",'PIM Model'!$B$16)</f>
        <v/>
      </c>
      <c r="V116" s="1588"/>
      <c r="W116" s="1588"/>
      <c r="X116" s="1588"/>
      <c r="Y116" s="1588"/>
      <c r="Z116" s="1588" t="str">
        <f>'PIM Model'!$AF$16</f>
        <v/>
      </c>
      <c r="AA116" s="1588"/>
      <c r="AB116" s="1588"/>
      <c r="AC116" s="1588"/>
      <c r="AD116" s="1588"/>
      <c r="AE116" s="1588"/>
      <c r="AF116" s="1651" t="str">
        <f>'PIM Model'!$AG$16</f>
        <v/>
      </c>
      <c r="AG116" s="1652"/>
      <c r="AH116" s="1652"/>
      <c r="AI116" s="1652"/>
      <c r="AJ116" s="1652"/>
      <c r="AK116" s="1652"/>
      <c r="AL116" s="1737"/>
      <c r="AM116" s="1651" t="str">
        <f>'PIM Model'!$AH$16</f>
        <v/>
      </c>
      <c r="AN116" s="1652"/>
      <c r="AO116" s="1652"/>
      <c r="AP116" s="1652"/>
      <c r="AQ116" s="1652"/>
      <c r="AR116" s="1652"/>
      <c r="AS116" s="1653"/>
      <c r="BF116" s="138"/>
    </row>
    <row r="117" spans="2:58" x14ac:dyDescent="0.25">
      <c r="B117" s="137"/>
      <c r="D117" s="1725" t="s">
        <v>95</v>
      </c>
      <c r="E117" s="1661"/>
      <c r="F117" s="1661"/>
      <c r="G117" s="1661"/>
      <c r="H117" s="1661"/>
      <c r="I117" s="1661"/>
      <c r="J117" s="1661"/>
      <c r="K117" s="1661"/>
      <c r="L117" s="1661"/>
      <c r="M117" s="1661"/>
      <c r="N117" s="1661"/>
      <c r="O117" s="1661"/>
      <c r="P117" s="1661"/>
      <c r="Q117" s="1661"/>
      <c r="R117" s="1661"/>
      <c r="S117" s="1661"/>
      <c r="T117" s="1726"/>
      <c r="U117" s="1733" t="str">
        <f>IF('PIM Model'!$B$17=0,"",'PIM Model'!$B$17)</f>
        <v/>
      </c>
      <c r="V117" s="1588"/>
      <c r="W117" s="1588"/>
      <c r="X117" s="1588"/>
      <c r="Y117" s="1588"/>
      <c r="Z117" s="1588" t="str">
        <f>'PIM Model'!$AF$17</f>
        <v/>
      </c>
      <c r="AA117" s="1588"/>
      <c r="AB117" s="1588"/>
      <c r="AC117" s="1588"/>
      <c r="AD117" s="1588"/>
      <c r="AE117" s="1588"/>
      <c r="AF117" s="1651" t="str">
        <f>'PIM Model'!$AG$17</f>
        <v/>
      </c>
      <c r="AG117" s="1652"/>
      <c r="AH117" s="1652"/>
      <c r="AI117" s="1652"/>
      <c r="AJ117" s="1652"/>
      <c r="AK117" s="1652"/>
      <c r="AL117" s="1737"/>
      <c r="AM117" s="1651" t="str">
        <f>'PIM Model'!$AH$17</f>
        <v/>
      </c>
      <c r="AN117" s="1652"/>
      <c r="AO117" s="1652"/>
      <c r="AP117" s="1652"/>
      <c r="AQ117" s="1652"/>
      <c r="AR117" s="1652"/>
      <c r="AS117" s="1653"/>
      <c r="BF117" s="138"/>
    </row>
    <row r="118" spans="2:58" x14ac:dyDescent="0.25">
      <c r="B118" s="137"/>
      <c r="D118" s="1725" t="s">
        <v>96</v>
      </c>
      <c r="E118" s="1661"/>
      <c r="F118" s="1661"/>
      <c r="G118" s="1661"/>
      <c r="H118" s="1661"/>
      <c r="I118" s="1661"/>
      <c r="J118" s="1661"/>
      <c r="K118" s="1661"/>
      <c r="L118" s="1661"/>
      <c r="M118" s="1661"/>
      <c r="N118" s="1661"/>
      <c r="O118" s="1661"/>
      <c r="P118" s="1661"/>
      <c r="Q118" s="1661"/>
      <c r="R118" s="1661"/>
      <c r="S118" s="1661"/>
      <c r="T118" s="1726"/>
      <c r="U118" s="1733" t="str">
        <f>IF('PIM Model'!$B$18=0,"",'PIM Model'!$B$18)</f>
        <v/>
      </c>
      <c r="V118" s="1588"/>
      <c r="W118" s="1588"/>
      <c r="X118" s="1588"/>
      <c r="Y118" s="1588"/>
      <c r="Z118" s="1588" t="str">
        <f>'PIM Model'!$AF$18</f>
        <v/>
      </c>
      <c r="AA118" s="1588"/>
      <c r="AB118" s="1588"/>
      <c r="AC118" s="1588"/>
      <c r="AD118" s="1588"/>
      <c r="AE118" s="1588"/>
      <c r="AF118" s="1651" t="str">
        <f>'PIM Model'!$AG$18</f>
        <v/>
      </c>
      <c r="AG118" s="1652"/>
      <c r="AH118" s="1652"/>
      <c r="AI118" s="1652"/>
      <c r="AJ118" s="1652"/>
      <c r="AK118" s="1652"/>
      <c r="AL118" s="1737"/>
      <c r="AM118" s="1651" t="str">
        <f>'PIM Model'!$AH$18</f>
        <v/>
      </c>
      <c r="AN118" s="1652"/>
      <c r="AO118" s="1652"/>
      <c r="AP118" s="1652"/>
      <c r="AQ118" s="1652"/>
      <c r="AR118" s="1652"/>
      <c r="AS118" s="1653"/>
      <c r="BF118" s="138"/>
    </row>
    <row r="119" spans="2:58" x14ac:dyDescent="0.25">
      <c r="B119" s="137"/>
      <c r="D119" s="1725" t="s">
        <v>101</v>
      </c>
      <c r="E119" s="1661"/>
      <c r="F119" s="1661"/>
      <c r="G119" s="1661"/>
      <c r="H119" s="1661"/>
      <c r="I119" s="1661"/>
      <c r="J119" s="1661"/>
      <c r="K119" s="1661"/>
      <c r="L119" s="1661"/>
      <c r="M119" s="1661"/>
      <c r="N119" s="1661"/>
      <c r="O119" s="1661"/>
      <c r="P119" s="1661"/>
      <c r="Q119" s="1661"/>
      <c r="R119" s="1661"/>
      <c r="S119" s="1661"/>
      <c r="T119" s="1726"/>
      <c r="U119" s="1733" t="str">
        <f>IF('PIM Model'!$B$19=0,"",'PIM Model'!$B$19)</f>
        <v/>
      </c>
      <c r="V119" s="1588"/>
      <c r="W119" s="1588"/>
      <c r="X119" s="1588"/>
      <c r="Y119" s="1588"/>
      <c r="Z119" s="1588" t="str">
        <f>'PIM Model'!$AF$19</f>
        <v/>
      </c>
      <c r="AA119" s="1588"/>
      <c r="AB119" s="1588"/>
      <c r="AC119" s="1588"/>
      <c r="AD119" s="1588"/>
      <c r="AE119" s="1588"/>
      <c r="AF119" s="1651" t="str">
        <f>'PIM Model'!$AG$19</f>
        <v/>
      </c>
      <c r="AG119" s="1652"/>
      <c r="AH119" s="1652"/>
      <c r="AI119" s="1652"/>
      <c r="AJ119" s="1652"/>
      <c r="AK119" s="1652"/>
      <c r="AL119" s="1737"/>
      <c r="AM119" s="1651" t="str">
        <f>'PIM Model'!$AH$19</f>
        <v/>
      </c>
      <c r="AN119" s="1652"/>
      <c r="AO119" s="1652"/>
      <c r="AP119" s="1652"/>
      <c r="AQ119" s="1652"/>
      <c r="AR119" s="1652"/>
      <c r="AS119" s="1653"/>
      <c r="BF119" s="138"/>
    </row>
    <row r="120" spans="2:58" x14ac:dyDescent="0.25">
      <c r="B120" s="137"/>
      <c r="D120" s="1725" t="s">
        <v>97</v>
      </c>
      <c r="E120" s="1661"/>
      <c r="F120" s="1661"/>
      <c r="G120" s="1661"/>
      <c r="H120" s="1661"/>
      <c r="I120" s="1661"/>
      <c r="J120" s="1661"/>
      <c r="K120" s="1661"/>
      <c r="L120" s="1661"/>
      <c r="M120" s="1661"/>
      <c r="N120" s="1661"/>
      <c r="O120" s="1661"/>
      <c r="P120" s="1661"/>
      <c r="Q120" s="1661"/>
      <c r="R120" s="1661"/>
      <c r="S120" s="1661"/>
      <c r="T120" s="1726"/>
      <c r="U120" s="1733" t="str">
        <f>IF('PIM Model'!$B$20=0,"",'PIM Model'!$B$20)</f>
        <v/>
      </c>
      <c r="V120" s="1588"/>
      <c r="W120" s="1588"/>
      <c r="X120" s="1588"/>
      <c r="Y120" s="1588"/>
      <c r="Z120" s="1588" t="str">
        <f>'PIM Model'!$AF$20</f>
        <v/>
      </c>
      <c r="AA120" s="1588"/>
      <c r="AB120" s="1588"/>
      <c r="AC120" s="1588"/>
      <c r="AD120" s="1588"/>
      <c r="AE120" s="1588"/>
      <c r="AF120" s="1651" t="str">
        <f>'PIM Model'!$AG$20</f>
        <v/>
      </c>
      <c r="AG120" s="1652"/>
      <c r="AH120" s="1652"/>
      <c r="AI120" s="1652"/>
      <c r="AJ120" s="1652"/>
      <c r="AK120" s="1652"/>
      <c r="AL120" s="1737"/>
      <c r="AM120" s="1651" t="str">
        <f>'PIM Model'!$AH$20</f>
        <v/>
      </c>
      <c r="AN120" s="1652"/>
      <c r="AO120" s="1652"/>
      <c r="AP120" s="1652"/>
      <c r="AQ120" s="1652"/>
      <c r="AR120" s="1652"/>
      <c r="AS120" s="1653"/>
      <c r="BF120" s="138"/>
    </row>
    <row r="121" spans="2:58" x14ac:dyDescent="0.25">
      <c r="B121" s="137"/>
      <c r="D121" s="1725" t="s">
        <v>93</v>
      </c>
      <c r="E121" s="1661"/>
      <c r="F121" s="1661"/>
      <c r="G121" s="1661"/>
      <c r="H121" s="1661"/>
      <c r="I121" s="1661"/>
      <c r="J121" s="1661"/>
      <c r="K121" s="1661"/>
      <c r="L121" s="1661"/>
      <c r="M121" s="1661"/>
      <c r="N121" s="1661"/>
      <c r="O121" s="1661"/>
      <c r="P121" s="1661"/>
      <c r="Q121" s="1661"/>
      <c r="R121" s="1661"/>
      <c r="S121" s="1661"/>
      <c r="T121" s="1726"/>
      <c r="U121" s="1733" t="str">
        <f>IF('PIM Model'!$B$21=0,"",'PIM Model'!$B$21)</f>
        <v/>
      </c>
      <c r="V121" s="1588"/>
      <c r="W121" s="1588"/>
      <c r="X121" s="1588"/>
      <c r="Y121" s="1588"/>
      <c r="Z121" s="1588" t="str">
        <f>'PIM Model'!$AF$21</f>
        <v/>
      </c>
      <c r="AA121" s="1588"/>
      <c r="AB121" s="1588"/>
      <c r="AC121" s="1588"/>
      <c r="AD121" s="1588"/>
      <c r="AE121" s="1588"/>
      <c r="AF121" s="1651" t="str">
        <f>'PIM Model'!$AG$21</f>
        <v/>
      </c>
      <c r="AG121" s="1652"/>
      <c r="AH121" s="1652"/>
      <c r="AI121" s="1652"/>
      <c r="AJ121" s="1652"/>
      <c r="AK121" s="1652"/>
      <c r="AL121" s="1737"/>
      <c r="AM121" s="1651" t="str">
        <f>'PIM Model'!$AH$21</f>
        <v/>
      </c>
      <c r="AN121" s="1652"/>
      <c r="AO121" s="1652"/>
      <c r="AP121" s="1652"/>
      <c r="AQ121" s="1652"/>
      <c r="AR121" s="1652"/>
      <c r="AS121" s="1653"/>
      <c r="BF121" s="138"/>
    </row>
    <row r="122" spans="2:58" x14ac:dyDescent="0.25">
      <c r="B122" s="137"/>
      <c r="D122" s="1725" t="s">
        <v>105</v>
      </c>
      <c r="E122" s="1661"/>
      <c r="F122" s="1661"/>
      <c r="G122" s="1661"/>
      <c r="H122" s="1661"/>
      <c r="I122" s="1661"/>
      <c r="J122" s="1661"/>
      <c r="K122" s="1661"/>
      <c r="L122" s="1661"/>
      <c r="M122" s="1661"/>
      <c r="N122" s="1661"/>
      <c r="O122" s="1661"/>
      <c r="P122" s="1661"/>
      <c r="Q122" s="1661"/>
      <c r="R122" s="1661"/>
      <c r="S122" s="1661"/>
      <c r="T122" s="1726"/>
      <c r="U122" s="1733" t="str">
        <f>IF('PIM Model'!$B$22=0,"",'PIM Model'!$B$22)</f>
        <v/>
      </c>
      <c r="V122" s="1588"/>
      <c r="W122" s="1588"/>
      <c r="X122" s="1588"/>
      <c r="Y122" s="1588"/>
      <c r="Z122" s="1588" t="str">
        <f>'PIM Model'!$AF$22</f>
        <v/>
      </c>
      <c r="AA122" s="1588"/>
      <c r="AB122" s="1588"/>
      <c r="AC122" s="1588"/>
      <c r="AD122" s="1588"/>
      <c r="AE122" s="1588"/>
      <c r="AF122" s="1651" t="str">
        <f>'PIM Model'!$AG$22</f>
        <v/>
      </c>
      <c r="AG122" s="1652"/>
      <c r="AH122" s="1652"/>
      <c r="AI122" s="1652"/>
      <c r="AJ122" s="1652"/>
      <c r="AK122" s="1652"/>
      <c r="AL122" s="1737"/>
      <c r="AM122" s="1651" t="str">
        <f>'PIM Model'!$AH$22</f>
        <v/>
      </c>
      <c r="AN122" s="1652"/>
      <c r="AO122" s="1652"/>
      <c r="AP122" s="1652"/>
      <c r="AQ122" s="1652"/>
      <c r="AR122" s="1652"/>
      <c r="AS122" s="1653"/>
      <c r="BF122" s="138"/>
    </row>
    <row r="123" spans="2:58" x14ac:dyDescent="0.25">
      <c r="B123" s="137"/>
      <c r="D123" s="1725" t="s">
        <v>92</v>
      </c>
      <c r="E123" s="1661"/>
      <c r="F123" s="1661"/>
      <c r="G123" s="1661"/>
      <c r="H123" s="1661"/>
      <c r="I123" s="1661"/>
      <c r="J123" s="1661"/>
      <c r="K123" s="1661"/>
      <c r="L123" s="1661"/>
      <c r="M123" s="1661"/>
      <c r="N123" s="1661"/>
      <c r="O123" s="1661"/>
      <c r="P123" s="1661"/>
      <c r="Q123" s="1661"/>
      <c r="R123" s="1661"/>
      <c r="S123" s="1661"/>
      <c r="T123" s="1726"/>
      <c r="U123" s="1733" t="str">
        <f>IF('PIM Model'!$B$23=0,"",'PIM Model'!$B$23)</f>
        <v/>
      </c>
      <c r="V123" s="1588"/>
      <c r="W123" s="1588"/>
      <c r="X123" s="1588"/>
      <c r="Y123" s="1588"/>
      <c r="Z123" s="1588" t="str">
        <f>'PIM Model'!$AF$23</f>
        <v/>
      </c>
      <c r="AA123" s="1588"/>
      <c r="AB123" s="1588"/>
      <c r="AC123" s="1588"/>
      <c r="AD123" s="1588"/>
      <c r="AE123" s="1588"/>
      <c r="AF123" s="1651" t="str">
        <f>'PIM Model'!$AG$23</f>
        <v/>
      </c>
      <c r="AG123" s="1652"/>
      <c r="AH123" s="1652"/>
      <c r="AI123" s="1652"/>
      <c r="AJ123" s="1652"/>
      <c r="AK123" s="1652"/>
      <c r="AL123" s="1737"/>
      <c r="AM123" s="1651" t="str">
        <f>'PIM Model'!$AH$23</f>
        <v/>
      </c>
      <c r="AN123" s="1652"/>
      <c r="AO123" s="1652"/>
      <c r="AP123" s="1652"/>
      <c r="AQ123" s="1652"/>
      <c r="AR123" s="1652"/>
      <c r="AS123" s="1653"/>
      <c r="BF123" s="138"/>
    </row>
    <row r="124" spans="2:58" x14ac:dyDescent="0.25">
      <c r="B124" s="137"/>
      <c r="D124" s="1725" t="s">
        <v>91</v>
      </c>
      <c r="E124" s="1661"/>
      <c r="F124" s="1661"/>
      <c r="G124" s="1661"/>
      <c r="H124" s="1661"/>
      <c r="I124" s="1661"/>
      <c r="J124" s="1661"/>
      <c r="K124" s="1661"/>
      <c r="L124" s="1661"/>
      <c r="M124" s="1661"/>
      <c r="N124" s="1661"/>
      <c r="O124" s="1661"/>
      <c r="P124" s="1661"/>
      <c r="Q124" s="1661"/>
      <c r="R124" s="1661"/>
      <c r="S124" s="1661"/>
      <c r="T124" s="1726"/>
      <c r="U124" s="1733" t="str">
        <f>IF('PIM Model'!$B$24=0,"",'PIM Model'!$B$24)</f>
        <v/>
      </c>
      <c r="V124" s="1588"/>
      <c r="W124" s="1588"/>
      <c r="X124" s="1588"/>
      <c r="Y124" s="1588"/>
      <c r="Z124" s="1588" t="str">
        <f>'PIM Model'!$AF$24</f>
        <v/>
      </c>
      <c r="AA124" s="1588"/>
      <c r="AB124" s="1588"/>
      <c r="AC124" s="1588"/>
      <c r="AD124" s="1588"/>
      <c r="AE124" s="1588"/>
      <c r="AF124" s="1651" t="str">
        <f>'PIM Model'!$AG$24</f>
        <v/>
      </c>
      <c r="AG124" s="1652"/>
      <c r="AH124" s="1652"/>
      <c r="AI124" s="1652"/>
      <c r="AJ124" s="1652"/>
      <c r="AK124" s="1652"/>
      <c r="AL124" s="1737"/>
      <c r="AM124" s="1651" t="str">
        <f>'PIM Model'!$AH$24</f>
        <v/>
      </c>
      <c r="AN124" s="1652"/>
      <c r="AO124" s="1652"/>
      <c r="AP124" s="1652"/>
      <c r="AQ124" s="1652"/>
      <c r="AR124" s="1652"/>
      <c r="AS124" s="1653"/>
      <c r="BF124" s="138"/>
    </row>
    <row r="125" spans="2:58" x14ac:dyDescent="0.25">
      <c r="B125" s="137"/>
      <c r="D125" s="1725" t="s">
        <v>90</v>
      </c>
      <c r="E125" s="1661"/>
      <c r="F125" s="1661"/>
      <c r="G125" s="1661"/>
      <c r="H125" s="1661"/>
      <c r="I125" s="1661"/>
      <c r="J125" s="1661"/>
      <c r="K125" s="1661"/>
      <c r="L125" s="1661"/>
      <c r="M125" s="1661"/>
      <c r="N125" s="1661"/>
      <c r="O125" s="1661"/>
      <c r="P125" s="1661"/>
      <c r="Q125" s="1661"/>
      <c r="R125" s="1661"/>
      <c r="S125" s="1661"/>
      <c r="T125" s="1726"/>
      <c r="U125" s="1733" t="str">
        <f>IF('PIM Model'!$B$25=0,"",'PIM Model'!$B$25)</f>
        <v/>
      </c>
      <c r="V125" s="1588"/>
      <c r="W125" s="1588"/>
      <c r="X125" s="1588"/>
      <c r="Y125" s="1588"/>
      <c r="Z125" s="1588" t="str">
        <f>'PIM Model'!$AF$25</f>
        <v/>
      </c>
      <c r="AA125" s="1588"/>
      <c r="AB125" s="1588"/>
      <c r="AC125" s="1588"/>
      <c r="AD125" s="1588"/>
      <c r="AE125" s="1588"/>
      <c r="AF125" s="1651" t="str">
        <f>'PIM Model'!$AG$25</f>
        <v/>
      </c>
      <c r="AG125" s="1652"/>
      <c r="AH125" s="1652"/>
      <c r="AI125" s="1652"/>
      <c r="AJ125" s="1652"/>
      <c r="AK125" s="1652"/>
      <c r="AL125" s="1737"/>
      <c r="AM125" s="1651" t="str">
        <f>'PIM Model'!$AH$25</f>
        <v/>
      </c>
      <c r="AN125" s="1652"/>
      <c r="AO125" s="1652"/>
      <c r="AP125" s="1652"/>
      <c r="AQ125" s="1652"/>
      <c r="AR125" s="1652"/>
      <c r="AS125" s="1653"/>
      <c r="BF125" s="138"/>
    </row>
    <row r="126" spans="2:58" x14ac:dyDescent="0.25">
      <c r="B126" s="137"/>
      <c r="D126" s="1725" t="s">
        <v>89</v>
      </c>
      <c r="E126" s="1661"/>
      <c r="F126" s="1661"/>
      <c r="G126" s="1661"/>
      <c r="H126" s="1661"/>
      <c r="I126" s="1661"/>
      <c r="J126" s="1661"/>
      <c r="K126" s="1661"/>
      <c r="L126" s="1661"/>
      <c r="M126" s="1661"/>
      <c r="N126" s="1661"/>
      <c r="O126" s="1661"/>
      <c r="P126" s="1661"/>
      <c r="Q126" s="1661"/>
      <c r="R126" s="1661"/>
      <c r="S126" s="1661"/>
      <c r="T126" s="1726"/>
      <c r="U126" s="1733" t="str">
        <f>IF('PIM Model'!$B$26=0,"",'PIM Model'!$B$26)</f>
        <v/>
      </c>
      <c r="V126" s="1588"/>
      <c r="W126" s="1588"/>
      <c r="X126" s="1588"/>
      <c r="Y126" s="1588"/>
      <c r="Z126" s="1588" t="str">
        <f>'PIM Model'!$AF$26</f>
        <v/>
      </c>
      <c r="AA126" s="1588"/>
      <c r="AB126" s="1588"/>
      <c r="AC126" s="1588"/>
      <c r="AD126" s="1588"/>
      <c r="AE126" s="1588"/>
      <c r="AF126" s="1651" t="str">
        <f>'PIM Model'!$AG$26</f>
        <v/>
      </c>
      <c r="AG126" s="1652"/>
      <c r="AH126" s="1652"/>
      <c r="AI126" s="1652"/>
      <c r="AJ126" s="1652"/>
      <c r="AK126" s="1652"/>
      <c r="AL126" s="1737"/>
      <c r="AM126" s="1651" t="str">
        <f>'PIM Model'!$AH$26</f>
        <v/>
      </c>
      <c r="AN126" s="1652"/>
      <c r="AO126" s="1652"/>
      <c r="AP126" s="1652"/>
      <c r="AQ126" s="1652"/>
      <c r="AR126" s="1652"/>
      <c r="AS126" s="1653"/>
      <c r="BF126" s="138"/>
    </row>
    <row r="127" spans="2:58" x14ac:dyDescent="0.25">
      <c r="B127" s="137"/>
      <c r="D127" s="1725" t="s">
        <v>94</v>
      </c>
      <c r="E127" s="1661"/>
      <c r="F127" s="1661"/>
      <c r="G127" s="1661"/>
      <c r="H127" s="1661"/>
      <c r="I127" s="1661"/>
      <c r="J127" s="1661"/>
      <c r="K127" s="1661"/>
      <c r="L127" s="1661"/>
      <c r="M127" s="1661"/>
      <c r="N127" s="1661"/>
      <c r="O127" s="1661"/>
      <c r="P127" s="1661"/>
      <c r="Q127" s="1661"/>
      <c r="R127" s="1661"/>
      <c r="S127" s="1661"/>
      <c r="T127" s="1726"/>
      <c r="U127" s="1733" t="str">
        <f>IF('PIM Model'!$B$27=0,"",'PIM Model'!$B$27)</f>
        <v/>
      </c>
      <c r="V127" s="1588"/>
      <c r="W127" s="1588"/>
      <c r="X127" s="1588"/>
      <c r="Y127" s="1588"/>
      <c r="Z127" s="1588" t="str">
        <f>'PIM Model'!$AF$27</f>
        <v/>
      </c>
      <c r="AA127" s="1588"/>
      <c r="AB127" s="1588"/>
      <c r="AC127" s="1588"/>
      <c r="AD127" s="1588"/>
      <c r="AE127" s="1588"/>
      <c r="AF127" s="1651" t="str">
        <f>'PIM Model'!$AG$27</f>
        <v/>
      </c>
      <c r="AG127" s="1652"/>
      <c r="AH127" s="1652"/>
      <c r="AI127" s="1652"/>
      <c r="AJ127" s="1652"/>
      <c r="AK127" s="1652"/>
      <c r="AL127" s="1737"/>
      <c r="AM127" s="1651" t="str">
        <f>'PIM Model'!$AH$27</f>
        <v/>
      </c>
      <c r="AN127" s="1652"/>
      <c r="AO127" s="1652"/>
      <c r="AP127" s="1652"/>
      <c r="AQ127" s="1652"/>
      <c r="AR127" s="1652"/>
      <c r="AS127" s="1653"/>
      <c r="BF127" s="138"/>
    </row>
    <row r="128" spans="2:58" x14ac:dyDescent="0.25">
      <c r="B128" s="137"/>
      <c r="D128" s="1725" t="s">
        <v>86</v>
      </c>
      <c r="E128" s="1661"/>
      <c r="F128" s="1661"/>
      <c r="G128" s="1661"/>
      <c r="H128" s="1661"/>
      <c r="I128" s="1661"/>
      <c r="J128" s="1661"/>
      <c r="K128" s="1661"/>
      <c r="L128" s="1661"/>
      <c r="M128" s="1661"/>
      <c r="N128" s="1661"/>
      <c r="O128" s="1661"/>
      <c r="P128" s="1661"/>
      <c r="Q128" s="1661"/>
      <c r="R128" s="1661"/>
      <c r="S128" s="1661"/>
      <c r="T128" s="1726"/>
      <c r="U128" s="1733" t="str">
        <f>IF('PIM Model'!$B$28=0,"",'PIM Model'!$B$28)</f>
        <v/>
      </c>
      <c r="V128" s="1588"/>
      <c r="W128" s="1588"/>
      <c r="X128" s="1588"/>
      <c r="Y128" s="1588"/>
      <c r="Z128" s="1588" t="str">
        <f>'PIM Model'!$AF$28</f>
        <v/>
      </c>
      <c r="AA128" s="1588"/>
      <c r="AB128" s="1588"/>
      <c r="AC128" s="1588"/>
      <c r="AD128" s="1588"/>
      <c r="AE128" s="1588"/>
      <c r="AF128" s="1651" t="str">
        <f>'PIM Model'!$AG$28</f>
        <v/>
      </c>
      <c r="AG128" s="1652"/>
      <c r="AH128" s="1652"/>
      <c r="AI128" s="1652"/>
      <c r="AJ128" s="1652"/>
      <c r="AK128" s="1652"/>
      <c r="AL128" s="1737"/>
      <c r="AM128" s="1651" t="str">
        <f>'PIM Model'!$AH$28</f>
        <v/>
      </c>
      <c r="AN128" s="1652"/>
      <c r="AO128" s="1652"/>
      <c r="AP128" s="1652"/>
      <c r="AQ128" s="1652"/>
      <c r="AR128" s="1652"/>
      <c r="AS128" s="1653"/>
      <c r="BF128" s="138"/>
    </row>
    <row r="129" spans="2:58" x14ac:dyDescent="0.25">
      <c r="B129" s="137"/>
      <c r="D129" s="1725" t="s">
        <v>88</v>
      </c>
      <c r="E129" s="1661"/>
      <c r="F129" s="1661"/>
      <c r="G129" s="1661"/>
      <c r="H129" s="1661"/>
      <c r="I129" s="1661"/>
      <c r="J129" s="1661"/>
      <c r="K129" s="1661"/>
      <c r="L129" s="1661"/>
      <c r="M129" s="1661"/>
      <c r="N129" s="1661"/>
      <c r="O129" s="1661"/>
      <c r="P129" s="1661"/>
      <c r="Q129" s="1661"/>
      <c r="R129" s="1661"/>
      <c r="S129" s="1661"/>
      <c r="T129" s="1726"/>
      <c r="U129" s="1733" t="str">
        <f>IF('PIM Model'!$B$29=0,"",'PIM Model'!$B$29)</f>
        <v/>
      </c>
      <c r="V129" s="1588"/>
      <c r="W129" s="1588"/>
      <c r="X129" s="1588"/>
      <c r="Y129" s="1588"/>
      <c r="Z129" s="1588" t="str">
        <f>'PIM Model'!$AF$29</f>
        <v/>
      </c>
      <c r="AA129" s="1588"/>
      <c r="AB129" s="1588"/>
      <c r="AC129" s="1588"/>
      <c r="AD129" s="1588"/>
      <c r="AE129" s="1588"/>
      <c r="AF129" s="1651" t="str">
        <f>'PIM Model'!$AG$29</f>
        <v/>
      </c>
      <c r="AG129" s="1652"/>
      <c r="AH129" s="1652"/>
      <c r="AI129" s="1652"/>
      <c r="AJ129" s="1652"/>
      <c r="AK129" s="1652"/>
      <c r="AL129" s="1737"/>
      <c r="AM129" s="1651" t="str">
        <f>'PIM Model'!$AH$29</f>
        <v/>
      </c>
      <c r="AN129" s="1652"/>
      <c r="AO129" s="1652"/>
      <c r="AP129" s="1652"/>
      <c r="AQ129" s="1652"/>
      <c r="AR129" s="1652"/>
      <c r="AS129" s="1653"/>
      <c r="BF129" s="138"/>
    </row>
    <row r="130" spans="2:58" ht="15.75" thickBot="1" x14ac:dyDescent="0.3">
      <c r="B130" s="137"/>
      <c r="D130" s="1734" t="s">
        <v>87</v>
      </c>
      <c r="E130" s="1735"/>
      <c r="F130" s="1735"/>
      <c r="G130" s="1735"/>
      <c r="H130" s="1735"/>
      <c r="I130" s="1735"/>
      <c r="J130" s="1735"/>
      <c r="K130" s="1735"/>
      <c r="L130" s="1735"/>
      <c r="M130" s="1735"/>
      <c r="N130" s="1735"/>
      <c r="O130" s="1735"/>
      <c r="P130" s="1735"/>
      <c r="Q130" s="1735"/>
      <c r="R130" s="1735"/>
      <c r="S130" s="1735"/>
      <c r="T130" s="1736"/>
      <c r="U130" s="1730" t="str">
        <f>IF('PIM Model'!$B$30=0,"",'PIM Model'!$B$30)</f>
        <v/>
      </c>
      <c r="V130" s="1731"/>
      <c r="W130" s="1731"/>
      <c r="X130" s="1731"/>
      <c r="Y130" s="1731"/>
      <c r="Z130" s="1731" t="str">
        <f>'PIM Model'!$AF$30</f>
        <v/>
      </c>
      <c r="AA130" s="1731"/>
      <c r="AB130" s="1731"/>
      <c r="AC130" s="1731"/>
      <c r="AD130" s="1731"/>
      <c r="AE130" s="1731"/>
      <c r="AF130" s="1738" t="str">
        <f>'PIM Model'!$AG$30</f>
        <v/>
      </c>
      <c r="AG130" s="1739"/>
      <c r="AH130" s="1739"/>
      <c r="AI130" s="1739"/>
      <c r="AJ130" s="1739"/>
      <c r="AK130" s="1739"/>
      <c r="AL130" s="1753"/>
      <c r="AM130" s="1738" t="str">
        <f>'PIM Model'!$AH$30</f>
        <v/>
      </c>
      <c r="AN130" s="1739"/>
      <c r="AO130" s="1739"/>
      <c r="AP130" s="1739"/>
      <c r="AQ130" s="1739"/>
      <c r="AR130" s="1739"/>
      <c r="AS130" s="1740"/>
      <c r="BF130" s="138"/>
    </row>
    <row r="131" spans="2:58" ht="16.5" thickTop="1" thickBot="1" x14ac:dyDescent="0.3">
      <c r="B131" s="137"/>
      <c r="D131" s="1744" t="s">
        <v>1014</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95" priority="6">
      <formula>LEN(TRIM(U110))&gt;0</formula>
    </cfRule>
  </conditionalFormatting>
  <conditionalFormatting sqref="Z110:AE130">
    <cfRule type="containsText" dxfId="294" priority="4" operator="containsText" text="BELOW">
      <formula>NOT(ISERROR(SEARCH("BELOW",Z110)))</formula>
    </cfRule>
    <cfRule type="containsText" dxfId="29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8" t="s">
        <v>1038</v>
      </c>
      <c r="C2" s="1759"/>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6" t="s">
        <v>854</v>
      </c>
      <c r="C6" s="1757"/>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6" t="s">
        <v>855</v>
      </c>
      <c r="C13" s="1757"/>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C2" sqref="C2"/>
    </sheetView>
  </sheetViews>
  <sheetFormatPr defaultRowHeight="15" x14ac:dyDescent="0.25"/>
  <cols>
    <col min="1" max="1" width="17.85546875" style="1090" customWidth="1"/>
    <col min="2" max="2" width="23.5703125" style="1090" customWidth="1"/>
    <col min="3" max="3" width="40.85546875" style="1374" customWidth="1"/>
    <col min="4" max="4" width="43.140625" style="1374"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76" t="s">
        <v>725</v>
      </c>
      <c r="D1" s="1376" t="s">
        <v>1508</v>
      </c>
      <c r="E1" s="1341" t="s">
        <v>1509</v>
      </c>
    </row>
    <row r="2" spans="1:5" x14ac:dyDescent="0.25">
      <c r="A2" s="1232">
        <v>1</v>
      </c>
      <c r="B2" s="1232" t="s">
        <v>1510</v>
      </c>
      <c r="C2" s="1319" t="s">
        <v>1510</v>
      </c>
      <c r="D2" s="1319" t="s">
        <v>1511</v>
      </c>
      <c r="E2" s="1316" t="s">
        <v>1512</v>
      </c>
    </row>
    <row r="3" spans="1:5" x14ac:dyDescent="0.25">
      <c r="A3" s="1232">
        <v>2</v>
      </c>
      <c r="B3" s="1232" t="s">
        <v>1510</v>
      </c>
      <c r="C3" s="1319" t="s">
        <v>1510</v>
      </c>
      <c r="D3" s="1319" t="s">
        <v>1511</v>
      </c>
      <c r="E3" s="1316" t="s">
        <v>1513</v>
      </c>
    </row>
    <row r="4" spans="1:5" x14ac:dyDescent="0.25">
      <c r="A4" s="1232">
        <v>3</v>
      </c>
      <c r="B4" s="1232" t="s">
        <v>1514</v>
      </c>
      <c r="C4" s="1319" t="s">
        <v>1510</v>
      </c>
      <c r="D4" s="1319" t="s">
        <v>1511</v>
      </c>
      <c r="E4" s="1316" t="s">
        <v>1515</v>
      </c>
    </row>
    <row r="5" spans="1:5" x14ac:dyDescent="0.25">
      <c r="A5" s="1232">
        <v>4</v>
      </c>
      <c r="B5" s="1232" t="s">
        <v>1473</v>
      </c>
      <c r="C5" s="1319" t="s">
        <v>1516</v>
      </c>
      <c r="D5" s="1319" t="s">
        <v>1517</v>
      </c>
      <c r="E5" s="1316" t="s">
        <v>1502</v>
      </c>
    </row>
    <row r="6" spans="1:5" x14ac:dyDescent="0.25">
      <c r="A6" s="1232">
        <v>5</v>
      </c>
      <c r="B6" s="1232" t="s">
        <v>1473</v>
      </c>
      <c r="C6" s="1319" t="s">
        <v>1516</v>
      </c>
      <c r="D6" s="1319" t="s">
        <v>1518</v>
      </c>
      <c r="E6" s="1316" t="s">
        <v>1503</v>
      </c>
    </row>
    <row r="7" spans="1:5" x14ac:dyDescent="0.25">
      <c r="A7" s="1232">
        <v>6</v>
      </c>
      <c r="B7" s="1232" t="s">
        <v>1501</v>
      </c>
      <c r="C7" s="1319" t="s">
        <v>1516</v>
      </c>
      <c r="D7" s="1319" t="s">
        <v>1519</v>
      </c>
      <c r="E7" s="1316" t="s">
        <v>1520</v>
      </c>
    </row>
    <row r="8" spans="1:5" x14ac:dyDescent="0.25">
      <c r="A8" s="1232">
        <v>7</v>
      </c>
      <c r="B8" s="1232" t="s">
        <v>1501</v>
      </c>
      <c r="C8" s="1319" t="s">
        <v>1516</v>
      </c>
      <c r="D8" s="1319" t="s">
        <v>1519</v>
      </c>
      <c r="E8" s="1316" t="s">
        <v>1521</v>
      </c>
    </row>
    <row r="9" spans="1:5" ht="30" x14ac:dyDescent="0.25">
      <c r="A9" s="1232">
        <v>8</v>
      </c>
      <c r="B9" s="1232" t="s">
        <v>1450</v>
      </c>
      <c r="C9" s="1319" t="s">
        <v>1516</v>
      </c>
      <c r="D9" s="1319" t="s">
        <v>1467</v>
      </c>
      <c r="E9" s="1316" t="s">
        <v>1306</v>
      </c>
    </row>
    <row r="10" spans="1:5" ht="30" x14ac:dyDescent="0.25">
      <c r="A10" s="1232">
        <v>9</v>
      </c>
      <c r="B10" s="1232" t="s">
        <v>1450</v>
      </c>
      <c r="C10" s="1319" t="s">
        <v>1516</v>
      </c>
      <c r="D10" s="1319" t="s">
        <v>1467</v>
      </c>
      <c r="E10" s="1316" t="s">
        <v>1307</v>
      </c>
    </row>
    <row r="11" spans="1:5" x14ac:dyDescent="0.25">
      <c r="A11" s="1232">
        <v>10</v>
      </c>
      <c r="B11" s="1232" t="s">
        <v>1450</v>
      </c>
      <c r="C11" s="1319" t="s">
        <v>1516</v>
      </c>
      <c r="D11" s="1319" t="s">
        <v>1467</v>
      </c>
      <c r="E11" s="1316" t="s">
        <v>1311</v>
      </c>
    </row>
    <row r="12" spans="1:5" x14ac:dyDescent="0.25">
      <c r="A12" s="1232">
        <v>11</v>
      </c>
      <c r="B12" s="1232" t="s">
        <v>1450</v>
      </c>
      <c r="C12" s="1319" t="s">
        <v>1522</v>
      </c>
      <c r="D12" s="1319" t="s">
        <v>1467</v>
      </c>
      <c r="E12" s="1316" t="s">
        <v>1308</v>
      </c>
    </row>
    <row r="13" spans="1:5" x14ac:dyDescent="0.25">
      <c r="A13" s="1232">
        <v>12</v>
      </c>
      <c r="B13" s="1232" t="s">
        <v>1450</v>
      </c>
      <c r="C13" s="1319" t="s">
        <v>1522</v>
      </c>
      <c r="D13" s="1319" t="s">
        <v>1467</v>
      </c>
      <c r="E13" s="1316" t="s">
        <v>1319</v>
      </c>
    </row>
    <row r="14" spans="1:5" x14ac:dyDescent="0.25">
      <c r="A14" s="1232">
        <v>13</v>
      </c>
      <c r="B14" s="1232" t="s">
        <v>1450</v>
      </c>
      <c r="C14" s="1319" t="s">
        <v>1522</v>
      </c>
      <c r="D14" s="1319" t="s">
        <v>1467</v>
      </c>
      <c r="E14" s="1316" t="s">
        <v>1320</v>
      </c>
    </row>
    <row r="15" spans="1:5" x14ac:dyDescent="0.25">
      <c r="A15" s="1232">
        <v>14</v>
      </c>
      <c r="B15" s="1232" t="s">
        <v>1450</v>
      </c>
      <c r="C15" s="1319" t="s">
        <v>1522</v>
      </c>
      <c r="D15" s="1319" t="s">
        <v>1467</v>
      </c>
      <c r="E15" s="1316" t="s">
        <v>1322</v>
      </c>
    </row>
    <row r="16" spans="1:5" x14ac:dyDescent="0.25">
      <c r="A16" s="1232">
        <v>15</v>
      </c>
      <c r="B16" s="1232" t="s">
        <v>1450</v>
      </c>
      <c r="C16" s="1319" t="s">
        <v>1522</v>
      </c>
      <c r="D16" s="1319" t="s">
        <v>1467</v>
      </c>
      <c r="E16" s="1316" t="s">
        <v>1323</v>
      </c>
    </row>
    <row r="17" spans="1:5" ht="30" x14ac:dyDescent="0.25">
      <c r="A17" s="1232">
        <v>16</v>
      </c>
      <c r="B17" s="1232" t="s">
        <v>1450</v>
      </c>
      <c r="C17" s="1319" t="s">
        <v>1522</v>
      </c>
      <c r="D17" s="1319" t="s">
        <v>1467</v>
      </c>
      <c r="E17" s="1316" t="s">
        <v>1324</v>
      </c>
    </row>
    <row r="18" spans="1:5" x14ac:dyDescent="0.25">
      <c r="A18" s="1232">
        <v>17</v>
      </c>
      <c r="B18" s="1232" t="s">
        <v>1450</v>
      </c>
      <c r="C18" s="1319" t="s">
        <v>1522</v>
      </c>
      <c r="D18" s="1319" t="s">
        <v>1523</v>
      </c>
      <c r="E18" s="1316" t="s">
        <v>1312</v>
      </c>
    </row>
    <row r="19" spans="1:5" x14ac:dyDescent="0.25">
      <c r="A19" s="1232">
        <v>18</v>
      </c>
      <c r="B19" s="1232" t="s">
        <v>1450</v>
      </c>
      <c r="C19" s="1319" t="s">
        <v>1522</v>
      </c>
      <c r="D19" s="1319" t="s">
        <v>1523</v>
      </c>
      <c r="E19" s="1316" t="s">
        <v>1313</v>
      </c>
    </row>
    <row r="20" spans="1:5" x14ac:dyDescent="0.25">
      <c r="A20" s="1232">
        <v>19</v>
      </c>
      <c r="B20" s="1232" t="s">
        <v>1450</v>
      </c>
      <c r="C20" s="1319" t="s">
        <v>1330</v>
      </c>
      <c r="D20" s="1319" t="s">
        <v>1511</v>
      </c>
      <c r="E20" s="1315" t="s">
        <v>1356</v>
      </c>
    </row>
    <row r="21" spans="1:5" x14ac:dyDescent="0.25">
      <c r="A21" s="1232">
        <v>20</v>
      </c>
      <c r="B21" s="1232" t="s">
        <v>1450</v>
      </c>
      <c r="C21" s="1319" t="s">
        <v>1540</v>
      </c>
      <c r="D21" s="1319" t="s">
        <v>1511</v>
      </c>
      <c r="E21" s="1315" t="s">
        <v>1294</v>
      </c>
    </row>
    <row r="22" spans="1:5" x14ac:dyDescent="0.25">
      <c r="A22" s="1232">
        <v>21</v>
      </c>
      <c r="B22" s="1232" t="s">
        <v>1450</v>
      </c>
      <c r="C22" s="1319" t="s">
        <v>1540</v>
      </c>
      <c r="D22" s="1319" t="s">
        <v>1511</v>
      </c>
      <c r="E22" s="1315" t="s">
        <v>1827</v>
      </c>
    </row>
    <row r="23" spans="1:5" x14ac:dyDescent="0.25">
      <c r="A23" s="1232">
        <v>22</v>
      </c>
      <c r="B23" s="1232" t="s">
        <v>1450</v>
      </c>
      <c r="C23" s="1319" t="s">
        <v>1540</v>
      </c>
      <c r="D23" s="1319" t="s">
        <v>1511</v>
      </c>
      <c r="E23" s="1315" t="s">
        <v>1293</v>
      </c>
    </row>
    <row r="24" spans="1:5" x14ac:dyDescent="0.25">
      <c r="A24" s="1232">
        <v>23</v>
      </c>
      <c r="B24" s="1232" t="s">
        <v>1450</v>
      </c>
      <c r="C24" s="1319" t="s">
        <v>1330</v>
      </c>
      <c r="D24" s="1319" t="s">
        <v>1511</v>
      </c>
      <c r="E24" s="1315" t="s">
        <v>1830</v>
      </c>
    </row>
    <row r="25" spans="1:5" x14ac:dyDescent="0.25">
      <c r="A25" s="1232">
        <v>24</v>
      </c>
      <c r="B25" s="1232" t="s">
        <v>1450</v>
      </c>
      <c r="C25" s="1319" t="s">
        <v>1289</v>
      </c>
      <c r="D25" s="1319" t="s">
        <v>1511</v>
      </c>
      <c r="E25" s="1315" t="s">
        <v>1828</v>
      </c>
    </row>
    <row r="26" spans="1:5" x14ac:dyDescent="0.25">
      <c r="A26" s="1232">
        <v>25</v>
      </c>
      <c r="B26" s="1232" t="s">
        <v>1473</v>
      </c>
      <c r="C26" s="1319" t="s">
        <v>1522</v>
      </c>
      <c r="D26" s="1319" t="s">
        <v>1467</v>
      </c>
      <c r="E26" s="1316" t="s">
        <v>1504</v>
      </c>
    </row>
    <row r="27" spans="1:5" x14ac:dyDescent="0.25">
      <c r="A27" s="1232">
        <v>26</v>
      </c>
      <c r="B27" s="1232" t="s">
        <v>1473</v>
      </c>
      <c r="C27" s="1319" t="s">
        <v>1524</v>
      </c>
      <c r="D27" s="1319" t="s">
        <v>1525</v>
      </c>
      <c r="E27" s="1316" t="s">
        <v>1505</v>
      </c>
    </row>
    <row r="28" spans="1:5" x14ac:dyDescent="0.25">
      <c r="A28" s="1232">
        <v>27</v>
      </c>
      <c r="B28" s="1232" t="s">
        <v>1473</v>
      </c>
      <c r="C28" s="1319" t="s">
        <v>1524</v>
      </c>
      <c r="D28" s="1319" t="s">
        <v>1525</v>
      </c>
      <c r="E28" s="1316" t="s">
        <v>1526</v>
      </c>
    </row>
    <row r="29" spans="1:5" x14ac:dyDescent="0.25">
      <c r="A29" s="1232">
        <v>28</v>
      </c>
      <c r="B29" s="1232" t="s">
        <v>1473</v>
      </c>
      <c r="C29" s="1319" t="s">
        <v>1524</v>
      </c>
      <c r="D29" s="1319" t="s">
        <v>1525</v>
      </c>
      <c r="E29" s="1316" t="s">
        <v>657</v>
      </c>
    </row>
    <row r="30" spans="1:5" x14ac:dyDescent="0.25">
      <c r="A30" s="1232">
        <v>29</v>
      </c>
      <c r="B30" s="1232" t="s">
        <v>1473</v>
      </c>
      <c r="C30" s="1319" t="s">
        <v>1524</v>
      </c>
      <c r="D30" s="1319" t="s">
        <v>1525</v>
      </c>
      <c r="E30" s="1316" t="s">
        <v>1248</v>
      </c>
    </row>
    <row r="31" spans="1:5" x14ac:dyDescent="0.25">
      <c r="A31" s="1232">
        <v>30</v>
      </c>
      <c r="B31" s="1232" t="s">
        <v>1473</v>
      </c>
      <c r="C31" s="1319" t="s">
        <v>1524</v>
      </c>
      <c r="D31" s="1319" t="s">
        <v>1525</v>
      </c>
      <c r="E31" s="1316" t="s">
        <v>1249</v>
      </c>
    </row>
    <row r="32" spans="1:5" x14ac:dyDescent="0.25">
      <c r="A32" s="1232">
        <v>31</v>
      </c>
      <c r="B32" s="1232" t="s">
        <v>1473</v>
      </c>
      <c r="C32" s="1319" t="s">
        <v>1524</v>
      </c>
      <c r="D32" s="1319" t="s">
        <v>1525</v>
      </c>
      <c r="E32" s="1316" t="s">
        <v>1250</v>
      </c>
    </row>
    <row r="33" spans="1:5" x14ac:dyDescent="0.25">
      <c r="A33" s="1232">
        <v>32</v>
      </c>
      <c r="B33" s="1232" t="s">
        <v>1473</v>
      </c>
      <c r="C33" s="1319" t="s">
        <v>1527</v>
      </c>
      <c r="D33" s="1319" t="s">
        <v>1511</v>
      </c>
      <c r="E33" s="1316" t="s">
        <v>1573</v>
      </c>
    </row>
    <row r="34" spans="1:5" x14ac:dyDescent="0.25">
      <c r="A34" s="1232">
        <v>33</v>
      </c>
      <c r="B34" s="1232" t="s">
        <v>1501</v>
      </c>
      <c r="C34" s="1319" t="s">
        <v>1528</v>
      </c>
      <c r="D34" s="1319" t="s">
        <v>1511</v>
      </c>
      <c r="E34" s="1316" t="s">
        <v>734</v>
      </c>
    </row>
    <row r="35" spans="1:5" x14ac:dyDescent="0.25">
      <c r="A35" s="1232">
        <v>34</v>
      </c>
      <c r="B35" s="1232" t="s">
        <v>917</v>
      </c>
      <c r="C35" s="1319" t="s">
        <v>1528</v>
      </c>
      <c r="D35" s="1319" t="s">
        <v>1511</v>
      </c>
      <c r="E35" s="1316" t="s">
        <v>1274</v>
      </c>
    </row>
    <row r="36" spans="1:5" x14ac:dyDescent="0.25">
      <c r="A36" s="1232">
        <v>35</v>
      </c>
      <c r="B36" s="1232" t="s">
        <v>1501</v>
      </c>
      <c r="C36" s="1319" t="s">
        <v>1528</v>
      </c>
      <c r="D36" s="1319" t="s">
        <v>1511</v>
      </c>
      <c r="E36" s="1316" t="s">
        <v>794</v>
      </c>
    </row>
    <row r="37" spans="1:5" x14ac:dyDescent="0.25">
      <c r="A37" s="1232">
        <v>36</v>
      </c>
      <c r="B37" s="1232" t="s">
        <v>917</v>
      </c>
      <c r="C37" s="1319" t="s">
        <v>1528</v>
      </c>
      <c r="D37" s="1319" t="s">
        <v>1511</v>
      </c>
      <c r="E37" s="1318" t="s">
        <v>1356</v>
      </c>
    </row>
    <row r="38" spans="1:5" ht="30" x14ac:dyDescent="0.25">
      <c r="A38" s="1232">
        <v>37</v>
      </c>
      <c r="B38" s="1232" t="s">
        <v>917</v>
      </c>
      <c r="C38" s="1319" t="s">
        <v>1528</v>
      </c>
      <c r="D38" s="1319" t="s">
        <v>1511</v>
      </c>
      <c r="E38" s="1318" t="s">
        <v>1357</v>
      </c>
    </row>
    <row r="39" spans="1:5" x14ac:dyDescent="0.25">
      <c r="A39" s="1232">
        <v>38</v>
      </c>
      <c r="B39" s="1232" t="s">
        <v>917</v>
      </c>
      <c r="C39" s="1319" t="s">
        <v>1528</v>
      </c>
      <c r="D39" s="1319" t="s">
        <v>1511</v>
      </c>
      <c r="E39" s="1318" t="s">
        <v>1277</v>
      </c>
    </row>
    <row r="40" spans="1:5" x14ac:dyDescent="0.25">
      <c r="A40" s="1232">
        <v>39</v>
      </c>
      <c r="B40" s="1232" t="s">
        <v>917</v>
      </c>
      <c r="C40" s="1319" t="s">
        <v>1528</v>
      </c>
      <c r="D40" s="1319" t="s">
        <v>1511</v>
      </c>
      <c r="E40" s="1318" t="s">
        <v>1278</v>
      </c>
    </row>
    <row r="41" spans="1:5" x14ac:dyDescent="0.25">
      <c r="A41" s="1232">
        <v>40</v>
      </c>
      <c r="B41" s="1232" t="s">
        <v>917</v>
      </c>
      <c r="C41" s="1319" t="s">
        <v>1528</v>
      </c>
      <c r="D41" s="1319" t="s">
        <v>1511</v>
      </c>
      <c r="E41" s="1318" t="s">
        <v>1279</v>
      </c>
    </row>
    <row r="42" spans="1:5" x14ac:dyDescent="0.25">
      <c r="A42" s="1232">
        <v>41</v>
      </c>
      <c r="B42" s="1232" t="s">
        <v>917</v>
      </c>
      <c r="C42" s="1319" t="s">
        <v>1528</v>
      </c>
      <c r="D42" s="1319" t="s">
        <v>1511</v>
      </c>
      <c r="E42" s="1318" t="s">
        <v>1280</v>
      </c>
    </row>
    <row r="43" spans="1:5" x14ac:dyDescent="0.25">
      <c r="A43" s="1232">
        <v>42</v>
      </c>
      <c r="B43" s="1232" t="s">
        <v>917</v>
      </c>
      <c r="C43" s="1319" t="s">
        <v>1528</v>
      </c>
      <c r="D43" s="1319" t="s">
        <v>1511</v>
      </c>
      <c r="E43" s="1318" t="s">
        <v>1281</v>
      </c>
    </row>
    <row r="44" spans="1:5" x14ac:dyDescent="0.25">
      <c r="A44" s="1232">
        <v>43</v>
      </c>
      <c r="B44" s="1232" t="s">
        <v>917</v>
      </c>
      <c r="C44" s="1319" t="s">
        <v>1528</v>
      </c>
      <c r="D44" s="1319" t="s">
        <v>1511</v>
      </c>
      <c r="E44" s="1318" t="s">
        <v>1529</v>
      </c>
    </row>
    <row r="45" spans="1:5" x14ac:dyDescent="0.25">
      <c r="A45" s="1232">
        <v>44</v>
      </c>
      <c r="B45" s="1232" t="s">
        <v>917</v>
      </c>
      <c r="C45" s="1319" t="s">
        <v>1528</v>
      </c>
      <c r="D45" s="1319" t="s">
        <v>1511</v>
      </c>
      <c r="E45" s="1318" t="s">
        <v>1736</v>
      </c>
    </row>
    <row r="46" spans="1:5" x14ac:dyDescent="0.25">
      <c r="A46" s="1232">
        <v>45</v>
      </c>
      <c r="B46" s="1232" t="s">
        <v>1501</v>
      </c>
      <c r="C46" s="1319" t="s">
        <v>1528</v>
      </c>
      <c r="D46" s="1319" t="s">
        <v>1530</v>
      </c>
      <c r="E46" s="1316" t="s">
        <v>793</v>
      </c>
    </row>
    <row r="47" spans="1:5" x14ac:dyDescent="0.25">
      <c r="A47" s="1232">
        <v>46</v>
      </c>
      <c r="B47" s="1232" t="s">
        <v>1501</v>
      </c>
      <c r="C47" s="1319" t="s">
        <v>1528</v>
      </c>
      <c r="D47" s="1319" t="s">
        <v>1530</v>
      </c>
      <c r="E47" s="1316" t="s">
        <v>1271</v>
      </c>
    </row>
    <row r="48" spans="1:5" x14ac:dyDescent="0.25">
      <c r="A48" s="1232">
        <v>47</v>
      </c>
      <c r="B48" s="1232" t="s">
        <v>1501</v>
      </c>
      <c r="C48" s="1319" t="s">
        <v>1528</v>
      </c>
      <c r="D48" s="1319" t="s">
        <v>1511</v>
      </c>
      <c r="E48" s="1316" t="s">
        <v>1272</v>
      </c>
    </row>
    <row r="49" spans="1:5" x14ac:dyDescent="0.25">
      <c r="A49" s="1232">
        <v>48</v>
      </c>
      <c r="B49" s="1232" t="s">
        <v>1501</v>
      </c>
      <c r="C49" s="1319" t="s">
        <v>1528</v>
      </c>
      <c r="D49" s="1319" t="s">
        <v>1511</v>
      </c>
      <c r="E49" s="1316" t="s">
        <v>1466</v>
      </c>
    </row>
    <row r="50" spans="1:5" x14ac:dyDescent="0.25">
      <c r="A50" s="1232">
        <v>49</v>
      </c>
      <c r="B50" s="1232" t="s">
        <v>1501</v>
      </c>
      <c r="C50" s="1319" t="s">
        <v>1528</v>
      </c>
      <c r="D50" s="1319" t="s">
        <v>1511</v>
      </c>
      <c r="E50" s="1316" t="s">
        <v>1391</v>
      </c>
    </row>
    <row r="51" spans="1:5" x14ac:dyDescent="0.25">
      <c r="A51" s="1232">
        <v>50</v>
      </c>
      <c r="B51" s="1232" t="s">
        <v>1501</v>
      </c>
      <c r="C51" s="1319" t="s">
        <v>1528</v>
      </c>
      <c r="D51" s="1319" t="s">
        <v>1511</v>
      </c>
      <c r="E51" s="1316" t="s">
        <v>795</v>
      </c>
    </row>
    <row r="52" spans="1:5" x14ac:dyDescent="0.25">
      <c r="A52" s="1232">
        <v>51</v>
      </c>
      <c r="B52" s="1232" t="s">
        <v>1501</v>
      </c>
      <c r="C52" s="1319" t="s">
        <v>1528</v>
      </c>
      <c r="D52" s="1319" t="s">
        <v>1511</v>
      </c>
      <c r="E52" s="1316" t="s">
        <v>800</v>
      </c>
    </row>
    <row r="53" spans="1:5" x14ac:dyDescent="0.25">
      <c r="A53" s="1232">
        <v>52</v>
      </c>
      <c r="B53" s="1232" t="s">
        <v>1501</v>
      </c>
      <c r="C53" s="1319" t="s">
        <v>1528</v>
      </c>
      <c r="D53" s="1319" t="s">
        <v>1511</v>
      </c>
      <c r="E53" s="1316" t="s">
        <v>801</v>
      </c>
    </row>
    <row r="54" spans="1:5" x14ac:dyDescent="0.25">
      <c r="A54" s="1232">
        <v>53</v>
      </c>
      <c r="B54" s="1232" t="s">
        <v>1501</v>
      </c>
      <c r="C54" s="1319" t="s">
        <v>1528</v>
      </c>
      <c r="D54" s="1319" t="s">
        <v>1511</v>
      </c>
      <c r="E54" s="1316" t="s">
        <v>204</v>
      </c>
    </row>
    <row r="55" spans="1:5" x14ac:dyDescent="0.25">
      <c r="A55" s="1232">
        <v>54</v>
      </c>
      <c r="B55" s="1232" t="s">
        <v>1501</v>
      </c>
      <c r="C55" s="1319" t="s">
        <v>1531</v>
      </c>
      <c r="D55" s="1319" t="s">
        <v>1511</v>
      </c>
      <c r="E55" s="1316" t="s">
        <v>734</v>
      </c>
    </row>
    <row r="56" spans="1:5" x14ac:dyDescent="0.25">
      <c r="A56" s="1232">
        <v>55</v>
      </c>
      <c r="B56" s="1232" t="s">
        <v>917</v>
      </c>
      <c r="C56" s="1319" t="s">
        <v>1531</v>
      </c>
      <c r="D56" s="1319" t="s">
        <v>1511</v>
      </c>
      <c r="E56" s="1316" t="s">
        <v>1274</v>
      </c>
    </row>
    <row r="57" spans="1:5" x14ac:dyDescent="0.25">
      <c r="A57" s="1232">
        <v>56</v>
      </c>
      <c r="B57" s="1232" t="s">
        <v>1501</v>
      </c>
      <c r="C57" s="1319" t="s">
        <v>1531</v>
      </c>
      <c r="D57" s="1319" t="s">
        <v>1511</v>
      </c>
      <c r="E57" s="1316" t="s">
        <v>794</v>
      </c>
    </row>
    <row r="58" spans="1:5" x14ac:dyDescent="0.25">
      <c r="A58" s="1232">
        <v>57</v>
      </c>
      <c r="B58" s="1232" t="s">
        <v>917</v>
      </c>
      <c r="C58" s="1319" t="s">
        <v>1531</v>
      </c>
      <c r="D58" s="1319" t="s">
        <v>1511</v>
      </c>
      <c r="E58" s="1318" t="s">
        <v>1356</v>
      </c>
    </row>
    <row r="59" spans="1:5" ht="30" x14ac:dyDescent="0.25">
      <c r="A59" s="1232">
        <v>58</v>
      </c>
      <c r="B59" s="1232" t="s">
        <v>917</v>
      </c>
      <c r="C59" s="1319" t="s">
        <v>1531</v>
      </c>
      <c r="D59" s="1319" t="s">
        <v>1511</v>
      </c>
      <c r="E59" s="1318" t="s">
        <v>1357</v>
      </c>
    </row>
    <row r="60" spans="1:5" x14ac:dyDescent="0.25">
      <c r="A60" s="1232">
        <v>59</v>
      </c>
      <c r="B60" s="1232" t="s">
        <v>917</v>
      </c>
      <c r="C60" s="1319" t="s">
        <v>1531</v>
      </c>
      <c r="D60" s="1319" t="s">
        <v>1511</v>
      </c>
      <c r="E60" s="1318" t="s">
        <v>1277</v>
      </c>
    </row>
    <row r="61" spans="1:5" x14ac:dyDescent="0.25">
      <c r="A61" s="1232">
        <v>60</v>
      </c>
      <c r="B61" s="1232" t="s">
        <v>917</v>
      </c>
      <c r="C61" s="1319" t="s">
        <v>1531</v>
      </c>
      <c r="D61" s="1319" t="s">
        <v>1511</v>
      </c>
      <c r="E61" s="1318" t="s">
        <v>1278</v>
      </c>
    </row>
    <row r="62" spans="1:5" x14ac:dyDescent="0.25">
      <c r="A62" s="1232">
        <v>61</v>
      </c>
      <c r="B62" s="1232" t="s">
        <v>917</v>
      </c>
      <c r="C62" s="1319" t="s">
        <v>1531</v>
      </c>
      <c r="D62" s="1319" t="s">
        <v>1511</v>
      </c>
      <c r="E62" s="1318" t="s">
        <v>1279</v>
      </c>
    </row>
    <row r="63" spans="1:5" x14ac:dyDescent="0.25">
      <c r="A63" s="1232">
        <v>62</v>
      </c>
      <c r="B63" s="1232" t="s">
        <v>917</v>
      </c>
      <c r="C63" s="1319" t="s">
        <v>1531</v>
      </c>
      <c r="D63" s="1319" t="s">
        <v>1511</v>
      </c>
      <c r="E63" s="1318" t="s">
        <v>1280</v>
      </c>
    </row>
    <row r="64" spans="1:5" x14ac:dyDescent="0.25">
      <c r="A64" s="1232">
        <v>63</v>
      </c>
      <c r="B64" s="1232" t="s">
        <v>917</v>
      </c>
      <c r="C64" s="1319" t="s">
        <v>1531</v>
      </c>
      <c r="D64" s="1319" t="s">
        <v>1511</v>
      </c>
      <c r="E64" s="1318" t="s">
        <v>1281</v>
      </c>
    </row>
    <row r="65" spans="1:5" x14ac:dyDescent="0.25">
      <c r="A65" s="1232">
        <v>64</v>
      </c>
      <c r="B65" s="1232" t="s">
        <v>917</v>
      </c>
      <c r="C65" s="1319" t="s">
        <v>1531</v>
      </c>
      <c r="D65" s="1319" t="s">
        <v>1511</v>
      </c>
      <c r="E65" s="1318" t="s">
        <v>1529</v>
      </c>
    </row>
    <row r="66" spans="1:5" x14ac:dyDescent="0.25">
      <c r="A66" s="1232">
        <v>65</v>
      </c>
      <c r="B66" s="1232" t="s">
        <v>917</v>
      </c>
      <c r="C66" s="1319" t="s">
        <v>1531</v>
      </c>
      <c r="D66" s="1319" t="s">
        <v>1511</v>
      </c>
      <c r="E66" s="1318" t="s">
        <v>1736</v>
      </c>
    </row>
    <row r="67" spans="1:5" x14ac:dyDescent="0.25">
      <c r="A67" s="1232">
        <v>66</v>
      </c>
      <c r="B67" s="1232" t="s">
        <v>1501</v>
      </c>
      <c r="C67" s="1319" t="s">
        <v>1531</v>
      </c>
      <c r="D67" s="1319" t="s">
        <v>1530</v>
      </c>
      <c r="E67" s="1316" t="s">
        <v>793</v>
      </c>
    </row>
    <row r="68" spans="1:5" x14ac:dyDescent="0.25">
      <c r="A68" s="1232">
        <v>67</v>
      </c>
      <c r="B68" s="1232" t="s">
        <v>1501</v>
      </c>
      <c r="C68" s="1319" t="s">
        <v>1531</v>
      </c>
      <c r="D68" s="1319" t="s">
        <v>1530</v>
      </c>
      <c r="E68" s="1316" t="s">
        <v>1271</v>
      </c>
    </row>
    <row r="69" spans="1:5" x14ac:dyDescent="0.25">
      <c r="A69" s="1232">
        <v>68</v>
      </c>
      <c r="B69" s="1232" t="s">
        <v>1501</v>
      </c>
      <c r="C69" s="1319" t="s">
        <v>1531</v>
      </c>
      <c r="D69" s="1319" t="s">
        <v>1511</v>
      </c>
      <c r="E69" s="1316" t="s">
        <v>1272</v>
      </c>
    </row>
    <row r="70" spans="1:5" x14ac:dyDescent="0.25">
      <c r="A70" s="1232">
        <v>69</v>
      </c>
      <c r="B70" s="1232" t="s">
        <v>1501</v>
      </c>
      <c r="C70" s="1319" t="s">
        <v>1531</v>
      </c>
      <c r="D70" s="1319" t="s">
        <v>1511</v>
      </c>
      <c r="E70" s="1316" t="s">
        <v>1466</v>
      </c>
    </row>
    <row r="71" spans="1:5" x14ac:dyDescent="0.25">
      <c r="A71" s="1232">
        <v>70</v>
      </c>
      <c r="B71" s="1232" t="s">
        <v>1501</v>
      </c>
      <c r="C71" s="1319" t="s">
        <v>1531</v>
      </c>
      <c r="D71" s="1319" t="s">
        <v>1511</v>
      </c>
      <c r="E71" s="1316" t="s">
        <v>1391</v>
      </c>
    </row>
    <row r="72" spans="1:5" x14ac:dyDescent="0.25">
      <c r="A72" s="1232">
        <v>71</v>
      </c>
      <c r="B72" s="1232" t="s">
        <v>1501</v>
      </c>
      <c r="C72" s="1319" t="s">
        <v>1531</v>
      </c>
      <c r="D72" s="1319" t="s">
        <v>1511</v>
      </c>
      <c r="E72" s="1316" t="s">
        <v>795</v>
      </c>
    </row>
    <row r="73" spans="1:5" x14ac:dyDescent="0.25">
      <c r="A73" s="1232">
        <v>72</v>
      </c>
      <c r="B73" s="1232" t="s">
        <v>1501</v>
      </c>
      <c r="C73" s="1319" t="s">
        <v>1531</v>
      </c>
      <c r="D73" s="1319" t="s">
        <v>1511</v>
      </c>
      <c r="E73" s="1316" t="s">
        <v>800</v>
      </c>
    </row>
    <row r="74" spans="1:5" x14ac:dyDescent="0.25">
      <c r="A74" s="1232">
        <v>73</v>
      </c>
      <c r="B74" s="1232" t="s">
        <v>1501</v>
      </c>
      <c r="C74" s="1319" t="s">
        <v>1531</v>
      </c>
      <c r="D74" s="1319" t="s">
        <v>1511</v>
      </c>
      <c r="E74" s="1316" t="s">
        <v>801</v>
      </c>
    </row>
    <row r="75" spans="1:5" x14ac:dyDescent="0.25">
      <c r="A75" s="1232">
        <v>74</v>
      </c>
      <c r="B75" s="1232" t="s">
        <v>1501</v>
      </c>
      <c r="C75" s="1319" t="s">
        <v>1531</v>
      </c>
      <c r="D75" s="1319" t="s">
        <v>1511</v>
      </c>
      <c r="E75" s="1316" t="s">
        <v>204</v>
      </c>
    </row>
    <row r="76" spans="1:5" x14ac:dyDescent="0.25">
      <c r="A76" s="1232">
        <v>75</v>
      </c>
      <c r="B76" s="1232" t="s">
        <v>1501</v>
      </c>
      <c r="C76" s="1319" t="s">
        <v>1532</v>
      </c>
      <c r="D76" s="1319" t="s">
        <v>1530</v>
      </c>
      <c r="E76" s="1316" t="s">
        <v>734</v>
      </c>
    </row>
    <row r="77" spans="1:5" x14ac:dyDescent="0.25">
      <c r="A77" s="1232">
        <v>76</v>
      </c>
      <c r="B77" s="1232" t="s">
        <v>917</v>
      </c>
      <c r="C77" s="1319" t="s">
        <v>1532</v>
      </c>
      <c r="D77" s="1319" t="s">
        <v>1511</v>
      </c>
      <c r="E77" s="1316" t="s">
        <v>1274</v>
      </c>
    </row>
    <row r="78" spans="1:5" x14ac:dyDescent="0.25">
      <c r="A78" s="1232">
        <v>77</v>
      </c>
      <c r="B78" s="1232" t="s">
        <v>1501</v>
      </c>
      <c r="C78" s="1319" t="s">
        <v>1532</v>
      </c>
      <c r="D78" s="1319" t="s">
        <v>1511</v>
      </c>
      <c r="E78" s="1316" t="s">
        <v>794</v>
      </c>
    </row>
    <row r="79" spans="1:5" x14ac:dyDescent="0.25">
      <c r="A79" s="1232">
        <v>78</v>
      </c>
      <c r="B79" s="1232" t="s">
        <v>917</v>
      </c>
      <c r="C79" s="1319" t="s">
        <v>1532</v>
      </c>
      <c r="D79" s="1319" t="s">
        <v>1511</v>
      </c>
      <c r="E79" s="1318" t="s">
        <v>1356</v>
      </c>
    </row>
    <row r="80" spans="1:5" ht="30" x14ac:dyDescent="0.25">
      <c r="A80" s="1232">
        <v>79</v>
      </c>
      <c r="B80" s="1232" t="s">
        <v>917</v>
      </c>
      <c r="C80" s="1319" t="s">
        <v>1532</v>
      </c>
      <c r="D80" s="1319" t="s">
        <v>1511</v>
      </c>
      <c r="E80" s="1318" t="s">
        <v>1357</v>
      </c>
    </row>
    <row r="81" spans="1:5" x14ac:dyDescent="0.25">
      <c r="A81" s="1232">
        <v>80</v>
      </c>
      <c r="B81" s="1232" t="s">
        <v>917</v>
      </c>
      <c r="C81" s="1319" t="s">
        <v>1532</v>
      </c>
      <c r="D81" s="1319" t="s">
        <v>1511</v>
      </c>
      <c r="E81" s="1318" t="s">
        <v>1277</v>
      </c>
    </row>
    <row r="82" spans="1:5" x14ac:dyDescent="0.25">
      <c r="A82" s="1232">
        <v>81</v>
      </c>
      <c r="B82" s="1232" t="s">
        <v>917</v>
      </c>
      <c r="C82" s="1319" t="s">
        <v>1532</v>
      </c>
      <c r="D82" s="1319" t="s">
        <v>1511</v>
      </c>
      <c r="E82" s="1318" t="s">
        <v>1278</v>
      </c>
    </row>
    <row r="83" spans="1:5" x14ac:dyDescent="0.25">
      <c r="A83" s="1232">
        <v>82</v>
      </c>
      <c r="B83" s="1232" t="s">
        <v>917</v>
      </c>
      <c r="C83" s="1319" t="s">
        <v>1532</v>
      </c>
      <c r="D83" s="1319" t="s">
        <v>1511</v>
      </c>
      <c r="E83" s="1318" t="s">
        <v>1279</v>
      </c>
    </row>
    <row r="84" spans="1:5" x14ac:dyDescent="0.25">
      <c r="A84" s="1232">
        <v>83</v>
      </c>
      <c r="B84" s="1232" t="s">
        <v>917</v>
      </c>
      <c r="C84" s="1319" t="s">
        <v>1532</v>
      </c>
      <c r="D84" s="1319" t="s">
        <v>1511</v>
      </c>
      <c r="E84" s="1318" t="s">
        <v>1280</v>
      </c>
    </row>
    <row r="85" spans="1:5" x14ac:dyDescent="0.25">
      <c r="A85" s="1232">
        <v>84</v>
      </c>
      <c r="B85" s="1232" t="s">
        <v>917</v>
      </c>
      <c r="C85" s="1319" t="s">
        <v>1532</v>
      </c>
      <c r="D85" s="1319" t="s">
        <v>1511</v>
      </c>
      <c r="E85" s="1318" t="s">
        <v>1281</v>
      </c>
    </row>
    <row r="86" spans="1:5" x14ac:dyDescent="0.25">
      <c r="A86" s="1232">
        <v>85</v>
      </c>
      <c r="B86" s="1232" t="s">
        <v>917</v>
      </c>
      <c r="C86" s="1319" t="s">
        <v>1532</v>
      </c>
      <c r="D86" s="1319" t="s">
        <v>1511</v>
      </c>
      <c r="E86" s="1318" t="s">
        <v>1529</v>
      </c>
    </row>
    <row r="87" spans="1:5" x14ac:dyDescent="0.25">
      <c r="A87" s="1232">
        <v>86</v>
      </c>
      <c r="B87" s="1232" t="s">
        <v>917</v>
      </c>
      <c r="C87" s="1319" t="s">
        <v>1532</v>
      </c>
      <c r="D87" s="1319" t="s">
        <v>1511</v>
      </c>
      <c r="E87" s="1318" t="s">
        <v>1736</v>
      </c>
    </row>
    <row r="88" spans="1:5" x14ac:dyDescent="0.25">
      <c r="A88" s="1232">
        <v>87</v>
      </c>
      <c r="B88" s="1232" t="s">
        <v>1501</v>
      </c>
      <c r="C88" s="1319" t="s">
        <v>1532</v>
      </c>
      <c r="D88" s="1319" t="s">
        <v>1530</v>
      </c>
      <c r="E88" s="1316" t="s">
        <v>793</v>
      </c>
    </row>
    <row r="89" spans="1:5" x14ac:dyDescent="0.25">
      <c r="A89" s="1232">
        <v>88</v>
      </c>
      <c r="B89" s="1232" t="s">
        <v>1501</v>
      </c>
      <c r="C89" s="1319" t="s">
        <v>1532</v>
      </c>
      <c r="D89" s="1319" t="s">
        <v>1530</v>
      </c>
      <c r="E89" s="1316" t="s">
        <v>1271</v>
      </c>
    </row>
    <row r="90" spans="1:5" x14ac:dyDescent="0.25">
      <c r="A90" s="1232">
        <v>89</v>
      </c>
      <c r="B90" s="1232" t="s">
        <v>1501</v>
      </c>
      <c r="C90" s="1319" t="s">
        <v>1532</v>
      </c>
      <c r="D90" s="1319" t="s">
        <v>1511</v>
      </c>
      <c r="E90" s="1316" t="s">
        <v>1272</v>
      </c>
    </row>
    <row r="91" spans="1:5" x14ac:dyDescent="0.25">
      <c r="A91" s="1232">
        <v>90</v>
      </c>
      <c r="B91" s="1232" t="s">
        <v>1501</v>
      </c>
      <c r="C91" s="1319" t="s">
        <v>1532</v>
      </c>
      <c r="D91" s="1319" t="s">
        <v>1511</v>
      </c>
      <c r="E91" s="1316" t="s">
        <v>1466</v>
      </c>
    </row>
    <row r="92" spans="1:5" x14ac:dyDescent="0.25">
      <c r="A92" s="1232">
        <v>91</v>
      </c>
      <c r="B92" s="1232" t="s">
        <v>1501</v>
      </c>
      <c r="C92" s="1319" t="s">
        <v>1532</v>
      </c>
      <c r="D92" s="1319" t="s">
        <v>1511</v>
      </c>
      <c r="E92" s="1316" t="s">
        <v>1391</v>
      </c>
    </row>
    <row r="93" spans="1:5" x14ac:dyDescent="0.25">
      <c r="A93" s="1232">
        <v>92</v>
      </c>
      <c r="B93" s="1232" t="s">
        <v>1501</v>
      </c>
      <c r="C93" s="1319" t="s">
        <v>1532</v>
      </c>
      <c r="D93" s="1319" t="s">
        <v>1511</v>
      </c>
      <c r="E93" s="1316" t="s">
        <v>795</v>
      </c>
    </row>
    <row r="94" spans="1:5" x14ac:dyDescent="0.25">
      <c r="A94" s="1232">
        <v>93</v>
      </c>
      <c r="B94" s="1232" t="s">
        <v>1501</v>
      </c>
      <c r="C94" s="1319" t="s">
        <v>1532</v>
      </c>
      <c r="D94" s="1319" t="s">
        <v>1511</v>
      </c>
      <c r="E94" s="1316" t="s">
        <v>800</v>
      </c>
    </row>
    <row r="95" spans="1:5" x14ac:dyDescent="0.25">
      <c r="A95" s="1232">
        <v>94</v>
      </c>
      <c r="B95" s="1232" t="s">
        <v>1501</v>
      </c>
      <c r="C95" s="1319" t="s">
        <v>1532</v>
      </c>
      <c r="D95" s="1319" t="s">
        <v>1511</v>
      </c>
      <c r="E95" s="1316" t="s">
        <v>801</v>
      </c>
    </row>
    <row r="96" spans="1:5" x14ac:dyDescent="0.25">
      <c r="A96" s="1232">
        <v>95</v>
      </c>
      <c r="B96" s="1232" t="s">
        <v>1501</v>
      </c>
      <c r="C96" s="1319" t="s">
        <v>1532</v>
      </c>
      <c r="D96" s="1319" t="s">
        <v>1511</v>
      </c>
      <c r="E96" s="1316" t="s">
        <v>204</v>
      </c>
    </row>
    <row r="97" spans="1:5" x14ac:dyDescent="0.25">
      <c r="A97" s="1232">
        <v>96</v>
      </c>
      <c r="B97" s="1232" t="s">
        <v>1501</v>
      </c>
      <c r="C97" s="1319" t="s">
        <v>1533</v>
      </c>
      <c r="D97" s="1319" t="s">
        <v>1511</v>
      </c>
      <c r="E97" s="1316" t="s">
        <v>734</v>
      </c>
    </row>
    <row r="98" spans="1:5" x14ac:dyDescent="0.25">
      <c r="A98" s="1232">
        <v>97</v>
      </c>
      <c r="B98" s="1232" t="s">
        <v>917</v>
      </c>
      <c r="C98" s="1319" t="s">
        <v>1533</v>
      </c>
      <c r="D98" s="1319" t="s">
        <v>1511</v>
      </c>
      <c r="E98" s="1316" t="s">
        <v>1274</v>
      </c>
    </row>
    <row r="99" spans="1:5" x14ac:dyDescent="0.25">
      <c r="A99" s="1232">
        <v>98</v>
      </c>
      <c r="B99" s="1232" t="s">
        <v>1501</v>
      </c>
      <c r="C99" s="1319" t="s">
        <v>1533</v>
      </c>
      <c r="D99" s="1319" t="s">
        <v>1511</v>
      </c>
      <c r="E99" s="1316" t="s">
        <v>794</v>
      </c>
    </row>
    <row r="100" spans="1:5" x14ac:dyDescent="0.25">
      <c r="A100" s="1232">
        <v>99</v>
      </c>
      <c r="B100" s="1232" t="s">
        <v>917</v>
      </c>
      <c r="C100" s="1319" t="s">
        <v>1533</v>
      </c>
      <c r="D100" s="1319" t="s">
        <v>1511</v>
      </c>
      <c r="E100" s="1318" t="s">
        <v>1356</v>
      </c>
    </row>
    <row r="101" spans="1:5" ht="30" x14ac:dyDescent="0.25">
      <c r="A101" s="1232">
        <v>100</v>
      </c>
      <c r="B101" s="1232" t="s">
        <v>917</v>
      </c>
      <c r="C101" s="1319" t="s">
        <v>1533</v>
      </c>
      <c r="D101" s="1319" t="s">
        <v>1511</v>
      </c>
      <c r="E101" s="1318" t="s">
        <v>1357</v>
      </c>
    </row>
    <row r="102" spans="1:5" x14ac:dyDescent="0.25">
      <c r="A102" s="1232">
        <v>101</v>
      </c>
      <c r="B102" s="1232" t="s">
        <v>917</v>
      </c>
      <c r="C102" s="1319" t="s">
        <v>1533</v>
      </c>
      <c r="D102" s="1319" t="s">
        <v>1511</v>
      </c>
      <c r="E102" s="1318" t="s">
        <v>1277</v>
      </c>
    </row>
    <row r="103" spans="1:5" x14ac:dyDescent="0.25">
      <c r="A103" s="1232">
        <v>102</v>
      </c>
      <c r="B103" s="1232" t="s">
        <v>917</v>
      </c>
      <c r="C103" s="1319" t="s">
        <v>1533</v>
      </c>
      <c r="D103" s="1319" t="s">
        <v>1511</v>
      </c>
      <c r="E103" s="1318" t="s">
        <v>1278</v>
      </c>
    </row>
    <row r="104" spans="1:5" x14ac:dyDescent="0.25">
      <c r="A104" s="1232">
        <v>103</v>
      </c>
      <c r="B104" s="1232" t="s">
        <v>917</v>
      </c>
      <c r="C104" s="1319" t="s">
        <v>1533</v>
      </c>
      <c r="D104" s="1319" t="s">
        <v>1511</v>
      </c>
      <c r="E104" s="1318" t="s">
        <v>1279</v>
      </c>
    </row>
    <row r="105" spans="1:5" x14ac:dyDescent="0.25">
      <c r="A105" s="1232">
        <v>104</v>
      </c>
      <c r="B105" s="1232" t="s">
        <v>917</v>
      </c>
      <c r="C105" s="1319" t="s">
        <v>1533</v>
      </c>
      <c r="D105" s="1319" t="s">
        <v>1511</v>
      </c>
      <c r="E105" s="1318" t="s">
        <v>1280</v>
      </c>
    </row>
    <row r="106" spans="1:5" x14ac:dyDescent="0.25">
      <c r="A106" s="1232">
        <v>105</v>
      </c>
      <c r="B106" s="1232" t="s">
        <v>917</v>
      </c>
      <c r="C106" s="1319" t="s">
        <v>1533</v>
      </c>
      <c r="D106" s="1319" t="s">
        <v>1511</v>
      </c>
      <c r="E106" s="1318" t="s">
        <v>1281</v>
      </c>
    </row>
    <row r="107" spans="1:5" x14ac:dyDescent="0.25">
      <c r="A107" s="1232">
        <v>106</v>
      </c>
      <c r="B107" s="1232" t="s">
        <v>917</v>
      </c>
      <c r="C107" s="1319" t="s">
        <v>1533</v>
      </c>
      <c r="D107" s="1319" t="s">
        <v>1511</v>
      </c>
      <c r="E107" s="1318" t="s">
        <v>1529</v>
      </c>
    </row>
    <row r="108" spans="1:5" x14ac:dyDescent="0.25">
      <c r="A108" s="1232">
        <v>107</v>
      </c>
      <c r="B108" s="1232" t="s">
        <v>917</v>
      </c>
      <c r="C108" s="1319" t="s">
        <v>1533</v>
      </c>
      <c r="D108" s="1319" t="s">
        <v>1511</v>
      </c>
      <c r="E108" s="1318" t="s">
        <v>1736</v>
      </c>
    </row>
    <row r="109" spans="1:5" x14ac:dyDescent="0.25">
      <c r="A109" s="1232">
        <v>108</v>
      </c>
      <c r="B109" s="1232" t="s">
        <v>1501</v>
      </c>
      <c r="C109" s="1319" t="s">
        <v>1533</v>
      </c>
      <c r="D109" s="1319" t="s">
        <v>1530</v>
      </c>
      <c r="E109" s="1316" t="s">
        <v>793</v>
      </c>
    </row>
    <row r="110" spans="1:5" x14ac:dyDescent="0.25">
      <c r="A110" s="1232">
        <v>109</v>
      </c>
      <c r="B110" s="1232" t="s">
        <v>1501</v>
      </c>
      <c r="C110" s="1319" t="s">
        <v>1533</v>
      </c>
      <c r="D110" s="1319" t="s">
        <v>1530</v>
      </c>
      <c r="E110" s="1316" t="s">
        <v>1271</v>
      </c>
    </row>
    <row r="111" spans="1:5" x14ac:dyDescent="0.25">
      <c r="A111" s="1232">
        <v>110</v>
      </c>
      <c r="B111" s="1232" t="s">
        <v>1501</v>
      </c>
      <c r="C111" s="1319" t="s">
        <v>1533</v>
      </c>
      <c r="D111" s="1319" t="s">
        <v>1511</v>
      </c>
      <c r="E111" s="1316" t="s">
        <v>1272</v>
      </c>
    </row>
    <row r="112" spans="1:5" x14ac:dyDescent="0.25">
      <c r="A112" s="1232">
        <v>111</v>
      </c>
      <c r="B112" s="1232" t="s">
        <v>1501</v>
      </c>
      <c r="C112" s="1319" t="s">
        <v>1533</v>
      </c>
      <c r="D112" s="1319" t="s">
        <v>1511</v>
      </c>
      <c r="E112" s="1316" t="s">
        <v>1466</v>
      </c>
    </row>
    <row r="113" spans="1:5" x14ac:dyDescent="0.25">
      <c r="A113" s="1232">
        <v>112</v>
      </c>
      <c r="B113" s="1232" t="s">
        <v>1501</v>
      </c>
      <c r="C113" s="1319" t="s">
        <v>1533</v>
      </c>
      <c r="D113" s="1319" t="s">
        <v>1511</v>
      </c>
      <c r="E113" s="1316" t="s">
        <v>1391</v>
      </c>
    </row>
    <row r="114" spans="1:5" x14ac:dyDescent="0.25">
      <c r="A114" s="1232">
        <v>113</v>
      </c>
      <c r="B114" s="1232" t="s">
        <v>1501</v>
      </c>
      <c r="C114" s="1319" t="s">
        <v>1533</v>
      </c>
      <c r="D114" s="1319" t="s">
        <v>1511</v>
      </c>
      <c r="E114" s="1316" t="s">
        <v>795</v>
      </c>
    </row>
    <row r="115" spans="1:5" x14ac:dyDescent="0.25">
      <c r="A115" s="1232">
        <v>114</v>
      </c>
      <c r="B115" s="1232" t="s">
        <v>1501</v>
      </c>
      <c r="C115" s="1319" t="s">
        <v>1533</v>
      </c>
      <c r="D115" s="1319" t="s">
        <v>1511</v>
      </c>
      <c r="E115" s="1316" t="s">
        <v>800</v>
      </c>
    </row>
    <row r="116" spans="1:5" x14ac:dyDescent="0.25">
      <c r="A116" s="1232">
        <v>115</v>
      </c>
      <c r="B116" s="1232" t="s">
        <v>1501</v>
      </c>
      <c r="C116" s="1319" t="s">
        <v>1533</v>
      </c>
      <c r="D116" s="1319" t="s">
        <v>1511</v>
      </c>
      <c r="E116" s="1316" t="s">
        <v>801</v>
      </c>
    </row>
    <row r="117" spans="1:5" x14ac:dyDescent="0.25">
      <c r="A117" s="1232">
        <v>116</v>
      </c>
      <c r="B117" s="1232" t="s">
        <v>1501</v>
      </c>
      <c r="C117" s="1319" t="s">
        <v>1533</v>
      </c>
      <c r="D117" s="1319" t="s">
        <v>1511</v>
      </c>
      <c r="E117" s="1316" t="s">
        <v>204</v>
      </c>
    </row>
    <row r="118" spans="1:5" x14ac:dyDescent="0.25">
      <c r="A118" s="1232">
        <v>117</v>
      </c>
      <c r="B118" s="1232" t="s">
        <v>1501</v>
      </c>
      <c r="C118" s="1319" t="s">
        <v>1534</v>
      </c>
      <c r="D118" s="1319" t="s">
        <v>1511</v>
      </c>
      <c r="E118" s="1316" t="s">
        <v>734</v>
      </c>
    </row>
    <row r="119" spans="1:5" x14ac:dyDescent="0.25">
      <c r="A119" s="1232">
        <v>118</v>
      </c>
      <c r="B119" s="1232" t="s">
        <v>917</v>
      </c>
      <c r="C119" s="1319" t="s">
        <v>1534</v>
      </c>
      <c r="D119" s="1319" t="s">
        <v>1511</v>
      </c>
      <c r="E119" s="1316" t="s">
        <v>1274</v>
      </c>
    </row>
    <row r="120" spans="1:5" x14ac:dyDescent="0.25">
      <c r="A120" s="1232">
        <v>119</v>
      </c>
      <c r="B120" s="1232" t="s">
        <v>1501</v>
      </c>
      <c r="C120" s="1319" t="s">
        <v>1534</v>
      </c>
      <c r="D120" s="1319" t="s">
        <v>1511</v>
      </c>
      <c r="E120" s="1316" t="s">
        <v>794</v>
      </c>
    </row>
    <row r="121" spans="1:5" x14ac:dyDescent="0.25">
      <c r="A121" s="1232">
        <v>120</v>
      </c>
      <c r="B121" s="1232" t="s">
        <v>917</v>
      </c>
      <c r="C121" s="1319" t="s">
        <v>1534</v>
      </c>
      <c r="D121" s="1319" t="s">
        <v>1511</v>
      </c>
      <c r="E121" s="1318" t="s">
        <v>1356</v>
      </c>
    </row>
    <row r="122" spans="1:5" ht="30" x14ac:dyDescent="0.25">
      <c r="A122" s="1232">
        <v>121</v>
      </c>
      <c r="B122" s="1232" t="s">
        <v>917</v>
      </c>
      <c r="C122" s="1319" t="s">
        <v>1534</v>
      </c>
      <c r="D122" s="1319" t="s">
        <v>1511</v>
      </c>
      <c r="E122" s="1318" t="s">
        <v>1357</v>
      </c>
    </row>
    <row r="123" spans="1:5" x14ac:dyDescent="0.25">
      <c r="A123" s="1232">
        <v>122</v>
      </c>
      <c r="B123" s="1232" t="s">
        <v>917</v>
      </c>
      <c r="C123" s="1319" t="s">
        <v>1534</v>
      </c>
      <c r="D123" s="1319" t="s">
        <v>1511</v>
      </c>
      <c r="E123" s="1318" t="s">
        <v>1277</v>
      </c>
    </row>
    <row r="124" spans="1:5" x14ac:dyDescent="0.25">
      <c r="A124" s="1232">
        <v>123</v>
      </c>
      <c r="B124" s="1232" t="s">
        <v>917</v>
      </c>
      <c r="C124" s="1319" t="s">
        <v>1534</v>
      </c>
      <c r="D124" s="1319" t="s">
        <v>1511</v>
      </c>
      <c r="E124" s="1318" t="s">
        <v>1278</v>
      </c>
    </row>
    <row r="125" spans="1:5" x14ac:dyDescent="0.25">
      <c r="A125" s="1232">
        <v>124</v>
      </c>
      <c r="B125" s="1232" t="s">
        <v>917</v>
      </c>
      <c r="C125" s="1319" t="s">
        <v>1534</v>
      </c>
      <c r="D125" s="1319" t="s">
        <v>1511</v>
      </c>
      <c r="E125" s="1318" t="s">
        <v>1279</v>
      </c>
    </row>
    <row r="126" spans="1:5" x14ac:dyDescent="0.25">
      <c r="A126" s="1232">
        <v>125</v>
      </c>
      <c r="B126" s="1232" t="s">
        <v>917</v>
      </c>
      <c r="C126" s="1319" t="s">
        <v>1534</v>
      </c>
      <c r="D126" s="1319" t="s">
        <v>1511</v>
      </c>
      <c r="E126" s="1318" t="s">
        <v>1280</v>
      </c>
    </row>
    <row r="127" spans="1:5" x14ac:dyDescent="0.25">
      <c r="A127" s="1232">
        <v>126</v>
      </c>
      <c r="B127" s="1232" t="s">
        <v>917</v>
      </c>
      <c r="C127" s="1319" t="s">
        <v>1534</v>
      </c>
      <c r="D127" s="1319" t="s">
        <v>1511</v>
      </c>
      <c r="E127" s="1318" t="s">
        <v>1281</v>
      </c>
    </row>
    <row r="128" spans="1:5" x14ac:dyDescent="0.25">
      <c r="A128" s="1232">
        <v>127</v>
      </c>
      <c r="B128" s="1232" t="s">
        <v>917</v>
      </c>
      <c r="C128" s="1319" t="s">
        <v>1534</v>
      </c>
      <c r="D128" s="1319" t="s">
        <v>1511</v>
      </c>
      <c r="E128" s="1318" t="s">
        <v>1529</v>
      </c>
    </row>
    <row r="129" spans="1:5" x14ac:dyDescent="0.25">
      <c r="A129" s="1232">
        <v>128</v>
      </c>
      <c r="B129" s="1232" t="s">
        <v>917</v>
      </c>
      <c r="C129" s="1319" t="s">
        <v>1534</v>
      </c>
      <c r="D129" s="1319" t="s">
        <v>1511</v>
      </c>
      <c r="E129" s="1318" t="s">
        <v>1736</v>
      </c>
    </row>
    <row r="130" spans="1:5" x14ac:dyDescent="0.25">
      <c r="A130" s="1232">
        <v>129</v>
      </c>
      <c r="B130" s="1232" t="s">
        <v>1501</v>
      </c>
      <c r="C130" s="1319" t="s">
        <v>1534</v>
      </c>
      <c r="D130" s="1319" t="s">
        <v>1530</v>
      </c>
      <c r="E130" s="1316" t="s">
        <v>793</v>
      </c>
    </row>
    <row r="131" spans="1:5" x14ac:dyDescent="0.25">
      <c r="A131" s="1232">
        <v>130</v>
      </c>
      <c r="B131" s="1232" t="s">
        <v>1501</v>
      </c>
      <c r="C131" s="1319" t="s">
        <v>1534</v>
      </c>
      <c r="D131" s="1319" t="s">
        <v>1530</v>
      </c>
      <c r="E131" s="1316" t="s">
        <v>1271</v>
      </c>
    </row>
    <row r="132" spans="1:5" x14ac:dyDescent="0.25">
      <c r="A132" s="1232">
        <v>131</v>
      </c>
      <c r="B132" s="1232" t="s">
        <v>1501</v>
      </c>
      <c r="C132" s="1319" t="s">
        <v>1534</v>
      </c>
      <c r="D132" s="1319" t="s">
        <v>1511</v>
      </c>
      <c r="E132" s="1316" t="s">
        <v>1272</v>
      </c>
    </row>
    <row r="133" spans="1:5" x14ac:dyDescent="0.25">
      <c r="A133" s="1232">
        <v>132</v>
      </c>
      <c r="B133" s="1232" t="s">
        <v>1501</v>
      </c>
      <c r="C133" s="1319" t="s">
        <v>1534</v>
      </c>
      <c r="D133" s="1319" t="s">
        <v>1511</v>
      </c>
      <c r="E133" s="1316" t="s">
        <v>1466</v>
      </c>
    </row>
    <row r="134" spans="1:5" x14ac:dyDescent="0.25">
      <c r="A134" s="1232">
        <v>133</v>
      </c>
      <c r="B134" s="1232" t="s">
        <v>1501</v>
      </c>
      <c r="C134" s="1319" t="s">
        <v>1534</v>
      </c>
      <c r="D134" s="1319" t="s">
        <v>1511</v>
      </c>
      <c r="E134" s="1316" t="s">
        <v>1391</v>
      </c>
    </row>
    <row r="135" spans="1:5" x14ac:dyDescent="0.25">
      <c r="A135" s="1232">
        <v>134</v>
      </c>
      <c r="B135" s="1232" t="s">
        <v>1501</v>
      </c>
      <c r="C135" s="1319" t="s">
        <v>1534</v>
      </c>
      <c r="D135" s="1319" t="s">
        <v>1511</v>
      </c>
      <c r="E135" s="1316" t="s">
        <v>795</v>
      </c>
    </row>
    <row r="136" spans="1:5" x14ac:dyDescent="0.25">
      <c r="A136" s="1232">
        <v>135</v>
      </c>
      <c r="B136" s="1232" t="s">
        <v>1501</v>
      </c>
      <c r="C136" s="1319" t="s">
        <v>1534</v>
      </c>
      <c r="D136" s="1319" t="s">
        <v>1511</v>
      </c>
      <c r="E136" s="1316" t="s">
        <v>800</v>
      </c>
    </row>
    <row r="137" spans="1:5" x14ac:dyDescent="0.25">
      <c r="A137" s="1232">
        <v>136</v>
      </c>
      <c r="B137" s="1232" t="s">
        <v>1501</v>
      </c>
      <c r="C137" s="1319" t="s">
        <v>1534</v>
      </c>
      <c r="D137" s="1319" t="s">
        <v>1511</v>
      </c>
      <c r="E137" s="1316" t="s">
        <v>801</v>
      </c>
    </row>
    <row r="138" spans="1:5" x14ac:dyDescent="0.25">
      <c r="A138" s="1232">
        <v>137</v>
      </c>
      <c r="B138" s="1232" t="s">
        <v>1501</v>
      </c>
      <c r="C138" s="1319" t="s">
        <v>1534</v>
      </c>
      <c r="D138" s="1319" t="s">
        <v>1511</v>
      </c>
      <c r="E138" s="1316" t="s">
        <v>204</v>
      </c>
    </row>
    <row r="139" spans="1:5" x14ac:dyDescent="0.25">
      <c r="A139" s="1232">
        <v>138</v>
      </c>
      <c r="B139" s="1232" t="s">
        <v>1501</v>
      </c>
      <c r="C139" s="1319" t="s">
        <v>1535</v>
      </c>
      <c r="D139" s="1319" t="s">
        <v>1511</v>
      </c>
      <c r="E139" s="1316" t="s">
        <v>734</v>
      </c>
    </row>
    <row r="140" spans="1:5" x14ac:dyDescent="0.25">
      <c r="A140" s="1232">
        <v>139</v>
      </c>
      <c r="B140" s="1232" t="s">
        <v>917</v>
      </c>
      <c r="C140" s="1319" t="s">
        <v>1535</v>
      </c>
      <c r="D140" s="1319" t="s">
        <v>1511</v>
      </c>
      <c r="E140" s="1316" t="s">
        <v>1274</v>
      </c>
    </row>
    <row r="141" spans="1:5" x14ac:dyDescent="0.25">
      <c r="A141" s="1232">
        <v>140</v>
      </c>
      <c r="B141" s="1232" t="s">
        <v>1501</v>
      </c>
      <c r="C141" s="1319" t="s">
        <v>1535</v>
      </c>
      <c r="D141" s="1319" t="s">
        <v>1511</v>
      </c>
      <c r="E141" s="1316" t="s">
        <v>794</v>
      </c>
    </row>
    <row r="142" spans="1:5" x14ac:dyDescent="0.25">
      <c r="A142" s="1232">
        <v>141</v>
      </c>
      <c r="B142" s="1232" t="s">
        <v>917</v>
      </c>
      <c r="C142" s="1319" t="s">
        <v>1535</v>
      </c>
      <c r="D142" s="1319" t="s">
        <v>1511</v>
      </c>
      <c r="E142" s="1318" t="s">
        <v>1356</v>
      </c>
    </row>
    <row r="143" spans="1:5" ht="30" x14ac:dyDescent="0.25">
      <c r="A143" s="1232">
        <v>142</v>
      </c>
      <c r="B143" s="1232" t="s">
        <v>917</v>
      </c>
      <c r="C143" s="1319" t="s">
        <v>1535</v>
      </c>
      <c r="D143" s="1319" t="s">
        <v>1511</v>
      </c>
      <c r="E143" s="1318" t="s">
        <v>1357</v>
      </c>
    </row>
    <row r="144" spans="1:5" x14ac:dyDescent="0.25">
      <c r="A144" s="1232">
        <v>143</v>
      </c>
      <c r="B144" s="1232" t="s">
        <v>917</v>
      </c>
      <c r="C144" s="1319" t="s">
        <v>1535</v>
      </c>
      <c r="D144" s="1319" t="s">
        <v>1511</v>
      </c>
      <c r="E144" s="1318" t="s">
        <v>1277</v>
      </c>
    </row>
    <row r="145" spans="1:5" x14ac:dyDescent="0.25">
      <c r="A145" s="1232">
        <v>144</v>
      </c>
      <c r="B145" s="1232" t="s">
        <v>917</v>
      </c>
      <c r="C145" s="1319" t="s">
        <v>1535</v>
      </c>
      <c r="D145" s="1319" t="s">
        <v>1511</v>
      </c>
      <c r="E145" s="1318" t="s">
        <v>1278</v>
      </c>
    </row>
    <row r="146" spans="1:5" x14ac:dyDescent="0.25">
      <c r="A146" s="1232">
        <v>145</v>
      </c>
      <c r="B146" s="1232" t="s">
        <v>917</v>
      </c>
      <c r="C146" s="1319" t="s">
        <v>1535</v>
      </c>
      <c r="D146" s="1319" t="s">
        <v>1511</v>
      </c>
      <c r="E146" s="1318" t="s">
        <v>1279</v>
      </c>
    </row>
    <row r="147" spans="1:5" x14ac:dyDescent="0.25">
      <c r="A147" s="1232">
        <v>146</v>
      </c>
      <c r="B147" s="1232" t="s">
        <v>917</v>
      </c>
      <c r="C147" s="1319" t="s">
        <v>1535</v>
      </c>
      <c r="D147" s="1319" t="s">
        <v>1511</v>
      </c>
      <c r="E147" s="1318" t="s">
        <v>1280</v>
      </c>
    </row>
    <row r="148" spans="1:5" x14ac:dyDescent="0.25">
      <c r="A148" s="1232">
        <v>147</v>
      </c>
      <c r="B148" s="1232" t="s">
        <v>917</v>
      </c>
      <c r="C148" s="1319" t="s">
        <v>1535</v>
      </c>
      <c r="D148" s="1319" t="s">
        <v>1511</v>
      </c>
      <c r="E148" s="1318" t="s">
        <v>1281</v>
      </c>
    </row>
    <row r="149" spans="1:5" x14ac:dyDescent="0.25">
      <c r="A149" s="1232">
        <v>148</v>
      </c>
      <c r="B149" s="1232" t="s">
        <v>917</v>
      </c>
      <c r="C149" s="1319" t="s">
        <v>1535</v>
      </c>
      <c r="D149" s="1319" t="s">
        <v>1511</v>
      </c>
      <c r="E149" s="1318" t="s">
        <v>1529</v>
      </c>
    </row>
    <row r="150" spans="1:5" x14ac:dyDescent="0.25">
      <c r="A150" s="1232">
        <v>149</v>
      </c>
      <c r="B150" s="1232" t="s">
        <v>917</v>
      </c>
      <c r="C150" s="1319" t="s">
        <v>1535</v>
      </c>
      <c r="D150" s="1319" t="s">
        <v>1511</v>
      </c>
      <c r="E150" s="1318" t="s">
        <v>1736</v>
      </c>
    </row>
    <row r="151" spans="1:5" x14ac:dyDescent="0.25">
      <c r="A151" s="1232">
        <v>150</v>
      </c>
      <c r="B151" s="1232" t="s">
        <v>1501</v>
      </c>
      <c r="C151" s="1319" t="s">
        <v>1535</v>
      </c>
      <c r="D151" s="1319" t="s">
        <v>1530</v>
      </c>
      <c r="E151" s="1316" t="s">
        <v>793</v>
      </c>
    </row>
    <row r="152" spans="1:5" x14ac:dyDescent="0.25">
      <c r="A152" s="1232">
        <v>151</v>
      </c>
      <c r="B152" s="1232" t="s">
        <v>1501</v>
      </c>
      <c r="C152" s="1319" t="s">
        <v>1535</v>
      </c>
      <c r="D152" s="1319" t="s">
        <v>1530</v>
      </c>
      <c r="E152" s="1316" t="s">
        <v>1271</v>
      </c>
    </row>
    <row r="153" spans="1:5" x14ac:dyDescent="0.25">
      <c r="A153" s="1232">
        <v>152</v>
      </c>
      <c r="B153" s="1232" t="s">
        <v>1501</v>
      </c>
      <c r="C153" s="1319" t="s">
        <v>1535</v>
      </c>
      <c r="D153" s="1319" t="s">
        <v>1511</v>
      </c>
      <c r="E153" s="1316" t="s">
        <v>1272</v>
      </c>
    </row>
    <row r="154" spans="1:5" x14ac:dyDescent="0.25">
      <c r="A154" s="1232">
        <v>153</v>
      </c>
      <c r="B154" s="1232" t="s">
        <v>1501</v>
      </c>
      <c r="C154" s="1319" t="s">
        <v>1535</v>
      </c>
      <c r="D154" s="1319" t="s">
        <v>1511</v>
      </c>
      <c r="E154" s="1316" t="s">
        <v>1466</v>
      </c>
    </row>
    <row r="155" spans="1:5" x14ac:dyDescent="0.25">
      <c r="A155" s="1232">
        <v>154</v>
      </c>
      <c r="B155" s="1232" t="s">
        <v>1501</v>
      </c>
      <c r="C155" s="1319" t="s">
        <v>1535</v>
      </c>
      <c r="D155" s="1319" t="s">
        <v>1511</v>
      </c>
      <c r="E155" s="1316" t="s">
        <v>1391</v>
      </c>
    </row>
    <row r="156" spans="1:5" x14ac:dyDescent="0.25">
      <c r="A156" s="1232">
        <v>155</v>
      </c>
      <c r="B156" s="1232" t="s">
        <v>1501</v>
      </c>
      <c r="C156" s="1319" t="s">
        <v>1535</v>
      </c>
      <c r="D156" s="1319" t="s">
        <v>1511</v>
      </c>
      <c r="E156" s="1316" t="s">
        <v>795</v>
      </c>
    </row>
    <row r="157" spans="1:5" x14ac:dyDescent="0.25">
      <c r="A157" s="1232">
        <v>156</v>
      </c>
      <c r="B157" s="1232" t="s">
        <v>1501</v>
      </c>
      <c r="C157" s="1319" t="s">
        <v>1535</v>
      </c>
      <c r="D157" s="1319" t="s">
        <v>1511</v>
      </c>
      <c r="E157" s="1316" t="s">
        <v>800</v>
      </c>
    </row>
    <row r="158" spans="1:5" x14ac:dyDescent="0.25">
      <c r="A158" s="1232">
        <v>157</v>
      </c>
      <c r="B158" s="1232" t="s">
        <v>1501</v>
      </c>
      <c r="C158" s="1319" t="s">
        <v>1535</v>
      </c>
      <c r="D158" s="1319" t="s">
        <v>1511</v>
      </c>
      <c r="E158" s="1316" t="s">
        <v>801</v>
      </c>
    </row>
    <row r="159" spans="1:5" x14ac:dyDescent="0.25">
      <c r="A159" s="1232">
        <v>158</v>
      </c>
      <c r="B159" s="1232" t="s">
        <v>1501</v>
      </c>
      <c r="C159" s="1319" t="s">
        <v>1535</v>
      </c>
      <c r="D159" s="1319" t="s">
        <v>1511</v>
      </c>
      <c r="E159" s="1316" t="s">
        <v>204</v>
      </c>
    </row>
    <row r="160" spans="1:5" x14ac:dyDescent="0.25">
      <c r="A160" s="1232">
        <v>159</v>
      </c>
      <c r="B160" s="1232" t="s">
        <v>1501</v>
      </c>
      <c r="C160" s="1319" t="s">
        <v>1536</v>
      </c>
      <c r="D160" s="1319" t="s">
        <v>1511</v>
      </c>
      <c r="E160" s="1316" t="s">
        <v>734</v>
      </c>
    </row>
    <row r="161" spans="1:5" x14ac:dyDescent="0.25">
      <c r="A161" s="1232">
        <v>160</v>
      </c>
      <c r="B161" s="1232" t="s">
        <v>917</v>
      </c>
      <c r="C161" s="1319" t="s">
        <v>1536</v>
      </c>
      <c r="D161" s="1319" t="s">
        <v>1511</v>
      </c>
      <c r="E161" s="1316" t="s">
        <v>1274</v>
      </c>
    </row>
    <row r="162" spans="1:5" x14ac:dyDescent="0.25">
      <c r="A162" s="1232">
        <v>161</v>
      </c>
      <c r="B162" s="1232" t="s">
        <v>1501</v>
      </c>
      <c r="C162" s="1319" t="s">
        <v>1536</v>
      </c>
      <c r="D162" s="1319" t="s">
        <v>1511</v>
      </c>
      <c r="E162" s="1316" t="s">
        <v>794</v>
      </c>
    </row>
    <row r="163" spans="1:5" x14ac:dyDescent="0.25">
      <c r="A163" s="1232">
        <v>162</v>
      </c>
      <c r="B163" s="1232" t="s">
        <v>917</v>
      </c>
      <c r="C163" s="1319" t="s">
        <v>1536</v>
      </c>
      <c r="D163" s="1319" t="s">
        <v>1511</v>
      </c>
      <c r="E163" s="1318" t="s">
        <v>1356</v>
      </c>
    </row>
    <row r="164" spans="1:5" ht="30" x14ac:dyDescent="0.25">
      <c r="A164" s="1232">
        <v>163</v>
      </c>
      <c r="B164" s="1232" t="s">
        <v>917</v>
      </c>
      <c r="C164" s="1319" t="s">
        <v>1536</v>
      </c>
      <c r="D164" s="1319" t="s">
        <v>1511</v>
      </c>
      <c r="E164" s="1318" t="s">
        <v>1357</v>
      </c>
    </row>
    <row r="165" spans="1:5" x14ac:dyDescent="0.25">
      <c r="A165" s="1232">
        <v>164</v>
      </c>
      <c r="B165" s="1232" t="s">
        <v>917</v>
      </c>
      <c r="C165" s="1319" t="s">
        <v>1536</v>
      </c>
      <c r="D165" s="1319" t="s">
        <v>1511</v>
      </c>
      <c r="E165" s="1318" t="s">
        <v>1277</v>
      </c>
    </row>
    <row r="166" spans="1:5" x14ac:dyDescent="0.25">
      <c r="A166" s="1232">
        <v>165</v>
      </c>
      <c r="B166" s="1232" t="s">
        <v>917</v>
      </c>
      <c r="C166" s="1319" t="s">
        <v>1536</v>
      </c>
      <c r="D166" s="1319" t="s">
        <v>1511</v>
      </c>
      <c r="E166" s="1318" t="s">
        <v>1278</v>
      </c>
    </row>
    <row r="167" spans="1:5" x14ac:dyDescent="0.25">
      <c r="A167" s="1232">
        <v>166</v>
      </c>
      <c r="B167" s="1232" t="s">
        <v>917</v>
      </c>
      <c r="C167" s="1319" t="s">
        <v>1536</v>
      </c>
      <c r="D167" s="1319" t="s">
        <v>1511</v>
      </c>
      <c r="E167" s="1318" t="s">
        <v>1279</v>
      </c>
    </row>
    <row r="168" spans="1:5" x14ac:dyDescent="0.25">
      <c r="A168" s="1232">
        <v>167</v>
      </c>
      <c r="B168" s="1232" t="s">
        <v>917</v>
      </c>
      <c r="C168" s="1319" t="s">
        <v>1536</v>
      </c>
      <c r="D168" s="1319" t="s">
        <v>1511</v>
      </c>
      <c r="E168" s="1318" t="s">
        <v>1280</v>
      </c>
    </row>
    <row r="169" spans="1:5" x14ac:dyDescent="0.25">
      <c r="A169" s="1232">
        <v>168</v>
      </c>
      <c r="B169" s="1232" t="s">
        <v>917</v>
      </c>
      <c r="C169" s="1319" t="s">
        <v>1536</v>
      </c>
      <c r="D169" s="1319" t="s">
        <v>1511</v>
      </c>
      <c r="E169" s="1318" t="s">
        <v>1281</v>
      </c>
    </row>
    <row r="170" spans="1:5" x14ac:dyDescent="0.25">
      <c r="A170" s="1232">
        <v>169</v>
      </c>
      <c r="B170" s="1232" t="s">
        <v>917</v>
      </c>
      <c r="C170" s="1319" t="s">
        <v>1536</v>
      </c>
      <c r="D170" s="1319" t="s">
        <v>1511</v>
      </c>
      <c r="E170" s="1318" t="s">
        <v>1529</v>
      </c>
    </row>
    <row r="171" spans="1:5" x14ac:dyDescent="0.25">
      <c r="A171" s="1232">
        <v>170</v>
      </c>
      <c r="B171" s="1232" t="s">
        <v>917</v>
      </c>
      <c r="C171" s="1319" t="s">
        <v>1536</v>
      </c>
      <c r="D171" s="1319" t="s">
        <v>1511</v>
      </c>
      <c r="E171" s="1318" t="s">
        <v>1736</v>
      </c>
    </row>
    <row r="172" spans="1:5" x14ac:dyDescent="0.25">
      <c r="A172" s="1232">
        <v>171</v>
      </c>
      <c r="B172" s="1232" t="s">
        <v>1501</v>
      </c>
      <c r="C172" s="1319" t="s">
        <v>1536</v>
      </c>
      <c r="D172" s="1319" t="s">
        <v>1530</v>
      </c>
      <c r="E172" s="1316" t="s">
        <v>793</v>
      </c>
    </row>
    <row r="173" spans="1:5" x14ac:dyDescent="0.25">
      <c r="A173" s="1232">
        <v>172</v>
      </c>
      <c r="B173" s="1232" t="s">
        <v>1501</v>
      </c>
      <c r="C173" s="1319" t="s">
        <v>1536</v>
      </c>
      <c r="D173" s="1319" t="s">
        <v>1530</v>
      </c>
      <c r="E173" s="1316" t="s">
        <v>1271</v>
      </c>
    </row>
    <row r="174" spans="1:5" x14ac:dyDescent="0.25">
      <c r="A174" s="1232">
        <v>173</v>
      </c>
      <c r="B174" s="1232" t="s">
        <v>1501</v>
      </c>
      <c r="C174" s="1319" t="s">
        <v>1536</v>
      </c>
      <c r="D174" s="1319" t="s">
        <v>1511</v>
      </c>
      <c r="E174" s="1316" t="s">
        <v>1272</v>
      </c>
    </row>
    <row r="175" spans="1:5" x14ac:dyDescent="0.25">
      <c r="A175" s="1232">
        <v>174</v>
      </c>
      <c r="B175" s="1232" t="s">
        <v>1501</v>
      </c>
      <c r="C175" s="1319" t="s">
        <v>1536</v>
      </c>
      <c r="D175" s="1319" t="s">
        <v>1511</v>
      </c>
      <c r="E175" s="1316" t="s">
        <v>1466</v>
      </c>
    </row>
    <row r="176" spans="1:5" x14ac:dyDescent="0.25">
      <c r="A176" s="1232">
        <v>175</v>
      </c>
      <c r="B176" s="1232" t="s">
        <v>1501</v>
      </c>
      <c r="C176" s="1319" t="s">
        <v>1536</v>
      </c>
      <c r="D176" s="1319" t="s">
        <v>1511</v>
      </c>
      <c r="E176" s="1316" t="s">
        <v>1391</v>
      </c>
    </row>
    <row r="177" spans="1:5" x14ac:dyDescent="0.25">
      <c r="A177" s="1232">
        <v>176</v>
      </c>
      <c r="B177" s="1232" t="s">
        <v>1501</v>
      </c>
      <c r="C177" s="1319" t="s">
        <v>1536</v>
      </c>
      <c r="D177" s="1319" t="s">
        <v>1511</v>
      </c>
      <c r="E177" s="1316" t="s">
        <v>795</v>
      </c>
    </row>
    <row r="178" spans="1:5" x14ac:dyDescent="0.25">
      <c r="A178" s="1232">
        <v>177</v>
      </c>
      <c r="B178" s="1232" t="s">
        <v>1501</v>
      </c>
      <c r="C178" s="1319" t="s">
        <v>1536</v>
      </c>
      <c r="D178" s="1319" t="s">
        <v>1511</v>
      </c>
      <c r="E178" s="1316" t="s">
        <v>800</v>
      </c>
    </row>
    <row r="179" spans="1:5" x14ac:dyDescent="0.25">
      <c r="A179" s="1232">
        <v>178</v>
      </c>
      <c r="B179" s="1232" t="s">
        <v>1501</v>
      </c>
      <c r="C179" s="1319" t="s">
        <v>1536</v>
      </c>
      <c r="D179" s="1319" t="s">
        <v>1511</v>
      </c>
      <c r="E179" s="1316" t="s">
        <v>801</v>
      </c>
    </row>
    <row r="180" spans="1:5" x14ac:dyDescent="0.25">
      <c r="A180" s="1232">
        <v>179</v>
      </c>
      <c r="B180" s="1232" t="s">
        <v>1501</v>
      </c>
      <c r="C180" s="1319" t="s">
        <v>1536</v>
      </c>
      <c r="D180" s="1319" t="s">
        <v>1511</v>
      </c>
      <c r="E180" s="1316" t="s">
        <v>204</v>
      </c>
    </row>
    <row r="181" spans="1:5" x14ac:dyDescent="0.25">
      <c r="A181" s="1232">
        <v>180</v>
      </c>
      <c r="B181" s="1232" t="s">
        <v>1501</v>
      </c>
      <c r="C181" s="1319" t="s">
        <v>1537</v>
      </c>
      <c r="D181" s="1319" t="s">
        <v>1511</v>
      </c>
      <c r="E181" s="1316" t="s">
        <v>734</v>
      </c>
    </row>
    <row r="182" spans="1:5" x14ac:dyDescent="0.25">
      <c r="A182" s="1232">
        <v>181</v>
      </c>
      <c r="B182" s="1232" t="s">
        <v>917</v>
      </c>
      <c r="C182" s="1319" t="s">
        <v>1537</v>
      </c>
      <c r="D182" s="1319" t="s">
        <v>1511</v>
      </c>
      <c r="E182" s="1316" t="s">
        <v>1274</v>
      </c>
    </row>
    <row r="183" spans="1:5" x14ac:dyDescent="0.25">
      <c r="A183" s="1232">
        <v>182</v>
      </c>
      <c r="B183" s="1232" t="s">
        <v>1501</v>
      </c>
      <c r="C183" s="1319" t="s">
        <v>1537</v>
      </c>
      <c r="D183" s="1319" t="s">
        <v>1511</v>
      </c>
      <c r="E183" s="1316" t="s">
        <v>794</v>
      </c>
    </row>
    <row r="184" spans="1:5" x14ac:dyDescent="0.25">
      <c r="A184" s="1232">
        <v>183</v>
      </c>
      <c r="B184" s="1232" t="s">
        <v>917</v>
      </c>
      <c r="C184" s="1319" t="s">
        <v>1537</v>
      </c>
      <c r="D184" s="1319" t="s">
        <v>1511</v>
      </c>
      <c r="E184" s="1318" t="s">
        <v>1356</v>
      </c>
    </row>
    <row r="185" spans="1:5" ht="30" x14ac:dyDescent="0.25">
      <c r="A185" s="1232">
        <v>184</v>
      </c>
      <c r="B185" s="1232" t="s">
        <v>917</v>
      </c>
      <c r="C185" s="1319" t="s">
        <v>1537</v>
      </c>
      <c r="D185" s="1319" t="s">
        <v>1511</v>
      </c>
      <c r="E185" s="1318" t="s">
        <v>1357</v>
      </c>
    </row>
    <row r="186" spans="1:5" x14ac:dyDescent="0.25">
      <c r="A186" s="1232">
        <v>185</v>
      </c>
      <c r="B186" s="1232" t="s">
        <v>917</v>
      </c>
      <c r="C186" s="1319" t="s">
        <v>1537</v>
      </c>
      <c r="D186" s="1319" t="s">
        <v>1511</v>
      </c>
      <c r="E186" s="1318" t="s">
        <v>1277</v>
      </c>
    </row>
    <row r="187" spans="1:5" x14ac:dyDescent="0.25">
      <c r="A187" s="1232">
        <v>186</v>
      </c>
      <c r="B187" s="1232" t="s">
        <v>917</v>
      </c>
      <c r="C187" s="1319" t="s">
        <v>1537</v>
      </c>
      <c r="D187" s="1319" t="s">
        <v>1511</v>
      </c>
      <c r="E187" s="1318" t="s">
        <v>1278</v>
      </c>
    </row>
    <row r="188" spans="1:5" x14ac:dyDescent="0.25">
      <c r="A188" s="1232">
        <v>187</v>
      </c>
      <c r="B188" s="1232" t="s">
        <v>917</v>
      </c>
      <c r="C188" s="1319" t="s">
        <v>1537</v>
      </c>
      <c r="D188" s="1319" t="s">
        <v>1511</v>
      </c>
      <c r="E188" s="1318" t="s">
        <v>1279</v>
      </c>
    </row>
    <row r="189" spans="1:5" x14ac:dyDescent="0.25">
      <c r="A189" s="1232">
        <v>188</v>
      </c>
      <c r="B189" s="1232" t="s">
        <v>917</v>
      </c>
      <c r="C189" s="1319" t="s">
        <v>1537</v>
      </c>
      <c r="D189" s="1319" t="s">
        <v>1511</v>
      </c>
      <c r="E189" s="1318" t="s">
        <v>1280</v>
      </c>
    </row>
    <row r="190" spans="1:5" x14ac:dyDescent="0.25">
      <c r="A190" s="1232">
        <v>189</v>
      </c>
      <c r="B190" s="1232" t="s">
        <v>917</v>
      </c>
      <c r="C190" s="1319" t="s">
        <v>1537</v>
      </c>
      <c r="D190" s="1319" t="s">
        <v>1511</v>
      </c>
      <c r="E190" s="1318" t="s">
        <v>1281</v>
      </c>
    </row>
    <row r="191" spans="1:5" x14ac:dyDescent="0.25">
      <c r="A191" s="1232">
        <v>190</v>
      </c>
      <c r="B191" s="1232" t="s">
        <v>917</v>
      </c>
      <c r="C191" s="1319" t="s">
        <v>1537</v>
      </c>
      <c r="D191" s="1319" t="s">
        <v>1511</v>
      </c>
      <c r="E191" s="1318" t="s">
        <v>1529</v>
      </c>
    </row>
    <row r="192" spans="1:5" x14ac:dyDescent="0.25">
      <c r="A192" s="1232">
        <v>191</v>
      </c>
      <c r="B192" s="1232" t="s">
        <v>917</v>
      </c>
      <c r="C192" s="1319" t="s">
        <v>1537</v>
      </c>
      <c r="D192" s="1319" t="s">
        <v>1511</v>
      </c>
      <c r="E192" s="1318" t="s">
        <v>1736</v>
      </c>
    </row>
    <row r="193" spans="1:5" x14ac:dyDescent="0.25">
      <c r="A193" s="1232">
        <v>192</v>
      </c>
      <c r="B193" s="1232" t="s">
        <v>1501</v>
      </c>
      <c r="C193" s="1319" t="s">
        <v>1537</v>
      </c>
      <c r="D193" s="1319" t="s">
        <v>1530</v>
      </c>
      <c r="E193" s="1316" t="s">
        <v>793</v>
      </c>
    </row>
    <row r="194" spans="1:5" x14ac:dyDescent="0.25">
      <c r="A194" s="1232">
        <v>193</v>
      </c>
      <c r="B194" s="1232" t="s">
        <v>1501</v>
      </c>
      <c r="C194" s="1319" t="s">
        <v>1537</v>
      </c>
      <c r="D194" s="1319" t="s">
        <v>1530</v>
      </c>
      <c r="E194" s="1316" t="s">
        <v>1271</v>
      </c>
    </row>
    <row r="195" spans="1:5" x14ac:dyDescent="0.25">
      <c r="A195" s="1232">
        <v>194</v>
      </c>
      <c r="B195" s="1232" t="s">
        <v>1501</v>
      </c>
      <c r="C195" s="1319" t="s">
        <v>1537</v>
      </c>
      <c r="D195" s="1319" t="s">
        <v>1511</v>
      </c>
      <c r="E195" s="1316" t="s">
        <v>1272</v>
      </c>
    </row>
    <row r="196" spans="1:5" x14ac:dyDescent="0.25">
      <c r="A196" s="1232">
        <v>195</v>
      </c>
      <c r="B196" s="1232" t="s">
        <v>1501</v>
      </c>
      <c r="C196" s="1319" t="s">
        <v>1537</v>
      </c>
      <c r="D196" s="1319" t="s">
        <v>1511</v>
      </c>
      <c r="E196" s="1316" t="s">
        <v>1466</v>
      </c>
    </row>
    <row r="197" spans="1:5" x14ac:dyDescent="0.25">
      <c r="A197" s="1232">
        <v>196</v>
      </c>
      <c r="B197" s="1232" t="s">
        <v>1501</v>
      </c>
      <c r="C197" s="1319" t="s">
        <v>1537</v>
      </c>
      <c r="D197" s="1319" t="s">
        <v>1511</v>
      </c>
      <c r="E197" s="1316" t="s">
        <v>1391</v>
      </c>
    </row>
    <row r="198" spans="1:5" x14ac:dyDescent="0.25">
      <c r="A198" s="1232">
        <v>197</v>
      </c>
      <c r="B198" s="1232" t="s">
        <v>1501</v>
      </c>
      <c r="C198" s="1319" t="s">
        <v>1537</v>
      </c>
      <c r="D198" s="1319" t="s">
        <v>1511</v>
      </c>
      <c r="E198" s="1316" t="s">
        <v>795</v>
      </c>
    </row>
    <row r="199" spans="1:5" x14ac:dyDescent="0.25">
      <c r="A199" s="1232">
        <v>198</v>
      </c>
      <c r="B199" s="1232" t="s">
        <v>1501</v>
      </c>
      <c r="C199" s="1319" t="s">
        <v>1537</v>
      </c>
      <c r="D199" s="1319" t="s">
        <v>1511</v>
      </c>
      <c r="E199" s="1316" t="s">
        <v>800</v>
      </c>
    </row>
    <row r="200" spans="1:5" x14ac:dyDescent="0.25">
      <c r="A200" s="1232">
        <v>199</v>
      </c>
      <c r="B200" s="1232" t="s">
        <v>1501</v>
      </c>
      <c r="C200" s="1319" t="s">
        <v>1537</v>
      </c>
      <c r="D200" s="1319" t="s">
        <v>1511</v>
      </c>
      <c r="E200" s="1316" t="s">
        <v>801</v>
      </c>
    </row>
    <row r="201" spans="1:5" x14ac:dyDescent="0.25">
      <c r="A201" s="1232">
        <v>200</v>
      </c>
      <c r="B201" s="1232" t="s">
        <v>1501</v>
      </c>
      <c r="C201" s="1319" t="s">
        <v>1537</v>
      </c>
      <c r="D201" s="1319" t="s">
        <v>1511</v>
      </c>
      <c r="E201" s="1316" t="s">
        <v>204</v>
      </c>
    </row>
    <row r="202" spans="1:5" x14ac:dyDescent="0.25">
      <c r="A202" s="1232">
        <v>201</v>
      </c>
      <c r="B202" s="1232" t="s">
        <v>1501</v>
      </c>
      <c r="C202" s="1319" t="s">
        <v>1538</v>
      </c>
      <c r="D202" s="1319" t="s">
        <v>1511</v>
      </c>
      <c r="E202" s="1316" t="s">
        <v>734</v>
      </c>
    </row>
    <row r="203" spans="1:5" x14ac:dyDescent="0.25">
      <c r="A203" s="1232">
        <v>202</v>
      </c>
      <c r="B203" s="1232" t="s">
        <v>917</v>
      </c>
      <c r="C203" s="1319" t="s">
        <v>1538</v>
      </c>
      <c r="D203" s="1319" t="s">
        <v>1511</v>
      </c>
      <c r="E203" s="1316" t="s">
        <v>1274</v>
      </c>
    </row>
    <row r="204" spans="1:5" x14ac:dyDescent="0.25">
      <c r="A204" s="1232">
        <v>203</v>
      </c>
      <c r="B204" s="1232" t="s">
        <v>1501</v>
      </c>
      <c r="C204" s="1319" t="s">
        <v>1538</v>
      </c>
      <c r="D204" s="1319" t="s">
        <v>1511</v>
      </c>
      <c r="E204" s="1316" t="s">
        <v>794</v>
      </c>
    </row>
    <row r="205" spans="1:5" x14ac:dyDescent="0.25">
      <c r="A205" s="1232">
        <v>204</v>
      </c>
      <c r="B205" s="1232" t="s">
        <v>917</v>
      </c>
      <c r="C205" s="1319" t="s">
        <v>1538</v>
      </c>
      <c r="D205" s="1319" t="s">
        <v>1511</v>
      </c>
      <c r="E205" s="1318" t="s">
        <v>1356</v>
      </c>
    </row>
    <row r="206" spans="1:5" ht="30" x14ac:dyDescent="0.25">
      <c r="A206" s="1232">
        <v>205</v>
      </c>
      <c r="B206" s="1232" t="s">
        <v>917</v>
      </c>
      <c r="C206" s="1319" t="s">
        <v>1538</v>
      </c>
      <c r="D206" s="1319" t="s">
        <v>1511</v>
      </c>
      <c r="E206" s="1318" t="s">
        <v>1357</v>
      </c>
    </row>
    <row r="207" spans="1:5" x14ac:dyDescent="0.25">
      <c r="A207" s="1232">
        <v>206</v>
      </c>
      <c r="B207" s="1232" t="s">
        <v>917</v>
      </c>
      <c r="C207" s="1319" t="s">
        <v>1538</v>
      </c>
      <c r="D207" s="1319" t="s">
        <v>1511</v>
      </c>
      <c r="E207" s="1318" t="s">
        <v>1277</v>
      </c>
    </row>
    <row r="208" spans="1:5" x14ac:dyDescent="0.25">
      <c r="A208" s="1232">
        <v>207</v>
      </c>
      <c r="B208" s="1232" t="s">
        <v>917</v>
      </c>
      <c r="C208" s="1319" t="s">
        <v>1538</v>
      </c>
      <c r="D208" s="1319" t="s">
        <v>1511</v>
      </c>
      <c r="E208" s="1318" t="s">
        <v>1278</v>
      </c>
    </row>
    <row r="209" spans="1:5" x14ac:dyDescent="0.25">
      <c r="A209" s="1232">
        <v>208</v>
      </c>
      <c r="B209" s="1232" t="s">
        <v>917</v>
      </c>
      <c r="C209" s="1319" t="s">
        <v>1538</v>
      </c>
      <c r="D209" s="1319" t="s">
        <v>1511</v>
      </c>
      <c r="E209" s="1318" t="s">
        <v>1279</v>
      </c>
    </row>
    <row r="210" spans="1:5" x14ac:dyDescent="0.25">
      <c r="A210" s="1232">
        <v>209</v>
      </c>
      <c r="B210" s="1232" t="s">
        <v>917</v>
      </c>
      <c r="C210" s="1319" t="s">
        <v>1538</v>
      </c>
      <c r="D210" s="1319" t="s">
        <v>1511</v>
      </c>
      <c r="E210" s="1318" t="s">
        <v>1280</v>
      </c>
    </row>
    <row r="211" spans="1:5" x14ac:dyDescent="0.25">
      <c r="A211" s="1232">
        <v>210</v>
      </c>
      <c r="B211" s="1232" t="s">
        <v>917</v>
      </c>
      <c r="C211" s="1319" t="s">
        <v>1538</v>
      </c>
      <c r="D211" s="1319" t="s">
        <v>1511</v>
      </c>
      <c r="E211" s="1318" t="s">
        <v>1281</v>
      </c>
    </row>
    <row r="212" spans="1:5" x14ac:dyDescent="0.25">
      <c r="A212" s="1232">
        <v>211</v>
      </c>
      <c r="B212" s="1232" t="s">
        <v>917</v>
      </c>
      <c r="C212" s="1319" t="s">
        <v>1538</v>
      </c>
      <c r="D212" s="1319" t="s">
        <v>1511</v>
      </c>
      <c r="E212" s="1318" t="s">
        <v>1529</v>
      </c>
    </row>
    <row r="213" spans="1:5" x14ac:dyDescent="0.25">
      <c r="A213" s="1232">
        <v>212</v>
      </c>
      <c r="B213" s="1232" t="s">
        <v>917</v>
      </c>
      <c r="C213" s="1319" t="s">
        <v>1538</v>
      </c>
      <c r="D213" s="1319" t="s">
        <v>1511</v>
      </c>
      <c r="E213" s="1318" t="s">
        <v>1736</v>
      </c>
    </row>
    <row r="214" spans="1:5" x14ac:dyDescent="0.25">
      <c r="A214" s="1232">
        <v>213</v>
      </c>
      <c r="B214" s="1232" t="s">
        <v>1501</v>
      </c>
      <c r="C214" s="1319" t="s">
        <v>1538</v>
      </c>
      <c r="D214" s="1319" t="s">
        <v>1530</v>
      </c>
      <c r="E214" s="1316" t="s">
        <v>793</v>
      </c>
    </row>
    <row r="215" spans="1:5" x14ac:dyDescent="0.25">
      <c r="A215" s="1232">
        <v>214</v>
      </c>
      <c r="B215" s="1232" t="s">
        <v>1501</v>
      </c>
      <c r="C215" s="1319" t="s">
        <v>1538</v>
      </c>
      <c r="D215" s="1319" t="s">
        <v>1530</v>
      </c>
      <c r="E215" s="1316" t="s">
        <v>1271</v>
      </c>
    </row>
    <row r="216" spans="1:5" x14ac:dyDescent="0.25">
      <c r="A216" s="1232">
        <v>215</v>
      </c>
      <c r="B216" s="1232" t="s">
        <v>1501</v>
      </c>
      <c r="C216" s="1319" t="s">
        <v>1538</v>
      </c>
      <c r="D216" s="1319" t="s">
        <v>1511</v>
      </c>
      <c r="E216" s="1316" t="s">
        <v>1272</v>
      </c>
    </row>
    <row r="217" spans="1:5" x14ac:dyDescent="0.25">
      <c r="A217" s="1232">
        <v>216</v>
      </c>
      <c r="B217" s="1232" t="s">
        <v>1501</v>
      </c>
      <c r="C217" s="1319" t="s">
        <v>1538</v>
      </c>
      <c r="D217" s="1319" t="s">
        <v>1511</v>
      </c>
      <c r="E217" s="1316" t="s">
        <v>1466</v>
      </c>
    </row>
    <row r="218" spans="1:5" x14ac:dyDescent="0.25">
      <c r="A218" s="1232">
        <v>217</v>
      </c>
      <c r="B218" s="1232" t="s">
        <v>1501</v>
      </c>
      <c r="C218" s="1319" t="s">
        <v>1538</v>
      </c>
      <c r="D218" s="1319" t="s">
        <v>1511</v>
      </c>
      <c r="E218" s="1316" t="s">
        <v>1391</v>
      </c>
    </row>
    <row r="219" spans="1:5" x14ac:dyDescent="0.25">
      <c r="A219" s="1232">
        <v>218</v>
      </c>
      <c r="B219" s="1232" t="s">
        <v>1501</v>
      </c>
      <c r="C219" s="1319" t="s">
        <v>1538</v>
      </c>
      <c r="D219" s="1319" t="s">
        <v>1511</v>
      </c>
      <c r="E219" s="1316" t="s">
        <v>795</v>
      </c>
    </row>
    <row r="220" spans="1:5" x14ac:dyDescent="0.25">
      <c r="A220" s="1232">
        <v>219</v>
      </c>
      <c r="B220" s="1232" t="s">
        <v>1501</v>
      </c>
      <c r="C220" s="1319" t="s">
        <v>1538</v>
      </c>
      <c r="D220" s="1319" t="s">
        <v>1511</v>
      </c>
      <c r="E220" s="1316" t="s">
        <v>800</v>
      </c>
    </row>
    <row r="221" spans="1:5" x14ac:dyDescent="0.25">
      <c r="A221" s="1232">
        <v>220</v>
      </c>
      <c r="B221" s="1232" t="s">
        <v>1501</v>
      </c>
      <c r="C221" s="1319" t="s">
        <v>1538</v>
      </c>
      <c r="D221" s="1319" t="s">
        <v>1511</v>
      </c>
      <c r="E221" s="1316" t="s">
        <v>801</v>
      </c>
    </row>
    <row r="222" spans="1:5" x14ac:dyDescent="0.25">
      <c r="A222" s="1232">
        <v>221</v>
      </c>
      <c r="B222" s="1232" t="s">
        <v>1501</v>
      </c>
      <c r="C222" s="1319" t="s">
        <v>1538</v>
      </c>
      <c r="D222" s="1319" t="s">
        <v>1511</v>
      </c>
      <c r="E222" s="1316" t="s">
        <v>204</v>
      </c>
    </row>
    <row r="223" spans="1:5" x14ac:dyDescent="0.25">
      <c r="A223" s="1232">
        <v>222</v>
      </c>
      <c r="B223" s="1232" t="s">
        <v>1501</v>
      </c>
      <c r="C223" s="1319" t="s">
        <v>1539</v>
      </c>
      <c r="D223" s="1319" t="s">
        <v>1511</v>
      </c>
      <c r="E223" s="1316" t="s">
        <v>734</v>
      </c>
    </row>
    <row r="224" spans="1:5" x14ac:dyDescent="0.25">
      <c r="A224" s="1232">
        <v>223</v>
      </c>
      <c r="B224" s="1232" t="s">
        <v>917</v>
      </c>
      <c r="C224" s="1319" t="s">
        <v>1539</v>
      </c>
      <c r="D224" s="1319" t="s">
        <v>1511</v>
      </c>
      <c r="E224" s="1316" t="s">
        <v>1274</v>
      </c>
    </row>
    <row r="225" spans="1:5" x14ac:dyDescent="0.25">
      <c r="A225" s="1232">
        <v>224</v>
      </c>
      <c r="B225" s="1232" t="s">
        <v>1501</v>
      </c>
      <c r="C225" s="1319" t="s">
        <v>1539</v>
      </c>
      <c r="D225" s="1319" t="s">
        <v>1511</v>
      </c>
      <c r="E225" s="1316" t="s">
        <v>794</v>
      </c>
    </row>
    <row r="226" spans="1:5" x14ac:dyDescent="0.25">
      <c r="A226" s="1232">
        <v>225</v>
      </c>
      <c r="B226" s="1232" t="s">
        <v>917</v>
      </c>
      <c r="C226" s="1319" t="s">
        <v>1539</v>
      </c>
      <c r="D226" s="1319" t="s">
        <v>1511</v>
      </c>
      <c r="E226" s="1318" t="s">
        <v>1356</v>
      </c>
    </row>
    <row r="227" spans="1:5" ht="30" x14ac:dyDescent="0.25">
      <c r="A227" s="1232">
        <v>226</v>
      </c>
      <c r="B227" s="1232" t="s">
        <v>917</v>
      </c>
      <c r="C227" s="1319" t="s">
        <v>1539</v>
      </c>
      <c r="D227" s="1319" t="s">
        <v>1511</v>
      </c>
      <c r="E227" s="1318" t="s">
        <v>1357</v>
      </c>
    </row>
    <row r="228" spans="1:5" x14ac:dyDescent="0.25">
      <c r="A228" s="1232">
        <v>227</v>
      </c>
      <c r="B228" s="1232" t="s">
        <v>917</v>
      </c>
      <c r="C228" s="1319" t="s">
        <v>1539</v>
      </c>
      <c r="D228" s="1319" t="s">
        <v>1511</v>
      </c>
      <c r="E228" s="1318" t="s">
        <v>1277</v>
      </c>
    </row>
    <row r="229" spans="1:5" x14ac:dyDescent="0.25">
      <c r="A229" s="1232">
        <v>228</v>
      </c>
      <c r="B229" s="1232" t="s">
        <v>917</v>
      </c>
      <c r="C229" s="1319" t="s">
        <v>1539</v>
      </c>
      <c r="D229" s="1319" t="s">
        <v>1511</v>
      </c>
      <c r="E229" s="1318" t="s">
        <v>1278</v>
      </c>
    </row>
    <row r="230" spans="1:5" x14ac:dyDescent="0.25">
      <c r="A230" s="1232">
        <v>229</v>
      </c>
      <c r="B230" s="1232" t="s">
        <v>917</v>
      </c>
      <c r="C230" s="1319" t="s">
        <v>1539</v>
      </c>
      <c r="D230" s="1319" t="s">
        <v>1511</v>
      </c>
      <c r="E230" s="1318" t="s">
        <v>1279</v>
      </c>
    </row>
    <row r="231" spans="1:5" x14ac:dyDescent="0.25">
      <c r="A231" s="1232">
        <v>230</v>
      </c>
      <c r="B231" s="1232" t="s">
        <v>917</v>
      </c>
      <c r="C231" s="1319" t="s">
        <v>1539</v>
      </c>
      <c r="D231" s="1319" t="s">
        <v>1511</v>
      </c>
      <c r="E231" s="1318" t="s">
        <v>1280</v>
      </c>
    </row>
    <row r="232" spans="1:5" x14ac:dyDescent="0.25">
      <c r="A232" s="1232">
        <v>231</v>
      </c>
      <c r="B232" s="1232" t="s">
        <v>917</v>
      </c>
      <c r="C232" s="1319" t="s">
        <v>1539</v>
      </c>
      <c r="D232" s="1319" t="s">
        <v>1511</v>
      </c>
      <c r="E232" s="1318" t="s">
        <v>1281</v>
      </c>
    </row>
    <row r="233" spans="1:5" x14ac:dyDescent="0.25">
      <c r="A233" s="1232">
        <v>232</v>
      </c>
      <c r="B233" s="1232" t="s">
        <v>917</v>
      </c>
      <c r="C233" s="1319" t="s">
        <v>1539</v>
      </c>
      <c r="D233" s="1319" t="s">
        <v>1511</v>
      </c>
      <c r="E233" s="1318" t="s">
        <v>1529</v>
      </c>
    </row>
    <row r="234" spans="1:5" x14ac:dyDescent="0.25">
      <c r="A234" s="1232">
        <v>233</v>
      </c>
      <c r="B234" s="1232" t="s">
        <v>917</v>
      </c>
      <c r="C234" s="1319" t="s">
        <v>1539</v>
      </c>
      <c r="D234" s="1319" t="s">
        <v>1511</v>
      </c>
      <c r="E234" s="1318" t="s">
        <v>1736</v>
      </c>
    </row>
    <row r="235" spans="1:5" x14ac:dyDescent="0.25">
      <c r="A235" s="1232">
        <v>234</v>
      </c>
      <c r="B235" s="1232" t="s">
        <v>1501</v>
      </c>
      <c r="C235" s="1319" t="s">
        <v>1539</v>
      </c>
      <c r="D235" s="1319" t="s">
        <v>1530</v>
      </c>
      <c r="E235" s="1316" t="s">
        <v>793</v>
      </c>
    </row>
    <row r="236" spans="1:5" x14ac:dyDescent="0.25">
      <c r="A236" s="1232">
        <v>235</v>
      </c>
      <c r="B236" s="1232" t="s">
        <v>1501</v>
      </c>
      <c r="C236" s="1319" t="s">
        <v>1539</v>
      </c>
      <c r="D236" s="1319" t="s">
        <v>1530</v>
      </c>
      <c r="E236" s="1316" t="s">
        <v>1271</v>
      </c>
    </row>
    <row r="237" spans="1:5" x14ac:dyDescent="0.25">
      <c r="A237" s="1232">
        <v>236</v>
      </c>
      <c r="B237" s="1232" t="s">
        <v>1501</v>
      </c>
      <c r="C237" s="1319" t="s">
        <v>1539</v>
      </c>
      <c r="D237" s="1319" t="s">
        <v>1511</v>
      </c>
      <c r="E237" s="1316" t="s">
        <v>1272</v>
      </c>
    </row>
    <row r="238" spans="1:5" x14ac:dyDescent="0.25">
      <c r="A238" s="1232">
        <v>237</v>
      </c>
      <c r="B238" s="1232" t="s">
        <v>1501</v>
      </c>
      <c r="C238" s="1319" t="s">
        <v>1539</v>
      </c>
      <c r="D238" s="1319" t="s">
        <v>1511</v>
      </c>
      <c r="E238" s="1316" t="s">
        <v>1466</v>
      </c>
    </row>
    <row r="239" spans="1:5" x14ac:dyDescent="0.25">
      <c r="A239" s="1232">
        <v>238</v>
      </c>
      <c r="B239" s="1232" t="s">
        <v>1501</v>
      </c>
      <c r="C239" s="1319" t="s">
        <v>1539</v>
      </c>
      <c r="D239" s="1319" t="s">
        <v>1511</v>
      </c>
      <c r="E239" s="1316" t="s">
        <v>1391</v>
      </c>
    </row>
    <row r="240" spans="1:5" x14ac:dyDescent="0.25">
      <c r="A240" s="1232">
        <v>239</v>
      </c>
      <c r="B240" s="1232" t="s">
        <v>1501</v>
      </c>
      <c r="C240" s="1319" t="s">
        <v>1539</v>
      </c>
      <c r="D240" s="1319" t="s">
        <v>1511</v>
      </c>
      <c r="E240" s="1316" t="s">
        <v>795</v>
      </c>
    </row>
    <row r="241" spans="1:5" x14ac:dyDescent="0.25">
      <c r="A241" s="1232">
        <v>240</v>
      </c>
      <c r="B241" s="1232" t="s">
        <v>1501</v>
      </c>
      <c r="C241" s="1319" t="s">
        <v>1539</v>
      </c>
      <c r="D241" s="1319" t="s">
        <v>1511</v>
      </c>
      <c r="E241" s="1316" t="s">
        <v>800</v>
      </c>
    </row>
    <row r="242" spans="1:5" x14ac:dyDescent="0.25">
      <c r="A242" s="1232">
        <v>241</v>
      </c>
      <c r="B242" s="1232" t="s">
        <v>1501</v>
      </c>
      <c r="C242" s="1319" t="s">
        <v>1539</v>
      </c>
      <c r="D242" s="1319" t="s">
        <v>1511</v>
      </c>
      <c r="E242" s="1316" t="s">
        <v>801</v>
      </c>
    </row>
    <row r="243" spans="1:5" x14ac:dyDescent="0.25">
      <c r="A243" s="1232">
        <v>242</v>
      </c>
      <c r="B243" s="1232" t="s">
        <v>1501</v>
      </c>
      <c r="C243" s="1319" t="s">
        <v>1539</v>
      </c>
      <c r="D243" s="1319" t="s">
        <v>1511</v>
      </c>
      <c r="E243" s="1316" t="s">
        <v>204</v>
      </c>
    </row>
    <row r="244" spans="1:5" ht="45" x14ac:dyDescent="0.25">
      <c r="A244" s="1232">
        <v>243</v>
      </c>
      <c r="B244" s="1232" t="s">
        <v>1373</v>
      </c>
      <c r="C244" s="1319" t="s">
        <v>1540</v>
      </c>
      <c r="D244" s="1319" t="s">
        <v>1541</v>
      </c>
      <c r="E244" s="1316" t="s">
        <v>1542</v>
      </c>
    </row>
    <row r="245" spans="1:5" ht="30" x14ac:dyDescent="0.25">
      <c r="A245" s="1232">
        <v>244</v>
      </c>
      <c r="B245" s="1232" t="s">
        <v>1373</v>
      </c>
      <c r="C245" s="1319" t="s">
        <v>1540</v>
      </c>
      <c r="D245" s="1319" t="s">
        <v>1543</v>
      </c>
      <c r="E245" s="1316" t="s">
        <v>1477</v>
      </c>
    </row>
    <row r="246" spans="1:5" x14ac:dyDescent="0.25">
      <c r="A246" s="1232">
        <v>245</v>
      </c>
      <c r="B246" s="1232" t="s">
        <v>1373</v>
      </c>
      <c r="C246" s="1319" t="s">
        <v>1540</v>
      </c>
      <c r="D246" s="1319" t="s">
        <v>1544</v>
      </c>
      <c r="E246" s="1316" t="s">
        <v>1361</v>
      </c>
    </row>
    <row r="247" spans="1:5" ht="30" x14ac:dyDescent="0.25">
      <c r="A247" s="1232">
        <v>246</v>
      </c>
      <c r="B247" s="1232" t="s">
        <v>1373</v>
      </c>
      <c r="C247" s="1319" t="s">
        <v>99</v>
      </c>
      <c r="D247" s="1319" t="s">
        <v>1545</v>
      </c>
      <c r="E247" s="1316" t="s">
        <v>1383</v>
      </c>
    </row>
    <row r="248" spans="1:5" ht="30" x14ac:dyDescent="0.25">
      <c r="A248" s="1232">
        <v>247</v>
      </c>
      <c r="B248" s="1232" t="s">
        <v>1373</v>
      </c>
      <c r="C248" s="1319" t="s">
        <v>99</v>
      </c>
      <c r="D248" s="1319" t="s">
        <v>1511</v>
      </c>
      <c r="E248" s="1319" t="s">
        <v>254</v>
      </c>
    </row>
    <row r="249" spans="1:5" ht="30" x14ac:dyDescent="0.25">
      <c r="A249" s="1232">
        <v>248</v>
      </c>
      <c r="B249" s="1232" t="s">
        <v>1373</v>
      </c>
      <c r="C249" s="1319" t="s">
        <v>99</v>
      </c>
      <c r="D249" s="1319" t="s">
        <v>1373</v>
      </c>
      <c r="E249" s="1319" t="s">
        <v>1339</v>
      </c>
    </row>
    <row r="250" spans="1:5" ht="30" x14ac:dyDescent="0.25">
      <c r="A250" s="1232">
        <v>249</v>
      </c>
      <c r="B250" s="1232" t="s">
        <v>1373</v>
      </c>
      <c r="C250" s="1319" t="s">
        <v>99</v>
      </c>
      <c r="D250" s="1319" t="s">
        <v>1373</v>
      </c>
      <c r="E250" s="1319" t="s">
        <v>225</v>
      </c>
    </row>
    <row r="251" spans="1:5" ht="30" x14ac:dyDescent="0.25">
      <c r="A251" s="1232">
        <v>250</v>
      </c>
      <c r="B251" s="1232" t="s">
        <v>208</v>
      </c>
      <c r="C251" s="1319" t="s">
        <v>99</v>
      </c>
      <c r="D251" s="1319" t="s">
        <v>1511</v>
      </c>
      <c r="E251" s="1318" t="s">
        <v>466</v>
      </c>
    </row>
    <row r="252" spans="1:5" ht="30" x14ac:dyDescent="0.25">
      <c r="A252" s="1232">
        <v>251</v>
      </c>
      <c r="B252" s="1232" t="s">
        <v>1373</v>
      </c>
      <c r="C252" s="1319" t="s">
        <v>99</v>
      </c>
      <c r="D252" s="1319" t="s">
        <v>1373</v>
      </c>
      <c r="E252" s="1318" t="s">
        <v>1376</v>
      </c>
    </row>
    <row r="253" spans="1:5" ht="30" x14ac:dyDescent="0.25">
      <c r="A253" s="1232">
        <v>252</v>
      </c>
      <c r="B253" s="1232" t="s">
        <v>1373</v>
      </c>
      <c r="C253" s="1319" t="s">
        <v>99</v>
      </c>
      <c r="D253" s="1319" t="s">
        <v>1511</v>
      </c>
      <c r="E253" s="1318" t="s">
        <v>1378</v>
      </c>
    </row>
    <row r="254" spans="1:5" ht="30" x14ac:dyDescent="0.25">
      <c r="A254" s="1232">
        <v>253</v>
      </c>
      <c r="B254" s="1232" t="s">
        <v>1373</v>
      </c>
      <c r="C254" s="1319" t="s">
        <v>99</v>
      </c>
      <c r="D254" s="1319" t="s">
        <v>1511</v>
      </c>
      <c r="E254" s="1318" t="s">
        <v>1379</v>
      </c>
    </row>
    <row r="255" spans="1:5" ht="30" x14ac:dyDescent="0.25">
      <c r="A255" s="1232">
        <v>254</v>
      </c>
      <c r="B255" s="1232" t="s">
        <v>1373</v>
      </c>
      <c r="C255" s="1319" t="s">
        <v>99</v>
      </c>
      <c r="D255" s="1319" t="s">
        <v>1546</v>
      </c>
      <c r="E255" s="1318" t="s">
        <v>1380</v>
      </c>
    </row>
    <row r="256" spans="1:5" ht="30" x14ac:dyDescent="0.25">
      <c r="A256" s="1232">
        <v>255</v>
      </c>
      <c r="B256" s="1232" t="s">
        <v>1373</v>
      </c>
      <c r="C256" s="1319" t="s">
        <v>99</v>
      </c>
      <c r="D256" s="1319" t="s">
        <v>1511</v>
      </c>
      <c r="E256" s="1318" t="s">
        <v>1381</v>
      </c>
    </row>
    <row r="257" spans="1:5" ht="30" x14ac:dyDescent="0.25">
      <c r="A257" s="1232">
        <v>256</v>
      </c>
      <c r="B257" s="1232" t="s">
        <v>1373</v>
      </c>
      <c r="C257" s="1319" t="s">
        <v>99</v>
      </c>
      <c r="D257" s="1319" t="s">
        <v>1546</v>
      </c>
      <c r="E257" s="1318" t="s">
        <v>1382</v>
      </c>
    </row>
    <row r="258" spans="1:5" ht="30" x14ac:dyDescent="0.25">
      <c r="A258" s="1232">
        <v>257</v>
      </c>
      <c r="B258" s="1232" t="s">
        <v>1373</v>
      </c>
      <c r="C258" s="1319" t="s">
        <v>99</v>
      </c>
      <c r="D258" s="1319" t="s">
        <v>1546</v>
      </c>
      <c r="E258" s="1318" t="s">
        <v>1320</v>
      </c>
    </row>
    <row r="259" spans="1:5" x14ac:dyDescent="0.25">
      <c r="A259" s="1232">
        <v>258</v>
      </c>
      <c r="B259" s="1232" t="s">
        <v>1373</v>
      </c>
      <c r="C259" s="1319" t="s">
        <v>103</v>
      </c>
      <c r="D259" s="1319" t="s">
        <v>1545</v>
      </c>
      <c r="E259" s="1316" t="s">
        <v>1383</v>
      </c>
    </row>
    <row r="260" spans="1:5" x14ac:dyDescent="0.25">
      <c r="A260" s="1232">
        <v>259</v>
      </c>
      <c r="B260" s="1232" t="s">
        <v>1373</v>
      </c>
      <c r="C260" s="1319" t="s">
        <v>103</v>
      </c>
      <c r="D260" s="1319" t="s">
        <v>1511</v>
      </c>
      <c r="E260" s="1316" t="s">
        <v>254</v>
      </c>
    </row>
    <row r="261" spans="1:5" x14ac:dyDescent="0.25">
      <c r="A261" s="1232">
        <v>260</v>
      </c>
      <c r="B261" s="1232" t="s">
        <v>1373</v>
      </c>
      <c r="C261" s="1319" t="s">
        <v>103</v>
      </c>
      <c r="D261" s="1319" t="s">
        <v>1373</v>
      </c>
      <c r="E261" s="1319" t="s">
        <v>1339</v>
      </c>
    </row>
    <row r="262" spans="1:5" x14ac:dyDescent="0.25">
      <c r="A262" s="1232">
        <v>261</v>
      </c>
      <c r="B262" s="1232" t="s">
        <v>1373</v>
      </c>
      <c r="C262" s="1319" t="s">
        <v>103</v>
      </c>
      <c r="D262" s="1319" t="s">
        <v>1373</v>
      </c>
      <c r="E262" s="1319" t="s">
        <v>225</v>
      </c>
    </row>
    <row r="263" spans="1:5" x14ac:dyDescent="0.25">
      <c r="A263" s="1232">
        <v>262</v>
      </c>
      <c r="B263" s="1232" t="s">
        <v>208</v>
      </c>
      <c r="C263" s="1319" t="s">
        <v>103</v>
      </c>
      <c r="D263" s="1319" t="s">
        <v>1511</v>
      </c>
      <c r="E263" s="1318" t="s">
        <v>466</v>
      </c>
    </row>
    <row r="264" spans="1:5" x14ac:dyDescent="0.25">
      <c r="A264" s="1232">
        <v>263</v>
      </c>
      <c r="B264" s="1232" t="s">
        <v>1373</v>
      </c>
      <c r="C264" s="1319" t="s">
        <v>103</v>
      </c>
      <c r="D264" s="1319" t="s">
        <v>1373</v>
      </c>
      <c r="E264" s="1318" t="s">
        <v>1376</v>
      </c>
    </row>
    <row r="265" spans="1:5" x14ac:dyDescent="0.25">
      <c r="A265" s="1232">
        <v>264</v>
      </c>
      <c r="B265" s="1232" t="s">
        <v>1373</v>
      </c>
      <c r="C265" s="1319" t="s">
        <v>103</v>
      </c>
      <c r="D265" s="1319" t="s">
        <v>1511</v>
      </c>
      <c r="E265" s="1318" t="s">
        <v>1378</v>
      </c>
    </row>
    <row r="266" spans="1:5" x14ac:dyDescent="0.25">
      <c r="A266" s="1232">
        <v>265</v>
      </c>
      <c r="B266" s="1232" t="s">
        <v>1373</v>
      </c>
      <c r="C266" s="1319" t="s">
        <v>103</v>
      </c>
      <c r="D266" s="1319" t="s">
        <v>1511</v>
      </c>
      <c r="E266" s="1318" t="s">
        <v>1379</v>
      </c>
    </row>
    <row r="267" spans="1:5" x14ac:dyDescent="0.25">
      <c r="A267" s="1232">
        <v>266</v>
      </c>
      <c r="B267" s="1232" t="s">
        <v>1373</v>
      </c>
      <c r="C267" s="1319" t="s">
        <v>103</v>
      </c>
      <c r="D267" s="1319" t="s">
        <v>1546</v>
      </c>
      <c r="E267" s="1318" t="s">
        <v>1380</v>
      </c>
    </row>
    <row r="268" spans="1:5" x14ac:dyDescent="0.25">
      <c r="A268" s="1232">
        <v>267</v>
      </c>
      <c r="B268" s="1232" t="s">
        <v>1373</v>
      </c>
      <c r="C268" s="1319" t="s">
        <v>103</v>
      </c>
      <c r="D268" s="1319" t="s">
        <v>1546</v>
      </c>
      <c r="E268" s="1318" t="s">
        <v>1381</v>
      </c>
    </row>
    <row r="269" spans="1:5" x14ac:dyDescent="0.25">
      <c r="A269" s="1232">
        <v>268</v>
      </c>
      <c r="B269" s="1232" t="s">
        <v>1373</v>
      </c>
      <c r="C269" s="1319" t="s">
        <v>103</v>
      </c>
      <c r="D269" s="1319" t="s">
        <v>1546</v>
      </c>
      <c r="E269" s="1318" t="s">
        <v>1382</v>
      </c>
    </row>
    <row r="270" spans="1:5" x14ac:dyDescent="0.25">
      <c r="A270" s="1232">
        <v>269</v>
      </c>
      <c r="B270" s="1232" t="s">
        <v>1373</v>
      </c>
      <c r="C270" s="1319" t="s">
        <v>103</v>
      </c>
      <c r="D270" s="1319" t="s">
        <v>1546</v>
      </c>
      <c r="E270" s="1318" t="s">
        <v>1320</v>
      </c>
    </row>
    <row r="271" spans="1:5" x14ac:dyDescent="0.25">
      <c r="A271" s="1232">
        <v>270</v>
      </c>
      <c r="B271" s="1232" t="s">
        <v>1373</v>
      </c>
      <c r="C271" s="1319" t="s">
        <v>1390</v>
      </c>
      <c r="D271" s="1319" t="s">
        <v>1385</v>
      </c>
      <c r="E271" s="1316" t="s">
        <v>1383</v>
      </c>
    </row>
    <row r="272" spans="1:5" x14ac:dyDescent="0.25">
      <c r="A272" s="1232">
        <v>271</v>
      </c>
      <c r="B272" s="1232" t="s">
        <v>1373</v>
      </c>
      <c r="C272" s="1319" t="s">
        <v>1390</v>
      </c>
      <c r="D272" s="1319" t="s">
        <v>1511</v>
      </c>
      <c r="E272" s="1316" t="s">
        <v>254</v>
      </c>
    </row>
    <row r="273" spans="1:5" x14ac:dyDescent="0.25">
      <c r="A273" s="1232">
        <v>272</v>
      </c>
      <c r="B273" s="1232" t="s">
        <v>1373</v>
      </c>
      <c r="C273" s="1319" t="s">
        <v>1390</v>
      </c>
      <c r="D273" s="1319" t="s">
        <v>1373</v>
      </c>
      <c r="E273" s="1319" t="s">
        <v>1339</v>
      </c>
    </row>
    <row r="274" spans="1:5" x14ac:dyDescent="0.25">
      <c r="A274" s="1232">
        <v>273</v>
      </c>
      <c r="B274" s="1232" t="s">
        <v>1373</v>
      </c>
      <c r="C274" s="1319" t="s">
        <v>1390</v>
      </c>
      <c r="D274" s="1319" t="s">
        <v>1373</v>
      </c>
      <c r="E274" s="1319" t="s">
        <v>225</v>
      </c>
    </row>
    <row r="275" spans="1:5" x14ac:dyDescent="0.25">
      <c r="A275" s="1232">
        <v>274</v>
      </c>
      <c r="B275" s="1232" t="s">
        <v>208</v>
      </c>
      <c r="C275" s="1319" t="s">
        <v>1390</v>
      </c>
      <c r="D275" s="1319" t="s">
        <v>1511</v>
      </c>
      <c r="E275" s="1318" t="s">
        <v>466</v>
      </c>
    </row>
    <row r="276" spans="1:5" x14ac:dyDescent="0.25">
      <c r="A276" s="1232">
        <v>275</v>
      </c>
      <c r="B276" s="1232" t="s">
        <v>1373</v>
      </c>
      <c r="C276" s="1319" t="s">
        <v>1390</v>
      </c>
      <c r="D276" s="1319" t="s">
        <v>1373</v>
      </c>
      <c r="E276" s="1318" t="s">
        <v>1376</v>
      </c>
    </row>
    <row r="277" spans="1:5" x14ac:dyDescent="0.25">
      <c r="A277" s="1232">
        <v>276</v>
      </c>
      <c r="B277" s="1232" t="s">
        <v>1373</v>
      </c>
      <c r="C277" s="1319" t="s">
        <v>1390</v>
      </c>
      <c r="D277" s="1319" t="s">
        <v>1511</v>
      </c>
      <c r="E277" s="1318" t="s">
        <v>1378</v>
      </c>
    </row>
    <row r="278" spans="1:5" x14ac:dyDescent="0.25">
      <c r="A278" s="1232">
        <v>277</v>
      </c>
      <c r="B278" s="1232" t="s">
        <v>1373</v>
      </c>
      <c r="C278" s="1319" t="s">
        <v>1390</v>
      </c>
      <c r="D278" s="1319" t="s">
        <v>1511</v>
      </c>
      <c r="E278" s="1318" t="s">
        <v>1379</v>
      </c>
    </row>
    <row r="279" spans="1:5" x14ac:dyDescent="0.25">
      <c r="A279" s="1232">
        <v>278</v>
      </c>
      <c r="B279" s="1232" t="s">
        <v>1373</v>
      </c>
      <c r="C279" s="1319" t="s">
        <v>1390</v>
      </c>
      <c r="D279" s="1319" t="s">
        <v>1546</v>
      </c>
      <c r="E279" s="1318" t="s">
        <v>1380</v>
      </c>
    </row>
    <row r="280" spans="1:5" x14ac:dyDescent="0.25">
      <c r="A280" s="1232">
        <v>279</v>
      </c>
      <c r="B280" s="1232" t="s">
        <v>1373</v>
      </c>
      <c r="C280" s="1319" t="s">
        <v>1390</v>
      </c>
      <c r="D280" s="1319" t="s">
        <v>1511</v>
      </c>
      <c r="E280" s="1318" t="s">
        <v>1381</v>
      </c>
    </row>
    <row r="281" spans="1:5" x14ac:dyDescent="0.25">
      <c r="A281" s="1232">
        <v>280</v>
      </c>
      <c r="B281" s="1232" t="s">
        <v>1373</v>
      </c>
      <c r="C281" s="1319" t="s">
        <v>1390</v>
      </c>
      <c r="D281" s="1319" t="s">
        <v>1546</v>
      </c>
      <c r="E281" s="1318" t="s">
        <v>1382</v>
      </c>
    </row>
    <row r="282" spans="1:5" x14ac:dyDescent="0.25">
      <c r="A282" s="1232">
        <v>281</v>
      </c>
      <c r="B282" s="1232" t="s">
        <v>1373</v>
      </c>
      <c r="C282" s="1319" t="s">
        <v>1390</v>
      </c>
      <c r="D282" s="1319" t="s">
        <v>1546</v>
      </c>
      <c r="E282" s="1318" t="s">
        <v>1320</v>
      </c>
    </row>
    <row r="283" spans="1:5" x14ac:dyDescent="0.25">
      <c r="A283" s="1232">
        <v>282</v>
      </c>
      <c r="B283" s="1232" t="s">
        <v>1373</v>
      </c>
      <c r="C283" s="1319" t="s">
        <v>102</v>
      </c>
      <c r="D283" s="1319" t="s">
        <v>1545</v>
      </c>
      <c r="E283" s="1316" t="s">
        <v>1383</v>
      </c>
    </row>
    <row r="284" spans="1:5" x14ac:dyDescent="0.25">
      <c r="A284" s="1232">
        <v>283</v>
      </c>
      <c r="B284" s="1232" t="s">
        <v>1373</v>
      </c>
      <c r="C284" s="1319" t="s">
        <v>102</v>
      </c>
      <c r="D284" s="1319" t="s">
        <v>1511</v>
      </c>
      <c r="E284" s="1316" t="s">
        <v>254</v>
      </c>
    </row>
    <row r="285" spans="1:5" x14ac:dyDescent="0.25">
      <c r="A285" s="1232">
        <v>284</v>
      </c>
      <c r="B285" s="1232" t="s">
        <v>1373</v>
      </c>
      <c r="C285" s="1319" t="s">
        <v>102</v>
      </c>
      <c r="D285" s="1319" t="s">
        <v>1373</v>
      </c>
      <c r="E285" s="1319" t="s">
        <v>1339</v>
      </c>
    </row>
    <row r="286" spans="1:5" x14ac:dyDescent="0.25">
      <c r="A286" s="1232">
        <v>285</v>
      </c>
      <c r="B286" s="1232" t="s">
        <v>1373</v>
      </c>
      <c r="C286" s="1319" t="s">
        <v>102</v>
      </c>
      <c r="D286" s="1319" t="s">
        <v>1373</v>
      </c>
      <c r="E286" s="1319" t="s">
        <v>225</v>
      </c>
    </row>
    <row r="287" spans="1:5" x14ac:dyDescent="0.25">
      <c r="A287" s="1232">
        <v>286</v>
      </c>
      <c r="B287" s="1232" t="s">
        <v>208</v>
      </c>
      <c r="C287" s="1319" t="s">
        <v>102</v>
      </c>
      <c r="D287" s="1319" t="s">
        <v>1511</v>
      </c>
      <c r="E287" s="1318" t="s">
        <v>466</v>
      </c>
    </row>
    <row r="288" spans="1:5" x14ac:dyDescent="0.25">
      <c r="A288" s="1232">
        <v>287</v>
      </c>
      <c r="B288" s="1232" t="s">
        <v>1373</v>
      </c>
      <c r="C288" s="1319" t="s">
        <v>102</v>
      </c>
      <c r="D288" s="1319" t="s">
        <v>1373</v>
      </c>
      <c r="E288" s="1318" t="s">
        <v>1376</v>
      </c>
    </row>
    <row r="289" spans="1:5" x14ac:dyDescent="0.25">
      <c r="A289" s="1232">
        <v>288</v>
      </c>
      <c r="B289" s="1232" t="s">
        <v>1373</v>
      </c>
      <c r="C289" s="1319" t="s">
        <v>102</v>
      </c>
      <c r="D289" s="1319" t="s">
        <v>1511</v>
      </c>
      <c r="E289" s="1318" t="s">
        <v>1378</v>
      </c>
    </row>
    <row r="290" spans="1:5" x14ac:dyDescent="0.25">
      <c r="A290" s="1232">
        <v>289</v>
      </c>
      <c r="B290" s="1232" t="s">
        <v>1373</v>
      </c>
      <c r="C290" s="1319" t="s">
        <v>102</v>
      </c>
      <c r="D290" s="1319" t="s">
        <v>1511</v>
      </c>
      <c r="E290" s="1318" t="s">
        <v>1379</v>
      </c>
    </row>
    <row r="291" spans="1:5" x14ac:dyDescent="0.25">
      <c r="A291" s="1232">
        <v>290</v>
      </c>
      <c r="B291" s="1232" t="s">
        <v>1373</v>
      </c>
      <c r="C291" s="1319" t="s">
        <v>102</v>
      </c>
      <c r="D291" s="1319" t="s">
        <v>1546</v>
      </c>
      <c r="E291" s="1318" t="s">
        <v>1380</v>
      </c>
    </row>
    <row r="292" spans="1:5" x14ac:dyDescent="0.25">
      <c r="A292" s="1232">
        <v>291</v>
      </c>
      <c r="B292" s="1232" t="s">
        <v>1373</v>
      </c>
      <c r="C292" s="1319" t="s">
        <v>102</v>
      </c>
      <c r="D292" s="1319" t="s">
        <v>1511</v>
      </c>
      <c r="E292" s="1318" t="s">
        <v>1381</v>
      </c>
    </row>
    <row r="293" spans="1:5" x14ac:dyDescent="0.25">
      <c r="A293" s="1232">
        <v>292</v>
      </c>
      <c r="B293" s="1232" t="s">
        <v>1373</v>
      </c>
      <c r="C293" s="1319" t="s">
        <v>102</v>
      </c>
      <c r="D293" s="1319" t="s">
        <v>1546</v>
      </c>
      <c r="E293" s="1318" t="s">
        <v>1382</v>
      </c>
    </row>
    <row r="294" spans="1:5" x14ac:dyDescent="0.25">
      <c r="A294" s="1232">
        <v>293</v>
      </c>
      <c r="B294" s="1232" t="s">
        <v>1373</v>
      </c>
      <c r="C294" s="1319" t="s">
        <v>102</v>
      </c>
      <c r="D294" s="1319" t="s">
        <v>1546</v>
      </c>
      <c r="E294" s="1318" t="s">
        <v>1320</v>
      </c>
    </row>
    <row r="295" spans="1:5" x14ac:dyDescent="0.25">
      <c r="A295" s="1232">
        <v>294</v>
      </c>
      <c r="B295" s="1232" t="s">
        <v>1373</v>
      </c>
      <c r="C295" s="1319" t="s">
        <v>100</v>
      </c>
      <c r="D295" s="1319" t="s">
        <v>1545</v>
      </c>
      <c r="E295" s="1316" t="s">
        <v>1383</v>
      </c>
    </row>
    <row r="296" spans="1:5" x14ac:dyDescent="0.25">
      <c r="A296" s="1232">
        <v>295</v>
      </c>
      <c r="B296" s="1232" t="s">
        <v>1373</v>
      </c>
      <c r="C296" s="1319" t="s">
        <v>100</v>
      </c>
      <c r="D296" s="1319" t="s">
        <v>1511</v>
      </c>
      <c r="E296" s="1316" t="s">
        <v>254</v>
      </c>
    </row>
    <row r="297" spans="1:5" x14ac:dyDescent="0.25">
      <c r="A297" s="1232">
        <v>296</v>
      </c>
      <c r="B297" s="1232" t="s">
        <v>1373</v>
      </c>
      <c r="C297" s="1319" t="s">
        <v>100</v>
      </c>
      <c r="D297" s="1319" t="s">
        <v>1373</v>
      </c>
      <c r="E297" s="1319" t="s">
        <v>1339</v>
      </c>
    </row>
    <row r="298" spans="1:5" x14ac:dyDescent="0.25">
      <c r="A298" s="1232">
        <v>297</v>
      </c>
      <c r="B298" s="1232" t="s">
        <v>1373</v>
      </c>
      <c r="C298" s="1319" t="s">
        <v>100</v>
      </c>
      <c r="D298" s="1319" t="s">
        <v>1373</v>
      </c>
      <c r="E298" s="1319" t="s">
        <v>225</v>
      </c>
    </row>
    <row r="299" spans="1:5" x14ac:dyDescent="0.25">
      <c r="A299" s="1232">
        <v>298</v>
      </c>
      <c r="B299" s="1232" t="s">
        <v>208</v>
      </c>
      <c r="C299" s="1319" t="s">
        <v>100</v>
      </c>
      <c r="D299" s="1319" t="s">
        <v>1511</v>
      </c>
      <c r="E299" s="1318" t="s">
        <v>466</v>
      </c>
    </row>
    <row r="300" spans="1:5" x14ac:dyDescent="0.25">
      <c r="A300" s="1232">
        <v>299</v>
      </c>
      <c r="B300" s="1232" t="s">
        <v>1373</v>
      </c>
      <c r="C300" s="1319" t="s">
        <v>100</v>
      </c>
      <c r="D300" s="1319" t="s">
        <v>1373</v>
      </c>
      <c r="E300" s="1318" t="s">
        <v>1376</v>
      </c>
    </row>
    <row r="301" spans="1:5" x14ac:dyDescent="0.25">
      <c r="A301" s="1232">
        <v>300</v>
      </c>
      <c r="B301" s="1232" t="s">
        <v>1373</v>
      </c>
      <c r="C301" s="1319" t="s">
        <v>100</v>
      </c>
      <c r="D301" s="1319" t="s">
        <v>1511</v>
      </c>
      <c r="E301" s="1318" t="s">
        <v>1378</v>
      </c>
    </row>
    <row r="302" spans="1:5" x14ac:dyDescent="0.25">
      <c r="A302" s="1232">
        <v>301</v>
      </c>
      <c r="B302" s="1232" t="s">
        <v>1373</v>
      </c>
      <c r="C302" s="1319" t="s">
        <v>100</v>
      </c>
      <c r="D302" s="1319" t="s">
        <v>1511</v>
      </c>
      <c r="E302" s="1318" t="s">
        <v>1379</v>
      </c>
    </row>
    <row r="303" spans="1:5" x14ac:dyDescent="0.25">
      <c r="A303" s="1232">
        <v>302</v>
      </c>
      <c r="B303" s="1232" t="s">
        <v>1373</v>
      </c>
      <c r="C303" s="1319" t="s">
        <v>100</v>
      </c>
      <c r="D303" s="1319" t="s">
        <v>1546</v>
      </c>
      <c r="E303" s="1318" t="s">
        <v>1380</v>
      </c>
    </row>
    <row r="304" spans="1:5" x14ac:dyDescent="0.25">
      <c r="A304" s="1232">
        <v>303</v>
      </c>
      <c r="B304" s="1232" t="s">
        <v>1373</v>
      </c>
      <c r="C304" s="1319" t="s">
        <v>100</v>
      </c>
      <c r="D304" s="1319" t="s">
        <v>1511</v>
      </c>
      <c r="E304" s="1318" t="s">
        <v>1381</v>
      </c>
    </row>
    <row r="305" spans="1:5" x14ac:dyDescent="0.25">
      <c r="A305" s="1232">
        <v>304</v>
      </c>
      <c r="B305" s="1232" t="s">
        <v>1373</v>
      </c>
      <c r="C305" s="1319" t="s">
        <v>100</v>
      </c>
      <c r="D305" s="1319" t="s">
        <v>1546</v>
      </c>
      <c r="E305" s="1318" t="s">
        <v>1382</v>
      </c>
    </row>
    <row r="306" spans="1:5" x14ac:dyDescent="0.25">
      <c r="A306" s="1232">
        <v>305</v>
      </c>
      <c r="B306" s="1232" t="s">
        <v>1373</v>
      </c>
      <c r="C306" s="1319" t="s">
        <v>100</v>
      </c>
      <c r="D306" s="1319" t="s">
        <v>1546</v>
      </c>
      <c r="E306" s="1318" t="s">
        <v>1320</v>
      </c>
    </row>
    <row r="307" spans="1:5" x14ac:dyDescent="0.25">
      <c r="A307" s="1232">
        <v>306</v>
      </c>
      <c r="B307" s="1232" t="s">
        <v>1373</v>
      </c>
      <c r="C307" s="1319" t="s">
        <v>104</v>
      </c>
      <c r="D307" s="1319" t="s">
        <v>1545</v>
      </c>
      <c r="E307" s="1316" t="s">
        <v>1383</v>
      </c>
    </row>
    <row r="308" spans="1:5" x14ac:dyDescent="0.25">
      <c r="A308" s="1232">
        <v>307</v>
      </c>
      <c r="B308" s="1232" t="s">
        <v>1373</v>
      </c>
      <c r="C308" s="1319" t="s">
        <v>104</v>
      </c>
      <c r="D308" s="1319" t="s">
        <v>1511</v>
      </c>
      <c r="E308" s="1316" t="s">
        <v>254</v>
      </c>
    </row>
    <row r="309" spans="1:5" x14ac:dyDescent="0.25">
      <c r="A309" s="1232">
        <v>308</v>
      </c>
      <c r="B309" s="1232" t="s">
        <v>1373</v>
      </c>
      <c r="C309" s="1319" t="s">
        <v>104</v>
      </c>
      <c r="D309" s="1319" t="s">
        <v>1373</v>
      </c>
      <c r="E309" s="1319" t="s">
        <v>1339</v>
      </c>
    </row>
    <row r="310" spans="1:5" x14ac:dyDescent="0.25">
      <c r="A310" s="1232">
        <v>309</v>
      </c>
      <c r="B310" s="1232" t="s">
        <v>1373</v>
      </c>
      <c r="C310" s="1319" t="s">
        <v>104</v>
      </c>
      <c r="D310" s="1319" t="s">
        <v>1373</v>
      </c>
      <c r="E310" s="1319" t="s">
        <v>225</v>
      </c>
    </row>
    <row r="311" spans="1:5" x14ac:dyDescent="0.25">
      <c r="A311" s="1232">
        <v>310</v>
      </c>
      <c r="B311" s="1232" t="s">
        <v>208</v>
      </c>
      <c r="C311" s="1319" t="s">
        <v>104</v>
      </c>
      <c r="D311" s="1319" t="s">
        <v>1511</v>
      </c>
      <c r="E311" s="1318" t="s">
        <v>466</v>
      </c>
    </row>
    <row r="312" spans="1:5" x14ac:dyDescent="0.25">
      <c r="A312" s="1232">
        <v>311</v>
      </c>
      <c r="B312" s="1232" t="s">
        <v>1373</v>
      </c>
      <c r="C312" s="1319" t="s">
        <v>104</v>
      </c>
      <c r="D312" s="1319" t="s">
        <v>1373</v>
      </c>
      <c r="E312" s="1318" t="s">
        <v>1376</v>
      </c>
    </row>
    <row r="313" spans="1:5" x14ac:dyDescent="0.25">
      <c r="A313" s="1232">
        <v>312</v>
      </c>
      <c r="B313" s="1232" t="s">
        <v>1373</v>
      </c>
      <c r="C313" s="1319" t="s">
        <v>104</v>
      </c>
      <c r="D313" s="1319" t="s">
        <v>1511</v>
      </c>
      <c r="E313" s="1318" t="s">
        <v>1378</v>
      </c>
    </row>
    <row r="314" spans="1:5" x14ac:dyDescent="0.25">
      <c r="A314" s="1232">
        <v>313</v>
      </c>
      <c r="B314" s="1232" t="s">
        <v>1373</v>
      </c>
      <c r="C314" s="1319" t="s">
        <v>104</v>
      </c>
      <c r="D314" s="1319" t="s">
        <v>1511</v>
      </c>
      <c r="E314" s="1318" t="s">
        <v>1379</v>
      </c>
    </row>
    <row r="315" spans="1:5" x14ac:dyDescent="0.25">
      <c r="A315" s="1232">
        <v>314</v>
      </c>
      <c r="B315" s="1232" t="s">
        <v>1373</v>
      </c>
      <c r="C315" s="1319" t="s">
        <v>104</v>
      </c>
      <c r="D315" s="1319" t="s">
        <v>1546</v>
      </c>
      <c r="E315" s="1318" t="s">
        <v>1380</v>
      </c>
    </row>
    <row r="316" spans="1:5" x14ac:dyDescent="0.25">
      <c r="A316" s="1232">
        <v>315</v>
      </c>
      <c r="B316" s="1232" t="s">
        <v>1373</v>
      </c>
      <c r="C316" s="1319" t="s">
        <v>104</v>
      </c>
      <c r="D316" s="1319" t="s">
        <v>1511</v>
      </c>
      <c r="E316" s="1318" t="s">
        <v>1381</v>
      </c>
    </row>
    <row r="317" spans="1:5" x14ac:dyDescent="0.25">
      <c r="A317" s="1232">
        <v>316</v>
      </c>
      <c r="B317" s="1232" t="s">
        <v>1373</v>
      </c>
      <c r="C317" s="1319" t="s">
        <v>104</v>
      </c>
      <c r="D317" s="1319" t="s">
        <v>1546</v>
      </c>
      <c r="E317" s="1318" t="s">
        <v>1382</v>
      </c>
    </row>
    <row r="318" spans="1:5" x14ac:dyDescent="0.25">
      <c r="A318" s="1232">
        <v>317</v>
      </c>
      <c r="B318" s="1232" t="s">
        <v>1373</v>
      </c>
      <c r="C318" s="1319" t="s">
        <v>104</v>
      </c>
      <c r="D318" s="1319" t="s">
        <v>1546</v>
      </c>
      <c r="E318" s="1318" t="s">
        <v>1320</v>
      </c>
    </row>
    <row r="319" spans="1:5" x14ac:dyDescent="0.25">
      <c r="A319" s="1232">
        <v>318</v>
      </c>
      <c r="B319" s="1232" t="s">
        <v>1373</v>
      </c>
      <c r="C319" s="1319" t="s">
        <v>98</v>
      </c>
      <c r="D319" s="1319" t="s">
        <v>1545</v>
      </c>
      <c r="E319" s="1316" t="s">
        <v>1383</v>
      </c>
    </row>
    <row r="320" spans="1:5" x14ac:dyDescent="0.25">
      <c r="A320" s="1232">
        <v>319</v>
      </c>
      <c r="B320" s="1232" t="s">
        <v>1373</v>
      </c>
      <c r="C320" s="1319" t="s">
        <v>98</v>
      </c>
      <c r="D320" s="1319" t="s">
        <v>1511</v>
      </c>
      <c r="E320" s="1316" t="s">
        <v>254</v>
      </c>
    </row>
    <row r="321" spans="1:5" x14ac:dyDescent="0.25">
      <c r="A321" s="1232">
        <v>320</v>
      </c>
      <c r="B321" s="1232" t="s">
        <v>1373</v>
      </c>
      <c r="C321" s="1319" t="s">
        <v>98</v>
      </c>
      <c r="D321" s="1319" t="s">
        <v>1373</v>
      </c>
      <c r="E321" s="1319" t="s">
        <v>1339</v>
      </c>
    </row>
    <row r="322" spans="1:5" x14ac:dyDescent="0.25">
      <c r="A322" s="1232">
        <v>321</v>
      </c>
      <c r="B322" s="1232" t="s">
        <v>1373</v>
      </c>
      <c r="C322" s="1319" t="s">
        <v>98</v>
      </c>
      <c r="D322" s="1319" t="s">
        <v>1373</v>
      </c>
      <c r="E322" s="1319" t="s">
        <v>225</v>
      </c>
    </row>
    <row r="323" spans="1:5" x14ac:dyDescent="0.25">
      <c r="A323" s="1232">
        <v>322</v>
      </c>
      <c r="B323" s="1232" t="s">
        <v>208</v>
      </c>
      <c r="C323" s="1319" t="s">
        <v>98</v>
      </c>
      <c r="D323" s="1319" t="s">
        <v>1511</v>
      </c>
      <c r="E323" s="1318" t="s">
        <v>466</v>
      </c>
    </row>
    <row r="324" spans="1:5" x14ac:dyDescent="0.25">
      <c r="A324" s="1232">
        <v>323</v>
      </c>
      <c r="B324" s="1232" t="s">
        <v>1373</v>
      </c>
      <c r="C324" s="1319" t="s">
        <v>98</v>
      </c>
      <c r="D324" s="1319" t="s">
        <v>1373</v>
      </c>
      <c r="E324" s="1318" t="s">
        <v>1376</v>
      </c>
    </row>
    <row r="325" spans="1:5" x14ac:dyDescent="0.25">
      <c r="A325" s="1232">
        <v>324</v>
      </c>
      <c r="B325" s="1232" t="s">
        <v>1373</v>
      </c>
      <c r="C325" s="1319" t="s">
        <v>98</v>
      </c>
      <c r="D325" s="1319" t="s">
        <v>1511</v>
      </c>
      <c r="E325" s="1318" t="s">
        <v>1378</v>
      </c>
    </row>
    <row r="326" spans="1:5" x14ac:dyDescent="0.25">
      <c r="A326" s="1232">
        <v>325</v>
      </c>
      <c r="B326" s="1232" t="s">
        <v>1373</v>
      </c>
      <c r="C326" s="1319" t="s">
        <v>98</v>
      </c>
      <c r="D326" s="1319" t="s">
        <v>1511</v>
      </c>
      <c r="E326" s="1318" t="s">
        <v>1379</v>
      </c>
    </row>
    <row r="327" spans="1:5" x14ac:dyDescent="0.25">
      <c r="A327" s="1232">
        <v>326</v>
      </c>
      <c r="B327" s="1232" t="s">
        <v>1373</v>
      </c>
      <c r="C327" s="1319" t="s">
        <v>98</v>
      </c>
      <c r="D327" s="1319" t="s">
        <v>1546</v>
      </c>
      <c r="E327" s="1318" t="s">
        <v>1380</v>
      </c>
    </row>
    <row r="328" spans="1:5" x14ac:dyDescent="0.25">
      <c r="A328" s="1232">
        <v>327</v>
      </c>
      <c r="B328" s="1232" t="s">
        <v>1373</v>
      </c>
      <c r="C328" s="1319" t="s">
        <v>98</v>
      </c>
      <c r="D328" s="1319" t="s">
        <v>1511</v>
      </c>
      <c r="E328" s="1318" t="s">
        <v>1381</v>
      </c>
    </row>
    <row r="329" spans="1:5" x14ac:dyDescent="0.25">
      <c r="A329" s="1232">
        <v>328</v>
      </c>
      <c r="B329" s="1232" t="s">
        <v>1373</v>
      </c>
      <c r="C329" s="1319" t="s">
        <v>98</v>
      </c>
      <c r="D329" s="1319" t="s">
        <v>1546</v>
      </c>
      <c r="E329" s="1318" t="s">
        <v>1382</v>
      </c>
    </row>
    <row r="330" spans="1:5" x14ac:dyDescent="0.25">
      <c r="A330" s="1232">
        <v>329</v>
      </c>
      <c r="B330" s="1232" t="s">
        <v>1373</v>
      </c>
      <c r="C330" s="1319" t="s">
        <v>98</v>
      </c>
      <c r="D330" s="1319" t="s">
        <v>1546</v>
      </c>
      <c r="E330" s="1318" t="s">
        <v>1320</v>
      </c>
    </row>
    <row r="331" spans="1:5" x14ac:dyDescent="0.25">
      <c r="A331" s="1232">
        <v>330</v>
      </c>
      <c r="B331" s="1232" t="s">
        <v>1373</v>
      </c>
      <c r="C331" s="1319" t="s">
        <v>95</v>
      </c>
      <c r="D331" s="1319" t="s">
        <v>1545</v>
      </c>
      <c r="E331" s="1316" t="s">
        <v>1383</v>
      </c>
    </row>
    <row r="332" spans="1:5" x14ac:dyDescent="0.25">
      <c r="A332" s="1232">
        <v>331</v>
      </c>
      <c r="B332" s="1232" t="s">
        <v>1373</v>
      </c>
      <c r="C332" s="1319" t="s">
        <v>95</v>
      </c>
      <c r="D332" s="1319" t="s">
        <v>1511</v>
      </c>
      <c r="E332" s="1316" t="s">
        <v>254</v>
      </c>
    </row>
    <row r="333" spans="1:5" x14ac:dyDescent="0.25">
      <c r="A333" s="1232">
        <v>332</v>
      </c>
      <c r="B333" s="1232" t="s">
        <v>1373</v>
      </c>
      <c r="C333" s="1319" t="s">
        <v>95</v>
      </c>
      <c r="D333" s="1319" t="s">
        <v>1373</v>
      </c>
      <c r="E333" s="1319" t="s">
        <v>1339</v>
      </c>
    </row>
    <row r="334" spans="1:5" x14ac:dyDescent="0.25">
      <c r="A334" s="1232">
        <v>333</v>
      </c>
      <c r="B334" s="1232" t="s">
        <v>1373</v>
      </c>
      <c r="C334" s="1319" t="s">
        <v>95</v>
      </c>
      <c r="D334" s="1319" t="s">
        <v>1373</v>
      </c>
      <c r="E334" s="1319" t="s">
        <v>225</v>
      </c>
    </row>
    <row r="335" spans="1:5" x14ac:dyDescent="0.25">
      <c r="A335" s="1232">
        <v>334</v>
      </c>
      <c r="B335" s="1232" t="s">
        <v>208</v>
      </c>
      <c r="C335" s="1319" t="s">
        <v>95</v>
      </c>
      <c r="D335" s="1319" t="s">
        <v>1511</v>
      </c>
      <c r="E335" s="1318" t="s">
        <v>466</v>
      </c>
    </row>
    <row r="336" spans="1:5" x14ac:dyDescent="0.25">
      <c r="A336" s="1232">
        <v>335</v>
      </c>
      <c r="B336" s="1232" t="s">
        <v>1373</v>
      </c>
      <c r="C336" s="1319" t="s">
        <v>95</v>
      </c>
      <c r="D336" s="1319" t="s">
        <v>1373</v>
      </c>
      <c r="E336" s="1318" t="s">
        <v>1376</v>
      </c>
    </row>
    <row r="337" spans="1:5" x14ac:dyDescent="0.25">
      <c r="A337" s="1232">
        <v>336</v>
      </c>
      <c r="B337" s="1232" t="s">
        <v>1373</v>
      </c>
      <c r="C337" s="1319" t="s">
        <v>95</v>
      </c>
      <c r="D337" s="1319" t="s">
        <v>1511</v>
      </c>
      <c r="E337" s="1318" t="s">
        <v>1378</v>
      </c>
    </row>
    <row r="338" spans="1:5" x14ac:dyDescent="0.25">
      <c r="A338" s="1232">
        <v>337</v>
      </c>
      <c r="B338" s="1232" t="s">
        <v>1373</v>
      </c>
      <c r="C338" s="1319" t="s">
        <v>95</v>
      </c>
      <c r="D338" s="1319" t="s">
        <v>1511</v>
      </c>
      <c r="E338" s="1318" t="s">
        <v>1379</v>
      </c>
    </row>
    <row r="339" spans="1:5" x14ac:dyDescent="0.25">
      <c r="A339" s="1232">
        <v>338</v>
      </c>
      <c r="B339" s="1232" t="s">
        <v>1373</v>
      </c>
      <c r="C339" s="1319" t="s">
        <v>95</v>
      </c>
      <c r="D339" s="1319" t="s">
        <v>1546</v>
      </c>
      <c r="E339" s="1318" t="s">
        <v>1380</v>
      </c>
    </row>
    <row r="340" spans="1:5" x14ac:dyDescent="0.25">
      <c r="A340" s="1232">
        <v>339</v>
      </c>
      <c r="B340" s="1232" t="s">
        <v>1373</v>
      </c>
      <c r="C340" s="1319" t="s">
        <v>95</v>
      </c>
      <c r="D340" s="1319" t="s">
        <v>1511</v>
      </c>
      <c r="E340" s="1318" t="s">
        <v>1381</v>
      </c>
    </row>
    <row r="341" spans="1:5" x14ac:dyDescent="0.25">
      <c r="A341" s="1232">
        <v>340</v>
      </c>
      <c r="B341" s="1232" t="s">
        <v>1373</v>
      </c>
      <c r="C341" s="1319" t="s">
        <v>95</v>
      </c>
      <c r="D341" s="1319" t="s">
        <v>1546</v>
      </c>
      <c r="E341" s="1318" t="s">
        <v>1382</v>
      </c>
    </row>
    <row r="342" spans="1:5" x14ac:dyDescent="0.25">
      <c r="A342" s="1232">
        <v>341</v>
      </c>
      <c r="B342" s="1232" t="s">
        <v>1373</v>
      </c>
      <c r="C342" s="1319" t="s">
        <v>95</v>
      </c>
      <c r="D342" s="1319" t="s">
        <v>1546</v>
      </c>
      <c r="E342" s="1318" t="s">
        <v>1320</v>
      </c>
    </row>
    <row r="343" spans="1:5" x14ac:dyDescent="0.25">
      <c r="A343" s="1232">
        <v>342</v>
      </c>
      <c r="B343" s="1232" t="s">
        <v>1373</v>
      </c>
      <c r="C343" s="1319" t="s">
        <v>96</v>
      </c>
      <c r="D343" s="1319" t="s">
        <v>1545</v>
      </c>
      <c r="E343" s="1316" t="s">
        <v>1383</v>
      </c>
    </row>
    <row r="344" spans="1:5" x14ac:dyDescent="0.25">
      <c r="A344" s="1232">
        <v>343</v>
      </c>
      <c r="B344" s="1232" t="s">
        <v>1373</v>
      </c>
      <c r="C344" s="1319" t="s">
        <v>96</v>
      </c>
      <c r="D344" s="1319" t="s">
        <v>1511</v>
      </c>
      <c r="E344" s="1316" t="s">
        <v>254</v>
      </c>
    </row>
    <row r="345" spans="1:5" x14ac:dyDescent="0.25">
      <c r="A345" s="1232">
        <v>344</v>
      </c>
      <c r="B345" s="1232" t="s">
        <v>1373</v>
      </c>
      <c r="C345" s="1319" t="s">
        <v>96</v>
      </c>
      <c r="D345" s="1319" t="s">
        <v>1373</v>
      </c>
      <c r="E345" s="1319" t="s">
        <v>1339</v>
      </c>
    </row>
    <row r="346" spans="1:5" x14ac:dyDescent="0.25">
      <c r="A346" s="1232">
        <v>345</v>
      </c>
      <c r="B346" s="1232" t="s">
        <v>1373</v>
      </c>
      <c r="C346" s="1319" t="s">
        <v>96</v>
      </c>
      <c r="D346" s="1319" t="s">
        <v>1373</v>
      </c>
      <c r="E346" s="1319" t="s">
        <v>225</v>
      </c>
    </row>
    <row r="347" spans="1:5" x14ac:dyDescent="0.25">
      <c r="A347" s="1232">
        <v>346</v>
      </c>
      <c r="B347" s="1232" t="s">
        <v>208</v>
      </c>
      <c r="C347" s="1319" t="s">
        <v>96</v>
      </c>
      <c r="D347" s="1319" t="s">
        <v>1511</v>
      </c>
      <c r="E347" s="1318" t="s">
        <v>466</v>
      </c>
    </row>
    <row r="348" spans="1:5" x14ac:dyDescent="0.25">
      <c r="A348" s="1232">
        <v>347</v>
      </c>
      <c r="B348" s="1232" t="s">
        <v>1373</v>
      </c>
      <c r="C348" s="1319" t="s">
        <v>96</v>
      </c>
      <c r="D348" s="1319" t="s">
        <v>1373</v>
      </c>
      <c r="E348" s="1318" t="s">
        <v>1376</v>
      </c>
    </row>
    <row r="349" spans="1:5" x14ac:dyDescent="0.25">
      <c r="A349" s="1232">
        <v>348</v>
      </c>
      <c r="B349" s="1232" t="s">
        <v>1373</v>
      </c>
      <c r="C349" s="1319" t="s">
        <v>96</v>
      </c>
      <c r="D349" s="1319" t="s">
        <v>1511</v>
      </c>
      <c r="E349" s="1318" t="s">
        <v>1378</v>
      </c>
    </row>
    <row r="350" spans="1:5" x14ac:dyDescent="0.25">
      <c r="A350" s="1232">
        <v>349</v>
      </c>
      <c r="B350" s="1232" t="s">
        <v>1373</v>
      </c>
      <c r="C350" s="1319" t="s">
        <v>96</v>
      </c>
      <c r="D350" s="1319" t="s">
        <v>1511</v>
      </c>
      <c r="E350" s="1318" t="s">
        <v>1379</v>
      </c>
    </row>
    <row r="351" spans="1:5" x14ac:dyDescent="0.25">
      <c r="A351" s="1232">
        <v>350</v>
      </c>
      <c r="B351" s="1232" t="s">
        <v>1373</v>
      </c>
      <c r="C351" s="1319" t="s">
        <v>96</v>
      </c>
      <c r="D351" s="1319" t="s">
        <v>1546</v>
      </c>
      <c r="E351" s="1318" t="s">
        <v>1380</v>
      </c>
    </row>
    <row r="352" spans="1:5" x14ac:dyDescent="0.25">
      <c r="A352" s="1232">
        <v>351</v>
      </c>
      <c r="B352" s="1232" t="s">
        <v>1373</v>
      </c>
      <c r="C352" s="1319" t="s">
        <v>96</v>
      </c>
      <c r="D352" s="1319" t="s">
        <v>1511</v>
      </c>
      <c r="E352" s="1318" t="s">
        <v>1381</v>
      </c>
    </row>
    <row r="353" spans="1:5" x14ac:dyDescent="0.25">
      <c r="A353" s="1232">
        <v>352</v>
      </c>
      <c r="B353" s="1232" t="s">
        <v>1373</v>
      </c>
      <c r="C353" s="1319" t="s">
        <v>96</v>
      </c>
      <c r="D353" s="1319" t="s">
        <v>1546</v>
      </c>
      <c r="E353" s="1318" t="s">
        <v>1382</v>
      </c>
    </row>
    <row r="354" spans="1:5" x14ac:dyDescent="0.25">
      <c r="A354" s="1232">
        <v>353</v>
      </c>
      <c r="B354" s="1232" t="s">
        <v>1373</v>
      </c>
      <c r="C354" s="1319" t="s">
        <v>96</v>
      </c>
      <c r="D354" s="1319" t="s">
        <v>1546</v>
      </c>
      <c r="E354" s="1318" t="s">
        <v>1320</v>
      </c>
    </row>
    <row r="355" spans="1:5" x14ac:dyDescent="0.25">
      <c r="A355" s="1232">
        <v>354</v>
      </c>
      <c r="B355" s="1232" t="s">
        <v>1373</v>
      </c>
      <c r="C355" s="1319" t="s">
        <v>101</v>
      </c>
      <c r="D355" s="1319" t="s">
        <v>1545</v>
      </c>
      <c r="E355" s="1316" t="s">
        <v>1383</v>
      </c>
    </row>
    <row r="356" spans="1:5" x14ac:dyDescent="0.25">
      <c r="A356" s="1232">
        <v>355</v>
      </c>
      <c r="B356" s="1232" t="s">
        <v>1373</v>
      </c>
      <c r="C356" s="1319" t="s">
        <v>101</v>
      </c>
      <c r="D356" s="1319" t="s">
        <v>1511</v>
      </c>
      <c r="E356" s="1316" t="s">
        <v>254</v>
      </c>
    </row>
    <row r="357" spans="1:5" x14ac:dyDescent="0.25">
      <c r="A357" s="1232">
        <v>356</v>
      </c>
      <c r="B357" s="1232" t="s">
        <v>1373</v>
      </c>
      <c r="C357" s="1319" t="s">
        <v>101</v>
      </c>
      <c r="D357" s="1319" t="s">
        <v>1373</v>
      </c>
      <c r="E357" s="1319" t="s">
        <v>1339</v>
      </c>
    </row>
    <row r="358" spans="1:5" x14ac:dyDescent="0.25">
      <c r="A358" s="1232">
        <v>357</v>
      </c>
      <c r="B358" s="1232" t="s">
        <v>1373</v>
      </c>
      <c r="C358" s="1319" t="s">
        <v>101</v>
      </c>
      <c r="D358" s="1319" t="s">
        <v>1373</v>
      </c>
      <c r="E358" s="1319" t="s">
        <v>225</v>
      </c>
    </row>
    <row r="359" spans="1:5" x14ac:dyDescent="0.25">
      <c r="A359" s="1232">
        <v>358</v>
      </c>
      <c r="B359" s="1232" t="s">
        <v>208</v>
      </c>
      <c r="C359" s="1319" t="s">
        <v>101</v>
      </c>
      <c r="D359" s="1319" t="s">
        <v>1511</v>
      </c>
      <c r="E359" s="1318" t="s">
        <v>466</v>
      </c>
    </row>
    <row r="360" spans="1:5" x14ac:dyDescent="0.25">
      <c r="A360" s="1232">
        <v>359</v>
      </c>
      <c r="B360" s="1232" t="s">
        <v>1373</v>
      </c>
      <c r="C360" s="1319" t="s">
        <v>101</v>
      </c>
      <c r="D360" s="1319" t="s">
        <v>1373</v>
      </c>
      <c r="E360" s="1318" t="s">
        <v>1376</v>
      </c>
    </row>
    <row r="361" spans="1:5" x14ac:dyDescent="0.25">
      <c r="A361" s="1232">
        <v>360</v>
      </c>
      <c r="B361" s="1232" t="s">
        <v>1373</v>
      </c>
      <c r="C361" s="1319" t="s">
        <v>101</v>
      </c>
      <c r="D361" s="1319" t="s">
        <v>1511</v>
      </c>
      <c r="E361" s="1318" t="s">
        <v>1378</v>
      </c>
    </row>
    <row r="362" spans="1:5" x14ac:dyDescent="0.25">
      <c r="A362" s="1232">
        <v>361</v>
      </c>
      <c r="B362" s="1232" t="s">
        <v>1373</v>
      </c>
      <c r="C362" s="1319" t="s">
        <v>101</v>
      </c>
      <c r="D362" s="1319" t="s">
        <v>1511</v>
      </c>
      <c r="E362" s="1318" t="s">
        <v>1379</v>
      </c>
    </row>
    <row r="363" spans="1:5" x14ac:dyDescent="0.25">
      <c r="A363" s="1232">
        <v>362</v>
      </c>
      <c r="B363" s="1232" t="s">
        <v>1373</v>
      </c>
      <c r="C363" s="1319" t="s">
        <v>101</v>
      </c>
      <c r="D363" s="1319" t="s">
        <v>1546</v>
      </c>
      <c r="E363" s="1318" t="s">
        <v>1380</v>
      </c>
    </row>
    <row r="364" spans="1:5" x14ac:dyDescent="0.25">
      <c r="A364" s="1232">
        <v>363</v>
      </c>
      <c r="B364" s="1232" t="s">
        <v>1373</v>
      </c>
      <c r="C364" s="1319" t="s">
        <v>101</v>
      </c>
      <c r="D364" s="1319" t="s">
        <v>1511</v>
      </c>
      <c r="E364" s="1318" t="s">
        <v>1381</v>
      </c>
    </row>
    <row r="365" spans="1:5" x14ac:dyDescent="0.25">
      <c r="A365" s="1232">
        <v>364</v>
      </c>
      <c r="B365" s="1232" t="s">
        <v>1373</v>
      </c>
      <c r="C365" s="1319" t="s">
        <v>101</v>
      </c>
      <c r="D365" s="1319" t="s">
        <v>1546</v>
      </c>
      <c r="E365" s="1318" t="s">
        <v>1382</v>
      </c>
    </row>
    <row r="366" spans="1:5" x14ac:dyDescent="0.25">
      <c r="A366" s="1232">
        <v>365</v>
      </c>
      <c r="B366" s="1232" t="s">
        <v>1373</v>
      </c>
      <c r="C366" s="1319" t="s">
        <v>101</v>
      </c>
      <c r="D366" s="1319" t="s">
        <v>1546</v>
      </c>
      <c r="E366" s="1318" t="s">
        <v>1320</v>
      </c>
    </row>
    <row r="367" spans="1:5" x14ac:dyDescent="0.25">
      <c r="A367" s="1232">
        <v>366</v>
      </c>
      <c r="B367" s="1232" t="s">
        <v>1373</v>
      </c>
      <c r="C367" s="1319" t="s">
        <v>97</v>
      </c>
      <c r="D367" s="1319" t="s">
        <v>1545</v>
      </c>
      <c r="E367" s="1316" t="s">
        <v>1383</v>
      </c>
    </row>
    <row r="368" spans="1:5" x14ac:dyDescent="0.25">
      <c r="A368" s="1232">
        <v>367</v>
      </c>
      <c r="B368" s="1232" t="s">
        <v>1373</v>
      </c>
      <c r="C368" s="1319" t="s">
        <v>97</v>
      </c>
      <c r="D368" s="1319" t="s">
        <v>1511</v>
      </c>
      <c r="E368" s="1316" t="s">
        <v>254</v>
      </c>
    </row>
    <row r="369" spans="1:5" x14ac:dyDescent="0.25">
      <c r="A369" s="1232">
        <v>368</v>
      </c>
      <c r="B369" s="1232" t="s">
        <v>1373</v>
      </c>
      <c r="C369" s="1319" t="s">
        <v>97</v>
      </c>
      <c r="D369" s="1319" t="s">
        <v>1373</v>
      </c>
      <c r="E369" s="1319" t="s">
        <v>1339</v>
      </c>
    </row>
    <row r="370" spans="1:5" x14ac:dyDescent="0.25">
      <c r="A370" s="1232">
        <v>369</v>
      </c>
      <c r="B370" s="1232" t="s">
        <v>1373</v>
      </c>
      <c r="C370" s="1319" t="s">
        <v>97</v>
      </c>
      <c r="D370" s="1319" t="s">
        <v>1373</v>
      </c>
      <c r="E370" s="1319" t="s">
        <v>225</v>
      </c>
    </row>
    <row r="371" spans="1:5" x14ac:dyDescent="0.25">
      <c r="A371" s="1232">
        <v>370</v>
      </c>
      <c r="B371" s="1232" t="s">
        <v>208</v>
      </c>
      <c r="C371" s="1319" t="s">
        <v>97</v>
      </c>
      <c r="D371" s="1319" t="s">
        <v>1511</v>
      </c>
      <c r="E371" s="1318" t="s">
        <v>466</v>
      </c>
    </row>
    <row r="372" spans="1:5" x14ac:dyDescent="0.25">
      <c r="A372" s="1232">
        <v>371</v>
      </c>
      <c r="B372" s="1232" t="s">
        <v>1373</v>
      </c>
      <c r="C372" s="1319" t="s">
        <v>97</v>
      </c>
      <c r="D372" s="1319" t="s">
        <v>1373</v>
      </c>
      <c r="E372" s="1318" t="s">
        <v>1376</v>
      </c>
    </row>
    <row r="373" spans="1:5" x14ac:dyDescent="0.25">
      <c r="A373" s="1232">
        <v>372</v>
      </c>
      <c r="B373" s="1232" t="s">
        <v>1373</v>
      </c>
      <c r="C373" s="1319" t="s">
        <v>97</v>
      </c>
      <c r="D373" s="1319" t="s">
        <v>1511</v>
      </c>
      <c r="E373" s="1318" t="s">
        <v>1378</v>
      </c>
    </row>
    <row r="374" spans="1:5" x14ac:dyDescent="0.25">
      <c r="A374" s="1232">
        <v>373</v>
      </c>
      <c r="B374" s="1232" t="s">
        <v>1373</v>
      </c>
      <c r="C374" s="1319" t="s">
        <v>97</v>
      </c>
      <c r="D374" s="1319" t="s">
        <v>1511</v>
      </c>
      <c r="E374" s="1318" t="s">
        <v>1379</v>
      </c>
    </row>
    <row r="375" spans="1:5" x14ac:dyDescent="0.25">
      <c r="A375" s="1232">
        <v>374</v>
      </c>
      <c r="B375" s="1232" t="s">
        <v>1373</v>
      </c>
      <c r="C375" s="1319" t="s">
        <v>97</v>
      </c>
      <c r="D375" s="1319" t="s">
        <v>1546</v>
      </c>
      <c r="E375" s="1318" t="s">
        <v>1380</v>
      </c>
    </row>
    <row r="376" spans="1:5" x14ac:dyDescent="0.25">
      <c r="A376" s="1232">
        <v>375</v>
      </c>
      <c r="B376" s="1232" t="s">
        <v>1373</v>
      </c>
      <c r="C376" s="1319" t="s">
        <v>97</v>
      </c>
      <c r="D376" s="1319" t="s">
        <v>1511</v>
      </c>
      <c r="E376" s="1318" t="s">
        <v>1381</v>
      </c>
    </row>
    <row r="377" spans="1:5" x14ac:dyDescent="0.25">
      <c r="A377" s="1232">
        <v>376</v>
      </c>
      <c r="B377" s="1232" t="s">
        <v>1373</v>
      </c>
      <c r="C377" s="1319" t="s">
        <v>97</v>
      </c>
      <c r="D377" s="1319" t="s">
        <v>1546</v>
      </c>
      <c r="E377" s="1318" t="s">
        <v>1382</v>
      </c>
    </row>
    <row r="378" spans="1:5" x14ac:dyDescent="0.25">
      <c r="A378" s="1232">
        <v>377</v>
      </c>
      <c r="B378" s="1232" t="s">
        <v>1373</v>
      </c>
      <c r="C378" s="1319" t="s">
        <v>97</v>
      </c>
      <c r="D378" s="1319" t="s">
        <v>1546</v>
      </c>
      <c r="E378" s="1318" t="s">
        <v>1320</v>
      </c>
    </row>
    <row r="379" spans="1:5" x14ac:dyDescent="0.25">
      <c r="A379" s="1232">
        <v>378</v>
      </c>
      <c r="B379" s="1232" t="s">
        <v>1373</v>
      </c>
      <c r="C379" s="1319" t="s">
        <v>93</v>
      </c>
      <c r="D379" s="1319" t="s">
        <v>1545</v>
      </c>
      <c r="E379" s="1316" t="s">
        <v>1383</v>
      </c>
    </row>
    <row r="380" spans="1:5" x14ac:dyDescent="0.25">
      <c r="A380" s="1232">
        <v>379</v>
      </c>
      <c r="B380" s="1232" t="s">
        <v>1373</v>
      </c>
      <c r="C380" s="1319" t="s">
        <v>93</v>
      </c>
      <c r="D380" s="1319" t="s">
        <v>1511</v>
      </c>
      <c r="E380" s="1316" t="s">
        <v>254</v>
      </c>
    </row>
    <row r="381" spans="1:5" x14ac:dyDescent="0.25">
      <c r="A381" s="1232">
        <v>380</v>
      </c>
      <c r="B381" s="1232" t="s">
        <v>1373</v>
      </c>
      <c r="C381" s="1319" t="s">
        <v>93</v>
      </c>
      <c r="D381" s="1319" t="s">
        <v>1373</v>
      </c>
      <c r="E381" s="1319" t="s">
        <v>1339</v>
      </c>
    </row>
    <row r="382" spans="1:5" x14ac:dyDescent="0.25">
      <c r="A382" s="1232">
        <v>381</v>
      </c>
      <c r="B382" s="1232" t="s">
        <v>1373</v>
      </c>
      <c r="C382" s="1319" t="s">
        <v>93</v>
      </c>
      <c r="D382" s="1319" t="s">
        <v>1373</v>
      </c>
      <c r="E382" s="1319" t="s">
        <v>225</v>
      </c>
    </row>
    <row r="383" spans="1:5" x14ac:dyDescent="0.25">
      <c r="A383" s="1232">
        <v>382</v>
      </c>
      <c r="B383" s="1232" t="s">
        <v>208</v>
      </c>
      <c r="C383" s="1319" t="s">
        <v>93</v>
      </c>
      <c r="D383" s="1319" t="s">
        <v>1511</v>
      </c>
      <c r="E383" s="1318" t="s">
        <v>466</v>
      </c>
    </row>
    <row r="384" spans="1:5" x14ac:dyDescent="0.25">
      <c r="A384" s="1232">
        <v>383</v>
      </c>
      <c r="B384" s="1232" t="s">
        <v>1373</v>
      </c>
      <c r="C384" s="1319" t="s">
        <v>93</v>
      </c>
      <c r="D384" s="1319" t="s">
        <v>1373</v>
      </c>
      <c r="E384" s="1318" t="s">
        <v>1376</v>
      </c>
    </row>
    <row r="385" spans="1:5" x14ac:dyDescent="0.25">
      <c r="A385" s="1232">
        <v>384</v>
      </c>
      <c r="B385" s="1232" t="s">
        <v>1373</v>
      </c>
      <c r="C385" s="1319" t="s">
        <v>93</v>
      </c>
      <c r="D385" s="1319" t="s">
        <v>1511</v>
      </c>
      <c r="E385" s="1318" t="s">
        <v>1378</v>
      </c>
    </row>
    <row r="386" spans="1:5" x14ac:dyDescent="0.25">
      <c r="A386" s="1232">
        <v>385</v>
      </c>
      <c r="B386" s="1232" t="s">
        <v>1373</v>
      </c>
      <c r="C386" s="1319" t="s">
        <v>93</v>
      </c>
      <c r="D386" s="1319" t="s">
        <v>1511</v>
      </c>
      <c r="E386" s="1318" t="s">
        <v>1379</v>
      </c>
    </row>
    <row r="387" spans="1:5" x14ac:dyDescent="0.25">
      <c r="A387" s="1232">
        <v>386</v>
      </c>
      <c r="B387" s="1232" t="s">
        <v>1373</v>
      </c>
      <c r="C387" s="1319" t="s">
        <v>93</v>
      </c>
      <c r="D387" s="1319" t="s">
        <v>1546</v>
      </c>
      <c r="E387" s="1318" t="s">
        <v>1380</v>
      </c>
    </row>
    <row r="388" spans="1:5" x14ac:dyDescent="0.25">
      <c r="A388" s="1232">
        <v>387</v>
      </c>
      <c r="B388" s="1232" t="s">
        <v>1373</v>
      </c>
      <c r="C388" s="1319" t="s">
        <v>93</v>
      </c>
      <c r="D388" s="1319" t="s">
        <v>1511</v>
      </c>
      <c r="E388" s="1318" t="s">
        <v>1381</v>
      </c>
    </row>
    <row r="389" spans="1:5" x14ac:dyDescent="0.25">
      <c r="A389" s="1232">
        <v>388</v>
      </c>
      <c r="B389" s="1232" t="s">
        <v>1373</v>
      </c>
      <c r="C389" s="1319" t="s">
        <v>93</v>
      </c>
      <c r="D389" s="1319" t="s">
        <v>1546</v>
      </c>
      <c r="E389" s="1318" t="s">
        <v>1382</v>
      </c>
    </row>
    <row r="390" spans="1:5" x14ac:dyDescent="0.25">
      <c r="A390" s="1232">
        <v>389</v>
      </c>
      <c r="B390" s="1232" t="s">
        <v>1373</v>
      </c>
      <c r="C390" s="1319" t="s">
        <v>93</v>
      </c>
      <c r="D390" s="1319" t="s">
        <v>1546</v>
      </c>
      <c r="E390" s="1318" t="s">
        <v>1320</v>
      </c>
    </row>
    <row r="391" spans="1:5" x14ac:dyDescent="0.25">
      <c r="A391" s="1232">
        <v>390</v>
      </c>
      <c r="B391" s="1232" t="s">
        <v>1373</v>
      </c>
      <c r="C391" s="1319" t="s">
        <v>105</v>
      </c>
      <c r="D391" s="1319" t="s">
        <v>1545</v>
      </c>
      <c r="E391" s="1316" t="s">
        <v>1383</v>
      </c>
    </row>
    <row r="392" spans="1:5" x14ac:dyDescent="0.25">
      <c r="A392" s="1232">
        <v>391</v>
      </c>
      <c r="B392" s="1232" t="s">
        <v>1373</v>
      </c>
      <c r="C392" s="1319" t="s">
        <v>105</v>
      </c>
      <c r="D392" s="1319" t="s">
        <v>1511</v>
      </c>
      <c r="E392" s="1316" t="s">
        <v>254</v>
      </c>
    </row>
    <row r="393" spans="1:5" x14ac:dyDescent="0.25">
      <c r="A393" s="1232">
        <v>392</v>
      </c>
      <c r="B393" s="1232" t="s">
        <v>1373</v>
      </c>
      <c r="C393" s="1319" t="s">
        <v>105</v>
      </c>
      <c r="D393" s="1319" t="s">
        <v>1373</v>
      </c>
      <c r="E393" s="1319" t="s">
        <v>1339</v>
      </c>
    </row>
    <row r="394" spans="1:5" x14ac:dyDescent="0.25">
      <c r="A394" s="1232">
        <v>393</v>
      </c>
      <c r="B394" s="1232" t="s">
        <v>1373</v>
      </c>
      <c r="C394" s="1319" t="s">
        <v>105</v>
      </c>
      <c r="D394" s="1319" t="s">
        <v>1373</v>
      </c>
      <c r="E394" s="1319" t="s">
        <v>225</v>
      </c>
    </row>
    <row r="395" spans="1:5" x14ac:dyDescent="0.25">
      <c r="A395" s="1232">
        <v>394</v>
      </c>
      <c r="B395" s="1232" t="s">
        <v>208</v>
      </c>
      <c r="C395" s="1319" t="s">
        <v>105</v>
      </c>
      <c r="D395" s="1319" t="s">
        <v>1511</v>
      </c>
      <c r="E395" s="1318" t="s">
        <v>466</v>
      </c>
    </row>
    <row r="396" spans="1:5" x14ac:dyDescent="0.25">
      <c r="A396" s="1232">
        <v>395</v>
      </c>
      <c r="B396" s="1232" t="s">
        <v>1373</v>
      </c>
      <c r="C396" s="1319" t="s">
        <v>105</v>
      </c>
      <c r="D396" s="1319" t="s">
        <v>1373</v>
      </c>
      <c r="E396" s="1318" t="s">
        <v>1376</v>
      </c>
    </row>
    <row r="397" spans="1:5" x14ac:dyDescent="0.25">
      <c r="A397" s="1232">
        <v>396</v>
      </c>
      <c r="B397" s="1232" t="s">
        <v>1373</v>
      </c>
      <c r="C397" s="1319" t="s">
        <v>105</v>
      </c>
      <c r="D397" s="1319" t="s">
        <v>1511</v>
      </c>
      <c r="E397" s="1318" t="s">
        <v>1378</v>
      </c>
    </row>
    <row r="398" spans="1:5" x14ac:dyDescent="0.25">
      <c r="A398" s="1232">
        <v>397</v>
      </c>
      <c r="B398" s="1232" t="s">
        <v>1373</v>
      </c>
      <c r="C398" s="1319" t="s">
        <v>105</v>
      </c>
      <c r="D398" s="1319" t="s">
        <v>1511</v>
      </c>
      <c r="E398" s="1318" t="s">
        <v>1379</v>
      </c>
    </row>
    <row r="399" spans="1:5" x14ac:dyDescent="0.25">
      <c r="A399" s="1232">
        <v>398</v>
      </c>
      <c r="B399" s="1232" t="s">
        <v>1373</v>
      </c>
      <c r="C399" s="1319" t="s">
        <v>105</v>
      </c>
      <c r="D399" s="1319" t="s">
        <v>1546</v>
      </c>
      <c r="E399" s="1318" t="s">
        <v>1380</v>
      </c>
    </row>
    <row r="400" spans="1:5" x14ac:dyDescent="0.25">
      <c r="A400" s="1232">
        <v>399</v>
      </c>
      <c r="B400" s="1232" t="s">
        <v>1373</v>
      </c>
      <c r="C400" s="1319" t="s">
        <v>105</v>
      </c>
      <c r="D400" s="1319" t="s">
        <v>1511</v>
      </c>
      <c r="E400" s="1318" t="s">
        <v>1381</v>
      </c>
    </row>
    <row r="401" spans="1:5" x14ac:dyDescent="0.25">
      <c r="A401" s="1232">
        <v>400</v>
      </c>
      <c r="B401" s="1232" t="s">
        <v>1373</v>
      </c>
      <c r="C401" s="1319" t="s">
        <v>105</v>
      </c>
      <c r="D401" s="1319" t="s">
        <v>1546</v>
      </c>
      <c r="E401" s="1318" t="s">
        <v>1382</v>
      </c>
    </row>
    <row r="402" spans="1:5" x14ac:dyDescent="0.25">
      <c r="A402" s="1232">
        <v>401</v>
      </c>
      <c r="B402" s="1232" t="s">
        <v>1373</v>
      </c>
      <c r="C402" s="1319" t="s">
        <v>105</v>
      </c>
      <c r="D402" s="1319" t="s">
        <v>1546</v>
      </c>
      <c r="E402" s="1318" t="s">
        <v>1320</v>
      </c>
    </row>
    <row r="403" spans="1:5" x14ac:dyDescent="0.25">
      <c r="A403" s="1232">
        <v>402</v>
      </c>
      <c r="B403" s="1232" t="s">
        <v>1373</v>
      </c>
      <c r="C403" s="1319" t="s">
        <v>92</v>
      </c>
      <c r="D403" s="1319" t="s">
        <v>1545</v>
      </c>
      <c r="E403" s="1316" t="s">
        <v>1383</v>
      </c>
    </row>
    <row r="404" spans="1:5" x14ac:dyDescent="0.25">
      <c r="A404" s="1232">
        <v>403</v>
      </c>
      <c r="B404" s="1232" t="s">
        <v>1373</v>
      </c>
      <c r="C404" s="1319" t="s">
        <v>92</v>
      </c>
      <c r="D404" s="1319" t="s">
        <v>1511</v>
      </c>
      <c r="E404" s="1316" t="s">
        <v>254</v>
      </c>
    </row>
    <row r="405" spans="1:5" x14ac:dyDescent="0.25">
      <c r="A405" s="1232">
        <v>404</v>
      </c>
      <c r="B405" s="1232" t="s">
        <v>1373</v>
      </c>
      <c r="C405" s="1319" t="s">
        <v>92</v>
      </c>
      <c r="D405" s="1319" t="s">
        <v>1373</v>
      </c>
      <c r="E405" s="1319" t="s">
        <v>1339</v>
      </c>
    </row>
    <row r="406" spans="1:5" x14ac:dyDescent="0.25">
      <c r="A406" s="1232">
        <v>405</v>
      </c>
      <c r="B406" s="1232" t="s">
        <v>1373</v>
      </c>
      <c r="C406" s="1319" t="s">
        <v>92</v>
      </c>
      <c r="D406" s="1319" t="s">
        <v>1373</v>
      </c>
      <c r="E406" s="1319" t="s">
        <v>225</v>
      </c>
    </row>
    <row r="407" spans="1:5" x14ac:dyDescent="0.25">
      <c r="A407" s="1232">
        <v>406</v>
      </c>
      <c r="B407" s="1232" t="s">
        <v>208</v>
      </c>
      <c r="C407" s="1319" t="s">
        <v>92</v>
      </c>
      <c r="D407" s="1319" t="s">
        <v>1511</v>
      </c>
      <c r="E407" s="1318" t="s">
        <v>466</v>
      </c>
    </row>
    <row r="408" spans="1:5" x14ac:dyDescent="0.25">
      <c r="A408" s="1232">
        <v>407</v>
      </c>
      <c r="B408" s="1232" t="s">
        <v>1373</v>
      </c>
      <c r="C408" s="1319" t="s">
        <v>92</v>
      </c>
      <c r="D408" s="1319" t="s">
        <v>1373</v>
      </c>
      <c r="E408" s="1318" t="s">
        <v>1376</v>
      </c>
    </row>
    <row r="409" spans="1:5" x14ac:dyDescent="0.25">
      <c r="A409" s="1232">
        <v>408</v>
      </c>
      <c r="B409" s="1232" t="s">
        <v>1373</v>
      </c>
      <c r="C409" s="1319" t="s">
        <v>92</v>
      </c>
      <c r="D409" s="1319" t="s">
        <v>1511</v>
      </c>
      <c r="E409" s="1318" t="s">
        <v>1378</v>
      </c>
    </row>
    <row r="410" spans="1:5" x14ac:dyDescent="0.25">
      <c r="A410" s="1232">
        <v>409</v>
      </c>
      <c r="B410" s="1232" t="s">
        <v>1373</v>
      </c>
      <c r="C410" s="1319" t="s">
        <v>92</v>
      </c>
      <c r="D410" s="1319" t="s">
        <v>1511</v>
      </c>
      <c r="E410" s="1318" t="s">
        <v>1379</v>
      </c>
    </row>
    <row r="411" spans="1:5" x14ac:dyDescent="0.25">
      <c r="A411" s="1232">
        <v>410</v>
      </c>
      <c r="B411" s="1232" t="s">
        <v>1373</v>
      </c>
      <c r="C411" s="1319" t="s">
        <v>92</v>
      </c>
      <c r="D411" s="1319" t="s">
        <v>1546</v>
      </c>
      <c r="E411" s="1318" t="s">
        <v>1380</v>
      </c>
    </row>
    <row r="412" spans="1:5" x14ac:dyDescent="0.25">
      <c r="A412" s="1232">
        <v>411</v>
      </c>
      <c r="B412" s="1232" t="s">
        <v>1373</v>
      </c>
      <c r="C412" s="1319" t="s">
        <v>92</v>
      </c>
      <c r="D412" s="1319" t="s">
        <v>1511</v>
      </c>
      <c r="E412" s="1318" t="s">
        <v>1381</v>
      </c>
    </row>
    <row r="413" spans="1:5" x14ac:dyDescent="0.25">
      <c r="A413" s="1232">
        <v>412</v>
      </c>
      <c r="B413" s="1232" t="s">
        <v>1373</v>
      </c>
      <c r="C413" s="1319" t="s">
        <v>92</v>
      </c>
      <c r="D413" s="1319" t="s">
        <v>1546</v>
      </c>
      <c r="E413" s="1318" t="s">
        <v>1382</v>
      </c>
    </row>
    <row r="414" spans="1:5" x14ac:dyDescent="0.25">
      <c r="A414" s="1232">
        <v>413</v>
      </c>
      <c r="B414" s="1232" t="s">
        <v>1373</v>
      </c>
      <c r="C414" s="1319" t="s">
        <v>92</v>
      </c>
      <c r="D414" s="1319" t="s">
        <v>1546</v>
      </c>
      <c r="E414" s="1318" t="s">
        <v>1320</v>
      </c>
    </row>
    <row r="415" spans="1:5" x14ac:dyDescent="0.25">
      <c r="A415" s="1232">
        <v>414</v>
      </c>
      <c r="B415" s="1232" t="s">
        <v>1373</v>
      </c>
      <c r="C415" s="1319" t="s">
        <v>91</v>
      </c>
      <c r="D415" s="1319" t="s">
        <v>1545</v>
      </c>
      <c r="E415" s="1316" t="s">
        <v>1383</v>
      </c>
    </row>
    <row r="416" spans="1:5" x14ac:dyDescent="0.25">
      <c r="A416" s="1232">
        <v>415</v>
      </c>
      <c r="B416" s="1232" t="s">
        <v>1373</v>
      </c>
      <c r="C416" s="1319" t="s">
        <v>91</v>
      </c>
      <c r="D416" s="1319" t="s">
        <v>1511</v>
      </c>
      <c r="E416" s="1316" t="s">
        <v>254</v>
      </c>
    </row>
    <row r="417" spans="1:5" x14ac:dyDescent="0.25">
      <c r="A417" s="1232">
        <v>416</v>
      </c>
      <c r="B417" s="1232" t="s">
        <v>1373</v>
      </c>
      <c r="C417" s="1319" t="s">
        <v>91</v>
      </c>
      <c r="D417" s="1319" t="s">
        <v>1373</v>
      </c>
      <c r="E417" s="1319" t="s">
        <v>1339</v>
      </c>
    </row>
    <row r="418" spans="1:5" x14ac:dyDescent="0.25">
      <c r="A418" s="1232">
        <v>417</v>
      </c>
      <c r="B418" s="1232" t="s">
        <v>1373</v>
      </c>
      <c r="C418" s="1319" t="s">
        <v>91</v>
      </c>
      <c r="D418" s="1319" t="s">
        <v>1373</v>
      </c>
      <c r="E418" s="1319" t="s">
        <v>225</v>
      </c>
    </row>
    <row r="419" spans="1:5" x14ac:dyDescent="0.25">
      <c r="A419" s="1232">
        <v>418</v>
      </c>
      <c r="B419" s="1232" t="s">
        <v>208</v>
      </c>
      <c r="C419" s="1319" t="s">
        <v>91</v>
      </c>
      <c r="D419" s="1319" t="s">
        <v>1511</v>
      </c>
      <c r="E419" s="1318" t="s">
        <v>466</v>
      </c>
    </row>
    <row r="420" spans="1:5" x14ac:dyDescent="0.25">
      <c r="A420" s="1232">
        <v>419</v>
      </c>
      <c r="B420" s="1232" t="s">
        <v>1373</v>
      </c>
      <c r="C420" s="1319" t="s">
        <v>91</v>
      </c>
      <c r="D420" s="1319" t="s">
        <v>1373</v>
      </c>
      <c r="E420" s="1318" t="s">
        <v>1376</v>
      </c>
    </row>
    <row r="421" spans="1:5" x14ac:dyDescent="0.25">
      <c r="A421" s="1232">
        <v>420</v>
      </c>
      <c r="B421" s="1232" t="s">
        <v>1373</v>
      </c>
      <c r="C421" s="1319" t="s">
        <v>91</v>
      </c>
      <c r="D421" s="1319" t="s">
        <v>1511</v>
      </c>
      <c r="E421" s="1318" t="s">
        <v>1378</v>
      </c>
    </row>
    <row r="422" spans="1:5" x14ac:dyDescent="0.25">
      <c r="A422" s="1232">
        <v>421</v>
      </c>
      <c r="B422" s="1232" t="s">
        <v>1373</v>
      </c>
      <c r="C422" s="1319" t="s">
        <v>91</v>
      </c>
      <c r="D422" s="1319" t="s">
        <v>1511</v>
      </c>
      <c r="E422" s="1318" t="s">
        <v>1379</v>
      </c>
    </row>
    <row r="423" spans="1:5" x14ac:dyDescent="0.25">
      <c r="A423" s="1232">
        <v>422</v>
      </c>
      <c r="B423" s="1232" t="s">
        <v>1373</v>
      </c>
      <c r="C423" s="1319" t="s">
        <v>91</v>
      </c>
      <c r="D423" s="1319" t="s">
        <v>1546</v>
      </c>
      <c r="E423" s="1318" t="s">
        <v>1380</v>
      </c>
    </row>
    <row r="424" spans="1:5" x14ac:dyDescent="0.25">
      <c r="A424" s="1232">
        <v>423</v>
      </c>
      <c r="B424" s="1232" t="s">
        <v>1373</v>
      </c>
      <c r="C424" s="1319" t="s">
        <v>91</v>
      </c>
      <c r="D424" s="1319" t="s">
        <v>1511</v>
      </c>
      <c r="E424" s="1318" t="s">
        <v>1381</v>
      </c>
    </row>
    <row r="425" spans="1:5" x14ac:dyDescent="0.25">
      <c r="A425" s="1232">
        <v>424</v>
      </c>
      <c r="B425" s="1232" t="s">
        <v>1373</v>
      </c>
      <c r="C425" s="1319" t="s">
        <v>91</v>
      </c>
      <c r="D425" s="1319" t="s">
        <v>1546</v>
      </c>
      <c r="E425" s="1318" t="s">
        <v>1382</v>
      </c>
    </row>
    <row r="426" spans="1:5" x14ac:dyDescent="0.25">
      <c r="A426" s="1232">
        <v>425</v>
      </c>
      <c r="B426" s="1232" t="s">
        <v>1373</v>
      </c>
      <c r="C426" s="1319" t="s">
        <v>91</v>
      </c>
      <c r="D426" s="1319" t="s">
        <v>1546</v>
      </c>
      <c r="E426" s="1318" t="s">
        <v>1320</v>
      </c>
    </row>
    <row r="427" spans="1:5" x14ac:dyDescent="0.25">
      <c r="A427" s="1232">
        <v>426</v>
      </c>
      <c r="B427" s="1232" t="s">
        <v>1373</v>
      </c>
      <c r="C427" s="1319" t="s">
        <v>90</v>
      </c>
      <c r="D427" s="1319" t="s">
        <v>1545</v>
      </c>
      <c r="E427" s="1316" t="s">
        <v>1383</v>
      </c>
    </row>
    <row r="428" spans="1:5" x14ac:dyDescent="0.25">
      <c r="A428" s="1232">
        <v>427</v>
      </c>
      <c r="B428" s="1232" t="s">
        <v>1373</v>
      </c>
      <c r="C428" s="1319" t="s">
        <v>90</v>
      </c>
      <c r="D428" s="1319" t="s">
        <v>1511</v>
      </c>
      <c r="E428" s="1316" t="s">
        <v>254</v>
      </c>
    </row>
    <row r="429" spans="1:5" x14ac:dyDescent="0.25">
      <c r="A429" s="1232">
        <v>428</v>
      </c>
      <c r="B429" s="1232" t="s">
        <v>1373</v>
      </c>
      <c r="C429" s="1319" t="s">
        <v>90</v>
      </c>
      <c r="D429" s="1319" t="s">
        <v>1373</v>
      </c>
      <c r="E429" s="1319" t="s">
        <v>1339</v>
      </c>
    </row>
    <row r="430" spans="1:5" x14ac:dyDescent="0.25">
      <c r="A430" s="1232">
        <v>429</v>
      </c>
      <c r="B430" s="1232" t="s">
        <v>1373</v>
      </c>
      <c r="C430" s="1319" t="s">
        <v>90</v>
      </c>
      <c r="D430" s="1319" t="s">
        <v>1373</v>
      </c>
      <c r="E430" s="1319" t="s">
        <v>225</v>
      </c>
    </row>
    <row r="431" spans="1:5" x14ac:dyDescent="0.25">
      <c r="A431" s="1232">
        <v>430</v>
      </c>
      <c r="B431" s="1232" t="s">
        <v>208</v>
      </c>
      <c r="C431" s="1319" t="s">
        <v>90</v>
      </c>
      <c r="D431" s="1319" t="s">
        <v>1511</v>
      </c>
      <c r="E431" s="1318" t="s">
        <v>466</v>
      </c>
    </row>
    <row r="432" spans="1:5" x14ac:dyDescent="0.25">
      <c r="A432" s="1232">
        <v>431</v>
      </c>
      <c r="B432" s="1232" t="s">
        <v>1373</v>
      </c>
      <c r="C432" s="1319" t="s">
        <v>90</v>
      </c>
      <c r="D432" s="1319" t="s">
        <v>1373</v>
      </c>
      <c r="E432" s="1318" t="s">
        <v>1376</v>
      </c>
    </row>
    <row r="433" spans="1:5" x14ac:dyDescent="0.25">
      <c r="A433" s="1232">
        <v>432</v>
      </c>
      <c r="B433" s="1232" t="s">
        <v>1373</v>
      </c>
      <c r="C433" s="1319" t="s">
        <v>90</v>
      </c>
      <c r="D433" s="1319" t="s">
        <v>1511</v>
      </c>
      <c r="E433" s="1318" t="s">
        <v>1378</v>
      </c>
    </row>
    <row r="434" spans="1:5" x14ac:dyDescent="0.25">
      <c r="A434" s="1232">
        <v>433</v>
      </c>
      <c r="B434" s="1232" t="s">
        <v>1373</v>
      </c>
      <c r="C434" s="1319" t="s">
        <v>90</v>
      </c>
      <c r="D434" s="1319" t="s">
        <v>1511</v>
      </c>
      <c r="E434" s="1318" t="s">
        <v>1379</v>
      </c>
    </row>
    <row r="435" spans="1:5" x14ac:dyDescent="0.25">
      <c r="A435" s="1232">
        <v>434</v>
      </c>
      <c r="B435" s="1232" t="s">
        <v>1373</v>
      </c>
      <c r="C435" s="1319" t="s">
        <v>90</v>
      </c>
      <c r="D435" s="1319" t="s">
        <v>1546</v>
      </c>
      <c r="E435" s="1318" t="s">
        <v>1380</v>
      </c>
    </row>
    <row r="436" spans="1:5" x14ac:dyDescent="0.25">
      <c r="A436" s="1232">
        <v>435</v>
      </c>
      <c r="B436" s="1232" t="s">
        <v>1373</v>
      </c>
      <c r="C436" s="1319" t="s">
        <v>90</v>
      </c>
      <c r="D436" s="1319" t="s">
        <v>1511</v>
      </c>
      <c r="E436" s="1318" t="s">
        <v>1381</v>
      </c>
    </row>
    <row r="437" spans="1:5" x14ac:dyDescent="0.25">
      <c r="A437" s="1232">
        <v>436</v>
      </c>
      <c r="B437" s="1232" t="s">
        <v>1373</v>
      </c>
      <c r="C437" s="1319" t="s">
        <v>90</v>
      </c>
      <c r="D437" s="1319" t="s">
        <v>1546</v>
      </c>
      <c r="E437" s="1318" t="s">
        <v>1382</v>
      </c>
    </row>
    <row r="438" spans="1:5" x14ac:dyDescent="0.25">
      <c r="A438" s="1232">
        <v>437</v>
      </c>
      <c r="B438" s="1232" t="s">
        <v>1373</v>
      </c>
      <c r="C438" s="1319" t="s">
        <v>90</v>
      </c>
      <c r="D438" s="1319" t="s">
        <v>1546</v>
      </c>
      <c r="E438" s="1318" t="s">
        <v>1320</v>
      </c>
    </row>
    <row r="439" spans="1:5" x14ac:dyDescent="0.25">
      <c r="A439" s="1232">
        <v>438</v>
      </c>
      <c r="B439" s="1232" t="s">
        <v>1373</v>
      </c>
      <c r="C439" s="1319" t="s">
        <v>89</v>
      </c>
      <c r="D439" s="1319" t="s">
        <v>1545</v>
      </c>
      <c r="E439" s="1316" t="s">
        <v>1383</v>
      </c>
    </row>
    <row r="440" spans="1:5" x14ac:dyDescent="0.25">
      <c r="A440" s="1232">
        <v>439</v>
      </c>
      <c r="B440" s="1232" t="s">
        <v>1373</v>
      </c>
      <c r="C440" s="1319" t="s">
        <v>89</v>
      </c>
      <c r="D440" s="1319" t="s">
        <v>1511</v>
      </c>
      <c r="E440" s="1316" t="s">
        <v>254</v>
      </c>
    </row>
    <row r="441" spans="1:5" x14ac:dyDescent="0.25">
      <c r="A441" s="1232">
        <v>440</v>
      </c>
      <c r="B441" s="1232" t="s">
        <v>1373</v>
      </c>
      <c r="C441" s="1319" t="s">
        <v>89</v>
      </c>
      <c r="D441" s="1319" t="s">
        <v>1373</v>
      </c>
      <c r="E441" s="1319" t="s">
        <v>1339</v>
      </c>
    </row>
    <row r="442" spans="1:5" x14ac:dyDescent="0.25">
      <c r="A442" s="1232">
        <v>441</v>
      </c>
      <c r="B442" s="1232" t="s">
        <v>1373</v>
      </c>
      <c r="C442" s="1319" t="s">
        <v>89</v>
      </c>
      <c r="D442" s="1319" t="s">
        <v>1373</v>
      </c>
      <c r="E442" s="1319" t="s">
        <v>225</v>
      </c>
    </row>
    <row r="443" spans="1:5" x14ac:dyDescent="0.25">
      <c r="A443" s="1232">
        <v>442</v>
      </c>
      <c r="B443" s="1232" t="s">
        <v>208</v>
      </c>
      <c r="C443" s="1319" t="s">
        <v>89</v>
      </c>
      <c r="D443" s="1319" t="s">
        <v>1511</v>
      </c>
      <c r="E443" s="1318" t="s">
        <v>466</v>
      </c>
    </row>
    <row r="444" spans="1:5" x14ac:dyDescent="0.25">
      <c r="A444" s="1232">
        <v>443</v>
      </c>
      <c r="B444" s="1232" t="s">
        <v>1373</v>
      </c>
      <c r="C444" s="1319" t="s">
        <v>89</v>
      </c>
      <c r="D444" s="1319" t="s">
        <v>1373</v>
      </c>
      <c r="E444" s="1318" t="s">
        <v>1376</v>
      </c>
    </row>
    <row r="445" spans="1:5" x14ac:dyDescent="0.25">
      <c r="A445" s="1232">
        <v>444</v>
      </c>
      <c r="B445" s="1232" t="s">
        <v>1373</v>
      </c>
      <c r="C445" s="1319" t="s">
        <v>89</v>
      </c>
      <c r="D445" s="1319" t="s">
        <v>1511</v>
      </c>
      <c r="E445" s="1318" t="s">
        <v>1378</v>
      </c>
    </row>
    <row r="446" spans="1:5" x14ac:dyDescent="0.25">
      <c r="A446" s="1232">
        <v>445</v>
      </c>
      <c r="B446" s="1232" t="s">
        <v>1373</v>
      </c>
      <c r="C446" s="1319" t="s">
        <v>89</v>
      </c>
      <c r="D446" s="1319" t="s">
        <v>1511</v>
      </c>
      <c r="E446" s="1318" t="s">
        <v>1379</v>
      </c>
    </row>
    <row r="447" spans="1:5" x14ac:dyDescent="0.25">
      <c r="A447" s="1232">
        <v>446</v>
      </c>
      <c r="B447" s="1232" t="s">
        <v>1373</v>
      </c>
      <c r="C447" s="1319" t="s">
        <v>89</v>
      </c>
      <c r="D447" s="1319" t="s">
        <v>1546</v>
      </c>
      <c r="E447" s="1318" t="s">
        <v>1380</v>
      </c>
    </row>
    <row r="448" spans="1:5" x14ac:dyDescent="0.25">
      <c r="A448" s="1232">
        <v>447</v>
      </c>
      <c r="B448" s="1232" t="s">
        <v>1373</v>
      </c>
      <c r="C448" s="1319" t="s">
        <v>89</v>
      </c>
      <c r="D448" s="1319" t="s">
        <v>1511</v>
      </c>
      <c r="E448" s="1318" t="s">
        <v>1381</v>
      </c>
    </row>
    <row r="449" spans="1:5" x14ac:dyDescent="0.25">
      <c r="A449" s="1232">
        <v>448</v>
      </c>
      <c r="B449" s="1232" t="s">
        <v>1373</v>
      </c>
      <c r="C449" s="1319" t="s">
        <v>89</v>
      </c>
      <c r="D449" s="1319" t="s">
        <v>1546</v>
      </c>
      <c r="E449" s="1318" t="s">
        <v>1382</v>
      </c>
    </row>
    <row r="450" spans="1:5" x14ac:dyDescent="0.25">
      <c r="A450" s="1232">
        <v>449</v>
      </c>
      <c r="B450" s="1232" t="s">
        <v>1373</v>
      </c>
      <c r="C450" s="1319" t="s">
        <v>89</v>
      </c>
      <c r="D450" s="1319" t="s">
        <v>1546</v>
      </c>
      <c r="E450" s="1318" t="s">
        <v>1320</v>
      </c>
    </row>
    <row r="451" spans="1:5" x14ac:dyDescent="0.25">
      <c r="A451" s="1232">
        <v>450</v>
      </c>
      <c r="B451" s="1232" t="s">
        <v>1373</v>
      </c>
      <c r="C451" s="1319" t="s">
        <v>94</v>
      </c>
      <c r="D451" s="1319" t="s">
        <v>1545</v>
      </c>
      <c r="E451" s="1316" t="s">
        <v>1383</v>
      </c>
    </row>
    <row r="452" spans="1:5" x14ac:dyDescent="0.25">
      <c r="A452" s="1232">
        <v>451</v>
      </c>
      <c r="B452" s="1232" t="s">
        <v>1373</v>
      </c>
      <c r="C452" s="1319" t="s">
        <v>94</v>
      </c>
      <c r="D452" s="1319" t="s">
        <v>1511</v>
      </c>
      <c r="E452" s="1316" t="s">
        <v>254</v>
      </c>
    </row>
    <row r="453" spans="1:5" x14ac:dyDescent="0.25">
      <c r="A453" s="1232">
        <v>452</v>
      </c>
      <c r="B453" s="1232" t="s">
        <v>1373</v>
      </c>
      <c r="C453" s="1319" t="s">
        <v>94</v>
      </c>
      <c r="D453" s="1319" t="s">
        <v>1373</v>
      </c>
      <c r="E453" s="1319" t="s">
        <v>1339</v>
      </c>
    </row>
    <row r="454" spans="1:5" x14ac:dyDescent="0.25">
      <c r="A454" s="1232">
        <v>453</v>
      </c>
      <c r="B454" s="1232" t="s">
        <v>1373</v>
      </c>
      <c r="C454" s="1319" t="s">
        <v>94</v>
      </c>
      <c r="D454" s="1319" t="s">
        <v>1373</v>
      </c>
      <c r="E454" s="1319" t="s">
        <v>225</v>
      </c>
    </row>
    <row r="455" spans="1:5" x14ac:dyDescent="0.25">
      <c r="A455" s="1232">
        <v>454</v>
      </c>
      <c r="B455" s="1232" t="s">
        <v>208</v>
      </c>
      <c r="C455" s="1319" t="s">
        <v>94</v>
      </c>
      <c r="D455" s="1319" t="s">
        <v>1511</v>
      </c>
      <c r="E455" s="1318" t="s">
        <v>466</v>
      </c>
    </row>
    <row r="456" spans="1:5" x14ac:dyDescent="0.25">
      <c r="A456" s="1232">
        <v>455</v>
      </c>
      <c r="B456" s="1232" t="s">
        <v>1373</v>
      </c>
      <c r="C456" s="1319" t="s">
        <v>94</v>
      </c>
      <c r="D456" s="1319" t="s">
        <v>1373</v>
      </c>
      <c r="E456" s="1318" t="s">
        <v>1376</v>
      </c>
    </row>
    <row r="457" spans="1:5" x14ac:dyDescent="0.25">
      <c r="A457" s="1232">
        <v>456</v>
      </c>
      <c r="B457" s="1232" t="s">
        <v>1373</v>
      </c>
      <c r="C457" s="1319" t="s">
        <v>94</v>
      </c>
      <c r="D457" s="1319" t="s">
        <v>1511</v>
      </c>
      <c r="E457" s="1318" t="s">
        <v>1378</v>
      </c>
    </row>
    <row r="458" spans="1:5" x14ac:dyDescent="0.25">
      <c r="A458" s="1232">
        <v>457</v>
      </c>
      <c r="B458" s="1232" t="s">
        <v>1373</v>
      </c>
      <c r="C458" s="1319" t="s">
        <v>94</v>
      </c>
      <c r="D458" s="1319" t="s">
        <v>1511</v>
      </c>
      <c r="E458" s="1318" t="s">
        <v>1379</v>
      </c>
    </row>
    <row r="459" spans="1:5" x14ac:dyDescent="0.25">
      <c r="A459" s="1232">
        <v>458</v>
      </c>
      <c r="B459" s="1232" t="s">
        <v>1373</v>
      </c>
      <c r="C459" s="1319" t="s">
        <v>94</v>
      </c>
      <c r="D459" s="1319" t="s">
        <v>1546</v>
      </c>
      <c r="E459" s="1318" t="s">
        <v>1380</v>
      </c>
    </row>
    <row r="460" spans="1:5" x14ac:dyDescent="0.25">
      <c r="A460" s="1232">
        <v>459</v>
      </c>
      <c r="B460" s="1232" t="s">
        <v>1373</v>
      </c>
      <c r="C460" s="1319" t="s">
        <v>94</v>
      </c>
      <c r="D460" s="1319" t="s">
        <v>1511</v>
      </c>
      <c r="E460" s="1318" t="s">
        <v>1381</v>
      </c>
    </row>
    <row r="461" spans="1:5" x14ac:dyDescent="0.25">
      <c r="A461" s="1232">
        <v>460</v>
      </c>
      <c r="B461" s="1232" t="s">
        <v>1373</v>
      </c>
      <c r="C461" s="1319" t="s">
        <v>94</v>
      </c>
      <c r="D461" s="1319" t="s">
        <v>1546</v>
      </c>
      <c r="E461" s="1318" t="s">
        <v>1382</v>
      </c>
    </row>
    <row r="462" spans="1:5" x14ac:dyDescent="0.25">
      <c r="A462" s="1232">
        <v>461</v>
      </c>
      <c r="B462" s="1232" t="s">
        <v>1373</v>
      </c>
      <c r="C462" s="1319" t="s">
        <v>94</v>
      </c>
      <c r="D462" s="1319" t="s">
        <v>1546</v>
      </c>
      <c r="E462" s="1318" t="s">
        <v>1320</v>
      </c>
    </row>
    <row r="463" spans="1:5" x14ac:dyDescent="0.25">
      <c r="A463" s="1232">
        <v>462</v>
      </c>
      <c r="B463" s="1232" t="s">
        <v>1373</v>
      </c>
      <c r="C463" s="1319" t="s">
        <v>86</v>
      </c>
      <c r="D463" s="1319" t="s">
        <v>1545</v>
      </c>
      <c r="E463" s="1316" t="s">
        <v>1383</v>
      </c>
    </row>
    <row r="464" spans="1:5" x14ac:dyDescent="0.25">
      <c r="A464" s="1232">
        <v>463</v>
      </c>
      <c r="B464" s="1232" t="s">
        <v>1373</v>
      </c>
      <c r="C464" s="1319" t="s">
        <v>86</v>
      </c>
      <c r="D464" s="1319" t="s">
        <v>1511</v>
      </c>
      <c r="E464" s="1316" t="s">
        <v>254</v>
      </c>
    </row>
    <row r="465" spans="1:5" x14ac:dyDescent="0.25">
      <c r="A465" s="1232">
        <v>464</v>
      </c>
      <c r="B465" s="1232" t="s">
        <v>1373</v>
      </c>
      <c r="C465" s="1319" t="s">
        <v>86</v>
      </c>
      <c r="D465" s="1319" t="s">
        <v>1373</v>
      </c>
      <c r="E465" s="1319" t="s">
        <v>1339</v>
      </c>
    </row>
    <row r="466" spans="1:5" x14ac:dyDescent="0.25">
      <c r="A466" s="1232">
        <v>465</v>
      </c>
      <c r="B466" s="1232" t="s">
        <v>1373</v>
      </c>
      <c r="C466" s="1319" t="s">
        <v>86</v>
      </c>
      <c r="D466" s="1319" t="s">
        <v>1373</v>
      </c>
      <c r="E466" s="1319" t="s">
        <v>225</v>
      </c>
    </row>
    <row r="467" spans="1:5" x14ac:dyDescent="0.25">
      <c r="A467" s="1232">
        <v>466</v>
      </c>
      <c r="B467" s="1232" t="s">
        <v>208</v>
      </c>
      <c r="C467" s="1319" t="s">
        <v>86</v>
      </c>
      <c r="D467" s="1319" t="s">
        <v>1511</v>
      </c>
      <c r="E467" s="1318" t="s">
        <v>466</v>
      </c>
    </row>
    <row r="468" spans="1:5" x14ac:dyDescent="0.25">
      <c r="A468" s="1232">
        <v>467</v>
      </c>
      <c r="B468" s="1232" t="s">
        <v>1373</v>
      </c>
      <c r="C468" s="1319" t="s">
        <v>86</v>
      </c>
      <c r="D468" s="1319" t="s">
        <v>1373</v>
      </c>
      <c r="E468" s="1318" t="s">
        <v>1376</v>
      </c>
    </row>
    <row r="469" spans="1:5" x14ac:dyDescent="0.25">
      <c r="A469" s="1232">
        <v>468</v>
      </c>
      <c r="B469" s="1232" t="s">
        <v>1373</v>
      </c>
      <c r="C469" s="1319" t="s">
        <v>86</v>
      </c>
      <c r="D469" s="1319" t="s">
        <v>1511</v>
      </c>
      <c r="E469" s="1318" t="s">
        <v>1378</v>
      </c>
    </row>
    <row r="470" spans="1:5" x14ac:dyDescent="0.25">
      <c r="A470" s="1232">
        <v>469</v>
      </c>
      <c r="B470" s="1232" t="s">
        <v>1373</v>
      </c>
      <c r="C470" s="1319" t="s">
        <v>86</v>
      </c>
      <c r="D470" s="1319" t="s">
        <v>1511</v>
      </c>
      <c r="E470" s="1318" t="s">
        <v>1379</v>
      </c>
    </row>
    <row r="471" spans="1:5" x14ac:dyDescent="0.25">
      <c r="A471" s="1232">
        <v>470</v>
      </c>
      <c r="B471" s="1232" t="s">
        <v>1373</v>
      </c>
      <c r="C471" s="1319" t="s">
        <v>86</v>
      </c>
      <c r="D471" s="1319" t="s">
        <v>1546</v>
      </c>
      <c r="E471" s="1318" t="s">
        <v>1380</v>
      </c>
    </row>
    <row r="472" spans="1:5" x14ac:dyDescent="0.25">
      <c r="A472" s="1232">
        <v>471</v>
      </c>
      <c r="B472" s="1232" t="s">
        <v>1373</v>
      </c>
      <c r="C472" s="1319" t="s">
        <v>86</v>
      </c>
      <c r="D472" s="1319" t="s">
        <v>1511</v>
      </c>
      <c r="E472" s="1318" t="s">
        <v>1381</v>
      </c>
    </row>
    <row r="473" spans="1:5" x14ac:dyDescent="0.25">
      <c r="A473" s="1232">
        <v>472</v>
      </c>
      <c r="B473" s="1232" t="s">
        <v>1373</v>
      </c>
      <c r="C473" s="1319" t="s">
        <v>86</v>
      </c>
      <c r="D473" s="1319" t="s">
        <v>1546</v>
      </c>
      <c r="E473" s="1318" t="s">
        <v>1382</v>
      </c>
    </row>
    <row r="474" spans="1:5" x14ac:dyDescent="0.25">
      <c r="A474" s="1232">
        <v>473</v>
      </c>
      <c r="B474" s="1232" t="s">
        <v>1373</v>
      </c>
      <c r="C474" s="1319" t="s">
        <v>86</v>
      </c>
      <c r="D474" s="1319" t="s">
        <v>1546</v>
      </c>
      <c r="E474" s="1318" t="s">
        <v>1320</v>
      </c>
    </row>
    <row r="475" spans="1:5" x14ac:dyDescent="0.25">
      <c r="A475" s="1232">
        <v>474</v>
      </c>
      <c r="B475" s="1232" t="s">
        <v>1373</v>
      </c>
      <c r="C475" s="1319" t="s">
        <v>88</v>
      </c>
      <c r="D475" s="1319" t="s">
        <v>1545</v>
      </c>
      <c r="E475" s="1316" t="s">
        <v>1383</v>
      </c>
    </row>
    <row r="476" spans="1:5" x14ac:dyDescent="0.25">
      <c r="A476" s="1232">
        <v>475</v>
      </c>
      <c r="B476" s="1232" t="s">
        <v>1373</v>
      </c>
      <c r="C476" s="1319" t="s">
        <v>88</v>
      </c>
      <c r="D476" s="1319" t="s">
        <v>1511</v>
      </c>
      <c r="E476" s="1316" t="s">
        <v>254</v>
      </c>
    </row>
    <row r="477" spans="1:5" x14ac:dyDescent="0.25">
      <c r="A477" s="1232">
        <v>476</v>
      </c>
      <c r="B477" s="1232" t="s">
        <v>1373</v>
      </c>
      <c r="C477" s="1319" t="s">
        <v>88</v>
      </c>
      <c r="D477" s="1319" t="s">
        <v>1373</v>
      </c>
      <c r="E477" s="1319" t="s">
        <v>1339</v>
      </c>
    </row>
    <row r="478" spans="1:5" x14ac:dyDescent="0.25">
      <c r="A478" s="1232">
        <v>477</v>
      </c>
      <c r="B478" s="1232" t="s">
        <v>1373</v>
      </c>
      <c r="C478" s="1319" t="s">
        <v>88</v>
      </c>
      <c r="D478" s="1319" t="s">
        <v>1373</v>
      </c>
      <c r="E478" s="1319" t="s">
        <v>225</v>
      </c>
    </row>
    <row r="479" spans="1:5" x14ac:dyDescent="0.25">
      <c r="A479" s="1232">
        <v>478</v>
      </c>
      <c r="B479" s="1232" t="s">
        <v>208</v>
      </c>
      <c r="C479" s="1319" t="s">
        <v>88</v>
      </c>
      <c r="D479" s="1319" t="s">
        <v>1511</v>
      </c>
      <c r="E479" s="1318" t="s">
        <v>466</v>
      </c>
    </row>
    <row r="480" spans="1:5" x14ac:dyDescent="0.25">
      <c r="A480" s="1232">
        <v>479</v>
      </c>
      <c r="B480" s="1232" t="s">
        <v>1373</v>
      </c>
      <c r="C480" s="1319" t="s">
        <v>88</v>
      </c>
      <c r="D480" s="1319" t="s">
        <v>1373</v>
      </c>
      <c r="E480" s="1318" t="s">
        <v>1376</v>
      </c>
    </row>
    <row r="481" spans="1:5" x14ac:dyDescent="0.25">
      <c r="A481" s="1232">
        <v>480</v>
      </c>
      <c r="B481" s="1232" t="s">
        <v>1373</v>
      </c>
      <c r="C481" s="1319" t="s">
        <v>88</v>
      </c>
      <c r="D481" s="1319" t="s">
        <v>1511</v>
      </c>
      <c r="E481" s="1318" t="s">
        <v>1378</v>
      </c>
    </row>
    <row r="482" spans="1:5" x14ac:dyDescent="0.25">
      <c r="A482" s="1232">
        <v>481</v>
      </c>
      <c r="B482" s="1232" t="s">
        <v>1373</v>
      </c>
      <c r="C482" s="1319" t="s">
        <v>88</v>
      </c>
      <c r="D482" s="1319" t="s">
        <v>1511</v>
      </c>
      <c r="E482" s="1318" t="s">
        <v>1379</v>
      </c>
    </row>
    <row r="483" spans="1:5" x14ac:dyDescent="0.25">
      <c r="A483" s="1232">
        <v>482</v>
      </c>
      <c r="B483" s="1232" t="s">
        <v>1373</v>
      </c>
      <c r="C483" s="1319" t="s">
        <v>88</v>
      </c>
      <c r="D483" s="1319" t="s">
        <v>1546</v>
      </c>
      <c r="E483" s="1318" t="s">
        <v>1380</v>
      </c>
    </row>
    <row r="484" spans="1:5" x14ac:dyDescent="0.25">
      <c r="A484" s="1232">
        <v>483</v>
      </c>
      <c r="B484" s="1232" t="s">
        <v>1373</v>
      </c>
      <c r="C484" s="1319" t="s">
        <v>88</v>
      </c>
      <c r="D484" s="1319" t="s">
        <v>1511</v>
      </c>
      <c r="E484" s="1318" t="s">
        <v>1381</v>
      </c>
    </row>
    <row r="485" spans="1:5" x14ac:dyDescent="0.25">
      <c r="A485" s="1232">
        <v>484</v>
      </c>
      <c r="B485" s="1232" t="s">
        <v>1373</v>
      </c>
      <c r="C485" s="1319" t="s">
        <v>88</v>
      </c>
      <c r="D485" s="1319" t="s">
        <v>1546</v>
      </c>
      <c r="E485" s="1318" t="s">
        <v>1382</v>
      </c>
    </row>
    <row r="486" spans="1:5" x14ac:dyDescent="0.25">
      <c r="A486" s="1232">
        <v>485</v>
      </c>
      <c r="B486" s="1232" t="s">
        <v>1373</v>
      </c>
      <c r="C486" s="1319" t="s">
        <v>88</v>
      </c>
      <c r="D486" s="1319" t="s">
        <v>1546</v>
      </c>
      <c r="E486" s="1318" t="s">
        <v>1320</v>
      </c>
    </row>
    <row r="487" spans="1:5" x14ac:dyDescent="0.25">
      <c r="A487" s="1232">
        <v>486</v>
      </c>
      <c r="B487" s="1232" t="s">
        <v>1373</v>
      </c>
      <c r="C487" s="1319" t="s">
        <v>87</v>
      </c>
      <c r="D487" s="1319" t="s">
        <v>1545</v>
      </c>
      <c r="E487" s="1316" t="s">
        <v>1383</v>
      </c>
    </row>
    <row r="488" spans="1:5" x14ac:dyDescent="0.25">
      <c r="A488" s="1232">
        <v>487</v>
      </c>
      <c r="B488" s="1232" t="s">
        <v>1373</v>
      </c>
      <c r="C488" s="1319" t="s">
        <v>87</v>
      </c>
      <c r="D488" s="1319" t="s">
        <v>1511</v>
      </c>
      <c r="E488" s="1316" t="s">
        <v>254</v>
      </c>
    </row>
    <row r="489" spans="1:5" x14ac:dyDescent="0.25">
      <c r="A489" s="1232">
        <v>488</v>
      </c>
      <c r="B489" s="1232" t="s">
        <v>1373</v>
      </c>
      <c r="C489" s="1319" t="s">
        <v>87</v>
      </c>
      <c r="D489" s="1319" t="s">
        <v>1373</v>
      </c>
      <c r="E489" s="1319" t="s">
        <v>1339</v>
      </c>
    </row>
    <row r="490" spans="1:5" x14ac:dyDescent="0.25">
      <c r="A490" s="1232">
        <v>489</v>
      </c>
      <c r="B490" s="1232" t="s">
        <v>1373</v>
      </c>
      <c r="C490" s="1319" t="s">
        <v>87</v>
      </c>
      <c r="D490" s="1319" t="s">
        <v>1373</v>
      </c>
      <c r="E490" s="1319" t="s">
        <v>225</v>
      </c>
    </row>
    <row r="491" spans="1:5" x14ac:dyDescent="0.25">
      <c r="A491" s="1232">
        <v>490</v>
      </c>
      <c r="B491" s="1232" t="s">
        <v>208</v>
      </c>
      <c r="C491" s="1319" t="s">
        <v>87</v>
      </c>
      <c r="D491" s="1319" t="s">
        <v>1511</v>
      </c>
      <c r="E491" s="1318" t="s">
        <v>466</v>
      </c>
    </row>
    <row r="492" spans="1:5" x14ac:dyDescent="0.25">
      <c r="A492" s="1232">
        <v>491</v>
      </c>
      <c r="B492" s="1232" t="s">
        <v>1373</v>
      </c>
      <c r="C492" s="1319" t="s">
        <v>87</v>
      </c>
      <c r="D492" s="1319" t="s">
        <v>1373</v>
      </c>
      <c r="E492" s="1318" t="s">
        <v>1376</v>
      </c>
    </row>
    <row r="493" spans="1:5" x14ac:dyDescent="0.25">
      <c r="A493" s="1232">
        <v>492</v>
      </c>
      <c r="B493" s="1232" t="s">
        <v>1373</v>
      </c>
      <c r="C493" s="1319" t="s">
        <v>87</v>
      </c>
      <c r="D493" s="1319" t="s">
        <v>1511</v>
      </c>
      <c r="E493" s="1318" t="s">
        <v>1378</v>
      </c>
    </row>
    <row r="494" spans="1:5" x14ac:dyDescent="0.25">
      <c r="A494" s="1232">
        <v>493</v>
      </c>
      <c r="B494" s="1232" t="s">
        <v>1373</v>
      </c>
      <c r="C494" s="1319" t="s">
        <v>87</v>
      </c>
      <c r="D494" s="1319" t="s">
        <v>1511</v>
      </c>
      <c r="E494" s="1318" t="s">
        <v>1379</v>
      </c>
    </row>
    <row r="495" spans="1:5" x14ac:dyDescent="0.25">
      <c r="A495" s="1232">
        <v>494</v>
      </c>
      <c r="B495" s="1232" t="s">
        <v>1373</v>
      </c>
      <c r="C495" s="1319" t="s">
        <v>87</v>
      </c>
      <c r="D495" s="1319" t="s">
        <v>1546</v>
      </c>
      <c r="E495" s="1318" t="s">
        <v>1380</v>
      </c>
    </row>
    <row r="496" spans="1:5" x14ac:dyDescent="0.25">
      <c r="A496" s="1232">
        <v>495</v>
      </c>
      <c r="B496" s="1232" t="s">
        <v>1373</v>
      </c>
      <c r="C496" s="1319" t="s">
        <v>87</v>
      </c>
      <c r="D496" s="1319" t="s">
        <v>1511</v>
      </c>
      <c r="E496" s="1318" t="s">
        <v>1381</v>
      </c>
    </row>
    <row r="497" spans="1:5" x14ac:dyDescent="0.25">
      <c r="A497" s="1232">
        <v>496</v>
      </c>
      <c r="B497" s="1232" t="s">
        <v>1373</v>
      </c>
      <c r="C497" s="1319" t="s">
        <v>87</v>
      </c>
      <c r="D497" s="1319" t="s">
        <v>1546</v>
      </c>
      <c r="E497" s="1318" t="s">
        <v>1382</v>
      </c>
    </row>
    <row r="498" spans="1:5" x14ac:dyDescent="0.25">
      <c r="A498" s="1232">
        <v>497</v>
      </c>
      <c r="B498" s="1232" t="s">
        <v>1373</v>
      </c>
      <c r="C498" s="1319" t="s">
        <v>87</v>
      </c>
      <c r="D498" s="1319" t="s">
        <v>1546</v>
      </c>
      <c r="E498" s="1318" t="s">
        <v>1320</v>
      </c>
    </row>
    <row r="499" spans="1:5" x14ac:dyDescent="0.25">
      <c r="A499" s="1232">
        <v>498</v>
      </c>
      <c r="B499" s="1232" t="s">
        <v>1373</v>
      </c>
      <c r="C499" s="1319" t="s">
        <v>1358</v>
      </c>
      <c r="D499" s="1319" t="s">
        <v>1511</v>
      </c>
      <c r="E499" s="1316" t="s">
        <v>1369</v>
      </c>
    </row>
    <row r="500" spans="1:5" x14ac:dyDescent="0.25">
      <c r="A500" s="1232">
        <v>499</v>
      </c>
      <c r="B500" s="1232" t="s">
        <v>1373</v>
      </c>
      <c r="C500" s="1319" t="s">
        <v>1358</v>
      </c>
      <c r="D500" s="1319" t="s">
        <v>1511</v>
      </c>
      <c r="E500" s="1316" t="s">
        <v>1370</v>
      </c>
    </row>
    <row r="501" spans="1:5" x14ac:dyDescent="0.25">
      <c r="A501" s="1232">
        <v>500</v>
      </c>
      <c r="B501" s="1232" t="s">
        <v>1373</v>
      </c>
      <c r="C501" s="1319" t="s">
        <v>1358</v>
      </c>
      <c r="D501" s="1319" t="s">
        <v>1511</v>
      </c>
      <c r="E501" s="1316" t="s">
        <v>1364</v>
      </c>
    </row>
    <row r="502" spans="1:5" x14ac:dyDescent="0.25">
      <c r="A502" s="1232">
        <v>501</v>
      </c>
      <c r="B502" s="1232" t="s">
        <v>1501</v>
      </c>
      <c r="C502" s="1319" t="s">
        <v>1547</v>
      </c>
      <c r="D502" s="1319" t="s">
        <v>1511</v>
      </c>
      <c r="E502" s="1316" t="s">
        <v>1548</v>
      </c>
    </row>
    <row r="503" spans="1:5" x14ac:dyDescent="0.25">
      <c r="A503" s="1232">
        <v>502</v>
      </c>
      <c r="B503" s="1232" t="s">
        <v>1501</v>
      </c>
      <c r="C503" s="1319" t="s">
        <v>1549</v>
      </c>
      <c r="D503" s="1319" t="s">
        <v>1550</v>
      </c>
      <c r="E503" s="1316" t="s">
        <v>1549</v>
      </c>
    </row>
    <row r="504" spans="1:5" x14ac:dyDescent="0.25">
      <c r="A504" s="1232">
        <v>503</v>
      </c>
      <c r="B504" s="1232" t="s">
        <v>1501</v>
      </c>
      <c r="C504" s="1319" t="s">
        <v>1549</v>
      </c>
      <c r="D504" s="1319" t="s">
        <v>1550</v>
      </c>
      <c r="E504" s="1316" t="s">
        <v>1551</v>
      </c>
    </row>
    <row r="505" spans="1:5" x14ac:dyDescent="0.25">
      <c r="A505" s="1232">
        <v>504</v>
      </c>
      <c r="B505" s="1232" t="s">
        <v>1501</v>
      </c>
      <c r="C505" s="1319" t="s">
        <v>1549</v>
      </c>
      <c r="D505" s="1319" t="s">
        <v>1550</v>
      </c>
      <c r="E505" s="1316" t="s">
        <v>1552</v>
      </c>
    </row>
    <row r="506" spans="1:5" x14ac:dyDescent="0.25">
      <c r="A506" s="1232">
        <v>505</v>
      </c>
      <c r="B506" s="1232" t="s">
        <v>1501</v>
      </c>
      <c r="C506" s="1319" t="s">
        <v>1549</v>
      </c>
      <c r="D506" s="1319" t="s">
        <v>1550</v>
      </c>
      <c r="E506" s="1316" t="s">
        <v>1553</v>
      </c>
    </row>
    <row r="507" spans="1:5" x14ac:dyDescent="0.25">
      <c r="A507" s="1232">
        <v>506</v>
      </c>
      <c r="B507" s="1232" t="s">
        <v>1501</v>
      </c>
      <c r="C507" s="1319" t="s">
        <v>1549</v>
      </c>
      <c r="D507" s="1319" t="s">
        <v>1550</v>
      </c>
      <c r="E507" s="1316" t="s">
        <v>1554</v>
      </c>
    </row>
    <row r="508" spans="1:5" x14ac:dyDescent="0.25">
      <c r="A508" s="1232">
        <v>507</v>
      </c>
      <c r="B508" s="1232" t="s">
        <v>1501</v>
      </c>
      <c r="C508" s="1319" t="s">
        <v>1549</v>
      </c>
      <c r="D508" s="1319" t="s">
        <v>1550</v>
      </c>
      <c r="E508" s="1316" t="s">
        <v>1555</v>
      </c>
    </row>
    <row r="509" spans="1:5" x14ac:dyDescent="0.25">
      <c r="A509" s="1232">
        <v>508</v>
      </c>
      <c r="B509" s="1232" t="s">
        <v>1450</v>
      </c>
      <c r="C509" s="1319" t="s">
        <v>1540</v>
      </c>
      <c r="D509" s="1319" t="s">
        <v>1556</v>
      </c>
      <c r="E509" s="1316" t="s">
        <v>1557</v>
      </c>
    </row>
    <row r="510" spans="1:5" x14ac:dyDescent="0.25">
      <c r="A510" s="1232">
        <v>509</v>
      </c>
      <c r="B510" s="1232" t="s">
        <v>1450</v>
      </c>
      <c r="C510" s="1319" t="s">
        <v>1540</v>
      </c>
      <c r="D510" s="1319" t="s">
        <v>1556</v>
      </c>
      <c r="E510" s="1316" t="s">
        <v>1332</v>
      </c>
    </row>
    <row r="511" spans="1:5" x14ac:dyDescent="0.25">
      <c r="A511" s="1232">
        <v>510</v>
      </c>
      <c r="B511" s="1232" t="s">
        <v>1450</v>
      </c>
      <c r="C511" s="1319" t="s">
        <v>1540</v>
      </c>
      <c r="D511" s="1319" t="s">
        <v>1556</v>
      </c>
      <c r="E511" s="1316" t="s">
        <v>1333</v>
      </c>
    </row>
    <row r="512" spans="1:5" x14ac:dyDescent="0.25">
      <c r="A512" s="1232">
        <v>511</v>
      </c>
      <c r="B512" s="1232" t="s">
        <v>1450</v>
      </c>
      <c r="C512" s="1319" t="s">
        <v>1540</v>
      </c>
      <c r="D512" s="1319" t="s">
        <v>1558</v>
      </c>
      <c r="E512" s="1316" t="s">
        <v>1337</v>
      </c>
    </row>
    <row r="513" spans="1:5" x14ac:dyDescent="0.25">
      <c r="A513" s="1232">
        <v>512</v>
      </c>
      <c r="B513" s="1232" t="s">
        <v>1450</v>
      </c>
      <c r="C513" s="1319" t="s">
        <v>1540</v>
      </c>
      <c r="D513" s="1319" t="s">
        <v>1559</v>
      </c>
      <c r="E513" s="1316" t="s">
        <v>1334</v>
      </c>
    </row>
    <row r="514" spans="1:5" ht="30" x14ac:dyDescent="0.25">
      <c r="A514" s="1232">
        <v>513</v>
      </c>
      <c r="B514" s="1232" t="s">
        <v>1373</v>
      </c>
      <c r="C514" s="1319" t="s">
        <v>1540</v>
      </c>
      <c r="D514" s="1319" t="s">
        <v>1560</v>
      </c>
      <c r="E514" s="1316" t="s">
        <v>1362</v>
      </c>
    </row>
    <row r="515" spans="1:5" ht="30" x14ac:dyDescent="0.25">
      <c r="A515" s="1232">
        <v>514</v>
      </c>
      <c r="B515" s="1232" t="s">
        <v>1373</v>
      </c>
      <c r="C515" s="1319" t="s">
        <v>1540</v>
      </c>
      <c r="D515" s="1319" t="s">
        <v>1560</v>
      </c>
      <c r="E515" s="1316" t="s">
        <v>1561</v>
      </c>
    </row>
    <row r="516" spans="1:5" x14ac:dyDescent="0.25">
      <c r="A516" s="1232">
        <v>515</v>
      </c>
      <c r="B516" s="1232" t="s">
        <v>1450</v>
      </c>
      <c r="C516" s="1319" t="s">
        <v>1562</v>
      </c>
      <c r="D516" s="1319" t="s">
        <v>1517</v>
      </c>
      <c r="E516" s="1316" t="s">
        <v>1295</v>
      </c>
    </row>
    <row r="517" spans="1:5" x14ac:dyDescent="0.25">
      <c r="A517" s="1232">
        <v>516</v>
      </c>
      <c r="B517" s="1232" t="s">
        <v>1373</v>
      </c>
      <c r="C517" s="1319" t="s">
        <v>1562</v>
      </c>
      <c r="D517" s="1319" t="s">
        <v>1517</v>
      </c>
      <c r="E517" s="1316" t="s">
        <v>1365</v>
      </c>
    </row>
    <row r="518" spans="1:5" x14ac:dyDescent="0.25">
      <c r="A518" s="1232">
        <v>517</v>
      </c>
      <c r="B518" s="1232" t="s">
        <v>1373</v>
      </c>
      <c r="C518" s="1319" t="s">
        <v>1562</v>
      </c>
      <c r="D518" s="1319" t="s">
        <v>1517</v>
      </c>
      <c r="E518" s="1316" t="s">
        <v>1366</v>
      </c>
    </row>
    <row r="519" spans="1:5" x14ac:dyDescent="0.25">
      <c r="A519" s="1232">
        <v>518</v>
      </c>
      <c r="B519" s="1232" t="s">
        <v>1373</v>
      </c>
      <c r="C519" s="1319" t="s">
        <v>1562</v>
      </c>
      <c r="D519" s="1319" t="s">
        <v>1517</v>
      </c>
      <c r="E519" s="1316" t="s">
        <v>1563</v>
      </c>
    </row>
    <row r="520" spans="1:5" x14ac:dyDescent="0.25">
      <c r="A520" s="1232">
        <v>519</v>
      </c>
      <c r="B520" s="1232" t="s">
        <v>1373</v>
      </c>
      <c r="C520" s="1319" t="s">
        <v>1562</v>
      </c>
      <c r="D520" s="1319" t="s">
        <v>1517</v>
      </c>
      <c r="E520" s="1316" t="s">
        <v>1368</v>
      </c>
    </row>
    <row r="521" spans="1:5" x14ac:dyDescent="0.25">
      <c r="A521" s="1232">
        <v>520</v>
      </c>
      <c r="B521" s="1232" t="s">
        <v>129</v>
      </c>
      <c r="C521" s="1319" t="s">
        <v>1564</v>
      </c>
      <c r="D521" s="1319" t="s">
        <v>1511</v>
      </c>
      <c r="E521" s="1316" t="s">
        <v>1565</v>
      </c>
    </row>
    <row r="522" spans="1:5" x14ac:dyDescent="0.25">
      <c r="A522" s="1232">
        <v>521</v>
      </c>
      <c r="B522" s="1232" t="s">
        <v>1619</v>
      </c>
      <c r="C522" s="1319" t="s">
        <v>1848</v>
      </c>
      <c r="D522" s="1319" t="s">
        <v>1646</v>
      </c>
      <c r="E522" s="1315" t="s">
        <v>1594</v>
      </c>
    </row>
    <row r="523" spans="1:5" x14ac:dyDescent="0.25">
      <c r="A523" s="1232">
        <v>522</v>
      </c>
      <c r="B523" s="1232" t="s">
        <v>1619</v>
      </c>
      <c r="C523" s="1319" t="s">
        <v>1815</v>
      </c>
      <c r="D523" s="1319" t="s">
        <v>1511</v>
      </c>
      <c r="E523" s="1315" t="s">
        <v>1810</v>
      </c>
    </row>
    <row r="524" spans="1:5" x14ac:dyDescent="0.25">
      <c r="A524" s="1232">
        <v>523</v>
      </c>
      <c r="B524" s="1232" t="s">
        <v>1619</v>
      </c>
      <c r="C524" s="1319" t="s">
        <v>1848</v>
      </c>
      <c r="D524" s="1319" t="s">
        <v>1646</v>
      </c>
      <c r="E524" s="1315" t="s">
        <v>1483</v>
      </c>
    </row>
    <row r="525" spans="1:5" x14ac:dyDescent="0.25">
      <c r="A525" s="1232">
        <v>524</v>
      </c>
      <c r="B525" s="1232" t="s">
        <v>1619</v>
      </c>
      <c r="C525" s="1319" t="s">
        <v>1848</v>
      </c>
      <c r="D525" s="1319" t="s">
        <v>1646</v>
      </c>
      <c r="E525" s="1315" t="s">
        <v>1480</v>
      </c>
    </row>
    <row r="526" spans="1:5" x14ac:dyDescent="0.25">
      <c r="A526" s="1232">
        <v>525</v>
      </c>
      <c r="B526" s="1232" t="s">
        <v>1619</v>
      </c>
      <c r="C526" s="1319" t="s">
        <v>1848</v>
      </c>
      <c r="D526" s="1319" t="s">
        <v>1646</v>
      </c>
      <c r="E526" s="1315" t="s">
        <v>1481</v>
      </c>
    </row>
    <row r="527" spans="1:5" x14ac:dyDescent="0.25">
      <c r="A527" s="1232">
        <v>526</v>
      </c>
      <c r="B527" s="1232" t="s">
        <v>1619</v>
      </c>
      <c r="C527" s="1319" t="s">
        <v>1848</v>
      </c>
      <c r="D527" s="1319" t="s">
        <v>1646</v>
      </c>
      <c r="E527" s="1315" t="s">
        <v>1497</v>
      </c>
    </row>
    <row r="528" spans="1:5" x14ac:dyDescent="0.25">
      <c r="A528" s="1232">
        <v>527</v>
      </c>
      <c r="B528" s="1232" t="s">
        <v>1619</v>
      </c>
      <c r="C528" s="1319" t="s">
        <v>1848</v>
      </c>
      <c r="D528" s="1319" t="s">
        <v>1511</v>
      </c>
      <c r="E528" s="1315" t="s">
        <v>1482</v>
      </c>
    </row>
    <row r="529" spans="1:5" x14ac:dyDescent="0.25">
      <c r="A529" s="1232">
        <v>528</v>
      </c>
      <c r="B529" s="1232" t="s">
        <v>1619</v>
      </c>
      <c r="C529" s="1319" t="s">
        <v>1848</v>
      </c>
      <c r="D529" s="1319" t="s">
        <v>1646</v>
      </c>
      <c r="E529" s="1315" t="s">
        <v>1589</v>
      </c>
    </row>
    <row r="530" spans="1:5" x14ac:dyDescent="0.25">
      <c r="A530" s="1232">
        <v>529</v>
      </c>
      <c r="B530" s="1232" t="s">
        <v>1619</v>
      </c>
      <c r="C530" s="1319" t="s">
        <v>1848</v>
      </c>
      <c r="D530" s="1319" t="s">
        <v>1646</v>
      </c>
      <c r="E530" s="1315" t="s">
        <v>1590</v>
      </c>
    </row>
    <row r="531" spans="1:5" x14ac:dyDescent="0.25">
      <c r="A531" s="1232">
        <v>530</v>
      </c>
      <c r="B531" s="1232" t="s">
        <v>1619</v>
      </c>
      <c r="C531" s="1319" t="s">
        <v>1848</v>
      </c>
      <c r="D531" s="1319" t="s">
        <v>1511</v>
      </c>
      <c r="E531" s="1315" t="s">
        <v>1591</v>
      </c>
    </row>
    <row r="532" spans="1:5" ht="30" x14ac:dyDescent="0.25">
      <c r="A532" s="1232">
        <v>531</v>
      </c>
      <c r="B532" s="1232" t="s">
        <v>1619</v>
      </c>
      <c r="C532" s="1319" t="s">
        <v>1848</v>
      </c>
      <c r="D532" s="1319" t="s">
        <v>1647</v>
      </c>
      <c r="E532" s="1315" t="s">
        <v>1485</v>
      </c>
    </row>
    <row r="533" spans="1:5" ht="30" x14ac:dyDescent="0.25">
      <c r="A533" s="1232">
        <v>532</v>
      </c>
      <c r="B533" s="1232" t="s">
        <v>1619</v>
      </c>
      <c r="C533" s="1319" t="s">
        <v>1848</v>
      </c>
      <c r="D533" s="1319" t="s">
        <v>1647</v>
      </c>
      <c r="E533" s="1315" t="s">
        <v>1486</v>
      </c>
    </row>
    <row r="534" spans="1:5" ht="30" x14ac:dyDescent="0.25">
      <c r="A534" s="1232">
        <v>533</v>
      </c>
      <c r="B534" s="1232" t="s">
        <v>1619</v>
      </c>
      <c r="C534" s="1319" t="s">
        <v>1848</v>
      </c>
      <c r="D534" s="1319" t="s">
        <v>1647</v>
      </c>
      <c r="E534" s="1315" t="s">
        <v>1598</v>
      </c>
    </row>
    <row r="535" spans="1:5" x14ac:dyDescent="0.25">
      <c r="A535" s="1232">
        <v>534</v>
      </c>
      <c r="B535" s="1232" t="s">
        <v>1619</v>
      </c>
      <c r="C535" s="1319" t="s">
        <v>1848</v>
      </c>
      <c r="D535" s="1319" t="s">
        <v>1511</v>
      </c>
      <c r="E535" s="1315" t="s">
        <v>1595</v>
      </c>
    </row>
    <row r="536" spans="1:5" x14ac:dyDescent="0.25">
      <c r="A536" s="1232">
        <v>535</v>
      </c>
      <c r="B536" s="1232" t="s">
        <v>1619</v>
      </c>
      <c r="C536" s="1319" t="s">
        <v>1848</v>
      </c>
      <c r="D536" s="1319" t="s">
        <v>1646</v>
      </c>
      <c r="E536" s="1315" t="s">
        <v>1489</v>
      </c>
    </row>
    <row r="537" spans="1:5" x14ac:dyDescent="0.25">
      <c r="A537" s="1232">
        <v>536</v>
      </c>
      <c r="B537" s="1232" t="s">
        <v>1619</v>
      </c>
      <c r="C537" s="1319" t="s">
        <v>1849</v>
      </c>
      <c r="D537" s="1319" t="s">
        <v>1646</v>
      </c>
      <c r="E537" s="1315" t="s">
        <v>1594</v>
      </c>
    </row>
    <row r="538" spans="1:5" x14ac:dyDescent="0.25">
      <c r="A538" s="1232">
        <v>537</v>
      </c>
      <c r="B538" s="1232" t="s">
        <v>1619</v>
      </c>
      <c r="C538" s="1319" t="s">
        <v>1816</v>
      </c>
      <c r="D538" s="1319" t="s">
        <v>1511</v>
      </c>
      <c r="E538" s="1315" t="s">
        <v>1810</v>
      </c>
    </row>
    <row r="539" spans="1:5" x14ac:dyDescent="0.25">
      <c r="A539" s="1232">
        <v>538</v>
      </c>
      <c r="B539" s="1232" t="s">
        <v>1619</v>
      </c>
      <c r="C539" s="1319" t="s">
        <v>1849</v>
      </c>
      <c r="D539" s="1319" t="s">
        <v>1646</v>
      </c>
      <c r="E539" s="1315" t="s">
        <v>1483</v>
      </c>
    </row>
    <row r="540" spans="1:5" x14ac:dyDescent="0.25">
      <c r="A540" s="1232">
        <v>539</v>
      </c>
      <c r="B540" s="1232" t="s">
        <v>1619</v>
      </c>
      <c r="C540" s="1319" t="s">
        <v>1849</v>
      </c>
      <c r="D540" s="1319" t="s">
        <v>1646</v>
      </c>
      <c r="E540" s="1315" t="s">
        <v>1480</v>
      </c>
    </row>
    <row r="541" spans="1:5" x14ac:dyDescent="0.25">
      <c r="A541" s="1232">
        <v>540</v>
      </c>
      <c r="B541" s="1232" t="s">
        <v>1619</v>
      </c>
      <c r="C541" s="1319" t="s">
        <v>1849</v>
      </c>
      <c r="D541" s="1319" t="s">
        <v>1646</v>
      </c>
      <c r="E541" s="1315" t="s">
        <v>1481</v>
      </c>
    </row>
    <row r="542" spans="1:5" x14ac:dyDescent="0.25">
      <c r="A542" s="1232">
        <v>541</v>
      </c>
      <c r="B542" s="1232" t="s">
        <v>1619</v>
      </c>
      <c r="C542" s="1319" t="s">
        <v>1849</v>
      </c>
      <c r="D542" s="1319" t="s">
        <v>1646</v>
      </c>
      <c r="E542" s="1315" t="s">
        <v>1497</v>
      </c>
    </row>
    <row r="543" spans="1:5" x14ac:dyDescent="0.25">
      <c r="A543" s="1232">
        <v>542</v>
      </c>
      <c r="B543" s="1232" t="s">
        <v>1619</v>
      </c>
      <c r="C543" s="1319" t="s">
        <v>1849</v>
      </c>
      <c r="D543" s="1319" t="s">
        <v>1511</v>
      </c>
      <c r="E543" s="1315" t="s">
        <v>1482</v>
      </c>
    </row>
    <row r="544" spans="1:5" x14ac:dyDescent="0.25">
      <c r="A544" s="1232">
        <v>543</v>
      </c>
      <c r="B544" s="1232" t="s">
        <v>1619</v>
      </c>
      <c r="C544" s="1319" t="s">
        <v>1849</v>
      </c>
      <c r="D544" s="1319" t="s">
        <v>1646</v>
      </c>
      <c r="E544" s="1315" t="s">
        <v>1589</v>
      </c>
    </row>
    <row r="545" spans="1:5" x14ac:dyDescent="0.25">
      <c r="A545" s="1232">
        <v>544</v>
      </c>
      <c r="B545" s="1232" t="s">
        <v>1619</v>
      </c>
      <c r="C545" s="1319" t="s">
        <v>1849</v>
      </c>
      <c r="D545" s="1319" t="s">
        <v>1646</v>
      </c>
      <c r="E545" s="1315" t="s">
        <v>1590</v>
      </c>
    </row>
    <row r="546" spans="1:5" x14ac:dyDescent="0.25">
      <c r="A546" s="1232">
        <v>545</v>
      </c>
      <c r="B546" s="1232" t="s">
        <v>1619</v>
      </c>
      <c r="C546" s="1319" t="s">
        <v>1849</v>
      </c>
      <c r="D546" s="1319" t="s">
        <v>1511</v>
      </c>
      <c r="E546" s="1315" t="s">
        <v>1591</v>
      </c>
    </row>
    <row r="547" spans="1:5" ht="30" x14ac:dyDescent="0.25">
      <c r="A547" s="1232">
        <v>546</v>
      </c>
      <c r="B547" s="1232" t="s">
        <v>1619</v>
      </c>
      <c r="C547" s="1319" t="s">
        <v>1849</v>
      </c>
      <c r="D547" s="1319" t="s">
        <v>1647</v>
      </c>
      <c r="E547" s="1315" t="s">
        <v>1485</v>
      </c>
    </row>
    <row r="548" spans="1:5" ht="30" x14ac:dyDescent="0.25">
      <c r="A548" s="1232">
        <v>547</v>
      </c>
      <c r="B548" s="1232" t="s">
        <v>1619</v>
      </c>
      <c r="C548" s="1319" t="s">
        <v>1849</v>
      </c>
      <c r="D548" s="1319" t="s">
        <v>1647</v>
      </c>
      <c r="E548" s="1315" t="s">
        <v>1486</v>
      </c>
    </row>
    <row r="549" spans="1:5" ht="30" x14ac:dyDescent="0.25">
      <c r="A549" s="1232">
        <v>548</v>
      </c>
      <c r="B549" s="1232" t="s">
        <v>1619</v>
      </c>
      <c r="C549" s="1319" t="s">
        <v>1849</v>
      </c>
      <c r="D549" s="1319" t="s">
        <v>1647</v>
      </c>
      <c r="E549" s="1315" t="s">
        <v>1598</v>
      </c>
    </row>
    <row r="550" spans="1:5" x14ac:dyDescent="0.25">
      <c r="A550" s="1232">
        <v>549</v>
      </c>
      <c r="B550" s="1232" t="s">
        <v>1619</v>
      </c>
      <c r="C550" s="1319" t="s">
        <v>1849</v>
      </c>
      <c r="D550" s="1319" t="s">
        <v>1511</v>
      </c>
      <c r="E550" s="1315" t="s">
        <v>1595</v>
      </c>
    </row>
    <row r="551" spans="1:5" x14ac:dyDescent="0.25">
      <c r="A551" s="1232">
        <v>550</v>
      </c>
      <c r="B551" s="1232" t="s">
        <v>1619</v>
      </c>
      <c r="C551" s="1319" t="s">
        <v>1849</v>
      </c>
      <c r="D551" s="1319" t="s">
        <v>1646</v>
      </c>
      <c r="E551" s="1315" t="s">
        <v>1489</v>
      </c>
    </row>
    <row r="552" spans="1:5" x14ac:dyDescent="0.25">
      <c r="A552" s="1232">
        <v>551</v>
      </c>
      <c r="B552" s="1232" t="s">
        <v>1619</v>
      </c>
      <c r="C552" s="1319" t="s">
        <v>1850</v>
      </c>
      <c r="D552" s="1319" t="s">
        <v>1648</v>
      </c>
      <c r="E552" s="1315" t="s">
        <v>1594</v>
      </c>
    </row>
    <row r="553" spans="1:5" x14ac:dyDescent="0.25">
      <c r="A553" s="1232">
        <v>552</v>
      </c>
      <c r="B553" s="1232" t="s">
        <v>1619</v>
      </c>
      <c r="C553" s="1319" t="s">
        <v>1649</v>
      </c>
      <c r="D553" s="1319" t="s">
        <v>1511</v>
      </c>
      <c r="E553" s="1315" t="s">
        <v>1810</v>
      </c>
    </row>
    <row r="554" spans="1:5" x14ac:dyDescent="0.25">
      <c r="A554" s="1232">
        <v>553</v>
      </c>
      <c r="B554" s="1232" t="s">
        <v>1619</v>
      </c>
      <c r="C554" s="1319" t="s">
        <v>1850</v>
      </c>
      <c r="D554" s="1319" t="s">
        <v>1648</v>
      </c>
      <c r="E554" s="1315" t="s">
        <v>1483</v>
      </c>
    </row>
    <row r="555" spans="1:5" x14ac:dyDescent="0.25">
      <c r="A555" s="1232">
        <v>554</v>
      </c>
      <c r="B555" s="1232" t="s">
        <v>1619</v>
      </c>
      <c r="C555" s="1319" t="s">
        <v>1850</v>
      </c>
      <c r="D555" s="1319" t="s">
        <v>1648</v>
      </c>
      <c r="E555" s="1315" t="s">
        <v>1480</v>
      </c>
    </row>
    <row r="556" spans="1:5" x14ac:dyDescent="0.25">
      <c r="A556" s="1232">
        <v>555</v>
      </c>
      <c r="B556" s="1232" t="s">
        <v>1619</v>
      </c>
      <c r="C556" s="1319" t="s">
        <v>1850</v>
      </c>
      <c r="D556" s="1319" t="s">
        <v>1648</v>
      </c>
      <c r="E556" s="1315" t="s">
        <v>1481</v>
      </c>
    </row>
    <row r="557" spans="1:5" x14ac:dyDescent="0.25">
      <c r="A557" s="1232">
        <v>556</v>
      </c>
      <c r="B557" s="1232" t="s">
        <v>1619</v>
      </c>
      <c r="C557" s="1319" t="s">
        <v>1850</v>
      </c>
      <c r="D557" s="1319" t="s">
        <v>1648</v>
      </c>
      <c r="E557" s="1315" t="s">
        <v>1497</v>
      </c>
    </row>
    <row r="558" spans="1:5" x14ac:dyDescent="0.25">
      <c r="A558" s="1232">
        <v>557</v>
      </c>
      <c r="B558" s="1232" t="s">
        <v>1619</v>
      </c>
      <c r="C558" s="1319" t="s">
        <v>1850</v>
      </c>
      <c r="D558" s="1319" t="s">
        <v>1511</v>
      </c>
      <c r="E558" s="1315" t="s">
        <v>1482</v>
      </c>
    </row>
    <row r="559" spans="1:5" x14ac:dyDescent="0.25">
      <c r="A559" s="1232">
        <v>558</v>
      </c>
      <c r="B559" s="1232" t="s">
        <v>1619</v>
      </c>
      <c r="C559" s="1319" t="s">
        <v>1649</v>
      </c>
      <c r="D559" s="1319" t="s">
        <v>1648</v>
      </c>
      <c r="E559" s="1315" t="s">
        <v>1589</v>
      </c>
    </row>
    <row r="560" spans="1:5" x14ac:dyDescent="0.25">
      <c r="A560" s="1232">
        <v>559</v>
      </c>
      <c r="B560" s="1232" t="s">
        <v>1619</v>
      </c>
      <c r="C560" s="1319" t="s">
        <v>1649</v>
      </c>
      <c r="D560" s="1319" t="s">
        <v>1648</v>
      </c>
      <c r="E560" s="1315" t="s">
        <v>1590</v>
      </c>
    </row>
    <row r="561" spans="1:5" x14ac:dyDescent="0.25">
      <c r="A561" s="1232">
        <v>560</v>
      </c>
      <c r="B561" s="1232" t="s">
        <v>1619</v>
      </c>
      <c r="C561" s="1319" t="s">
        <v>1649</v>
      </c>
      <c r="D561" s="1319" t="s">
        <v>1511</v>
      </c>
      <c r="E561" s="1315" t="s">
        <v>1591</v>
      </c>
    </row>
    <row r="562" spans="1:5" ht="30" x14ac:dyDescent="0.25">
      <c r="A562" s="1232">
        <v>561</v>
      </c>
      <c r="B562" s="1232" t="s">
        <v>1619</v>
      </c>
      <c r="C562" s="1319" t="s">
        <v>1649</v>
      </c>
      <c r="D562" s="1319" t="s">
        <v>1647</v>
      </c>
      <c r="E562" s="1315" t="s">
        <v>1485</v>
      </c>
    </row>
    <row r="563" spans="1:5" ht="30" x14ac:dyDescent="0.25">
      <c r="A563" s="1232">
        <v>562</v>
      </c>
      <c r="B563" s="1232" t="s">
        <v>1619</v>
      </c>
      <c r="C563" s="1319" t="s">
        <v>1649</v>
      </c>
      <c r="D563" s="1319" t="s">
        <v>1647</v>
      </c>
      <c r="E563" s="1315" t="s">
        <v>1486</v>
      </c>
    </row>
    <row r="564" spans="1:5" ht="30" x14ac:dyDescent="0.25">
      <c r="A564" s="1232">
        <v>563</v>
      </c>
      <c r="B564" s="1232" t="s">
        <v>1619</v>
      </c>
      <c r="C564" s="1319" t="s">
        <v>1649</v>
      </c>
      <c r="D564" s="1319" t="s">
        <v>1647</v>
      </c>
      <c r="E564" s="1315" t="s">
        <v>1598</v>
      </c>
    </row>
    <row r="565" spans="1:5" x14ac:dyDescent="0.25">
      <c r="A565" s="1232">
        <v>564</v>
      </c>
      <c r="B565" s="1232" t="s">
        <v>1619</v>
      </c>
      <c r="C565" s="1319" t="s">
        <v>1649</v>
      </c>
      <c r="D565" s="1319" t="s">
        <v>1511</v>
      </c>
      <c r="E565" s="1315" t="s">
        <v>1595</v>
      </c>
    </row>
    <row r="566" spans="1:5" x14ac:dyDescent="0.25">
      <c r="A566" s="1232">
        <v>565</v>
      </c>
      <c r="B566" s="1232" t="s">
        <v>1619</v>
      </c>
      <c r="C566" s="1319" t="s">
        <v>1649</v>
      </c>
      <c r="D566" s="1319" t="s">
        <v>1648</v>
      </c>
      <c r="E566" s="1315" t="s">
        <v>1609</v>
      </c>
    </row>
    <row r="567" spans="1:5" x14ac:dyDescent="0.25">
      <c r="A567" s="1232">
        <v>566</v>
      </c>
      <c r="B567" s="1232" t="s">
        <v>1619</v>
      </c>
      <c r="C567" s="1319" t="s">
        <v>1650</v>
      </c>
      <c r="D567" s="1319" t="s">
        <v>1648</v>
      </c>
      <c r="E567" s="1315" t="s">
        <v>1487</v>
      </c>
    </row>
    <row r="568" spans="1:5" x14ac:dyDescent="0.25">
      <c r="A568" s="1232">
        <v>567</v>
      </c>
      <c r="B568" s="1232" t="s">
        <v>1619</v>
      </c>
      <c r="C568" s="1319" t="s">
        <v>1650</v>
      </c>
      <c r="D568" s="1319" t="s">
        <v>1648</v>
      </c>
      <c r="E568" s="1315" t="s">
        <v>1488</v>
      </c>
    </row>
    <row r="569" spans="1:5" x14ac:dyDescent="0.25">
      <c r="A569" s="1232">
        <v>568</v>
      </c>
      <c r="B569" s="1232" t="s">
        <v>1619</v>
      </c>
      <c r="C569" s="1319" t="s">
        <v>1650</v>
      </c>
      <c r="D569" s="1319" t="s">
        <v>1648</v>
      </c>
      <c r="E569" s="1315" t="s">
        <v>1175</v>
      </c>
    </row>
    <row r="570" spans="1:5" x14ac:dyDescent="0.25">
      <c r="A570" s="1232">
        <v>569</v>
      </c>
      <c r="B570" s="1232" t="s">
        <v>1619</v>
      </c>
      <c r="C570" s="1319" t="s">
        <v>1649</v>
      </c>
      <c r="D570" s="1319" t="s">
        <v>1648</v>
      </c>
      <c r="E570" s="1315" t="s">
        <v>1611</v>
      </c>
    </row>
    <row r="571" spans="1:5" x14ac:dyDescent="0.25">
      <c r="A571" s="1232">
        <v>570</v>
      </c>
      <c r="B571" s="1232" t="s">
        <v>1619</v>
      </c>
      <c r="C571" s="1319" t="s">
        <v>1651</v>
      </c>
      <c r="D571" s="1319" t="s">
        <v>1648</v>
      </c>
      <c r="E571" s="1315" t="s">
        <v>1594</v>
      </c>
    </row>
    <row r="572" spans="1:5" x14ac:dyDescent="0.25">
      <c r="A572" s="1232">
        <v>571</v>
      </c>
      <c r="B572" s="1232" t="s">
        <v>1619</v>
      </c>
      <c r="C572" s="1319" t="s">
        <v>1651</v>
      </c>
      <c r="D572" s="1319" t="s">
        <v>1511</v>
      </c>
      <c r="E572" s="1315" t="s">
        <v>1810</v>
      </c>
    </row>
    <row r="573" spans="1:5" x14ac:dyDescent="0.25">
      <c r="A573" s="1232">
        <v>572</v>
      </c>
      <c r="B573" s="1232" t="s">
        <v>1619</v>
      </c>
      <c r="C573" s="1319" t="s">
        <v>1651</v>
      </c>
      <c r="D573" s="1319" t="s">
        <v>1648</v>
      </c>
      <c r="E573" s="1315" t="s">
        <v>1483</v>
      </c>
    </row>
    <row r="574" spans="1:5" x14ac:dyDescent="0.25">
      <c r="A574" s="1232">
        <v>573</v>
      </c>
      <c r="B574" s="1232" t="s">
        <v>1619</v>
      </c>
      <c r="C574" s="1319" t="s">
        <v>1651</v>
      </c>
      <c r="D574" s="1319" t="s">
        <v>1648</v>
      </c>
      <c r="E574" s="1315" t="s">
        <v>1480</v>
      </c>
    </row>
    <row r="575" spans="1:5" x14ac:dyDescent="0.25">
      <c r="A575" s="1232">
        <v>574</v>
      </c>
      <c r="B575" s="1232" t="s">
        <v>1619</v>
      </c>
      <c r="C575" s="1319" t="s">
        <v>1651</v>
      </c>
      <c r="D575" s="1319" t="s">
        <v>1648</v>
      </c>
      <c r="E575" s="1315" t="s">
        <v>1481</v>
      </c>
    </row>
    <row r="576" spans="1:5" x14ac:dyDescent="0.25">
      <c r="A576" s="1232">
        <v>575</v>
      </c>
      <c r="B576" s="1232" t="s">
        <v>1619</v>
      </c>
      <c r="C576" s="1319" t="s">
        <v>1651</v>
      </c>
      <c r="D576" s="1319" t="s">
        <v>1648</v>
      </c>
      <c r="E576" s="1315" t="s">
        <v>1497</v>
      </c>
    </row>
    <row r="577" spans="1:5" x14ac:dyDescent="0.25">
      <c r="A577" s="1232">
        <v>576</v>
      </c>
      <c r="B577" s="1232" t="s">
        <v>1619</v>
      </c>
      <c r="C577" s="1319" t="s">
        <v>1651</v>
      </c>
      <c r="D577" s="1319" t="s">
        <v>1511</v>
      </c>
      <c r="E577" s="1315" t="s">
        <v>1482</v>
      </c>
    </row>
    <row r="578" spans="1:5" x14ac:dyDescent="0.25">
      <c r="A578" s="1232">
        <v>577</v>
      </c>
      <c r="B578" s="1232" t="s">
        <v>1619</v>
      </c>
      <c r="C578" s="1319" t="s">
        <v>1651</v>
      </c>
      <c r="D578" s="1319" t="s">
        <v>1648</v>
      </c>
      <c r="E578" s="1315" t="s">
        <v>1589</v>
      </c>
    </row>
    <row r="579" spans="1:5" x14ac:dyDescent="0.25">
      <c r="A579" s="1232">
        <v>578</v>
      </c>
      <c r="B579" s="1232" t="s">
        <v>1619</v>
      </c>
      <c r="C579" s="1319" t="s">
        <v>1651</v>
      </c>
      <c r="D579" s="1319" t="s">
        <v>1648</v>
      </c>
      <c r="E579" s="1315" t="s">
        <v>1590</v>
      </c>
    </row>
    <row r="580" spans="1:5" x14ac:dyDescent="0.25">
      <c r="A580" s="1232">
        <v>579</v>
      </c>
      <c r="B580" s="1232" t="s">
        <v>1619</v>
      </c>
      <c r="C580" s="1319" t="s">
        <v>1651</v>
      </c>
      <c r="D580" s="1319" t="s">
        <v>1511</v>
      </c>
      <c r="E580" s="1315" t="s">
        <v>1591</v>
      </c>
    </row>
    <row r="581" spans="1:5" ht="30" x14ac:dyDescent="0.25">
      <c r="A581" s="1232">
        <v>580</v>
      </c>
      <c r="B581" s="1232" t="s">
        <v>1619</v>
      </c>
      <c r="C581" s="1319" t="s">
        <v>1651</v>
      </c>
      <c r="D581" s="1319" t="s">
        <v>1647</v>
      </c>
      <c r="E581" s="1315" t="s">
        <v>1485</v>
      </c>
    </row>
    <row r="582" spans="1:5" ht="30" x14ac:dyDescent="0.25">
      <c r="A582" s="1232">
        <v>581</v>
      </c>
      <c r="B582" s="1232" t="s">
        <v>1619</v>
      </c>
      <c r="C582" s="1319" t="s">
        <v>1651</v>
      </c>
      <c r="D582" s="1319" t="s">
        <v>1647</v>
      </c>
      <c r="E582" s="1315" t="s">
        <v>1486</v>
      </c>
    </row>
    <row r="583" spans="1:5" ht="30" x14ac:dyDescent="0.25">
      <c r="A583" s="1232">
        <v>582</v>
      </c>
      <c r="B583" s="1232" t="s">
        <v>1619</v>
      </c>
      <c r="C583" s="1319" t="s">
        <v>1651</v>
      </c>
      <c r="D583" s="1319" t="s">
        <v>1647</v>
      </c>
      <c r="E583" s="1315" t="s">
        <v>1598</v>
      </c>
    </row>
    <row r="584" spans="1:5" x14ac:dyDescent="0.25">
      <c r="A584" s="1232">
        <v>583</v>
      </c>
      <c r="B584" s="1232" t="s">
        <v>1619</v>
      </c>
      <c r="C584" s="1319" t="s">
        <v>1651</v>
      </c>
      <c r="D584" s="1319" t="s">
        <v>1511</v>
      </c>
      <c r="E584" s="1315" t="s">
        <v>1595</v>
      </c>
    </row>
    <row r="585" spans="1:5" x14ac:dyDescent="0.25">
      <c r="A585" s="1232">
        <v>584</v>
      </c>
      <c r="B585" s="1232" t="s">
        <v>1619</v>
      </c>
      <c r="C585" s="1319" t="s">
        <v>1651</v>
      </c>
      <c r="D585" s="1319" t="s">
        <v>1648</v>
      </c>
      <c r="E585" s="1315" t="s">
        <v>1609</v>
      </c>
    </row>
    <row r="586" spans="1:5" x14ac:dyDescent="0.25">
      <c r="A586" s="1232">
        <v>585</v>
      </c>
      <c r="B586" s="1232" t="s">
        <v>1619</v>
      </c>
      <c r="C586" s="1319" t="s">
        <v>1652</v>
      </c>
      <c r="D586" s="1319" t="s">
        <v>1648</v>
      </c>
      <c r="E586" s="1315" t="s">
        <v>1487</v>
      </c>
    </row>
    <row r="587" spans="1:5" x14ac:dyDescent="0.25">
      <c r="A587" s="1232">
        <v>586</v>
      </c>
      <c r="B587" s="1232" t="s">
        <v>1619</v>
      </c>
      <c r="C587" s="1319" t="s">
        <v>1652</v>
      </c>
      <c r="D587" s="1319" t="s">
        <v>1648</v>
      </c>
      <c r="E587" s="1315" t="s">
        <v>1488</v>
      </c>
    </row>
    <row r="588" spans="1:5" x14ac:dyDescent="0.25">
      <c r="A588" s="1232">
        <v>587</v>
      </c>
      <c r="B588" s="1232" t="s">
        <v>1619</v>
      </c>
      <c r="C588" s="1319" t="s">
        <v>1652</v>
      </c>
      <c r="D588" s="1319" t="s">
        <v>1648</v>
      </c>
      <c r="E588" s="1315" t="s">
        <v>1489</v>
      </c>
    </row>
    <row r="589" spans="1:5" x14ac:dyDescent="0.25">
      <c r="A589" s="1232">
        <v>588</v>
      </c>
      <c r="B589" s="1232" t="s">
        <v>1619</v>
      </c>
      <c r="C589" s="1319" t="s">
        <v>1651</v>
      </c>
      <c r="D589" s="1319" t="s">
        <v>1648</v>
      </c>
      <c r="E589" s="1315" t="s">
        <v>1611</v>
      </c>
    </row>
    <row r="590" spans="1:5" x14ac:dyDescent="0.25">
      <c r="A590" s="1232">
        <v>589</v>
      </c>
      <c r="B590" s="1232" t="s">
        <v>1619</v>
      </c>
      <c r="C590" s="1319" t="s">
        <v>1653</v>
      </c>
      <c r="D590" s="1319" t="s">
        <v>1616</v>
      </c>
      <c r="E590" s="1315" t="s">
        <v>1594</v>
      </c>
    </row>
    <row r="591" spans="1:5" x14ac:dyDescent="0.25">
      <c r="A591" s="1232">
        <v>590</v>
      </c>
      <c r="B591" s="1232" t="s">
        <v>1619</v>
      </c>
      <c r="C591" s="1319" t="s">
        <v>1653</v>
      </c>
      <c r="D591" s="1319" t="s">
        <v>1511</v>
      </c>
      <c r="E591" s="1315" t="s">
        <v>1810</v>
      </c>
    </row>
    <row r="592" spans="1:5" x14ac:dyDescent="0.25">
      <c r="A592" s="1232">
        <v>591</v>
      </c>
      <c r="B592" s="1232" t="s">
        <v>1619</v>
      </c>
      <c r="C592" s="1319" t="s">
        <v>1653</v>
      </c>
      <c r="D592" s="1319" t="s">
        <v>1616</v>
      </c>
      <c r="E592" s="1315" t="s">
        <v>1483</v>
      </c>
    </row>
    <row r="593" spans="1:5" x14ac:dyDescent="0.25">
      <c r="A593" s="1232">
        <v>592</v>
      </c>
      <c r="B593" s="1232" t="s">
        <v>1619</v>
      </c>
      <c r="C593" s="1319" t="s">
        <v>1653</v>
      </c>
      <c r="D593" s="1319" t="s">
        <v>1616</v>
      </c>
      <c r="E593" s="1315" t="s">
        <v>1480</v>
      </c>
    </row>
    <row r="594" spans="1:5" x14ac:dyDescent="0.25">
      <c r="A594" s="1232">
        <v>593</v>
      </c>
      <c r="B594" s="1232" t="s">
        <v>1619</v>
      </c>
      <c r="C594" s="1319" t="s">
        <v>1653</v>
      </c>
      <c r="D594" s="1319" t="s">
        <v>1616</v>
      </c>
      <c r="E594" s="1315" t="s">
        <v>1481</v>
      </c>
    </row>
    <row r="595" spans="1:5" x14ac:dyDescent="0.25">
      <c r="A595" s="1232">
        <v>594</v>
      </c>
      <c r="B595" s="1232" t="s">
        <v>1619</v>
      </c>
      <c r="C595" s="1319" t="s">
        <v>1653</v>
      </c>
      <c r="D595" s="1319" t="s">
        <v>1616</v>
      </c>
      <c r="E595" s="1315" t="s">
        <v>1497</v>
      </c>
    </row>
    <row r="596" spans="1:5" x14ac:dyDescent="0.25">
      <c r="A596" s="1232">
        <v>595</v>
      </c>
      <c r="B596" s="1232" t="s">
        <v>1619</v>
      </c>
      <c r="C596" s="1319" t="s">
        <v>1653</v>
      </c>
      <c r="D596" s="1319" t="s">
        <v>1616</v>
      </c>
      <c r="E596" s="1315" t="s">
        <v>1482</v>
      </c>
    </row>
    <row r="597" spans="1:5" x14ac:dyDescent="0.25">
      <c r="A597" s="1232">
        <v>596</v>
      </c>
      <c r="B597" s="1232" t="s">
        <v>1619</v>
      </c>
      <c r="C597" s="1319" t="s">
        <v>1653</v>
      </c>
      <c r="D597" s="1319" t="s">
        <v>1616</v>
      </c>
      <c r="E597" s="1315" t="s">
        <v>1589</v>
      </c>
    </row>
    <row r="598" spans="1:5" x14ac:dyDescent="0.25">
      <c r="A598" s="1232">
        <v>597</v>
      </c>
      <c r="B598" s="1232" t="s">
        <v>1619</v>
      </c>
      <c r="C598" s="1319" t="s">
        <v>1653</v>
      </c>
      <c r="D598" s="1319" t="s">
        <v>1616</v>
      </c>
      <c r="E598" s="1315" t="s">
        <v>1590</v>
      </c>
    </row>
    <row r="599" spans="1:5" x14ac:dyDescent="0.25">
      <c r="A599" s="1232">
        <v>598</v>
      </c>
      <c r="B599" s="1232" t="s">
        <v>1619</v>
      </c>
      <c r="C599" s="1319" t="s">
        <v>1653</v>
      </c>
      <c r="D599" s="1319" t="s">
        <v>1511</v>
      </c>
      <c r="E599" s="1315" t="s">
        <v>1591</v>
      </c>
    </row>
    <row r="600" spans="1:5" ht="30" x14ac:dyDescent="0.25">
      <c r="A600" s="1232">
        <v>599</v>
      </c>
      <c r="B600" s="1232" t="s">
        <v>1619</v>
      </c>
      <c r="C600" s="1319" t="s">
        <v>1653</v>
      </c>
      <c r="D600" s="1319" t="s">
        <v>1647</v>
      </c>
      <c r="E600" s="1315" t="s">
        <v>1485</v>
      </c>
    </row>
    <row r="601" spans="1:5" ht="30" x14ac:dyDescent="0.25">
      <c r="A601" s="1232">
        <v>600</v>
      </c>
      <c r="B601" s="1232" t="s">
        <v>1619</v>
      </c>
      <c r="C601" s="1319" t="s">
        <v>1653</v>
      </c>
      <c r="D601" s="1319" t="s">
        <v>1647</v>
      </c>
      <c r="E601" s="1315" t="s">
        <v>1486</v>
      </c>
    </row>
    <row r="602" spans="1:5" ht="30" x14ac:dyDescent="0.25">
      <c r="A602" s="1232">
        <v>601</v>
      </c>
      <c r="B602" s="1232" t="s">
        <v>1619</v>
      </c>
      <c r="C602" s="1319" t="s">
        <v>1653</v>
      </c>
      <c r="D602" s="1319" t="s">
        <v>1647</v>
      </c>
      <c r="E602" s="1315" t="s">
        <v>1598</v>
      </c>
    </row>
    <row r="603" spans="1:5" x14ac:dyDescent="0.25">
      <c r="A603" s="1232">
        <v>602</v>
      </c>
      <c r="B603" s="1232" t="s">
        <v>1619</v>
      </c>
      <c r="C603" s="1319" t="s">
        <v>1653</v>
      </c>
      <c r="D603" s="1319" t="s">
        <v>1511</v>
      </c>
      <c r="E603" s="1315" t="s">
        <v>1595</v>
      </c>
    </row>
    <row r="604" spans="1:5" x14ac:dyDescent="0.25">
      <c r="A604" s="1232">
        <v>603</v>
      </c>
      <c r="B604" s="1232" t="s">
        <v>1619</v>
      </c>
      <c r="C604" s="1319" t="s">
        <v>1653</v>
      </c>
      <c r="D604" s="1319" t="s">
        <v>1616</v>
      </c>
      <c r="E604" s="1315" t="s">
        <v>1609</v>
      </c>
    </row>
    <row r="605" spans="1:5" x14ac:dyDescent="0.25">
      <c r="A605" s="1232">
        <v>604</v>
      </c>
      <c r="B605" s="1232" t="s">
        <v>1619</v>
      </c>
      <c r="C605" s="1319" t="s">
        <v>1654</v>
      </c>
      <c r="D605" s="1319" t="s">
        <v>1616</v>
      </c>
      <c r="E605" s="1315" t="s">
        <v>1487</v>
      </c>
    </row>
    <row r="606" spans="1:5" x14ac:dyDescent="0.25">
      <c r="A606" s="1232">
        <v>605</v>
      </c>
      <c r="B606" s="1232" t="s">
        <v>1619</v>
      </c>
      <c r="C606" s="1319" t="s">
        <v>1654</v>
      </c>
      <c r="D606" s="1319" t="s">
        <v>1616</v>
      </c>
      <c r="E606" s="1315" t="s">
        <v>1488</v>
      </c>
    </row>
    <row r="607" spans="1:5" x14ac:dyDescent="0.25">
      <c r="A607" s="1232">
        <v>606</v>
      </c>
      <c r="B607" s="1232" t="s">
        <v>1619</v>
      </c>
      <c r="C607" s="1319" t="s">
        <v>1654</v>
      </c>
      <c r="D607" s="1319" t="s">
        <v>1616</v>
      </c>
      <c r="E607" s="1315" t="s">
        <v>1489</v>
      </c>
    </row>
    <row r="608" spans="1:5" x14ac:dyDescent="0.25">
      <c r="A608" s="1232">
        <v>607</v>
      </c>
      <c r="B608" s="1232" t="s">
        <v>1619</v>
      </c>
      <c r="C608" s="1319" t="s">
        <v>1655</v>
      </c>
      <c r="D608" s="1319" t="s">
        <v>1616</v>
      </c>
      <c r="E608" s="1315" t="s">
        <v>1487</v>
      </c>
    </row>
    <row r="609" spans="1:5" x14ac:dyDescent="0.25">
      <c r="A609" s="1232">
        <v>608</v>
      </c>
      <c r="B609" s="1232" t="s">
        <v>1619</v>
      </c>
      <c r="C609" s="1319" t="s">
        <v>1655</v>
      </c>
      <c r="D609" s="1319" t="s">
        <v>1616</v>
      </c>
      <c r="E609" s="1315" t="s">
        <v>1488</v>
      </c>
    </row>
    <row r="610" spans="1:5" x14ac:dyDescent="0.25">
      <c r="A610" s="1232">
        <v>609</v>
      </c>
      <c r="B610" s="1232" t="s">
        <v>1619</v>
      </c>
      <c r="C610" s="1319" t="s">
        <v>1655</v>
      </c>
      <c r="D610" s="1319" t="s">
        <v>1616</v>
      </c>
      <c r="E610" s="1315" t="s">
        <v>1489</v>
      </c>
    </row>
    <row r="611" spans="1:5" x14ac:dyDescent="0.25">
      <c r="A611" s="1232">
        <v>610</v>
      </c>
      <c r="B611" s="1232" t="s">
        <v>1619</v>
      </c>
      <c r="C611" s="1319" t="s">
        <v>1656</v>
      </c>
      <c r="D611" s="1319" t="s">
        <v>1616</v>
      </c>
      <c r="E611" s="1315" t="s">
        <v>1487</v>
      </c>
    </row>
    <row r="612" spans="1:5" x14ac:dyDescent="0.25">
      <c r="A612" s="1232">
        <v>611</v>
      </c>
      <c r="B612" s="1232" t="s">
        <v>1619</v>
      </c>
      <c r="C612" s="1319" t="s">
        <v>1656</v>
      </c>
      <c r="D612" s="1319" t="s">
        <v>1616</v>
      </c>
      <c r="E612" s="1315" t="s">
        <v>1488</v>
      </c>
    </row>
    <row r="613" spans="1:5" x14ac:dyDescent="0.25">
      <c r="A613" s="1232">
        <v>612</v>
      </c>
      <c r="B613" s="1232" t="s">
        <v>1619</v>
      </c>
      <c r="C613" s="1319" t="s">
        <v>1656</v>
      </c>
      <c r="D613" s="1319" t="s">
        <v>1616</v>
      </c>
      <c r="E613" s="1315" t="s">
        <v>1489</v>
      </c>
    </row>
    <row r="614" spans="1:5" x14ac:dyDescent="0.25">
      <c r="A614" s="1232">
        <v>613</v>
      </c>
      <c r="B614" s="1232" t="s">
        <v>1619</v>
      </c>
      <c r="C614" s="1319" t="s">
        <v>1657</v>
      </c>
      <c r="D614" s="1319" t="s">
        <v>1616</v>
      </c>
      <c r="E614" s="1315" t="s">
        <v>1487</v>
      </c>
    </row>
    <row r="615" spans="1:5" x14ac:dyDescent="0.25">
      <c r="A615" s="1232">
        <v>614</v>
      </c>
      <c r="B615" s="1232" t="s">
        <v>1619</v>
      </c>
      <c r="C615" s="1319" t="s">
        <v>1657</v>
      </c>
      <c r="D615" s="1319" t="s">
        <v>1616</v>
      </c>
      <c r="E615" s="1315" t="s">
        <v>1488</v>
      </c>
    </row>
    <row r="616" spans="1:5" x14ac:dyDescent="0.25">
      <c r="A616" s="1232">
        <v>615</v>
      </c>
      <c r="B616" s="1232" t="s">
        <v>1619</v>
      </c>
      <c r="C616" s="1319" t="s">
        <v>1657</v>
      </c>
      <c r="D616" s="1319" t="s">
        <v>1616</v>
      </c>
      <c r="E616" s="1315" t="s">
        <v>1489</v>
      </c>
    </row>
    <row r="617" spans="1:5" x14ac:dyDescent="0.25">
      <c r="A617" s="1232">
        <v>616</v>
      </c>
      <c r="B617" s="1232" t="s">
        <v>1619</v>
      </c>
      <c r="C617" s="1319" t="s">
        <v>1658</v>
      </c>
      <c r="D617" s="1319" t="s">
        <v>1616</v>
      </c>
      <c r="E617" s="1315" t="s">
        <v>1487</v>
      </c>
    </row>
    <row r="618" spans="1:5" x14ac:dyDescent="0.25">
      <c r="A618" s="1232">
        <v>617</v>
      </c>
      <c r="B618" s="1232" t="s">
        <v>1619</v>
      </c>
      <c r="C618" s="1319" t="s">
        <v>1658</v>
      </c>
      <c r="D618" s="1319" t="s">
        <v>1616</v>
      </c>
      <c r="E618" s="1315" t="s">
        <v>1488</v>
      </c>
    </row>
    <row r="619" spans="1:5" x14ac:dyDescent="0.25">
      <c r="A619" s="1232">
        <v>618</v>
      </c>
      <c r="B619" s="1232" t="s">
        <v>1619</v>
      </c>
      <c r="C619" s="1319" t="s">
        <v>1658</v>
      </c>
      <c r="D619" s="1319" t="s">
        <v>1616</v>
      </c>
      <c r="E619" s="1315" t="s">
        <v>1489</v>
      </c>
    </row>
    <row r="620" spans="1:5" x14ac:dyDescent="0.25">
      <c r="A620" s="1232">
        <v>619</v>
      </c>
      <c r="B620" s="1232" t="s">
        <v>1619</v>
      </c>
      <c r="C620" s="1319" t="s">
        <v>1653</v>
      </c>
      <c r="D620" s="1319" t="s">
        <v>1611</v>
      </c>
      <c r="E620" s="1315" t="s">
        <v>1611</v>
      </c>
    </row>
    <row r="621" spans="1:5" x14ac:dyDescent="0.25">
      <c r="A621" s="1232">
        <v>620</v>
      </c>
      <c r="B621" s="1232" t="s">
        <v>1619</v>
      </c>
      <c r="C621" s="1319" t="s">
        <v>1659</v>
      </c>
      <c r="D621" s="1319" t="s">
        <v>1616</v>
      </c>
      <c r="E621" s="1315" t="s">
        <v>1594</v>
      </c>
    </row>
    <row r="622" spans="1:5" x14ac:dyDescent="0.25">
      <c r="A622" s="1232">
        <v>621</v>
      </c>
      <c r="B622" s="1232" t="s">
        <v>1619</v>
      </c>
      <c r="C622" s="1319" t="s">
        <v>1659</v>
      </c>
      <c r="D622" s="1319" t="s">
        <v>1511</v>
      </c>
      <c r="E622" s="1315" t="s">
        <v>1810</v>
      </c>
    </row>
    <row r="623" spans="1:5" x14ac:dyDescent="0.25">
      <c r="A623" s="1232">
        <v>622</v>
      </c>
      <c r="B623" s="1232" t="s">
        <v>1619</v>
      </c>
      <c r="C623" s="1319" t="s">
        <v>1659</v>
      </c>
      <c r="D623" s="1319" t="s">
        <v>1616</v>
      </c>
      <c r="E623" s="1315" t="s">
        <v>1483</v>
      </c>
    </row>
    <row r="624" spans="1:5" x14ac:dyDescent="0.25">
      <c r="A624" s="1232">
        <v>623</v>
      </c>
      <c r="B624" s="1232" t="s">
        <v>1619</v>
      </c>
      <c r="C624" s="1319" t="s">
        <v>1659</v>
      </c>
      <c r="D624" s="1319" t="s">
        <v>1616</v>
      </c>
      <c r="E624" s="1315" t="s">
        <v>1480</v>
      </c>
    </row>
    <row r="625" spans="1:5" x14ac:dyDescent="0.25">
      <c r="A625" s="1232">
        <v>624</v>
      </c>
      <c r="B625" s="1232" t="s">
        <v>1619</v>
      </c>
      <c r="C625" s="1319" t="s">
        <v>1659</v>
      </c>
      <c r="D625" s="1319" t="s">
        <v>1616</v>
      </c>
      <c r="E625" s="1315" t="s">
        <v>1481</v>
      </c>
    </row>
    <row r="626" spans="1:5" x14ac:dyDescent="0.25">
      <c r="A626" s="1232">
        <v>625</v>
      </c>
      <c r="B626" s="1232" t="s">
        <v>1619</v>
      </c>
      <c r="C626" s="1319" t="s">
        <v>1659</v>
      </c>
      <c r="D626" s="1319" t="s">
        <v>1616</v>
      </c>
      <c r="E626" s="1315" t="s">
        <v>1497</v>
      </c>
    </row>
    <row r="627" spans="1:5" x14ac:dyDescent="0.25">
      <c r="A627" s="1232">
        <v>626</v>
      </c>
      <c r="B627" s="1232" t="s">
        <v>1619</v>
      </c>
      <c r="C627" s="1319" t="s">
        <v>1659</v>
      </c>
      <c r="D627" s="1319" t="s">
        <v>1616</v>
      </c>
      <c r="E627" s="1315" t="s">
        <v>1482</v>
      </c>
    </row>
    <row r="628" spans="1:5" x14ac:dyDescent="0.25">
      <c r="A628" s="1232">
        <v>627</v>
      </c>
      <c r="B628" s="1232" t="s">
        <v>1619</v>
      </c>
      <c r="C628" s="1319" t="s">
        <v>1659</v>
      </c>
      <c r="D628" s="1319" t="s">
        <v>1616</v>
      </c>
      <c r="E628" s="1315" t="s">
        <v>1589</v>
      </c>
    </row>
    <row r="629" spans="1:5" x14ac:dyDescent="0.25">
      <c r="A629" s="1232">
        <v>628</v>
      </c>
      <c r="B629" s="1232" t="s">
        <v>1619</v>
      </c>
      <c r="C629" s="1319" t="s">
        <v>1659</v>
      </c>
      <c r="D629" s="1319" t="s">
        <v>1616</v>
      </c>
      <c r="E629" s="1315" t="s">
        <v>1590</v>
      </c>
    </row>
    <row r="630" spans="1:5" x14ac:dyDescent="0.25">
      <c r="A630" s="1232">
        <v>629</v>
      </c>
      <c r="B630" s="1232" t="s">
        <v>1619</v>
      </c>
      <c r="C630" s="1319" t="s">
        <v>1659</v>
      </c>
      <c r="D630" s="1319" t="s">
        <v>1511</v>
      </c>
      <c r="E630" s="1315" t="s">
        <v>1591</v>
      </c>
    </row>
    <row r="631" spans="1:5" ht="30" x14ac:dyDescent="0.25">
      <c r="A631" s="1232">
        <v>630</v>
      </c>
      <c r="B631" s="1232" t="s">
        <v>1619</v>
      </c>
      <c r="C631" s="1319" t="s">
        <v>1659</v>
      </c>
      <c r="D631" s="1319" t="s">
        <v>1647</v>
      </c>
      <c r="E631" s="1315" t="s">
        <v>1485</v>
      </c>
    </row>
    <row r="632" spans="1:5" ht="30" x14ac:dyDescent="0.25">
      <c r="A632" s="1232">
        <v>631</v>
      </c>
      <c r="B632" s="1232" t="s">
        <v>1619</v>
      </c>
      <c r="C632" s="1319" t="s">
        <v>1659</v>
      </c>
      <c r="D632" s="1319" t="s">
        <v>1647</v>
      </c>
      <c r="E632" s="1315" t="s">
        <v>1486</v>
      </c>
    </row>
    <row r="633" spans="1:5" ht="30" x14ac:dyDescent="0.25">
      <c r="A633" s="1232">
        <v>632</v>
      </c>
      <c r="B633" s="1232" t="s">
        <v>1619</v>
      </c>
      <c r="C633" s="1319" t="s">
        <v>1659</v>
      </c>
      <c r="D633" s="1319" t="s">
        <v>1647</v>
      </c>
      <c r="E633" s="1315" t="s">
        <v>1598</v>
      </c>
    </row>
    <row r="634" spans="1:5" x14ac:dyDescent="0.25">
      <c r="A634" s="1232">
        <v>633</v>
      </c>
      <c r="B634" s="1232" t="s">
        <v>1619</v>
      </c>
      <c r="C634" s="1319" t="s">
        <v>1659</v>
      </c>
      <c r="D634" s="1319" t="s">
        <v>1511</v>
      </c>
      <c r="E634" s="1315" t="s">
        <v>1595</v>
      </c>
    </row>
    <row r="635" spans="1:5" x14ac:dyDescent="0.25">
      <c r="A635" s="1232">
        <v>634</v>
      </c>
      <c r="B635" s="1232" t="s">
        <v>1619</v>
      </c>
      <c r="C635" s="1319" t="s">
        <v>1659</v>
      </c>
      <c r="D635" s="1319" t="s">
        <v>1616</v>
      </c>
      <c r="E635" s="1315" t="s">
        <v>1609</v>
      </c>
    </row>
    <row r="636" spans="1:5" x14ac:dyDescent="0.25">
      <c r="A636" s="1232">
        <v>635</v>
      </c>
      <c r="B636" s="1232" t="s">
        <v>1619</v>
      </c>
      <c r="C636" s="1319" t="s">
        <v>1660</v>
      </c>
      <c r="D636" s="1319" t="s">
        <v>1616</v>
      </c>
      <c r="E636" s="1315" t="s">
        <v>1487</v>
      </c>
    </row>
    <row r="637" spans="1:5" x14ac:dyDescent="0.25">
      <c r="A637" s="1232">
        <v>636</v>
      </c>
      <c r="B637" s="1232" t="s">
        <v>1619</v>
      </c>
      <c r="C637" s="1319" t="s">
        <v>1660</v>
      </c>
      <c r="D637" s="1319" t="s">
        <v>1616</v>
      </c>
      <c r="E637" s="1315" t="s">
        <v>1488</v>
      </c>
    </row>
    <row r="638" spans="1:5" x14ac:dyDescent="0.25">
      <c r="A638" s="1232">
        <v>637</v>
      </c>
      <c r="B638" s="1232" t="s">
        <v>1619</v>
      </c>
      <c r="C638" s="1319" t="s">
        <v>1660</v>
      </c>
      <c r="D638" s="1319" t="s">
        <v>1616</v>
      </c>
      <c r="E638" s="1315" t="s">
        <v>1489</v>
      </c>
    </row>
    <row r="639" spans="1:5" x14ac:dyDescent="0.25">
      <c r="A639" s="1232">
        <v>638</v>
      </c>
      <c r="B639" s="1232" t="s">
        <v>1619</v>
      </c>
      <c r="C639" s="1319" t="s">
        <v>1661</v>
      </c>
      <c r="D639" s="1319" t="s">
        <v>1616</v>
      </c>
      <c r="E639" s="1315" t="s">
        <v>1487</v>
      </c>
    </row>
    <row r="640" spans="1:5" x14ac:dyDescent="0.25">
      <c r="A640" s="1232">
        <v>639</v>
      </c>
      <c r="B640" s="1232" t="s">
        <v>1619</v>
      </c>
      <c r="C640" s="1319" t="s">
        <v>1661</v>
      </c>
      <c r="D640" s="1319" t="s">
        <v>1616</v>
      </c>
      <c r="E640" s="1315" t="s">
        <v>1488</v>
      </c>
    </row>
    <row r="641" spans="1:5" x14ac:dyDescent="0.25">
      <c r="A641" s="1232">
        <v>640</v>
      </c>
      <c r="B641" s="1232" t="s">
        <v>1619</v>
      </c>
      <c r="C641" s="1319" t="s">
        <v>1661</v>
      </c>
      <c r="D641" s="1319" t="s">
        <v>1616</v>
      </c>
      <c r="E641" s="1315" t="s">
        <v>1489</v>
      </c>
    </row>
    <row r="642" spans="1:5" x14ac:dyDescent="0.25">
      <c r="A642" s="1232">
        <v>641</v>
      </c>
      <c r="B642" s="1232" t="s">
        <v>1619</v>
      </c>
      <c r="C642" s="1319" t="s">
        <v>1662</v>
      </c>
      <c r="D642" s="1319" t="s">
        <v>1616</v>
      </c>
      <c r="E642" s="1315" t="s">
        <v>1487</v>
      </c>
    </row>
    <row r="643" spans="1:5" x14ac:dyDescent="0.25">
      <c r="A643" s="1232">
        <v>642</v>
      </c>
      <c r="B643" s="1232" t="s">
        <v>1619</v>
      </c>
      <c r="C643" s="1319" t="s">
        <v>1662</v>
      </c>
      <c r="D643" s="1319" t="s">
        <v>1616</v>
      </c>
      <c r="E643" s="1315" t="s">
        <v>1488</v>
      </c>
    </row>
    <row r="644" spans="1:5" x14ac:dyDescent="0.25">
      <c r="A644" s="1232">
        <v>643</v>
      </c>
      <c r="B644" s="1232" t="s">
        <v>1619</v>
      </c>
      <c r="C644" s="1319" t="s">
        <v>1662</v>
      </c>
      <c r="D644" s="1319" t="s">
        <v>1616</v>
      </c>
      <c r="E644" s="1315" t="s">
        <v>1489</v>
      </c>
    </row>
    <row r="645" spans="1:5" x14ac:dyDescent="0.25">
      <c r="A645" s="1232">
        <v>644</v>
      </c>
      <c r="B645" s="1232" t="s">
        <v>1619</v>
      </c>
      <c r="C645" s="1319" t="s">
        <v>1663</v>
      </c>
      <c r="D645" s="1319" t="s">
        <v>1616</v>
      </c>
      <c r="E645" s="1315" t="s">
        <v>1487</v>
      </c>
    </row>
    <row r="646" spans="1:5" x14ac:dyDescent="0.25">
      <c r="A646" s="1232">
        <v>645</v>
      </c>
      <c r="B646" s="1232" t="s">
        <v>1619</v>
      </c>
      <c r="C646" s="1319" t="s">
        <v>1663</v>
      </c>
      <c r="D646" s="1319" t="s">
        <v>1616</v>
      </c>
      <c r="E646" s="1315" t="s">
        <v>1488</v>
      </c>
    </row>
    <row r="647" spans="1:5" x14ac:dyDescent="0.25">
      <c r="A647" s="1232">
        <v>646</v>
      </c>
      <c r="B647" s="1232" t="s">
        <v>1619</v>
      </c>
      <c r="C647" s="1319" t="s">
        <v>1663</v>
      </c>
      <c r="D647" s="1319" t="s">
        <v>1616</v>
      </c>
      <c r="E647" s="1315" t="s">
        <v>1489</v>
      </c>
    </row>
    <row r="648" spans="1:5" x14ac:dyDescent="0.25">
      <c r="A648" s="1232">
        <v>647</v>
      </c>
      <c r="B648" s="1232" t="s">
        <v>1619</v>
      </c>
      <c r="C648" s="1319" t="s">
        <v>1664</v>
      </c>
      <c r="D648" s="1319" t="s">
        <v>1616</v>
      </c>
      <c r="E648" s="1315" t="s">
        <v>1487</v>
      </c>
    </row>
    <row r="649" spans="1:5" x14ac:dyDescent="0.25">
      <c r="A649" s="1232">
        <v>648</v>
      </c>
      <c r="B649" s="1232" t="s">
        <v>1619</v>
      </c>
      <c r="C649" s="1319" t="s">
        <v>1664</v>
      </c>
      <c r="D649" s="1319" t="s">
        <v>1616</v>
      </c>
      <c r="E649" s="1315" t="s">
        <v>1488</v>
      </c>
    </row>
    <row r="650" spans="1:5" x14ac:dyDescent="0.25">
      <c r="A650" s="1232">
        <v>649</v>
      </c>
      <c r="B650" s="1232" t="s">
        <v>1619</v>
      </c>
      <c r="C650" s="1319" t="s">
        <v>1664</v>
      </c>
      <c r="D650" s="1319" t="s">
        <v>1616</v>
      </c>
      <c r="E650" s="1315" t="s">
        <v>1489</v>
      </c>
    </row>
    <row r="651" spans="1:5" x14ac:dyDescent="0.25">
      <c r="A651" s="1232">
        <v>650</v>
      </c>
      <c r="B651" s="1232" t="s">
        <v>1619</v>
      </c>
      <c r="C651" s="1319" t="s">
        <v>1659</v>
      </c>
      <c r="D651" s="1319" t="s">
        <v>1611</v>
      </c>
      <c r="E651" s="1315" t="s">
        <v>1611</v>
      </c>
    </row>
    <row r="652" spans="1:5" x14ac:dyDescent="0.25">
      <c r="A652" s="1232">
        <v>651</v>
      </c>
      <c r="B652" s="1232" t="s">
        <v>1619</v>
      </c>
      <c r="C652" s="1319" t="s">
        <v>1665</v>
      </c>
      <c r="D652" s="1319" t="s">
        <v>1625</v>
      </c>
      <c r="E652" s="1315" t="s">
        <v>1594</v>
      </c>
    </row>
    <row r="653" spans="1:5" x14ac:dyDescent="0.25">
      <c r="A653" s="1232">
        <v>652</v>
      </c>
      <c r="B653" s="1232" t="s">
        <v>1619</v>
      </c>
      <c r="C653" s="1319" t="s">
        <v>1665</v>
      </c>
      <c r="D653" s="1319" t="s">
        <v>1511</v>
      </c>
      <c r="E653" s="1315" t="s">
        <v>1810</v>
      </c>
    </row>
    <row r="654" spans="1:5" x14ac:dyDescent="0.25">
      <c r="A654" s="1232">
        <v>653</v>
      </c>
      <c r="B654" s="1232" t="s">
        <v>1619</v>
      </c>
      <c r="C654" s="1319" t="s">
        <v>1665</v>
      </c>
      <c r="D654" s="1319" t="s">
        <v>1625</v>
      </c>
      <c r="E654" s="1315" t="s">
        <v>1483</v>
      </c>
    </row>
    <row r="655" spans="1:5" x14ac:dyDescent="0.25">
      <c r="A655" s="1232">
        <v>654</v>
      </c>
      <c r="B655" s="1232" t="s">
        <v>1619</v>
      </c>
      <c r="C655" s="1319" t="s">
        <v>1665</v>
      </c>
      <c r="D655" s="1319" t="s">
        <v>1625</v>
      </c>
      <c r="E655" s="1315" t="s">
        <v>1480</v>
      </c>
    </row>
    <row r="656" spans="1:5" x14ac:dyDescent="0.25">
      <c r="A656" s="1232">
        <v>655</v>
      </c>
      <c r="B656" s="1232" t="s">
        <v>1619</v>
      </c>
      <c r="C656" s="1319" t="s">
        <v>1665</v>
      </c>
      <c r="D656" s="1319" t="s">
        <v>1625</v>
      </c>
      <c r="E656" s="1315" t="s">
        <v>1481</v>
      </c>
    </row>
    <row r="657" spans="1:5" x14ac:dyDescent="0.25">
      <c r="A657" s="1232">
        <v>656</v>
      </c>
      <c r="B657" s="1232" t="s">
        <v>1619</v>
      </c>
      <c r="C657" s="1319" t="s">
        <v>1665</v>
      </c>
      <c r="D657" s="1319" t="s">
        <v>1625</v>
      </c>
      <c r="E657" s="1315" t="s">
        <v>1497</v>
      </c>
    </row>
    <row r="658" spans="1:5" x14ac:dyDescent="0.25">
      <c r="A658" s="1232">
        <v>657</v>
      </c>
      <c r="B658" s="1232" t="s">
        <v>1619</v>
      </c>
      <c r="C658" s="1319" t="s">
        <v>1665</v>
      </c>
      <c r="D658" s="1319" t="s">
        <v>1625</v>
      </c>
      <c r="E658" s="1315" t="s">
        <v>1482</v>
      </c>
    </row>
    <row r="659" spans="1:5" x14ac:dyDescent="0.25">
      <c r="A659" s="1232">
        <v>658</v>
      </c>
      <c r="B659" s="1232" t="s">
        <v>1619</v>
      </c>
      <c r="C659" s="1319" t="s">
        <v>1665</v>
      </c>
      <c r="D659" s="1319" t="s">
        <v>1625</v>
      </c>
      <c r="E659" s="1315" t="s">
        <v>1589</v>
      </c>
    </row>
    <row r="660" spans="1:5" x14ac:dyDescent="0.25">
      <c r="A660" s="1232">
        <v>659</v>
      </c>
      <c r="B660" s="1232" t="s">
        <v>1619</v>
      </c>
      <c r="C660" s="1319" t="s">
        <v>1665</v>
      </c>
      <c r="D660" s="1319" t="s">
        <v>1625</v>
      </c>
      <c r="E660" s="1315" t="s">
        <v>1590</v>
      </c>
    </row>
    <row r="661" spans="1:5" x14ac:dyDescent="0.25">
      <c r="A661" s="1232">
        <v>660</v>
      </c>
      <c r="B661" s="1232" t="s">
        <v>1619</v>
      </c>
      <c r="C661" s="1319" t="s">
        <v>1665</v>
      </c>
      <c r="D661" s="1319" t="s">
        <v>1511</v>
      </c>
      <c r="E661" s="1315" t="s">
        <v>1591</v>
      </c>
    </row>
    <row r="662" spans="1:5" ht="30" x14ac:dyDescent="0.25">
      <c r="A662" s="1232">
        <v>661</v>
      </c>
      <c r="B662" s="1232" t="s">
        <v>1619</v>
      </c>
      <c r="C662" s="1319" t="s">
        <v>1665</v>
      </c>
      <c r="D662" s="1319" t="s">
        <v>1647</v>
      </c>
      <c r="E662" s="1315" t="s">
        <v>1485</v>
      </c>
    </row>
    <row r="663" spans="1:5" ht="30" x14ac:dyDescent="0.25">
      <c r="A663" s="1232">
        <v>662</v>
      </c>
      <c r="B663" s="1232" t="s">
        <v>1619</v>
      </c>
      <c r="C663" s="1319" t="s">
        <v>1665</v>
      </c>
      <c r="D663" s="1319" t="s">
        <v>1647</v>
      </c>
      <c r="E663" s="1315" t="s">
        <v>1486</v>
      </c>
    </row>
    <row r="664" spans="1:5" ht="30" x14ac:dyDescent="0.25">
      <c r="A664" s="1232">
        <v>663</v>
      </c>
      <c r="B664" s="1232" t="s">
        <v>1619</v>
      </c>
      <c r="C664" s="1319" t="s">
        <v>1665</v>
      </c>
      <c r="D664" s="1319" t="s">
        <v>1647</v>
      </c>
      <c r="E664" s="1315" t="s">
        <v>1598</v>
      </c>
    </row>
    <row r="665" spans="1:5" x14ac:dyDescent="0.25">
      <c r="A665" s="1232">
        <v>664</v>
      </c>
      <c r="B665" s="1232" t="s">
        <v>1619</v>
      </c>
      <c r="C665" s="1319" t="s">
        <v>1665</v>
      </c>
      <c r="D665" s="1319" t="s">
        <v>1511</v>
      </c>
      <c r="E665" s="1315" t="s">
        <v>1595</v>
      </c>
    </row>
    <row r="666" spans="1:5" x14ac:dyDescent="0.25">
      <c r="A666" s="1232">
        <v>665</v>
      </c>
      <c r="B666" s="1232" t="s">
        <v>1619</v>
      </c>
      <c r="C666" s="1319" t="s">
        <v>1665</v>
      </c>
      <c r="D666" s="1319" t="s">
        <v>1625</v>
      </c>
      <c r="E666" s="1315" t="s">
        <v>1609</v>
      </c>
    </row>
    <row r="667" spans="1:5" x14ac:dyDescent="0.25">
      <c r="A667" s="1232">
        <v>666</v>
      </c>
      <c r="B667" s="1232" t="s">
        <v>1619</v>
      </c>
      <c r="C667" s="1319" t="s">
        <v>1666</v>
      </c>
      <c r="D667" s="1319" t="s">
        <v>1625</v>
      </c>
      <c r="E667" s="1315" t="s">
        <v>1487</v>
      </c>
    </row>
    <row r="668" spans="1:5" x14ac:dyDescent="0.25">
      <c r="A668" s="1232">
        <v>667</v>
      </c>
      <c r="B668" s="1232" t="s">
        <v>1619</v>
      </c>
      <c r="C668" s="1319" t="s">
        <v>1666</v>
      </c>
      <c r="D668" s="1319" t="s">
        <v>1625</v>
      </c>
      <c r="E668" s="1315" t="s">
        <v>1488</v>
      </c>
    </row>
    <row r="669" spans="1:5" x14ac:dyDescent="0.25">
      <c r="A669" s="1232">
        <v>668</v>
      </c>
      <c r="B669" s="1232" t="s">
        <v>1619</v>
      </c>
      <c r="C669" s="1319" t="s">
        <v>1666</v>
      </c>
      <c r="D669" s="1319" t="s">
        <v>1625</v>
      </c>
      <c r="E669" s="1315" t="s">
        <v>1489</v>
      </c>
    </row>
    <row r="670" spans="1:5" x14ac:dyDescent="0.25">
      <c r="A670" s="1232">
        <v>669</v>
      </c>
      <c r="B670" s="1232" t="s">
        <v>1619</v>
      </c>
      <c r="C670" s="1319" t="s">
        <v>1667</v>
      </c>
      <c r="D670" s="1319" t="s">
        <v>1625</v>
      </c>
      <c r="E670" s="1315" t="s">
        <v>1594</v>
      </c>
    </row>
    <row r="671" spans="1:5" x14ac:dyDescent="0.25">
      <c r="A671" s="1232">
        <v>670</v>
      </c>
      <c r="B671" s="1232" t="s">
        <v>1619</v>
      </c>
      <c r="C671" s="1319" t="s">
        <v>1667</v>
      </c>
      <c r="D671" s="1319" t="s">
        <v>1511</v>
      </c>
      <c r="E671" s="1315" t="s">
        <v>1810</v>
      </c>
    </row>
    <row r="672" spans="1:5" x14ac:dyDescent="0.25">
      <c r="A672" s="1232">
        <v>671</v>
      </c>
      <c r="B672" s="1232" t="s">
        <v>1619</v>
      </c>
      <c r="C672" s="1319" t="s">
        <v>1667</v>
      </c>
      <c r="D672" s="1319" t="s">
        <v>1625</v>
      </c>
      <c r="E672" s="1315" t="s">
        <v>1483</v>
      </c>
    </row>
    <row r="673" spans="1:5" x14ac:dyDescent="0.25">
      <c r="A673" s="1232">
        <v>672</v>
      </c>
      <c r="B673" s="1232" t="s">
        <v>1619</v>
      </c>
      <c r="C673" s="1319" t="s">
        <v>1667</v>
      </c>
      <c r="D673" s="1319" t="s">
        <v>1625</v>
      </c>
      <c r="E673" s="1315" t="s">
        <v>1480</v>
      </c>
    </row>
    <row r="674" spans="1:5" x14ac:dyDescent="0.25">
      <c r="A674" s="1232">
        <v>673</v>
      </c>
      <c r="B674" s="1232" t="s">
        <v>1619</v>
      </c>
      <c r="C674" s="1319" t="s">
        <v>1667</v>
      </c>
      <c r="D674" s="1319" t="s">
        <v>1625</v>
      </c>
      <c r="E674" s="1315" t="s">
        <v>1481</v>
      </c>
    </row>
    <row r="675" spans="1:5" x14ac:dyDescent="0.25">
      <c r="A675" s="1232">
        <v>674</v>
      </c>
      <c r="B675" s="1232" t="s">
        <v>1619</v>
      </c>
      <c r="C675" s="1319" t="s">
        <v>1667</v>
      </c>
      <c r="D675" s="1319" t="s">
        <v>1625</v>
      </c>
      <c r="E675" s="1315" t="s">
        <v>1497</v>
      </c>
    </row>
    <row r="676" spans="1:5" x14ac:dyDescent="0.25">
      <c r="A676" s="1232">
        <v>675</v>
      </c>
      <c r="B676" s="1232" t="s">
        <v>1619</v>
      </c>
      <c r="C676" s="1319" t="s">
        <v>1667</v>
      </c>
      <c r="D676" s="1319" t="s">
        <v>1625</v>
      </c>
      <c r="E676" s="1315" t="s">
        <v>1482</v>
      </c>
    </row>
    <row r="677" spans="1:5" x14ac:dyDescent="0.25">
      <c r="A677" s="1232">
        <v>676</v>
      </c>
      <c r="B677" s="1232" t="s">
        <v>1619</v>
      </c>
      <c r="C677" s="1319" t="s">
        <v>1667</v>
      </c>
      <c r="D677" s="1319" t="s">
        <v>1625</v>
      </c>
      <c r="E677" s="1315" t="s">
        <v>1589</v>
      </c>
    </row>
    <row r="678" spans="1:5" x14ac:dyDescent="0.25">
      <c r="A678" s="1232">
        <v>677</v>
      </c>
      <c r="B678" s="1232" t="s">
        <v>1619</v>
      </c>
      <c r="C678" s="1319" t="s">
        <v>1667</v>
      </c>
      <c r="D678" s="1319" t="s">
        <v>1625</v>
      </c>
      <c r="E678" s="1315" t="s">
        <v>1590</v>
      </c>
    </row>
    <row r="679" spans="1:5" x14ac:dyDescent="0.25">
      <c r="A679" s="1232">
        <v>678</v>
      </c>
      <c r="B679" s="1232" t="s">
        <v>1619</v>
      </c>
      <c r="C679" s="1319" t="s">
        <v>1667</v>
      </c>
      <c r="D679" s="1319" t="s">
        <v>1511</v>
      </c>
      <c r="E679" s="1315" t="s">
        <v>1591</v>
      </c>
    </row>
    <row r="680" spans="1:5" ht="30" x14ac:dyDescent="0.25">
      <c r="A680" s="1232">
        <v>679</v>
      </c>
      <c r="B680" s="1232" t="s">
        <v>1619</v>
      </c>
      <c r="C680" s="1319" t="s">
        <v>1667</v>
      </c>
      <c r="D680" s="1319" t="s">
        <v>1647</v>
      </c>
      <c r="E680" s="1315" t="s">
        <v>1485</v>
      </c>
    </row>
    <row r="681" spans="1:5" ht="30" x14ac:dyDescent="0.25">
      <c r="A681" s="1232">
        <v>680</v>
      </c>
      <c r="B681" s="1232" t="s">
        <v>1619</v>
      </c>
      <c r="C681" s="1319" t="s">
        <v>1667</v>
      </c>
      <c r="D681" s="1319" t="s">
        <v>1647</v>
      </c>
      <c r="E681" s="1315" t="s">
        <v>1486</v>
      </c>
    </row>
    <row r="682" spans="1:5" ht="30" x14ac:dyDescent="0.25">
      <c r="A682" s="1232">
        <v>681</v>
      </c>
      <c r="B682" s="1232" t="s">
        <v>1619</v>
      </c>
      <c r="C682" s="1319" t="s">
        <v>1667</v>
      </c>
      <c r="D682" s="1319" t="s">
        <v>1647</v>
      </c>
      <c r="E682" s="1315" t="s">
        <v>1598</v>
      </c>
    </row>
    <row r="683" spans="1:5" x14ac:dyDescent="0.25">
      <c r="A683" s="1232">
        <v>682</v>
      </c>
      <c r="B683" s="1232" t="s">
        <v>1619</v>
      </c>
      <c r="C683" s="1319" t="s">
        <v>1667</v>
      </c>
      <c r="D683" s="1319" t="s">
        <v>1511</v>
      </c>
      <c r="E683" s="1315" t="s">
        <v>1595</v>
      </c>
    </row>
    <row r="684" spans="1:5" x14ac:dyDescent="0.25">
      <c r="A684" s="1232">
        <v>683</v>
      </c>
      <c r="B684" s="1232" t="s">
        <v>1619</v>
      </c>
      <c r="C684" s="1319" t="s">
        <v>1667</v>
      </c>
      <c r="D684" s="1319" t="s">
        <v>1625</v>
      </c>
      <c r="E684" s="1315" t="s">
        <v>1609</v>
      </c>
    </row>
    <row r="685" spans="1:5" x14ac:dyDescent="0.25">
      <c r="A685" s="1232">
        <v>684</v>
      </c>
      <c r="B685" s="1232" t="s">
        <v>1619</v>
      </c>
      <c r="C685" s="1319" t="s">
        <v>1668</v>
      </c>
      <c r="D685" s="1319" t="s">
        <v>1625</v>
      </c>
      <c r="E685" s="1315" t="s">
        <v>1487</v>
      </c>
    </row>
    <row r="686" spans="1:5" x14ac:dyDescent="0.25">
      <c r="A686" s="1232">
        <v>685</v>
      </c>
      <c r="B686" s="1232" t="s">
        <v>1619</v>
      </c>
      <c r="C686" s="1319" t="s">
        <v>1668</v>
      </c>
      <c r="D686" s="1319" t="s">
        <v>1625</v>
      </c>
      <c r="E686" s="1315" t="s">
        <v>1488</v>
      </c>
    </row>
    <row r="687" spans="1:5" x14ac:dyDescent="0.25">
      <c r="A687" s="1232">
        <v>686</v>
      </c>
      <c r="B687" s="1232" t="s">
        <v>1619</v>
      </c>
      <c r="C687" s="1319" t="s">
        <v>1668</v>
      </c>
      <c r="D687" s="1319" t="s">
        <v>1625</v>
      </c>
      <c r="E687" s="1315" t="s">
        <v>1489</v>
      </c>
    </row>
    <row r="688" spans="1:5" x14ac:dyDescent="0.25">
      <c r="A688" s="1232">
        <v>687</v>
      </c>
      <c r="B688" s="1232" t="s">
        <v>1619</v>
      </c>
      <c r="C688" s="1319" t="s">
        <v>1669</v>
      </c>
      <c r="D688" s="1319" t="s">
        <v>1626</v>
      </c>
      <c r="E688" s="1315" t="s">
        <v>1594</v>
      </c>
    </row>
    <row r="689" spans="1:5" x14ac:dyDescent="0.25">
      <c r="A689" s="1232">
        <v>688</v>
      </c>
      <c r="B689" s="1232" t="s">
        <v>1619</v>
      </c>
      <c r="C689" s="1319" t="s">
        <v>1669</v>
      </c>
      <c r="D689" s="1319" t="s">
        <v>1511</v>
      </c>
      <c r="E689" s="1315" t="s">
        <v>1810</v>
      </c>
    </row>
    <row r="690" spans="1:5" x14ac:dyDescent="0.25">
      <c r="A690" s="1232">
        <v>689</v>
      </c>
      <c r="B690" s="1232" t="s">
        <v>1619</v>
      </c>
      <c r="C690" s="1319" t="s">
        <v>1669</v>
      </c>
      <c r="D690" s="1319" t="s">
        <v>1626</v>
      </c>
      <c r="E690" s="1315" t="s">
        <v>1483</v>
      </c>
    </row>
    <row r="691" spans="1:5" x14ac:dyDescent="0.25">
      <c r="A691" s="1232">
        <v>690</v>
      </c>
      <c r="B691" s="1232" t="s">
        <v>1619</v>
      </c>
      <c r="C691" s="1319" t="s">
        <v>1669</v>
      </c>
      <c r="D691" s="1319" t="s">
        <v>1626</v>
      </c>
      <c r="E691" s="1315" t="s">
        <v>1480</v>
      </c>
    </row>
    <row r="692" spans="1:5" x14ac:dyDescent="0.25">
      <c r="A692" s="1232">
        <v>691</v>
      </c>
      <c r="B692" s="1232" t="s">
        <v>1619</v>
      </c>
      <c r="C692" s="1319" t="s">
        <v>1669</v>
      </c>
      <c r="D692" s="1319" t="s">
        <v>1626</v>
      </c>
      <c r="E692" s="1315" t="s">
        <v>1481</v>
      </c>
    </row>
    <row r="693" spans="1:5" x14ac:dyDescent="0.25">
      <c r="A693" s="1232">
        <v>692</v>
      </c>
      <c r="B693" s="1232" t="s">
        <v>1619</v>
      </c>
      <c r="C693" s="1319" t="s">
        <v>1669</v>
      </c>
      <c r="D693" s="1319" t="s">
        <v>1626</v>
      </c>
      <c r="E693" s="1315" t="s">
        <v>1497</v>
      </c>
    </row>
    <row r="694" spans="1:5" x14ac:dyDescent="0.25">
      <c r="A694" s="1232">
        <v>693</v>
      </c>
      <c r="B694" s="1232" t="s">
        <v>1619</v>
      </c>
      <c r="C694" s="1319" t="s">
        <v>1669</v>
      </c>
      <c r="D694" s="1319" t="s">
        <v>1626</v>
      </c>
      <c r="E694" s="1315" t="s">
        <v>1482</v>
      </c>
    </row>
    <row r="695" spans="1:5" x14ac:dyDescent="0.25">
      <c r="A695" s="1232">
        <v>694</v>
      </c>
      <c r="B695" s="1232" t="s">
        <v>1619</v>
      </c>
      <c r="C695" s="1319" t="s">
        <v>1669</v>
      </c>
      <c r="D695" s="1319" t="s">
        <v>1626</v>
      </c>
      <c r="E695" s="1315" t="s">
        <v>1589</v>
      </c>
    </row>
    <row r="696" spans="1:5" x14ac:dyDescent="0.25">
      <c r="A696" s="1232">
        <v>695</v>
      </c>
      <c r="B696" s="1232" t="s">
        <v>1619</v>
      </c>
      <c r="C696" s="1319" t="s">
        <v>1669</v>
      </c>
      <c r="D696" s="1319" t="s">
        <v>1626</v>
      </c>
      <c r="E696" s="1315" t="s">
        <v>1590</v>
      </c>
    </row>
    <row r="697" spans="1:5" x14ac:dyDescent="0.25">
      <c r="A697" s="1232">
        <v>696</v>
      </c>
      <c r="B697" s="1232" t="s">
        <v>1619</v>
      </c>
      <c r="C697" s="1319" t="s">
        <v>1669</v>
      </c>
      <c r="D697" s="1319" t="s">
        <v>1511</v>
      </c>
      <c r="E697" s="1315" t="s">
        <v>1591</v>
      </c>
    </row>
    <row r="698" spans="1:5" ht="30" x14ac:dyDescent="0.25">
      <c r="A698" s="1232">
        <v>697</v>
      </c>
      <c r="B698" s="1232" t="s">
        <v>1619</v>
      </c>
      <c r="C698" s="1319" t="s">
        <v>1669</v>
      </c>
      <c r="D698" s="1319" t="s">
        <v>1647</v>
      </c>
      <c r="E698" s="1315" t="s">
        <v>1485</v>
      </c>
    </row>
    <row r="699" spans="1:5" ht="30" x14ac:dyDescent="0.25">
      <c r="A699" s="1232">
        <v>698</v>
      </c>
      <c r="B699" s="1232" t="s">
        <v>1619</v>
      </c>
      <c r="C699" s="1319" t="s">
        <v>1669</v>
      </c>
      <c r="D699" s="1319" t="s">
        <v>1647</v>
      </c>
      <c r="E699" s="1315" t="s">
        <v>1486</v>
      </c>
    </row>
    <row r="700" spans="1:5" ht="30" x14ac:dyDescent="0.25">
      <c r="A700" s="1232">
        <v>699</v>
      </c>
      <c r="B700" s="1232" t="s">
        <v>1619</v>
      </c>
      <c r="C700" s="1319" t="s">
        <v>1669</v>
      </c>
      <c r="D700" s="1319" t="s">
        <v>1647</v>
      </c>
      <c r="E700" s="1315" t="s">
        <v>1598</v>
      </c>
    </row>
    <row r="701" spans="1:5" x14ac:dyDescent="0.25">
      <c r="A701" s="1232">
        <v>700</v>
      </c>
      <c r="B701" s="1232" t="s">
        <v>1619</v>
      </c>
      <c r="C701" s="1319" t="s">
        <v>1669</v>
      </c>
      <c r="D701" s="1319" t="s">
        <v>1511</v>
      </c>
      <c r="E701" s="1315" t="s">
        <v>1595</v>
      </c>
    </row>
    <row r="702" spans="1:5" x14ac:dyDescent="0.25">
      <c r="A702" s="1232">
        <v>701</v>
      </c>
      <c r="B702" s="1232" t="s">
        <v>1619</v>
      </c>
      <c r="C702" s="1319" t="s">
        <v>1669</v>
      </c>
      <c r="D702" s="1319" t="s">
        <v>1626</v>
      </c>
      <c r="E702" s="1315" t="s">
        <v>1609</v>
      </c>
    </row>
    <row r="703" spans="1:5" x14ac:dyDescent="0.25">
      <c r="A703" s="1232">
        <v>702</v>
      </c>
      <c r="B703" s="1232" t="s">
        <v>1619</v>
      </c>
      <c r="C703" s="1319" t="s">
        <v>1670</v>
      </c>
      <c r="D703" s="1319" t="s">
        <v>1626</v>
      </c>
      <c r="E703" s="1315" t="s">
        <v>1487</v>
      </c>
    </row>
    <row r="704" spans="1:5" x14ac:dyDescent="0.25">
      <c r="A704" s="1232">
        <v>703</v>
      </c>
      <c r="B704" s="1232" t="s">
        <v>1619</v>
      </c>
      <c r="C704" s="1319" t="s">
        <v>1670</v>
      </c>
      <c r="D704" s="1319" t="s">
        <v>1626</v>
      </c>
      <c r="E704" s="1315" t="s">
        <v>1488</v>
      </c>
    </row>
    <row r="705" spans="1:5" x14ac:dyDescent="0.25">
      <c r="A705" s="1232">
        <v>704</v>
      </c>
      <c r="B705" s="1232" t="s">
        <v>1619</v>
      </c>
      <c r="C705" s="1319" t="s">
        <v>1670</v>
      </c>
      <c r="D705" s="1319" t="s">
        <v>1626</v>
      </c>
      <c r="E705" s="1315" t="s">
        <v>1489</v>
      </c>
    </row>
    <row r="706" spans="1:5" x14ac:dyDescent="0.25">
      <c r="A706" s="1232">
        <v>705</v>
      </c>
      <c r="B706" s="1232" t="s">
        <v>1619</v>
      </c>
      <c r="C706" s="1319" t="s">
        <v>1671</v>
      </c>
      <c r="D706" s="1319" t="s">
        <v>1626</v>
      </c>
      <c r="E706" s="1315" t="s">
        <v>1487</v>
      </c>
    </row>
    <row r="707" spans="1:5" x14ac:dyDescent="0.25">
      <c r="A707" s="1232">
        <v>706</v>
      </c>
      <c r="B707" s="1232" t="s">
        <v>1619</v>
      </c>
      <c r="C707" s="1319" t="s">
        <v>1671</v>
      </c>
      <c r="D707" s="1319" t="s">
        <v>1626</v>
      </c>
      <c r="E707" s="1315" t="s">
        <v>1488</v>
      </c>
    </row>
    <row r="708" spans="1:5" x14ac:dyDescent="0.25">
      <c r="A708" s="1232">
        <v>707</v>
      </c>
      <c r="B708" s="1232" t="s">
        <v>1619</v>
      </c>
      <c r="C708" s="1319" t="s">
        <v>1671</v>
      </c>
      <c r="D708" s="1319" t="s">
        <v>1626</v>
      </c>
      <c r="E708" s="1315" t="s">
        <v>1489</v>
      </c>
    </row>
    <row r="709" spans="1:5" x14ac:dyDescent="0.25">
      <c r="A709" s="1232">
        <v>708</v>
      </c>
      <c r="B709" s="1232" t="s">
        <v>1619</v>
      </c>
      <c r="C709" s="1319" t="s">
        <v>1672</v>
      </c>
      <c r="D709" s="1319" t="s">
        <v>1626</v>
      </c>
      <c r="E709" s="1315" t="s">
        <v>1487</v>
      </c>
    </row>
    <row r="710" spans="1:5" x14ac:dyDescent="0.25">
      <c r="A710" s="1232">
        <v>709</v>
      </c>
      <c r="B710" s="1232" t="s">
        <v>1619</v>
      </c>
      <c r="C710" s="1319" t="s">
        <v>1672</v>
      </c>
      <c r="D710" s="1319" t="s">
        <v>1626</v>
      </c>
      <c r="E710" s="1315" t="s">
        <v>1488</v>
      </c>
    </row>
    <row r="711" spans="1:5" x14ac:dyDescent="0.25">
      <c r="A711" s="1232">
        <v>710</v>
      </c>
      <c r="B711" s="1232" t="s">
        <v>1619</v>
      </c>
      <c r="C711" s="1319" t="s">
        <v>1672</v>
      </c>
      <c r="D711" s="1319" t="s">
        <v>1626</v>
      </c>
      <c r="E711" s="1315" t="s">
        <v>1489</v>
      </c>
    </row>
    <row r="712" spans="1:5" x14ac:dyDescent="0.25">
      <c r="A712" s="1232">
        <v>711</v>
      </c>
      <c r="B712" s="1232" t="s">
        <v>1619</v>
      </c>
      <c r="C712" s="1319" t="s">
        <v>1673</v>
      </c>
      <c r="D712" s="1319" t="s">
        <v>1626</v>
      </c>
      <c r="E712" s="1315" t="s">
        <v>1487</v>
      </c>
    </row>
    <row r="713" spans="1:5" x14ac:dyDescent="0.25">
      <c r="A713" s="1232">
        <v>712</v>
      </c>
      <c r="B713" s="1232" t="s">
        <v>1619</v>
      </c>
      <c r="C713" s="1319" t="s">
        <v>1673</v>
      </c>
      <c r="D713" s="1319" t="s">
        <v>1626</v>
      </c>
      <c r="E713" s="1315" t="s">
        <v>1488</v>
      </c>
    </row>
    <row r="714" spans="1:5" x14ac:dyDescent="0.25">
      <c r="A714" s="1232">
        <v>713</v>
      </c>
      <c r="B714" s="1232" t="s">
        <v>1619</v>
      </c>
      <c r="C714" s="1319" t="s">
        <v>1673</v>
      </c>
      <c r="D714" s="1319" t="s">
        <v>1626</v>
      </c>
      <c r="E714" s="1315" t="s">
        <v>1489</v>
      </c>
    </row>
    <row r="715" spans="1:5" x14ac:dyDescent="0.25">
      <c r="A715" s="1232">
        <v>714</v>
      </c>
      <c r="B715" s="1232" t="s">
        <v>1619</v>
      </c>
      <c r="C715" s="1319" t="s">
        <v>1674</v>
      </c>
      <c r="D715" s="1319" t="s">
        <v>1626</v>
      </c>
      <c r="E715" s="1315" t="s">
        <v>1487</v>
      </c>
    </row>
    <row r="716" spans="1:5" x14ac:dyDescent="0.25">
      <c r="A716" s="1232">
        <v>715</v>
      </c>
      <c r="B716" s="1232" t="s">
        <v>1619</v>
      </c>
      <c r="C716" s="1319" t="s">
        <v>1674</v>
      </c>
      <c r="D716" s="1319" t="s">
        <v>1626</v>
      </c>
      <c r="E716" s="1315" t="s">
        <v>1488</v>
      </c>
    </row>
    <row r="717" spans="1:5" x14ac:dyDescent="0.25">
      <c r="A717" s="1232">
        <v>716</v>
      </c>
      <c r="B717" s="1232" t="s">
        <v>1619</v>
      </c>
      <c r="C717" s="1319" t="s">
        <v>1674</v>
      </c>
      <c r="D717" s="1319" t="s">
        <v>1626</v>
      </c>
      <c r="E717" s="1315" t="s">
        <v>1489</v>
      </c>
    </row>
    <row r="718" spans="1:5" x14ac:dyDescent="0.25">
      <c r="A718" s="1232">
        <v>717</v>
      </c>
      <c r="B718" s="1232" t="s">
        <v>1619</v>
      </c>
      <c r="C718" s="1319" t="s">
        <v>1675</v>
      </c>
      <c r="D718" s="1319" t="s">
        <v>1626</v>
      </c>
      <c r="E718" s="1315" t="s">
        <v>1594</v>
      </c>
    </row>
    <row r="719" spans="1:5" x14ac:dyDescent="0.25">
      <c r="A719" s="1232">
        <v>718</v>
      </c>
      <c r="B719" s="1232" t="s">
        <v>1619</v>
      </c>
      <c r="C719" s="1319" t="s">
        <v>1675</v>
      </c>
      <c r="D719" s="1319" t="s">
        <v>1511</v>
      </c>
      <c r="E719" s="1315" t="s">
        <v>1810</v>
      </c>
    </row>
    <row r="720" spans="1:5" x14ac:dyDescent="0.25">
      <c r="A720" s="1232">
        <v>719</v>
      </c>
      <c r="B720" s="1232" t="s">
        <v>1619</v>
      </c>
      <c r="C720" s="1319" t="s">
        <v>1675</v>
      </c>
      <c r="D720" s="1319" t="s">
        <v>1626</v>
      </c>
      <c r="E720" s="1315" t="s">
        <v>1483</v>
      </c>
    </row>
    <row r="721" spans="1:5" x14ac:dyDescent="0.25">
      <c r="A721" s="1232">
        <v>720</v>
      </c>
      <c r="B721" s="1232" t="s">
        <v>1619</v>
      </c>
      <c r="C721" s="1319" t="s">
        <v>1675</v>
      </c>
      <c r="D721" s="1319" t="s">
        <v>1626</v>
      </c>
      <c r="E721" s="1315" t="s">
        <v>1480</v>
      </c>
    </row>
    <row r="722" spans="1:5" x14ac:dyDescent="0.25">
      <c r="A722" s="1232">
        <v>721</v>
      </c>
      <c r="B722" s="1232" t="s">
        <v>1619</v>
      </c>
      <c r="C722" s="1319" t="s">
        <v>1675</v>
      </c>
      <c r="D722" s="1319" t="s">
        <v>1626</v>
      </c>
      <c r="E722" s="1315" t="s">
        <v>1481</v>
      </c>
    </row>
    <row r="723" spans="1:5" x14ac:dyDescent="0.25">
      <c r="A723" s="1232">
        <v>722</v>
      </c>
      <c r="B723" s="1232" t="s">
        <v>1619</v>
      </c>
      <c r="C723" s="1319" t="s">
        <v>1675</v>
      </c>
      <c r="D723" s="1319" t="s">
        <v>1626</v>
      </c>
      <c r="E723" s="1315" t="s">
        <v>1497</v>
      </c>
    </row>
    <row r="724" spans="1:5" x14ac:dyDescent="0.25">
      <c r="A724" s="1232">
        <v>723</v>
      </c>
      <c r="B724" s="1232" t="s">
        <v>1619</v>
      </c>
      <c r="C724" s="1319" t="s">
        <v>1675</v>
      </c>
      <c r="D724" s="1319" t="s">
        <v>1626</v>
      </c>
      <c r="E724" s="1315" t="s">
        <v>1482</v>
      </c>
    </row>
    <row r="725" spans="1:5" x14ac:dyDescent="0.25">
      <c r="A725" s="1232">
        <v>724</v>
      </c>
      <c r="B725" s="1232" t="s">
        <v>1619</v>
      </c>
      <c r="C725" s="1319" t="s">
        <v>1675</v>
      </c>
      <c r="D725" s="1319" t="s">
        <v>1626</v>
      </c>
      <c r="E725" s="1315" t="s">
        <v>1589</v>
      </c>
    </row>
    <row r="726" spans="1:5" x14ac:dyDescent="0.25">
      <c r="A726" s="1232">
        <v>725</v>
      </c>
      <c r="B726" s="1232" t="s">
        <v>1619</v>
      </c>
      <c r="C726" s="1319" t="s">
        <v>1675</v>
      </c>
      <c r="D726" s="1319" t="s">
        <v>1626</v>
      </c>
      <c r="E726" s="1315" t="s">
        <v>1590</v>
      </c>
    </row>
    <row r="727" spans="1:5" x14ac:dyDescent="0.25">
      <c r="A727" s="1232">
        <v>726</v>
      </c>
      <c r="B727" s="1232" t="s">
        <v>1619</v>
      </c>
      <c r="C727" s="1319" t="s">
        <v>1675</v>
      </c>
      <c r="D727" s="1319" t="s">
        <v>1511</v>
      </c>
      <c r="E727" s="1315" t="s">
        <v>1591</v>
      </c>
    </row>
    <row r="728" spans="1:5" ht="30" x14ac:dyDescent="0.25">
      <c r="A728" s="1232">
        <v>727</v>
      </c>
      <c r="B728" s="1232" t="s">
        <v>1619</v>
      </c>
      <c r="C728" s="1319" t="s">
        <v>1675</v>
      </c>
      <c r="D728" s="1319" t="s">
        <v>1647</v>
      </c>
      <c r="E728" s="1315" t="s">
        <v>1485</v>
      </c>
    </row>
    <row r="729" spans="1:5" ht="30" x14ac:dyDescent="0.25">
      <c r="A729" s="1232">
        <v>728</v>
      </c>
      <c r="B729" s="1232" t="s">
        <v>1619</v>
      </c>
      <c r="C729" s="1319" t="s">
        <v>1675</v>
      </c>
      <c r="D729" s="1319" t="s">
        <v>1647</v>
      </c>
      <c r="E729" s="1315" t="s">
        <v>1486</v>
      </c>
    </row>
    <row r="730" spans="1:5" ht="30" x14ac:dyDescent="0.25">
      <c r="A730" s="1232">
        <v>729</v>
      </c>
      <c r="B730" s="1232" t="s">
        <v>1619</v>
      </c>
      <c r="C730" s="1319" t="s">
        <v>1675</v>
      </c>
      <c r="D730" s="1319" t="s">
        <v>1647</v>
      </c>
      <c r="E730" s="1315" t="s">
        <v>1598</v>
      </c>
    </row>
    <row r="731" spans="1:5" x14ac:dyDescent="0.25">
      <c r="A731" s="1232">
        <v>730</v>
      </c>
      <c r="B731" s="1232" t="s">
        <v>1619</v>
      </c>
      <c r="C731" s="1319" t="s">
        <v>1675</v>
      </c>
      <c r="D731" s="1319" t="s">
        <v>1511</v>
      </c>
      <c r="E731" s="1315" t="s">
        <v>1595</v>
      </c>
    </row>
    <row r="732" spans="1:5" x14ac:dyDescent="0.25">
      <c r="A732" s="1232">
        <v>731</v>
      </c>
      <c r="B732" s="1232" t="s">
        <v>1619</v>
      </c>
      <c r="C732" s="1319" t="s">
        <v>1675</v>
      </c>
      <c r="D732" s="1319" t="s">
        <v>1626</v>
      </c>
      <c r="E732" s="1315" t="s">
        <v>1609</v>
      </c>
    </row>
    <row r="733" spans="1:5" x14ac:dyDescent="0.25">
      <c r="A733" s="1232">
        <v>732</v>
      </c>
      <c r="B733" s="1232" t="s">
        <v>1619</v>
      </c>
      <c r="C733" s="1319" t="s">
        <v>1676</v>
      </c>
      <c r="D733" s="1319" t="s">
        <v>1626</v>
      </c>
      <c r="E733" s="1315" t="s">
        <v>1487</v>
      </c>
    </row>
    <row r="734" spans="1:5" x14ac:dyDescent="0.25">
      <c r="A734" s="1232">
        <v>733</v>
      </c>
      <c r="B734" s="1232" t="s">
        <v>1619</v>
      </c>
      <c r="C734" s="1319" t="s">
        <v>1676</v>
      </c>
      <c r="D734" s="1319" t="s">
        <v>1626</v>
      </c>
      <c r="E734" s="1315" t="s">
        <v>1488</v>
      </c>
    </row>
    <row r="735" spans="1:5" x14ac:dyDescent="0.25">
      <c r="A735" s="1232">
        <v>734</v>
      </c>
      <c r="B735" s="1232" t="s">
        <v>1619</v>
      </c>
      <c r="C735" s="1319" t="s">
        <v>1676</v>
      </c>
      <c r="D735" s="1319" t="s">
        <v>1626</v>
      </c>
      <c r="E735" s="1315" t="s">
        <v>1489</v>
      </c>
    </row>
    <row r="736" spans="1:5" x14ac:dyDescent="0.25">
      <c r="A736" s="1232">
        <v>735</v>
      </c>
      <c r="B736" s="1232" t="s">
        <v>1619</v>
      </c>
      <c r="C736" s="1319" t="s">
        <v>1677</v>
      </c>
      <c r="D736" s="1319" t="s">
        <v>1626</v>
      </c>
      <c r="E736" s="1315" t="s">
        <v>1487</v>
      </c>
    </row>
    <row r="737" spans="1:5" x14ac:dyDescent="0.25">
      <c r="A737" s="1232">
        <v>736</v>
      </c>
      <c r="B737" s="1232" t="s">
        <v>1619</v>
      </c>
      <c r="C737" s="1319" t="s">
        <v>1677</v>
      </c>
      <c r="D737" s="1319" t="s">
        <v>1626</v>
      </c>
      <c r="E737" s="1315" t="s">
        <v>1488</v>
      </c>
    </row>
    <row r="738" spans="1:5" x14ac:dyDescent="0.25">
      <c r="A738" s="1232">
        <v>737</v>
      </c>
      <c r="B738" s="1232" t="s">
        <v>1619</v>
      </c>
      <c r="C738" s="1319" t="s">
        <v>1677</v>
      </c>
      <c r="D738" s="1319" t="s">
        <v>1626</v>
      </c>
      <c r="E738" s="1315" t="s">
        <v>1489</v>
      </c>
    </row>
    <row r="739" spans="1:5" x14ac:dyDescent="0.25">
      <c r="A739" s="1232">
        <v>738</v>
      </c>
      <c r="B739" s="1232" t="s">
        <v>1619</v>
      </c>
      <c r="C739" s="1319" t="s">
        <v>1678</v>
      </c>
      <c r="D739" s="1319" t="s">
        <v>1626</v>
      </c>
      <c r="E739" s="1315" t="s">
        <v>1487</v>
      </c>
    </row>
    <row r="740" spans="1:5" x14ac:dyDescent="0.25">
      <c r="A740" s="1232">
        <v>739</v>
      </c>
      <c r="B740" s="1232" t="s">
        <v>1619</v>
      </c>
      <c r="C740" s="1319" t="s">
        <v>1678</v>
      </c>
      <c r="D740" s="1319" t="s">
        <v>1626</v>
      </c>
      <c r="E740" s="1315" t="s">
        <v>1488</v>
      </c>
    </row>
    <row r="741" spans="1:5" x14ac:dyDescent="0.25">
      <c r="A741" s="1232">
        <v>740</v>
      </c>
      <c r="B741" s="1232" t="s">
        <v>1619</v>
      </c>
      <c r="C741" s="1319" t="s">
        <v>1678</v>
      </c>
      <c r="D741" s="1319" t="s">
        <v>1626</v>
      </c>
      <c r="E741" s="1315" t="s">
        <v>1489</v>
      </c>
    </row>
    <row r="742" spans="1:5" x14ac:dyDescent="0.25">
      <c r="A742" s="1232">
        <v>741</v>
      </c>
      <c r="B742" s="1232" t="s">
        <v>1619</v>
      </c>
      <c r="C742" s="1319" t="s">
        <v>1679</v>
      </c>
      <c r="D742" s="1319" t="s">
        <v>1626</v>
      </c>
      <c r="E742" s="1315" t="s">
        <v>1487</v>
      </c>
    </row>
    <row r="743" spans="1:5" x14ac:dyDescent="0.25">
      <c r="A743" s="1232">
        <v>742</v>
      </c>
      <c r="B743" s="1232" t="s">
        <v>1619</v>
      </c>
      <c r="C743" s="1319" t="s">
        <v>1679</v>
      </c>
      <c r="D743" s="1319" t="s">
        <v>1626</v>
      </c>
      <c r="E743" s="1315" t="s">
        <v>1488</v>
      </c>
    </row>
    <row r="744" spans="1:5" x14ac:dyDescent="0.25">
      <c r="A744" s="1232">
        <v>743</v>
      </c>
      <c r="B744" s="1232" t="s">
        <v>1619</v>
      </c>
      <c r="C744" s="1319" t="s">
        <v>1679</v>
      </c>
      <c r="D744" s="1319" t="s">
        <v>1626</v>
      </c>
      <c r="E744" s="1315" t="s">
        <v>1489</v>
      </c>
    </row>
    <row r="745" spans="1:5" x14ac:dyDescent="0.25">
      <c r="A745" s="1232">
        <v>744</v>
      </c>
      <c r="B745" s="1232" t="s">
        <v>1619</v>
      </c>
      <c r="C745" s="1319" t="s">
        <v>1680</v>
      </c>
      <c r="D745" s="1319" t="s">
        <v>1626</v>
      </c>
      <c r="E745" s="1315" t="s">
        <v>1487</v>
      </c>
    </row>
    <row r="746" spans="1:5" x14ac:dyDescent="0.25">
      <c r="A746" s="1232">
        <v>745</v>
      </c>
      <c r="B746" s="1232" t="s">
        <v>1619</v>
      </c>
      <c r="C746" s="1319" t="s">
        <v>1680</v>
      </c>
      <c r="D746" s="1319" t="s">
        <v>1626</v>
      </c>
      <c r="E746" s="1315" t="s">
        <v>1488</v>
      </c>
    </row>
    <row r="747" spans="1:5" x14ac:dyDescent="0.25">
      <c r="A747" s="1232">
        <v>746</v>
      </c>
      <c r="B747" s="1232" t="s">
        <v>1619</v>
      </c>
      <c r="C747" s="1319" t="s">
        <v>1680</v>
      </c>
      <c r="D747" s="1319" t="s">
        <v>1626</v>
      </c>
      <c r="E747" s="1315" t="s">
        <v>1489</v>
      </c>
    </row>
    <row r="748" spans="1:5" x14ac:dyDescent="0.25">
      <c r="A748" s="1232">
        <v>747</v>
      </c>
      <c r="B748" s="1232" t="s">
        <v>1619</v>
      </c>
      <c r="C748" s="1319" t="s">
        <v>1851</v>
      </c>
      <c r="D748" s="1319" t="s">
        <v>1681</v>
      </c>
      <c r="E748" s="1315" t="s">
        <v>1594</v>
      </c>
    </row>
    <row r="749" spans="1:5" x14ac:dyDescent="0.25">
      <c r="A749" s="1232">
        <v>748</v>
      </c>
      <c r="B749" s="1232" t="s">
        <v>1619</v>
      </c>
      <c r="C749" s="1319" t="s">
        <v>1817</v>
      </c>
      <c r="D749" s="1319" t="s">
        <v>1511</v>
      </c>
      <c r="E749" s="1315" t="s">
        <v>1810</v>
      </c>
    </row>
    <row r="750" spans="1:5" x14ac:dyDescent="0.25">
      <c r="A750" s="1232">
        <v>749</v>
      </c>
      <c r="B750" s="1232" t="s">
        <v>1619</v>
      </c>
      <c r="C750" s="1319" t="s">
        <v>1851</v>
      </c>
      <c r="D750" s="1319" t="s">
        <v>1681</v>
      </c>
      <c r="E750" s="1315" t="s">
        <v>1483</v>
      </c>
    </row>
    <row r="751" spans="1:5" x14ac:dyDescent="0.25">
      <c r="A751" s="1232">
        <v>750</v>
      </c>
      <c r="B751" s="1232" t="s">
        <v>1619</v>
      </c>
      <c r="C751" s="1319" t="s">
        <v>1851</v>
      </c>
      <c r="D751" s="1319" t="s">
        <v>1681</v>
      </c>
      <c r="E751" s="1315" t="s">
        <v>1480</v>
      </c>
    </row>
    <row r="752" spans="1:5" x14ac:dyDescent="0.25">
      <c r="A752" s="1232">
        <v>751</v>
      </c>
      <c r="B752" s="1232" t="s">
        <v>1619</v>
      </c>
      <c r="C752" s="1319" t="s">
        <v>1851</v>
      </c>
      <c r="D752" s="1319" t="s">
        <v>1681</v>
      </c>
      <c r="E752" s="1315" t="s">
        <v>1481</v>
      </c>
    </row>
    <row r="753" spans="1:5" x14ac:dyDescent="0.25">
      <c r="A753" s="1232">
        <v>752</v>
      </c>
      <c r="B753" s="1232" t="s">
        <v>1619</v>
      </c>
      <c r="C753" s="1319" t="s">
        <v>1851</v>
      </c>
      <c r="D753" s="1319" t="s">
        <v>1681</v>
      </c>
      <c r="E753" s="1315" t="s">
        <v>1497</v>
      </c>
    </row>
    <row r="754" spans="1:5" x14ac:dyDescent="0.25">
      <c r="A754" s="1232">
        <v>753</v>
      </c>
      <c r="B754" s="1232" t="s">
        <v>1619</v>
      </c>
      <c r="C754" s="1319" t="s">
        <v>1851</v>
      </c>
      <c r="D754" s="1319" t="s">
        <v>1511</v>
      </c>
      <c r="E754" s="1315" t="s">
        <v>1482</v>
      </c>
    </row>
    <row r="755" spans="1:5" x14ac:dyDescent="0.25">
      <c r="A755" s="1232">
        <v>754</v>
      </c>
      <c r="B755" s="1232" t="s">
        <v>1619</v>
      </c>
      <c r="C755" s="1319" t="s">
        <v>1851</v>
      </c>
      <c r="D755" s="1319" t="s">
        <v>1681</v>
      </c>
      <c r="E755" s="1315" t="s">
        <v>1589</v>
      </c>
    </row>
    <row r="756" spans="1:5" x14ac:dyDescent="0.25">
      <c r="A756" s="1232">
        <v>755</v>
      </c>
      <c r="B756" s="1232" t="s">
        <v>1619</v>
      </c>
      <c r="C756" s="1319" t="s">
        <v>1851</v>
      </c>
      <c r="D756" s="1319" t="s">
        <v>1681</v>
      </c>
      <c r="E756" s="1315" t="s">
        <v>1590</v>
      </c>
    </row>
    <row r="757" spans="1:5" x14ac:dyDescent="0.25">
      <c r="A757" s="1232">
        <v>756</v>
      </c>
      <c r="B757" s="1232" t="s">
        <v>1619</v>
      </c>
      <c r="C757" s="1319" t="s">
        <v>1851</v>
      </c>
      <c r="D757" s="1319" t="s">
        <v>1511</v>
      </c>
      <c r="E757" s="1315" t="s">
        <v>1591</v>
      </c>
    </row>
    <row r="758" spans="1:5" ht="30" x14ac:dyDescent="0.25">
      <c r="A758" s="1232">
        <v>757</v>
      </c>
      <c r="B758" s="1232" t="s">
        <v>1619</v>
      </c>
      <c r="C758" s="1319" t="s">
        <v>1851</v>
      </c>
      <c r="D758" s="1319" t="s">
        <v>1647</v>
      </c>
      <c r="E758" s="1315" t="s">
        <v>1485</v>
      </c>
    </row>
    <row r="759" spans="1:5" ht="30" x14ac:dyDescent="0.25">
      <c r="A759" s="1232">
        <v>758</v>
      </c>
      <c r="B759" s="1232" t="s">
        <v>1619</v>
      </c>
      <c r="C759" s="1319" t="s">
        <v>1851</v>
      </c>
      <c r="D759" s="1319" t="s">
        <v>1647</v>
      </c>
      <c r="E759" s="1315" t="s">
        <v>1486</v>
      </c>
    </row>
    <row r="760" spans="1:5" ht="30" x14ac:dyDescent="0.25">
      <c r="A760" s="1232">
        <v>759</v>
      </c>
      <c r="B760" s="1232" t="s">
        <v>1619</v>
      </c>
      <c r="C760" s="1319" t="s">
        <v>1851</v>
      </c>
      <c r="D760" s="1319" t="s">
        <v>1647</v>
      </c>
      <c r="E760" s="1315" t="s">
        <v>1598</v>
      </c>
    </row>
    <row r="761" spans="1:5" x14ac:dyDescent="0.25">
      <c r="A761" s="1232">
        <v>760</v>
      </c>
      <c r="B761" s="1232" t="s">
        <v>1619</v>
      </c>
      <c r="C761" s="1319" t="s">
        <v>1851</v>
      </c>
      <c r="D761" s="1319" t="s">
        <v>1511</v>
      </c>
      <c r="E761" s="1315" t="s">
        <v>1595</v>
      </c>
    </row>
    <row r="762" spans="1:5" x14ac:dyDescent="0.25">
      <c r="A762" s="1232">
        <v>761</v>
      </c>
      <c r="B762" s="1232" t="s">
        <v>1619</v>
      </c>
      <c r="C762" s="1319" t="s">
        <v>1851</v>
      </c>
      <c r="D762" s="1319" t="s">
        <v>1681</v>
      </c>
      <c r="E762" s="1315" t="s">
        <v>1489</v>
      </c>
    </row>
    <row r="763" spans="1:5" x14ac:dyDescent="0.25">
      <c r="A763" s="1232">
        <v>762</v>
      </c>
      <c r="B763" s="1232" t="s">
        <v>1619</v>
      </c>
      <c r="C763" s="1319" t="s">
        <v>1852</v>
      </c>
      <c r="D763" s="1319" t="s">
        <v>1681</v>
      </c>
      <c r="E763" s="1315" t="s">
        <v>1594</v>
      </c>
    </row>
    <row r="764" spans="1:5" x14ac:dyDescent="0.25">
      <c r="A764" s="1232">
        <v>763</v>
      </c>
      <c r="B764" s="1232" t="s">
        <v>1619</v>
      </c>
      <c r="C764" s="1319" t="s">
        <v>1818</v>
      </c>
      <c r="D764" s="1319" t="s">
        <v>1511</v>
      </c>
      <c r="E764" s="1315" t="s">
        <v>1810</v>
      </c>
    </row>
    <row r="765" spans="1:5" x14ac:dyDescent="0.25">
      <c r="A765" s="1232">
        <v>764</v>
      </c>
      <c r="B765" s="1232" t="s">
        <v>1619</v>
      </c>
      <c r="C765" s="1319" t="s">
        <v>1852</v>
      </c>
      <c r="D765" s="1319" t="s">
        <v>1681</v>
      </c>
      <c r="E765" s="1315" t="s">
        <v>1483</v>
      </c>
    </row>
    <row r="766" spans="1:5" x14ac:dyDescent="0.25">
      <c r="A766" s="1232">
        <v>765</v>
      </c>
      <c r="B766" s="1232" t="s">
        <v>1619</v>
      </c>
      <c r="C766" s="1319" t="s">
        <v>1852</v>
      </c>
      <c r="D766" s="1319" t="s">
        <v>1681</v>
      </c>
      <c r="E766" s="1315" t="s">
        <v>1480</v>
      </c>
    </row>
    <row r="767" spans="1:5" x14ac:dyDescent="0.25">
      <c r="A767" s="1232">
        <v>766</v>
      </c>
      <c r="B767" s="1232" t="s">
        <v>1619</v>
      </c>
      <c r="C767" s="1319" t="s">
        <v>1852</v>
      </c>
      <c r="D767" s="1319" t="s">
        <v>1681</v>
      </c>
      <c r="E767" s="1315" t="s">
        <v>1481</v>
      </c>
    </row>
    <row r="768" spans="1:5" x14ac:dyDescent="0.25">
      <c r="A768" s="1232">
        <v>767</v>
      </c>
      <c r="B768" s="1232" t="s">
        <v>1619</v>
      </c>
      <c r="C768" s="1319" t="s">
        <v>1852</v>
      </c>
      <c r="D768" s="1319" t="s">
        <v>1681</v>
      </c>
      <c r="E768" s="1315" t="s">
        <v>1497</v>
      </c>
    </row>
    <row r="769" spans="1:5" x14ac:dyDescent="0.25">
      <c r="A769" s="1232">
        <v>768</v>
      </c>
      <c r="B769" s="1232" t="s">
        <v>1619</v>
      </c>
      <c r="C769" s="1319" t="s">
        <v>1852</v>
      </c>
      <c r="D769" s="1319" t="s">
        <v>1511</v>
      </c>
      <c r="E769" s="1315" t="s">
        <v>1482</v>
      </c>
    </row>
    <row r="770" spans="1:5" x14ac:dyDescent="0.25">
      <c r="A770" s="1232">
        <v>769</v>
      </c>
      <c r="B770" s="1232" t="s">
        <v>1619</v>
      </c>
      <c r="C770" s="1319" t="s">
        <v>1852</v>
      </c>
      <c r="D770" s="1319" t="s">
        <v>1681</v>
      </c>
      <c r="E770" s="1315" t="s">
        <v>1589</v>
      </c>
    </row>
    <row r="771" spans="1:5" x14ac:dyDescent="0.25">
      <c r="A771" s="1232">
        <v>770</v>
      </c>
      <c r="B771" s="1232" t="s">
        <v>1619</v>
      </c>
      <c r="C771" s="1319" t="s">
        <v>1852</v>
      </c>
      <c r="D771" s="1319" t="s">
        <v>1681</v>
      </c>
      <c r="E771" s="1315" t="s">
        <v>1590</v>
      </c>
    </row>
    <row r="772" spans="1:5" x14ac:dyDescent="0.25">
      <c r="A772" s="1232">
        <v>771</v>
      </c>
      <c r="B772" s="1232" t="s">
        <v>1619</v>
      </c>
      <c r="C772" s="1319" t="s">
        <v>1852</v>
      </c>
      <c r="D772" s="1319" t="s">
        <v>1511</v>
      </c>
      <c r="E772" s="1315" t="s">
        <v>1591</v>
      </c>
    </row>
    <row r="773" spans="1:5" ht="30" x14ac:dyDescent="0.25">
      <c r="A773" s="1232">
        <v>772</v>
      </c>
      <c r="B773" s="1232" t="s">
        <v>1619</v>
      </c>
      <c r="C773" s="1319" t="s">
        <v>1852</v>
      </c>
      <c r="D773" s="1319" t="s">
        <v>1647</v>
      </c>
      <c r="E773" s="1315" t="s">
        <v>1485</v>
      </c>
    </row>
    <row r="774" spans="1:5" ht="30" x14ac:dyDescent="0.25">
      <c r="A774" s="1232">
        <v>773</v>
      </c>
      <c r="B774" s="1232" t="s">
        <v>1619</v>
      </c>
      <c r="C774" s="1319" t="s">
        <v>1852</v>
      </c>
      <c r="D774" s="1319" t="s">
        <v>1647</v>
      </c>
      <c r="E774" s="1315" t="s">
        <v>1486</v>
      </c>
    </row>
    <row r="775" spans="1:5" ht="30" x14ac:dyDescent="0.25">
      <c r="A775" s="1232">
        <v>774</v>
      </c>
      <c r="B775" s="1232" t="s">
        <v>1619</v>
      </c>
      <c r="C775" s="1319" t="s">
        <v>1852</v>
      </c>
      <c r="D775" s="1319" t="s">
        <v>1647</v>
      </c>
      <c r="E775" s="1315" t="s">
        <v>1598</v>
      </c>
    </row>
    <row r="776" spans="1:5" x14ac:dyDescent="0.25">
      <c r="A776" s="1232">
        <v>775</v>
      </c>
      <c r="B776" s="1232" t="s">
        <v>1619</v>
      </c>
      <c r="C776" s="1319" t="s">
        <v>1852</v>
      </c>
      <c r="D776" s="1319" t="s">
        <v>1511</v>
      </c>
      <c r="E776" s="1315" t="s">
        <v>1595</v>
      </c>
    </row>
    <row r="777" spans="1:5" x14ac:dyDescent="0.25">
      <c r="A777" s="1232">
        <v>776</v>
      </c>
      <c r="B777" s="1232" t="s">
        <v>1619</v>
      </c>
      <c r="C777" s="1319" t="s">
        <v>1852</v>
      </c>
      <c r="D777" s="1319" t="s">
        <v>1681</v>
      </c>
      <c r="E777" s="1315" t="s">
        <v>1489</v>
      </c>
    </row>
    <row r="778" spans="1:5" x14ac:dyDescent="0.25">
      <c r="A778" s="1232">
        <v>777</v>
      </c>
      <c r="B778" s="1232" t="s">
        <v>1619</v>
      </c>
      <c r="C778" s="1319" t="s">
        <v>1853</v>
      </c>
      <c r="D778" s="1319" t="s">
        <v>1682</v>
      </c>
      <c r="E778" s="1315" t="s">
        <v>1594</v>
      </c>
    </row>
    <row r="779" spans="1:5" x14ac:dyDescent="0.25">
      <c r="A779" s="1232">
        <v>778</v>
      </c>
      <c r="B779" s="1232" t="s">
        <v>1619</v>
      </c>
      <c r="C779" s="1319" t="s">
        <v>1683</v>
      </c>
      <c r="D779" s="1319" t="s">
        <v>1511</v>
      </c>
      <c r="E779" s="1315" t="s">
        <v>1810</v>
      </c>
    </row>
    <row r="780" spans="1:5" x14ac:dyDescent="0.25">
      <c r="A780" s="1232">
        <v>779</v>
      </c>
      <c r="B780" s="1232" t="s">
        <v>1619</v>
      </c>
      <c r="C780" s="1319" t="s">
        <v>1853</v>
      </c>
      <c r="D780" s="1319" t="s">
        <v>1682</v>
      </c>
      <c r="E780" s="1315" t="s">
        <v>1483</v>
      </c>
    </row>
    <row r="781" spans="1:5" x14ac:dyDescent="0.25">
      <c r="A781" s="1232">
        <v>780</v>
      </c>
      <c r="B781" s="1232" t="s">
        <v>1619</v>
      </c>
      <c r="C781" s="1319" t="s">
        <v>1853</v>
      </c>
      <c r="D781" s="1319" t="s">
        <v>1682</v>
      </c>
      <c r="E781" s="1315" t="s">
        <v>1480</v>
      </c>
    </row>
    <row r="782" spans="1:5" x14ac:dyDescent="0.25">
      <c r="A782" s="1232">
        <v>781</v>
      </c>
      <c r="B782" s="1232" t="s">
        <v>1619</v>
      </c>
      <c r="C782" s="1319" t="s">
        <v>1853</v>
      </c>
      <c r="D782" s="1319" t="s">
        <v>1682</v>
      </c>
      <c r="E782" s="1315" t="s">
        <v>1481</v>
      </c>
    </row>
    <row r="783" spans="1:5" x14ac:dyDescent="0.25">
      <c r="A783" s="1232">
        <v>782</v>
      </c>
      <c r="B783" s="1232" t="s">
        <v>1619</v>
      </c>
      <c r="C783" s="1319" t="s">
        <v>1853</v>
      </c>
      <c r="D783" s="1319" t="s">
        <v>1682</v>
      </c>
      <c r="E783" s="1315" t="s">
        <v>1497</v>
      </c>
    </row>
    <row r="784" spans="1:5" x14ac:dyDescent="0.25">
      <c r="A784" s="1232">
        <v>783</v>
      </c>
      <c r="B784" s="1232" t="s">
        <v>1619</v>
      </c>
      <c r="C784" s="1319" t="s">
        <v>1853</v>
      </c>
      <c r="D784" s="1319" t="s">
        <v>1511</v>
      </c>
      <c r="E784" s="1315" t="s">
        <v>1482</v>
      </c>
    </row>
    <row r="785" spans="1:5" x14ac:dyDescent="0.25">
      <c r="A785" s="1232">
        <v>784</v>
      </c>
      <c r="B785" s="1232" t="s">
        <v>1619</v>
      </c>
      <c r="C785" s="1319" t="s">
        <v>1683</v>
      </c>
      <c r="D785" s="1319" t="s">
        <v>1682</v>
      </c>
      <c r="E785" s="1315" t="s">
        <v>1589</v>
      </c>
    </row>
    <row r="786" spans="1:5" x14ac:dyDescent="0.25">
      <c r="A786" s="1232">
        <v>785</v>
      </c>
      <c r="B786" s="1232" t="s">
        <v>1619</v>
      </c>
      <c r="C786" s="1319" t="s">
        <v>1683</v>
      </c>
      <c r="D786" s="1319" t="s">
        <v>1682</v>
      </c>
      <c r="E786" s="1315" t="s">
        <v>1590</v>
      </c>
    </row>
    <row r="787" spans="1:5" x14ac:dyDescent="0.25">
      <c r="A787" s="1232">
        <v>786</v>
      </c>
      <c r="B787" s="1232" t="s">
        <v>1619</v>
      </c>
      <c r="C787" s="1319" t="s">
        <v>1683</v>
      </c>
      <c r="D787" s="1319" t="s">
        <v>1511</v>
      </c>
      <c r="E787" s="1315" t="s">
        <v>1591</v>
      </c>
    </row>
    <row r="788" spans="1:5" ht="30" x14ac:dyDescent="0.25">
      <c r="A788" s="1232">
        <v>787</v>
      </c>
      <c r="B788" s="1232" t="s">
        <v>1619</v>
      </c>
      <c r="C788" s="1319" t="s">
        <v>1683</v>
      </c>
      <c r="D788" s="1319" t="s">
        <v>1647</v>
      </c>
      <c r="E788" s="1315" t="s">
        <v>1485</v>
      </c>
    </row>
    <row r="789" spans="1:5" ht="30" x14ac:dyDescent="0.25">
      <c r="A789" s="1232">
        <v>788</v>
      </c>
      <c r="B789" s="1232" t="s">
        <v>1619</v>
      </c>
      <c r="C789" s="1319" t="s">
        <v>1683</v>
      </c>
      <c r="D789" s="1319" t="s">
        <v>1647</v>
      </c>
      <c r="E789" s="1315" t="s">
        <v>1486</v>
      </c>
    </row>
    <row r="790" spans="1:5" ht="30" x14ac:dyDescent="0.25">
      <c r="A790" s="1232">
        <v>789</v>
      </c>
      <c r="B790" s="1232" t="s">
        <v>1619</v>
      </c>
      <c r="C790" s="1319" t="s">
        <v>1683</v>
      </c>
      <c r="D790" s="1319" t="s">
        <v>1647</v>
      </c>
      <c r="E790" s="1315" t="s">
        <v>1598</v>
      </c>
    </row>
    <row r="791" spans="1:5" x14ac:dyDescent="0.25">
      <c r="A791" s="1232">
        <v>790</v>
      </c>
      <c r="B791" s="1232" t="s">
        <v>1619</v>
      </c>
      <c r="C791" s="1319" t="s">
        <v>1683</v>
      </c>
      <c r="D791" s="1319" t="s">
        <v>1511</v>
      </c>
      <c r="E791" s="1315" t="s">
        <v>1595</v>
      </c>
    </row>
    <row r="792" spans="1:5" x14ac:dyDescent="0.25">
      <c r="A792" s="1232">
        <v>791</v>
      </c>
      <c r="B792" s="1232" t="s">
        <v>1619</v>
      </c>
      <c r="C792" s="1319" t="s">
        <v>1683</v>
      </c>
      <c r="D792" s="1319" t="s">
        <v>1682</v>
      </c>
      <c r="E792" s="1315" t="s">
        <v>1609</v>
      </c>
    </row>
    <row r="793" spans="1:5" x14ac:dyDescent="0.25">
      <c r="A793" s="1232">
        <v>792</v>
      </c>
      <c r="B793" s="1232" t="s">
        <v>1619</v>
      </c>
      <c r="C793" s="1319" t="s">
        <v>1684</v>
      </c>
      <c r="D793" s="1319" t="s">
        <v>1682</v>
      </c>
      <c r="E793" s="1315" t="s">
        <v>1487</v>
      </c>
    </row>
    <row r="794" spans="1:5" x14ac:dyDescent="0.25">
      <c r="A794" s="1232">
        <v>793</v>
      </c>
      <c r="B794" s="1232" t="s">
        <v>1619</v>
      </c>
      <c r="C794" s="1319" t="s">
        <v>1684</v>
      </c>
      <c r="D794" s="1319" t="s">
        <v>1682</v>
      </c>
      <c r="E794" s="1315" t="s">
        <v>1488</v>
      </c>
    </row>
    <row r="795" spans="1:5" x14ac:dyDescent="0.25">
      <c r="A795" s="1232">
        <v>794</v>
      </c>
      <c r="B795" s="1232" t="s">
        <v>1619</v>
      </c>
      <c r="C795" s="1319" t="s">
        <v>1684</v>
      </c>
      <c r="D795" s="1319" t="s">
        <v>1682</v>
      </c>
      <c r="E795" s="1315" t="s">
        <v>1175</v>
      </c>
    </row>
    <row r="796" spans="1:5" x14ac:dyDescent="0.25">
      <c r="A796" s="1232">
        <v>795</v>
      </c>
      <c r="B796" s="1232" t="s">
        <v>1619</v>
      </c>
      <c r="C796" s="1319" t="s">
        <v>1685</v>
      </c>
      <c r="D796" s="1319" t="s">
        <v>1682</v>
      </c>
      <c r="E796" s="1315" t="s">
        <v>1594</v>
      </c>
    </row>
    <row r="797" spans="1:5" x14ac:dyDescent="0.25">
      <c r="A797" s="1232">
        <v>796</v>
      </c>
      <c r="B797" s="1232" t="s">
        <v>1619</v>
      </c>
      <c r="C797" s="1319" t="s">
        <v>1685</v>
      </c>
      <c r="D797" s="1319" t="s">
        <v>1511</v>
      </c>
      <c r="E797" s="1315" t="s">
        <v>1810</v>
      </c>
    </row>
    <row r="798" spans="1:5" x14ac:dyDescent="0.25">
      <c r="A798" s="1232">
        <v>797</v>
      </c>
      <c r="B798" s="1232" t="s">
        <v>1619</v>
      </c>
      <c r="C798" s="1319" t="s">
        <v>1685</v>
      </c>
      <c r="D798" s="1319" t="s">
        <v>1682</v>
      </c>
      <c r="E798" s="1315" t="s">
        <v>1483</v>
      </c>
    </row>
    <row r="799" spans="1:5" x14ac:dyDescent="0.25">
      <c r="A799" s="1232">
        <v>798</v>
      </c>
      <c r="B799" s="1232" t="s">
        <v>1619</v>
      </c>
      <c r="C799" s="1319" t="s">
        <v>1685</v>
      </c>
      <c r="D799" s="1319" t="s">
        <v>1682</v>
      </c>
      <c r="E799" s="1315" t="s">
        <v>1480</v>
      </c>
    </row>
    <row r="800" spans="1:5" x14ac:dyDescent="0.25">
      <c r="A800" s="1232">
        <v>799</v>
      </c>
      <c r="B800" s="1232" t="s">
        <v>1619</v>
      </c>
      <c r="C800" s="1319" t="s">
        <v>1685</v>
      </c>
      <c r="D800" s="1319" t="s">
        <v>1682</v>
      </c>
      <c r="E800" s="1315" t="s">
        <v>1481</v>
      </c>
    </row>
    <row r="801" spans="1:5" x14ac:dyDescent="0.25">
      <c r="A801" s="1232">
        <v>800</v>
      </c>
      <c r="B801" s="1232" t="s">
        <v>1619</v>
      </c>
      <c r="C801" s="1319" t="s">
        <v>1685</v>
      </c>
      <c r="D801" s="1319" t="s">
        <v>1682</v>
      </c>
      <c r="E801" s="1315" t="s">
        <v>1497</v>
      </c>
    </row>
    <row r="802" spans="1:5" x14ac:dyDescent="0.25">
      <c r="A802" s="1232">
        <v>801</v>
      </c>
      <c r="B802" s="1232" t="s">
        <v>1619</v>
      </c>
      <c r="C802" s="1319" t="s">
        <v>1685</v>
      </c>
      <c r="D802" s="1319" t="s">
        <v>1511</v>
      </c>
      <c r="E802" s="1315" t="s">
        <v>1482</v>
      </c>
    </row>
    <row r="803" spans="1:5" x14ac:dyDescent="0.25">
      <c r="A803" s="1232">
        <v>802</v>
      </c>
      <c r="B803" s="1232" t="s">
        <v>1619</v>
      </c>
      <c r="C803" s="1319" t="s">
        <v>1685</v>
      </c>
      <c r="D803" s="1319" t="s">
        <v>1682</v>
      </c>
      <c r="E803" s="1315" t="s">
        <v>1589</v>
      </c>
    </row>
    <row r="804" spans="1:5" x14ac:dyDescent="0.25">
      <c r="A804" s="1232">
        <v>803</v>
      </c>
      <c r="B804" s="1232" t="s">
        <v>1619</v>
      </c>
      <c r="C804" s="1319" t="s">
        <v>1685</v>
      </c>
      <c r="D804" s="1319" t="s">
        <v>1682</v>
      </c>
      <c r="E804" s="1315" t="s">
        <v>1590</v>
      </c>
    </row>
    <row r="805" spans="1:5" x14ac:dyDescent="0.25">
      <c r="A805" s="1232">
        <v>804</v>
      </c>
      <c r="B805" s="1232" t="s">
        <v>1619</v>
      </c>
      <c r="C805" s="1319" t="s">
        <v>1685</v>
      </c>
      <c r="D805" s="1319" t="s">
        <v>1511</v>
      </c>
      <c r="E805" s="1315" t="s">
        <v>1591</v>
      </c>
    </row>
    <row r="806" spans="1:5" ht="30" x14ac:dyDescent="0.25">
      <c r="A806" s="1232">
        <v>805</v>
      </c>
      <c r="B806" s="1232" t="s">
        <v>1619</v>
      </c>
      <c r="C806" s="1319" t="s">
        <v>1685</v>
      </c>
      <c r="D806" s="1319" t="s">
        <v>1647</v>
      </c>
      <c r="E806" s="1315" t="s">
        <v>1485</v>
      </c>
    </row>
    <row r="807" spans="1:5" ht="30" x14ac:dyDescent="0.25">
      <c r="A807" s="1232">
        <v>806</v>
      </c>
      <c r="B807" s="1232" t="s">
        <v>1619</v>
      </c>
      <c r="C807" s="1319" t="s">
        <v>1685</v>
      </c>
      <c r="D807" s="1319" t="s">
        <v>1647</v>
      </c>
      <c r="E807" s="1315" t="s">
        <v>1486</v>
      </c>
    </row>
    <row r="808" spans="1:5" ht="30" x14ac:dyDescent="0.25">
      <c r="A808" s="1232">
        <v>807</v>
      </c>
      <c r="B808" s="1232" t="s">
        <v>1619</v>
      </c>
      <c r="C808" s="1319" t="s">
        <v>1685</v>
      </c>
      <c r="D808" s="1319" t="s">
        <v>1647</v>
      </c>
      <c r="E808" s="1315" t="s">
        <v>1598</v>
      </c>
    </row>
    <row r="809" spans="1:5" x14ac:dyDescent="0.25">
      <c r="A809" s="1232">
        <v>808</v>
      </c>
      <c r="B809" s="1232" t="s">
        <v>1619</v>
      </c>
      <c r="C809" s="1319" t="s">
        <v>1685</v>
      </c>
      <c r="D809" s="1319" t="s">
        <v>1511</v>
      </c>
      <c r="E809" s="1315" t="s">
        <v>1595</v>
      </c>
    </row>
    <row r="810" spans="1:5" x14ac:dyDescent="0.25">
      <c r="A810" s="1232">
        <v>809</v>
      </c>
      <c r="B810" s="1232" t="s">
        <v>1619</v>
      </c>
      <c r="C810" s="1319" t="s">
        <v>1685</v>
      </c>
      <c r="D810" s="1319" t="s">
        <v>1682</v>
      </c>
      <c r="E810" s="1315" t="s">
        <v>1609</v>
      </c>
    </row>
    <row r="811" spans="1:5" x14ac:dyDescent="0.25">
      <c r="A811" s="1232">
        <v>810</v>
      </c>
      <c r="B811" s="1232" t="s">
        <v>1619</v>
      </c>
      <c r="C811" s="1319" t="s">
        <v>1686</v>
      </c>
      <c r="D811" s="1319" t="s">
        <v>1682</v>
      </c>
      <c r="E811" s="1315" t="s">
        <v>1487</v>
      </c>
    </row>
    <row r="812" spans="1:5" x14ac:dyDescent="0.25">
      <c r="A812" s="1232">
        <v>811</v>
      </c>
      <c r="B812" s="1232" t="s">
        <v>1619</v>
      </c>
      <c r="C812" s="1319" t="s">
        <v>1686</v>
      </c>
      <c r="D812" s="1319" t="s">
        <v>1682</v>
      </c>
      <c r="E812" s="1315" t="s">
        <v>1488</v>
      </c>
    </row>
    <row r="813" spans="1:5" x14ac:dyDescent="0.25">
      <c r="A813" s="1232">
        <v>812</v>
      </c>
      <c r="B813" s="1232" t="s">
        <v>1619</v>
      </c>
      <c r="C813" s="1319" t="s">
        <v>1686</v>
      </c>
      <c r="D813" s="1319" t="s">
        <v>1682</v>
      </c>
      <c r="E813" s="1315" t="s">
        <v>1489</v>
      </c>
    </row>
    <row r="814" spans="1:5" x14ac:dyDescent="0.25">
      <c r="A814" s="1232">
        <v>813</v>
      </c>
      <c r="B814" s="1232" t="s">
        <v>1619</v>
      </c>
      <c r="C814" s="1319" t="s">
        <v>1687</v>
      </c>
      <c r="D814" s="1319" t="s">
        <v>1640</v>
      </c>
      <c r="E814" s="1315" t="s">
        <v>1594</v>
      </c>
    </row>
    <row r="815" spans="1:5" x14ac:dyDescent="0.25">
      <c r="A815" s="1232">
        <v>814</v>
      </c>
      <c r="B815" s="1232" t="s">
        <v>1619</v>
      </c>
      <c r="C815" s="1319" t="s">
        <v>1687</v>
      </c>
      <c r="D815" s="1319" t="s">
        <v>1511</v>
      </c>
      <c r="E815" s="1315" t="s">
        <v>1810</v>
      </c>
    </row>
    <row r="816" spans="1:5" x14ac:dyDescent="0.25">
      <c r="A816" s="1232">
        <v>815</v>
      </c>
      <c r="B816" s="1232" t="s">
        <v>1619</v>
      </c>
      <c r="C816" s="1319" t="s">
        <v>1687</v>
      </c>
      <c r="D816" s="1319" t="s">
        <v>1640</v>
      </c>
      <c r="E816" s="1315" t="s">
        <v>1483</v>
      </c>
    </row>
    <row r="817" spans="1:5" x14ac:dyDescent="0.25">
      <c r="A817" s="1232">
        <v>816</v>
      </c>
      <c r="B817" s="1232" t="s">
        <v>1619</v>
      </c>
      <c r="C817" s="1319" t="s">
        <v>1687</v>
      </c>
      <c r="D817" s="1319" t="s">
        <v>1640</v>
      </c>
      <c r="E817" s="1315" t="s">
        <v>1480</v>
      </c>
    </row>
    <row r="818" spans="1:5" x14ac:dyDescent="0.25">
      <c r="A818" s="1232">
        <v>817</v>
      </c>
      <c r="B818" s="1232" t="s">
        <v>1619</v>
      </c>
      <c r="C818" s="1319" t="s">
        <v>1687</v>
      </c>
      <c r="D818" s="1319" t="s">
        <v>1640</v>
      </c>
      <c r="E818" s="1315" t="s">
        <v>1481</v>
      </c>
    </row>
    <row r="819" spans="1:5" x14ac:dyDescent="0.25">
      <c r="A819" s="1232">
        <v>818</v>
      </c>
      <c r="B819" s="1232" t="s">
        <v>1619</v>
      </c>
      <c r="C819" s="1319" t="s">
        <v>1687</v>
      </c>
      <c r="D819" s="1319" t="s">
        <v>1640</v>
      </c>
      <c r="E819" s="1315" t="s">
        <v>1497</v>
      </c>
    </row>
    <row r="820" spans="1:5" x14ac:dyDescent="0.25">
      <c r="A820" s="1232">
        <v>819</v>
      </c>
      <c r="B820" s="1232" t="s">
        <v>1619</v>
      </c>
      <c r="C820" s="1319" t="s">
        <v>1687</v>
      </c>
      <c r="D820" s="1319" t="s">
        <v>1640</v>
      </c>
      <c r="E820" s="1315" t="s">
        <v>1482</v>
      </c>
    </row>
    <row r="821" spans="1:5" x14ac:dyDescent="0.25">
      <c r="A821" s="1232">
        <v>820</v>
      </c>
      <c r="B821" s="1232" t="s">
        <v>1619</v>
      </c>
      <c r="C821" s="1319" t="s">
        <v>1687</v>
      </c>
      <c r="D821" s="1319" t="s">
        <v>1640</v>
      </c>
      <c r="E821" s="1315" t="s">
        <v>1589</v>
      </c>
    </row>
    <row r="822" spans="1:5" x14ac:dyDescent="0.25">
      <c r="A822" s="1232">
        <v>821</v>
      </c>
      <c r="B822" s="1232" t="s">
        <v>1619</v>
      </c>
      <c r="C822" s="1319" t="s">
        <v>1687</v>
      </c>
      <c r="D822" s="1319" t="s">
        <v>1640</v>
      </c>
      <c r="E822" s="1315" t="s">
        <v>1590</v>
      </c>
    </row>
    <row r="823" spans="1:5" x14ac:dyDescent="0.25">
      <c r="A823" s="1232">
        <v>822</v>
      </c>
      <c r="B823" s="1232" t="s">
        <v>1619</v>
      </c>
      <c r="C823" s="1319" t="s">
        <v>1687</v>
      </c>
      <c r="D823" s="1319" t="s">
        <v>1511</v>
      </c>
      <c r="E823" s="1315" t="s">
        <v>1591</v>
      </c>
    </row>
    <row r="824" spans="1:5" ht="30" x14ac:dyDescent="0.25">
      <c r="A824" s="1232">
        <v>823</v>
      </c>
      <c r="B824" s="1232" t="s">
        <v>1619</v>
      </c>
      <c r="C824" s="1319" t="s">
        <v>1687</v>
      </c>
      <c r="D824" s="1319" t="s">
        <v>1647</v>
      </c>
      <c r="E824" s="1315" t="s">
        <v>1485</v>
      </c>
    </row>
    <row r="825" spans="1:5" ht="30" x14ac:dyDescent="0.25">
      <c r="A825" s="1232">
        <v>824</v>
      </c>
      <c r="B825" s="1232" t="s">
        <v>1619</v>
      </c>
      <c r="C825" s="1319" t="s">
        <v>1687</v>
      </c>
      <c r="D825" s="1319" t="s">
        <v>1647</v>
      </c>
      <c r="E825" s="1315" t="s">
        <v>1486</v>
      </c>
    </row>
    <row r="826" spans="1:5" ht="30" x14ac:dyDescent="0.25">
      <c r="A826" s="1232">
        <v>825</v>
      </c>
      <c r="B826" s="1232" t="s">
        <v>1619</v>
      </c>
      <c r="C826" s="1319" t="s">
        <v>1687</v>
      </c>
      <c r="D826" s="1319" t="s">
        <v>1647</v>
      </c>
      <c r="E826" s="1315" t="s">
        <v>1598</v>
      </c>
    </row>
    <row r="827" spans="1:5" x14ac:dyDescent="0.25">
      <c r="A827" s="1232">
        <v>826</v>
      </c>
      <c r="B827" s="1232" t="s">
        <v>1619</v>
      </c>
      <c r="C827" s="1319" t="s">
        <v>1687</v>
      </c>
      <c r="D827" s="1319" t="s">
        <v>1511</v>
      </c>
      <c r="E827" s="1315" t="s">
        <v>1595</v>
      </c>
    </row>
    <row r="828" spans="1:5" x14ac:dyDescent="0.25">
      <c r="A828" s="1232">
        <v>827</v>
      </c>
      <c r="B828" s="1232" t="s">
        <v>1619</v>
      </c>
      <c r="C828" s="1319" t="s">
        <v>1687</v>
      </c>
      <c r="D828" s="1319" t="s">
        <v>1640</v>
      </c>
      <c r="E828" s="1315" t="s">
        <v>1609</v>
      </c>
    </row>
    <row r="829" spans="1:5" x14ac:dyDescent="0.25">
      <c r="A829" s="1232">
        <v>828</v>
      </c>
      <c r="B829" s="1232" t="s">
        <v>1619</v>
      </c>
      <c r="C829" s="1319" t="s">
        <v>1688</v>
      </c>
      <c r="D829" s="1319" t="s">
        <v>1640</v>
      </c>
      <c r="E829" s="1315" t="s">
        <v>1487</v>
      </c>
    </row>
    <row r="830" spans="1:5" x14ac:dyDescent="0.25">
      <c r="A830" s="1232">
        <v>829</v>
      </c>
      <c r="B830" s="1232" t="s">
        <v>1619</v>
      </c>
      <c r="C830" s="1319" t="s">
        <v>1688</v>
      </c>
      <c r="D830" s="1319" t="s">
        <v>1640</v>
      </c>
      <c r="E830" s="1315" t="s">
        <v>1488</v>
      </c>
    </row>
    <row r="831" spans="1:5" x14ac:dyDescent="0.25">
      <c r="A831" s="1232">
        <v>830</v>
      </c>
      <c r="B831" s="1232" t="s">
        <v>1619</v>
      </c>
      <c r="C831" s="1319" t="s">
        <v>1688</v>
      </c>
      <c r="D831" s="1319" t="s">
        <v>1640</v>
      </c>
      <c r="E831" s="1315" t="s">
        <v>1489</v>
      </c>
    </row>
    <row r="832" spans="1:5" x14ac:dyDescent="0.25">
      <c r="A832" s="1232">
        <v>831</v>
      </c>
      <c r="B832" s="1232" t="s">
        <v>1619</v>
      </c>
      <c r="C832" s="1319" t="s">
        <v>1689</v>
      </c>
      <c r="D832" s="1319" t="s">
        <v>1640</v>
      </c>
      <c r="E832" s="1315" t="s">
        <v>1487</v>
      </c>
    </row>
    <row r="833" spans="1:5" x14ac:dyDescent="0.25">
      <c r="A833" s="1232">
        <v>832</v>
      </c>
      <c r="B833" s="1232" t="s">
        <v>1619</v>
      </c>
      <c r="C833" s="1319" t="s">
        <v>1689</v>
      </c>
      <c r="D833" s="1319" t="s">
        <v>1640</v>
      </c>
      <c r="E833" s="1315" t="s">
        <v>1488</v>
      </c>
    </row>
    <row r="834" spans="1:5" x14ac:dyDescent="0.25">
      <c r="A834" s="1232">
        <v>833</v>
      </c>
      <c r="B834" s="1232" t="s">
        <v>1619</v>
      </c>
      <c r="C834" s="1319" t="s">
        <v>1689</v>
      </c>
      <c r="D834" s="1319" t="s">
        <v>1640</v>
      </c>
      <c r="E834" s="1315" t="s">
        <v>1489</v>
      </c>
    </row>
    <row r="835" spans="1:5" x14ac:dyDescent="0.25">
      <c r="A835" s="1232">
        <v>834</v>
      </c>
      <c r="B835" s="1232" t="s">
        <v>1619</v>
      </c>
      <c r="C835" s="1319" t="s">
        <v>1690</v>
      </c>
      <c r="D835" s="1319" t="s">
        <v>1640</v>
      </c>
      <c r="E835" s="1315" t="s">
        <v>1487</v>
      </c>
    </row>
    <row r="836" spans="1:5" x14ac:dyDescent="0.25">
      <c r="A836" s="1232">
        <v>835</v>
      </c>
      <c r="B836" s="1232" t="s">
        <v>1619</v>
      </c>
      <c r="C836" s="1319" t="s">
        <v>1690</v>
      </c>
      <c r="D836" s="1319" t="s">
        <v>1640</v>
      </c>
      <c r="E836" s="1315" t="s">
        <v>1488</v>
      </c>
    </row>
    <row r="837" spans="1:5" x14ac:dyDescent="0.25">
      <c r="A837" s="1232">
        <v>836</v>
      </c>
      <c r="B837" s="1232" t="s">
        <v>1619</v>
      </c>
      <c r="C837" s="1319" t="s">
        <v>1690</v>
      </c>
      <c r="D837" s="1319" t="s">
        <v>1640</v>
      </c>
      <c r="E837" s="1315" t="s">
        <v>1489</v>
      </c>
    </row>
    <row r="838" spans="1:5" x14ac:dyDescent="0.25">
      <c r="A838" s="1232">
        <v>837</v>
      </c>
      <c r="B838" s="1232" t="s">
        <v>1619</v>
      </c>
      <c r="C838" s="1319" t="s">
        <v>1691</v>
      </c>
      <c r="D838" s="1319" t="s">
        <v>1616</v>
      </c>
      <c r="E838" s="1315" t="s">
        <v>1487</v>
      </c>
    </row>
    <row r="839" spans="1:5" x14ac:dyDescent="0.25">
      <c r="A839" s="1232">
        <v>838</v>
      </c>
      <c r="B839" s="1232" t="s">
        <v>1619</v>
      </c>
      <c r="C839" s="1319" t="s">
        <v>1691</v>
      </c>
      <c r="D839" s="1319" t="s">
        <v>1640</v>
      </c>
      <c r="E839" s="1315" t="s">
        <v>1488</v>
      </c>
    </row>
    <row r="840" spans="1:5" x14ac:dyDescent="0.25">
      <c r="A840" s="1232">
        <v>839</v>
      </c>
      <c r="B840" s="1232" t="s">
        <v>1619</v>
      </c>
      <c r="C840" s="1319" t="s">
        <v>1691</v>
      </c>
      <c r="D840" s="1319" t="s">
        <v>1640</v>
      </c>
      <c r="E840" s="1315" t="s">
        <v>1489</v>
      </c>
    </row>
    <row r="841" spans="1:5" x14ac:dyDescent="0.25">
      <c r="A841" s="1232">
        <v>840</v>
      </c>
      <c r="B841" s="1232" t="s">
        <v>1619</v>
      </c>
      <c r="C841" s="1319" t="s">
        <v>1692</v>
      </c>
      <c r="D841" s="1319" t="s">
        <v>1640</v>
      </c>
      <c r="E841" s="1315" t="s">
        <v>1487</v>
      </c>
    </row>
    <row r="842" spans="1:5" x14ac:dyDescent="0.25">
      <c r="A842" s="1232">
        <v>841</v>
      </c>
      <c r="B842" s="1232" t="s">
        <v>1619</v>
      </c>
      <c r="C842" s="1319" t="s">
        <v>1692</v>
      </c>
      <c r="D842" s="1319" t="s">
        <v>1640</v>
      </c>
      <c r="E842" s="1315" t="s">
        <v>1488</v>
      </c>
    </row>
    <row r="843" spans="1:5" x14ac:dyDescent="0.25">
      <c r="A843" s="1232">
        <v>842</v>
      </c>
      <c r="B843" s="1232" t="s">
        <v>1619</v>
      </c>
      <c r="C843" s="1319" t="s">
        <v>1692</v>
      </c>
      <c r="D843" s="1319" t="s">
        <v>1640</v>
      </c>
      <c r="E843" s="1315" t="s">
        <v>1489</v>
      </c>
    </row>
    <row r="844" spans="1:5" x14ac:dyDescent="0.25">
      <c r="A844" s="1232">
        <v>843</v>
      </c>
      <c r="B844" s="1232" t="s">
        <v>1619</v>
      </c>
      <c r="C844" s="1319" t="s">
        <v>1693</v>
      </c>
      <c r="D844" s="1319" t="s">
        <v>1640</v>
      </c>
      <c r="E844" s="1315" t="s">
        <v>1594</v>
      </c>
    </row>
    <row r="845" spans="1:5" x14ac:dyDescent="0.25">
      <c r="A845" s="1232">
        <v>844</v>
      </c>
      <c r="B845" s="1232" t="s">
        <v>1619</v>
      </c>
      <c r="C845" s="1319" t="s">
        <v>1693</v>
      </c>
      <c r="D845" s="1319" t="s">
        <v>1640</v>
      </c>
      <c r="E845" s="1315" t="s">
        <v>1810</v>
      </c>
    </row>
    <row r="846" spans="1:5" x14ac:dyDescent="0.25">
      <c r="A846" s="1232">
        <v>845</v>
      </c>
      <c r="B846" s="1232" t="s">
        <v>1619</v>
      </c>
      <c r="C846" s="1319" t="s">
        <v>1693</v>
      </c>
      <c r="D846" s="1319" t="s">
        <v>1640</v>
      </c>
      <c r="E846" s="1315" t="s">
        <v>1483</v>
      </c>
    </row>
    <row r="847" spans="1:5" x14ac:dyDescent="0.25">
      <c r="A847" s="1232">
        <v>846</v>
      </c>
      <c r="B847" s="1232" t="s">
        <v>1619</v>
      </c>
      <c r="C847" s="1319" t="s">
        <v>1693</v>
      </c>
      <c r="D847" s="1319" t="s">
        <v>1640</v>
      </c>
      <c r="E847" s="1315" t="s">
        <v>1480</v>
      </c>
    </row>
    <row r="848" spans="1:5" x14ac:dyDescent="0.25">
      <c r="A848" s="1232">
        <v>847</v>
      </c>
      <c r="B848" s="1232" t="s">
        <v>1619</v>
      </c>
      <c r="C848" s="1319" t="s">
        <v>1693</v>
      </c>
      <c r="D848" s="1319" t="s">
        <v>1640</v>
      </c>
      <c r="E848" s="1315" t="s">
        <v>1481</v>
      </c>
    </row>
    <row r="849" spans="1:5" x14ac:dyDescent="0.25">
      <c r="A849" s="1232">
        <v>848</v>
      </c>
      <c r="B849" s="1232" t="s">
        <v>1619</v>
      </c>
      <c r="C849" s="1319" t="s">
        <v>1693</v>
      </c>
      <c r="D849" s="1319" t="s">
        <v>1640</v>
      </c>
      <c r="E849" s="1315" t="s">
        <v>1497</v>
      </c>
    </row>
    <row r="850" spans="1:5" x14ac:dyDescent="0.25">
      <c r="A850" s="1232">
        <v>849</v>
      </c>
      <c r="B850" s="1232" t="s">
        <v>1619</v>
      </c>
      <c r="C850" s="1319" t="s">
        <v>1693</v>
      </c>
      <c r="D850" s="1319" t="s">
        <v>1640</v>
      </c>
      <c r="E850" s="1315" t="s">
        <v>1482</v>
      </c>
    </row>
    <row r="851" spans="1:5" x14ac:dyDescent="0.25">
      <c r="A851" s="1232">
        <v>850</v>
      </c>
      <c r="B851" s="1232" t="s">
        <v>1619</v>
      </c>
      <c r="C851" s="1319" t="s">
        <v>1693</v>
      </c>
      <c r="D851" s="1319" t="s">
        <v>1640</v>
      </c>
      <c r="E851" s="1315" t="s">
        <v>1589</v>
      </c>
    </row>
    <row r="852" spans="1:5" x14ac:dyDescent="0.25">
      <c r="A852" s="1232">
        <v>851</v>
      </c>
      <c r="B852" s="1232" t="s">
        <v>1619</v>
      </c>
      <c r="C852" s="1319" t="s">
        <v>1693</v>
      </c>
      <c r="D852" s="1319" t="s">
        <v>1640</v>
      </c>
      <c r="E852" s="1315" t="s">
        <v>1590</v>
      </c>
    </row>
    <row r="853" spans="1:5" x14ac:dyDescent="0.25">
      <c r="A853" s="1232">
        <v>852</v>
      </c>
      <c r="B853" s="1232" t="s">
        <v>1619</v>
      </c>
      <c r="C853" s="1319" t="s">
        <v>1693</v>
      </c>
      <c r="D853" s="1319" t="s">
        <v>1511</v>
      </c>
      <c r="E853" s="1315" t="s">
        <v>1591</v>
      </c>
    </row>
    <row r="854" spans="1:5" ht="30" x14ac:dyDescent="0.25">
      <c r="A854" s="1232">
        <v>853</v>
      </c>
      <c r="B854" s="1232" t="s">
        <v>1619</v>
      </c>
      <c r="C854" s="1319" t="s">
        <v>1693</v>
      </c>
      <c r="D854" s="1319" t="s">
        <v>1647</v>
      </c>
      <c r="E854" s="1315" t="s">
        <v>1485</v>
      </c>
    </row>
    <row r="855" spans="1:5" ht="30" x14ac:dyDescent="0.25">
      <c r="A855" s="1232">
        <v>854</v>
      </c>
      <c r="B855" s="1232" t="s">
        <v>1619</v>
      </c>
      <c r="C855" s="1319" t="s">
        <v>1693</v>
      </c>
      <c r="D855" s="1319" t="s">
        <v>1647</v>
      </c>
      <c r="E855" s="1315" t="s">
        <v>1486</v>
      </c>
    </row>
    <row r="856" spans="1:5" ht="30" x14ac:dyDescent="0.25">
      <c r="A856" s="1232">
        <v>855</v>
      </c>
      <c r="B856" s="1232" t="s">
        <v>1619</v>
      </c>
      <c r="C856" s="1319" t="s">
        <v>1693</v>
      </c>
      <c r="D856" s="1319" t="s">
        <v>1647</v>
      </c>
      <c r="E856" s="1315" t="s">
        <v>1598</v>
      </c>
    </row>
    <row r="857" spans="1:5" x14ac:dyDescent="0.25">
      <c r="A857" s="1232">
        <v>856</v>
      </c>
      <c r="B857" s="1232" t="s">
        <v>1619</v>
      </c>
      <c r="C857" s="1319" t="s">
        <v>1693</v>
      </c>
      <c r="D857" s="1319" t="s">
        <v>1511</v>
      </c>
      <c r="E857" s="1315" t="s">
        <v>1595</v>
      </c>
    </row>
    <row r="858" spans="1:5" x14ac:dyDescent="0.25">
      <c r="A858" s="1232">
        <v>857</v>
      </c>
      <c r="B858" s="1232" t="s">
        <v>1619</v>
      </c>
      <c r="C858" s="1319" t="s">
        <v>1693</v>
      </c>
      <c r="D858" s="1319" t="s">
        <v>1640</v>
      </c>
      <c r="E858" s="1315" t="s">
        <v>1609</v>
      </c>
    </row>
    <row r="859" spans="1:5" x14ac:dyDescent="0.25">
      <c r="A859" s="1232">
        <v>858</v>
      </c>
      <c r="B859" s="1232" t="s">
        <v>1619</v>
      </c>
      <c r="C859" s="1319" t="s">
        <v>1694</v>
      </c>
      <c r="D859" s="1319" t="s">
        <v>1640</v>
      </c>
      <c r="E859" s="1315" t="s">
        <v>1487</v>
      </c>
    </row>
    <row r="860" spans="1:5" x14ac:dyDescent="0.25">
      <c r="A860" s="1232">
        <v>859</v>
      </c>
      <c r="B860" s="1232" t="s">
        <v>1619</v>
      </c>
      <c r="C860" s="1319" t="s">
        <v>1694</v>
      </c>
      <c r="D860" s="1319" t="s">
        <v>1640</v>
      </c>
      <c r="E860" s="1315" t="s">
        <v>1488</v>
      </c>
    </row>
    <row r="861" spans="1:5" x14ac:dyDescent="0.25">
      <c r="A861" s="1232">
        <v>860</v>
      </c>
      <c r="B861" s="1232" t="s">
        <v>1619</v>
      </c>
      <c r="C861" s="1319" t="s">
        <v>1694</v>
      </c>
      <c r="D861" s="1319" t="s">
        <v>1640</v>
      </c>
      <c r="E861" s="1315" t="s">
        <v>1489</v>
      </c>
    </row>
    <row r="862" spans="1:5" x14ac:dyDescent="0.25">
      <c r="A862" s="1232">
        <v>861</v>
      </c>
      <c r="B862" s="1232" t="s">
        <v>1619</v>
      </c>
      <c r="C862" s="1319" t="s">
        <v>1695</v>
      </c>
      <c r="D862" s="1319" t="s">
        <v>1640</v>
      </c>
      <c r="E862" s="1315" t="s">
        <v>1487</v>
      </c>
    </row>
    <row r="863" spans="1:5" x14ac:dyDescent="0.25">
      <c r="A863" s="1232">
        <v>862</v>
      </c>
      <c r="B863" s="1232" t="s">
        <v>1619</v>
      </c>
      <c r="C863" s="1319" t="s">
        <v>1695</v>
      </c>
      <c r="D863" s="1319" t="s">
        <v>1640</v>
      </c>
      <c r="E863" s="1315" t="s">
        <v>1488</v>
      </c>
    </row>
    <row r="864" spans="1:5" x14ac:dyDescent="0.25">
      <c r="A864" s="1232">
        <v>863</v>
      </c>
      <c r="B864" s="1232" t="s">
        <v>1619</v>
      </c>
      <c r="C864" s="1319" t="s">
        <v>1695</v>
      </c>
      <c r="D864" s="1319" t="s">
        <v>1640</v>
      </c>
      <c r="E864" s="1315" t="s">
        <v>1489</v>
      </c>
    </row>
    <row r="865" spans="1:5" x14ac:dyDescent="0.25">
      <c r="A865" s="1232">
        <v>864</v>
      </c>
      <c r="B865" s="1232" t="s">
        <v>1619</v>
      </c>
      <c r="C865" s="1319" t="s">
        <v>1696</v>
      </c>
      <c r="D865" s="1319" t="s">
        <v>1640</v>
      </c>
      <c r="E865" s="1315" t="s">
        <v>1487</v>
      </c>
    </row>
    <row r="866" spans="1:5" x14ac:dyDescent="0.25">
      <c r="A866" s="1232">
        <v>865</v>
      </c>
      <c r="B866" s="1232" t="s">
        <v>1619</v>
      </c>
      <c r="C866" s="1319" t="s">
        <v>1696</v>
      </c>
      <c r="D866" s="1319" t="s">
        <v>1640</v>
      </c>
      <c r="E866" s="1315" t="s">
        <v>1488</v>
      </c>
    </row>
    <row r="867" spans="1:5" x14ac:dyDescent="0.25">
      <c r="A867" s="1232">
        <v>866</v>
      </c>
      <c r="B867" s="1232" t="s">
        <v>1619</v>
      </c>
      <c r="C867" s="1319" t="s">
        <v>1696</v>
      </c>
      <c r="D867" s="1319" t="s">
        <v>1640</v>
      </c>
      <c r="E867" s="1315" t="s">
        <v>1489</v>
      </c>
    </row>
    <row r="868" spans="1:5" x14ac:dyDescent="0.25">
      <c r="A868" s="1232">
        <v>867</v>
      </c>
      <c r="B868" s="1232" t="s">
        <v>1619</v>
      </c>
      <c r="C868" s="1319" t="s">
        <v>1697</v>
      </c>
      <c r="D868" s="1319" t="s">
        <v>1640</v>
      </c>
      <c r="E868" s="1315" t="s">
        <v>1487</v>
      </c>
    </row>
    <row r="869" spans="1:5" x14ac:dyDescent="0.25">
      <c r="A869" s="1232">
        <v>868</v>
      </c>
      <c r="B869" s="1232" t="s">
        <v>1619</v>
      </c>
      <c r="C869" s="1319" t="s">
        <v>1697</v>
      </c>
      <c r="D869" s="1319" t="s">
        <v>1640</v>
      </c>
      <c r="E869" s="1315" t="s">
        <v>1488</v>
      </c>
    </row>
    <row r="870" spans="1:5" x14ac:dyDescent="0.25">
      <c r="A870" s="1232">
        <v>869</v>
      </c>
      <c r="B870" s="1232" t="s">
        <v>1619</v>
      </c>
      <c r="C870" s="1319" t="s">
        <v>1697</v>
      </c>
      <c r="D870" s="1319" t="s">
        <v>1640</v>
      </c>
      <c r="E870" s="1315" t="s">
        <v>1489</v>
      </c>
    </row>
    <row r="871" spans="1:5" x14ac:dyDescent="0.25">
      <c r="A871" s="1232">
        <v>870</v>
      </c>
      <c r="B871" s="1232" t="s">
        <v>1619</v>
      </c>
      <c r="C871" s="1319" t="s">
        <v>1698</v>
      </c>
      <c r="D871" s="1319" t="s">
        <v>1640</v>
      </c>
      <c r="E871" s="1315" t="s">
        <v>1487</v>
      </c>
    </row>
    <row r="872" spans="1:5" x14ac:dyDescent="0.25">
      <c r="A872" s="1232">
        <v>871</v>
      </c>
      <c r="B872" s="1232" t="s">
        <v>1619</v>
      </c>
      <c r="C872" s="1319" t="s">
        <v>1698</v>
      </c>
      <c r="D872" s="1319" t="s">
        <v>1640</v>
      </c>
      <c r="E872" s="1315" t="s">
        <v>1488</v>
      </c>
    </row>
    <row r="873" spans="1:5" x14ac:dyDescent="0.25">
      <c r="A873" s="1232">
        <v>872</v>
      </c>
      <c r="B873" s="1232" t="s">
        <v>1619</v>
      </c>
      <c r="C873" s="1319" t="s">
        <v>1698</v>
      </c>
      <c r="D873" s="1319" t="s">
        <v>1640</v>
      </c>
      <c r="E873" s="1315" t="s">
        <v>1489</v>
      </c>
    </row>
    <row r="874" spans="1:5" x14ac:dyDescent="0.25">
      <c r="A874" s="1232">
        <v>873</v>
      </c>
      <c r="B874" s="1232" t="s">
        <v>1619</v>
      </c>
      <c r="C874" s="1319" t="s">
        <v>1854</v>
      </c>
      <c r="D874" s="1319" t="s">
        <v>1699</v>
      </c>
      <c r="E874" s="1315" t="s">
        <v>1594</v>
      </c>
    </row>
    <row r="875" spans="1:5" x14ac:dyDescent="0.25">
      <c r="A875" s="1232">
        <v>874</v>
      </c>
      <c r="B875" s="1232" t="s">
        <v>1619</v>
      </c>
      <c r="C875" s="1319" t="s">
        <v>1854</v>
      </c>
      <c r="D875" s="1319" t="s">
        <v>1699</v>
      </c>
      <c r="E875" s="1315" t="s">
        <v>1810</v>
      </c>
    </row>
    <row r="876" spans="1:5" x14ac:dyDescent="0.25">
      <c r="A876" s="1232">
        <v>875</v>
      </c>
      <c r="B876" s="1232" t="s">
        <v>1619</v>
      </c>
      <c r="C876" s="1319" t="s">
        <v>1854</v>
      </c>
      <c r="D876" s="1319" t="s">
        <v>1699</v>
      </c>
      <c r="E876" s="1315" t="s">
        <v>1483</v>
      </c>
    </row>
    <row r="877" spans="1:5" x14ac:dyDescent="0.25">
      <c r="A877" s="1232">
        <v>876</v>
      </c>
      <c r="B877" s="1232" t="s">
        <v>1619</v>
      </c>
      <c r="C877" s="1319" t="s">
        <v>1854</v>
      </c>
      <c r="D877" s="1319" t="s">
        <v>1699</v>
      </c>
      <c r="E877" s="1315" t="s">
        <v>1480</v>
      </c>
    </row>
    <row r="878" spans="1:5" x14ac:dyDescent="0.25">
      <c r="A878" s="1232">
        <v>877</v>
      </c>
      <c r="B878" s="1232" t="s">
        <v>1619</v>
      </c>
      <c r="C878" s="1319" t="s">
        <v>1854</v>
      </c>
      <c r="D878" s="1319" t="s">
        <v>1699</v>
      </c>
      <c r="E878" s="1315" t="s">
        <v>1481</v>
      </c>
    </row>
    <row r="879" spans="1:5" x14ac:dyDescent="0.25">
      <c r="A879" s="1232">
        <v>878</v>
      </c>
      <c r="B879" s="1232" t="s">
        <v>1619</v>
      </c>
      <c r="C879" s="1319" t="s">
        <v>1854</v>
      </c>
      <c r="D879" s="1319" t="s">
        <v>1699</v>
      </c>
      <c r="E879" s="1315" t="s">
        <v>1497</v>
      </c>
    </row>
    <row r="880" spans="1:5" x14ac:dyDescent="0.25">
      <c r="A880" s="1232">
        <v>879</v>
      </c>
      <c r="B880" s="1232" t="s">
        <v>1619</v>
      </c>
      <c r="C880" s="1319" t="s">
        <v>1854</v>
      </c>
      <c r="D880" s="1319" t="s">
        <v>1511</v>
      </c>
      <c r="E880" s="1315" t="s">
        <v>1482</v>
      </c>
    </row>
    <row r="881" spans="1:5" x14ac:dyDescent="0.25">
      <c r="A881" s="1232">
        <v>880</v>
      </c>
      <c r="B881" s="1232" t="s">
        <v>1619</v>
      </c>
      <c r="C881" s="1319" t="s">
        <v>1700</v>
      </c>
      <c r="D881" s="1319" t="s">
        <v>1699</v>
      </c>
      <c r="E881" s="1315" t="s">
        <v>1589</v>
      </c>
    </row>
    <row r="882" spans="1:5" x14ac:dyDescent="0.25">
      <c r="A882" s="1232">
        <v>881</v>
      </c>
      <c r="B882" s="1232" t="s">
        <v>1619</v>
      </c>
      <c r="C882" s="1319" t="s">
        <v>1700</v>
      </c>
      <c r="D882" s="1319" t="s">
        <v>1699</v>
      </c>
      <c r="E882" s="1315" t="s">
        <v>1590</v>
      </c>
    </row>
    <row r="883" spans="1:5" x14ac:dyDescent="0.25">
      <c r="A883" s="1232">
        <v>882</v>
      </c>
      <c r="B883" s="1232" t="s">
        <v>1619</v>
      </c>
      <c r="C883" s="1319" t="s">
        <v>1700</v>
      </c>
      <c r="D883" s="1319" t="s">
        <v>1511</v>
      </c>
      <c r="E883" s="1315" t="s">
        <v>1591</v>
      </c>
    </row>
    <row r="884" spans="1:5" ht="30" x14ac:dyDescent="0.25">
      <c r="A884" s="1232">
        <v>883</v>
      </c>
      <c r="B884" s="1232" t="s">
        <v>1619</v>
      </c>
      <c r="C884" s="1319" t="s">
        <v>1700</v>
      </c>
      <c r="D884" s="1319" t="s">
        <v>1647</v>
      </c>
      <c r="E884" s="1315" t="s">
        <v>1485</v>
      </c>
    </row>
    <row r="885" spans="1:5" ht="30" x14ac:dyDescent="0.25">
      <c r="A885" s="1232">
        <v>884</v>
      </c>
      <c r="B885" s="1232" t="s">
        <v>1619</v>
      </c>
      <c r="C885" s="1319" t="s">
        <v>1700</v>
      </c>
      <c r="D885" s="1319" t="s">
        <v>1647</v>
      </c>
      <c r="E885" s="1315" t="s">
        <v>1486</v>
      </c>
    </row>
    <row r="886" spans="1:5" ht="30" x14ac:dyDescent="0.25">
      <c r="A886" s="1232">
        <v>885</v>
      </c>
      <c r="B886" s="1232" t="s">
        <v>1619</v>
      </c>
      <c r="C886" s="1319" t="s">
        <v>1700</v>
      </c>
      <c r="D886" s="1319" t="s">
        <v>1647</v>
      </c>
      <c r="E886" s="1315" t="s">
        <v>1598</v>
      </c>
    </row>
    <row r="887" spans="1:5" x14ac:dyDescent="0.25">
      <c r="A887" s="1232">
        <v>886</v>
      </c>
      <c r="B887" s="1232" t="s">
        <v>1619</v>
      </c>
      <c r="C887" s="1319" t="s">
        <v>1700</v>
      </c>
      <c r="D887" s="1319" t="s">
        <v>1511</v>
      </c>
      <c r="E887" s="1315" t="s">
        <v>1595</v>
      </c>
    </row>
    <row r="888" spans="1:5" x14ac:dyDescent="0.25">
      <c r="A888" s="1232">
        <v>887</v>
      </c>
      <c r="B888" s="1232" t="s">
        <v>1619</v>
      </c>
      <c r="C888" s="1319" t="s">
        <v>1700</v>
      </c>
      <c r="D888" s="1319" t="s">
        <v>1699</v>
      </c>
      <c r="E888" s="1315" t="s">
        <v>1609</v>
      </c>
    </row>
    <row r="889" spans="1:5" x14ac:dyDescent="0.25">
      <c r="A889" s="1232">
        <v>888</v>
      </c>
      <c r="B889" s="1232" t="s">
        <v>1619</v>
      </c>
      <c r="C889" s="1319" t="s">
        <v>1701</v>
      </c>
      <c r="D889" s="1319" t="s">
        <v>1699</v>
      </c>
      <c r="E889" s="1315" t="s">
        <v>1487</v>
      </c>
    </row>
    <row r="890" spans="1:5" x14ac:dyDescent="0.25">
      <c r="A890" s="1232">
        <v>889</v>
      </c>
      <c r="B890" s="1232" t="s">
        <v>1619</v>
      </c>
      <c r="C890" s="1319" t="s">
        <v>1701</v>
      </c>
      <c r="D890" s="1319" t="s">
        <v>1699</v>
      </c>
      <c r="E890" s="1315" t="s">
        <v>1488</v>
      </c>
    </row>
    <row r="891" spans="1:5" x14ac:dyDescent="0.25">
      <c r="A891" s="1232">
        <v>890</v>
      </c>
      <c r="B891" s="1232" t="s">
        <v>1619</v>
      </c>
      <c r="C891" s="1319" t="s">
        <v>1701</v>
      </c>
      <c r="D891" s="1319" t="s">
        <v>1699</v>
      </c>
      <c r="E891" s="1315" t="s">
        <v>1175</v>
      </c>
    </row>
    <row r="892" spans="1:5" x14ac:dyDescent="0.25">
      <c r="A892" s="1232">
        <v>891</v>
      </c>
      <c r="B892" s="1232" t="s">
        <v>1619</v>
      </c>
      <c r="C892" s="1319" t="s">
        <v>1700</v>
      </c>
      <c r="D892" s="1319" t="s">
        <v>1699</v>
      </c>
      <c r="E892" s="1315" t="s">
        <v>1611</v>
      </c>
    </row>
    <row r="893" spans="1:5" x14ac:dyDescent="0.25">
      <c r="A893" s="1232">
        <v>892</v>
      </c>
      <c r="B893" s="1232" t="s">
        <v>1619</v>
      </c>
      <c r="C893" s="1319" t="s">
        <v>1855</v>
      </c>
      <c r="D893" s="1319" t="s">
        <v>1699</v>
      </c>
      <c r="E893" s="1317" t="s">
        <v>1594</v>
      </c>
    </row>
    <row r="894" spans="1:5" x14ac:dyDescent="0.25">
      <c r="A894" s="1232">
        <v>893</v>
      </c>
      <c r="B894" s="1232" t="s">
        <v>1619</v>
      </c>
      <c r="C894" s="1319" t="s">
        <v>1855</v>
      </c>
      <c r="D894" s="1319" t="s">
        <v>1699</v>
      </c>
      <c r="E894" s="1317" t="s">
        <v>1810</v>
      </c>
    </row>
    <row r="895" spans="1:5" x14ac:dyDescent="0.25">
      <c r="A895" s="1232">
        <v>894</v>
      </c>
      <c r="B895" s="1232" t="s">
        <v>1619</v>
      </c>
      <c r="C895" s="1319" t="s">
        <v>1855</v>
      </c>
      <c r="D895" s="1319" t="s">
        <v>1699</v>
      </c>
      <c r="E895" s="1317" t="s">
        <v>1483</v>
      </c>
    </row>
    <row r="896" spans="1:5" x14ac:dyDescent="0.25">
      <c r="A896" s="1232">
        <v>895</v>
      </c>
      <c r="B896" s="1232" t="s">
        <v>1619</v>
      </c>
      <c r="C896" s="1319" t="s">
        <v>1855</v>
      </c>
      <c r="D896" s="1319" t="s">
        <v>1699</v>
      </c>
      <c r="E896" s="1317" t="s">
        <v>1480</v>
      </c>
    </row>
    <row r="897" spans="1:5" x14ac:dyDescent="0.25">
      <c r="A897" s="1232">
        <v>896</v>
      </c>
      <c r="B897" s="1232" t="s">
        <v>1619</v>
      </c>
      <c r="C897" s="1319" t="s">
        <v>1855</v>
      </c>
      <c r="D897" s="1319" t="s">
        <v>1699</v>
      </c>
      <c r="E897" s="1317" t="s">
        <v>1481</v>
      </c>
    </row>
    <row r="898" spans="1:5" x14ac:dyDescent="0.25">
      <c r="A898" s="1232">
        <v>897</v>
      </c>
      <c r="B898" s="1232" t="s">
        <v>1619</v>
      </c>
      <c r="C898" s="1319" t="s">
        <v>1855</v>
      </c>
      <c r="D898" s="1319" t="s">
        <v>1699</v>
      </c>
      <c r="E898" s="1317" t="s">
        <v>1497</v>
      </c>
    </row>
    <row r="899" spans="1:5" x14ac:dyDescent="0.25">
      <c r="A899" s="1232">
        <v>898</v>
      </c>
      <c r="B899" s="1232" t="s">
        <v>1619</v>
      </c>
      <c r="C899" s="1319" t="s">
        <v>1855</v>
      </c>
      <c r="D899" s="1319" t="s">
        <v>1511</v>
      </c>
      <c r="E899" s="1317" t="s">
        <v>1482</v>
      </c>
    </row>
    <row r="900" spans="1:5" x14ac:dyDescent="0.25">
      <c r="A900" s="1232">
        <v>899</v>
      </c>
      <c r="B900" s="1232" t="s">
        <v>1619</v>
      </c>
      <c r="C900" s="1319" t="s">
        <v>1819</v>
      </c>
      <c r="D900" s="1319" t="s">
        <v>1699</v>
      </c>
      <c r="E900" s="1317" t="s">
        <v>1589</v>
      </c>
    </row>
    <row r="901" spans="1:5" x14ac:dyDescent="0.25">
      <c r="A901" s="1232">
        <v>900</v>
      </c>
      <c r="B901" s="1232" t="s">
        <v>1619</v>
      </c>
      <c r="C901" s="1319" t="s">
        <v>1819</v>
      </c>
      <c r="D901" s="1319" t="s">
        <v>1699</v>
      </c>
      <c r="E901" s="1317" t="s">
        <v>1590</v>
      </c>
    </row>
    <row r="902" spans="1:5" x14ac:dyDescent="0.25">
      <c r="A902" s="1232">
        <v>901</v>
      </c>
      <c r="B902" s="1232" t="s">
        <v>1619</v>
      </c>
      <c r="C902" s="1319" t="s">
        <v>1819</v>
      </c>
      <c r="D902" s="1319" t="s">
        <v>1511</v>
      </c>
      <c r="E902" s="1317" t="s">
        <v>1591</v>
      </c>
    </row>
    <row r="903" spans="1:5" ht="30" x14ac:dyDescent="0.25">
      <c r="A903" s="1232">
        <v>902</v>
      </c>
      <c r="B903" s="1232" t="s">
        <v>1619</v>
      </c>
      <c r="C903" s="1319" t="s">
        <v>1819</v>
      </c>
      <c r="D903" s="1319" t="s">
        <v>1647</v>
      </c>
      <c r="E903" s="1317" t="s">
        <v>1485</v>
      </c>
    </row>
    <row r="904" spans="1:5" ht="30" x14ac:dyDescent="0.25">
      <c r="A904" s="1232">
        <v>903</v>
      </c>
      <c r="B904" s="1232" t="s">
        <v>1619</v>
      </c>
      <c r="C904" s="1319" t="s">
        <v>1819</v>
      </c>
      <c r="D904" s="1319" t="s">
        <v>1647</v>
      </c>
      <c r="E904" s="1317" t="s">
        <v>1486</v>
      </c>
    </row>
    <row r="905" spans="1:5" ht="30" x14ac:dyDescent="0.25">
      <c r="A905" s="1232">
        <v>904</v>
      </c>
      <c r="B905" s="1232" t="s">
        <v>1619</v>
      </c>
      <c r="C905" s="1319" t="s">
        <v>1819</v>
      </c>
      <c r="D905" s="1319" t="s">
        <v>1647</v>
      </c>
      <c r="E905" s="1317" t="s">
        <v>1598</v>
      </c>
    </row>
    <row r="906" spans="1:5" x14ac:dyDescent="0.25">
      <c r="A906" s="1232">
        <v>905</v>
      </c>
      <c r="B906" s="1232" t="s">
        <v>1619</v>
      </c>
      <c r="C906" s="1319" t="s">
        <v>1819</v>
      </c>
      <c r="D906" s="1319" t="s">
        <v>1511</v>
      </c>
      <c r="E906" s="1317" t="s">
        <v>1595</v>
      </c>
    </row>
    <row r="907" spans="1:5" x14ac:dyDescent="0.25">
      <c r="A907" s="1232">
        <v>906</v>
      </c>
      <c r="B907" s="1232" t="s">
        <v>1619</v>
      </c>
      <c r="C907" s="1319" t="s">
        <v>1819</v>
      </c>
      <c r="D907" s="1319" t="s">
        <v>1699</v>
      </c>
      <c r="E907" s="1317" t="s">
        <v>1609</v>
      </c>
    </row>
    <row r="908" spans="1:5" x14ac:dyDescent="0.25">
      <c r="A908" s="1232">
        <v>907</v>
      </c>
      <c r="B908" s="1232" t="s">
        <v>1619</v>
      </c>
      <c r="C908" s="1319" t="s">
        <v>1820</v>
      </c>
      <c r="D908" s="1319" t="s">
        <v>1699</v>
      </c>
      <c r="E908" s="1317" t="s">
        <v>1487</v>
      </c>
    </row>
    <row r="909" spans="1:5" x14ac:dyDescent="0.25">
      <c r="A909" s="1232">
        <v>908</v>
      </c>
      <c r="B909" s="1232" t="s">
        <v>1619</v>
      </c>
      <c r="C909" s="1319" t="s">
        <v>1820</v>
      </c>
      <c r="D909" s="1319" t="s">
        <v>1699</v>
      </c>
      <c r="E909" s="1317" t="s">
        <v>1488</v>
      </c>
    </row>
    <row r="910" spans="1:5" x14ac:dyDescent="0.25">
      <c r="A910" s="1232">
        <v>909</v>
      </c>
      <c r="B910" s="1232" t="s">
        <v>1619</v>
      </c>
      <c r="C910" s="1319" t="s">
        <v>1820</v>
      </c>
      <c r="D910" s="1319" t="s">
        <v>1699</v>
      </c>
      <c r="E910" s="1317" t="s">
        <v>1175</v>
      </c>
    </row>
    <row r="911" spans="1:5" x14ac:dyDescent="0.25">
      <c r="A911" s="1232">
        <v>910</v>
      </c>
      <c r="B911" s="1232" t="s">
        <v>1619</v>
      </c>
      <c r="C911" s="1319" t="s">
        <v>1819</v>
      </c>
      <c r="D911" s="1319" t="s">
        <v>1699</v>
      </c>
      <c r="E911" s="1317" t="s">
        <v>1611</v>
      </c>
    </row>
    <row r="912" spans="1:5" x14ac:dyDescent="0.25">
      <c r="A912" s="1232">
        <v>911</v>
      </c>
      <c r="B912" s="1232" t="s">
        <v>1619</v>
      </c>
      <c r="C912" s="1319" t="s">
        <v>1856</v>
      </c>
      <c r="D912" s="1319" t="s">
        <v>1699</v>
      </c>
      <c r="E912" s="1317" t="s">
        <v>1594</v>
      </c>
    </row>
    <row r="913" spans="1:5" x14ac:dyDescent="0.25">
      <c r="A913" s="1232">
        <v>912</v>
      </c>
      <c r="B913" s="1232" t="s">
        <v>1619</v>
      </c>
      <c r="C913" s="1319" t="s">
        <v>1856</v>
      </c>
      <c r="D913" s="1319" t="s">
        <v>1699</v>
      </c>
      <c r="E913" s="1317" t="s">
        <v>1810</v>
      </c>
    </row>
    <row r="914" spans="1:5" x14ac:dyDescent="0.25">
      <c r="A914" s="1232">
        <v>913</v>
      </c>
      <c r="B914" s="1232" t="s">
        <v>1619</v>
      </c>
      <c r="C914" s="1319" t="s">
        <v>1856</v>
      </c>
      <c r="D914" s="1319" t="s">
        <v>1699</v>
      </c>
      <c r="E914" s="1317" t="s">
        <v>1483</v>
      </c>
    </row>
    <row r="915" spans="1:5" x14ac:dyDescent="0.25">
      <c r="A915" s="1232">
        <v>914</v>
      </c>
      <c r="B915" s="1232" t="s">
        <v>1619</v>
      </c>
      <c r="C915" s="1319" t="s">
        <v>1856</v>
      </c>
      <c r="D915" s="1319" t="s">
        <v>1699</v>
      </c>
      <c r="E915" s="1317" t="s">
        <v>1480</v>
      </c>
    </row>
    <row r="916" spans="1:5" x14ac:dyDescent="0.25">
      <c r="A916" s="1232">
        <v>915</v>
      </c>
      <c r="B916" s="1232" t="s">
        <v>1619</v>
      </c>
      <c r="C916" s="1319" t="s">
        <v>1856</v>
      </c>
      <c r="D916" s="1319" t="s">
        <v>1699</v>
      </c>
      <c r="E916" s="1317" t="s">
        <v>1481</v>
      </c>
    </row>
    <row r="917" spans="1:5" x14ac:dyDescent="0.25">
      <c r="A917" s="1232">
        <v>916</v>
      </c>
      <c r="B917" s="1232" t="s">
        <v>1619</v>
      </c>
      <c r="C917" s="1319" t="s">
        <v>1856</v>
      </c>
      <c r="D917" s="1319" t="s">
        <v>1699</v>
      </c>
      <c r="E917" s="1317" t="s">
        <v>1497</v>
      </c>
    </row>
    <row r="918" spans="1:5" x14ac:dyDescent="0.25">
      <c r="A918" s="1232">
        <v>917</v>
      </c>
      <c r="B918" s="1232" t="s">
        <v>1619</v>
      </c>
      <c r="C918" s="1319" t="s">
        <v>1856</v>
      </c>
      <c r="D918" s="1319" t="s">
        <v>1511</v>
      </c>
      <c r="E918" s="1317" t="s">
        <v>1482</v>
      </c>
    </row>
    <row r="919" spans="1:5" x14ac:dyDescent="0.25">
      <c r="A919" s="1232">
        <v>918</v>
      </c>
      <c r="B919" s="1232" t="s">
        <v>1619</v>
      </c>
      <c r="C919" s="1319" t="s">
        <v>1821</v>
      </c>
      <c r="D919" s="1319" t="s">
        <v>1699</v>
      </c>
      <c r="E919" s="1317" t="s">
        <v>1589</v>
      </c>
    </row>
    <row r="920" spans="1:5" x14ac:dyDescent="0.25">
      <c r="A920" s="1232">
        <v>919</v>
      </c>
      <c r="B920" s="1232" t="s">
        <v>1619</v>
      </c>
      <c r="C920" s="1319" t="s">
        <v>1821</v>
      </c>
      <c r="D920" s="1319" t="s">
        <v>1699</v>
      </c>
      <c r="E920" s="1317" t="s">
        <v>1590</v>
      </c>
    </row>
    <row r="921" spans="1:5" x14ac:dyDescent="0.25">
      <c r="A921" s="1232">
        <v>920</v>
      </c>
      <c r="B921" s="1232" t="s">
        <v>1619</v>
      </c>
      <c r="C921" s="1319" t="s">
        <v>1821</v>
      </c>
      <c r="D921" s="1319" t="s">
        <v>1511</v>
      </c>
      <c r="E921" s="1317" t="s">
        <v>1591</v>
      </c>
    </row>
    <row r="922" spans="1:5" ht="30" x14ac:dyDescent="0.25">
      <c r="A922" s="1232">
        <v>921</v>
      </c>
      <c r="B922" s="1232" t="s">
        <v>1619</v>
      </c>
      <c r="C922" s="1319" t="s">
        <v>1821</v>
      </c>
      <c r="D922" s="1319" t="s">
        <v>1647</v>
      </c>
      <c r="E922" s="1317" t="s">
        <v>1485</v>
      </c>
    </row>
    <row r="923" spans="1:5" ht="30" x14ac:dyDescent="0.25">
      <c r="A923" s="1232">
        <v>922</v>
      </c>
      <c r="B923" s="1232" t="s">
        <v>1619</v>
      </c>
      <c r="C923" s="1319" t="s">
        <v>1821</v>
      </c>
      <c r="D923" s="1319" t="s">
        <v>1647</v>
      </c>
      <c r="E923" s="1317" t="s">
        <v>1486</v>
      </c>
    </row>
    <row r="924" spans="1:5" ht="30" x14ac:dyDescent="0.25">
      <c r="A924" s="1232">
        <v>923</v>
      </c>
      <c r="B924" s="1232" t="s">
        <v>1619</v>
      </c>
      <c r="C924" s="1319" t="s">
        <v>1821</v>
      </c>
      <c r="D924" s="1319" t="s">
        <v>1647</v>
      </c>
      <c r="E924" s="1317" t="s">
        <v>1598</v>
      </c>
    </row>
    <row r="925" spans="1:5" x14ac:dyDescent="0.25">
      <c r="A925" s="1232">
        <v>924</v>
      </c>
      <c r="B925" s="1232" t="s">
        <v>1619</v>
      </c>
      <c r="C925" s="1319" t="s">
        <v>1821</v>
      </c>
      <c r="D925" s="1319" t="s">
        <v>1511</v>
      </c>
      <c r="E925" s="1317" t="s">
        <v>1595</v>
      </c>
    </row>
    <row r="926" spans="1:5" x14ac:dyDescent="0.25">
      <c r="A926" s="1232">
        <v>925</v>
      </c>
      <c r="B926" s="1232" t="s">
        <v>1619</v>
      </c>
      <c r="C926" s="1319" t="s">
        <v>1821</v>
      </c>
      <c r="D926" s="1319" t="s">
        <v>1699</v>
      </c>
      <c r="E926" s="1317" t="s">
        <v>1609</v>
      </c>
    </row>
    <row r="927" spans="1:5" x14ac:dyDescent="0.25">
      <c r="A927" s="1232">
        <v>926</v>
      </c>
      <c r="B927" s="1232" t="s">
        <v>1619</v>
      </c>
      <c r="C927" s="1319" t="s">
        <v>1822</v>
      </c>
      <c r="D927" s="1319" t="s">
        <v>1699</v>
      </c>
      <c r="E927" s="1317" t="s">
        <v>1487</v>
      </c>
    </row>
    <row r="928" spans="1:5" x14ac:dyDescent="0.25">
      <c r="A928" s="1232">
        <v>927</v>
      </c>
      <c r="B928" s="1232" t="s">
        <v>1619</v>
      </c>
      <c r="C928" s="1319" t="s">
        <v>1822</v>
      </c>
      <c r="D928" s="1319" t="s">
        <v>1699</v>
      </c>
      <c r="E928" s="1317" t="s">
        <v>1488</v>
      </c>
    </row>
    <row r="929" spans="1:5" x14ac:dyDescent="0.25">
      <c r="A929" s="1232">
        <v>928</v>
      </c>
      <c r="B929" s="1232" t="s">
        <v>1619</v>
      </c>
      <c r="C929" s="1319" t="s">
        <v>1822</v>
      </c>
      <c r="D929" s="1319" t="s">
        <v>1699</v>
      </c>
      <c r="E929" s="1317" t="s">
        <v>1175</v>
      </c>
    </row>
    <row r="930" spans="1:5" x14ac:dyDescent="0.25">
      <c r="A930" s="1232">
        <v>929</v>
      </c>
      <c r="B930" s="1232" t="s">
        <v>1619</v>
      </c>
      <c r="C930" s="1319" t="s">
        <v>1821</v>
      </c>
      <c r="D930" s="1319" t="s">
        <v>1699</v>
      </c>
      <c r="E930" s="1317" t="s">
        <v>1611</v>
      </c>
    </row>
    <row r="931" spans="1:5" x14ac:dyDescent="0.25">
      <c r="A931" s="1232">
        <v>930</v>
      </c>
      <c r="B931" s="1232" t="s">
        <v>1619</v>
      </c>
      <c r="C931" s="1319" t="s">
        <v>1857</v>
      </c>
      <c r="D931" s="1319" t="s">
        <v>1699</v>
      </c>
      <c r="E931" s="1317" t="s">
        <v>1594</v>
      </c>
    </row>
    <row r="932" spans="1:5" x14ac:dyDescent="0.25">
      <c r="A932" s="1232">
        <v>931</v>
      </c>
      <c r="B932" s="1232" t="s">
        <v>1619</v>
      </c>
      <c r="C932" s="1319" t="s">
        <v>1857</v>
      </c>
      <c r="D932" s="1319" t="s">
        <v>1699</v>
      </c>
      <c r="E932" s="1317" t="s">
        <v>1810</v>
      </c>
    </row>
    <row r="933" spans="1:5" x14ac:dyDescent="0.25">
      <c r="A933" s="1232">
        <v>932</v>
      </c>
      <c r="B933" s="1232" t="s">
        <v>1619</v>
      </c>
      <c r="C933" s="1319" t="s">
        <v>1857</v>
      </c>
      <c r="D933" s="1319" t="s">
        <v>1699</v>
      </c>
      <c r="E933" s="1317" t="s">
        <v>1483</v>
      </c>
    </row>
    <row r="934" spans="1:5" x14ac:dyDescent="0.25">
      <c r="A934" s="1232">
        <v>933</v>
      </c>
      <c r="B934" s="1232" t="s">
        <v>1619</v>
      </c>
      <c r="C934" s="1319" t="s">
        <v>1857</v>
      </c>
      <c r="D934" s="1319" t="s">
        <v>1699</v>
      </c>
      <c r="E934" s="1317" t="s">
        <v>1480</v>
      </c>
    </row>
    <row r="935" spans="1:5" x14ac:dyDescent="0.25">
      <c r="A935" s="1232">
        <v>934</v>
      </c>
      <c r="B935" s="1232" t="s">
        <v>1619</v>
      </c>
      <c r="C935" s="1319" t="s">
        <v>1857</v>
      </c>
      <c r="D935" s="1319" t="s">
        <v>1699</v>
      </c>
      <c r="E935" s="1317" t="s">
        <v>1481</v>
      </c>
    </row>
    <row r="936" spans="1:5" x14ac:dyDescent="0.25">
      <c r="A936" s="1232">
        <v>935</v>
      </c>
      <c r="B936" s="1232" t="s">
        <v>1619</v>
      </c>
      <c r="C936" s="1319" t="s">
        <v>1857</v>
      </c>
      <c r="D936" s="1319" t="s">
        <v>1699</v>
      </c>
      <c r="E936" s="1317" t="s">
        <v>1497</v>
      </c>
    </row>
    <row r="937" spans="1:5" x14ac:dyDescent="0.25">
      <c r="A937" s="1232">
        <v>936</v>
      </c>
      <c r="B937" s="1232" t="s">
        <v>1619</v>
      </c>
      <c r="C937" s="1319" t="s">
        <v>1857</v>
      </c>
      <c r="D937" s="1319" t="s">
        <v>1511</v>
      </c>
      <c r="E937" s="1317" t="s">
        <v>1482</v>
      </c>
    </row>
    <row r="938" spans="1:5" x14ac:dyDescent="0.25">
      <c r="A938" s="1232">
        <v>937</v>
      </c>
      <c r="B938" s="1232" t="s">
        <v>1619</v>
      </c>
      <c r="C938" s="1319" t="s">
        <v>1823</v>
      </c>
      <c r="D938" s="1319" t="s">
        <v>1699</v>
      </c>
      <c r="E938" s="1317" t="s">
        <v>1589</v>
      </c>
    </row>
    <row r="939" spans="1:5" x14ac:dyDescent="0.25">
      <c r="A939" s="1232">
        <v>938</v>
      </c>
      <c r="B939" s="1232" t="s">
        <v>1619</v>
      </c>
      <c r="C939" s="1319" t="s">
        <v>1823</v>
      </c>
      <c r="D939" s="1319" t="s">
        <v>1699</v>
      </c>
      <c r="E939" s="1317" t="s">
        <v>1590</v>
      </c>
    </row>
    <row r="940" spans="1:5" x14ac:dyDescent="0.25">
      <c r="A940" s="1232">
        <v>939</v>
      </c>
      <c r="B940" s="1232" t="s">
        <v>1619</v>
      </c>
      <c r="C940" s="1319" t="s">
        <v>1823</v>
      </c>
      <c r="D940" s="1319" t="s">
        <v>1511</v>
      </c>
      <c r="E940" s="1317" t="s">
        <v>1591</v>
      </c>
    </row>
    <row r="941" spans="1:5" ht="30" x14ac:dyDescent="0.25">
      <c r="A941" s="1232">
        <v>940</v>
      </c>
      <c r="B941" s="1232" t="s">
        <v>1619</v>
      </c>
      <c r="C941" s="1319" t="s">
        <v>1823</v>
      </c>
      <c r="D941" s="1319" t="s">
        <v>1647</v>
      </c>
      <c r="E941" s="1317" t="s">
        <v>1485</v>
      </c>
    </row>
    <row r="942" spans="1:5" ht="30" x14ac:dyDescent="0.25">
      <c r="A942" s="1232">
        <v>941</v>
      </c>
      <c r="B942" s="1232" t="s">
        <v>1619</v>
      </c>
      <c r="C942" s="1319" t="s">
        <v>1823</v>
      </c>
      <c r="D942" s="1319" t="s">
        <v>1647</v>
      </c>
      <c r="E942" s="1317" t="s">
        <v>1486</v>
      </c>
    </row>
    <row r="943" spans="1:5" ht="30" x14ac:dyDescent="0.25">
      <c r="A943" s="1232">
        <v>942</v>
      </c>
      <c r="B943" s="1232" t="s">
        <v>1619</v>
      </c>
      <c r="C943" s="1319" t="s">
        <v>1823</v>
      </c>
      <c r="D943" s="1319" t="s">
        <v>1647</v>
      </c>
      <c r="E943" s="1317" t="s">
        <v>1598</v>
      </c>
    </row>
    <row r="944" spans="1:5" x14ac:dyDescent="0.25">
      <c r="A944" s="1232">
        <v>943</v>
      </c>
      <c r="B944" s="1232" t="s">
        <v>1619</v>
      </c>
      <c r="C944" s="1319" t="s">
        <v>1823</v>
      </c>
      <c r="D944" s="1319" t="s">
        <v>1511</v>
      </c>
      <c r="E944" s="1317" t="s">
        <v>1595</v>
      </c>
    </row>
    <row r="945" spans="1:5" x14ac:dyDescent="0.25">
      <c r="A945" s="1232">
        <v>944</v>
      </c>
      <c r="B945" s="1232" t="s">
        <v>1619</v>
      </c>
      <c r="C945" s="1319" t="s">
        <v>1823</v>
      </c>
      <c r="D945" s="1319" t="s">
        <v>1699</v>
      </c>
      <c r="E945" s="1317" t="s">
        <v>1609</v>
      </c>
    </row>
    <row r="946" spans="1:5" x14ac:dyDescent="0.25">
      <c r="A946" s="1232">
        <v>945</v>
      </c>
      <c r="B946" s="1232" t="s">
        <v>1619</v>
      </c>
      <c r="C946" s="1319" t="s">
        <v>1824</v>
      </c>
      <c r="D946" s="1319" t="s">
        <v>1699</v>
      </c>
      <c r="E946" s="1317" t="s">
        <v>1487</v>
      </c>
    </row>
    <row r="947" spans="1:5" x14ac:dyDescent="0.25">
      <c r="A947" s="1232">
        <v>946</v>
      </c>
      <c r="B947" s="1232" t="s">
        <v>1619</v>
      </c>
      <c r="C947" s="1319" t="s">
        <v>1824</v>
      </c>
      <c r="D947" s="1319" t="s">
        <v>1699</v>
      </c>
      <c r="E947" s="1317" t="s">
        <v>1488</v>
      </c>
    </row>
    <row r="948" spans="1:5" x14ac:dyDescent="0.25">
      <c r="A948" s="1232">
        <v>947</v>
      </c>
      <c r="B948" s="1232" t="s">
        <v>1619</v>
      </c>
      <c r="C948" s="1319" t="s">
        <v>1824</v>
      </c>
      <c r="D948" s="1319" t="s">
        <v>1699</v>
      </c>
      <c r="E948" s="1317" t="s">
        <v>1175</v>
      </c>
    </row>
    <row r="949" spans="1:5" x14ac:dyDescent="0.25">
      <c r="A949" s="1232">
        <v>948</v>
      </c>
      <c r="B949" s="1232" t="s">
        <v>1619</v>
      </c>
      <c r="C949" s="1319" t="s">
        <v>1823</v>
      </c>
      <c r="D949" s="1319" t="s">
        <v>1699</v>
      </c>
      <c r="E949" s="1317" t="s">
        <v>1611</v>
      </c>
    </row>
    <row r="950" spans="1:5" x14ac:dyDescent="0.25">
      <c r="A950" s="1232">
        <v>949</v>
      </c>
      <c r="B950" s="1232" t="s">
        <v>1619</v>
      </c>
      <c r="C950" s="1319" t="s">
        <v>1858</v>
      </c>
      <c r="D950" s="1319" t="s">
        <v>1699</v>
      </c>
      <c r="E950" s="1317" t="s">
        <v>1594</v>
      </c>
    </row>
    <row r="951" spans="1:5" x14ac:dyDescent="0.25">
      <c r="A951" s="1232">
        <v>950</v>
      </c>
      <c r="B951" s="1232" t="s">
        <v>1619</v>
      </c>
      <c r="C951" s="1319" t="s">
        <v>1858</v>
      </c>
      <c r="D951" s="1319" t="s">
        <v>1699</v>
      </c>
      <c r="E951" s="1317" t="s">
        <v>1810</v>
      </c>
    </row>
    <row r="952" spans="1:5" x14ac:dyDescent="0.25">
      <c r="A952" s="1232">
        <v>951</v>
      </c>
      <c r="B952" s="1232" t="s">
        <v>1619</v>
      </c>
      <c r="C952" s="1319" t="s">
        <v>1858</v>
      </c>
      <c r="D952" s="1319" t="s">
        <v>1699</v>
      </c>
      <c r="E952" s="1317" t="s">
        <v>1483</v>
      </c>
    </row>
    <row r="953" spans="1:5" x14ac:dyDescent="0.25">
      <c r="A953" s="1232">
        <v>952</v>
      </c>
      <c r="B953" s="1232" t="s">
        <v>1619</v>
      </c>
      <c r="C953" s="1319" t="s">
        <v>1858</v>
      </c>
      <c r="D953" s="1319" t="s">
        <v>1699</v>
      </c>
      <c r="E953" s="1317" t="s">
        <v>1480</v>
      </c>
    </row>
    <row r="954" spans="1:5" x14ac:dyDescent="0.25">
      <c r="A954" s="1232">
        <v>953</v>
      </c>
      <c r="B954" s="1232" t="s">
        <v>1619</v>
      </c>
      <c r="C954" s="1319" t="s">
        <v>1858</v>
      </c>
      <c r="D954" s="1319" t="s">
        <v>1699</v>
      </c>
      <c r="E954" s="1317" t="s">
        <v>1481</v>
      </c>
    </row>
    <row r="955" spans="1:5" x14ac:dyDescent="0.25">
      <c r="A955" s="1232">
        <v>954</v>
      </c>
      <c r="B955" s="1232" t="s">
        <v>1619</v>
      </c>
      <c r="C955" s="1319" t="s">
        <v>1858</v>
      </c>
      <c r="D955" s="1319" t="s">
        <v>1699</v>
      </c>
      <c r="E955" s="1317" t="s">
        <v>1497</v>
      </c>
    </row>
    <row r="956" spans="1:5" x14ac:dyDescent="0.25">
      <c r="A956" s="1232">
        <v>955</v>
      </c>
      <c r="B956" s="1232" t="s">
        <v>1619</v>
      </c>
      <c r="C956" s="1319" t="s">
        <v>1858</v>
      </c>
      <c r="D956" s="1319" t="s">
        <v>1511</v>
      </c>
      <c r="E956" s="1317" t="s">
        <v>1482</v>
      </c>
    </row>
    <row r="957" spans="1:5" x14ac:dyDescent="0.25">
      <c r="A957" s="1232">
        <v>956</v>
      </c>
      <c r="B957" s="1232" t="s">
        <v>1619</v>
      </c>
      <c r="C957" s="1319" t="s">
        <v>1825</v>
      </c>
      <c r="D957" s="1319" t="s">
        <v>1699</v>
      </c>
      <c r="E957" s="1317" t="s">
        <v>1589</v>
      </c>
    </row>
    <row r="958" spans="1:5" x14ac:dyDescent="0.25">
      <c r="A958" s="1232">
        <v>957</v>
      </c>
      <c r="B958" s="1232" t="s">
        <v>1619</v>
      </c>
      <c r="C958" s="1319" t="s">
        <v>1825</v>
      </c>
      <c r="D958" s="1319" t="s">
        <v>1699</v>
      </c>
      <c r="E958" s="1317" t="s">
        <v>1590</v>
      </c>
    </row>
    <row r="959" spans="1:5" x14ac:dyDescent="0.25">
      <c r="A959" s="1232">
        <v>958</v>
      </c>
      <c r="B959" s="1232" t="s">
        <v>1619</v>
      </c>
      <c r="C959" s="1319" t="s">
        <v>1825</v>
      </c>
      <c r="D959" s="1319" t="s">
        <v>1511</v>
      </c>
      <c r="E959" s="1317" t="s">
        <v>1591</v>
      </c>
    </row>
    <row r="960" spans="1:5" ht="30" x14ac:dyDescent="0.25">
      <c r="A960" s="1232">
        <v>959</v>
      </c>
      <c r="B960" s="1232" t="s">
        <v>1619</v>
      </c>
      <c r="C960" s="1319" t="s">
        <v>1825</v>
      </c>
      <c r="D960" s="1319" t="s">
        <v>1647</v>
      </c>
      <c r="E960" s="1317" t="s">
        <v>1485</v>
      </c>
    </row>
    <row r="961" spans="1:5" ht="30" x14ac:dyDescent="0.25">
      <c r="A961" s="1232">
        <v>960</v>
      </c>
      <c r="B961" s="1232" t="s">
        <v>1619</v>
      </c>
      <c r="C961" s="1319" t="s">
        <v>1825</v>
      </c>
      <c r="D961" s="1319" t="s">
        <v>1647</v>
      </c>
      <c r="E961" s="1317" t="s">
        <v>1486</v>
      </c>
    </row>
    <row r="962" spans="1:5" ht="30" x14ac:dyDescent="0.25">
      <c r="A962" s="1232">
        <v>961</v>
      </c>
      <c r="B962" s="1232" t="s">
        <v>1619</v>
      </c>
      <c r="C962" s="1319" t="s">
        <v>1825</v>
      </c>
      <c r="D962" s="1319" t="s">
        <v>1647</v>
      </c>
      <c r="E962" s="1317" t="s">
        <v>1598</v>
      </c>
    </row>
    <row r="963" spans="1:5" x14ac:dyDescent="0.25">
      <c r="A963" s="1232">
        <v>962</v>
      </c>
      <c r="B963" s="1232" t="s">
        <v>1619</v>
      </c>
      <c r="C963" s="1319" t="s">
        <v>1825</v>
      </c>
      <c r="D963" s="1319" t="s">
        <v>1511</v>
      </c>
      <c r="E963" s="1317" t="s">
        <v>1595</v>
      </c>
    </row>
    <row r="964" spans="1:5" x14ac:dyDescent="0.25">
      <c r="A964" s="1232">
        <v>963</v>
      </c>
      <c r="B964" s="1232" t="s">
        <v>1619</v>
      </c>
      <c r="C964" s="1319" t="s">
        <v>1825</v>
      </c>
      <c r="D964" s="1319" t="s">
        <v>1699</v>
      </c>
      <c r="E964" s="1317" t="s">
        <v>1609</v>
      </c>
    </row>
    <row r="965" spans="1:5" x14ac:dyDescent="0.25">
      <c r="A965" s="1232">
        <v>964</v>
      </c>
      <c r="B965" s="1232" t="s">
        <v>1619</v>
      </c>
      <c r="C965" s="1319" t="s">
        <v>1826</v>
      </c>
      <c r="D965" s="1319" t="s">
        <v>1699</v>
      </c>
      <c r="E965" s="1317" t="s">
        <v>1487</v>
      </c>
    </row>
    <row r="966" spans="1:5" x14ac:dyDescent="0.25">
      <c r="A966" s="1232">
        <v>965</v>
      </c>
      <c r="B966" s="1232" t="s">
        <v>1619</v>
      </c>
      <c r="C966" s="1319" t="s">
        <v>1826</v>
      </c>
      <c r="D966" s="1319" t="s">
        <v>1699</v>
      </c>
      <c r="E966" s="1317" t="s">
        <v>1488</v>
      </c>
    </row>
    <row r="967" spans="1:5" x14ac:dyDescent="0.25">
      <c r="A967" s="1232">
        <v>966</v>
      </c>
      <c r="B967" s="1232" t="s">
        <v>1619</v>
      </c>
      <c r="C967" s="1319" t="s">
        <v>1826</v>
      </c>
      <c r="D967" s="1319" t="s">
        <v>1699</v>
      </c>
      <c r="E967" s="1317" t="s">
        <v>1175</v>
      </c>
    </row>
    <row r="968" spans="1:5" x14ac:dyDescent="0.25">
      <c r="A968" s="1232">
        <v>967</v>
      </c>
      <c r="B968" s="1232" t="s">
        <v>1619</v>
      </c>
      <c r="C968" s="1319" t="s">
        <v>1825</v>
      </c>
      <c r="D968" s="1319" t="s">
        <v>1699</v>
      </c>
      <c r="E968" s="1317" t="s">
        <v>1611</v>
      </c>
    </row>
    <row r="969" spans="1:5" x14ac:dyDescent="0.25">
      <c r="A969" s="1232">
        <v>968</v>
      </c>
      <c r="B969" s="1232" t="s">
        <v>1619</v>
      </c>
      <c r="C969" s="1319" t="s">
        <v>1859</v>
      </c>
      <c r="D969" s="1319" t="s">
        <v>1768</v>
      </c>
      <c r="E969" s="1232" t="s">
        <v>1594</v>
      </c>
    </row>
    <row r="970" spans="1:5" x14ac:dyDescent="0.25">
      <c r="A970" s="1232">
        <v>969</v>
      </c>
      <c r="B970" s="1232" t="s">
        <v>1619</v>
      </c>
      <c r="C970" s="1319" t="s">
        <v>1859</v>
      </c>
      <c r="D970" s="1319" t="s">
        <v>1768</v>
      </c>
      <c r="E970" s="1232" t="s">
        <v>1810</v>
      </c>
    </row>
    <row r="971" spans="1:5" x14ac:dyDescent="0.25">
      <c r="A971" s="1232">
        <v>970</v>
      </c>
      <c r="B971" s="1232" t="s">
        <v>1619</v>
      </c>
      <c r="C971" s="1319" t="s">
        <v>1859</v>
      </c>
      <c r="D971" s="1319" t="s">
        <v>1768</v>
      </c>
      <c r="E971" s="1232" t="s">
        <v>1483</v>
      </c>
    </row>
    <row r="972" spans="1:5" x14ac:dyDescent="0.25">
      <c r="A972" s="1232">
        <v>971</v>
      </c>
      <c r="B972" s="1232" t="s">
        <v>1619</v>
      </c>
      <c r="C972" s="1319" t="s">
        <v>1859</v>
      </c>
      <c r="D972" s="1319" t="s">
        <v>1768</v>
      </c>
      <c r="E972" s="1232" t="s">
        <v>1480</v>
      </c>
    </row>
    <row r="973" spans="1:5" x14ac:dyDescent="0.25">
      <c r="A973" s="1232">
        <v>972</v>
      </c>
      <c r="B973" s="1232" t="s">
        <v>1619</v>
      </c>
      <c r="C973" s="1319" t="s">
        <v>1859</v>
      </c>
      <c r="D973" s="1319" t="s">
        <v>1768</v>
      </c>
      <c r="E973" s="1232" t="s">
        <v>1481</v>
      </c>
    </row>
    <row r="974" spans="1:5" x14ac:dyDescent="0.25">
      <c r="A974" s="1232">
        <v>973</v>
      </c>
      <c r="B974" s="1232" t="s">
        <v>1619</v>
      </c>
      <c r="C974" s="1319" t="s">
        <v>1859</v>
      </c>
      <c r="D974" s="1319" t="s">
        <v>1768</v>
      </c>
      <c r="E974" s="1232" t="s">
        <v>1497</v>
      </c>
    </row>
    <row r="975" spans="1:5" x14ac:dyDescent="0.25">
      <c r="A975" s="1232">
        <v>974</v>
      </c>
      <c r="B975" s="1232" t="s">
        <v>1619</v>
      </c>
      <c r="C975" s="1319" t="s">
        <v>1859</v>
      </c>
      <c r="D975" s="1319" t="s">
        <v>1511</v>
      </c>
      <c r="E975" s="1232" t="s">
        <v>1482</v>
      </c>
    </row>
    <row r="976" spans="1:5" x14ac:dyDescent="0.25">
      <c r="A976" s="1232">
        <v>975</v>
      </c>
      <c r="B976" s="1232" t="s">
        <v>1619</v>
      </c>
      <c r="C976" s="1319" t="s">
        <v>1769</v>
      </c>
      <c r="D976" s="1319" t="s">
        <v>1768</v>
      </c>
      <c r="E976" s="1232" t="s">
        <v>1589</v>
      </c>
    </row>
    <row r="977" spans="1:5" x14ac:dyDescent="0.25">
      <c r="A977" s="1232">
        <v>976</v>
      </c>
      <c r="B977" s="1232" t="s">
        <v>1619</v>
      </c>
      <c r="C977" s="1319" t="s">
        <v>1769</v>
      </c>
      <c r="D977" s="1319" t="s">
        <v>1768</v>
      </c>
      <c r="E977" s="1232" t="s">
        <v>1590</v>
      </c>
    </row>
    <row r="978" spans="1:5" x14ac:dyDescent="0.25">
      <c r="A978" s="1232">
        <v>977</v>
      </c>
      <c r="B978" s="1232" t="s">
        <v>1619</v>
      </c>
      <c r="C978" s="1319" t="s">
        <v>1769</v>
      </c>
      <c r="D978" s="1319" t="s">
        <v>1511</v>
      </c>
      <c r="E978" s="1232" t="s">
        <v>1591</v>
      </c>
    </row>
    <row r="979" spans="1:5" ht="30" x14ac:dyDescent="0.25">
      <c r="A979" s="1232">
        <v>978</v>
      </c>
      <c r="B979" s="1232" t="s">
        <v>1619</v>
      </c>
      <c r="C979" s="1319" t="s">
        <v>1769</v>
      </c>
      <c r="D979" s="1319" t="s">
        <v>1647</v>
      </c>
      <c r="E979" s="1232" t="s">
        <v>1485</v>
      </c>
    </row>
    <row r="980" spans="1:5" ht="30" x14ac:dyDescent="0.25">
      <c r="A980" s="1232">
        <v>979</v>
      </c>
      <c r="B980" s="1232" t="s">
        <v>1619</v>
      </c>
      <c r="C980" s="1319" t="s">
        <v>1769</v>
      </c>
      <c r="D980" s="1319" t="s">
        <v>1647</v>
      </c>
      <c r="E980" s="1232" t="s">
        <v>1486</v>
      </c>
    </row>
    <row r="981" spans="1:5" ht="30" x14ac:dyDescent="0.25">
      <c r="A981" s="1232">
        <v>980</v>
      </c>
      <c r="B981" s="1232" t="s">
        <v>1619</v>
      </c>
      <c r="C981" s="1319" t="s">
        <v>1769</v>
      </c>
      <c r="D981" s="1319" t="s">
        <v>1647</v>
      </c>
      <c r="E981" s="1232" t="s">
        <v>1598</v>
      </c>
    </row>
    <row r="982" spans="1:5" x14ac:dyDescent="0.25">
      <c r="A982" s="1232">
        <v>981</v>
      </c>
      <c r="B982" s="1232" t="s">
        <v>1619</v>
      </c>
      <c r="C982" s="1319" t="s">
        <v>1769</v>
      </c>
      <c r="D982" s="1319" t="s">
        <v>1511</v>
      </c>
      <c r="E982" s="1232" t="s">
        <v>1595</v>
      </c>
    </row>
    <row r="983" spans="1:5" x14ac:dyDescent="0.25">
      <c r="A983" s="1232">
        <v>982</v>
      </c>
      <c r="B983" s="1232" t="s">
        <v>1619</v>
      </c>
      <c r="C983" s="1319" t="s">
        <v>1769</v>
      </c>
      <c r="D983" s="1319" t="s">
        <v>1768</v>
      </c>
      <c r="E983" s="1232" t="s">
        <v>1609</v>
      </c>
    </row>
    <row r="984" spans="1:5" x14ac:dyDescent="0.25">
      <c r="A984" s="1232">
        <v>983</v>
      </c>
      <c r="B984" s="1232" t="s">
        <v>1619</v>
      </c>
      <c r="C984" s="1319" t="s">
        <v>1770</v>
      </c>
      <c r="D984" s="1319" t="s">
        <v>1768</v>
      </c>
      <c r="E984" s="1232" t="s">
        <v>1487</v>
      </c>
    </row>
    <row r="985" spans="1:5" x14ac:dyDescent="0.25">
      <c r="A985" s="1232">
        <v>984</v>
      </c>
      <c r="B985" s="1232" t="s">
        <v>1619</v>
      </c>
      <c r="C985" s="1319" t="s">
        <v>1770</v>
      </c>
      <c r="D985" s="1319" t="s">
        <v>1768</v>
      </c>
      <c r="E985" s="1232" t="s">
        <v>1488</v>
      </c>
    </row>
    <row r="986" spans="1:5" x14ac:dyDescent="0.25">
      <c r="A986" s="1232">
        <v>985</v>
      </c>
      <c r="B986" s="1232" t="s">
        <v>1619</v>
      </c>
      <c r="C986" s="1319" t="s">
        <v>1770</v>
      </c>
      <c r="D986" s="1319" t="s">
        <v>1768</v>
      </c>
      <c r="E986" s="1232" t="s">
        <v>1175</v>
      </c>
    </row>
    <row r="987" spans="1:5" x14ac:dyDescent="0.25">
      <c r="A987" s="1232">
        <v>986</v>
      </c>
      <c r="B987" s="1232" t="s">
        <v>1619</v>
      </c>
      <c r="C987" s="1319" t="s">
        <v>1860</v>
      </c>
      <c r="D987" s="1319" t="s">
        <v>1771</v>
      </c>
      <c r="E987" s="1232" t="s">
        <v>1594</v>
      </c>
    </row>
    <row r="988" spans="1:5" x14ac:dyDescent="0.25">
      <c r="A988" s="1232">
        <v>987</v>
      </c>
      <c r="B988" s="1232" t="s">
        <v>1619</v>
      </c>
      <c r="C988" s="1319" t="s">
        <v>1860</v>
      </c>
      <c r="D988" s="1319" t="s">
        <v>1771</v>
      </c>
      <c r="E988" s="1232" t="s">
        <v>1810</v>
      </c>
    </row>
    <row r="989" spans="1:5" x14ac:dyDescent="0.25">
      <c r="A989" s="1232">
        <v>988</v>
      </c>
      <c r="B989" s="1232" t="s">
        <v>1619</v>
      </c>
      <c r="C989" s="1319" t="s">
        <v>1860</v>
      </c>
      <c r="D989" s="1319" t="s">
        <v>1771</v>
      </c>
      <c r="E989" s="1232" t="s">
        <v>1483</v>
      </c>
    </row>
    <row r="990" spans="1:5" x14ac:dyDescent="0.25">
      <c r="A990" s="1232">
        <v>989</v>
      </c>
      <c r="B990" s="1232" t="s">
        <v>1619</v>
      </c>
      <c r="C990" s="1319" t="s">
        <v>1860</v>
      </c>
      <c r="D990" s="1319" t="s">
        <v>1771</v>
      </c>
      <c r="E990" s="1232" t="s">
        <v>1481</v>
      </c>
    </row>
    <row r="991" spans="1:5" x14ac:dyDescent="0.25">
      <c r="A991" s="1232">
        <v>990</v>
      </c>
      <c r="B991" s="1232" t="s">
        <v>1619</v>
      </c>
      <c r="C991" s="1319" t="s">
        <v>1860</v>
      </c>
      <c r="D991" s="1319" t="s">
        <v>1771</v>
      </c>
      <c r="E991" s="1232" t="s">
        <v>1497</v>
      </c>
    </row>
    <row r="992" spans="1:5" x14ac:dyDescent="0.25">
      <c r="A992" s="1232">
        <v>991</v>
      </c>
      <c r="B992" s="1232" t="s">
        <v>1619</v>
      </c>
      <c r="C992" s="1319" t="s">
        <v>1860</v>
      </c>
      <c r="D992" s="1319" t="s">
        <v>1511</v>
      </c>
      <c r="E992" s="1232" t="s">
        <v>1482</v>
      </c>
    </row>
    <row r="993" spans="1:5" ht="30" x14ac:dyDescent="0.25">
      <c r="A993" s="1232">
        <v>992</v>
      </c>
      <c r="B993" s="1232" t="s">
        <v>1619</v>
      </c>
      <c r="C993" s="1319" t="s">
        <v>1772</v>
      </c>
      <c r="D993" s="1319" t="s">
        <v>1647</v>
      </c>
      <c r="E993" s="1232" t="s">
        <v>1485</v>
      </c>
    </row>
    <row r="994" spans="1:5" ht="30" x14ac:dyDescent="0.25">
      <c r="A994" s="1232">
        <v>993</v>
      </c>
      <c r="B994" s="1232" t="s">
        <v>1619</v>
      </c>
      <c r="C994" s="1319" t="s">
        <v>1772</v>
      </c>
      <c r="D994" s="1319" t="s">
        <v>1647</v>
      </c>
      <c r="E994" s="1232" t="s">
        <v>1486</v>
      </c>
    </row>
    <row r="995" spans="1:5" ht="30" x14ac:dyDescent="0.25">
      <c r="A995" s="1232">
        <v>994</v>
      </c>
      <c r="B995" s="1232" t="s">
        <v>1619</v>
      </c>
      <c r="C995" s="1319" t="s">
        <v>1772</v>
      </c>
      <c r="D995" s="1319" t="s">
        <v>1647</v>
      </c>
      <c r="E995" s="1232" t="s">
        <v>1598</v>
      </c>
    </row>
    <row r="996" spans="1:5" x14ac:dyDescent="0.25">
      <c r="A996" s="1232">
        <v>995</v>
      </c>
      <c r="B996" s="1232" t="s">
        <v>1619</v>
      </c>
      <c r="C996" s="1319" t="s">
        <v>1772</v>
      </c>
      <c r="D996" s="1319" t="s">
        <v>1511</v>
      </c>
      <c r="E996" s="1232" t="s">
        <v>1595</v>
      </c>
    </row>
    <row r="997" spans="1:5" x14ac:dyDescent="0.25">
      <c r="A997" s="1232">
        <v>996</v>
      </c>
      <c r="B997" s="1232" t="s">
        <v>1619</v>
      </c>
      <c r="C997" s="1319" t="s">
        <v>1772</v>
      </c>
      <c r="D997" s="1319" t="s">
        <v>1511</v>
      </c>
      <c r="E997" s="1232" t="s">
        <v>1496</v>
      </c>
    </row>
    <row r="998" spans="1:5" x14ac:dyDescent="0.25">
      <c r="A998" s="1232">
        <v>997</v>
      </c>
      <c r="B998" s="1232" t="s">
        <v>1619</v>
      </c>
      <c r="C998" s="1319" t="s">
        <v>1861</v>
      </c>
      <c r="D998" s="1319" t="s">
        <v>1771</v>
      </c>
      <c r="E998" s="1232" t="s">
        <v>1594</v>
      </c>
    </row>
    <row r="999" spans="1:5" x14ac:dyDescent="0.25">
      <c r="A999" s="1232">
        <v>998</v>
      </c>
      <c r="B999" s="1232" t="s">
        <v>1619</v>
      </c>
      <c r="C999" s="1319" t="s">
        <v>1861</v>
      </c>
      <c r="D999" s="1319" t="s">
        <v>1771</v>
      </c>
      <c r="E999" s="1232" t="s">
        <v>1810</v>
      </c>
    </row>
    <row r="1000" spans="1:5" x14ac:dyDescent="0.25">
      <c r="A1000" s="1232">
        <v>999</v>
      </c>
      <c r="B1000" s="1232" t="s">
        <v>1619</v>
      </c>
      <c r="C1000" s="1319" t="s">
        <v>1861</v>
      </c>
      <c r="D1000" s="1319" t="s">
        <v>1771</v>
      </c>
      <c r="E1000" s="1232" t="s">
        <v>1483</v>
      </c>
    </row>
    <row r="1001" spans="1:5" x14ac:dyDescent="0.25">
      <c r="A1001" s="1232">
        <v>1000</v>
      </c>
      <c r="B1001" s="1232" t="s">
        <v>1619</v>
      </c>
      <c r="C1001" s="1319" t="s">
        <v>1861</v>
      </c>
      <c r="D1001" s="1319" t="s">
        <v>1771</v>
      </c>
      <c r="E1001" s="1232" t="s">
        <v>1481</v>
      </c>
    </row>
    <row r="1002" spans="1:5" x14ac:dyDescent="0.25">
      <c r="A1002" s="1232">
        <v>1001</v>
      </c>
      <c r="B1002" s="1232" t="s">
        <v>1619</v>
      </c>
      <c r="C1002" s="1319" t="s">
        <v>1861</v>
      </c>
      <c r="D1002" s="1319" t="s">
        <v>1771</v>
      </c>
      <c r="E1002" s="1232" t="s">
        <v>1497</v>
      </c>
    </row>
    <row r="1003" spans="1:5" x14ac:dyDescent="0.25">
      <c r="A1003" s="1232">
        <v>1002</v>
      </c>
      <c r="B1003" s="1232" t="s">
        <v>1619</v>
      </c>
      <c r="C1003" s="1319" t="s">
        <v>1861</v>
      </c>
      <c r="D1003" s="1319" t="s">
        <v>1511</v>
      </c>
      <c r="E1003" s="1232" t="s">
        <v>1482</v>
      </c>
    </row>
    <row r="1004" spans="1:5" ht="30" x14ac:dyDescent="0.25">
      <c r="A1004" s="1232">
        <v>1003</v>
      </c>
      <c r="B1004" s="1232" t="s">
        <v>1619</v>
      </c>
      <c r="C1004" s="1319" t="s">
        <v>1773</v>
      </c>
      <c r="D1004" s="1319" t="s">
        <v>1647</v>
      </c>
      <c r="E1004" s="1232" t="s">
        <v>1485</v>
      </c>
    </row>
    <row r="1005" spans="1:5" ht="30" x14ac:dyDescent="0.25">
      <c r="A1005" s="1232">
        <v>1004</v>
      </c>
      <c r="B1005" s="1232" t="s">
        <v>1619</v>
      </c>
      <c r="C1005" s="1319" t="s">
        <v>1773</v>
      </c>
      <c r="D1005" s="1319" t="s">
        <v>1647</v>
      </c>
      <c r="E1005" s="1232" t="s">
        <v>1486</v>
      </c>
    </row>
    <row r="1006" spans="1:5" ht="30" x14ac:dyDescent="0.25">
      <c r="A1006" s="1232">
        <v>1005</v>
      </c>
      <c r="B1006" s="1232" t="s">
        <v>1619</v>
      </c>
      <c r="C1006" s="1319" t="s">
        <v>1773</v>
      </c>
      <c r="D1006" s="1319" t="s">
        <v>1647</v>
      </c>
      <c r="E1006" s="1232" t="s">
        <v>1598</v>
      </c>
    </row>
    <row r="1007" spans="1:5" x14ac:dyDescent="0.25">
      <c r="A1007" s="1232">
        <v>1006</v>
      </c>
      <c r="B1007" s="1232" t="s">
        <v>1619</v>
      </c>
      <c r="C1007" s="1319" t="s">
        <v>1773</v>
      </c>
      <c r="D1007" s="1319" t="s">
        <v>1511</v>
      </c>
      <c r="E1007" s="1232" t="s">
        <v>1595</v>
      </c>
    </row>
    <row r="1008" spans="1:5" x14ac:dyDescent="0.25">
      <c r="A1008" s="1232">
        <v>1007</v>
      </c>
      <c r="B1008" s="1232" t="s">
        <v>1619</v>
      </c>
      <c r="C1008" s="1319" t="s">
        <v>1773</v>
      </c>
      <c r="D1008" s="1319" t="s">
        <v>1511</v>
      </c>
      <c r="E1008" s="1232" t="s">
        <v>1496</v>
      </c>
    </row>
    <row r="1009" spans="1:5" x14ac:dyDescent="0.25">
      <c r="A1009" s="1232">
        <v>1008</v>
      </c>
      <c r="B1009" s="1232" t="s">
        <v>1619</v>
      </c>
      <c r="C1009" s="1319" t="s">
        <v>1862</v>
      </c>
      <c r="D1009" s="1319" t="s">
        <v>1771</v>
      </c>
      <c r="E1009" s="1232" t="s">
        <v>1594</v>
      </c>
    </row>
    <row r="1010" spans="1:5" x14ac:dyDescent="0.25">
      <c r="A1010" s="1232">
        <v>1009</v>
      </c>
      <c r="B1010" s="1232" t="s">
        <v>1619</v>
      </c>
      <c r="C1010" s="1319" t="s">
        <v>1862</v>
      </c>
      <c r="D1010" s="1319" t="s">
        <v>1771</v>
      </c>
      <c r="E1010" s="1232" t="s">
        <v>1810</v>
      </c>
    </row>
    <row r="1011" spans="1:5" x14ac:dyDescent="0.25">
      <c r="A1011" s="1232">
        <v>1010</v>
      </c>
      <c r="B1011" s="1232" t="s">
        <v>1619</v>
      </c>
      <c r="C1011" s="1319" t="s">
        <v>1862</v>
      </c>
      <c r="D1011" s="1319" t="s">
        <v>1771</v>
      </c>
      <c r="E1011" s="1232" t="s">
        <v>1483</v>
      </c>
    </row>
    <row r="1012" spans="1:5" x14ac:dyDescent="0.25">
      <c r="A1012" s="1232">
        <v>1011</v>
      </c>
      <c r="B1012" s="1232" t="s">
        <v>1619</v>
      </c>
      <c r="C1012" s="1319" t="s">
        <v>1862</v>
      </c>
      <c r="D1012" s="1319" t="s">
        <v>1771</v>
      </c>
      <c r="E1012" s="1232" t="s">
        <v>1481</v>
      </c>
    </row>
    <row r="1013" spans="1:5" x14ac:dyDescent="0.25">
      <c r="A1013" s="1232">
        <v>1012</v>
      </c>
      <c r="B1013" s="1232" t="s">
        <v>1619</v>
      </c>
      <c r="C1013" s="1319" t="s">
        <v>1862</v>
      </c>
      <c r="D1013" s="1319" t="s">
        <v>1771</v>
      </c>
      <c r="E1013" s="1232" t="s">
        <v>1497</v>
      </c>
    </row>
    <row r="1014" spans="1:5" x14ac:dyDescent="0.25">
      <c r="A1014" s="1232">
        <v>1013</v>
      </c>
      <c r="B1014" s="1232" t="s">
        <v>1619</v>
      </c>
      <c r="C1014" s="1319" t="s">
        <v>1862</v>
      </c>
      <c r="D1014" s="1319" t="s">
        <v>1511</v>
      </c>
      <c r="E1014" s="1232" t="s">
        <v>1482</v>
      </c>
    </row>
    <row r="1015" spans="1:5" ht="30" x14ac:dyDescent="0.25">
      <c r="A1015" s="1232">
        <v>1014</v>
      </c>
      <c r="B1015" s="1232" t="s">
        <v>1619</v>
      </c>
      <c r="C1015" s="1319" t="s">
        <v>1774</v>
      </c>
      <c r="D1015" s="1319" t="s">
        <v>1647</v>
      </c>
      <c r="E1015" s="1232" t="s">
        <v>1485</v>
      </c>
    </row>
    <row r="1016" spans="1:5" ht="30" x14ac:dyDescent="0.25">
      <c r="A1016" s="1232">
        <v>1015</v>
      </c>
      <c r="B1016" s="1232" t="s">
        <v>1619</v>
      </c>
      <c r="C1016" s="1319" t="s">
        <v>1774</v>
      </c>
      <c r="D1016" s="1319" t="s">
        <v>1647</v>
      </c>
      <c r="E1016" s="1232" t="s">
        <v>1486</v>
      </c>
    </row>
    <row r="1017" spans="1:5" ht="30" x14ac:dyDescent="0.25">
      <c r="A1017" s="1232">
        <v>1016</v>
      </c>
      <c r="B1017" s="1232" t="s">
        <v>1619</v>
      </c>
      <c r="C1017" s="1319" t="s">
        <v>1774</v>
      </c>
      <c r="D1017" s="1319" t="s">
        <v>1647</v>
      </c>
      <c r="E1017" s="1232" t="s">
        <v>1598</v>
      </c>
    </row>
    <row r="1018" spans="1:5" x14ac:dyDescent="0.25">
      <c r="A1018" s="1232">
        <v>1017</v>
      </c>
      <c r="B1018" s="1232" t="s">
        <v>1619</v>
      </c>
      <c r="C1018" s="1319" t="s">
        <v>1774</v>
      </c>
      <c r="D1018" s="1319" t="s">
        <v>1511</v>
      </c>
      <c r="E1018" s="1232" t="s">
        <v>1595</v>
      </c>
    </row>
    <row r="1019" spans="1:5" x14ac:dyDescent="0.25">
      <c r="A1019" s="1232">
        <v>1018</v>
      </c>
      <c r="B1019" s="1232" t="s">
        <v>1619</v>
      </c>
      <c r="C1019" s="1319" t="s">
        <v>1774</v>
      </c>
      <c r="D1019" s="1319" t="s">
        <v>1511</v>
      </c>
      <c r="E1019" s="1232" t="s">
        <v>1496</v>
      </c>
    </row>
    <row r="1020" spans="1:5" x14ac:dyDescent="0.25">
      <c r="A1020" s="1232">
        <v>1019</v>
      </c>
      <c r="B1020" s="1232" t="s">
        <v>1619</v>
      </c>
      <c r="C1020" s="1319" t="s">
        <v>1863</v>
      </c>
      <c r="D1020" s="1319" t="s">
        <v>1775</v>
      </c>
      <c r="E1020" s="1232" t="s">
        <v>1594</v>
      </c>
    </row>
    <row r="1021" spans="1:5" x14ac:dyDescent="0.25">
      <c r="A1021" s="1232">
        <v>1020</v>
      </c>
      <c r="B1021" s="1232" t="s">
        <v>1619</v>
      </c>
      <c r="C1021" s="1319" t="s">
        <v>1863</v>
      </c>
      <c r="D1021" s="1319" t="s">
        <v>1775</v>
      </c>
      <c r="E1021" s="1232" t="s">
        <v>1810</v>
      </c>
    </row>
    <row r="1022" spans="1:5" x14ac:dyDescent="0.25">
      <c r="A1022" s="1232">
        <v>1021</v>
      </c>
      <c r="B1022" s="1232" t="s">
        <v>1619</v>
      </c>
      <c r="C1022" s="1319" t="s">
        <v>1863</v>
      </c>
      <c r="D1022" s="1319" t="s">
        <v>1775</v>
      </c>
      <c r="E1022" s="1232" t="s">
        <v>1483</v>
      </c>
    </row>
    <row r="1023" spans="1:5" x14ac:dyDescent="0.25">
      <c r="A1023" s="1232">
        <v>1022</v>
      </c>
      <c r="B1023" s="1232" t="s">
        <v>1619</v>
      </c>
      <c r="C1023" s="1319" t="s">
        <v>1863</v>
      </c>
      <c r="D1023" s="1319" t="s">
        <v>1775</v>
      </c>
      <c r="E1023" s="1232" t="s">
        <v>1481</v>
      </c>
    </row>
    <row r="1024" spans="1:5" x14ac:dyDescent="0.25">
      <c r="A1024" s="1232">
        <v>1023</v>
      </c>
      <c r="B1024" s="1232" t="s">
        <v>1619</v>
      </c>
      <c r="C1024" s="1319" t="s">
        <v>1863</v>
      </c>
      <c r="D1024" s="1319" t="s">
        <v>1775</v>
      </c>
      <c r="E1024" s="1232" t="s">
        <v>1497</v>
      </c>
    </row>
    <row r="1025" spans="1:5" x14ac:dyDescent="0.25">
      <c r="A1025" s="1232">
        <v>1024</v>
      </c>
      <c r="B1025" s="1232" t="s">
        <v>1619</v>
      </c>
      <c r="C1025" s="1319" t="s">
        <v>1863</v>
      </c>
      <c r="D1025" s="1319" t="s">
        <v>1511</v>
      </c>
      <c r="E1025" s="1232" t="s">
        <v>1482</v>
      </c>
    </row>
    <row r="1026" spans="1:5" x14ac:dyDescent="0.25">
      <c r="A1026" s="1232">
        <v>1025</v>
      </c>
      <c r="B1026" s="1232" t="s">
        <v>1619</v>
      </c>
      <c r="C1026" s="1319" t="s">
        <v>1863</v>
      </c>
      <c r="D1026" s="1319" t="s">
        <v>1775</v>
      </c>
      <c r="E1026" s="1232" t="s">
        <v>1589</v>
      </c>
    </row>
    <row r="1027" spans="1:5" x14ac:dyDescent="0.25">
      <c r="A1027" s="1232">
        <v>1026</v>
      </c>
      <c r="B1027" s="1232" t="s">
        <v>1619</v>
      </c>
      <c r="C1027" s="1319" t="s">
        <v>1863</v>
      </c>
      <c r="D1027" s="1319" t="s">
        <v>1775</v>
      </c>
      <c r="E1027" s="1232" t="s">
        <v>1590</v>
      </c>
    </row>
    <row r="1028" spans="1:5" x14ac:dyDescent="0.25">
      <c r="A1028" s="1232">
        <v>1027</v>
      </c>
      <c r="B1028" s="1232" t="s">
        <v>1619</v>
      </c>
      <c r="C1028" s="1319" t="s">
        <v>1863</v>
      </c>
      <c r="D1028" s="1319" t="s">
        <v>1511</v>
      </c>
      <c r="E1028" s="1232" t="s">
        <v>1591</v>
      </c>
    </row>
    <row r="1029" spans="1:5" ht="30" x14ac:dyDescent="0.25">
      <c r="A1029" s="1232">
        <v>1028</v>
      </c>
      <c r="B1029" s="1232" t="s">
        <v>1619</v>
      </c>
      <c r="C1029" s="1319" t="s">
        <v>1863</v>
      </c>
      <c r="D1029" s="1319" t="s">
        <v>1647</v>
      </c>
      <c r="E1029" s="1232" t="s">
        <v>1485</v>
      </c>
    </row>
    <row r="1030" spans="1:5" ht="30" x14ac:dyDescent="0.25">
      <c r="A1030" s="1232">
        <v>1029</v>
      </c>
      <c r="B1030" s="1232" t="s">
        <v>1619</v>
      </c>
      <c r="C1030" s="1319" t="s">
        <v>1863</v>
      </c>
      <c r="D1030" s="1319" t="s">
        <v>1647</v>
      </c>
      <c r="E1030" s="1232" t="s">
        <v>1486</v>
      </c>
    </row>
    <row r="1031" spans="1:5" ht="30" x14ac:dyDescent="0.25">
      <c r="A1031" s="1232">
        <v>1030</v>
      </c>
      <c r="B1031" s="1232" t="s">
        <v>1619</v>
      </c>
      <c r="C1031" s="1319" t="s">
        <v>1863</v>
      </c>
      <c r="D1031" s="1319" t="s">
        <v>1647</v>
      </c>
      <c r="E1031" s="1232" t="s">
        <v>1598</v>
      </c>
    </row>
    <row r="1032" spans="1:5" x14ac:dyDescent="0.25">
      <c r="A1032" s="1232">
        <v>1031</v>
      </c>
      <c r="B1032" s="1232" t="s">
        <v>1619</v>
      </c>
      <c r="C1032" s="1319" t="s">
        <v>1863</v>
      </c>
      <c r="D1032" s="1319" t="s">
        <v>1511</v>
      </c>
      <c r="E1032" s="1232" t="s">
        <v>1595</v>
      </c>
    </row>
    <row r="1033" spans="1:5" x14ac:dyDescent="0.25">
      <c r="A1033" s="1232">
        <v>1032</v>
      </c>
      <c r="B1033" s="1232" t="s">
        <v>1619</v>
      </c>
      <c r="C1033" s="1319" t="s">
        <v>1863</v>
      </c>
      <c r="D1033" s="1319" t="s">
        <v>1775</v>
      </c>
      <c r="E1033" s="1232" t="s">
        <v>1489</v>
      </c>
    </row>
    <row r="1034" spans="1:5" x14ac:dyDescent="0.25">
      <c r="A1034" s="1232">
        <v>1033</v>
      </c>
      <c r="B1034" s="1232" t="s">
        <v>1619</v>
      </c>
      <c r="C1034" s="1319" t="s">
        <v>1864</v>
      </c>
      <c r="D1034" s="1319" t="s">
        <v>1776</v>
      </c>
      <c r="E1034" s="1232" t="s">
        <v>1594</v>
      </c>
    </row>
    <row r="1035" spans="1:5" x14ac:dyDescent="0.25">
      <c r="A1035" s="1232">
        <v>1034</v>
      </c>
      <c r="B1035" s="1232" t="s">
        <v>1619</v>
      </c>
      <c r="C1035" s="1319" t="s">
        <v>1864</v>
      </c>
      <c r="D1035" s="1319" t="s">
        <v>1776</v>
      </c>
      <c r="E1035" s="1232" t="s">
        <v>1810</v>
      </c>
    </row>
    <row r="1036" spans="1:5" x14ac:dyDescent="0.25">
      <c r="A1036" s="1232">
        <v>1035</v>
      </c>
      <c r="B1036" s="1232" t="s">
        <v>1619</v>
      </c>
      <c r="C1036" s="1319" t="s">
        <v>1864</v>
      </c>
      <c r="D1036" s="1319" t="s">
        <v>1776</v>
      </c>
      <c r="E1036" s="1232" t="s">
        <v>1483</v>
      </c>
    </row>
    <row r="1037" spans="1:5" x14ac:dyDescent="0.25">
      <c r="A1037" s="1232">
        <v>1036</v>
      </c>
      <c r="B1037" s="1232" t="s">
        <v>1619</v>
      </c>
      <c r="C1037" s="1319" t="s">
        <v>1864</v>
      </c>
      <c r="D1037" s="1319" t="s">
        <v>1776</v>
      </c>
      <c r="E1037" s="1232" t="s">
        <v>1481</v>
      </c>
    </row>
    <row r="1038" spans="1:5" x14ac:dyDescent="0.25">
      <c r="A1038" s="1232">
        <v>1037</v>
      </c>
      <c r="B1038" s="1232" t="s">
        <v>1619</v>
      </c>
      <c r="C1038" s="1319" t="s">
        <v>1864</v>
      </c>
      <c r="D1038" s="1319" t="s">
        <v>1511</v>
      </c>
      <c r="E1038" s="1232" t="s">
        <v>1482</v>
      </c>
    </row>
    <row r="1039" spans="1:5" ht="30" x14ac:dyDescent="0.25">
      <c r="A1039" s="1232">
        <v>1038</v>
      </c>
      <c r="B1039" s="1232" t="s">
        <v>1619</v>
      </c>
      <c r="C1039" s="1319" t="s">
        <v>1864</v>
      </c>
      <c r="D1039" s="1319" t="s">
        <v>1647</v>
      </c>
      <c r="E1039" s="1232" t="s">
        <v>1485</v>
      </c>
    </row>
    <row r="1040" spans="1:5" ht="30" x14ac:dyDescent="0.25">
      <c r="A1040" s="1232">
        <v>1039</v>
      </c>
      <c r="B1040" s="1232" t="s">
        <v>1619</v>
      </c>
      <c r="C1040" s="1319" t="s">
        <v>1864</v>
      </c>
      <c r="D1040" s="1319" t="s">
        <v>1647</v>
      </c>
      <c r="E1040" s="1232" t="s">
        <v>1486</v>
      </c>
    </row>
    <row r="1041" spans="1:5" ht="30" x14ac:dyDescent="0.25">
      <c r="A1041" s="1232">
        <v>1040</v>
      </c>
      <c r="B1041" s="1232" t="s">
        <v>1619</v>
      </c>
      <c r="C1041" s="1319" t="s">
        <v>1864</v>
      </c>
      <c r="D1041" s="1319" t="s">
        <v>1647</v>
      </c>
      <c r="E1041" s="1232" t="s">
        <v>1598</v>
      </c>
    </row>
    <row r="1042" spans="1:5" x14ac:dyDescent="0.25">
      <c r="A1042" s="1232">
        <v>1041</v>
      </c>
      <c r="B1042" s="1232" t="s">
        <v>1619</v>
      </c>
      <c r="C1042" s="1319" t="s">
        <v>1864</v>
      </c>
      <c r="D1042" s="1319" t="s">
        <v>1511</v>
      </c>
      <c r="E1042" s="1232" t="s">
        <v>1595</v>
      </c>
    </row>
    <row r="1043" spans="1:5" x14ac:dyDescent="0.25">
      <c r="A1043" s="1232">
        <v>1042</v>
      </c>
      <c r="B1043" s="1232" t="s">
        <v>1619</v>
      </c>
      <c r="C1043" s="1319" t="s">
        <v>1864</v>
      </c>
      <c r="D1043" s="1319" t="s">
        <v>1776</v>
      </c>
      <c r="E1043" s="1232" t="s">
        <v>1496</v>
      </c>
    </row>
    <row r="1044" spans="1:5" x14ac:dyDescent="0.25">
      <c r="A1044" s="1232">
        <v>1043</v>
      </c>
      <c r="B1044" s="1232" t="s">
        <v>1619</v>
      </c>
      <c r="C1044" s="1319" t="s">
        <v>1864</v>
      </c>
      <c r="D1044" s="1319" t="s">
        <v>1776</v>
      </c>
      <c r="E1044" s="1232" t="s">
        <v>1777</v>
      </c>
    </row>
    <row r="1045" spans="1:5" x14ac:dyDescent="0.25">
      <c r="A1045" s="1232">
        <v>1044</v>
      </c>
      <c r="B1045" s="1232" t="s">
        <v>1619</v>
      </c>
      <c r="C1045" s="1319" t="s">
        <v>1864</v>
      </c>
      <c r="D1045" s="1319" t="s">
        <v>1776</v>
      </c>
      <c r="E1045" s="1232" t="s">
        <v>1578</v>
      </c>
    </row>
    <row r="1046" spans="1:5" ht="30" x14ac:dyDescent="0.25">
      <c r="A1046" s="1232">
        <v>1045</v>
      </c>
      <c r="B1046" s="1232" t="s">
        <v>1619</v>
      </c>
      <c r="C1046" s="1319" t="s">
        <v>1864</v>
      </c>
      <c r="D1046" s="1319" t="s">
        <v>1511</v>
      </c>
      <c r="E1046" s="1318" t="s">
        <v>1582</v>
      </c>
    </row>
    <row r="1047" spans="1:5" x14ac:dyDescent="0.25">
      <c r="A1047" s="1232">
        <v>1046</v>
      </c>
      <c r="B1047" s="1232" t="s">
        <v>1619</v>
      </c>
      <c r="C1047" s="1319" t="s">
        <v>1864</v>
      </c>
      <c r="D1047" s="1319" t="s">
        <v>1776</v>
      </c>
      <c r="E1047" s="1318" t="s">
        <v>1212</v>
      </c>
    </row>
    <row r="1048" spans="1:5" x14ac:dyDescent="0.25">
      <c r="A1048" s="1232">
        <v>1047</v>
      </c>
      <c r="B1048" s="1232" t="s">
        <v>1619</v>
      </c>
      <c r="C1048" s="1319" t="s">
        <v>1864</v>
      </c>
      <c r="D1048" s="1319" t="s">
        <v>1776</v>
      </c>
      <c r="E1048" s="1318" t="s">
        <v>1502</v>
      </c>
    </row>
    <row r="1049" spans="1:5" x14ac:dyDescent="0.25">
      <c r="A1049" s="1232">
        <v>1048</v>
      </c>
      <c r="B1049" s="1232" t="s">
        <v>1619</v>
      </c>
      <c r="C1049" s="1319" t="s">
        <v>1864</v>
      </c>
      <c r="D1049" s="1319" t="s">
        <v>1511</v>
      </c>
      <c r="E1049" s="1318" t="s">
        <v>1583</v>
      </c>
    </row>
    <row r="1050" spans="1:5" x14ac:dyDescent="0.25">
      <c r="A1050" s="1232">
        <v>1049</v>
      </c>
      <c r="B1050" s="1232" t="s">
        <v>1619</v>
      </c>
      <c r="C1050" s="1319" t="s">
        <v>1864</v>
      </c>
      <c r="D1050" s="1319" t="s">
        <v>1776</v>
      </c>
      <c r="E1050" s="1318" t="s">
        <v>1211</v>
      </c>
    </row>
    <row r="1051" spans="1:5" x14ac:dyDescent="0.25">
      <c r="A1051" s="1232">
        <v>1050</v>
      </c>
      <c r="B1051" s="1232" t="s">
        <v>1619</v>
      </c>
      <c r="C1051" s="1319" t="s">
        <v>1865</v>
      </c>
      <c r="D1051" s="1319" t="s">
        <v>1778</v>
      </c>
      <c r="E1051" s="1232" t="s">
        <v>1594</v>
      </c>
    </row>
    <row r="1052" spans="1:5" x14ac:dyDescent="0.25">
      <c r="A1052" s="1232">
        <v>1051</v>
      </c>
      <c r="B1052" s="1232" t="s">
        <v>1619</v>
      </c>
      <c r="C1052" s="1319" t="s">
        <v>1865</v>
      </c>
      <c r="D1052" s="1319" t="s">
        <v>1778</v>
      </c>
      <c r="E1052" s="1232" t="s">
        <v>1810</v>
      </c>
    </row>
    <row r="1053" spans="1:5" x14ac:dyDescent="0.25">
      <c r="A1053" s="1232">
        <v>1052</v>
      </c>
      <c r="B1053" s="1232" t="s">
        <v>1619</v>
      </c>
      <c r="C1053" s="1319" t="s">
        <v>1865</v>
      </c>
      <c r="D1053" s="1319" t="s">
        <v>1778</v>
      </c>
      <c r="E1053" s="1232" t="s">
        <v>1483</v>
      </c>
    </row>
    <row r="1054" spans="1:5" x14ac:dyDescent="0.25">
      <c r="A1054" s="1232">
        <v>1053</v>
      </c>
      <c r="B1054" s="1232" t="s">
        <v>1619</v>
      </c>
      <c r="C1054" s="1319" t="s">
        <v>1865</v>
      </c>
      <c r="D1054" s="1319" t="s">
        <v>1778</v>
      </c>
      <c r="E1054" s="1232" t="s">
        <v>1481</v>
      </c>
    </row>
    <row r="1055" spans="1:5" x14ac:dyDescent="0.25">
      <c r="A1055" s="1232">
        <v>1054</v>
      </c>
      <c r="B1055" s="1232" t="s">
        <v>1619</v>
      </c>
      <c r="C1055" s="1319" t="s">
        <v>1865</v>
      </c>
      <c r="D1055" s="1319" t="s">
        <v>1511</v>
      </c>
      <c r="E1055" s="1232" t="s">
        <v>1482</v>
      </c>
    </row>
    <row r="1056" spans="1:5" ht="30" x14ac:dyDescent="0.25">
      <c r="A1056" s="1232">
        <v>1055</v>
      </c>
      <c r="B1056" s="1232" t="s">
        <v>1619</v>
      </c>
      <c r="C1056" s="1319" t="s">
        <v>1865</v>
      </c>
      <c r="D1056" s="1319" t="s">
        <v>1647</v>
      </c>
      <c r="E1056" s="1232" t="s">
        <v>1485</v>
      </c>
    </row>
    <row r="1057" spans="1:5" ht="30" x14ac:dyDescent="0.25">
      <c r="A1057" s="1232">
        <v>1056</v>
      </c>
      <c r="B1057" s="1232" t="s">
        <v>1619</v>
      </c>
      <c r="C1057" s="1319" t="s">
        <v>1865</v>
      </c>
      <c r="D1057" s="1319" t="s">
        <v>1647</v>
      </c>
      <c r="E1057" s="1232" t="s">
        <v>1486</v>
      </c>
    </row>
    <row r="1058" spans="1:5" ht="30" x14ac:dyDescent="0.25">
      <c r="A1058" s="1232">
        <v>1057</v>
      </c>
      <c r="B1058" s="1232" t="s">
        <v>1619</v>
      </c>
      <c r="C1058" s="1319" t="s">
        <v>1865</v>
      </c>
      <c r="D1058" s="1319" t="s">
        <v>1647</v>
      </c>
      <c r="E1058" s="1232" t="s">
        <v>1598</v>
      </c>
    </row>
    <row r="1059" spans="1:5" x14ac:dyDescent="0.25">
      <c r="A1059" s="1232">
        <v>1058</v>
      </c>
      <c r="B1059" s="1232" t="s">
        <v>1619</v>
      </c>
      <c r="C1059" s="1319" t="s">
        <v>1865</v>
      </c>
      <c r="D1059" s="1319" t="s">
        <v>1511</v>
      </c>
      <c r="E1059" s="1232" t="s">
        <v>1595</v>
      </c>
    </row>
    <row r="1060" spans="1:5" x14ac:dyDescent="0.25">
      <c r="A1060" s="1232">
        <v>1059</v>
      </c>
      <c r="B1060" s="1232" t="s">
        <v>1619</v>
      </c>
      <c r="C1060" s="1319" t="s">
        <v>1865</v>
      </c>
      <c r="D1060" s="1319" t="s">
        <v>1778</v>
      </c>
      <c r="E1060" s="1232" t="s">
        <v>1496</v>
      </c>
    </row>
    <row r="1061" spans="1:5" x14ac:dyDescent="0.25">
      <c r="A1061" s="1232">
        <v>1060</v>
      </c>
      <c r="B1061" s="1232" t="s">
        <v>1619</v>
      </c>
      <c r="C1061" s="1319" t="s">
        <v>1865</v>
      </c>
      <c r="D1061" s="1319" t="s">
        <v>1778</v>
      </c>
      <c r="E1061" s="1232" t="s">
        <v>1777</v>
      </c>
    </row>
    <row r="1062" spans="1:5" ht="30" x14ac:dyDescent="0.25">
      <c r="A1062" s="1232">
        <v>1061</v>
      </c>
      <c r="B1062" s="1232" t="s">
        <v>1619</v>
      </c>
      <c r="C1062" s="1319" t="s">
        <v>1865</v>
      </c>
      <c r="D1062" s="1319" t="s">
        <v>1511</v>
      </c>
      <c r="E1062" s="1318" t="s">
        <v>1582</v>
      </c>
    </row>
    <row r="1063" spans="1:5" x14ac:dyDescent="0.25">
      <c r="A1063" s="1232">
        <v>1062</v>
      </c>
      <c r="B1063" s="1232" t="s">
        <v>1619</v>
      </c>
      <c r="C1063" s="1319" t="s">
        <v>1865</v>
      </c>
      <c r="D1063" s="1319" t="s">
        <v>1776</v>
      </c>
      <c r="E1063" s="1318" t="s">
        <v>1212</v>
      </c>
    </row>
    <row r="1064" spans="1:5" x14ac:dyDescent="0.25">
      <c r="A1064" s="1232">
        <v>1063</v>
      </c>
      <c r="B1064" s="1232" t="s">
        <v>1619</v>
      </c>
      <c r="C1064" s="1319" t="s">
        <v>1865</v>
      </c>
      <c r="D1064" s="1319" t="s">
        <v>1776</v>
      </c>
      <c r="E1064" s="1318" t="s">
        <v>1502</v>
      </c>
    </row>
    <row r="1065" spans="1:5" x14ac:dyDescent="0.25">
      <c r="A1065" s="1232">
        <v>1064</v>
      </c>
      <c r="B1065" s="1232" t="s">
        <v>1619</v>
      </c>
      <c r="C1065" s="1319" t="s">
        <v>1865</v>
      </c>
      <c r="D1065" s="1319" t="s">
        <v>1511</v>
      </c>
      <c r="E1065" s="1318" t="s">
        <v>1583</v>
      </c>
    </row>
    <row r="1066" spans="1:5" x14ac:dyDescent="0.25">
      <c r="A1066" s="1232">
        <v>1065</v>
      </c>
      <c r="B1066" s="1232" t="s">
        <v>1619</v>
      </c>
      <c r="C1066" s="1319" t="s">
        <v>1865</v>
      </c>
      <c r="D1066" s="1319" t="s">
        <v>1776</v>
      </c>
      <c r="E1066" s="1318" t="s">
        <v>1211</v>
      </c>
    </row>
    <row r="1067" spans="1:5" x14ac:dyDescent="0.25">
      <c r="A1067" s="1232">
        <v>1066</v>
      </c>
      <c r="B1067" s="1232" t="s">
        <v>1619</v>
      </c>
      <c r="C1067" s="1319" t="s">
        <v>1866</v>
      </c>
      <c r="D1067" s="1319" t="s">
        <v>1779</v>
      </c>
      <c r="E1067" s="1232" t="s">
        <v>1594</v>
      </c>
    </row>
    <row r="1068" spans="1:5" x14ac:dyDescent="0.25">
      <c r="A1068" s="1232">
        <v>1067</v>
      </c>
      <c r="B1068" s="1232" t="s">
        <v>1619</v>
      </c>
      <c r="C1068" s="1319" t="s">
        <v>1866</v>
      </c>
      <c r="D1068" s="1319" t="s">
        <v>1779</v>
      </c>
      <c r="E1068" s="1232" t="s">
        <v>1810</v>
      </c>
    </row>
    <row r="1069" spans="1:5" x14ac:dyDescent="0.25">
      <c r="A1069" s="1232">
        <v>1068</v>
      </c>
      <c r="B1069" s="1232" t="s">
        <v>1619</v>
      </c>
      <c r="C1069" s="1319" t="s">
        <v>1866</v>
      </c>
      <c r="D1069" s="1319" t="s">
        <v>1779</v>
      </c>
      <c r="E1069" s="1232" t="s">
        <v>1483</v>
      </c>
    </row>
    <row r="1070" spans="1:5" x14ac:dyDescent="0.25">
      <c r="A1070" s="1232">
        <v>1069</v>
      </c>
      <c r="B1070" s="1232" t="s">
        <v>1619</v>
      </c>
      <c r="C1070" s="1319" t="s">
        <v>1866</v>
      </c>
      <c r="D1070" s="1319" t="s">
        <v>1779</v>
      </c>
      <c r="E1070" s="1232" t="s">
        <v>1481</v>
      </c>
    </row>
    <row r="1071" spans="1:5" x14ac:dyDescent="0.25">
      <c r="A1071" s="1232">
        <v>1070</v>
      </c>
      <c r="B1071" s="1232" t="s">
        <v>1619</v>
      </c>
      <c r="C1071" s="1319" t="s">
        <v>1866</v>
      </c>
      <c r="D1071" s="1319" t="s">
        <v>1511</v>
      </c>
      <c r="E1071" s="1232" t="s">
        <v>1482</v>
      </c>
    </row>
    <row r="1072" spans="1:5" ht="30" x14ac:dyDescent="0.25">
      <c r="A1072" s="1232">
        <v>1071</v>
      </c>
      <c r="B1072" s="1232" t="s">
        <v>1619</v>
      </c>
      <c r="C1072" s="1319" t="s">
        <v>1866</v>
      </c>
      <c r="D1072" s="1319" t="s">
        <v>1647</v>
      </c>
      <c r="E1072" s="1232" t="s">
        <v>1485</v>
      </c>
    </row>
    <row r="1073" spans="1:5" ht="30" x14ac:dyDescent="0.25">
      <c r="A1073" s="1232">
        <v>1072</v>
      </c>
      <c r="B1073" s="1232" t="s">
        <v>1619</v>
      </c>
      <c r="C1073" s="1319" t="s">
        <v>1866</v>
      </c>
      <c r="D1073" s="1319" t="s">
        <v>1647</v>
      </c>
      <c r="E1073" s="1232" t="s">
        <v>1486</v>
      </c>
    </row>
    <row r="1074" spans="1:5" ht="30" x14ac:dyDescent="0.25">
      <c r="A1074" s="1232">
        <v>1073</v>
      </c>
      <c r="B1074" s="1232" t="s">
        <v>1619</v>
      </c>
      <c r="C1074" s="1319" t="s">
        <v>1866</v>
      </c>
      <c r="D1074" s="1319" t="s">
        <v>1647</v>
      </c>
      <c r="E1074" s="1232" t="s">
        <v>1598</v>
      </c>
    </row>
    <row r="1075" spans="1:5" x14ac:dyDescent="0.25">
      <c r="A1075" s="1232">
        <v>1074</v>
      </c>
      <c r="B1075" s="1232" t="s">
        <v>1619</v>
      </c>
      <c r="C1075" s="1319" t="s">
        <v>1866</v>
      </c>
      <c r="D1075" s="1319" t="s">
        <v>1511</v>
      </c>
      <c r="E1075" s="1232" t="s">
        <v>1595</v>
      </c>
    </row>
    <row r="1076" spans="1:5" x14ac:dyDescent="0.25">
      <c r="A1076" s="1232">
        <v>1075</v>
      </c>
      <c r="B1076" s="1232" t="s">
        <v>1619</v>
      </c>
      <c r="C1076" s="1319" t="s">
        <v>1866</v>
      </c>
      <c r="D1076" s="1319" t="s">
        <v>1779</v>
      </c>
      <c r="E1076" s="1232" t="s">
        <v>1496</v>
      </c>
    </row>
    <row r="1077" spans="1:5" x14ac:dyDescent="0.25">
      <c r="A1077" s="1232">
        <v>1076</v>
      </c>
      <c r="B1077" s="1232" t="s">
        <v>1619</v>
      </c>
      <c r="C1077" s="1319" t="s">
        <v>1867</v>
      </c>
      <c r="D1077" s="1319" t="s">
        <v>1779</v>
      </c>
      <c r="E1077" s="1232" t="s">
        <v>1594</v>
      </c>
    </row>
    <row r="1078" spans="1:5" x14ac:dyDescent="0.25">
      <c r="A1078" s="1232">
        <v>1077</v>
      </c>
      <c r="B1078" s="1232" t="s">
        <v>1619</v>
      </c>
      <c r="C1078" s="1319" t="s">
        <v>1867</v>
      </c>
      <c r="D1078" s="1319" t="s">
        <v>1779</v>
      </c>
      <c r="E1078" s="1232" t="s">
        <v>1810</v>
      </c>
    </row>
    <row r="1079" spans="1:5" x14ac:dyDescent="0.25">
      <c r="A1079" s="1232">
        <v>1078</v>
      </c>
      <c r="B1079" s="1232" t="s">
        <v>1619</v>
      </c>
      <c r="C1079" s="1319" t="s">
        <v>1867</v>
      </c>
      <c r="D1079" s="1319" t="s">
        <v>1779</v>
      </c>
      <c r="E1079" s="1232" t="s">
        <v>1483</v>
      </c>
    </row>
    <row r="1080" spans="1:5" x14ac:dyDescent="0.25">
      <c r="A1080" s="1232">
        <v>1079</v>
      </c>
      <c r="B1080" s="1232" t="s">
        <v>1619</v>
      </c>
      <c r="C1080" s="1319" t="s">
        <v>1867</v>
      </c>
      <c r="D1080" s="1319" t="s">
        <v>1779</v>
      </c>
      <c r="E1080" s="1232" t="s">
        <v>1481</v>
      </c>
    </row>
    <row r="1081" spans="1:5" x14ac:dyDescent="0.25">
      <c r="A1081" s="1232">
        <v>1080</v>
      </c>
      <c r="B1081" s="1232" t="s">
        <v>1619</v>
      </c>
      <c r="C1081" s="1319" t="s">
        <v>1867</v>
      </c>
      <c r="D1081" s="1319" t="s">
        <v>1511</v>
      </c>
      <c r="E1081" s="1232" t="s">
        <v>1482</v>
      </c>
    </row>
    <row r="1082" spans="1:5" ht="30" x14ac:dyDescent="0.25">
      <c r="A1082" s="1232">
        <v>1081</v>
      </c>
      <c r="B1082" s="1232" t="s">
        <v>1619</v>
      </c>
      <c r="C1082" s="1319" t="s">
        <v>1867</v>
      </c>
      <c r="D1082" s="1319" t="s">
        <v>1647</v>
      </c>
      <c r="E1082" s="1232" t="s">
        <v>1485</v>
      </c>
    </row>
    <row r="1083" spans="1:5" ht="30" x14ac:dyDescent="0.25">
      <c r="A1083" s="1232">
        <v>1082</v>
      </c>
      <c r="B1083" s="1232" t="s">
        <v>1619</v>
      </c>
      <c r="C1083" s="1319" t="s">
        <v>1867</v>
      </c>
      <c r="D1083" s="1319" t="s">
        <v>1647</v>
      </c>
      <c r="E1083" s="1232" t="s">
        <v>1486</v>
      </c>
    </row>
    <row r="1084" spans="1:5" ht="30" x14ac:dyDescent="0.25">
      <c r="A1084" s="1232">
        <v>1083</v>
      </c>
      <c r="B1084" s="1232" t="s">
        <v>1619</v>
      </c>
      <c r="C1084" s="1319" t="s">
        <v>1867</v>
      </c>
      <c r="D1084" s="1319" t="s">
        <v>1647</v>
      </c>
      <c r="E1084" s="1232" t="s">
        <v>1598</v>
      </c>
    </row>
    <row r="1085" spans="1:5" x14ac:dyDescent="0.25">
      <c r="A1085" s="1232">
        <v>1084</v>
      </c>
      <c r="B1085" s="1232" t="s">
        <v>1619</v>
      </c>
      <c r="C1085" s="1319" t="s">
        <v>1867</v>
      </c>
      <c r="D1085" s="1319" t="s">
        <v>1511</v>
      </c>
      <c r="E1085" s="1232" t="s">
        <v>1595</v>
      </c>
    </row>
    <row r="1086" spans="1:5" x14ac:dyDescent="0.25">
      <c r="A1086" s="1232">
        <v>1085</v>
      </c>
      <c r="B1086" s="1232" t="s">
        <v>1619</v>
      </c>
      <c r="C1086" s="1319" t="s">
        <v>1867</v>
      </c>
      <c r="D1086" s="1319" t="s">
        <v>1779</v>
      </c>
      <c r="E1086" s="1232" t="s">
        <v>1496</v>
      </c>
    </row>
    <row r="1087" spans="1:5" x14ac:dyDescent="0.25">
      <c r="A1087" s="1232">
        <v>1086</v>
      </c>
      <c r="B1087" s="1232" t="s">
        <v>1619</v>
      </c>
      <c r="C1087" s="1319" t="s">
        <v>1868</v>
      </c>
      <c r="D1087" s="1319" t="s">
        <v>1780</v>
      </c>
      <c r="E1087" s="1232" t="s">
        <v>1594</v>
      </c>
    </row>
    <row r="1088" spans="1:5" x14ac:dyDescent="0.25">
      <c r="A1088" s="1232">
        <v>1087</v>
      </c>
      <c r="B1088" s="1232" t="s">
        <v>1619</v>
      </c>
      <c r="C1088" s="1319" t="s">
        <v>1868</v>
      </c>
      <c r="D1088" s="1319" t="s">
        <v>1780</v>
      </c>
      <c r="E1088" s="1232" t="s">
        <v>1810</v>
      </c>
    </row>
    <row r="1089" spans="1:5" x14ac:dyDescent="0.25">
      <c r="A1089" s="1232">
        <v>1088</v>
      </c>
      <c r="B1089" s="1232" t="s">
        <v>1619</v>
      </c>
      <c r="C1089" s="1319" t="s">
        <v>1868</v>
      </c>
      <c r="D1089" s="1319" t="s">
        <v>1780</v>
      </c>
      <c r="E1089" s="1232" t="s">
        <v>1483</v>
      </c>
    </row>
    <row r="1090" spans="1:5" x14ac:dyDescent="0.25">
      <c r="A1090" s="1232">
        <v>1089</v>
      </c>
      <c r="B1090" s="1232" t="s">
        <v>1619</v>
      </c>
      <c r="C1090" s="1319" t="s">
        <v>1868</v>
      </c>
      <c r="D1090" s="1319" t="s">
        <v>1779</v>
      </c>
      <c r="E1090" s="1232" t="s">
        <v>1480</v>
      </c>
    </row>
    <row r="1091" spans="1:5" x14ac:dyDescent="0.25">
      <c r="A1091" s="1232">
        <v>1090</v>
      </c>
      <c r="B1091" s="1232" t="s">
        <v>1619</v>
      </c>
      <c r="C1091" s="1319" t="s">
        <v>1868</v>
      </c>
      <c r="D1091" s="1319" t="s">
        <v>1780</v>
      </c>
      <c r="E1091" s="1232" t="s">
        <v>1481</v>
      </c>
    </row>
    <row r="1092" spans="1:5" x14ac:dyDescent="0.25">
      <c r="A1092" s="1232">
        <v>1091</v>
      </c>
      <c r="B1092" s="1232" t="s">
        <v>1619</v>
      </c>
      <c r="C1092" s="1319" t="s">
        <v>1868</v>
      </c>
      <c r="D1092" s="1319" t="s">
        <v>1511</v>
      </c>
      <c r="E1092" s="1232" t="s">
        <v>1482</v>
      </c>
    </row>
    <row r="1093" spans="1:5" x14ac:dyDescent="0.25">
      <c r="A1093" s="1232">
        <v>1092</v>
      </c>
      <c r="B1093" s="1232" t="s">
        <v>1619</v>
      </c>
      <c r="C1093" s="1319" t="s">
        <v>1868</v>
      </c>
      <c r="D1093" s="1319" t="s">
        <v>1780</v>
      </c>
      <c r="E1093" s="1232" t="s">
        <v>1590</v>
      </c>
    </row>
    <row r="1094" spans="1:5" x14ac:dyDescent="0.25">
      <c r="A1094" s="1232">
        <v>1093</v>
      </c>
      <c r="B1094" s="1232" t="s">
        <v>1619</v>
      </c>
      <c r="C1094" s="1319" t="s">
        <v>1868</v>
      </c>
      <c r="D1094" s="1319" t="s">
        <v>1511</v>
      </c>
      <c r="E1094" s="1232" t="s">
        <v>1591</v>
      </c>
    </row>
    <row r="1095" spans="1:5" ht="30" x14ac:dyDescent="0.25">
      <c r="A1095" s="1232">
        <v>1094</v>
      </c>
      <c r="B1095" s="1232" t="s">
        <v>1619</v>
      </c>
      <c r="C1095" s="1319" t="s">
        <v>1868</v>
      </c>
      <c r="D1095" s="1319" t="s">
        <v>1647</v>
      </c>
      <c r="E1095" s="1232" t="s">
        <v>1485</v>
      </c>
    </row>
    <row r="1096" spans="1:5" ht="30" x14ac:dyDescent="0.25">
      <c r="A1096" s="1232">
        <v>1095</v>
      </c>
      <c r="B1096" s="1232" t="s">
        <v>1619</v>
      </c>
      <c r="C1096" s="1319" t="s">
        <v>1868</v>
      </c>
      <c r="D1096" s="1319" t="s">
        <v>1647</v>
      </c>
      <c r="E1096" s="1232" t="s">
        <v>1486</v>
      </c>
    </row>
    <row r="1097" spans="1:5" ht="30" x14ac:dyDescent="0.25">
      <c r="A1097" s="1232">
        <v>1096</v>
      </c>
      <c r="B1097" s="1232" t="s">
        <v>1619</v>
      </c>
      <c r="C1097" s="1319" t="s">
        <v>1868</v>
      </c>
      <c r="D1097" s="1319" t="s">
        <v>1647</v>
      </c>
      <c r="E1097" s="1232" t="s">
        <v>1598</v>
      </c>
    </row>
    <row r="1098" spans="1:5" x14ac:dyDescent="0.25">
      <c r="A1098" s="1232">
        <v>1097</v>
      </c>
      <c r="B1098" s="1232" t="s">
        <v>1619</v>
      </c>
      <c r="C1098" s="1319" t="s">
        <v>1868</v>
      </c>
      <c r="D1098" s="1319" t="s">
        <v>1511</v>
      </c>
      <c r="E1098" s="1232" t="s">
        <v>1595</v>
      </c>
    </row>
    <row r="1099" spans="1:5" x14ac:dyDescent="0.25">
      <c r="A1099" s="1232">
        <v>1098</v>
      </c>
      <c r="B1099" s="1232" t="s">
        <v>1619</v>
      </c>
      <c r="C1099" s="1319" t="s">
        <v>1868</v>
      </c>
      <c r="D1099" s="1319" t="s">
        <v>1780</v>
      </c>
      <c r="E1099" s="1232" t="s">
        <v>1489</v>
      </c>
    </row>
    <row r="1100" spans="1:5" x14ac:dyDescent="0.25">
      <c r="A1100" s="1232">
        <v>1099</v>
      </c>
      <c r="B1100" s="1232" t="s">
        <v>1619</v>
      </c>
      <c r="C1100" s="1319" t="s">
        <v>1868</v>
      </c>
      <c r="D1100" s="1319" t="s">
        <v>1780</v>
      </c>
      <c r="E1100" s="1232" t="s">
        <v>1496</v>
      </c>
    </row>
    <row r="1101" spans="1:5" x14ac:dyDescent="0.25">
      <c r="A1101" s="1232">
        <v>1100</v>
      </c>
      <c r="B1101" s="1232" t="s">
        <v>1619</v>
      </c>
      <c r="C1101" s="1319" t="s">
        <v>1869</v>
      </c>
      <c r="D1101" s="1319" t="s">
        <v>1780</v>
      </c>
      <c r="E1101" s="1232" t="s">
        <v>1584</v>
      </c>
    </row>
    <row r="1102" spans="1:5" x14ac:dyDescent="0.25">
      <c r="A1102" s="1232">
        <v>1101</v>
      </c>
      <c r="B1102" s="1232" t="s">
        <v>1619</v>
      </c>
      <c r="C1102" s="1319" t="s">
        <v>1869</v>
      </c>
      <c r="D1102" s="1319" t="s">
        <v>1780</v>
      </c>
      <c r="E1102" s="1232" t="s">
        <v>751</v>
      </c>
    </row>
    <row r="1103" spans="1:5" x14ac:dyDescent="0.25">
      <c r="A1103" s="1232">
        <v>1102</v>
      </c>
      <c r="B1103" s="1232" t="s">
        <v>1619</v>
      </c>
      <c r="C1103" s="1319" t="s">
        <v>1869</v>
      </c>
      <c r="D1103" s="1319" t="s">
        <v>1780</v>
      </c>
      <c r="E1103" s="1232" t="s">
        <v>1585</v>
      </c>
    </row>
    <row r="1104" spans="1:5" x14ac:dyDescent="0.25">
      <c r="A1104" s="1232">
        <v>1103</v>
      </c>
      <c r="B1104" s="1232" t="s">
        <v>1619</v>
      </c>
      <c r="C1104" s="1319" t="s">
        <v>1870</v>
      </c>
      <c r="D1104" s="1319" t="s">
        <v>1780</v>
      </c>
      <c r="E1104" s="1232" t="s">
        <v>1584</v>
      </c>
    </row>
    <row r="1105" spans="1:5" x14ac:dyDescent="0.25">
      <c r="A1105" s="1232">
        <v>1104</v>
      </c>
      <c r="B1105" s="1232" t="s">
        <v>1619</v>
      </c>
      <c r="C1105" s="1319" t="s">
        <v>1870</v>
      </c>
      <c r="D1105" s="1319" t="s">
        <v>1780</v>
      </c>
      <c r="E1105" s="1232" t="s">
        <v>751</v>
      </c>
    </row>
    <row r="1106" spans="1:5" x14ac:dyDescent="0.25">
      <c r="A1106" s="1232">
        <v>1105</v>
      </c>
      <c r="B1106" s="1232" t="s">
        <v>1619</v>
      </c>
      <c r="C1106" s="1319" t="s">
        <v>1870</v>
      </c>
      <c r="D1106" s="1319" t="s">
        <v>1780</v>
      </c>
      <c r="E1106" s="1232" t="s">
        <v>1585</v>
      </c>
    </row>
    <row r="1107" spans="1:5" x14ac:dyDescent="0.25">
      <c r="A1107" s="1232">
        <v>1106</v>
      </c>
      <c r="B1107" s="1232" t="s">
        <v>1619</v>
      </c>
      <c r="C1107" s="1319" t="s">
        <v>1871</v>
      </c>
      <c r="D1107" s="1319" t="s">
        <v>1780</v>
      </c>
      <c r="E1107" s="1232" t="s">
        <v>1584</v>
      </c>
    </row>
    <row r="1108" spans="1:5" x14ac:dyDescent="0.25">
      <c r="A1108" s="1232">
        <v>1107</v>
      </c>
      <c r="B1108" s="1232" t="s">
        <v>1619</v>
      </c>
      <c r="C1108" s="1319" t="s">
        <v>1871</v>
      </c>
      <c r="D1108" s="1319" t="s">
        <v>1780</v>
      </c>
      <c r="E1108" s="1232" t="s">
        <v>751</v>
      </c>
    </row>
    <row r="1109" spans="1:5" x14ac:dyDescent="0.25">
      <c r="A1109" s="1232">
        <v>1108</v>
      </c>
      <c r="B1109" s="1232" t="s">
        <v>1619</v>
      </c>
      <c r="C1109" s="1319" t="s">
        <v>1871</v>
      </c>
      <c r="D1109" s="1319" t="s">
        <v>1780</v>
      </c>
      <c r="E1109" s="1232" t="s">
        <v>1585</v>
      </c>
    </row>
    <row r="1110" spans="1:5" x14ac:dyDescent="0.25">
      <c r="A1110" s="1232">
        <v>1109</v>
      </c>
      <c r="B1110" s="1232" t="s">
        <v>1619</v>
      </c>
      <c r="C1110" s="1319" t="s">
        <v>1872</v>
      </c>
      <c r="D1110" s="1319" t="s">
        <v>1780</v>
      </c>
      <c r="E1110" s="1232" t="s">
        <v>1584</v>
      </c>
    </row>
    <row r="1111" spans="1:5" x14ac:dyDescent="0.25">
      <c r="A1111" s="1232">
        <v>1110</v>
      </c>
      <c r="B1111" s="1232" t="s">
        <v>1619</v>
      </c>
      <c r="C1111" s="1319" t="s">
        <v>1872</v>
      </c>
      <c r="D1111" s="1319" t="s">
        <v>1780</v>
      </c>
      <c r="E1111" s="1232" t="s">
        <v>751</v>
      </c>
    </row>
    <row r="1112" spans="1:5" x14ac:dyDescent="0.25">
      <c r="A1112" s="1232">
        <v>1111</v>
      </c>
      <c r="B1112" s="1232" t="s">
        <v>1619</v>
      </c>
      <c r="C1112" s="1319" t="s">
        <v>1872</v>
      </c>
      <c r="D1112" s="1319" t="s">
        <v>1780</v>
      </c>
      <c r="E1112" s="1232" t="s">
        <v>1585</v>
      </c>
    </row>
    <row r="1113" spans="1:5" x14ac:dyDescent="0.25">
      <c r="A1113" s="1232">
        <v>1112</v>
      </c>
      <c r="B1113" s="1232" t="s">
        <v>1619</v>
      </c>
      <c r="C1113" s="1319" t="s">
        <v>1873</v>
      </c>
      <c r="D1113" s="1319" t="s">
        <v>1780</v>
      </c>
      <c r="E1113" s="1232" t="s">
        <v>1584</v>
      </c>
    </row>
    <row r="1114" spans="1:5" x14ac:dyDescent="0.25">
      <c r="A1114" s="1232">
        <v>1113</v>
      </c>
      <c r="B1114" s="1232" t="s">
        <v>1619</v>
      </c>
      <c r="C1114" s="1319" t="s">
        <v>1873</v>
      </c>
      <c r="D1114" s="1319" t="s">
        <v>1780</v>
      </c>
      <c r="E1114" s="1232" t="s">
        <v>751</v>
      </c>
    </row>
    <row r="1115" spans="1:5" x14ac:dyDescent="0.25">
      <c r="A1115" s="1232">
        <v>1114</v>
      </c>
      <c r="B1115" s="1232" t="s">
        <v>1619</v>
      </c>
      <c r="C1115" s="1319" t="s">
        <v>1873</v>
      </c>
      <c r="D1115" s="1319" t="s">
        <v>1780</v>
      </c>
      <c r="E1115" s="1232" t="s">
        <v>1585</v>
      </c>
    </row>
    <row r="1116" spans="1:5" x14ac:dyDescent="0.25">
      <c r="A1116" s="1232">
        <v>1115</v>
      </c>
      <c r="B1116" s="1232" t="s">
        <v>1619</v>
      </c>
      <c r="C1116" s="1319" t="s">
        <v>1874</v>
      </c>
      <c r="D1116" s="1319" t="s">
        <v>1780</v>
      </c>
      <c r="E1116" s="1232" t="s">
        <v>1594</v>
      </c>
    </row>
    <row r="1117" spans="1:5" x14ac:dyDescent="0.25">
      <c r="A1117" s="1232">
        <v>1116</v>
      </c>
      <c r="B1117" s="1232" t="s">
        <v>1619</v>
      </c>
      <c r="C1117" s="1319" t="s">
        <v>1874</v>
      </c>
      <c r="D1117" s="1319" t="s">
        <v>1780</v>
      </c>
      <c r="E1117" s="1232" t="s">
        <v>1810</v>
      </c>
    </row>
    <row r="1118" spans="1:5" x14ac:dyDescent="0.25">
      <c r="A1118" s="1232">
        <v>1117</v>
      </c>
      <c r="B1118" s="1232" t="s">
        <v>1619</v>
      </c>
      <c r="C1118" s="1319" t="s">
        <v>1874</v>
      </c>
      <c r="D1118" s="1319" t="s">
        <v>1780</v>
      </c>
      <c r="E1118" s="1232" t="s">
        <v>1483</v>
      </c>
    </row>
    <row r="1119" spans="1:5" x14ac:dyDescent="0.25">
      <c r="A1119" s="1232">
        <v>1118</v>
      </c>
      <c r="B1119" s="1232" t="s">
        <v>1619</v>
      </c>
      <c r="C1119" s="1319" t="s">
        <v>1874</v>
      </c>
      <c r="D1119" s="1319" t="s">
        <v>1779</v>
      </c>
      <c r="E1119" s="1232" t="s">
        <v>1480</v>
      </c>
    </row>
    <row r="1120" spans="1:5" x14ac:dyDescent="0.25">
      <c r="A1120" s="1232">
        <v>1119</v>
      </c>
      <c r="B1120" s="1232" t="s">
        <v>1619</v>
      </c>
      <c r="C1120" s="1319" t="s">
        <v>1874</v>
      </c>
      <c r="D1120" s="1319" t="s">
        <v>1780</v>
      </c>
      <c r="E1120" s="1232" t="s">
        <v>1481</v>
      </c>
    </row>
    <row r="1121" spans="1:5" x14ac:dyDescent="0.25">
      <c r="A1121" s="1232">
        <v>1120</v>
      </c>
      <c r="B1121" s="1232" t="s">
        <v>1619</v>
      </c>
      <c r="C1121" s="1319" t="s">
        <v>1874</v>
      </c>
      <c r="D1121" s="1319" t="s">
        <v>1511</v>
      </c>
      <c r="E1121" s="1232" t="s">
        <v>1482</v>
      </c>
    </row>
    <row r="1122" spans="1:5" x14ac:dyDescent="0.25">
      <c r="A1122" s="1232">
        <v>1121</v>
      </c>
      <c r="B1122" s="1232" t="s">
        <v>1619</v>
      </c>
      <c r="C1122" s="1319" t="s">
        <v>1874</v>
      </c>
      <c r="D1122" s="1319" t="s">
        <v>1780</v>
      </c>
      <c r="E1122" s="1232" t="s">
        <v>1590</v>
      </c>
    </row>
    <row r="1123" spans="1:5" x14ac:dyDescent="0.25">
      <c r="A1123" s="1232">
        <v>1122</v>
      </c>
      <c r="B1123" s="1232" t="s">
        <v>1619</v>
      </c>
      <c r="C1123" s="1319" t="s">
        <v>1874</v>
      </c>
      <c r="D1123" s="1319" t="s">
        <v>1511</v>
      </c>
      <c r="E1123" s="1232" t="s">
        <v>1591</v>
      </c>
    </row>
    <row r="1124" spans="1:5" ht="30" x14ac:dyDescent="0.25">
      <c r="A1124" s="1232">
        <v>1123</v>
      </c>
      <c r="B1124" s="1232" t="s">
        <v>1619</v>
      </c>
      <c r="C1124" s="1319" t="s">
        <v>1874</v>
      </c>
      <c r="D1124" s="1319" t="s">
        <v>1647</v>
      </c>
      <c r="E1124" s="1232" t="s">
        <v>1485</v>
      </c>
    </row>
    <row r="1125" spans="1:5" ht="30" x14ac:dyDescent="0.25">
      <c r="A1125" s="1232">
        <v>1124</v>
      </c>
      <c r="B1125" s="1232" t="s">
        <v>1619</v>
      </c>
      <c r="C1125" s="1319" t="s">
        <v>1874</v>
      </c>
      <c r="D1125" s="1319" t="s">
        <v>1647</v>
      </c>
      <c r="E1125" s="1232" t="s">
        <v>1486</v>
      </c>
    </row>
    <row r="1126" spans="1:5" ht="30" x14ac:dyDescent="0.25">
      <c r="A1126" s="1232">
        <v>1125</v>
      </c>
      <c r="B1126" s="1232" t="s">
        <v>1619</v>
      </c>
      <c r="C1126" s="1319" t="s">
        <v>1874</v>
      </c>
      <c r="D1126" s="1319" t="s">
        <v>1647</v>
      </c>
      <c r="E1126" s="1232" t="s">
        <v>1598</v>
      </c>
    </row>
    <row r="1127" spans="1:5" x14ac:dyDescent="0.25">
      <c r="A1127" s="1232">
        <v>1126</v>
      </c>
      <c r="B1127" s="1232" t="s">
        <v>1619</v>
      </c>
      <c r="C1127" s="1319" t="s">
        <v>1874</v>
      </c>
      <c r="D1127" s="1319" t="s">
        <v>1511</v>
      </c>
      <c r="E1127" s="1232" t="s">
        <v>1595</v>
      </c>
    </row>
    <row r="1128" spans="1:5" x14ac:dyDescent="0.25">
      <c r="A1128" s="1232">
        <v>1127</v>
      </c>
      <c r="B1128" s="1232" t="s">
        <v>1619</v>
      </c>
      <c r="C1128" s="1319" t="s">
        <v>1874</v>
      </c>
      <c r="D1128" s="1319" t="s">
        <v>1780</v>
      </c>
      <c r="E1128" s="1232" t="s">
        <v>1489</v>
      </c>
    </row>
    <row r="1129" spans="1:5" x14ac:dyDescent="0.25">
      <c r="A1129" s="1232">
        <v>1128</v>
      </c>
      <c r="B1129" s="1232" t="s">
        <v>1619</v>
      </c>
      <c r="C1129" s="1319" t="s">
        <v>1874</v>
      </c>
      <c r="D1129" s="1319" t="s">
        <v>1780</v>
      </c>
      <c r="E1129" s="1232" t="s">
        <v>1496</v>
      </c>
    </row>
    <row r="1130" spans="1:5" x14ac:dyDescent="0.25">
      <c r="A1130" s="1232">
        <v>1129</v>
      </c>
      <c r="B1130" s="1232" t="s">
        <v>1619</v>
      </c>
      <c r="C1130" s="1319" t="s">
        <v>1875</v>
      </c>
      <c r="D1130" s="1319" t="s">
        <v>1780</v>
      </c>
      <c r="E1130" s="1232" t="s">
        <v>1584</v>
      </c>
    </row>
    <row r="1131" spans="1:5" x14ac:dyDescent="0.25">
      <c r="A1131" s="1232">
        <v>1130</v>
      </c>
      <c r="B1131" s="1232" t="s">
        <v>1619</v>
      </c>
      <c r="C1131" s="1319" t="s">
        <v>1875</v>
      </c>
      <c r="D1131" s="1319" t="s">
        <v>1780</v>
      </c>
      <c r="E1131" s="1232" t="s">
        <v>751</v>
      </c>
    </row>
    <row r="1132" spans="1:5" x14ac:dyDescent="0.25">
      <c r="A1132" s="1232">
        <v>1131</v>
      </c>
      <c r="B1132" s="1232" t="s">
        <v>1619</v>
      </c>
      <c r="C1132" s="1319" t="s">
        <v>1875</v>
      </c>
      <c r="D1132" s="1319" t="s">
        <v>1780</v>
      </c>
      <c r="E1132" s="1232" t="s">
        <v>1585</v>
      </c>
    </row>
    <row r="1133" spans="1:5" x14ac:dyDescent="0.25">
      <c r="A1133" s="1232">
        <v>1132</v>
      </c>
      <c r="B1133" s="1232" t="s">
        <v>1619</v>
      </c>
      <c r="C1133" s="1319" t="s">
        <v>1876</v>
      </c>
      <c r="D1133" s="1319" t="s">
        <v>1780</v>
      </c>
      <c r="E1133" s="1232" t="s">
        <v>1584</v>
      </c>
    </row>
    <row r="1134" spans="1:5" x14ac:dyDescent="0.25">
      <c r="A1134" s="1232">
        <v>1133</v>
      </c>
      <c r="B1134" s="1232" t="s">
        <v>1619</v>
      </c>
      <c r="C1134" s="1319" t="s">
        <v>1876</v>
      </c>
      <c r="D1134" s="1319" t="s">
        <v>1780</v>
      </c>
      <c r="E1134" s="1232" t="s">
        <v>751</v>
      </c>
    </row>
    <row r="1135" spans="1:5" x14ac:dyDescent="0.25">
      <c r="A1135" s="1232">
        <v>1134</v>
      </c>
      <c r="B1135" s="1232" t="s">
        <v>1619</v>
      </c>
      <c r="C1135" s="1319" t="s">
        <v>1876</v>
      </c>
      <c r="D1135" s="1319" t="s">
        <v>1780</v>
      </c>
      <c r="E1135" s="1232" t="s">
        <v>1585</v>
      </c>
    </row>
    <row r="1136" spans="1:5" x14ac:dyDescent="0.25">
      <c r="A1136" s="1232">
        <v>1135</v>
      </c>
      <c r="B1136" s="1232" t="s">
        <v>1619</v>
      </c>
      <c r="C1136" s="1319" t="s">
        <v>1877</v>
      </c>
      <c r="D1136" s="1319" t="s">
        <v>1780</v>
      </c>
      <c r="E1136" s="1232" t="s">
        <v>1584</v>
      </c>
    </row>
    <row r="1137" spans="1:5" x14ac:dyDescent="0.25">
      <c r="A1137" s="1232">
        <v>1136</v>
      </c>
      <c r="B1137" s="1232" t="s">
        <v>1619</v>
      </c>
      <c r="C1137" s="1319" t="s">
        <v>1877</v>
      </c>
      <c r="D1137" s="1319" t="s">
        <v>1780</v>
      </c>
      <c r="E1137" s="1232" t="s">
        <v>751</v>
      </c>
    </row>
    <row r="1138" spans="1:5" x14ac:dyDescent="0.25">
      <c r="A1138" s="1232">
        <v>1137</v>
      </c>
      <c r="B1138" s="1232" t="s">
        <v>1619</v>
      </c>
      <c r="C1138" s="1319" t="s">
        <v>1877</v>
      </c>
      <c r="D1138" s="1319" t="s">
        <v>1780</v>
      </c>
      <c r="E1138" s="1232" t="s">
        <v>1585</v>
      </c>
    </row>
    <row r="1139" spans="1:5" x14ac:dyDescent="0.25">
      <c r="A1139" s="1232">
        <v>1138</v>
      </c>
      <c r="B1139" s="1232" t="s">
        <v>1619</v>
      </c>
      <c r="C1139" s="1319" t="s">
        <v>1878</v>
      </c>
      <c r="D1139" s="1319" t="s">
        <v>1780</v>
      </c>
      <c r="E1139" s="1232" t="s">
        <v>1584</v>
      </c>
    </row>
    <row r="1140" spans="1:5" x14ac:dyDescent="0.25">
      <c r="A1140" s="1232">
        <v>1139</v>
      </c>
      <c r="B1140" s="1232" t="s">
        <v>1619</v>
      </c>
      <c r="C1140" s="1319" t="s">
        <v>1878</v>
      </c>
      <c r="D1140" s="1319" t="s">
        <v>1780</v>
      </c>
      <c r="E1140" s="1232" t="s">
        <v>751</v>
      </c>
    </row>
    <row r="1141" spans="1:5" x14ac:dyDescent="0.25">
      <c r="A1141" s="1232">
        <v>1140</v>
      </c>
      <c r="B1141" s="1232" t="s">
        <v>1619</v>
      </c>
      <c r="C1141" s="1319" t="s">
        <v>1878</v>
      </c>
      <c r="D1141" s="1319" t="s">
        <v>1780</v>
      </c>
      <c r="E1141" s="1232" t="s">
        <v>1585</v>
      </c>
    </row>
    <row r="1142" spans="1:5" x14ac:dyDescent="0.25">
      <c r="A1142" s="1232">
        <v>1141</v>
      </c>
      <c r="B1142" s="1232" t="s">
        <v>1619</v>
      </c>
      <c r="C1142" s="1319" t="s">
        <v>1879</v>
      </c>
      <c r="D1142" s="1319" t="s">
        <v>1780</v>
      </c>
      <c r="E1142" s="1232" t="s">
        <v>1584</v>
      </c>
    </row>
    <row r="1143" spans="1:5" x14ac:dyDescent="0.25">
      <c r="A1143" s="1232">
        <v>1142</v>
      </c>
      <c r="B1143" s="1232" t="s">
        <v>1619</v>
      </c>
      <c r="C1143" s="1319" t="s">
        <v>1879</v>
      </c>
      <c r="D1143" s="1319" t="s">
        <v>1780</v>
      </c>
      <c r="E1143" s="1232" t="s">
        <v>751</v>
      </c>
    </row>
    <row r="1144" spans="1:5" x14ac:dyDescent="0.25">
      <c r="A1144" s="1232">
        <v>1143</v>
      </c>
      <c r="B1144" s="1232" t="s">
        <v>1619</v>
      </c>
      <c r="C1144" s="1319" t="s">
        <v>1879</v>
      </c>
      <c r="D1144" s="1319" t="s">
        <v>1780</v>
      </c>
      <c r="E1144" s="1232" t="s">
        <v>1585</v>
      </c>
    </row>
    <row r="1145" spans="1:5" x14ac:dyDescent="0.25">
      <c r="A1145" s="1232">
        <v>1144</v>
      </c>
      <c r="B1145" s="1232" t="s">
        <v>1619</v>
      </c>
      <c r="C1145" s="1319" t="s">
        <v>1880</v>
      </c>
      <c r="D1145" s="1319" t="s">
        <v>1781</v>
      </c>
      <c r="E1145" s="1232" t="s">
        <v>1594</v>
      </c>
    </row>
    <row r="1146" spans="1:5" x14ac:dyDescent="0.25">
      <c r="A1146" s="1232">
        <v>1145</v>
      </c>
      <c r="B1146" s="1232" t="s">
        <v>1619</v>
      </c>
      <c r="C1146" s="1319" t="s">
        <v>1880</v>
      </c>
      <c r="D1146" s="1319" t="s">
        <v>1781</v>
      </c>
      <c r="E1146" s="1232" t="s">
        <v>1810</v>
      </c>
    </row>
    <row r="1147" spans="1:5" x14ac:dyDescent="0.25">
      <c r="A1147" s="1232">
        <v>1146</v>
      </c>
      <c r="B1147" s="1232" t="s">
        <v>1619</v>
      </c>
      <c r="C1147" s="1319" t="s">
        <v>1880</v>
      </c>
      <c r="D1147" s="1319" t="s">
        <v>1781</v>
      </c>
      <c r="E1147" s="1232" t="s">
        <v>1483</v>
      </c>
    </row>
    <row r="1148" spans="1:5" x14ac:dyDescent="0.25">
      <c r="A1148" s="1232">
        <v>1147</v>
      </c>
      <c r="B1148" s="1232" t="s">
        <v>1619</v>
      </c>
      <c r="C1148" s="1319" t="s">
        <v>1880</v>
      </c>
      <c r="D1148" s="1319" t="s">
        <v>1781</v>
      </c>
      <c r="E1148" s="1232" t="s">
        <v>1481</v>
      </c>
    </row>
    <row r="1149" spans="1:5" x14ac:dyDescent="0.25">
      <c r="A1149" s="1232">
        <v>1148</v>
      </c>
      <c r="B1149" s="1232" t="s">
        <v>1619</v>
      </c>
      <c r="C1149" s="1319" t="s">
        <v>1880</v>
      </c>
      <c r="D1149" s="1319" t="s">
        <v>1511</v>
      </c>
      <c r="E1149" s="1232" t="s">
        <v>1482</v>
      </c>
    </row>
    <row r="1150" spans="1:5" ht="30" x14ac:dyDescent="0.25">
      <c r="A1150" s="1232">
        <v>1149</v>
      </c>
      <c r="B1150" s="1232" t="s">
        <v>1619</v>
      </c>
      <c r="C1150" s="1319" t="s">
        <v>1880</v>
      </c>
      <c r="D1150" s="1319" t="s">
        <v>1647</v>
      </c>
      <c r="E1150" s="1232" t="s">
        <v>1485</v>
      </c>
    </row>
    <row r="1151" spans="1:5" ht="30" x14ac:dyDescent="0.25">
      <c r="A1151" s="1232">
        <v>1150</v>
      </c>
      <c r="B1151" s="1232" t="s">
        <v>1619</v>
      </c>
      <c r="C1151" s="1319" t="s">
        <v>1880</v>
      </c>
      <c r="D1151" s="1319" t="s">
        <v>1647</v>
      </c>
      <c r="E1151" s="1232" t="s">
        <v>1486</v>
      </c>
    </row>
    <row r="1152" spans="1:5" ht="30" x14ac:dyDescent="0.25">
      <c r="A1152" s="1232">
        <v>1151</v>
      </c>
      <c r="B1152" s="1232" t="s">
        <v>1619</v>
      </c>
      <c r="C1152" s="1319" t="s">
        <v>1880</v>
      </c>
      <c r="D1152" s="1319" t="s">
        <v>1647</v>
      </c>
      <c r="E1152" s="1232" t="s">
        <v>1598</v>
      </c>
    </row>
    <row r="1153" spans="1:5" x14ac:dyDescent="0.25">
      <c r="A1153" s="1232">
        <v>1152</v>
      </c>
      <c r="B1153" s="1232" t="s">
        <v>1619</v>
      </c>
      <c r="C1153" s="1319" t="s">
        <v>1880</v>
      </c>
      <c r="D1153" s="1319" t="s">
        <v>1511</v>
      </c>
      <c r="E1153" s="1232" t="s">
        <v>1595</v>
      </c>
    </row>
    <row r="1154" spans="1:5" x14ac:dyDescent="0.25">
      <c r="A1154" s="1232">
        <v>1153</v>
      </c>
      <c r="B1154" s="1232" t="s">
        <v>1619</v>
      </c>
      <c r="C1154" s="1319" t="s">
        <v>1880</v>
      </c>
      <c r="D1154" s="1319" t="s">
        <v>1781</v>
      </c>
      <c r="E1154" s="1232" t="s">
        <v>1496</v>
      </c>
    </row>
    <row r="1155" spans="1:5" x14ac:dyDescent="0.25">
      <c r="A1155" s="1232">
        <v>1154</v>
      </c>
      <c r="B1155" s="1232" t="s">
        <v>1619</v>
      </c>
      <c r="C1155" s="1319" t="s">
        <v>1881</v>
      </c>
      <c r="D1155" s="1319" t="s">
        <v>1781</v>
      </c>
      <c r="E1155" s="1232" t="s">
        <v>1584</v>
      </c>
    </row>
    <row r="1156" spans="1:5" x14ac:dyDescent="0.25">
      <c r="A1156" s="1232">
        <v>1155</v>
      </c>
      <c r="B1156" s="1232" t="s">
        <v>1619</v>
      </c>
      <c r="C1156" s="1319" t="s">
        <v>1881</v>
      </c>
      <c r="D1156" s="1319" t="s">
        <v>1781</v>
      </c>
      <c r="E1156" s="1232" t="s">
        <v>751</v>
      </c>
    </row>
    <row r="1157" spans="1:5" x14ac:dyDescent="0.25">
      <c r="A1157" s="1232">
        <v>1156</v>
      </c>
      <c r="B1157" s="1232" t="s">
        <v>1619</v>
      </c>
      <c r="C1157" s="1319" t="s">
        <v>1881</v>
      </c>
      <c r="D1157" s="1319" t="s">
        <v>1781</v>
      </c>
      <c r="E1157" s="1232" t="s">
        <v>1782</v>
      </c>
    </row>
    <row r="1158" spans="1:5" x14ac:dyDescent="0.25">
      <c r="A1158" s="1232">
        <v>1157</v>
      </c>
      <c r="B1158" s="1232" t="s">
        <v>1619</v>
      </c>
      <c r="C1158" s="1319" t="s">
        <v>1882</v>
      </c>
      <c r="D1158" s="1319" t="s">
        <v>1781</v>
      </c>
      <c r="E1158" s="1232" t="s">
        <v>1584</v>
      </c>
    </row>
    <row r="1159" spans="1:5" x14ac:dyDescent="0.25">
      <c r="A1159" s="1232">
        <v>1158</v>
      </c>
      <c r="B1159" s="1232" t="s">
        <v>1619</v>
      </c>
      <c r="C1159" s="1319" t="s">
        <v>1882</v>
      </c>
      <c r="D1159" s="1319" t="s">
        <v>1781</v>
      </c>
      <c r="E1159" s="1232" t="s">
        <v>751</v>
      </c>
    </row>
    <row r="1160" spans="1:5" x14ac:dyDescent="0.25">
      <c r="A1160" s="1232">
        <v>1159</v>
      </c>
      <c r="B1160" s="1232" t="s">
        <v>1619</v>
      </c>
      <c r="C1160" s="1319" t="s">
        <v>1882</v>
      </c>
      <c r="D1160" s="1319" t="s">
        <v>1781</v>
      </c>
      <c r="E1160" s="1232" t="s">
        <v>1782</v>
      </c>
    </row>
    <row r="1161" spans="1:5" x14ac:dyDescent="0.25">
      <c r="A1161" s="1232">
        <v>1160</v>
      </c>
      <c r="B1161" s="1232" t="s">
        <v>1619</v>
      </c>
      <c r="C1161" s="1319" t="s">
        <v>1883</v>
      </c>
      <c r="D1161" s="1319" t="s">
        <v>1781</v>
      </c>
      <c r="E1161" s="1232" t="s">
        <v>1584</v>
      </c>
    </row>
    <row r="1162" spans="1:5" x14ac:dyDescent="0.25">
      <c r="A1162" s="1232">
        <v>1161</v>
      </c>
      <c r="B1162" s="1232" t="s">
        <v>1619</v>
      </c>
      <c r="C1162" s="1319" t="s">
        <v>1883</v>
      </c>
      <c r="D1162" s="1319" t="s">
        <v>1781</v>
      </c>
      <c r="E1162" s="1232" t="s">
        <v>751</v>
      </c>
    </row>
    <row r="1163" spans="1:5" x14ac:dyDescent="0.25">
      <c r="A1163" s="1232">
        <v>1162</v>
      </c>
      <c r="B1163" s="1232" t="s">
        <v>1619</v>
      </c>
      <c r="C1163" s="1319" t="s">
        <v>1883</v>
      </c>
      <c r="D1163" s="1319" t="s">
        <v>1781</v>
      </c>
      <c r="E1163" s="1232" t="s">
        <v>1782</v>
      </c>
    </row>
    <row r="1164" spans="1:5" x14ac:dyDescent="0.25">
      <c r="A1164" s="1232">
        <v>1163</v>
      </c>
      <c r="B1164" s="1232" t="s">
        <v>1619</v>
      </c>
      <c r="C1164" s="1319" t="s">
        <v>1884</v>
      </c>
      <c r="D1164" s="1319" t="s">
        <v>1781</v>
      </c>
      <c r="E1164" s="1232" t="s">
        <v>1584</v>
      </c>
    </row>
    <row r="1165" spans="1:5" x14ac:dyDescent="0.25">
      <c r="A1165" s="1232">
        <v>1164</v>
      </c>
      <c r="B1165" s="1232" t="s">
        <v>1619</v>
      </c>
      <c r="C1165" s="1319" t="s">
        <v>1884</v>
      </c>
      <c r="D1165" s="1319" t="s">
        <v>1781</v>
      </c>
      <c r="E1165" s="1232" t="s">
        <v>751</v>
      </c>
    </row>
    <row r="1166" spans="1:5" x14ac:dyDescent="0.25">
      <c r="A1166" s="1232">
        <v>1165</v>
      </c>
      <c r="B1166" s="1232" t="s">
        <v>1619</v>
      </c>
      <c r="C1166" s="1319" t="s">
        <v>1884</v>
      </c>
      <c r="D1166" s="1319" t="s">
        <v>1781</v>
      </c>
      <c r="E1166" s="1232" t="s">
        <v>1782</v>
      </c>
    </row>
    <row r="1167" spans="1:5" x14ac:dyDescent="0.25">
      <c r="A1167" s="1232">
        <v>1166</v>
      </c>
      <c r="B1167" s="1232" t="s">
        <v>1619</v>
      </c>
      <c r="C1167" s="1319" t="s">
        <v>1885</v>
      </c>
      <c r="D1167" s="1319" t="s">
        <v>1781</v>
      </c>
      <c r="E1167" s="1232" t="s">
        <v>1584</v>
      </c>
    </row>
    <row r="1168" spans="1:5" x14ac:dyDescent="0.25">
      <c r="A1168" s="1232">
        <v>1167</v>
      </c>
      <c r="B1168" s="1232" t="s">
        <v>1619</v>
      </c>
      <c r="C1168" s="1319" t="s">
        <v>1885</v>
      </c>
      <c r="D1168" s="1319" t="s">
        <v>1781</v>
      </c>
      <c r="E1168" s="1232" t="s">
        <v>751</v>
      </c>
    </row>
    <row r="1169" spans="1:5" x14ac:dyDescent="0.25">
      <c r="A1169" s="1232">
        <v>1168</v>
      </c>
      <c r="B1169" s="1232" t="s">
        <v>1619</v>
      </c>
      <c r="C1169" s="1319" t="s">
        <v>1885</v>
      </c>
      <c r="D1169" s="1319" t="s">
        <v>1781</v>
      </c>
      <c r="E1169" s="1232" t="s">
        <v>1782</v>
      </c>
    </row>
    <row r="1170" spans="1:5" x14ac:dyDescent="0.25">
      <c r="A1170" s="1232">
        <v>1169</v>
      </c>
      <c r="B1170" s="1232" t="s">
        <v>1619</v>
      </c>
      <c r="C1170" s="1319" t="s">
        <v>1886</v>
      </c>
      <c r="D1170" s="1319" t="s">
        <v>1781</v>
      </c>
      <c r="E1170" s="1232" t="s">
        <v>1594</v>
      </c>
    </row>
    <row r="1171" spans="1:5" x14ac:dyDescent="0.25">
      <c r="A1171" s="1232">
        <v>1170</v>
      </c>
      <c r="B1171" s="1232" t="s">
        <v>1619</v>
      </c>
      <c r="C1171" s="1319" t="s">
        <v>1886</v>
      </c>
      <c r="D1171" s="1319" t="s">
        <v>1781</v>
      </c>
      <c r="E1171" s="1232" t="s">
        <v>1810</v>
      </c>
    </row>
    <row r="1172" spans="1:5" x14ac:dyDescent="0.25">
      <c r="A1172" s="1232">
        <v>1171</v>
      </c>
      <c r="B1172" s="1232" t="s">
        <v>1619</v>
      </c>
      <c r="C1172" s="1319" t="s">
        <v>1886</v>
      </c>
      <c r="D1172" s="1319" t="s">
        <v>1781</v>
      </c>
      <c r="E1172" s="1232" t="s">
        <v>1483</v>
      </c>
    </row>
    <row r="1173" spans="1:5" x14ac:dyDescent="0.25">
      <c r="A1173" s="1232">
        <v>1172</v>
      </c>
      <c r="B1173" s="1232" t="s">
        <v>1619</v>
      </c>
      <c r="C1173" s="1319" t="s">
        <v>1886</v>
      </c>
      <c r="D1173" s="1319" t="s">
        <v>1781</v>
      </c>
      <c r="E1173" s="1232" t="s">
        <v>1481</v>
      </c>
    </row>
    <row r="1174" spans="1:5" x14ac:dyDescent="0.25">
      <c r="A1174" s="1232">
        <v>1173</v>
      </c>
      <c r="B1174" s="1232" t="s">
        <v>1619</v>
      </c>
      <c r="C1174" s="1319" t="s">
        <v>1886</v>
      </c>
      <c r="D1174" s="1319" t="s">
        <v>1511</v>
      </c>
      <c r="E1174" s="1232" t="s">
        <v>1482</v>
      </c>
    </row>
    <row r="1175" spans="1:5" ht="30" x14ac:dyDescent="0.25">
      <c r="A1175" s="1232">
        <v>1174</v>
      </c>
      <c r="B1175" s="1232" t="s">
        <v>1619</v>
      </c>
      <c r="C1175" s="1319" t="s">
        <v>1886</v>
      </c>
      <c r="D1175" s="1319" t="s">
        <v>1647</v>
      </c>
      <c r="E1175" s="1232" t="s">
        <v>1485</v>
      </c>
    </row>
    <row r="1176" spans="1:5" ht="30" x14ac:dyDescent="0.25">
      <c r="A1176" s="1232">
        <v>1175</v>
      </c>
      <c r="B1176" s="1232" t="s">
        <v>1619</v>
      </c>
      <c r="C1176" s="1319" t="s">
        <v>1886</v>
      </c>
      <c r="D1176" s="1319" t="s">
        <v>1647</v>
      </c>
      <c r="E1176" s="1232" t="s">
        <v>1486</v>
      </c>
    </row>
    <row r="1177" spans="1:5" ht="30" x14ac:dyDescent="0.25">
      <c r="A1177" s="1232">
        <v>1176</v>
      </c>
      <c r="B1177" s="1232" t="s">
        <v>1619</v>
      </c>
      <c r="C1177" s="1319" t="s">
        <v>1886</v>
      </c>
      <c r="D1177" s="1319" t="s">
        <v>1647</v>
      </c>
      <c r="E1177" s="1232" t="s">
        <v>1598</v>
      </c>
    </row>
    <row r="1178" spans="1:5" x14ac:dyDescent="0.25">
      <c r="A1178" s="1232">
        <v>1177</v>
      </c>
      <c r="B1178" s="1232" t="s">
        <v>1619</v>
      </c>
      <c r="C1178" s="1319" t="s">
        <v>1886</v>
      </c>
      <c r="D1178" s="1319" t="s">
        <v>1511</v>
      </c>
      <c r="E1178" s="1232" t="s">
        <v>1595</v>
      </c>
    </row>
    <row r="1179" spans="1:5" x14ac:dyDescent="0.25">
      <c r="A1179" s="1232">
        <v>1178</v>
      </c>
      <c r="B1179" s="1232" t="s">
        <v>1619</v>
      </c>
      <c r="C1179" s="1319" t="s">
        <v>1886</v>
      </c>
      <c r="D1179" s="1319" t="s">
        <v>1781</v>
      </c>
      <c r="E1179" s="1232" t="s">
        <v>1496</v>
      </c>
    </row>
    <row r="1180" spans="1:5" x14ac:dyDescent="0.25">
      <c r="A1180" s="1232">
        <v>1179</v>
      </c>
      <c r="B1180" s="1232" t="s">
        <v>1619</v>
      </c>
      <c r="C1180" s="1319" t="s">
        <v>1887</v>
      </c>
      <c r="D1180" s="1319" t="s">
        <v>1781</v>
      </c>
      <c r="E1180" s="1232" t="s">
        <v>1584</v>
      </c>
    </row>
    <row r="1181" spans="1:5" x14ac:dyDescent="0.25">
      <c r="A1181" s="1232">
        <v>1180</v>
      </c>
      <c r="B1181" s="1232" t="s">
        <v>1619</v>
      </c>
      <c r="C1181" s="1319" t="s">
        <v>1887</v>
      </c>
      <c r="D1181" s="1319" t="s">
        <v>1781</v>
      </c>
      <c r="E1181" s="1232" t="s">
        <v>751</v>
      </c>
    </row>
    <row r="1182" spans="1:5" x14ac:dyDescent="0.25">
      <c r="A1182" s="1232">
        <v>1181</v>
      </c>
      <c r="B1182" s="1232" t="s">
        <v>1619</v>
      </c>
      <c r="C1182" s="1319" t="s">
        <v>1887</v>
      </c>
      <c r="D1182" s="1319" t="s">
        <v>1781</v>
      </c>
      <c r="E1182" s="1232" t="s">
        <v>1782</v>
      </c>
    </row>
    <row r="1183" spans="1:5" x14ac:dyDescent="0.25">
      <c r="A1183" s="1232">
        <v>1182</v>
      </c>
      <c r="B1183" s="1232" t="s">
        <v>1619</v>
      </c>
      <c r="C1183" s="1319" t="s">
        <v>1888</v>
      </c>
      <c r="D1183" s="1319" t="s">
        <v>1781</v>
      </c>
      <c r="E1183" s="1232" t="s">
        <v>1584</v>
      </c>
    </row>
    <row r="1184" spans="1:5" x14ac:dyDescent="0.25">
      <c r="A1184" s="1232">
        <v>1183</v>
      </c>
      <c r="B1184" s="1232" t="s">
        <v>1619</v>
      </c>
      <c r="C1184" s="1319" t="s">
        <v>1888</v>
      </c>
      <c r="D1184" s="1319" t="s">
        <v>1781</v>
      </c>
      <c r="E1184" s="1232" t="s">
        <v>751</v>
      </c>
    </row>
    <row r="1185" spans="1:5" x14ac:dyDescent="0.25">
      <c r="A1185" s="1232">
        <v>1184</v>
      </c>
      <c r="B1185" s="1232" t="s">
        <v>1619</v>
      </c>
      <c r="C1185" s="1319" t="s">
        <v>1888</v>
      </c>
      <c r="D1185" s="1319" t="s">
        <v>1781</v>
      </c>
      <c r="E1185" s="1232" t="s">
        <v>1782</v>
      </c>
    </row>
    <row r="1186" spans="1:5" x14ac:dyDescent="0.25">
      <c r="A1186" s="1232">
        <v>1185</v>
      </c>
      <c r="B1186" s="1232" t="s">
        <v>1619</v>
      </c>
      <c r="C1186" s="1319" t="s">
        <v>1889</v>
      </c>
      <c r="D1186" s="1319" t="s">
        <v>1781</v>
      </c>
      <c r="E1186" s="1232" t="s">
        <v>1584</v>
      </c>
    </row>
    <row r="1187" spans="1:5" x14ac:dyDescent="0.25">
      <c r="A1187" s="1232">
        <v>1186</v>
      </c>
      <c r="B1187" s="1232" t="s">
        <v>1619</v>
      </c>
      <c r="C1187" s="1319" t="s">
        <v>1889</v>
      </c>
      <c r="D1187" s="1319" t="s">
        <v>1781</v>
      </c>
      <c r="E1187" s="1232" t="s">
        <v>751</v>
      </c>
    </row>
    <row r="1188" spans="1:5" x14ac:dyDescent="0.25">
      <c r="A1188" s="1232">
        <v>1187</v>
      </c>
      <c r="B1188" s="1232" t="s">
        <v>1619</v>
      </c>
      <c r="C1188" s="1319" t="s">
        <v>1889</v>
      </c>
      <c r="D1188" s="1319" t="s">
        <v>1781</v>
      </c>
      <c r="E1188" s="1232" t="s">
        <v>1782</v>
      </c>
    </row>
    <row r="1189" spans="1:5" x14ac:dyDescent="0.25">
      <c r="A1189" s="1232">
        <v>1188</v>
      </c>
      <c r="B1189" s="1232" t="s">
        <v>1619</v>
      </c>
      <c r="C1189" s="1319" t="s">
        <v>1890</v>
      </c>
      <c r="D1189" s="1319" t="s">
        <v>1781</v>
      </c>
      <c r="E1189" s="1232" t="s">
        <v>1584</v>
      </c>
    </row>
    <row r="1190" spans="1:5" x14ac:dyDescent="0.25">
      <c r="A1190" s="1232">
        <v>1189</v>
      </c>
      <c r="B1190" s="1232" t="s">
        <v>1619</v>
      </c>
      <c r="C1190" s="1319" t="s">
        <v>1890</v>
      </c>
      <c r="D1190" s="1319" t="s">
        <v>1781</v>
      </c>
      <c r="E1190" s="1232" t="s">
        <v>751</v>
      </c>
    </row>
    <row r="1191" spans="1:5" x14ac:dyDescent="0.25">
      <c r="A1191" s="1232">
        <v>1190</v>
      </c>
      <c r="B1191" s="1232" t="s">
        <v>1619</v>
      </c>
      <c r="C1191" s="1319" t="s">
        <v>1890</v>
      </c>
      <c r="D1191" s="1319" t="s">
        <v>1781</v>
      </c>
      <c r="E1191" s="1232" t="s">
        <v>1782</v>
      </c>
    </row>
    <row r="1192" spans="1:5" x14ac:dyDescent="0.25">
      <c r="A1192" s="1232">
        <v>1191</v>
      </c>
      <c r="B1192" s="1232" t="s">
        <v>1619</v>
      </c>
      <c r="C1192" s="1319" t="s">
        <v>1891</v>
      </c>
      <c r="D1192" s="1319" t="s">
        <v>1781</v>
      </c>
      <c r="E1192" s="1232" t="s">
        <v>1584</v>
      </c>
    </row>
    <row r="1193" spans="1:5" x14ac:dyDescent="0.25">
      <c r="A1193" s="1232">
        <v>1192</v>
      </c>
      <c r="B1193" s="1232" t="s">
        <v>1619</v>
      </c>
      <c r="C1193" s="1319" t="s">
        <v>1891</v>
      </c>
      <c r="D1193" s="1319" t="s">
        <v>1781</v>
      </c>
      <c r="E1193" s="1232" t="s">
        <v>751</v>
      </c>
    </row>
    <row r="1194" spans="1:5" x14ac:dyDescent="0.25">
      <c r="A1194" s="1232">
        <v>1193</v>
      </c>
      <c r="B1194" s="1232" t="s">
        <v>1619</v>
      </c>
      <c r="C1194" s="1319" t="s">
        <v>1891</v>
      </c>
      <c r="D1194" s="1319" t="s">
        <v>1781</v>
      </c>
      <c r="E1194" s="1232" t="s">
        <v>1782</v>
      </c>
    </row>
    <row r="1195" spans="1:5" ht="30" x14ac:dyDescent="0.25">
      <c r="A1195" s="1232">
        <v>1194</v>
      </c>
      <c r="B1195" s="1232" t="s">
        <v>1619</v>
      </c>
      <c r="C1195" s="1319" t="s">
        <v>1892</v>
      </c>
      <c r="D1195" s="1319" t="s">
        <v>1783</v>
      </c>
      <c r="E1195" s="1232" t="s">
        <v>1594</v>
      </c>
    </row>
    <row r="1196" spans="1:5" ht="30" x14ac:dyDescent="0.25">
      <c r="A1196" s="1232">
        <v>1195</v>
      </c>
      <c r="B1196" s="1232" t="s">
        <v>1619</v>
      </c>
      <c r="C1196" s="1319" t="s">
        <v>1892</v>
      </c>
      <c r="D1196" s="1319" t="s">
        <v>1783</v>
      </c>
      <c r="E1196" s="1232" t="s">
        <v>1810</v>
      </c>
    </row>
    <row r="1197" spans="1:5" ht="30" x14ac:dyDescent="0.25">
      <c r="A1197" s="1232">
        <v>1196</v>
      </c>
      <c r="B1197" s="1232" t="s">
        <v>1619</v>
      </c>
      <c r="C1197" s="1319" t="s">
        <v>1892</v>
      </c>
      <c r="D1197" s="1319" t="s">
        <v>1783</v>
      </c>
      <c r="E1197" s="1232" t="s">
        <v>1483</v>
      </c>
    </row>
    <row r="1198" spans="1:5" ht="30" x14ac:dyDescent="0.25">
      <c r="A1198" s="1232">
        <v>1197</v>
      </c>
      <c r="B1198" s="1232" t="s">
        <v>1619</v>
      </c>
      <c r="C1198" s="1319" t="s">
        <v>1892</v>
      </c>
      <c r="D1198" s="1319" t="s">
        <v>1783</v>
      </c>
      <c r="E1198" s="1232" t="s">
        <v>1481</v>
      </c>
    </row>
    <row r="1199" spans="1:5" ht="30" x14ac:dyDescent="0.25">
      <c r="A1199" s="1232">
        <v>1198</v>
      </c>
      <c r="B1199" s="1232" t="s">
        <v>1619</v>
      </c>
      <c r="C1199" s="1319" t="s">
        <v>1892</v>
      </c>
      <c r="D1199" s="1319" t="s">
        <v>1647</v>
      </c>
      <c r="E1199" s="1232" t="s">
        <v>1485</v>
      </c>
    </row>
    <row r="1200" spans="1:5" ht="30" x14ac:dyDescent="0.25">
      <c r="A1200" s="1232">
        <v>1199</v>
      </c>
      <c r="B1200" s="1232" t="s">
        <v>1619</v>
      </c>
      <c r="C1200" s="1319" t="s">
        <v>1892</v>
      </c>
      <c r="D1200" s="1319" t="s">
        <v>1647</v>
      </c>
      <c r="E1200" s="1232" t="s">
        <v>1486</v>
      </c>
    </row>
    <row r="1201" spans="1:5" ht="30" x14ac:dyDescent="0.25">
      <c r="A1201" s="1232">
        <v>1200</v>
      </c>
      <c r="B1201" s="1232" t="s">
        <v>1619</v>
      </c>
      <c r="C1201" s="1319" t="s">
        <v>1892</v>
      </c>
      <c r="D1201" s="1319" t="s">
        <v>1647</v>
      </c>
      <c r="E1201" s="1232" t="s">
        <v>1598</v>
      </c>
    </row>
    <row r="1202" spans="1:5" ht="30" x14ac:dyDescent="0.25">
      <c r="A1202" s="1232">
        <v>1201</v>
      </c>
      <c r="B1202" s="1232" t="s">
        <v>1619</v>
      </c>
      <c r="C1202" s="1319" t="s">
        <v>1892</v>
      </c>
      <c r="D1202" s="1319" t="s">
        <v>1783</v>
      </c>
      <c r="E1202" s="1232" t="s">
        <v>1489</v>
      </c>
    </row>
  </sheetData>
  <sheetProtection algorithmName="SHA-512" hashValue="D5sMsC6f34sYlC8qxz56s2w2FkNBnbQYl9MofqbY37z9oSAJqQg82mG1L36z/GZxJ42HV2bU+ryz+oUiM4pSzA==" saltValue="1ERVhUd5zjmQcstnGe0FFQ==" spinCount="100000" sheet="1" objects="1" scenarios="1"/>
  <conditionalFormatting sqref="E248:E250">
    <cfRule type="expression" dxfId="292" priority="27">
      <formula>$G248="EXCLUDE"</formula>
    </cfRule>
  </conditionalFormatting>
  <conditionalFormatting sqref="E261:E262">
    <cfRule type="expression" dxfId="291" priority="26">
      <formula>$G261="EXCLUDE"</formula>
    </cfRule>
  </conditionalFormatting>
  <conditionalFormatting sqref="E285:E286">
    <cfRule type="expression" dxfId="290" priority="25">
      <formula>$G285="EXCLUDE"</formula>
    </cfRule>
  </conditionalFormatting>
  <conditionalFormatting sqref="E297:E298">
    <cfRule type="expression" dxfId="289" priority="24">
      <formula>$G297="EXCLUDE"</formula>
    </cfRule>
  </conditionalFormatting>
  <conditionalFormatting sqref="E309:E310">
    <cfRule type="expression" dxfId="288" priority="23">
      <formula>$G309="EXCLUDE"</formula>
    </cfRule>
  </conditionalFormatting>
  <conditionalFormatting sqref="E321:E322">
    <cfRule type="expression" dxfId="287" priority="22">
      <formula>$G321="EXCLUDE"</formula>
    </cfRule>
  </conditionalFormatting>
  <conditionalFormatting sqref="E333:E334">
    <cfRule type="expression" dxfId="286" priority="21">
      <formula>$G333="EXCLUDE"</formula>
    </cfRule>
  </conditionalFormatting>
  <conditionalFormatting sqref="E345:E346">
    <cfRule type="expression" dxfId="285" priority="20">
      <formula>$G345="EXCLUDE"</formula>
    </cfRule>
  </conditionalFormatting>
  <conditionalFormatting sqref="E357:E358">
    <cfRule type="expression" dxfId="284" priority="19">
      <formula>$G357="EXCLUDE"</formula>
    </cfRule>
  </conditionalFormatting>
  <conditionalFormatting sqref="E369:E370">
    <cfRule type="expression" dxfId="283" priority="18">
      <formula>$G369="EXCLUDE"</formula>
    </cfRule>
  </conditionalFormatting>
  <conditionalFormatting sqref="E381:E382">
    <cfRule type="expression" dxfId="282" priority="17">
      <formula>$G381="EXCLUDE"</formula>
    </cfRule>
  </conditionalFormatting>
  <conditionalFormatting sqref="E7:E8">
    <cfRule type="expression" dxfId="281" priority="28">
      <formula>#REF!="EXCLUDE"</formula>
    </cfRule>
  </conditionalFormatting>
  <conditionalFormatting sqref="E503:E505">
    <cfRule type="expression" dxfId="280" priority="29">
      <formula>#REF!="EXCLUDE"</formula>
    </cfRule>
  </conditionalFormatting>
  <conditionalFormatting sqref="E502">
    <cfRule type="expression" dxfId="279" priority="30">
      <formula>#REF!="EXCLUDE"</formula>
    </cfRule>
  </conditionalFormatting>
  <conditionalFormatting sqref="E506:E508">
    <cfRule type="expression" dxfId="278" priority="31">
      <formula>#REF!="EXCLUDE"</formula>
    </cfRule>
  </conditionalFormatting>
  <conditionalFormatting sqref="E393:E394">
    <cfRule type="expression" dxfId="277" priority="16">
      <formula>$G393="EXCLUDE"</formula>
    </cfRule>
  </conditionalFormatting>
  <conditionalFormatting sqref="E405:E406">
    <cfRule type="expression" dxfId="276" priority="15">
      <formula>$G405="EXCLUDE"</formula>
    </cfRule>
  </conditionalFormatting>
  <conditionalFormatting sqref="E417:E418">
    <cfRule type="expression" dxfId="275" priority="14">
      <formula>$G417="EXCLUDE"</formula>
    </cfRule>
  </conditionalFormatting>
  <conditionalFormatting sqref="E429:E430">
    <cfRule type="expression" dxfId="274" priority="13">
      <formula>$G429="EXCLUDE"</formula>
    </cfRule>
  </conditionalFormatting>
  <conditionalFormatting sqref="E441:E442">
    <cfRule type="expression" dxfId="273" priority="12">
      <formula>$G441="EXCLUDE"</formula>
    </cfRule>
  </conditionalFormatting>
  <conditionalFormatting sqref="E453:E454">
    <cfRule type="expression" dxfId="272" priority="11">
      <formula>$G453="EXCLUDE"</formula>
    </cfRule>
  </conditionalFormatting>
  <conditionalFormatting sqref="E465:E466">
    <cfRule type="expression" dxfId="271" priority="10">
      <formula>$G465="EXCLUDE"</formula>
    </cfRule>
  </conditionalFormatting>
  <conditionalFormatting sqref="E477:E478">
    <cfRule type="expression" dxfId="270" priority="9">
      <formula>$G477="EXCLUDE"</formula>
    </cfRule>
  </conditionalFormatting>
  <conditionalFormatting sqref="E489:E490">
    <cfRule type="expression" dxfId="269" priority="8">
      <formula>$G489="EXCLUDE"</formula>
    </cfRule>
  </conditionalFormatting>
  <conditionalFormatting sqref="E273:E274">
    <cfRule type="expression" dxfId="26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60" t="s">
        <v>1440</v>
      </c>
      <c r="B1" s="1760"/>
      <c r="C1" s="1760"/>
      <c r="D1" s="1760"/>
      <c r="E1" s="1760"/>
      <c r="F1" s="1760" t="s">
        <v>1441</v>
      </c>
      <c r="G1" s="1760"/>
      <c r="H1" s="1760"/>
      <c r="I1" s="1760" t="s">
        <v>1442</v>
      </c>
      <c r="J1" s="1760"/>
      <c r="K1" s="1760"/>
      <c r="L1" s="1760" t="s">
        <v>1443</v>
      </c>
      <c r="M1" s="1760"/>
      <c r="N1" s="1760"/>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1736</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1736</v>
      </c>
      <c r="B62" s="1034" t="str">
        <f t="shared" ca="1" si="6"/>
        <v/>
      </c>
      <c r="C62" s="1034" t="str">
        <f t="shared" ca="1" si="5"/>
        <v/>
      </c>
      <c r="D62" s="1034" t="s">
        <v>1456</v>
      </c>
      <c r="E62" s="1034" t="s">
        <v>917</v>
      </c>
      <c r="F62" s="1034"/>
      <c r="G62" s="1034"/>
      <c r="H62" s="1034"/>
      <c r="I62" s="1034"/>
      <c r="J62" s="1034"/>
      <c r="K62" s="1034"/>
      <c r="L62" s="1093" t="s">
        <v>1736</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1736</v>
      </c>
      <c r="B72" s="1034" t="str">
        <f t="shared" ca="1" si="7"/>
        <v/>
      </c>
      <c r="C72" s="1034" t="str">
        <f t="shared" ca="1" si="5"/>
        <v/>
      </c>
      <c r="D72" s="1034" t="s">
        <v>1456</v>
      </c>
      <c r="E72" s="1034" t="s">
        <v>917</v>
      </c>
      <c r="F72" s="1034"/>
      <c r="G72" s="1034"/>
      <c r="H72" s="1034"/>
      <c r="I72" s="1034"/>
      <c r="J72" s="1034"/>
      <c r="K72" s="1034"/>
      <c r="L72" s="1093" t="s">
        <v>1736</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1736</v>
      </c>
      <c r="B82" s="1034" t="str">
        <f t="shared" ca="1" si="8"/>
        <v/>
      </c>
      <c r="C82" s="1034" t="str">
        <f t="shared" ca="1" si="5"/>
        <v/>
      </c>
      <c r="D82" s="1034" t="s">
        <v>1456</v>
      </c>
      <c r="E82" s="1034" t="s">
        <v>917</v>
      </c>
      <c r="F82" s="1034"/>
      <c r="G82" s="1034"/>
      <c r="H82" s="1034"/>
      <c r="I82" s="1034"/>
      <c r="J82" s="1034"/>
      <c r="K82" s="1034"/>
      <c r="L82" s="1093" t="s">
        <v>1736</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1736</v>
      </c>
      <c r="B92" s="1034" t="str">
        <f t="shared" ca="1" si="9"/>
        <v/>
      </c>
      <c r="C92" s="1034" t="str">
        <f t="shared" ca="1" si="5"/>
        <v/>
      </c>
      <c r="D92" s="1034" t="s">
        <v>1456</v>
      </c>
      <c r="E92" s="1034" t="s">
        <v>917</v>
      </c>
      <c r="F92" s="1034"/>
      <c r="G92" s="1034"/>
      <c r="H92" s="1034"/>
      <c r="I92" s="1034"/>
      <c r="J92" s="1034"/>
      <c r="K92" s="1034"/>
      <c r="L92" s="1093" t="s">
        <v>1736</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1736</v>
      </c>
      <c r="B102" s="1034" t="str">
        <f t="shared" ca="1" si="10"/>
        <v/>
      </c>
      <c r="C102" s="1034" t="str">
        <f t="shared" ca="1" si="5"/>
        <v/>
      </c>
      <c r="D102" s="1034" t="s">
        <v>1456</v>
      </c>
      <c r="E102" s="1116" t="s">
        <v>917</v>
      </c>
      <c r="F102" s="1364"/>
      <c r="G102" s="1364"/>
      <c r="H102" s="1364"/>
      <c r="I102" s="1364"/>
      <c r="J102" s="1364"/>
      <c r="K102" s="1364"/>
      <c r="L102" s="1093" t="s">
        <v>1736</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1736</v>
      </c>
      <c r="B112" s="1034" t="str">
        <f t="shared" ca="1" si="11"/>
        <v/>
      </c>
      <c r="C112" s="1034" t="str">
        <f t="shared" ca="1" si="5"/>
        <v/>
      </c>
      <c r="D112" s="1034" t="s">
        <v>1456</v>
      </c>
      <c r="E112" s="1116" t="s">
        <v>917</v>
      </c>
      <c r="F112" s="1364"/>
      <c r="G112" s="1364"/>
      <c r="H112" s="1364"/>
      <c r="I112" s="1364"/>
      <c r="J112" s="1364"/>
      <c r="K112" s="1364"/>
      <c r="L112" s="1093" t="s">
        <v>1736</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1736</v>
      </c>
      <c r="B122" s="1034" t="str">
        <f t="shared" ca="1" si="12"/>
        <v/>
      </c>
      <c r="C122" s="1034" t="str">
        <f t="shared" ca="1" si="13"/>
        <v/>
      </c>
      <c r="D122" s="1034" t="s">
        <v>1456</v>
      </c>
      <c r="E122" s="1116" t="s">
        <v>917</v>
      </c>
      <c r="F122" s="1364"/>
      <c r="G122" s="1364"/>
      <c r="H122" s="1364"/>
      <c r="I122" s="1364"/>
      <c r="J122" s="1364"/>
      <c r="K122" s="1364"/>
      <c r="L122" s="1093" t="s">
        <v>1736</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1736</v>
      </c>
      <c r="B132" s="1034" t="str">
        <f t="shared" ca="1" si="14"/>
        <v/>
      </c>
      <c r="C132" s="1034" t="str">
        <f t="shared" ca="1" si="13"/>
        <v/>
      </c>
      <c r="D132" s="1034" t="s">
        <v>1456</v>
      </c>
      <c r="E132" s="1116" t="s">
        <v>917</v>
      </c>
      <c r="F132" s="1364"/>
      <c r="G132" s="1364"/>
      <c r="H132" s="1364"/>
      <c r="I132" s="1364"/>
      <c r="J132" s="1364"/>
      <c r="K132" s="1364"/>
      <c r="L132" s="1093" t="s">
        <v>1736</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1736</v>
      </c>
      <c r="B142" s="1034" t="str">
        <f t="shared" ca="1" si="16"/>
        <v/>
      </c>
      <c r="C142" s="1034" t="str">
        <f t="shared" ca="1" si="17"/>
        <v/>
      </c>
      <c r="D142" s="1034" t="s">
        <v>1456</v>
      </c>
      <c r="E142" s="1116" t="s">
        <v>917</v>
      </c>
      <c r="F142" s="1364"/>
      <c r="G142" s="1364"/>
      <c r="H142" s="1364"/>
      <c r="I142" s="1364"/>
      <c r="J142" s="1364"/>
      <c r="K142" s="1364"/>
      <c r="L142" s="1093" t="s">
        <v>1736</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1830</v>
      </c>
      <c r="M156" s="1364">
        <v>24</v>
      </c>
      <c r="N156" s="1364"/>
      <c r="O156" s="1363"/>
    </row>
    <row r="157" spans="1:15" x14ac:dyDescent="0.25">
      <c r="A157" s="1117"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1828</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1810</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1737</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1810</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1738</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1810</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1739</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1810</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1740</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1810</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1741</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1810</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1742</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1810</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1743</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1810</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1744</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1810</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1745</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1810</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1746</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1810</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1747</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1810</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1748</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1810</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1749</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1810</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1750</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1810</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1751</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1810</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1752</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1810</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1753</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1810</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1811</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1810</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1812</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1810</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1813</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1810</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1814</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1810</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1754</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1810</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1755</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1810</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1756</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1810</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1757</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1810</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1758</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1810</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1759</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1810</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1760</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1810</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1761</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1810</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1762</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1810</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1763</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1810</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1764</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1810</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1765</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1726</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1726</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1726</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1726</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1726</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1726</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1726</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1726</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1726</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1726</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1810</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1766</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1726</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1726</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1726</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1726</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1726</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1726</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1726</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1726</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1726</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1726</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1810</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1767</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67" priority="26">
      <formula>#REF!="EXCLUDE"</formula>
    </cfRule>
  </conditionalFormatting>
  <conditionalFormatting sqref="A160">
    <cfRule type="expression" dxfId="266" priority="27">
      <formula>#REF!="EXCLUDE"</formula>
    </cfRule>
  </conditionalFormatting>
  <conditionalFormatting sqref="A164:A166">
    <cfRule type="expression" dxfId="265" priority="28">
      <formula>#REF!="EXCLUDE"</formula>
    </cfRule>
  </conditionalFormatting>
  <conditionalFormatting sqref="A279:A281">
    <cfRule type="expression" dxfId="264" priority="25">
      <formula>$G279="EXCLUDE"</formula>
    </cfRule>
  </conditionalFormatting>
  <conditionalFormatting sqref="A291:A293">
    <cfRule type="expression" dxfId="263" priority="24">
      <formula>$G291="EXCLUDE"</formula>
    </cfRule>
  </conditionalFormatting>
  <conditionalFormatting sqref="A303:A305">
    <cfRule type="expression" dxfId="262" priority="23">
      <formula>$G303="EXCLUDE"</formula>
    </cfRule>
  </conditionalFormatting>
  <conditionalFormatting sqref="A315:A317">
    <cfRule type="expression" dxfId="261" priority="22">
      <formula>$G315="EXCLUDE"</formula>
    </cfRule>
  </conditionalFormatting>
  <conditionalFormatting sqref="A327:A329">
    <cfRule type="expression" dxfId="260" priority="21">
      <formula>$G327="EXCLUDE"</formula>
    </cfRule>
  </conditionalFormatting>
  <conditionalFormatting sqref="A339:A341">
    <cfRule type="expression" dxfId="259" priority="20">
      <formula>$G339="EXCLUDE"</formula>
    </cfRule>
  </conditionalFormatting>
  <conditionalFormatting sqref="A351:A353">
    <cfRule type="expression" dxfId="258" priority="19">
      <formula>$G351="EXCLUDE"</formula>
    </cfRule>
  </conditionalFormatting>
  <conditionalFormatting sqref="A363:A365">
    <cfRule type="expression" dxfId="257" priority="18">
      <formula>$G363="EXCLUDE"</formula>
    </cfRule>
  </conditionalFormatting>
  <conditionalFormatting sqref="A375:A377">
    <cfRule type="expression" dxfId="256" priority="17">
      <formula>$G375="EXCLUDE"</formula>
    </cfRule>
  </conditionalFormatting>
  <conditionalFormatting sqref="A387:A389">
    <cfRule type="expression" dxfId="255" priority="16">
      <formula>$G387="EXCLUDE"</formula>
    </cfRule>
  </conditionalFormatting>
  <conditionalFormatting sqref="A399:A401">
    <cfRule type="expression" dxfId="254" priority="15">
      <formula>$G399="EXCLUDE"</formula>
    </cfRule>
  </conditionalFormatting>
  <conditionalFormatting sqref="A411:A413">
    <cfRule type="expression" dxfId="253" priority="14">
      <formula>$G411="EXCLUDE"</formula>
    </cfRule>
  </conditionalFormatting>
  <conditionalFormatting sqref="A423:A425">
    <cfRule type="expression" dxfId="252" priority="13">
      <formula>$G423="EXCLUDE"</formula>
    </cfRule>
  </conditionalFormatting>
  <conditionalFormatting sqref="A435:A437">
    <cfRule type="expression" dxfId="251" priority="12">
      <formula>$G435="EXCLUDE"</formula>
    </cfRule>
  </conditionalFormatting>
  <conditionalFormatting sqref="A447:A449">
    <cfRule type="expression" dxfId="250" priority="11">
      <formula>$G447="EXCLUDE"</formula>
    </cfRule>
  </conditionalFormatting>
  <conditionalFormatting sqref="A459:A461">
    <cfRule type="expression" dxfId="249" priority="10">
      <formula>$G459="EXCLUDE"</formula>
    </cfRule>
  </conditionalFormatting>
  <conditionalFormatting sqref="A471:A473">
    <cfRule type="expression" dxfId="248" priority="9">
      <formula>$G471="EXCLUDE"</formula>
    </cfRule>
  </conditionalFormatting>
  <conditionalFormatting sqref="A483:A485">
    <cfRule type="expression" dxfId="247" priority="8">
      <formula>$G483="EXCLUDE"</formula>
    </cfRule>
  </conditionalFormatting>
  <conditionalFormatting sqref="A495:A497">
    <cfRule type="expression" dxfId="246" priority="7">
      <formula>$G495="EXCLUDE"</formula>
    </cfRule>
  </conditionalFormatting>
  <conditionalFormatting sqref="A507:A509">
    <cfRule type="expression" dxfId="245" priority="6">
      <formula>$G507="EXCLUDE"</formula>
    </cfRule>
  </conditionalFormatting>
  <conditionalFormatting sqref="A519:A521">
    <cfRule type="expression" dxfId="244" priority="5">
      <formula>$G519="EXCLUDE"</formula>
    </cfRule>
  </conditionalFormatting>
  <conditionalFormatting sqref="L161:L163">
    <cfRule type="expression" dxfId="243" priority="2">
      <formula>#REF!="EXCLUDE"</formula>
    </cfRule>
  </conditionalFormatting>
  <conditionalFormatting sqref="L160">
    <cfRule type="expression" dxfId="242" priority="3">
      <formula>#REF!="EXCLUDE"</formula>
    </cfRule>
  </conditionalFormatting>
  <conditionalFormatting sqref="L164:L166">
    <cfRule type="expression" dxfId="24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61" t="s">
        <v>1833</v>
      </c>
      <c r="B1" s="1762"/>
      <c r="C1" s="1762"/>
      <c r="D1" s="1763"/>
      <c r="F1" s="1764" t="s">
        <v>1834</v>
      </c>
      <c r="G1" s="1765"/>
      <c r="H1" s="1765"/>
      <c r="I1" s="1766"/>
    </row>
    <row r="2" spans="1:9" x14ac:dyDescent="0.25">
      <c r="A2" s="1356" t="s">
        <v>1833</v>
      </c>
      <c r="B2" s="1357" t="s">
        <v>1839</v>
      </c>
      <c r="C2" s="1357" t="s">
        <v>1835</v>
      </c>
      <c r="D2" s="1358" t="s">
        <v>1836</v>
      </c>
      <c r="F2" s="1356" t="s">
        <v>1483</v>
      </c>
      <c r="G2" s="1359" t="s">
        <v>1837</v>
      </c>
      <c r="H2" s="1357" t="s">
        <v>1835</v>
      </c>
      <c r="I2" s="1358" t="s">
        <v>1836</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1838</v>
      </c>
      <c r="G27" s="1351">
        <v>4901</v>
      </c>
      <c r="H27" s="1351">
        <v>351</v>
      </c>
      <c r="I27" s="1354">
        <v>364</v>
      </c>
    </row>
    <row r="28" spans="1:9" x14ac:dyDescent="0.25">
      <c r="F28" s="1353" t="s">
        <v>1713</v>
      </c>
      <c r="G28" s="1351">
        <v>5001</v>
      </c>
      <c r="H28" s="1351">
        <v>365</v>
      </c>
      <c r="I28" s="1354">
        <v>378</v>
      </c>
    </row>
    <row r="29" spans="1:9" x14ac:dyDescent="0.25">
      <c r="F29" s="1353" t="s">
        <v>1210</v>
      </c>
      <c r="G29" s="1351">
        <v>801</v>
      </c>
      <c r="H29" s="1351">
        <v>379</v>
      </c>
      <c r="I29" s="1354">
        <v>392</v>
      </c>
    </row>
    <row r="30" spans="1:9" x14ac:dyDescent="0.25">
      <c r="F30" s="1353" t="s">
        <v>1717</v>
      </c>
      <c r="G30" s="1351">
        <v>901</v>
      </c>
      <c r="H30" s="1351">
        <v>393</v>
      </c>
      <c r="I30" s="1354">
        <v>406</v>
      </c>
    </row>
    <row r="31" spans="1:9" x14ac:dyDescent="0.25">
      <c r="F31" s="1353" t="s">
        <v>1719</v>
      </c>
      <c r="G31" s="1351">
        <v>501</v>
      </c>
      <c r="H31" s="1351">
        <v>407</v>
      </c>
      <c r="I31" s="1354">
        <v>420</v>
      </c>
    </row>
    <row r="32" spans="1:9" x14ac:dyDescent="0.25">
      <c r="F32" s="1353" t="s">
        <v>1719</v>
      </c>
      <c r="G32" s="1351">
        <v>502</v>
      </c>
      <c r="H32" s="1351">
        <v>421</v>
      </c>
      <c r="I32" s="1354">
        <v>434</v>
      </c>
    </row>
    <row r="33" spans="6:9" x14ac:dyDescent="0.25">
      <c r="F33" s="1353" t="s">
        <v>1722</v>
      </c>
      <c r="G33" s="1351">
        <v>5601</v>
      </c>
      <c r="H33" s="1351">
        <v>435</v>
      </c>
      <c r="I33" s="1354">
        <v>448</v>
      </c>
    </row>
    <row r="34" spans="6:9" x14ac:dyDescent="0.25">
      <c r="F34" s="1353" t="s">
        <v>1722</v>
      </c>
      <c r="G34" s="1351">
        <v>5602</v>
      </c>
      <c r="H34" s="1351">
        <v>449</v>
      </c>
      <c r="I34" s="1354">
        <v>462</v>
      </c>
    </row>
    <row r="35" spans="6:9" x14ac:dyDescent="0.25">
      <c r="F35" s="1353" t="s">
        <v>1725</v>
      </c>
      <c r="G35" s="1351">
        <v>601</v>
      </c>
      <c r="H35" s="1351">
        <v>463</v>
      </c>
      <c r="I35" s="1354">
        <v>476</v>
      </c>
    </row>
    <row r="36" spans="6:9" x14ac:dyDescent="0.25">
      <c r="F36" s="1353" t="s">
        <v>1725</v>
      </c>
      <c r="G36" s="1351">
        <v>602</v>
      </c>
      <c r="H36" s="1351">
        <v>477</v>
      </c>
      <c r="I36" s="1354">
        <v>490</v>
      </c>
    </row>
    <row r="37" spans="6:9" ht="15.75" thickBot="1" x14ac:dyDescent="0.3">
      <c r="F37" s="32" t="s">
        <v>1734</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375" t="s">
        <v>13</v>
      </c>
      <c r="C2" s="30" t="s">
        <v>381</v>
      </c>
      <c r="D2" s="30" t="s">
        <v>12</v>
      </c>
      <c r="E2" s="1372">
        <v>2140</v>
      </c>
      <c r="F2" s="1372" t="s">
        <v>137</v>
      </c>
      <c r="G2" s="1375"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1840</v>
      </c>
      <c r="C24" s="1369" t="s">
        <v>1201</v>
      </c>
      <c r="D24" s="1369" t="s">
        <v>1202</v>
      </c>
      <c r="E24" s="1368">
        <v>4175</v>
      </c>
      <c r="F24" s="1368" t="s">
        <v>1200</v>
      </c>
      <c r="G24" s="1371" t="s">
        <v>1840</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1841</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1840</v>
      </c>
      <c r="C50" s="1369" t="s">
        <v>1201</v>
      </c>
      <c r="D50" s="1369" t="s">
        <v>1204</v>
      </c>
      <c r="E50" s="1368">
        <v>4135</v>
      </c>
      <c r="F50" s="1368" t="s">
        <v>1203</v>
      </c>
      <c r="G50" s="1371" t="s">
        <v>1840</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375" t="s">
        <v>1427</v>
      </c>
      <c r="C64" s="30" t="s">
        <v>197</v>
      </c>
      <c r="D64" s="30" t="s">
        <v>44</v>
      </c>
      <c r="E64" s="1372">
        <v>3220</v>
      </c>
      <c r="F64" s="1372" t="s">
        <v>133</v>
      </c>
      <c r="G64" s="1375"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1840</v>
      </c>
      <c r="C67" s="1369" t="s">
        <v>1201</v>
      </c>
      <c r="D67" s="1369" t="s">
        <v>1206</v>
      </c>
      <c r="E67" s="1368">
        <v>4125</v>
      </c>
      <c r="F67" s="1368" t="s">
        <v>1205</v>
      </c>
      <c r="G67" s="1371" t="s">
        <v>1840</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375" t="s">
        <v>13</v>
      </c>
      <c r="C71" s="30" t="s">
        <v>387</v>
      </c>
      <c r="D71" s="30" t="s">
        <v>1842</v>
      </c>
      <c r="E71" s="1372">
        <v>2010</v>
      </c>
      <c r="F71" s="1372" t="s">
        <v>1081</v>
      </c>
      <c r="G71" s="1375" t="s">
        <v>13</v>
      </c>
    </row>
    <row r="72" spans="1:7" x14ac:dyDescent="0.25">
      <c r="A72" s="1368" t="s">
        <v>380</v>
      </c>
      <c r="B72" s="1371" t="s">
        <v>13</v>
      </c>
      <c r="C72" s="1369" t="s">
        <v>61</v>
      </c>
      <c r="D72" s="1369" t="s">
        <v>1843</v>
      </c>
      <c r="E72" s="1368">
        <v>2030</v>
      </c>
      <c r="F72" s="1368" t="s">
        <v>380</v>
      </c>
      <c r="G72" s="1371" t="s">
        <v>13</v>
      </c>
    </row>
    <row r="73" spans="1:7" x14ac:dyDescent="0.25">
      <c r="A73" s="1368" t="s">
        <v>1073</v>
      </c>
      <c r="B73" s="1371" t="s">
        <v>1427</v>
      </c>
      <c r="C73" s="1369" t="s">
        <v>1072</v>
      </c>
      <c r="D73" s="1369" t="s">
        <v>1844</v>
      </c>
      <c r="E73" s="1368">
        <v>2375</v>
      </c>
      <c r="F73" s="1368" t="s">
        <v>1073</v>
      </c>
      <c r="G73" s="1371" t="s">
        <v>1427</v>
      </c>
    </row>
    <row r="74" spans="1:7" x14ac:dyDescent="0.25">
      <c r="A74" s="1368" t="s">
        <v>1074</v>
      </c>
      <c r="B74" s="1371" t="s">
        <v>1427</v>
      </c>
      <c r="C74" s="1369" t="s">
        <v>1072</v>
      </c>
      <c r="D74" s="1369" t="s">
        <v>1845</v>
      </c>
      <c r="E74" s="1368">
        <v>2355</v>
      </c>
      <c r="F74" s="1368" t="s">
        <v>1074</v>
      </c>
      <c r="G74" s="1371" t="s">
        <v>1427</v>
      </c>
    </row>
    <row r="75" spans="1:7" x14ac:dyDescent="0.25">
      <c r="A75" s="1368" t="s">
        <v>182</v>
      </c>
      <c r="B75" s="1371" t="s">
        <v>23</v>
      </c>
      <c r="C75" s="1369" t="s">
        <v>194</v>
      </c>
      <c r="D75" s="1369" t="s">
        <v>1846</v>
      </c>
      <c r="E75" s="1368">
        <v>2310</v>
      </c>
      <c r="F75" s="1368" t="s">
        <v>182</v>
      </c>
      <c r="G75" s="1371" t="s">
        <v>23</v>
      </c>
    </row>
    <row r="76" spans="1:7" x14ac:dyDescent="0.25">
      <c r="A76" s="1368" t="s">
        <v>191</v>
      </c>
      <c r="B76" s="1371" t="s">
        <v>13</v>
      </c>
      <c r="C76" s="1369" t="s">
        <v>1078</v>
      </c>
      <c r="D76" s="1369" t="s">
        <v>1847</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2022-02-04T13:54:20Z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