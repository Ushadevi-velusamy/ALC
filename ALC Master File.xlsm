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5D946B80-DFE5-4F24-BB09-88BAF6718141}" xr6:coauthVersionLast="45" xr6:coauthVersionMax="46" xr10:uidLastSave="{00000000-0000-0000-0000-000000000000}"/>
  <bookViews>
    <workbookView xWindow="-120" yWindow="-120" windowWidth="20730" windowHeight="11160" tabRatio="909" firstSheet="1" activeTab="24"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Mapping Sheet" sheetId="92" state="hidden" r:id="rId10"/>
    <sheet name="ALC Comparison" sheetId="93" state="hidden" r:id="rId11"/>
    <sheet name="Agreement Worksheet" sheetId="89" state="hidden" r:id="rId12"/>
    <sheet name="Pricing Schedule" sheetId="90" state="hidden" r:id="rId13"/>
    <sheet name="Variable Costs (Back)" sheetId="36" state="veryHidden" r:id="rId14"/>
    <sheet name="EB_CM (Back)" sheetId="43" state="veryHidden" r:id="rId15"/>
    <sheet name="Multi-Customer" sheetId="72" state="veryHidden" r:id="rId16"/>
    <sheet name="PIM Ranges" sheetId="76" state="veryHidden" r:id="rId17"/>
    <sheet name="Incentive Setup" sheetId="64"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Modellable Customers" sheetId="78" r:id="rId25"/>
    <sheet name="HOS_Modellable Customers" sheetId="84" r:id="rId26"/>
    <sheet name="Existing Customers" sheetId="40" r:id="rId27"/>
    <sheet name="Existing Customer Variable Exp" sheetId="42" r:id="rId28"/>
    <sheet name="Customer Info" sheetId="77" r:id="rId29"/>
    <sheet name="Variable Selling" sheetId="30" r:id="rId30"/>
    <sheet name="Variable Div Avgs" sheetId="14" r:id="rId31"/>
    <sheet name="3zip" sheetId="50" r:id="rId32"/>
    <sheet name="4zip" sheetId="47" r:id="rId33"/>
    <sheet name="5zip" sheetId="37" r:id="rId34"/>
    <sheet name="Prospect Slot Assumptions" sheetId="91" r:id="rId35"/>
    <sheet name="Margin Quartiles" sheetId="34" state="veryHidden" r:id="rId36"/>
    <sheet name="IMargin Quartiles" sheetId="48" state="veryHidden" r:id="rId37"/>
    <sheet name="Lookups" sheetId="6" state="veryHidden" r:id="rId38"/>
    <sheet name="Market Geography" sheetId="38" state="veryHidden" r:id="rId39"/>
  </sheets>
  <functionGroups builtInGroupCount="19"/>
  <externalReferences>
    <externalReference r:id="rId40"/>
  </externalReferences>
  <definedNames>
    <definedName name="_xlnm._FilterDatabase" localSheetId="31" hidden="1">'3zip'!$A$1:$F$2754</definedName>
    <definedName name="_xlnm._FilterDatabase" localSheetId="32" hidden="1">'4zip'!$A$1:$F$95</definedName>
    <definedName name="_xlnm._FilterDatabase" localSheetId="33" hidden="1">'5zip'!$A$1:$F$1</definedName>
    <definedName name="_xlnm._FilterDatabase" localSheetId="20" hidden="1">'Basket Composition'!$A$2:$A$30</definedName>
    <definedName name="_xlnm._FilterDatabase" localSheetId="27" hidden="1">'Existing Customer Variable Exp'!$A$1:$F$1</definedName>
    <definedName name="_xlnm._FilterDatabase" localSheetId="26" hidden="1">'Existing Customers'!$A$1:$AA$1</definedName>
    <definedName name="_xlnm._FilterDatabase" localSheetId="25" hidden="1">'HOS_Modellable Customers'!$A$1:$B$1</definedName>
    <definedName name="_xlnm._FilterDatabase" localSheetId="36" hidden="1">'IMargin Quartiles'!$B$1:$C$106</definedName>
    <definedName name="_xlnm._FilterDatabase" localSheetId="37" hidden="1">Lookups!$E$1:$E$61</definedName>
    <definedName name="_xlnm._FilterDatabase" localSheetId="35" hidden="1">'Margin Quartiles'!$B$1:$C$111</definedName>
    <definedName name="_xlnm._FilterDatabase" localSheetId="24" hidden="1">'Modellable Customers'!$A$1:$B$916</definedName>
    <definedName name="_xlnm._FilterDatabase" localSheetId="19" hidden="1">'PRIME Upload'!$A$1:$A$82</definedName>
    <definedName name="_xlnm._FilterDatabase" localSheetId="30" hidden="1">'Variable Div Avgs'!$A$1:$M$60</definedName>
    <definedName name="_xlnm._FilterDatabase" localSheetId="29" hidden="1">'Variable Selling'!$B$1:$O$1758</definedName>
    <definedName name="actionrequested" localSheetId="2">#REF!</definedName>
    <definedName name="actionrequested" localSheetId="0">#REF!</definedName>
    <definedName name="actionrequested" localSheetId="25">#REF!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5">#REF!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rnalData_1" localSheetId="26">'Existing Customers'!$A$1:$AC$12740</definedName>
    <definedName name="ExternalData_1" localSheetId="25">'HOS_Modellable Customers'!$A$1:$B$1053</definedName>
    <definedName name="ExternalData_1" localSheetId="24">'Modellable Customers'!$A$1:$B$916</definedName>
    <definedName name="ExternalData_2" localSheetId="31">'3zip'!$A$1:$F$30</definedName>
    <definedName name="ExternalData_2" localSheetId="32">'4zip'!$A$1:$F$93</definedName>
    <definedName name="ExternalData_2" localSheetId="33">'5zip'!$A$1:$F$374</definedName>
    <definedName name="ExternalData_2" localSheetId="28">'Customer Info'!$A$1:$F$6606</definedName>
    <definedName name="ExternalData_2" localSheetId="27">'Existing Customer Variable Exp'!$A$1:$F$1053</definedName>
    <definedName name="ExternalData_2" localSheetId="30">'Variable Div Avgs'!$A$1:$M$2</definedName>
    <definedName name="ExternalData_2" localSheetId="29">'Variable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5">#REF!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5">#REF!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7">'Existing Customer Variable Exp'!$H$1</definedName>
    <definedName name="_xlnm.Print_Area" localSheetId="26">'Existing Customers'!$AD$1</definedName>
    <definedName name="_xlnm.Print_Area" localSheetId="25">'HOS_Modellable Customers'!$F$1</definedName>
    <definedName name="_xlnm.Print_Area" localSheetId="17">'Incentive Setup'!$I$1:$V$53</definedName>
    <definedName name="_xlnm.Print_Area" localSheetId="4">Incentives!$B$2:$O$97</definedName>
    <definedName name="_xlnm.Print_Area" localSheetId="18">'MDA Worksheet'!$B$1:$BF$132</definedName>
    <definedName name="_xlnm.Print_Area" localSheetId="24">'Modellable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5">#REF!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JJ34" i="72" a="1"/>
  <c r="JJ34" i="72" s="1"/>
  <c r="IM34" i="72" a="1"/>
  <c r="IM34" i="72" s="1"/>
  <c r="HP34" i="72" a="1"/>
  <c r="HP34" i="72" s="1"/>
  <c r="GS34" i="72" a="1"/>
  <c r="GS34" i="72" s="1"/>
  <c r="FV34" i="72" a="1"/>
  <c r="FV34" i="72" s="1"/>
  <c r="EY34" i="72" a="1"/>
  <c r="EY34" i="72" s="1"/>
  <c r="EB34" i="72" a="1"/>
  <c r="EB34" i="72" s="1"/>
  <c r="DE34" i="72" a="1"/>
  <c r="DE34" i="72" s="1"/>
  <c r="CH34" i="72" a="1"/>
  <c r="CH34" i="72" s="1"/>
  <c r="BK34" i="72" a="1"/>
  <c r="BK34" i="72" s="1"/>
  <c r="JJ33" i="72" a="1"/>
  <c r="JJ33" i="72" s="1"/>
  <c r="IM33" i="72" a="1"/>
  <c r="IM33" i="72" s="1"/>
  <c r="HP33" i="72" a="1"/>
  <c r="HP33" i="72" s="1"/>
  <c r="GS33" i="72" a="1"/>
  <c r="GS33" i="72" s="1"/>
  <c r="FV33" i="72" a="1"/>
  <c r="FV33" i="72" s="1"/>
  <c r="EY33" i="72" a="1"/>
  <c r="EY33" i="72" s="1"/>
  <c r="EB33" i="72" a="1"/>
  <c r="EB33" i="72" s="1"/>
  <c r="DE33" i="72" a="1"/>
  <c r="DE33" i="72" s="1"/>
  <c r="CH33" i="72" a="1"/>
  <c r="CH33" i="72" s="1"/>
  <c r="BK33" i="72" a="1"/>
  <c r="BK33" i="72" s="1"/>
  <c r="JJ32" i="72" a="1"/>
  <c r="JJ32" i="72" s="1"/>
  <c r="IM32" i="72" a="1"/>
  <c r="IM32" i="72" s="1"/>
  <c r="HP32" i="72" a="1"/>
  <c r="HP32" i="72" s="1"/>
  <c r="GS32" i="72" a="1"/>
  <c r="GS32" i="72" s="1"/>
  <c r="FV32" i="72" a="1"/>
  <c r="FV32" i="72" s="1"/>
  <c r="EY32" i="72" a="1"/>
  <c r="EY32" i="72" s="1"/>
  <c r="EB32" i="72" a="1"/>
  <c r="EB32" i="72" s="1"/>
  <c r="DE32" i="72" a="1"/>
  <c r="DE32" i="72" s="1"/>
  <c r="CH32" i="72" a="1"/>
  <c r="CH32" i="72" s="1"/>
  <c r="BK32" i="72" a="1"/>
  <c r="BK32" i="72" s="1"/>
  <c r="JJ31" i="72"/>
  <c r="JJ31" i="72" a="1"/>
  <c r="IM31" i="72" a="1"/>
  <c r="IM31" i="72" s="1"/>
  <c r="HP31" i="72"/>
  <c r="HP31" i="72" a="1"/>
  <c r="GS31" i="72" a="1"/>
  <c r="GS31" i="72" s="1"/>
  <c r="FV31" i="72" a="1"/>
  <c r="FV31" i="72" s="1"/>
  <c r="EY31" i="72" a="1"/>
  <c r="EY31" i="72" s="1"/>
  <c r="EB31" i="72" a="1"/>
  <c r="EB31" i="72" s="1"/>
  <c r="DE31" i="72" a="1"/>
  <c r="DE31" i="72" s="1"/>
  <c r="CH31" i="72"/>
  <c r="CH31" i="72" a="1"/>
  <c r="BK31" i="72" a="1"/>
  <c r="BK31" i="72" s="1"/>
  <c r="JJ30" i="72"/>
  <c r="JJ30" i="72" a="1"/>
  <c r="IM30" i="72" a="1"/>
  <c r="IM30" i="72" s="1"/>
  <c r="HP30" i="72"/>
  <c r="HP30" i="72" a="1"/>
  <c r="GS30" i="72" a="1"/>
  <c r="GS30" i="72" s="1"/>
  <c r="FV30" i="72" a="1"/>
  <c r="FV30" i="72" s="1"/>
  <c r="EY30" i="72" a="1"/>
  <c r="EY30" i="72" s="1"/>
  <c r="EB30" i="72" a="1"/>
  <c r="EB30" i="72" s="1"/>
  <c r="DE30" i="72" a="1"/>
  <c r="DE30" i="72" s="1"/>
  <c r="CH30" i="72" a="1"/>
  <c r="CH30" i="72" s="1"/>
  <c r="BK30" i="72" a="1"/>
  <c r="BK30" i="72" s="1"/>
  <c r="JJ29" i="72" a="1"/>
  <c r="JJ29" i="72" s="1"/>
  <c r="IM29" i="72"/>
  <c r="IM29" i="72" a="1"/>
  <c r="HP29" i="72" a="1"/>
  <c r="HP29" i="72" s="1"/>
  <c r="GS29" i="72" a="1"/>
  <c r="GS29" i="72" s="1"/>
  <c r="FV29" i="72" a="1"/>
  <c r="FV29" i="72" s="1"/>
  <c r="EY29" i="72" a="1"/>
  <c r="EY29" i="72" s="1"/>
  <c r="EB29" i="72" a="1"/>
  <c r="EB29" i="72" s="1"/>
  <c r="DE29" i="72" a="1"/>
  <c r="DE29" i="72" s="1"/>
  <c r="CH29" i="72" a="1"/>
  <c r="CH29" i="72" s="1"/>
  <c r="BK29" i="72" a="1"/>
  <c r="BK29" i="72" s="1"/>
  <c r="JJ28" i="72" a="1"/>
  <c r="JJ28" i="72" s="1"/>
  <c r="IM28" i="72" a="1"/>
  <c r="IM28" i="72" s="1"/>
  <c r="HP28" i="72"/>
  <c r="HP28" i="72" a="1"/>
  <c r="GS28" i="72" a="1"/>
  <c r="GS28" i="72" s="1"/>
  <c r="FV28" i="72" a="1"/>
  <c r="FV28" i="72" s="1"/>
  <c r="EY28" i="72" a="1"/>
  <c r="EY28" i="72" s="1"/>
  <c r="EB28" i="72" a="1"/>
  <c r="EB28" i="72" s="1"/>
  <c r="DE28" i="72" a="1"/>
  <c r="DE28" i="72" s="1"/>
  <c r="CH28" i="72"/>
  <c r="CH28" i="72" a="1"/>
  <c r="BK28" i="72" a="1"/>
  <c r="BK28" i="72" s="1"/>
  <c r="JJ27" i="72" a="1"/>
  <c r="JJ27" i="72" s="1"/>
  <c r="IM27" i="72"/>
  <c r="IM27" i="72" a="1"/>
  <c r="HP27" i="72" a="1"/>
  <c r="HP27" i="72" s="1"/>
  <c r="GS27" i="72"/>
  <c r="GS27" i="72" a="1"/>
  <c r="FV27" i="72" a="1"/>
  <c r="FV27" i="72" s="1"/>
  <c r="EY27" i="72"/>
  <c r="EY27" i="72" a="1"/>
  <c r="EB27" i="72"/>
  <c r="EB27" i="72" a="1"/>
  <c r="DE27" i="72" a="1"/>
  <c r="DE27" i="72" s="1"/>
  <c r="CH27" i="72"/>
  <c r="CH27" i="72" a="1"/>
  <c r="BK27" i="72"/>
  <c r="BK27" i="72" a="1"/>
  <c r="JJ26" i="72"/>
  <c r="JJ26" i="72" a="1"/>
  <c r="IM26" i="72" a="1"/>
  <c r="IM26" i="72" s="1"/>
  <c r="HP26" i="72" a="1"/>
  <c r="HP26" i="72" s="1"/>
  <c r="GS26" i="72" a="1"/>
  <c r="GS26" i="72" s="1"/>
  <c r="FV26" i="72"/>
  <c r="FV26" i="72" a="1"/>
  <c r="EY26" i="72" a="1"/>
  <c r="EY26" i="72" s="1"/>
  <c r="EB26" i="72" a="1"/>
  <c r="EB26" i="72" s="1"/>
  <c r="DE26" i="72"/>
  <c r="DE26" i="72" a="1"/>
  <c r="CH26" i="72" a="1"/>
  <c r="CH26" i="72" s="1"/>
  <c r="BK26" i="72"/>
  <c r="BK26" i="72" a="1"/>
  <c r="JJ25" i="72" a="1"/>
  <c r="JJ25" i="72" s="1"/>
  <c r="IM25" i="72"/>
  <c r="IM25" i="72" a="1"/>
  <c r="HP25" i="72"/>
  <c r="HP25" i="72" a="1"/>
  <c r="GS25" i="72" a="1"/>
  <c r="GS25" i="72" s="1"/>
  <c r="FV25" i="72"/>
  <c r="FV25" i="72" a="1"/>
  <c r="EY25" i="72"/>
  <c r="EY25" i="72" a="1"/>
  <c r="EB25" i="72"/>
  <c r="EB25" i="72" a="1"/>
  <c r="DE25" i="72" a="1"/>
  <c r="DE25" i="72" s="1"/>
  <c r="CH25" i="72" a="1"/>
  <c r="CH25" i="72" s="1"/>
  <c r="BK25" i="72" a="1"/>
  <c r="BK25" i="72" s="1"/>
  <c r="JJ24" i="72"/>
  <c r="JJ24" i="72" a="1"/>
  <c r="IM24" i="72"/>
  <c r="IM24" i="72" a="1"/>
  <c r="HP24" i="72" a="1"/>
  <c r="HP24" i="72" s="1"/>
  <c r="GS24" i="72"/>
  <c r="GS24" i="72" a="1"/>
  <c r="FV24" i="72" a="1"/>
  <c r="FV24" i="72" s="1"/>
  <c r="EY24" i="72"/>
  <c r="EY24" i="72" a="1"/>
  <c r="EB24" i="72"/>
  <c r="EB24" i="72" a="1"/>
  <c r="DE24" i="72"/>
  <c r="DE24" i="72" a="1"/>
  <c r="CH24" i="72"/>
  <c r="CH24" i="72" a="1"/>
  <c r="BK24" i="72"/>
  <c r="BK24" i="72" a="1"/>
  <c r="JJ23" i="72"/>
  <c r="JJ23" i="72" a="1"/>
  <c r="IM23" i="72"/>
  <c r="IM23" i="72" a="1"/>
  <c r="HP23" i="72" a="1"/>
  <c r="HP23" i="72" s="1"/>
  <c r="GS23" i="72" a="1"/>
  <c r="GS23" i="72" s="1"/>
  <c r="FV23" i="72" a="1"/>
  <c r="FV23" i="72" s="1"/>
  <c r="EY23" i="72" a="1"/>
  <c r="EY23" i="72" s="1"/>
  <c r="EB23" i="72" a="1"/>
  <c r="EB23" i="72" s="1"/>
  <c r="DE23" i="72"/>
  <c r="DE23" i="72" a="1"/>
  <c r="CH23" i="72" a="1"/>
  <c r="CH23" i="72" s="1"/>
  <c r="BK23" i="72" a="1"/>
  <c r="BK23" i="72" s="1"/>
  <c r="JJ22" i="72" a="1"/>
  <c r="JJ22" i="72" s="1"/>
  <c r="IM22" i="72" a="1"/>
  <c r="IM22" i="72" s="1"/>
  <c r="HP22" i="72" a="1"/>
  <c r="HP22" i="72" s="1"/>
  <c r="GS22" i="72" a="1"/>
  <c r="GS22" i="72" s="1"/>
  <c r="FV22" i="72" a="1"/>
  <c r="FV22" i="72" s="1"/>
  <c r="EY22" i="72"/>
  <c r="EY22" i="72" a="1"/>
  <c r="EB22" i="72" a="1"/>
  <c r="EB22" i="72" s="1"/>
  <c r="DE22" i="72"/>
  <c r="DE22" i="72" a="1"/>
  <c r="CH22" i="72" a="1"/>
  <c r="CH22" i="72" s="1"/>
  <c r="BK22" i="72" a="1"/>
  <c r="BK22" i="72" s="1"/>
  <c r="JJ21" i="72"/>
  <c r="JJ21" i="72" a="1"/>
  <c r="IM21" i="72" a="1"/>
  <c r="IM21" i="72" s="1"/>
  <c r="HP21" i="72" a="1"/>
  <c r="HP21" i="72" s="1"/>
  <c r="GS21" i="72" a="1"/>
  <c r="GS21" i="72" s="1"/>
  <c r="FV21" i="72" a="1"/>
  <c r="FV21" i="72" s="1"/>
  <c r="EY21" i="72" a="1"/>
  <c r="EY21" i="72" s="1"/>
  <c r="EB21" i="72"/>
  <c r="EB21" i="72" a="1"/>
  <c r="DE21" i="72" a="1"/>
  <c r="DE21" i="72" s="1"/>
  <c r="CH21" i="72" a="1"/>
  <c r="CH21" i="72" s="1"/>
  <c r="BK21" i="72" a="1"/>
  <c r="BK21" i="72" s="1"/>
  <c r="JJ20" i="72" a="1"/>
  <c r="JJ20" i="72" s="1"/>
  <c r="IM20" i="72" a="1"/>
  <c r="IM20" i="72" s="1"/>
  <c r="HP20" i="72" a="1"/>
  <c r="HP20" i="72" s="1"/>
  <c r="GS20" i="72" a="1"/>
  <c r="GS20" i="72" s="1"/>
  <c r="FV20" i="72" a="1"/>
  <c r="FV20" i="72" s="1"/>
  <c r="EY20" i="72" a="1"/>
  <c r="EY20" i="72" s="1"/>
  <c r="EB20" i="72" a="1"/>
  <c r="EB20" i="72" s="1"/>
  <c r="DE20" i="72" a="1"/>
  <c r="DE20" i="72" s="1"/>
  <c r="CH20" i="72" a="1"/>
  <c r="CH20" i="72" s="1"/>
  <c r="BK20" i="72" a="1"/>
  <c r="BK20" i="72" s="1"/>
  <c r="JJ19" i="72" a="1"/>
  <c r="JJ19" i="72" s="1"/>
  <c r="IM19" i="72" a="1"/>
  <c r="IM19" i="72" s="1"/>
  <c r="HP19" i="72" a="1"/>
  <c r="HP19" i="72" s="1"/>
  <c r="GS19" i="72" a="1"/>
  <c r="GS19" i="72" s="1"/>
  <c r="FV19" i="72" a="1"/>
  <c r="FV19" i="72" s="1"/>
  <c r="EY19" i="72" a="1"/>
  <c r="EY19" i="72" s="1"/>
  <c r="EB19" i="72" a="1"/>
  <c r="EB19" i="72" s="1"/>
  <c r="DE19" i="72" a="1"/>
  <c r="DE19" i="72" s="1"/>
  <c r="CH19" i="72" a="1"/>
  <c r="CH19" i="72" s="1"/>
  <c r="BK19" i="72"/>
  <c r="BK19" i="72" a="1"/>
  <c r="JJ18" i="72" a="1"/>
  <c r="JJ18" i="72" s="1"/>
  <c r="IM18" i="72" a="1"/>
  <c r="IM18" i="72" s="1"/>
  <c r="HP18" i="72" a="1"/>
  <c r="HP18" i="72" s="1"/>
  <c r="GS18" i="72"/>
  <c r="GS18" i="72" a="1"/>
  <c r="FV18" i="72" a="1"/>
  <c r="FV18" i="72" s="1"/>
  <c r="EY18" i="72" a="1"/>
  <c r="EY18" i="72" s="1"/>
  <c r="EB18" i="72" a="1"/>
  <c r="EB18" i="72" s="1"/>
  <c r="DE18" i="72"/>
  <c r="DE18" i="72" a="1"/>
  <c r="CH18" i="72" a="1"/>
  <c r="CH18" i="72" s="1"/>
  <c r="BK18" i="72" a="1"/>
  <c r="BK18" i="72" s="1"/>
  <c r="JJ17" i="72" a="1"/>
  <c r="JJ17" i="72" s="1"/>
  <c r="IM17" i="72"/>
  <c r="IM17" i="72" a="1"/>
  <c r="HP17" i="72" a="1"/>
  <c r="HP17" i="72" s="1"/>
  <c r="GS17" i="72" a="1"/>
  <c r="GS17" i="72" s="1"/>
  <c r="FV17" i="72" a="1"/>
  <c r="FV17" i="72" s="1"/>
  <c r="EY17" i="72" a="1"/>
  <c r="EY17" i="72" s="1"/>
  <c r="EB17" i="72" a="1"/>
  <c r="EB17" i="72" s="1"/>
  <c r="DE17" i="72" a="1"/>
  <c r="DE17" i="72" s="1"/>
  <c r="CH17" i="72" a="1"/>
  <c r="CH17" i="72" s="1"/>
  <c r="BK17" i="72"/>
  <c r="BK17" i="72" a="1"/>
  <c r="JJ16" i="72" a="1"/>
  <c r="JJ16" i="72" s="1"/>
  <c r="IM16" i="72" a="1"/>
  <c r="IM16" i="72" s="1"/>
  <c r="HP16" i="72" a="1"/>
  <c r="HP16" i="72" s="1"/>
  <c r="GS16" i="72"/>
  <c r="GS16" i="72" a="1"/>
  <c r="FV16" i="72" a="1"/>
  <c r="FV16" i="72" s="1"/>
  <c r="EY16" i="72" a="1"/>
  <c r="EY16" i="72" s="1"/>
  <c r="EB16" i="72" a="1"/>
  <c r="EB16" i="72" s="1"/>
  <c r="DE16" i="72"/>
  <c r="DE16" i="72" a="1"/>
  <c r="CH16" i="72" a="1"/>
  <c r="CH16" i="72" s="1"/>
  <c r="BK16" i="72"/>
  <c r="BK16" i="72" a="1"/>
  <c r="JJ15" i="72" a="1"/>
  <c r="JJ15" i="72" s="1"/>
  <c r="IM15" i="72" a="1"/>
  <c r="IM15" i="72" s="1"/>
  <c r="HP15" i="72" a="1"/>
  <c r="HP15" i="72" s="1"/>
  <c r="GS15" i="72" a="1"/>
  <c r="GS15" i="72" s="1"/>
  <c r="FV15" i="72" a="1"/>
  <c r="FV15" i="72" s="1"/>
  <c r="EY15" i="72" a="1"/>
  <c r="EY15" i="72" s="1"/>
  <c r="EB15" i="72" a="1"/>
  <c r="EB15" i="72" s="1"/>
  <c r="DE15" i="72" a="1"/>
  <c r="DE15" i="72" s="1"/>
  <c r="CH15" i="72" a="1"/>
  <c r="CH15" i="72" s="1"/>
  <c r="BK15" i="72" a="1"/>
  <c r="BK15" i="72" s="1"/>
  <c r="JJ14" i="72" a="1"/>
  <c r="JJ14" i="72" s="1"/>
  <c r="IM14" i="72" a="1"/>
  <c r="IM14" i="72" s="1"/>
  <c r="HP14" i="72" a="1"/>
  <c r="HP14" i="72" s="1"/>
  <c r="GS14" i="72" a="1"/>
  <c r="GS14" i="72" s="1"/>
  <c r="FV14" i="72" a="1"/>
  <c r="FV14" i="72" s="1"/>
  <c r="EY14" i="72" a="1"/>
  <c r="EY14" i="72" s="1"/>
  <c r="EB14" i="72" a="1"/>
  <c r="EB14" i="72" s="1"/>
  <c r="DE14" i="72" a="1"/>
  <c r="DE14" i="72" s="1"/>
  <c r="CH14" i="72" a="1"/>
  <c r="CH14" i="72" s="1"/>
  <c r="BK14" i="72" a="1"/>
  <c r="BK14" i="72" s="1"/>
  <c r="AG15" i="75" l="1"/>
  <c r="JI15" i="72" s="1"/>
  <c r="AG14" i="75"/>
  <c r="IL18" i="72" s="1"/>
  <c r="AG13" i="75"/>
  <c r="HO21" i="72" s="1"/>
  <c r="AG12" i="75"/>
  <c r="GR16" i="72" s="1"/>
  <c r="AG11" i="75"/>
  <c r="FU19" i="72" s="1"/>
  <c r="AG10" i="75"/>
  <c r="EX22" i="72" s="1"/>
  <c r="AG9" i="75"/>
  <c r="EA17" i="72" s="1"/>
  <c r="AG8" i="75"/>
  <c r="DD20" i="72" s="1"/>
  <c r="AG7" i="75"/>
  <c r="CG15" i="72" s="1"/>
  <c r="AG6" i="75"/>
  <c r="BJ14" i="72" s="1"/>
  <c r="AG1" i="75"/>
  <c r="O15" i="75"/>
  <c r="O14" i="75"/>
  <c r="O13" i="75"/>
  <c r="O12" i="75"/>
  <c r="O11" i="75"/>
  <c r="O10" i="75"/>
  <c r="O9" i="75"/>
  <c r="O8" i="75"/>
  <c r="O7" i="75"/>
  <c r="O6" i="75"/>
  <c r="L15" i="75"/>
  <c r="L14" i="75"/>
  <c r="L13" i="75"/>
  <c r="L12" i="75"/>
  <c r="L11" i="75"/>
  <c r="L10" i="75"/>
  <c r="L9" i="75"/>
  <c r="L8" i="75"/>
  <c r="L7" i="75"/>
  <c r="L6" i="75"/>
  <c r="JI22" i="72" l="1"/>
  <c r="JI21" i="72"/>
  <c r="JI28" i="72"/>
  <c r="JI20" i="72"/>
  <c r="JI14" i="72"/>
  <c r="JI27" i="72"/>
  <c r="JI19" i="72"/>
  <c r="JI30" i="72"/>
  <c r="JI34" i="72"/>
  <c r="JI26" i="72"/>
  <c r="JI18" i="72"/>
  <c r="JI29" i="72"/>
  <c r="JI33" i="72"/>
  <c r="JI25" i="72"/>
  <c r="JI17" i="72"/>
  <c r="JI32" i="72"/>
  <c r="JI24" i="72"/>
  <c r="JI16" i="72"/>
  <c r="JI31" i="72"/>
  <c r="JI23" i="72"/>
  <c r="IL32" i="72"/>
  <c r="IL24" i="72"/>
  <c r="IL16" i="72"/>
  <c r="IL31" i="72"/>
  <c r="IL23" i="72"/>
  <c r="IL15" i="72"/>
  <c r="IL17" i="72"/>
  <c r="IL30" i="72"/>
  <c r="IL22" i="72"/>
  <c r="IL29" i="72"/>
  <c r="IL21" i="72"/>
  <c r="IL33" i="72"/>
  <c r="IL28" i="72"/>
  <c r="IL20" i="72"/>
  <c r="IL25" i="72"/>
  <c r="IL14" i="72"/>
  <c r="IL27" i="72"/>
  <c r="IL19" i="72"/>
  <c r="IL34" i="72"/>
  <c r="IL26" i="72"/>
  <c r="HO28" i="72"/>
  <c r="HO20" i="72"/>
  <c r="HO14" i="72"/>
  <c r="HO27" i="72"/>
  <c r="HO19" i="72"/>
  <c r="HO34" i="72"/>
  <c r="HO26" i="72"/>
  <c r="HO18" i="72"/>
  <c r="HO25" i="72"/>
  <c r="HO17" i="72"/>
  <c r="HO32" i="72"/>
  <c r="HO24" i="72"/>
  <c r="HO16" i="72"/>
  <c r="HO33" i="72"/>
  <c r="HO31" i="72"/>
  <c r="HO23" i="72"/>
  <c r="HO15" i="72"/>
  <c r="HO30" i="72"/>
  <c r="HO22" i="72"/>
  <c r="HO29" i="72"/>
  <c r="GR31" i="72"/>
  <c r="GR23" i="72"/>
  <c r="GR15" i="72"/>
  <c r="GR30" i="72"/>
  <c r="GR22" i="72"/>
  <c r="GR29" i="72"/>
  <c r="GR21" i="72"/>
  <c r="GR28" i="72"/>
  <c r="GR20" i="72"/>
  <c r="GR14" i="72"/>
  <c r="GR27" i="72"/>
  <c r="GR19" i="72"/>
  <c r="GR34" i="72"/>
  <c r="GR26" i="72"/>
  <c r="GR18" i="72"/>
  <c r="GR33" i="72"/>
  <c r="GR25" i="72"/>
  <c r="GR17" i="72"/>
  <c r="GR32" i="72"/>
  <c r="GR24"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AA39" i="72" l="1"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M71" i="54"/>
  <c r="B5" i="89" l="1"/>
  <c r="F10" i="89"/>
  <c r="E10" i="89"/>
  <c r="G15" i="57"/>
  <c r="K24" i="57" l="1"/>
  <c r="K25" i="57"/>
  <c r="K26" i="57"/>
  <c r="K27" i="57"/>
  <c r="K28" i="57"/>
  <c r="K29" i="57"/>
  <c r="K30" i="57"/>
  <c r="K31" i="57"/>
  <c r="K32" i="57"/>
  <c r="K23" i="57"/>
  <c r="F17" i="57"/>
  <c r="L25" i="57" l="1"/>
  <c r="M5" i="90"/>
  <c r="L30" i="57"/>
  <c r="L24" i="57"/>
  <c r="L29" i="57"/>
  <c r="L32" i="57"/>
  <c r="L28" i="57"/>
  <c r="L31" i="57"/>
  <c r="L27" i="57"/>
  <c r="L23" i="57"/>
  <c r="L26" i="57"/>
  <c r="G26" i="74"/>
  <c r="Z9" i="74" l="1"/>
  <c r="C20" i="69" l="1"/>
  <c r="X1" i="12" l="1"/>
  <c r="K88" i="54" l="1"/>
  <c r="K80" i="54"/>
  <c r="K63" i="54"/>
  <c r="K55" i="54"/>
  <c r="K47" i="54"/>
  <c r="K36" i="54"/>
  <c r="K25" i="54"/>
  <c r="K14" i="54"/>
  <c r="AE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Z15" i="74" l="1"/>
  <c r="Z14" i="74"/>
  <c r="Z13" i="74"/>
  <c r="Z12" i="74"/>
  <c r="Z11" i="74"/>
  <c r="Q14" i="57"/>
  <c r="F19" i="57" l="1"/>
  <c r="A74" i="64" l="1"/>
  <c r="G83" i="54"/>
  <c r="M31" i="43" l="1"/>
  <c r="M32" i="43" l="1"/>
  <c r="M33" i="43" s="1"/>
  <c r="M34" i="43" s="1"/>
  <c r="M35" i="43" s="1"/>
  <c r="J36" i="43" s="1"/>
  <c r="J37" i="43" s="1"/>
  <c r="J38" i="43" s="1"/>
  <c r="J39" i="43" s="1"/>
  <c r="J40" i="43" s="1"/>
  <c r="J41" i="43" s="1"/>
  <c r="J42" i="43" s="1"/>
  <c r="M29" i="43"/>
  <c r="M28" i="43" s="1"/>
  <c r="M27" i="43" s="1"/>
  <c r="M26" i="43" s="1"/>
  <c r="M25" i="43" s="1"/>
  <c r="M24" i="43" s="1"/>
  <c r="B60" i="64" l="1"/>
  <c r="AK15" i="75"/>
  <c r="AK14" i="75"/>
  <c r="AK13" i="75"/>
  <c r="AK12" i="75"/>
  <c r="AK11" i="75"/>
  <c r="AK10" i="75"/>
  <c r="AK9" i="75"/>
  <c r="AK8" i="75"/>
  <c r="AK7" i="75"/>
  <c r="AK6" i="75"/>
  <c r="AL15" i="75"/>
  <c r="AL14" i="75"/>
  <c r="AL13" i="75"/>
  <c r="AL12" i="75"/>
  <c r="AL11" i="75"/>
  <c r="AL10" i="75"/>
  <c r="AL9" i="75"/>
  <c r="AL8" i="75"/>
  <c r="AL7" i="75"/>
  <c r="AL6" i="75"/>
  <c r="B62" i="64" l="1"/>
  <c r="N49" i="64"/>
  <c r="O49" i="64"/>
  <c r="O48" i="64"/>
  <c r="N48" i="64"/>
  <c r="I31" i="64"/>
  <c r="I30" i="64"/>
  <c r="J30" i="64"/>
  <c r="J31" i="64"/>
  <c r="AN15" i="75"/>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R10" i="75" l="1"/>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E36" i="12" s="1"/>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D6" i="75" s="1"/>
  <c r="BB9" i="75"/>
  <c r="BD9" i="75" s="1"/>
  <c r="BA14" i="75"/>
  <c r="BB13" i="75"/>
  <c r="BD13" i="75" s="1"/>
  <c r="M58" i="54"/>
  <c r="BA16" i="75" l="1"/>
  <c r="E35" i="11" s="1"/>
  <c r="BD16" i="75"/>
  <c r="E36" i="11" s="1"/>
  <c r="H32" i="70"/>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G4" i="54" l="1"/>
  <c r="M75" i="54" s="1"/>
  <c r="G3" i="54"/>
  <c r="L4" i="54"/>
  <c r="K26" i="64"/>
  <c r="L14" i="64"/>
  <c r="E4" i="1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M66" i="54" l="1"/>
  <c r="K29" i="64" s="1"/>
  <c r="M83" i="54"/>
  <c r="J5" i="36"/>
  <c r="BB1" i="72" l="1"/>
  <c r="BB7" i="72" l="1"/>
  <c r="BB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JA5" i="72" s="1"/>
  <c r="ID1" i="72"/>
  <c r="ID5" i="72" s="1"/>
  <c r="HG1" i="72"/>
  <c r="HG5" i="72" s="1"/>
  <c r="GJ1" i="72"/>
  <c r="GJ5" i="72" s="1"/>
  <c r="FM1" i="72"/>
  <c r="EP1" i="72"/>
  <c r="DS1" i="72"/>
  <c r="DS5" i="72" s="1"/>
  <c r="CV1" i="72"/>
  <c r="CV5" i="72" s="1"/>
  <c r="H3" i="70"/>
  <c r="EP5" i="72" l="1"/>
  <c r="FM5" i="72"/>
  <c r="JK15" i="72"/>
  <c r="JK26" i="72"/>
  <c r="JK32" i="72"/>
  <c r="JK20" i="72"/>
  <c r="JK29" i="72"/>
  <c r="JK27" i="72"/>
  <c r="JK33" i="72"/>
  <c r="JK16" i="72"/>
  <c r="JK18" i="72"/>
  <c r="JK28" i="72"/>
  <c r="JK34" i="72"/>
  <c r="JK24" i="72"/>
  <c r="JK23" i="72"/>
  <c r="JK14" i="72"/>
  <c r="JK22" i="72"/>
  <c r="IN23" i="72"/>
  <c r="IN14" i="72"/>
  <c r="IN31" i="72"/>
  <c r="IN33" i="72"/>
  <c r="IN27" i="72"/>
  <c r="IN18" i="72"/>
  <c r="IN32" i="72"/>
  <c r="IN29" i="72"/>
  <c r="IN19" i="72"/>
  <c r="IN17" i="72"/>
  <c r="IN22" i="72"/>
  <c r="IN25" i="72"/>
  <c r="IN15" i="72"/>
  <c r="IN28" i="72"/>
  <c r="IN24" i="72"/>
  <c r="HQ16" i="72"/>
  <c r="HQ29" i="72"/>
  <c r="HQ32" i="72"/>
  <c r="HQ28" i="72"/>
  <c r="HQ15" i="72"/>
  <c r="HQ34" i="72"/>
  <c r="HQ17" i="72"/>
  <c r="HQ24" i="72"/>
  <c r="HQ30" i="72"/>
  <c r="HQ25" i="72"/>
  <c r="HQ33" i="72"/>
  <c r="HQ14" i="72"/>
  <c r="HQ27" i="72"/>
  <c r="HQ21" i="72"/>
  <c r="HQ31" i="72"/>
  <c r="GT19" i="72"/>
  <c r="GT28" i="72"/>
  <c r="GT31" i="72"/>
  <c r="GT14" i="72"/>
  <c r="GT20" i="72"/>
  <c r="GT30" i="72"/>
  <c r="GT22" i="72"/>
  <c r="GT26" i="72"/>
  <c r="GT27" i="72"/>
  <c r="GT23" i="72"/>
  <c r="GT34" i="72"/>
  <c r="GT21" i="72"/>
  <c r="GT24" i="72"/>
  <c r="GT17" i="72"/>
  <c r="GT32" i="72"/>
  <c r="GT25" i="72"/>
  <c r="FW22" i="72"/>
  <c r="FW19" i="72"/>
  <c r="FW33" i="72"/>
  <c r="FW32" i="72"/>
  <c r="FW28" i="72"/>
  <c r="FW20" i="72"/>
  <c r="FW17" i="72"/>
  <c r="FW34" i="72"/>
  <c r="FW30" i="72"/>
  <c r="FW16" i="72"/>
  <c r="FW21" i="72"/>
  <c r="FW27" i="72"/>
  <c r="FW14" i="72"/>
  <c r="FW24" i="72"/>
  <c r="FW18" i="72"/>
  <c r="FW23" i="72"/>
  <c r="FW26" i="72"/>
  <c r="EZ18" i="72"/>
  <c r="EZ28" i="72"/>
  <c r="EZ24" i="72"/>
  <c r="EZ16" i="72"/>
  <c r="EZ25" i="72"/>
  <c r="EZ19" i="72"/>
  <c r="EZ29" i="72"/>
  <c r="EZ32" i="72"/>
  <c r="EZ23" i="72"/>
  <c r="EZ17" i="72"/>
  <c r="EZ22" i="72"/>
  <c r="EZ33" i="72"/>
  <c r="EZ27" i="72"/>
  <c r="EZ20" i="72"/>
  <c r="EZ15" i="72"/>
  <c r="EZ14" i="72"/>
  <c r="EC22" i="72"/>
  <c r="EC26" i="72"/>
  <c r="EC24" i="72"/>
  <c r="EC30" i="72"/>
  <c r="EC28" i="72"/>
  <c r="EC18" i="72"/>
  <c r="EC33" i="72"/>
  <c r="EC32" i="72"/>
  <c r="EC14" i="72"/>
  <c r="EC20" i="72"/>
  <c r="EC34" i="72"/>
  <c r="EC31" i="72"/>
  <c r="EC23" i="72"/>
  <c r="EC19" i="72"/>
  <c r="EC16" i="72"/>
  <c r="EC29" i="72"/>
  <c r="EC15" i="72"/>
  <c r="EC25" i="72"/>
  <c r="DF22" i="72"/>
  <c r="DF17" i="72"/>
  <c r="DF18" i="72"/>
  <c r="DF34" i="72"/>
  <c r="DF20" i="72"/>
  <c r="DF33" i="72"/>
  <c r="DF19" i="72"/>
  <c r="DF27" i="72"/>
  <c r="DF16" i="72"/>
  <c r="DF23" i="72"/>
  <c r="DF14" i="72"/>
  <c r="DF21" i="72"/>
  <c r="DF24" i="72"/>
  <c r="DF28" i="72"/>
  <c r="DF25" i="72"/>
  <c r="DF30" i="72"/>
  <c r="DF31" i="72"/>
  <c r="CI25" i="72"/>
  <c r="CI16" i="72"/>
  <c r="CI28" i="72"/>
  <c r="CI34" i="72"/>
  <c r="CI17" i="72"/>
  <c r="CI20" i="72"/>
  <c r="CI31" i="72"/>
  <c r="CI14" i="72"/>
  <c r="CI18" i="72"/>
  <c r="CI24" i="72"/>
  <c r="CI23" i="72"/>
  <c r="CI19" i="72"/>
  <c r="CI32" i="72"/>
  <c r="CI30" i="72"/>
  <c r="CI15" i="72"/>
  <c r="CI27" i="72"/>
  <c r="CI26" i="72"/>
  <c r="CI29" i="72"/>
  <c r="BL21" i="72"/>
  <c r="BL16" i="72"/>
  <c r="BL20" i="72"/>
  <c r="BL24" i="72"/>
  <c r="BL30" i="72"/>
  <c r="BL26" i="72"/>
  <c r="BL18" i="72"/>
  <c r="BL27" i="72"/>
  <c r="BL31" i="72"/>
  <c r="BL33" i="72"/>
  <c r="BL28" i="72"/>
  <c r="BL25" i="72"/>
  <c r="BL32" i="72"/>
  <c r="BL34" i="72"/>
  <c r="BL17" i="72"/>
  <c r="BL29" i="72"/>
  <c r="BL22" i="72"/>
  <c r="BL15" i="72"/>
  <c r="BL19" i="72"/>
  <c r="BL23" i="72"/>
  <c r="JK30" i="72"/>
  <c r="JK25" i="72"/>
  <c r="JK19" i="72"/>
  <c r="JK17" i="72"/>
  <c r="JK21" i="72"/>
  <c r="IN30" i="72"/>
  <c r="IN20" i="72"/>
  <c r="IN34" i="72"/>
  <c r="IN26" i="72"/>
  <c r="IN21" i="72"/>
  <c r="IN16" i="72"/>
  <c r="HQ22" i="72"/>
  <c r="HQ23" i="72"/>
  <c r="HQ19" i="72"/>
  <c r="HQ18" i="72"/>
  <c r="GT33" i="72"/>
  <c r="GT16" i="72"/>
  <c r="FW25" i="72"/>
  <c r="FW15" i="72"/>
  <c r="FW31" i="72"/>
  <c r="FW29" i="72"/>
  <c r="EZ26" i="72"/>
  <c r="EZ30" i="72"/>
  <c r="EZ34" i="72"/>
  <c r="EC27" i="72"/>
  <c r="EC17" i="72"/>
  <c r="DF32" i="72"/>
  <c r="DF26" i="72"/>
  <c r="DF29" i="72"/>
  <c r="CI33" i="72"/>
  <c r="CI22" i="72"/>
  <c r="DF15" i="72"/>
  <c r="EC21" i="72"/>
  <c r="EZ31" i="72"/>
  <c r="EZ21" i="72"/>
  <c r="HQ20" i="72"/>
  <c r="HQ26" i="72"/>
  <c r="GT18" i="72"/>
  <c r="GT29" i="72"/>
  <c r="GT15" i="72"/>
  <c r="CI21" i="72"/>
  <c r="JK31" i="72"/>
  <c r="JA7" i="72"/>
  <c r="JA53" i="72"/>
  <c r="ID7" i="72"/>
  <c r="ID53" i="72"/>
  <c r="HG7" i="72"/>
  <c r="HG53" i="72"/>
  <c r="GJ7" i="72"/>
  <c r="GJ53" i="72"/>
  <c r="FM7" i="72"/>
  <c r="FM53" i="72"/>
  <c r="EP7" i="72"/>
  <c r="EP53" i="72"/>
  <c r="DS7" i="72"/>
  <c r="DS53" i="72"/>
  <c r="CV7" i="72"/>
  <c r="CV53" i="72"/>
  <c r="BY7" i="72"/>
  <c r="BY53" i="72"/>
  <c r="BB48" i="72"/>
  <c r="BB53" i="72"/>
  <c r="K17" i="75"/>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GZ29" i="72" l="1"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28" i="72"/>
  <c r="CD24" i="72"/>
  <c r="CD20" i="72"/>
  <c r="CD16" i="72"/>
  <c r="CD12" i="72"/>
  <c r="CC24" i="72"/>
  <c r="CC28" i="72"/>
  <c r="CD32" i="72"/>
  <c r="CD27" i="72"/>
  <c r="CD23" i="72"/>
  <c r="CD19" i="72"/>
  <c r="CD15" i="72"/>
  <c r="CB12" i="72"/>
  <c r="CC29" i="72"/>
  <c r="CC21" i="72"/>
  <c r="CC17" i="72"/>
  <c r="CE12" i="72"/>
  <c r="CC33" i="72"/>
  <c r="CC16" i="72"/>
  <c r="CC32" i="72"/>
  <c r="CC27" i="72"/>
  <c r="CC23" i="72"/>
  <c r="CC19" i="72"/>
  <c r="CC15" i="72"/>
  <c r="CA12" i="72"/>
  <c r="CC30" i="72"/>
  <c r="CC22" i="72"/>
  <c r="CC18" i="72"/>
  <c r="CC14" i="72"/>
  <c r="BY12" i="72"/>
  <c r="CD30" i="72"/>
  <c r="CD26" i="72"/>
  <c r="CD22" i="72"/>
  <c r="CD18" i="72"/>
  <c r="CD14" i="72"/>
  <c r="BZ12" i="72"/>
  <c r="CC26" i="72"/>
  <c r="CC25" i="72"/>
  <c r="CC20" i="72"/>
  <c r="CC12" i="72"/>
  <c r="CD29" i="72"/>
  <c r="CD25" i="72"/>
  <c r="CD21" i="72"/>
  <c r="CD17" i="72"/>
  <c r="CF12" i="72"/>
  <c r="CD34" i="72"/>
  <c r="CD33" i="72"/>
  <c r="CC31" i="72"/>
  <c r="CD31" i="72"/>
  <c r="CC34"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C16" i="36" s="1"/>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L6" i="64"/>
  <c r="BY50" i="72"/>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FJ35" i="72" l="1"/>
  <c r="FK24" i="72" s="1"/>
  <c r="FM24" i="72" s="1"/>
  <c r="FS24" i="72" s="1"/>
  <c r="CS35" i="72"/>
  <c r="CT28" i="72" s="1"/>
  <c r="FK17" i="72"/>
  <c r="FM17" i="72" s="1"/>
  <c r="FK31" i="72"/>
  <c r="DP35" i="72"/>
  <c r="DQ14" i="72" s="1"/>
  <c r="DQ17" i="72"/>
  <c r="DS17" i="72" s="1"/>
  <c r="CT20" i="72"/>
  <c r="CV20" i="72" s="1"/>
  <c r="EM35" i="72"/>
  <c r="EN16" i="72" s="1"/>
  <c r="EP16" i="72" s="1"/>
  <c r="EV16" i="72" s="1"/>
  <c r="DQ24" i="72"/>
  <c r="DS24" i="72" s="1"/>
  <c r="CT16" i="72"/>
  <c r="CV16" i="72" s="1"/>
  <c r="CT32" i="72"/>
  <c r="CT26" i="72"/>
  <c r="CT34" i="72"/>
  <c r="DQ25" i="72"/>
  <c r="DS25" i="72" s="1"/>
  <c r="CT30" i="72"/>
  <c r="CT29" i="72"/>
  <c r="FK19" i="72"/>
  <c r="FM19" i="72" s="1"/>
  <c r="FS19" i="72" s="1"/>
  <c r="DQ21" i="72"/>
  <c r="DS21" i="72" s="1"/>
  <c r="FK27" i="72"/>
  <c r="HD35" i="72"/>
  <c r="HE18" i="72" s="1"/>
  <c r="HG18" i="72" s="1"/>
  <c r="HE34" i="72"/>
  <c r="GG35" i="72"/>
  <c r="GH29" i="72" s="1"/>
  <c r="FK32" i="72"/>
  <c r="DQ34" i="72"/>
  <c r="CT22" i="72"/>
  <c r="CV22" i="72" s="1"/>
  <c r="BV35" i="72"/>
  <c r="BW28" i="72" s="1"/>
  <c r="BW14" i="72"/>
  <c r="FK28" i="72"/>
  <c r="CT17" i="72"/>
  <c r="CV17" i="72" s="1"/>
  <c r="HE22" i="72"/>
  <c r="HG22" i="72" s="1"/>
  <c r="DQ18" i="72"/>
  <c r="DS18" i="72" s="1"/>
  <c r="DQ19" i="72"/>
  <c r="DS19" i="72" s="1"/>
  <c r="CT21" i="72"/>
  <c r="CV21" i="72" s="1"/>
  <c r="FK29" i="72"/>
  <c r="HE17" i="72"/>
  <c r="HG17" i="72" s="1"/>
  <c r="HE31" i="72"/>
  <c r="CT24" i="72"/>
  <c r="CV24" i="72" s="1"/>
  <c r="DB24" i="72" s="1"/>
  <c r="CT33" i="72"/>
  <c r="IA35" i="72"/>
  <c r="IB29" i="72" s="1"/>
  <c r="CT25" i="72"/>
  <c r="CV25" i="72" s="1"/>
  <c r="HE29" i="72"/>
  <c r="FK33" i="72"/>
  <c r="DQ26" i="72"/>
  <c r="CT27" i="72"/>
  <c r="DQ27" i="72"/>
  <c r="CT31" i="72"/>
  <c r="DQ30" i="72"/>
  <c r="DQ23" i="72"/>
  <c r="DS23" i="72" s="1"/>
  <c r="DY23" i="72" s="1"/>
  <c r="CT18" i="72"/>
  <c r="CV18" i="72" s="1"/>
  <c r="DB18" i="72" s="1"/>
  <c r="FK18" i="72"/>
  <c r="FM18" i="72" s="1"/>
  <c r="IY21" i="72"/>
  <c r="JA21" i="72" s="1"/>
  <c r="JH21" i="72" s="1"/>
  <c r="IX35" i="72"/>
  <c r="IY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DC25" i="72"/>
  <c r="DB22" i="72"/>
  <c r="HM17" i="72"/>
  <c r="FT18" i="72"/>
  <c r="DC21" i="72"/>
  <c r="DB16" i="72"/>
  <c r="JE22" i="72"/>
  <c r="JF19" i="72"/>
  <c r="JE19" i="72"/>
  <c r="JF16" i="72"/>
  <c r="JE14" i="72"/>
  <c r="JA12" i="72"/>
  <c r="JB12" i="72"/>
  <c r="JE30" i="72"/>
  <c r="JF27" i="72"/>
  <c r="JF30" i="72"/>
  <c r="JF28" i="72"/>
  <c r="JG12" i="72"/>
  <c r="JE31" i="72"/>
  <c r="JE32" i="72"/>
  <c r="JC12" i="72"/>
  <c r="JF17" i="72"/>
  <c r="JF12" i="72"/>
  <c r="JF26" i="72"/>
  <c r="JH12" i="72"/>
  <c r="JF32" i="72"/>
  <c r="JF14" i="72"/>
  <c r="JE20" i="72"/>
  <c r="JF15" i="72"/>
  <c r="JE29" i="72"/>
  <c r="JE16" i="72"/>
  <c r="JE17" i="72"/>
  <c r="JF25" i="72"/>
  <c r="JF23" i="72"/>
  <c r="JF34" i="72"/>
  <c r="JF21" i="72"/>
  <c r="JF22" i="72"/>
  <c r="JE28" i="72"/>
  <c r="JE26" i="72"/>
  <c r="JE15" i="72"/>
  <c r="JE24" i="72"/>
  <c r="JE25" i="72"/>
  <c r="JF33" i="72"/>
  <c r="JE34" i="72"/>
  <c r="JE23" i="72"/>
  <c r="JF29" i="72"/>
  <c r="JE33" i="72"/>
  <c r="JE12" i="72"/>
  <c r="JF18" i="72"/>
  <c r="JE18" i="72"/>
  <c r="JF24" i="72"/>
  <c r="JD12" i="72"/>
  <c r="JF20" i="72"/>
  <c r="JE21" i="72"/>
  <c r="JF31" i="72"/>
  <c r="JE27" i="72"/>
  <c r="IH33" i="72"/>
  <c r="IH17" i="72"/>
  <c r="II30" i="72"/>
  <c r="IH16" i="72"/>
  <c r="IH30" i="72"/>
  <c r="II14" i="72"/>
  <c r="II27" i="72"/>
  <c r="IH14" i="72"/>
  <c r="IH25" i="72"/>
  <c r="IK12" i="72"/>
  <c r="II22" i="72"/>
  <c r="IF12" i="72"/>
  <c r="II19" i="72"/>
  <c r="IH22" i="72"/>
  <c r="IE12" i="72"/>
  <c r="II32" i="72"/>
  <c r="IH15" i="72"/>
  <c r="II23" i="72"/>
  <c r="IH29" i="72"/>
  <c r="IH19" i="72"/>
  <c r="IG12" i="72"/>
  <c r="II20" i="72"/>
  <c r="IH26" i="72"/>
  <c r="II34" i="72"/>
  <c r="II24" i="72"/>
  <c r="II17" i="72"/>
  <c r="IH23" i="72"/>
  <c r="II31" i="72"/>
  <c r="II21" i="72"/>
  <c r="IH27" i="72"/>
  <c r="IH20" i="72"/>
  <c r="II28" i="72"/>
  <c r="IH34" i="72"/>
  <c r="IH24" i="72"/>
  <c r="II25" i="72"/>
  <c r="IH31" i="72"/>
  <c r="IJ12" i="72"/>
  <c r="II29" i="72"/>
  <c r="IH28" i="72"/>
  <c r="II12" i="72"/>
  <c r="II18" i="72"/>
  <c r="IH32" i="72"/>
  <c r="II33" i="72"/>
  <c r="II15" i="72"/>
  <c r="IH21" i="72"/>
  <c r="ID12" i="72"/>
  <c r="IH12" i="72"/>
  <c r="IH18" i="72"/>
  <c r="II26" i="72"/>
  <c r="II16" i="72"/>
  <c r="HK31" i="72"/>
  <c r="HL24" i="72"/>
  <c r="HL19" i="72"/>
  <c r="HK14" i="72"/>
  <c r="HK30" i="72"/>
  <c r="HK24" i="72"/>
  <c r="HK19" i="72"/>
  <c r="HN12" i="72"/>
  <c r="HK32" i="72"/>
  <c r="HL25" i="72"/>
  <c r="HK20" i="72"/>
  <c r="HK15" i="72"/>
  <c r="HL29" i="72"/>
  <c r="HL23" i="72"/>
  <c r="HK18" i="72"/>
  <c r="HL12" i="72"/>
  <c r="HK12" i="72"/>
  <c r="HK28" i="72"/>
  <c r="HK22" i="72"/>
  <c r="HL16" i="72"/>
  <c r="HJ12" i="72"/>
  <c r="HL27" i="72"/>
  <c r="HL28" i="72"/>
  <c r="HK23" i="72"/>
  <c r="HL17" i="72"/>
  <c r="HL33" i="72"/>
  <c r="HL21" i="72"/>
  <c r="HK16" i="72"/>
  <c r="HH12" i="72"/>
  <c r="HL32" i="72"/>
  <c r="HK27" i="72"/>
  <c r="HL20" i="72"/>
  <c r="HL15" i="72"/>
  <c r="HG12" i="72"/>
  <c r="HL34" i="72"/>
  <c r="HK33" i="72"/>
  <c r="HK29" i="72"/>
  <c r="HK26" i="72"/>
  <c r="HI12" i="72"/>
  <c r="HL31" i="72"/>
  <c r="HL14" i="72"/>
  <c r="HK34" i="72"/>
  <c r="HK17" i="72"/>
  <c r="HM12" i="72"/>
  <c r="HL22" i="72"/>
  <c r="HL18" i="72"/>
  <c r="HK25" i="72"/>
  <c r="HK21" i="72"/>
  <c r="HL30" i="72"/>
  <c r="HL26" i="72"/>
  <c r="HM22" i="72"/>
  <c r="GO34" i="72"/>
  <c r="GN30" i="72"/>
  <c r="GN26" i="72"/>
  <c r="GN22" i="72"/>
  <c r="GN18" i="72"/>
  <c r="GN14" i="72"/>
  <c r="GJ12" i="72"/>
  <c r="GO33" i="72"/>
  <c r="GN29" i="72"/>
  <c r="GN21" i="72"/>
  <c r="GN17" i="72"/>
  <c r="GM12" i="72"/>
  <c r="GN31" i="72"/>
  <c r="GN19" i="72"/>
  <c r="GL12" i="72"/>
  <c r="GN34" i="72"/>
  <c r="GO29" i="72"/>
  <c r="GO25" i="72"/>
  <c r="GO21" i="72"/>
  <c r="GO17" i="72"/>
  <c r="GQ12" i="72"/>
  <c r="GN23" i="72"/>
  <c r="GO30" i="72"/>
  <c r="GO26" i="72"/>
  <c r="GO22" i="72"/>
  <c r="GO14" i="72"/>
  <c r="GK12" i="72"/>
  <c r="GN25" i="72"/>
  <c r="GP12" i="72"/>
  <c r="GN27" i="72"/>
  <c r="GN15" i="72"/>
  <c r="GO18" i="72"/>
  <c r="GN33" i="72"/>
  <c r="GO28" i="72"/>
  <c r="GO24" i="72"/>
  <c r="GO20" i="72"/>
  <c r="GO16" i="72"/>
  <c r="GO12" i="72"/>
  <c r="GO31" i="72"/>
  <c r="GO27" i="72"/>
  <c r="GO32" i="72"/>
  <c r="GN28" i="72"/>
  <c r="GN24" i="72"/>
  <c r="GN20" i="72"/>
  <c r="GN16" i="72"/>
  <c r="GN12" i="72"/>
  <c r="GO23" i="72"/>
  <c r="GO19" i="72"/>
  <c r="GO15" i="72"/>
  <c r="GN32" i="72"/>
  <c r="FR31" i="72"/>
  <c r="FR27" i="72"/>
  <c r="FR23" i="72"/>
  <c r="FR19" i="72"/>
  <c r="FR15" i="72"/>
  <c r="FP12" i="72"/>
  <c r="FQ31" i="72"/>
  <c r="FQ27" i="72"/>
  <c r="FQ23" i="72"/>
  <c r="FQ19" i="72"/>
  <c r="FQ15" i="72"/>
  <c r="FO12" i="72"/>
  <c r="FR34" i="72"/>
  <c r="FR30" i="72"/>
  <c r="FR26" i="72"/>
  <c r="FR22" i="72"/>
  <c r="FR18" i="72"/>
  <c r="FR14" i="72"/>
  <c r="FN12" i="72"/>
  <c r="FQ34" i="72"/>
  <c r="FQ30" i="72"/>
  <c r="FQ26" i="72"/>
  <c r="FQ22" i="72"/>
  <c r="FQ18" i="72"/>
  <c r="FQ14" i="72"/>
  <c r="FM12" i="72"/>
  <c r="FQ32" i="72"/>
  <c r="FQ28" i="72"/>
  <c r="FQ24" i="72"/>
  <c r="FQ20" i="72"/>
  <c r="FQ16" i="72"/>
  <c r="FQ12" i="72"/>
  <c r="FR33" i="72"/>
  <c r="FR29" i="72"/>
  <c r="FR25" i="72"/>
  <c r="FR21" i="72"/>
  <c r="FR17" i="72"/>
  <c r="FT12" i="72"/>
  <c r="FQ33" i="72"/>
  <c r="FQ29" i="72"/>
  <c r="FQ25" i="72"/>
  <c r="FQ21" i="72"/>
  <c r="FQ17" i="72"/>
  <c r="FS12" i="72"/>
  <c r="FR32" i="72"/>
  <c r="FR28" i="72"/>
  <c r="FR24" i="72"/>
  <c r="FR20" i="72"/>
  <c r="FR12" i="72"/>
  <c r="FR16" i="72"/>
  <c r="FS17" i="72"/>
  <c r="ET28" i="72"/>
  <c r="EU21" i="72"/>
  <c r="EU17" i="72"/>
  <c r="EW12" i="72"/>
  <c r="EU27" i="72"/>
  <c r="ET21" i="72"/>
  <c r="ET17" i="72"/>
  <c r="EV12" i="72"/>
  <c r="EU12" i="72"/>
  <c r="EU31" i="72"/>
  <c r="EU19" i="72"/>
  <c r="ES12" i="72"/>
  <c r="ET19" i="72"/>
  <c r="ET26" i="72"/>
  <c r="EU20" i="72"/>
  <c r="EU16" i="72"/>
  <c r="EU24" i="72"/>
  <c r="EU15" i="72"/>
  <c r="EU23" i="72"/>
  <c r="ET33" i="72"/>
  <c r="ET25" i="72"/>
  <c r="ET20" i="72"/>
  <c r="ET16" i="72"/>
  <c r="ET12" i="72"/>
  <c r="ET30" i="72"/>
  <c r="ER12" i="72"/>
  <c r="ET18" i="72"/>
  <c r="ET15" i="72"/>
  <c r="EU28" i="72"/>
  <c r="ET22" i="72"/>
  <c r="ET14" i="72"/>
  <c r="EP12" i="72"/>
  <c r="EU29" i="72"/>
  <c r="EU22" i="72"/>
  <c r="EU18" i="72"/>
  <c r="EU14" i="72"/>
  <c r="EQ12" i="72"/>
  <c r="EU32" i="72"/>
  <c r="EU30" i="72"/>
  <c r="ET34" i="72"/>
  <c r="ET24" i="72"/>
  <c r="ET31" i="72"/>
  <c r="EU33" i="72"/>
  <c r="ET27" i="72"/>
  <c r="EU26" i="72"/>
  <c r="ET32" i="72"/>
  <c r="ET29" i="72"/>
  <c r="EU34" i="72"/>
  <c r="EU25" i="72"/>
  <c r="ET23" i="72"/>
  <c r="DV18" i="72"/>
  <c r="DW21" i="72"/>
  <c r="DW19" i="72"/>
  <c r="DX22" i="72"/>
  <c r="DZ12" i="72"/>
  <c r="DW29" i="72"/>
  <c r="DX33" i="72"/>
  <c r="DX21" i="72"/>
  <c r="DW16" i="72"/>
  <c r="DY12" i="72"/>
  <c r="DW34" i="72"/>
  <c r="DX19" i="72"/>
  <c r="DX18" i="72"/>
  <c r="DW23" i="72"/>
  <c r="DW15" i="72"/>
  <c r="DX30" i="72"/>
  <c r="DX17" i="72"/>
  <c r="DU12" i="72"/>
  <c r="DW31" i="72"/>
  <c r="DW27" i="72"/>
  <c r="DW20" i="72"/>
  <c r="DX26" i="72"/>
  <c r="DX16" i="72"/>
  <c r="DX15" i="72"/>
  <c r="DW30" i="72"/>
  <c r="DW26" i="72"/>
  <c r="DW22" i="72"/>
  <c r="DW14" i="72"/>
  <c r="DX23" i="72"/>
  <c r="DW17" i="72"/>
  <c r="DX25" i="72"/>
  <c r="DX14" i="72"/>
  <c r="DW24" i="72"/>
  <c r="DX32" i="72"/>
  <c r="DW12" i="72"/>
  <c r="DX31" i="72"/>
  <c r="DV12" i="72"/>
  <c r="DW18" i="72"/>
  <c r="DX34" i="72"/>
  <c r="DW33" i="72"/>
  <c r="DW32" i="72"/>
  <c r="DX27" i="72"/>
  <c r="DX12" i="72"/>
  <c r="DX28" i="72"/>
  <c r="DW25" i="72"/>
  <c r="DS12" i="72"/>
  <c r="DX20" i="72"/>
  <c r="DW28" i="72"/>
  <c r="DX24" i="72"/>
  <c r="DX29" i="72"/>
  <c r="DT12" i="72"/>
  <c r="DZ25" i="72"/>
  <c r="DZ19" i="72"/>
  <c r="DZ24" i="72"/>
  <c r="DZ17" i="72"/>
  <c r="DC20" i="72"/>
  <c r="DA33" i="72"/>
  <c r="DA29" i="72"/>
  <c r="DA25" i="72"/>
  <c r="DA21" i="72"/>
  <c r="DA17" i="72"/>
  <c r="DC12" i="72"/>
  <c r="DA19" i="72"/>
  <c r="CZ27" i="72"/>
  <c r="CZ33" i="72"/>
  <c r="CZ29" i="72"/>
  <c r="CZ25" i="72"/>
  <c r="CZ21" i="72"/>
  <c r="CZ17" i="72"/>
  <c r="DB12" i="72"/>
  <c r="CZ24" i="72"/>
  <c r="CZ12" i="72"/>
  <c r="DA27" i="72"/>
  <c r="DA15" i="72"/>
  <c r="CZ15" i="72"/>
  <c r="DA32" i="72"/>
  <c r="DA28" i="72"/>
  <c r="DA24" i="72"/>
  <c r="DA20" i="72"/>
  <c r="DA16" i="72"/>
  <c r="DA12" i="72"/>
  <c r="CZ32" i="72"/>
  <c r="CZ16" i="72"/>
  <c r="CZ19" i="72"/>
  <c r="CZ23" i="72"/>
  <c r="DA34" i="72"/>
  <c r="DA30" i="72"/>
  <c r="DA26" i="72"/>
  <c r="DA22" i="72"/>
  <c r="DA18" i="72"/>
  <c r="DA14" i="72"/>
  <c r="CW12" i="72"/>
  <c r="CZ31" i="72"/>
  <c r="CZ34" i="72"/>
  <c r="CZ30" i="72"/>
  <c r="CZ26" i="72"/>
  <c r="CZ22" i="72"/>
  <c r="CZ18" i="72"/>
  <c r="CZ14" i="72"/>
  <c r="CV12" i="72"/>
  <c r="CZ28" i="72"/>
  <c r="CZ20" i="72"/>
  <c r="DA31" i="72"/>
  <c r="DA23" i="72"/>
  <c r="CY12" i="72"/>
  <c r="CX12" i="72"/>
  <c r="DC17" i="72"/>
  <c r="BF34" i="72"/>
  <c r="BG28" i="72"/>
  <c r="BF23" i="72"/>
  <c r="BG16" i="72"/>
  <c r="BF28" i="72"/>
  <c r="BG15" i="72"/>
  <c r="BG25" i="72"/>
  <c r="BE12" i="72"/>
  <c r="BF33" i="72"/>
  <c r="BG27" i="72"/>
  <c r="BF21" i="72"/>
  <c r="BI12" i="72"/>
  <c r="BG31" i="72"/>
  <c r="BG26" i="72"/>
  <c r="BF20" i="72"/>
  <c r="BG12" i="72"/>
  <c r="BG29" i="72"/>
  <c r="BF25" i="72"/>
  <c r="BF18" i="72"/>
  <c r="BC12" i="72"/>
  <c r="BF22" i="72"/>
  <c r="BF31" i="72"/>
  <c r="BF26" i="72"/>
  <c r="BG19" i="72"/>
  <c r="BF12" i="72"/>
  <c r="BF30" i="72"/>
  <c r="BF19" i="72"/>
  <c r="BF29" i="72"/>
  <c r="BG23" i="72"/>
  <c r="BF17" i="72"/>
  <c r="BB12" i="72"/>
  <c r="BG33" i="72"/>
  <c r="BG20" i="72"/>
  <c r="BF16" i="72"/>
  <c r="BG22" i="72"/>
  <c r="BG24" i="72"/>
  <c r="BH12" i="72"/>
  <c r="BF24" i="72"/>
  <c r="BF27" i="72"/>
  <c r="BF15" i="72"/>
  <c r="BG30" i="72"/>
  <c r="BG32" i="72"/>
  <c r="BG18" i="72"/>
  <c r="BG14" i="72"/>
  <c r="BG17" i="72"/>
  <c r="BF32" i="72"/>
  <c r="BF14" i="72"/>
  <c r="BD12" i="72"/>
  <c r="BG21" i="72"/>
  <c r="BG34" i="72"/>
  <c r="DC22" i="72"/>
  <c r="HN18" i="72"/>
  <c r="HJ18" i="72"/>
  <c r="HH18" i="72"/>
  <c r="HM18" i="72"/>
  <c r="FT17" i="72"/>
  <c r="DY21" i="72"/>
  <c r="DZ21" i="72"/>
  <c r="DT21" i="72"/>
  <c r="DV21" i="72"/>
  <c r="DC16" i="72"/>
  <c r="CW20" i="72"/>
  <c r="CV32" i="72" s="1"/>
  <c r="DC32" i="72" s="1"/>
  <c r="CW16" i="72"/>
  <c r="CV28" i="72" s="1"/>
  <c r="DC28" i="72" s="1"/>
  <c r="CY16" i="72"/>
  <c r="CY22" i="72"/>
  <c r="CW22" i="72"/>
  <c r="CY18" i="72"/>
  <c r="D15" i="36"/>
  <c r="S15" i="36" s="1"/>
  <c r="AB37" i="72"/>
  <c r="EP50" i="72"/>
  <c r="CV50" i="72"/>
  <c r="GJ50" i="72"/>
  <c r="FM50" i="72"/>
  <c r="AA11" i="75" s="1"/>
  <c r="ID50" i="72"/>
  <c r="DS50" i="72"/>
  <c r="CC35" i="72"/>
  <c r="CD35" i="72"/>
  <c r="BB4" i="72"/>
  <c r="D94" i="54"/>
  <c r="D84" i="64" s="1"/>
  <c r="P38" i="64" s="1"/>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AD5" i="75"/>
  <c r="BB50" i="72"/>
  <c r="DS4" i="72"/>
  <c r="JA50" i="72"/>
  <c r="HG50" i="72"/>
  <c r="JA4" i="72"/>
  <c r="ID4" i="72"/>
  <c r="GJ4" i="72"/>
  <c r="HG4" i="72"/>
  <c r="EP4" i="72"/>
  <c r="CV4" i="72"/>
  <c r="FM4" i="72"/>
  <c r="B76" i="64"/>
  <c r="B59" i="64"/>
  <c r="B53" i="64"/>
  <c r="B36" i="64"/>
  <c r="B26" i="64"/>
  <c r="B14" i="64"/>
  <c r="T26" i="64"/>
  <c r="U26" i="64" s="1"/>
  <c r="J36" i="64"/>
  <c r="K36" i="64" s="1"/>
  <c r="T14" i="64"/>
  <c r="U14" i="64" s="1"/>
  <c r="O14" i="64"/>
  <c r="P14" i="64" s="1"/>
  <c r="IY29" i="72" l="1"/>
  <c r="IY19" i="72"/>
  <c r="JA19" i="72" s="1"/>
  <c r="JG19" i="72" s="1"/>
  <c r="DQ28" i="72"/>
  <c r="HE20" i="72"/>
  <c r="HG20" i="72" s="1"/>
  <c r="HM20" i="72" s="1"/>
  <c r="HE24" i="72"/>
  <c r="HG24" i="72" s="1"/>
  <c r="HJ24" i="72" s="1"/>
  <c r="EN30" i="72"/>
  <c r="GH30" i="72"/>
  <c r="EN24" i="72"/>
  <c r="EP24" i="72" s="1"/>
  <c r="EN32" i="72"/>
  <c r="EN20" i="72"/>
  <c r="EP20" i="72" s="1"/>
  <c r="EW20" i="72" s="1"/>
  <c r="EN28" i="72"/>
  <c r="EN31" i="72"/>
  <c r="EN33" i="72"/>
  <c r="BW15" i="72"/>
  <c r="BY15" i="72" s="1"/>
  <c r="HE14" i="72"/>
  <c r="EN27" i="72"/>
  <c r="EN19" i="72"/>
  <c r="EP19" i="72" s="1"/>
  <c r="ES19" i="72" s="1"/>
  <c r="GH18" i="72"/>
  <c r="GJ18" i="72" s="1"/>
  <c r="GM18" i="72" s="1"/>
  <c r="GH34" i="72"/>
  <c r="HE21" i="72"/>
  <c r="HG21" i="72" s="1"/>
  <c r="CT23" i="72"/>
  <c r="CV23" i="72" s="1"/>
  <c r="DB23" i="72" s="1"/>
  <c r="HE27" i="72"/>
  <c r="FK14" i="72"/>
  <c r="EN23" i="72"/>
  <c r="EP23" i="72" s="1"/>
  <c r="EV23" i="72" s="1"/>
  <c r="IY23" i="72"/>
  <c r="JA23" i="72" s="1"/>
  <c r="JD23" i="72" s="1"/>
  <c r="CT15" i="72"/>
  <c r="CV15" i="72" s="1"/>
  <c r="DC15" i="72" s="1"/>
  <c r="CV34" i="72"/>
  <c r="DC34" i="72" s="1"/>
  <c r="EN15" i="72"/>
  <c r="EP15" i="72" s="1"/>
  <c r="GH32" i="72"/>
  <c r="HE23" i="72"/>
  <c r="HG23" i="72" s="1"/>
  <c r="HN23" i="72" s="1"/>
  <c r="FK21" i="72"/>
  <c r="FM21" i="72" s="1"/>
  <c r="DQ22" i="72"/>
  <c r="DS22" i="72" s="1"/>
  <c r="DT22" i="72" s="1"/>
  <c r="EN17" i="72"/>
  <c r="EP17" i="72" s="1"/>
  <c r="DQ33" i="72"/>
  <c r="CT19" i="72"/>
  <c r="CV19" i="72" s="1"/>
  <c r="DQ35" i="72"/>
  <c r="DS14" i="72"/>
  <c r="DV14" i="72" s="1"/>
  <c r="BW35" i="72"/>
  <c r="BY14" i="72"/>
  <c r="IB22" i="72"/>
  <c r="ID22" i="72" s="1"/>
  <c r="IK22" i="72" s="1"/>
  <c r="IB33" i="72"/>
  <c r="IB20" i="72"/>
  <c r="ID20" i="72" s="1"/>
  <c r="IB34" i="72"/>
  <c r="HE26" i="72"/>
  <c r="FK35" i="72"/>
  <c r="FM14" i="72"/>
  <c r="IB14" i="72"/>
  <c r="BW31" i="72"/>
  <c r="IB30" i="72"/>
  <c r="IY22" i="72"/>
  <c r="JA22" i="72" s="1"/>
  <c r="JG22" i="72" s="1"/>
  <c r="IY25" i="72"/>
  <c r="JA25" i="72" s="1"/>
  <c r="IB19" i="72"/>
  <c r="ID19" i="72" s="1"/>
  <c r="IJ19" i="72" s="1"/>
  <c r="BW24" i="72"/>
  <c r="BY24" i="72" s="1"/>
  <c r="IY15" i="72"/>
  <c r="JA15" i="72" s="1"/>
  <c r="IB24" i="72"/>
  <c r="ID24" i="72" s="1"/>
  <c r="EN34" i="72"/>
  <c r="IB15" i="72"/>
  <c r="ID15" i="72" s="1"/>
  <c r="BW20" i="72"/>
  <c r="BY20" i="72" s="1"/>
  <c r="HE35" i="72"/>
  <c r="HG14" i="72"/>
  <c r="HM14" i="72" s="1"/>
  <c r="BW29" i="72"/>
  <c r="IB28" i="72"/>
  <c r="GH21" i="72"/>
  <c r="GJ21" i="72" s="1"/>
  <c r="BW32" i="72"/>
  <c r="BW21" i="72"/>
  <c r="BY21" i="72" s="1"/>
  <c r="IB27" i="72"/>
  <c r="BW16" i="72"/>
  <c r="BY16" i="72" s="1"/>
  <c r="HE25" i="72"/>
  <c r="HG25" i="72" s="1"/>
  <c r="HM25" i="72" s="1"/>
  <c r="BW22" i="72"/>
  <c r="BY22" i="72" s="1"/>
  <c r="GH22" i="72"/>
  <c r="GJ22" i="72" s="1"/>
  <c r="JA14" i="72"/>
  <c r="JG14" i="72" s="1"/>
  <c r="IY35" i="72"/>
  <c r="IY34" i="72"/>
  <c r="BW17" i="72"/>
  <c r="BY17" i="72" s="1"/>
  <c r="BW18" i="72"/>
  <c r="BY18" i="72" s="1"/>
  <c r="GH31" i="72"/>
  <c r="HE15" i="72"/>
  <c r="HG15" i="72" s="1"/>
  <c r="HM15" i="72" s="1"/>
  <c r="IB32" i="72"/>
  <c r="GH17" i="72"/>
  <c r="GJ17" i="72" s="1"/>
  <c r="GP17" i="72" s="1"/>
  <c r="EN14" i="72"/>
  <c r="EN21" i="72"/>
  <c r="EP21" i="72" s="1"/>
  <c r="EQ21" i="72" s="1"/>
  <c r="IY30" i="72"/>
  <c r="DQ29" i="72"/>
  <c r="EN29" i="72"/>
  <c r="EN25" i="72"/>
  <c r="EP25" i="72" s="1"/>
  <c r="EV25" i="72" s="1"/>
  <c r="IY20" i="72"/>
  <c r="JA20" i="72" s="1"/>
  <c r="JG20" i="72" s="1"/>
  <c r="EN22" i="72"/>
  <c r="EP22" i="72" s="1"/>
  <c r="EN18" i="72"/>
  <c r="EP18" i="72" s="1"/>
  <c r="EV18" i="72" s="1"/>
  <c r="BW23" i="72"/>
  <c r="BY23" i="72" s="1"/>
  <c r="GH28" i="72"/>
  <c r="IY17" i="72"/>
  <c r="JA17" i="72" s="1"/>
  <c r="JG17" i="72" s="1"/>
  <c r="IY26" i="72"/>
  <c r="IY32" i="72"/>
  <c r="FK15" i="72"/>
  <c r="FM15" i="72" s="1"/>
  <c r="FS15" i="72" s="1"/>
  <c r="FK30" i="72"/>
  <c r="FK23" i="72"/>
  <c r="FM23" i="72" s="1"/>
  <c r="FS23" i="72" s="1"/>
  <c r="BW26" i="72"/>
  <c r="DQ15" i="72"/>
  <c r="DS15" i="72" s="1"/>
  <c r="DZ15" i="72" s="1"/>
  <c r="CT14" i="72"/>
  <c r="HE32" i="72"/>
  <c r="HE16" i="72"/>
  <c r="HG16" i="72" s="1"/>
  <c r="HN16" i="72" s="1"/>
  <c r="BW19" i="72"/>
  <c r="BY19" i="72" s="1"/>
  <c r="GH20" i="72"/>
  <c r="GJ20" i="72" s="1"/>
  <c r="IY27" i="72"/>
  <c r="GH14" i="72"/>
  <c r="IB31" i="72"/>
  <c r="BW27" i="72"/>
  <c r="GH26" i="72"/>
  <c r="BW33" i="72"/>
  <c r="GH33" i="72"/>
  <c r="GH19" i="72"/>
  <c r="GJ19" i="72" s="1"/>
  <c r="GQ19" i="72" s="1"/>
  <c r="BW30" i="72"/>
  <c r="FK22" i="72"/>
  <c r="FM22" i="72" s="1"/>
  <c r="FT22" i="72" s="1"/>
  <c r="FK34" i="72"/>
  <c r="BW25" i="72"/>
  <c r="BY25" i="72" s="1"/>
  <c r="FK16" i="72"/>
  <c r="FM16" i="72" s="1"/>
  <c r="FS16" i="72" s="1"/>
  <c r="DQ32" i="72"/>
  <c r="GH16" i="72"/>
  <c r="GJ16" i="72" s="1"/>
  <c r="IB17" i="72"/>
  <c r="ID17" i="72" s="1"/>
  <c r="IJ17" i="72" s="1"/>
  <c r="IB16" i="72"/>
  <c r="ID16" i="72" s="1"/>
  <c r="IJ16" i="72" s="1"/>
  <c r="HE19" i="72"/>
  <c r="HG19" i="72" s="1"/>
  <c r="HM19" i="72" s="1"/>
  <c r="GH24" i="72"/>
  <c r="GJ24" i="72" s="1"/>
  <c r="GQ24" i="72" s="1"/>
  <c r="IY33" i="72"/>
  <c r="IY28" i="72"/>
  <c r="GH27" i="72"/>
  <c r="DQ31" i="72"/>
  <c r="GH23" i="72"/>
  <c r="GJ23" i="72" s="1"/>
  <c r="GQ23" i="72" s="1"/>
  <c r="BW34" i="72"/>
  <c r="FK20" i="72"/>
  <c r="FM20" i="72" s="1"/>
  <c r="IY16" i="72"/>
  <c r="JA16" i="72" s="1"/>
  <c r="JH16" i="72" s="1"/>
  <c r="IB25" i="72"/>
  <c r="ID25" i="72" s="1"/>
  <c r="IB23" i="72"/>
  <c r="ID23" i="72" s="1"/>
  <c r="IJ23" i="72" s="1"/>
  <c r="FK25" i="72"/>
  <c r="FM25" i="72" s="1"/>
  <c r="FS25" i="72" s="1"/>
  <c r="IY18" i="72"/>
  <c r="JA18" i="72" s="1"/>
  <c r="FK26" i="72"/>
  <c r="HE33" i="72"/>
  <c r="HE30" i="72"/>
  <c r="DQ20" i="72"/>
  <c r="DS20" i="72" s="1"/>
  <c r="DZ20" i="72" s="1"/>
  <c r="HE28" i="72"/>
  <c r="IB21" i="72"/>
  <c r="ID21" i="72" s="1"/>
  <c r="IJ21" i="72" s="1"/>
  <c r="DQ16" i="72"/>
  <c r="DS16" i="72" s="1"/>
  <c r="DZ16" i="72" s="1"/>
  <c r="IY31" i="72"/>
  <c r="EN26" i="72"/>
  <c r="IY24" i="72"/>
  <c r="JA24" i="72" s="1"/>
  <c r="JG24" i="72" s="1"/>
  <c r="IB18" i="72"/>
  <c r="ID18" i="72" s="1"/>
  <c r="GH25" i="72"/>
  <c r="GJ25" i="72" s="1"/>
  <c r="GP25" i="72" s="1"/>
  <c r="GH15" i="72"/>
  <c r="GJ15" i="72" s="1"/>
  <c r="GP15" i="72" s="1"/>
  <c r="IB26" i="72"/>
  <c r="CW28" i="72"/>
  <c r="HI18" i="72"/>
  <c r="HG30" i="72"/>
  <c r="HN30" i="72" s="1"/>
  <c r="ER21" i="72"/>
  <c r="EP33" i="72"/>
  <c r="ES33" i="72" s="1"/>
  <c r="DU21" i="72"/>
  <c r="DS33" i="72"/>
  <c r="DT33" i="72" s="1"/>
  <c r="DU33" i="72" s="1"/>
  <c r="CY28" i="72"/>
  <c r="CY20" i="72"/>
  <c r="IE18" i="72"/>
  <c r="DB20" i="72"/>
  <c r="GM17" i="72"/>
  <c r="GK17" i="72"/>
  <c r="GK19" i="72"/>
  <c r="GQ17" i="72"/>
  <c r="GM19" i="72"/>
  <c r="GP19" i="72"/>
  <c r="FN19" i="72"/>
  <c r="FP19" i="72"/>
  <c r="FT19" i="72"/>
  <c r="EQ20" i="72"/>
  <c r="DV25" i="72"/>
  <c r="DY25" i="72"/>
  <c r="DT25" i="72"/>
  <c r="DU25" i="72" s="1"/>
  <c r="DB28" i="72"/>
  <c r="IE19" i="72"/>
  <c r="IK19" i="72"/>
  <c r="IE17" i="72"/>
  <c r="IG19" i="72"/>
  <c r="FN17" i="72"/>
  <c r="FP17" i="72"/>
  <c r="DT18" i="72"/>
  <c r="DZ18" i="72"/>
  <c r="DV24" i="72"/>
  <c r="DT24" i="72"/>
  <c r="DU24" i="72" s="1"/>
  <c r="DY24" i="72"/>
  <c r="DY18" i="72"/>
  <c r="HN24" i="72"/>
  <c r="HM24" i="72"/>
  <c r="HH24" i="72"/>
  <c r="HI24" i="72" s="1"/>
  <c r="HM23" i="72"/>
  <c r="FP22" i="72"/>
  <c r="FS22" i="72"/>
  <c r="FN22" i="72"/>
  <c r="JH15" i="72"/>
  <c r="JB21" i="72"/>
  <c r="JD21" i="72"/>
  <c r="JG21" i="72"/>
  <c r="JB22" i="72"/>
  <c r="JD22" i="72"/>
  <c r="JH22" i="72"/>
  <c r="JB15" i="72"/>
  <c r="IE21" i="72"/>
  <c r="HN17" i="72"/>
  <c r="HJ20" i="72"/>
  <c r="HM30" i="72"/>
  <c r="GP18" i="72"/>
  <c r="GQ18" i="72"/>
  <c r="FN18" i="72"/>
  <c r="FT24" i="72"/>
  <c r="FT23" i="72"/>
  <c r="CY24" i="72"/>
  <c r="DB21" i="72"/>
  <c r="CY23" i="72"/>
  <c r="CW24" i="72"/>
  <c r="DC24" i="72"/>
  <c r="CY21" i="72"/>
  <c r="CW21" i="72"/>
  <c r="CV33" i="72" s="1"/>
  <c r="DC33" i="72" s="1"/>
  <c r="GM15" i="72"/>
  <c r="GK18" i="72"/>
  <c r="GK15" i="72"/>
  <c r="GQ15" i="72"/>
  <c r="CW25" i="72"/>
  <c r="DB25" i="72"/>
  <c r="CY25" i="72"/>
  <c r="JB17" i="72"/>
  <c r="JD17" i="72"/>
  <c r="JH17" i="72"/>
  <c r="FN24" i="72"/>
  <c r="FO24" i="72" s="1"/>
  <c r="FP18" i="72"/>
  <c r="FS18" i="72"/>
  <c r="FP24" i="72"/>
  <c r="EW23" i="72"/>
  <c r="CW34" i="72"/>
  <c r="CY34" i="72"/>
  <c r="DB34" i="72"/>
  <c r="CW15" i="72"/>
  <c r="CV27" i="72" s="1"/>
  <c r="DB15" i="72"/>
  <c r="CY15" i="72"/>
  <c r="JB20" i="72"/>
  <c r="JD20" i="72"/>
  <c r="JH20" i="72"/>
  <c r="JB16" i="72"/>
  <c r="JG16" i="72"/>
  <c r="JD14" i="72"/>
  <c r="JB14" i="72"/>
  <c r="JH14" i="72"/>
  <c r="HH20" i="72"/>
  <c r="HN20" i="72"/>
  <c r="HJ23" i="72"/>
  <c r="HH23" i="72"/>
  <c r="HI23" i="72" s="1"/>
  <c r="HH30" i="72"/>
  <c r="HI30" i="72" s="1"/>
  <c r="FS20" i="72"/>
  <c r="FP16" i="72"/>
  <c r="DT17" i="72"/>
  <c r="DT15" i="72"/>
  <c r="CW18" i="72"/>
  <c r="CV30" i="72" s="1"/>
  <c r="DC18" i="72"/>
  <c r="JD19" i="72"/>
  <c r="JB19" i="72"/>
  <c r="JH19" i="72"/>
  <c r="IG17" i="72"/>
  <c r="IK17" i="72"/>
  <c r="IK23" i="72"/>
  <c r="IG21" i="72"/>
  <c r="IK21" i="72"/>
  <c r="IE23" i="72"/>
  <c r="IF23" i="72" s="1"/>
  <c r="IG23" i="72"/>
  <c r="HJ14" i="72"/>
  <c r="HJ19" i="72"/>
  <c r="HH14" i="72"/>
  <c r="HH19" i="72"/>
  <c r="HN14" i="72"/>
  <c r="HN19" i="72"/>
  <c r="HH17" i="72"/>
  <c r="HJ17" i="72"/>
  <c r="GM25" i="72"/>
  <c r="GM23" i="72"/>
  <c r="GK25" i="72"/>
  <c r="GL25" i="72" s="1"/>
  <c r="GP23" i="72"/>
  <c r="GK23" i="72"/>
  <c r="GL23" i="72" s="1"/>
  <c r="GQ25" i="72"/>
  <c r="FP25" i="72"/>
  <c r="FN16" i="72"/>
  <c r="FT16" i="72"/>
  <c r="FP15" i="72"/>
  <c r="FN15" i="72"/>
  <c r="FT15" i="72"/>
  <c r="ES20" i="72"/>
  <c r="EV20" i="72"/>
  <c r="EQ16" i="72"/>
  <c r="EW16" i="72"/>
  <c r="EV21" i="72"/>
  <c r="EW21" i="72"/>
  <c r="ES21" i="72"/>
  <c r="ES16" i="72"/>
  <c r="DB32" i="72"/>
  <c r="CY32" i="72"/>
  <c r="CW32" i="72"/>
  <c r="HH25" i="72"/>
  <c r="HI25" i="72" s="1"/>
  <c r="HJ25" i="72"/>
  <c r="HN25" i="72"/>
  <c r="EQ19" i="72"/>
  <c r="EQ33" i="72"/>
  <c r="ER33" i="72" s="1"/>
  <c r="EW19" i="72"/>
  <c r="EV19" i="72"/>
  <c r="ES25" i="72"/>
  <c r="DV23" i="72"/>
  <c r="DZ33" i="72"/>
  <c r="DV33" i="72"/>
  <c r="DY33" i="72"/>
  <c r="DV20" i="72"/>
  <c r="DT20" i="72"/>
  <c r="DT23" i="72"/>
  <c r="DU23" i="72" s="1"/>
  <c r="DY20" i="72"/>
  <c r="DZ23" i="72"/>
  <c r="JH23" i="72"/>
  <c r="JB23" i="72"/>
  <c r="JC23" i="72" s="1"/>
  <c r="JG23" i="72"/>
  <c r="HH15" i="72"/>
  <c r="HJ22" i="72"/>
  <c r="HH22" i="72"/>
  <c r="HN22" i="72"/>
  <c r="GP24" i="72"/>
  <c r="GM24" i="72"/>
  <c r="GK24" i="72"/>
  <c r="GL24" i="72" s="1"/>
  <c r="EQ22" i="72"/>
  <c r="ES22" i="72"/>
  <c r="DV17" i="72"/>
  <c r="DV15" i="72"/>
  <c r="DV16" i="72"/>
  <c r="DY17" i="72"/>
  <c r="DY15" i="72"/>
  <c r="DV19" i="72"/>
  <c r="DT19" i="72"/>
  <c r="DY19" i="72"/>
  <c r="CW33" i="72"/>
  <c r="CY33" i="72"/>
  <c r="DB33" i="72"/>
  <c r="CY17" i="72"/>
  <c r="CW17" i="72"/>
  <c r="CV29" i="72" s="1"/>
  <c r="DC29" i="72" s="1"/>
  <c r="DB17" i="72"/>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Q89" i="54"/>
  <c r="M97" i="54" s="1"/>
  <c r="M95" i="54"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J14" i="64"/>
  <c r="K14" i="64" s="1"/>
  <c r="V26" i="64"/>
  <c r="L36" i="64"/>
  <c r="V14" i="64"/>
  <c r="Q14" i="64"/>
  <c r="EW18" i="72" l="1"/>
  <c r="EQ23" i="72"/>
  <c r="ER23" i="72" s="1"/>
  <c r="IE16" i="72"/>
  <c r="ES18" i="72"/>
  <c r="ES23" i="72"/>
  <c r="IJ22" i="72"/>
  <c r="EQ18" i="72"/>
  <c r="JH24" i="72"/>
  <c r="FN23" i="72"/>
  <c r="FO23" i="72" s="1"/>
  <c r="IK16" i="72"/>
  <c r="JB24" i="72"/>
  <c r="JC24" i="72" s="1"/>
  <c r="JD24" i="72"/>
  <c r="IG22" i="72"/>
  <c r="FP23" i="72"/>
  <c r="IG16" i="72"/>
  <c r="IE22" i="72"/>
  <c r="FN25" i="72"/>
  <c r="FO25" i="72" s="1"/>
  <c r="HH16" i="72"/>
  <c r="CW23" i="72"/>
  <c r="HM16" i="72"/>
  <c r="EW15" i="72"/>
  <c r="EV15" i="72"/>
  <c r="EQ15" i="72"/>
  <c r="ES15" i="72"/>
  <c r="HM21" i="72"/>
  <c r="HH21" i="72"/>
  <c r="HJ21" i="72"/>
  <c r="HN21" i="72"/>
  <c r="DZ14" i="72"/>
  <c r="DT14" i="72"/>
  <c r="HJ15" i="72"/>
  <c r="HJ16" i="72"/>
  <c r="DC19" i="72"/>
  <c r="CW19" i="72"/>
  <c r="CV31" i="72" s="1"/>
  <c r="CY19" i="72"/>
  <c r="DB19" i="72"/>
  <c r="DT16" i="72"/>
  <c r="EV17" i="72"/>
  <c r="ES17" i="72"/>
  <c r="EW17" i="72"/>
  <c r="EQ17" i="72"/>
  <c r="DY14" i="72"/>
  <c r="EW33" i="72"/>
  <c r="DY22" i="72"/>
  <c r="DZ22" i="72"/>
  <c r="DV22" i="72"/>
  <c r="EW24" i="72"/>
  <c r="ES24" i="72"/>
  <c r="EQ24" i="72"/>
  <c r="ER24" i="72" s="1"/>
  <c r="EV24" i="72"/>
  <c r="EW25" i="72"/>
  <c r="DC23" i="72"/>
  <c r="FS21" i="72"/>
  <c r="FT21" i="72"/>
  <c r="FP21" i="72"/>
  <c r="FN21" i="72"/>
  <c r="DY16" i="72"/>
  <c r="EV33" i="72"/>
  <c r="HN15" i="72"/>
  <c r="EQ25" i="72"/>
  <c r="ER25" i="72" s="1"/>
  <c r="FT25" i="72"/>
  <c r="HJ30" i="72"/>
  <c r="JD16" i="72"/>
  <c r="CF15" i="72"/>
  <c r="CB15" i="72"/>
  <c r="BZ15" i="72"/>
  <c r="CE15" i="72"/>
  <c r="IK25" i="72"/>
  <c r="IE25" i="72"/>
  <c r="IF25" i="72" s="1"/>
  <c r="IG25" i="72"/>
  <c r="IJ25" i="72"/>
  <c r="CB25" i="72"/>
  <c r="BZ25" i="72"/>
  <c r="CA25" i="72" s="1"/>
  <c r="CE25" i="72"/>
  <c r="CF25" i="72"/>
  <c r="CT35" i="72"/>
  <c r="CV14" i="72"/>
  <c r="CF18" i="72"/>
  <c r="CB18" i="72"/>
  <c r="CE18" i="72"/>
  <c r="BZ18" i="72"/>
  <c r="CE16" i="72"/>
  <c r="CF16" i="72"/>
  <c r="BZ16" i="72"/>
  <c r="CB16" i="72"/>
  <c r="JG25" i="72"/>
  <c r="JH25" i="72"/>
  <c r="JB25" i="72"/>
  <c r="JC25" i="72" s="1"/>
  <c r="JD25" i="72"/>
  <c r="CE17" i="72"/>
  <c r="BZ17" i="72"/>
  <c r="CF17" i="72"/>
  <c r="CB17" i="72"/>
  <c r="CE20" i="72"/>
  <c r="CF20" i="72"/>
  <c r="CB20" i="72"/>
  <c r="BZ20" i="72"/>
  <c r="IJ20" i="72"/>
  <c r="IK20" i="72"/>
  <c r="IE20" i="72"/>
  <c r="IG20" i="72"/>
  <c r="IG18" i="72"/>
  <c r="IK18" i="72"/>
  <c r="IJ18" i="72"/>
  <c r="FP20" i="72"/>
  <c r="FT20" i="72"/>
  <c r="FN20" i="72"/>
  <c r="GH35" i="72"/>
  <c r="GJ14" i="72"/>
  <c r="CF23" i="72"/>
  <c r="CE23" i="72"/>
  <c r="CB23" i="72"/>
  <c r="BZ23" i="72"/>
  <c r="CA23" i="72" s="1"/>
  <c r="CF21" i="72"/>
  <c r="BZ21" i="72"/>
  <c r="CB21" i="72"/>
  <c r="CE21" i="72"/>
  <c r="IK15" i="72"/>
  <c r="IE15" i="72"/>
  <c r="IG15" i="72"/>
  <c r="IJ15" i="72"/>
  <c r="EN35" i="72"/>
  <c r="EP14" i="72"/>
  <c r="GP20" i="72"/>
  <c r="GQ20" i="72"/>
  <c r="GM20" i="72"/>
  <c r="GK20" i="72"/>
  <c r="EV22" i="72"/>
  <c r="EW22" i="72"/>
  <c r="GQ21" i="72"/>
  <c r="GP21" i="72"/>
  <c r="GM21" i="72"/>
  <c r="GK21" i="72"/>
  <c r="IG24" i="72"/>
  <c r="IJ24" i="72"/>
  <c r="IK24" i="72"/>
  <c r="IE24" i="72"/>
  <c r="IF24" i="72" s="1"/>
  <c r="IB35" i="72"/>
  <c r="ID14" i="72"/>
  <c r="CE14" i="72"/>
  <c r="CF14" i="72"/>
  <c r="BZ14" i="72"/>
  <c r="CB14" i="72"/>
  <c r="JB18" i="72"/>
  <c r="JD18" i="72"/>
  <c r="JG18" i="72"/>
  <c r="JH18" i="72"/>
  <c r="GQ16" i="72"/>
  <c r="GK16" i="72"/>
  <c r="GP16" i="72"/>
  <c r="GM16" i="72"/>
  <c r="CE19" i="72"/>
  <c r="CF19" i="72"/>
  <c r="BZ19" i="72"/>
  <c r="CB19" i="72"/>
  <c r="GK22" i="72"/>
  <c r="GQ22" i="72"/>
  <c r="GP22" i="72"/>
  <c r="GM22" i="72"/>
  <c r="JD15" i="72"/>
  <c r="JG15" i="72"/>
  <c r="FS14" i="72"/>
  <c r="FT14" i="72"/>
  <c r="FP14" i="72"/>
  <c r="FN14" i="72"/>
  <c r="CE22" i="72"/>
  <c r="CF22" i="72"/>
  <c r="CB22" i="72"/>
  <c r="BZ22" i="72"/>
  <c r="CF24" i="72"/>
  <c r="CE24" i="72"/>
  <c r="CB24" i="72"/>
  <c r="BZ24" i="72"/>
  <c r="CA24" i="72" s="1"/>
  <c r="DB29" i="72"/>
  <c r="JC14" i="72"/>
  <c r="JA26" i="72"/>
  <c r="CY29" i="72"/>
  <c r="HI14" i="72"/>
  <c r="HG26" i="72"/>
  <c r="DU14" i="72"/>
  <c r="DS26" i="72"/>
  <c r="JC19" i="72"/>
  <c r="JA31" i="72"/>
  <c r="JC15" i="72"/>
  <c r="JA27" i="72"/>
  <c r="JC16" i="72"/>
  <c r="JA28" i="72"/>
  <c r="JC22" i="72"/>
  <c r="JA34" i="72"/>
  <c r="JC20" i="72"/>
  <c r="JA32" i="72"/>
  <c r="JC17" i="72"/>
  <c r="JA29" i="72"/>
  <c r="JC21" i="72"/>
  <c r="JA33" i="72"/>
  <c r="IF22" i="72"/>
  <c r="ID34" i="72"/>
  <c r="IF18" i="72"/>
  <c r="ID30" i="72"/>
  <c r="IF16" i="72"/>
  <c r="ID28" i="72"/>
  <c r="IF21" i="72"/>
  <c r="ID33" i="72"/>
  <c r="IF17" i="72"/>
  <c r="ID29" i="72"/>
  <c r="IF19" i="72"/>
  <c r="ID31" i="72"/>
  <c r="HI17" i="72"/>
  <c r="HG29" i="72"/>
  <c r="HI19" i="72"/>
  <c r="HG31" i="72"/>
  <c r="HI22" i="72"/>
  <c r="HG34" i="72"/>
  <c r="HI16" i="72"/>
  <c r="HG28" i="72"/>
  <c r="HI15" i="72"/>
  <c r="HG27" i="72"/>
  <c r="HI20" i="72"/>
  <c r="HG32" i="72"/>
  <c r="GL15" i="72"/>
  <c r="GJ27" i="72"/>
  <c r="GL18" i="72"/>
  <c r="GJ30" i="72"/>
  <c r="GL19" i="72"/>
  <c r="GJ31" i="72"/>
  <c r="GL17" i="72"/>
  <c r="GJ29" i="72"/>
  <c r="FO15" i="72"/>
  <c r="FM27" i="72"/>
  <c r="FO18" i="72"/>
  <c r="FM30" i="72"/>
  <c r="FO19" i="72"/>
  <c r="FM31" i="72"/>
  <c r="FO17" i="72"/>
  <c r="FM29" i="72"/>
  <c r="FO16" i="72"/>
  <c r="FM28" i="72"/>
  <c r="FO22" i="72"/>
  <c r="FM34" i="72"/>
  <c r="ER20" i="72"/>
  <c r="EP32" i="72"/>
  <c r="ER18" i="72"/>
  <c r="EP30" i="72"/>
  <c r="ER16" i="72"/>
  <c r="EP28" i="72"/>
  <c r="ER22" i="72"/>
  <c r="EP34" i="72"/>
  <c r="ER19" i="72"/>
  <c r="EP31" i="72"/>
  <c r="DU22" i="72"/>
  <c r="DS34" i="72"/>
  <c r="DU15" i="72"/>
  <c r="DS27" i="72"/>
  <c r="DU18" i="72"/>
  <c r="DS30" i="72"/>
  <c r="DU17" i="72"/>
  <c r="DS29" i="72"/>
  <c r="DU19" i="72"/>
  <c r="DS31" i="72"/>
  <c r="DU20" i="72"/>
  <c r="DS32" i="72"/>
  <c r="DU16" i="72"/>
  <c r="DS28" i="72"/>
  <c r="CY30" i="72"/>
  <c r="DC30" i="72"/>
  <c r="CW30" i="72"/>
  <c r="DB30" i="72"/>
  <c r="CY27" i="72"/>
  <c r="CW27" i="72"/>
  <c r="DB27" i="72"/>
  <c r="DC27" i="72"/>
  <c r="CW29" i="72"/>
  <c r="AH39" i="72"/>
  <c r="AH38" i="72"/>
  <c r="AH37" i="72" s="1"/>
  <c r="X16" i="75"/>
  <c r="K17" i="36"/>
  <c r="K25" i="36" s="1"/>
  <c r="I22" i="12"/>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L3" i="64"/>
  <c r="ER15" i="72" l="1"/>
  <c r="EP27" i="72"/>
  <c r="FO21" i="72"/>
  <c r="FM33" i="72"/>
  <c r="BY27" i="72"/>
  <c r="CA15" i="72"/>
  <c r="DC31" i="72"/>
  <c r="DB31" i="72"/>
  <c r="CW31" i="72"/>
  <c r="CY31" i="72"/>
  <c r="HI21" i="72"/>
  <c r="HG33" i="72"/>
  <c r="ER17" i="72"/>
  <c r="EP29" i="72"/>
  <c r="IG14" i="72"/>
  <c r="IK14" i="72"/>
  <c r="IE14" i="72"/>
  <c r="IJ14" i="72"/>
  <c r="EV14" i="72"/>
  <c r="ES14" i="72"/>
  <c r="EQ14" i="72"/>
  <c r="EW14" i="72"/>
  <c r="BY33" i="72"/>
  <c r="CA21" i="72"/>
  <c r="FO20" i="72"/>
  <c r="FM32" i="72"/>
  <c r="CA17" i="72"/>
  <c r="BY29" i="72"/>
  <c r="CA19" i="72"/>
  <c r="BY31" i="72"/>
  <c r="CA22" i="72"/>
  <c r="BY34" i="72"/>
  <c r="CA20" i="72"/>
  <c r="BY32" i="72"/>
  <c r="CA18" i="72"/>
  <c r="BY30" i="72"/>
  <c r="JC18" i="72"/>
  <c r="JA30" i="72"/>
  <c r="JA35" i="72" s="1"/>
  <c r="GL20" i="72"/>
  <c r="GJ32" i="72"/>
  <c r="IF15" i="72"/>
  <c r="ID27" i="72"/>
  <c r="CA14" i="72"/>
  <c r="BY26" i="72"/>
  <c r="FO14" i="72"/>
  <c r="FM26" i="72"/>
  <c r="GL16" i="72"/>
  <c r="GJ28" i="72"/>
  <c r="GL21" i="72"/>
  <c r="GJ33" i="72"/>
  <c r="GQ14" i="72"/>
  <c r="GK14" i="72"/>
  <c r="GM14" i="72"/>
  <c r="GP14" i="72"/>
  <c r="CY14" i="72"/>
  <c r="DB14" i="72"/>
  <c r="DC14" i="72"/>
  <c r="CW14" i="72"/>
  <c r="CV26" i="72" s="1"/>
  <c r="GL22" i="72"/>
  <c r="GJ34" i="72"/>
  <c r="IF20" i="72"/>
  <c r="ID32" i="72"/>
  <c r="BY28" i="72"/>
  <c r="CA16" i="72"/>
  <c r="DY26" i="72"/>
  <c r="DV26" i="72"/>
  <c r="DT26" i="72"/>
  <c r="DU26" i="72" s="1"/>
  <c r="DZ26" i="72"/>
  <c r="HM26" i="72"/>
  <c r="HN26" i="72"/>
  <c r="HH26" i="72"/>
  <c r="HI26" i="72" s="1"/>
  <c r="HJ26" i="72"/>
  <c r="JB26" i="72"/>
  <c r="JC26" i="72" s="1"/>
  <c r="JH26" i="72"/>
  <c r="JG26" i="72"/>
  <c r="JD26" i="72"/>
  <c r="JH34" i="72"/>
  <c r="JD34" i="72"/>
  <c r="JG34" i="72"/>
  <c r="JB34" i="72"/>
  <c r="JC34" i="72" s="1"/>
  <c r="JG33" i="72"/>
  <c r="JB33" i="72"/>
  <c r="JC33" i="72" s="1"/>
  <c r="JH33" i="72"/>
  <c r="JD33" i="72"/>
  <c r="JG28" i="72"/>
  <c r="JB28" i="72"/>
  <c r="JC28" i="72" s="1"/>
  <c r="JD28" i="72"/>
  <c r="JH28" i="72"/>
  <c r="JG29" i="72"/>
  <c r="JB29" i="72"/>
  <c r="JC29" i="72" s="1"/>
  <c r="JD29" i="72"/>
  <c r="JH29" i="72"/>
  <c r="JG27" i="72"/>
  <c r="JB27" i="72"/>
  <c r="JH27" i="72"/>
  <c r="JD27" i="72"/>
  <c r="JG32" i="72"/>
  <c r="JB32" i="72"/>
  <c r="JC32" i="72" s="1"/>
  <c r="JD32" i="72"/>
  <c r="JH32" i="72"/>
  <c r="JG31" i="72"/>
  <c r="JB31" i="72"/>
  <c r="JC31" i="72" s="1"/>
  <c r="JD31" i="72"/>
  <c r="JH31" i="72"/>
  <c r="IJ31" i="72"/>
  <c r="IK31" i="72"/>
  <c r="IE31" i="72"/>
  <c r="IF31" i="72" s="1"/>
  <c r="IG31" i="72"/>
  <c r="IJ29" i="72"/>
  <c r="IK29" i="72"/>
  <c r="IE29" i="72"/>
  <c r="IF29" i="72" s="1"/>
  <c r="IG29" i="72"/>
  <c r="IJ28" i="72"/>
  <c r="IG28" i="72"/>
  <c r="IE28" i="72"/>
  <c r="IK28" i="72"/>
  <c r="IE33" i="72"/>
  <c r="IF33" i="72" s="1"/>
  <c r="IK33" i="72"/>
  <c r="IJ33" i="72"/>
  <c r="IG33" i="72"/>
  <c r="IK30" i="72"/>
  <c r="IE30" i="72"/>
  <c r="IF30" i="72" s="1"/>
  <c r="IJ30" i="72"/>
  <c r="IG30" i="72"/>
  <c r="IG34" i="72"/>
  <c r="IK34" i="72"/>
  <c r="IE34" i="72"/>
  <c r="IF34" i="72" s="1"/>
  <c r="IJ34" i="72"/>
  <c r="HM28" i="72"/>
  <c r="HH28" i="72"/>
  <c r="HI28" i="72" s="1"/>
  <c r="HJ28" i="72"/>
  <c r="HN28" i="72"/>
  <c r="HM34" i="72"/>
  <c r="HJ34" i="72"/>
  <c r="HN34" i="72"/>
  <c r="HH34" i="72"/>
  <c r="HI34" i="72" s="1"/>
  <c r="HM32" i="72"/>
  <c r="HH32" i="72"/>
  <c r="HI32" i="72" s="1"/>
  <c r="HJ32" i="72"/>
  <c r="HN32" i="72"/>
  <c r="HN31" i="72"/>
  <c r="HM31" i="72"/>
  <c r="HH31" i="72"/>
  <c r="HI31" i="72" s="1"/>
  <c r="HJ31" i="72"/>
  <c r="HM27" i="72"/>
  <c r="HG35" i="72"/>
  <c r="HH27" i="72"/>
  <c r="HJ27" i="72"/>
  <c r="HN27" i="72"/>
  <c r="HM29" i="72"/>
  <c r="HN29" i="72"/>
  <c r="HJ29" i="72"/>
  <c r="HH29" i="72"/>
  <c r="HI29" i="72" s="1"/>
  <c r="GP31" i="72"/>
  <c r="GQ31" i="72"/>
  <c r="GK31" i="72"/>
  <c r="GL31" i="72" s="1"/>
  <c r="GM31" i="72"/>
  <c r="GM30" i="72"/>
  <c r="GK30" i="72"/>
  <c r="GL30" i="72" s="1"/>
  <c r="GP30" i="72"/>
  <c r="GQ30" i="72"/>
  <c r="GQ29" i="72"/>
  <c r="GP29" i="72"/>
  <c r="GK29" i="72"/>
  <c r="GL29" i="72" s="1"/>
  <c r="GM29" i="72"/>
  <c r="GP27" i="72"/>
  <c r="GM27" i="72"/>
  <c r="GQ27" i="72"/>
  <c r="GK27" i="72"/>
  <c r="FT29" i="72"/>
  <c r="FN29" i="72"/>
  <c r="FO29" i="72" s="1"/>
  <c r="FS29" i="72"/>
  <c r="FP29" i="72"/>
  <c r="FP31" i="72"/>
  <c r="FS31" i="72"/>
  <c r="FT31" i="72"/>
  <c r="FN31" i="72"/>
  <c r="FO31" i="72" s="1"/>
  <c r="FS34" i="72"/>
  <c r="FT34" i="72"/>
  <c r="FP34" i="72"/>
  <c r="FN34" i="72"/>
  <c r="FO34" i="72" s="1"/>
  <c r="FT30" i="72"/>
  <c r="FS30" i="72"/>
  <c r="FP30" i="72"/>
  <c r="FN30" i="72"/>
  <c r="FO30" i="72" s="1"/>
  <c r="FS28" i="72"/>
  <c r="FP28" i="72"/>
  <c r="FN28" i="72"/>
  <c r="FO28" i="72" s="1"/>
  <c r="FT28" i="72"/>
  <c r="FS27" i="72"/>
  <c r="FN27" i="72"/>
  <c r="FP27" i="72"/>
  <c r="FM35" i="72"/>
  <c r="FT27" i="72"/>
  <c r="EV28" i="72"/>
  <c r="ES28" i="72"/>
  <c r="EW28" i="72"/>
  <c r="EQ28" i="72"/>
  <c r="EV30" i="72"/>
  <c r="ES30" i="72"/>
  <c r="EQ30" i="72"/>
  <c r="ER30" i="72" s="1"/>
  <c r="EW30" i="72"/>
  <c r="EV31" i="72"/>
  <c r="EQ31" i="72"/>
  <c r="ER31" i="72" s="1"/>
  <c r="ES31" i="72"/>
  <c r="EW31" i="72"/>
  <c r="EV32" i="72"/>
  <c r="EW32" i="72"/>
  <c r="EQ32" i="72"/>
  <c r="ER32" i="72" s="1"/>
  <c r="ES32" i="72"/>
  <c r="EV34" i="72"/>
  <c r="ES34" i="72"/>
  <c r="EW34" i="72"/>
  <c r="EQ34" i="72"/>
  <c r="ER34" i="72" s="1"/>
  <c r="DT29" i="72"/>
  <c r="DU29" i="72" s="1"/>
  <c r="DV29" i="72"/>
  <c r="DY29" i="72"/>
  <c r="DZ29" i="72"/>
  <c r="DY28" i="72"/>
  <c r="DZ28" i="72"/>
  <c r="DT28" i="72"/>
  <c r="DU28" i="72" s="1"/>
  <c r="DV28" i="72"/>
  <c r="DY30" i="72"/>
  <c r="DV30" i="72"/>
  <c r="DT30" i="72"/>
  <c r="DU30" i="72" s="1"/>
  <c r="DZ30" i="72"/>
  <c r="DY32" i="72"/>
  <c r="DV32" i="72"/>
  <c r="DZ32" i="72"/>
  <c r="DT32" i="72"/>
  <c r="DU32" i="72" s="1"/>
  <c r="DZ27" i="72"/>
  <c r="DY27" i="72"/>
  <c r="DT27" i="72"/>
  <c r="DV27" i="72"/>
  <c r="DS35" i="72"/>
  <c r="DZ31" i="72"/>
  <c r="DY31" i="72"/>
  <c r="DV31" i="72"/>
  <c r="DT31" i="72"/>
  <c r="DU31" i="72" s="1"/>
  <c r="DY34" i="72"/>
  <c r="DT34" i="72"/>
  <c r="DU34" i="72" s="1"/>
  <c r="DV34" i="72"/>
  <c r="DZ34" i="72"/>
  <c r="AH40" i="72"/>
  <c r="W10" i="76"/>
  <c r="B4" i="43"/>
  <c r="B5" i="43"/>
  <c r="K26" i="36"/>
  <c r="G6" i="54" s="1"/>
  <c r="W17" i="36"/>
  <c r="AB7" i="75"/>
  <c r="AN14" i="72"/>
  <c r="AJ14" i="72" s="1"/>
  <c r="AI35" i="72"/>
  <c r="AK35" i="72" s="1"/>
  <c r="L7" i="64"/>
  <c r="K44" i="64"/>
  <c r="S49" i="72"/>
  <c r="H6" i="12" s="1"/>
  <c r="AA10" i="75"/>
  <c r="X35" i="72"/>
  <c r="AA12" i="75"/>
  <c r="AD35" i="72"/>
  <c r="AA9" i="75"/>
  <c r="AC35" i="72"/>
  <c r="EV29" i="72" l="1"/>
  <c r="EW29" i="72"/>
  <c r="EQ29" i="72"/>
  <c r="ER29" i="72" s="1"/>
  <c r="ES29" i="72"/>
  <c r="CE27" i="72"/>
  <c r="BZ27" i="72"/>
  <c r="CA27" i="72" s="1"/>
  <c r="CB27" i="72"/>
  <c r="CF27" i="72"/>
  <c r="HM33" i="72"/>
  <c r="HJ33" i="72"/>
  <c r="HN33" i="72"/>
  <c r="HN35" i="72" s="1"/>
  <c r="HG10" i="72" s="1"/>
  <c r="E44" i="43" s="1"/>
  <c r="HH33" i="72"/>
  <c r="HI33" i="72" s="1"/>
  <c r="FN33" i="72"/>
  <c r="FO33" i="72" s="1"/>
  <c r="FS33" i="72"/>
  <c r="FP33" i="72"/>
  <c r="FT33" i="72"/>
  <c r="ES27" i="72"/>
  <c r="EV27" i="72"/>
  <c r="EQ27" i="72"/>
  <c r="ER27" i="72" s="1"/>
  <c r="EW27" i="72"/>
  <c r="DB26" i="72"/>
  <c r="DB35" i="72" s="1"/>
  <c r="CV9" i="72" s="1"/>
  <c r="D39" i="43" s="1"/>
  <c r="DC26" i="72"/>
  <c r="DC35" i="72" s="1"/>
  <c r="CV10" i="72" s="1"/>
  <c r="E39" i="43" s="1"/>
  <c r="CW26" i="72"/>
  <c r="CW35" i="72" s="1"/>
  <c r="F17" i="36" s="1"/>
  <c r="CY26" i="72"/>
  <c r="CY35" i="72" s="1"/>
  <c r="CV35" i="72"/>
  <c r="GM33" i="72"/>
  <c r="GP33" i="72"/>
  <c r="GK33" i="72"/>
  <c r="GL33" i="72" s="1"/>
  <c r="GQ33" i="72"/>
  <c r="IJ27" i="72"/>
  <c r="IK27" i="72"/>
  <c r="IE27" i="72"/>
  <c r="IF27" i="72" s="1"/>
  <c r="IG27" i="72"/>
  <c r="BZ32" i="72"/>
  <c r="CA32" i="72" s="1"/>
  <c r="CE32" i="72"/>
  <c r="CF32" i="72"/>
  <c r="CB32" i="72"/>
  <c r="FS32" i="72"/>
  <c r="FP32" i="72"/>
  <c r="FP35" i="72" s="1"/>
  <c r="FN32" i="72"/>
  <c r="FO32" i="72" s="1"/>
  <c r="FT32" i="72"/>
  <c r="IF14" i="72"/>
  <c r="ID26" i="72"/>
  <c r="GQ28" i="72"/>
  <c r="GP28" i="72"/>
  <c r="GK28" i="72"/>
  <c r="GL28" i="72" s="1"/>
  <c r="GM28" i="72"/>
  <c r="GP32" i="72"/>
  <c r="GM32" i="72"/>
  <c r="GK32" i="72"/>
  <c r="GL32" i="72" s="1"/>
  <c r="GQ32" i="72"/>
  <c r="CE34" i="72"/>
  <c r="BZ34" i="72"/>
  <c r="CA34" i="72" s="1"/>
  <c r="CB34" i="72"/>
  <c r="CF34" i="72"/>
  <c r="CE28" i="72"/>
  <c r="CF28" i="72"/>
  <c r="CB28" i="72"/>
  <c r="BZ28" i="72"/>
  <c r="CA28" i="72" s="1"/>
  <c r="CB33" i="72"/>
  <c r="CE33" i="72"/>
  <c r="CF33" i="72"/>
  <c r="BZ33" i="72"/>
  <c r="CA33" i="72" s="1"/>
  <c r="IJ32" i="72"/>
  <c r="IG32" i="72"/>
  <c r="IE32" i="72"/>
  <c r="IF32" i="72" s="1"/>
  <c r="IK32" i="72"/>
  <c r="FS26" i="72"/>
  <c r="FS35" i="72" s="1"/>
  <c r="FM9" i="72" s="1"/>
  <c r="D42" i="43" s="1"/>
  <c r="F42" i="43" s="1"/>
  <c r="FP26" i="72"/>
  <c r="FN26" i="72"/>
  <c r="FO26" i="72" s="1"/>
  <c r="FT26" i="72"/>
  <c r="FT35" i="72" s="1"/>
  <c r="FM10" i="72" s="1"/>
  <c r="E42" i="43" s="1"/>
  <c r="G42" i="43" s="1"/>
  <c r="JG30" i="72"/>
  <c r="JB30" i="72"/>
  <c r="JC30" i="72" s="1"/>
  <c r="JD30" i="72"/>
  <c r="JH30" i="72"/>
  <c r="CF31" i="72"/>
  <c r="CB31" i="72"/>
  <c r="BZ31" i="72"/>
  <c r="CA31" i="72" s="1"/>
  <c r="CE31" i="72"/>
  <c r="ER14" i="72"/>
  <c r="EP26" i="72"/>
  <c r="GP34" i="72"/>
  <c r="GK34" i="72"/>
  <c r="GL34" i="72" s="1"/>
  <c r="GQ34" i="72"/>
  <c r="GM34" i="72"/>
  <c r="GL14" i="72"/>
  <c r="GJ26" i="72"/>
  <c r="BY35" i="72"/>
  <c r="CE26" i="72"/>
  <c r="CF26" i="72"/>
  <c r="BZ26" i="72"/>
  <c r="CB26" i="72"/>
  <c r="CB30" i="72"/>
  <c r="CE30" i="72"/>
  <c r="CF30" i="72"/>
  <c r="BZ30" i="72"/>
  <c r="CA30" i="72" s="1"/>
  <c r="BZ29" i="72"/>
  <c r="CA29" i="72" s="1"/>
  <c r="CE29" i="72"/>
  <c r="CF29" i="72"/>
  <c r="CB29" i="72"/>
  <c r="JD35" i="72"/>
  <c r="JH35" i="72"/>
  <c r="JA10" i="72" s="1"/>
  <c r="E46" i="43" s="1"/>
  <c r="G46" i="43" s="1"/>
  <c r="JC27" i="72"/>
  <c r="JC35" i="72" s="1"/>
  <c r="JB35" i="72"/>
  <c r="F24" i="36" s="1"/>
  <c r="JG35" i="72"/>
  <c r="JA9" i="72" s="1"/>
  <c r="D46" i="43" s="1"/>
  <c r="F46" i="43" s="1"/>
  <c r="IF28" i="72"/>
  <c r="HJ35" i="72"/>
  <c r="HI27" i="72"/>
  <c r="HI35" i="72" s="1"/>
  <c r="HH35" i="72"/>
  <c r="F22" i="36" s="1"/>
  <c r="Y22" i="36" s="1"/>
  <c r="HM35" i="72"/>
  <c r="HG9" i="72" s="1"/>
  <c r="D44" i="43" s="1"/>
  <c r="GL27" i="72"/>
  <c r="FO27" i="72"/>
  <c r="ER28" i="72"/>
  <c r="DV35" i="72"/>
  <c r="DU27" i="72"/>
  <c r="DU35" i="72" s="1"/>
  <c r="DT35" i="72"/>
  <c r="F18" i="36" s="1"/>
  <c r="DY35" i="72"/>
  <c r="DS9" i="72" s="1"/>
  <c r="D40" i="43" s="1"/>
  <c r="DZ35" i="72"/>
  <c r="DS10" i="72" s="1"/>
  <c r="E40" i="43" s="1"/>
  <c r="H7" i="12"/>
  <c r="L6" i="54"/>
  <c r="H6" i="70"/>
  <c r="H6" i="11"/>
  <c r="E6" i="70"/>
  <c r="E7" i="12"/>
  <c r="O24" i="36"/>
  <c r="Z24" i="36"/>
  <c r="O18" i="36"/>
  <c r="AE18" i="36" s="1"/>
  <c r="Z18" i="36"/>
  <c r="AB12" i="75"/>
  <c r="AB10" i="75"/>
  <c r="AB9" i="75"/>
  <c r="AJ35" i="72"/>
  <c r="Y18" i="36"/>
  <c r="Y24" i="36"/>
  <c r="X24" i="36"/>
  <c r="X18" i="36"/>
  <c r="P24" i="36"/>
  <c r="P18" i="36"/>
  <c r="L5" i="54"/>
  <c r="H5" i="11"/>
  <c r="H5" i="70"/>
  <c r="AA8" i="75"/>
  <c r="AA13" i="75"/>
  <c r="K16" i="64"/>
  <c r="O17" i="36" l="1"/>
  <c r="Z17" i="36"/>
  <c r="Y17" i="36"/>
  <c r="X17" i="36"/>
  <c r="Z22" i="36"/>
  <c r="X22" i="36"/>
  <c r="O22" i="36"/>
  <c r="AE22" i="36" s="1"/>
  <c r="P22" i="36"/>
  <c r="AF22" i="36" s="1"/>
  <c r="FN35" i="72"/>
  <c r="F20" i="36" s="1"/>
  <c r="FO35" i="72"/>
  <c r="CE35" i="72"/>
  <c r="BY9" i="72" s="1"/>
  <c r="D38" i="43" s="1"/>
  <c r="F38" i="43" s="1"/>
  <c r="CB35" i="72"/>
  <c r="CA26" i="72"/>
  <c r="CA35" i="72" s="1"/>
  <c r="BZ35" i="72"/>
  <c r="F16" i="36" s="1"/>
  <c r="CF35" i="72"/>
  <c r="BY10" i="72" s="1"/>
  <c r="E38" i="43" s="1"/>
  <c r="G38" i="43" s="1"/>
  <c r="EP35" i="72"/>
  <c r="EW26" i="72"/>
  <c r="EW35" i="72" s="1"/>
  <c r="EQ26" i="72"/>
  <c r="EV26" i="72"/>
  <c r="EV35" i="72" s="1"/>
  <c r="ES26" i="72"/>
  <c r="ES35" i="72" s="1"/>
  <c r="IG26" i="72"/>
  <c r="IG35" i="72" s="1"/>
  <c r="IJ26" i="72"/>
  <c r="IJ35" i="72" s="1"/>
  <c r="ID35" i="72"/>
  <c r="IK26" i="72"/>
  <c r="IK35" i="72" s="1"/>
  <c r="ID10" i="72" s="1"/>
  <c r="E45" i="43" s="1"/>
  <c r="G45" i="43" s="1"/>
  <c r="IE26" i="72"/>
  <c r="GM26" i="72"/>
  <c r="GM35" i="72" s="1"/>
  <c r="GP26" i="72"/>
  <c r="GP35" i="72" s="1"/>
  <c r="GK26" i="72"/>
  <c r="GQ26" i="72"/>
  <c r="GQ35" i="72" s="1"/>
  <c r="GJ35" i="72"/>
  <c r="E6" i="11"/>
  <c r="H5" i="89"/>
  <c r="T44" i="61"/>
  <c r="AA16" i="75"/>
  <c r="F40" i="43"/>
  <c r="G40" i="43"/>
  <c r="AF24" i="36"/>
  <c r="AF18" i="36"/>
  <c r="AB8" i="75"/>
  <c r="AB13" i="75"/>
  <c r="AE24" i="36"/>
  <c r="AE17" i="36"/>
  <c r="P17" i="36"/>
  <c r="AF17" i="36" s="1"/>
  <c r="S7" i="64"/>
  <c r="Z20" i="36" l="1"/>
  <c r="Y20" i="36"/>
  <c r="P20" i="36"/>
  <c r="AF20" i="36" s="1"/>
  <c r="X20" i="36"/>
  <c r="O20" i="36"/>
  <c r="AE20" i="36" s="1"/>
  <c r="ID9" i="72"/>
  <c r="D45" i="43" s="1"/>
  <c r="F45" i="43" s="1"/>
  <c r="GJ10" i="72"/>
  <c r="E43" i="43" s="1"/>
  <c r="G43" i="43" s="1"/>
  <c r="Z16" i="36"/>
  <c r="P16" i="36"/>
  <c r="AF16" i="36" s="1"/>
  <c r="X16" i="36"/>
  <c r="O16" i="36"/>
  <c r="AE16" i="36" s="1"/>
  <c r="Y16" i="36"/>
  <c r="GL26" i="72"/>
  <c r="GL35" i="72" s="1"/>
  <c r="GK35" i="72"/>
  <c r="F21" i="36" s="1"/>
  <c r="GJ9" i="72"/>
  <c r="D43" i="43" s="1"/>
  <c r="F43" i="43" s="1"/>
  <c r="EP9" i="72"/>
  <c r="D41" i="43" s="1"/>
  <c r="F41" i="43" s="1"/>
  <c r="ER26" i="72"/>
  <c r="ER35" i="72" s="1"/>
  <c r="EQ35" i="72"/>
  <c r="F19" i="36" s="1"/>
  <c r="IF26" i="72"/>
  <c r="IF35" i="72" s="1"/>
  <c r="IE35" i="72"/>
  <c r="F23" i="36" s="1"/>
  <c r="EP10" i="72"/>
  <c r="E41" i="43" s="1"/>
  <c r="G41" i="43" s="1"/>
  <c r="N33" i="12"/>
  <c r="I32" i="12" s="1"/>
  <c r="N34" i="12"/>
  <c r="G44" i="43"/>
  <c r="G39" i="43"/>
  <c r="F39" i="43"/>
  <c r="F44" i="43"/>
  <c r="AB16" i="75"/>
  <c r="AU3" i="76" s="1"/>
  <c r="C10" i="69"/>
  <c r="C4" i="69"/>
  <c r="O23" i="36" l="1"/>
  <c r="AE23" i="36" s="1"/>
  <c r="Y23" i="36"/>
  <c r="Z23" i="36"/>
  <c r="X23" i="36"/>
  <c r="P23" i="36"/>
  <c r="AF23" i="36" s="1"/>
  <c r="X21" i="36"/>
  <c r="P21" i="36"/>
  <c r="AF21" i="36" s="1"/>
  <c r="Y21" i="36"/>
  <c r="O21" i="36"/>
  <c r="AE21" i="36" s="1"/>
  <c r="Z21" i="36"/>
  <c r="O19" i="36"/>
  <c r="AE19" i="36" s="1"/>
  <c r="X19" i="36"/>
  <c r="Z19" i="36"/>
  <c r="P19" i="36"/>
  <c r="AF19" i="36" s="1"/>
  <c r="Y19" i="36"/>
  <c r="H33" i="12"/>
  <c r="G35" i="72" l="1"/>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AD15" i="36" s="1"/>
  <c r="M15" i="36"/>
  <c r="A15" i="36" s="1"/>
  <c r="W6" i="75" s="1"/>
  <c r="M19" i="36"/>
  <c r="M21" i="36"/>
  <c r="M22" i="36"/>
  <c r="M24" i="36"/>
  <c r="L17" i="36"/>
  <c r="N17" i="36" s="1"/>
  <c r="AD17" i="36" s="1"/>
  <c r="AG17" i="36" s="1"/>
  <c r="M17" i="36"/>
  <c r="A17" i="36" s="1"/>
  <c r="W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21" i="64"/>
  <c r="K21" i="64" s="1"/>
  <c r="C21" i="64" l="1"/>
  <c r="C20" i="64"/>
  <c r="E17" i="11"/>
  <c r="B20" i="64"/>
  <c r="J20" i="64" l="1"/>
  <c r="K20" i="64"/>
  <c r="C19" i="64"/>
  <c r="E28" i="12"/>
  <c r="F1" i="6" l="1"/>
  <c r="K1" i="6" l="1"/>
  <c r="J1" i="6"/>
  <c r="H1" i="6"/>
  <c r="K19" i="6" l="1"/>
  <c r="K20" i="6" l="1"/>
  <c r="G72" i="59" l="1"/>
  <c r="G66" i="59"/>
  <c r="B32" i="64" l="1"/>
  <c r="P22" i="64" s="1"/>
  <c r="B30" i="64"/>
  <c r="P20" i="64" s="1"/>
  <c r="B31" i="64"/>
  <c r="P21" i="64" s="1"/>
  <c r="C29" i="64" l="1"/>
  <c r="C31" i="64"/>
  <c r="C30" i="64"/>
  <c r="E12" i="12" l="1"/>
  <c r="E26" i="12" l="1"/>
  <c r="E13" i="11" s="1"/>
  <c r="N12" i="12"/>
  <c r="G5" i="54"/>
  <c r="H9" i="54"/>
  <c r="E6" i="12"/>
  <c r="E5" i="11"/>
  <c r="E5" i="70"/>
  <c r="B14" i="43"/>
  <c r="C21" i="43"/>
  <c r="C22" i="43" s="1"/>
  <c r="C23" i="43" s="1"/>
  <c r="B23" i="65"/>
  <c r="T28" i="61" l="1"/>
  <c r="T36" i="61" s="1"/>
  <c r="C23" i="69" s="1"/>
  <c r="D64" i="64"/>
  <c r="D72" i="64"/>
  <c r="G28" i="54"/>
  <c r="G17" i="54"/>
  <c r="I13" i="11"/>
  <c r="D25" i="43"/>
  <c r="D24" i="43"/>
  <c r="E31" i="54"/>
  <c r="E30" i="54"/>
  <c r="E29" i="54"/>
  <c r="E18" i="54"/>
  <c r="G20" i="64" s="1"/>
  <c r="E19" i="54"/>
  <c r="G21" i="64" s="1"/>
  <c r="E20" i="54"/>
  <c r="G22" i="64" s="1"/>
  <c r="I17" i="11"/>
  <c r="G4" i="64"/>
  <c r="C78" i="64"/>
  <c r="B15" i="43"/>
  <c r="B16" i="43"/>
  <c r="I17" i="75" l="1"/>
  <c r="K31" i="64"/>
  <c r="P48" i="64"/>
  <c r="P49" i="64"/>
  <c r="D62" i="64"/>
  <c r="Q26" i="64" s="1"/>
  <c r="K30" i="64"/>
  <c r="G32" i="70" l="1"/>
  <c r="H10" i="54" s="1"/>
  <c r="M91" i="54" l="1"/>
  <c r="M29" i="54"/>
  <c r="M18" i="54"/>
  <c r="M40" i="54"/>
  <c r="M94" i="54" l="1"/>
  <c r="B25" i="65" l="1"/>
  <c r="B38" i="65"/>
  <c r="M96" i="54"/>
  <c r="F22" i="12" s="1"/>
  <c r="E22" i="12"/>
  <c r="N22" i="12" s="1"/>
  <c r="U1" i="12" l="1"/>
  <c r="S6" i="64"/>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s="1"/>
  <c r="AZ14" i="72" s="1"/>
  <c r="AZ35" i="72" l="1"/>
  <c r="BB14" i="72"/>
  <c r="AZ26" i="72"/>
  <c r="AZ33" i="72"/>
  <c r="AZ22" i="72"/>
  <c r="BB22" i="72" s="1"/>
  <c r="AZ31" i="72"/>
  <c r="AZ27" i="72"/>
  <c r="AZ18" i="72"/>
  <c r="BB18" i="72" s="1"/>
  <c r="AZ24" i="72"/>
  <c r="BB24" i="72" s="1"/>
  <c r="AZ29" i="72"/>
  <c r="AZ28" i="72"/>
  <c r="AZ30" i="72"/>
  <c r="AZ23" i="72"/>
  <c r="BB23" i="72" s="1"/>
  <c r="AZ19" i="72"/>
  <c r="BB19" i="72" s="1"/>
  <c r="AZ25" i="72"/>
  <c r="BB25" i="72" s="1"/>
  <c r="AZ32" i="72"/>
  <c r="AZ34" i="72"/>
  <c r="AZ16" i="72"/>
  <c r="BB16" i="72" s="1"/>
  <c r="AZ20" i="72"/>
  <c r="BB20" i="72" s="1"/>
  <c r="AZ17" i="72"/>
  <c r="BB17" i="72" s="1"/>
  <c r="AZ15" i="72"/>
  <c r="BB15" i="72" s="1"/>
  <c r="AZ21" i="72"/>
  <c r="BB21" i="72" s="1"/>
  <c r="BH18" i="72" l="1"/>
  <c r="BI18" i="72"/>
  <c r="BE18" i="72"/>
  <c r="BC18" i="72"/>
  <c r="AB18" i="72"/>
  <c r="C18" i="72"/>
  <c r="D16" i="76" s="1"/>
  <c r="T18" i="72"/>
  <c r="BE25" i="72"/>
  <c r="BH25" i="72"/>
  <c r="BI25" i="72"/>
  <c r="BC25" i="72"/>
  <c r="C25" i="72"/>
  <c r="D23" i="76" s="1"/>
  <c r="AB25" i="72"/>
  <c r="T25" i="72"/>
  <c r="BH21" i="72"/>
  <c r="BE21" i="72"/>
  <c r="BC21" i="72"/>
  <c r="BI21" i="72"/>
  <c r="AB21" i="72"/>
  <c r="T21" i="72"/>
  <c r="C21" i="72"/>
  <c r="D19" i="76" s="1"/>
  <c r="N21" i="72"/>
  <c r="AQ21" i="72" s="1"/>
  <c r="BC19" i="72"/>
  <c r="BH19" i="72"/>
  <c r="BE19" i="72"/>
  <c r="BI19" i="72"/>
  <c r="C19" i="72"/>
  <c r="D17" i="76" s="1"/>
  <c r="T19" i="72"/>
  <c r="AB19" i="72"/>
  <c r="N19" i="72"/>
  <c r="AQ19" i="72" s="1"/>
  <c r="BH15" i="72"/>
  <c r="BI15" i="72"/>
  <c r="BC15" i="72"/>
  <c r="BE15" i="72"/>
  <c r="C15" i="72"/>
  <c r="D13" i="76" s="1"/>
  <c r="AB15" i="72"/>
  <c r="T15" i="72"/>
  <c r="J15" i="72"/>
  <c r="P11" i="70" s="1"/>
  <c r="BE23" i="72"/>
  <c r="BI23" i="72"/>
  <c r="BC23" i="72"/>
  <c r="BH23" i="72"/>
  <c r="AB23" i="72"/>
  <c r="T23" i="72"/>
  <c r="C23" i="72"/>
  <c r="D21" i="76" s="1"/>
  <c r="BH22" i="72"/>
  <c r="BI22" i="72"/>
  <c r="BE22" i="72"/>
  <c r="BC22" i="72"/>
  <c r="C22" i="72"/>
  <c r="D20" i="76" s="1"/>
  <c r="T22" i="72"/>
  <c r="AB22" i="72"/>
  <c r="BH17" i="72"/>
  <c r="BC17" i="72"/>
  <c r="BI17" i="72"/>
  <c r="BE17" i="72"/>
  <c r="C17" i="72"/>
  <c r="D15" i="76" s="1"/>
  <c r="T17" i="72"/>
  <c r="AB17" i="72"/>
  <c r="I17" i="72"/>
  <c r="O13" i="70" s="1"/>
  <c r="BH20" i="72"/>
  <c r="BC20" i="72"/>
  <c r="BE20" i="72"/>
  <c r="BI20" i="72"/>
  <c r="T20" i="72"/>
  <c r="C20" i="72"/>
  <c r="D18" i="76" s="1"/>
  <c r="AB20" i="72"/>
  <c r="BI16" i="72"/>
  <c r="BC16" i="72"/>
  <c r="BH16" i="72"/>
  <c r="BE16" i="72"/>
  <c r="C16" i="72"/>
  <c r="D14" i="76" s="1"/>
  <c r="AB16" i="72"/>
  <c r="T16" i="72"/>
  <c r="AB14" i="72"/>
  <c r="BC14" i="72"/>
  <c r="T14" i="72"/>
  <c r="BE14" i="72"/>
  <c r="BH14" i="72"/>
  <c r="C14" i="72"/>
  <c r="L14" i="72" s="1"/>
  <c r="BI14" i="72"/>
  <c r="BE24" i="72"/>
  <c r="BI24" i="72"/>
  <c r="BH24" i="72"/>
  <c r="BC24" i="72"/>
  <c r="C24" i="72"/>
  <c r="D22" i="76" s="1"/>
  <c r="T24" i="72"/>
  <c r="AB24" i="72"/>
  <c r="I24" i="72"/>
  <c r="O20" i="70" s="1"/>
  <c r="L21" i="72" l="1"/>
  <c r="N24" i="72"/>
  <c r="AQ24" i="72" s="1"/>
  <c r="J17" i="72"/>
  <c r="P13" i="70" s="1"/>
  <c r="K21" i="72"/>
  <c r="Q17" i="70" s="1"/>
  <c r="L24" i="72"/>
  <c r="K17" i="72"/>
  <c r="Q13" i="70" s="1"/>
  <c r="N22" i="72"/>
  <c r="AQ22" i="72" s="1"/>
  <c r="L23" i="72"/>
  <c r="M23" i="72" s="1"/>
  <c r="W21" i="76" s="1"/>
  <c r="K19" i="72"/>
  <c r="Q15" i="70" s="1"/>
  <c r="L19" i="72"/>
  <c r="J19" i="72"/>
  <c r="P15" i="70" s="1"/>
  <c r="I19" i="72"/>
  <c r="O15" i="70" s="1"/>
  <c r="N16" i="72"/>
  <c r="AQ16" i="72" s="1"/>
  <c r="J20" i="72"/>
  <c r="P16" i="70" s="1"/>
  <c r="N17" i="72"/>
  <c r="AQ17" i="72" s="1"/>
  <c r="J18" i="72"/>
  <c r="P14" i="70" s="1"/>
  <c r="N25" i="72"/>
  <c r="AQ25" i="72" s="1"/>
  <c r="K23" i="72"/>
  <c r="Q19" i="70" s="1"/>
  <c r="K25" i="72"/>
  <c r="Q21" i="70" s="1"/>
  <c r="J24" i="72"/>
  <c r="P20" i="70" s="1"/>
  <c r="L16" i="72"/>
  <c r="N23" i="72"/>
  <c r="AQ23" i="72" s="1"/>
  <c r="J25" i="72"/>
  <c r="P21" i="70" s="1"/>
  <c r="J16" i="72"/>
  <c r="P12" i="70" s="1"/>
  <c r="I25" i="72"/>
  <c r="O21" i="70" s="1"/>
  <c r="I16" i="72"/>
  <c r="O12" i="70" s="1"/>
  <c r="L25" i="72"/>
  <c r="I18" i="72"/>
  <c r="O14" i="70" s="1"/>
  <c r="N14" i="72"/>
  <c r="AQ14" i="72" s="1"/>
  <c r="D12" i="76"/>
  <c r="AF20" i="72"/>
  <c r="AE20" i="72"/>
  <c r="M16" i="70" s="1"/>
  <c r="AU20" i="72"/>
  <c r="W16" i="70" s="1"/>
  <c r="AE22" i="72"/>
  <c r="M18" i="70" s="1"/>
  <c r="AU22" i="72"/>
  <c r="W18" i="70" s="1"/>
  <c r="AF22" i="72"/>
  <c r="J23" i="72"/>
  <c r="P19" i="70" s="1"/>
  <c r="BD23" i="72"/>
  <c r="D23" i="72"/>
  <c r="E21" i="76" s="1"/>
  <c r="U23" i="72"/>
  <c r="Y15" i="72"/>
  <c r="F19" i="72"/>
  <c r="G17" i="76" s="1"/>
  <c r="W19" i="72"/>
  <c r="Y18" i="72"/>
  <c r="BD24" i="72"/>
  <c r="U24" i="72"/>
  <c r="D24" i="72"/>
  <c r="E22" i="76" s="1"/>
  <c r="L35" i="72"/>
  <c r="M35" i="72" s="1"/>
  <c r="BD16" i="72"/>
  <c r="BB28" i="72"/>
  <c r="D16" i="72"/>
  <c r="E14" i="76" s="1"/>
  <c r="U16" i="72"/>
  <c r="BD17" i="72"/>
  <c r="BB29" i="72"/>
  <c r="D17" i="72"/>
  <c r="E15" i="76" s="1"/>
  <c r="U17" i="72"/>
  <c r="Y22" i="72"/>
  <c r="AF15" i="72"/>
  <c r="AE15" i="72"/>
  <c r="M11" i="70" s="1"/>
  <c r="AU15" i="72"/>
  <c r="W11" i="70" s="1"/>
  <c r="Y21" i="72"/>
  <c r="F23" i="72"/>
  <c r="G21" i="76" s="1"/>
  <c r="I21" i="76" s="1"/>
  <c r="W23" i="72"/>
  <c r="BD19" i="72"/>
  <c r="BB31" i="72"/>
  <c r="D19" i="72"/>
  <c r="E17" i="76" s="1"/>
  <c r="U19" i="72"/>
  <c r="AF21" i="72"/>
  <c r="AE21" i="72"/>
  <c r="M17" i="70" s="1"/>
  <c r="AU21" i="72"/>
  <c r="W17" i="70" s="1"/>
  <c r="W25" i="72"/>
  <c r="F25" i="72"/>
  <c r="G23" i="76" s="1"/>
  <c r="I23" i="76" s="1"/>
  <c r="AE18" i="72"/>
  <c r="M14" i="70" s="1"/>
  <c r="AU18" i="72"/>
  <c r="W14" i="70" s="1"/>
  <c r="AF18" i="72"/>
  <c r="W17" i="72"/>
  <c r="F17" i="72"/>
  <c r="G15" i="76" s="1"/>
  <c r="F24" i="72"/>
  <c r="G22" i="76" s="1"/>
  <c r="W24" i="72"/>
  <c r="Y20" i="72"/>
  <c r="K24" i="72"/>
  <c r="Q20" i="70" s="1"/>
  <c r="I14" i="72"/>
  <c r="O10" i="70" s="1"/>
  <c r="W14" i="72"/>
  <c r="F14" i="72"/>
  <c r="K16" i="72"/>
  <c r="Q12" i="70" s="1"/>
  <c r="N20" i="72"/>
  <c r="AQ20" i="72" s="1"/>
  <c r="L17" i="72"/>
  <c r="K22" i="72"/>
  <c r="Q18" i="70" s="1"/>
  <c r="BD22" i="72"/>
  <c r="BB34" i="72"/>
  <c r="D22" i="72"/>
  <c r="E20" i="76" s="1"/>
  <c r="H20" i="76" s="1"/>
  <c r="U22" i="72"/>
  <c r="I23" i="72"/>
  <c r="O19" i="70" s="1"/>
  <c r="I15" i="72"/>
  <c r="O11" i="70" s="1"/>
  <c r="W15" i="72"/>
  <c r="F15" i="72"/>
  <c r="G13" i="76" s="1"/>
  <c r="I13" i="76" s="1"/>
  <c r="BB30" i="72"/>
  <c r="BD18" i="72"/>
  <c r="D18" i="72"/>
  <c r="E16" i="76" s="1"/>
  <c r="H16" i="76" s="1"/>
  <c r="U18" i="72"/>
  <c r="AE24" i="72"/>
  <c r="M20" i="70" s="1"/>
  <c r="AF24" i="72"/>
  <c r="AU24" i="72"/>
  <c r="W20" i="70" s="1"/>
  <c r="Y14" i="72"/>
  <c r="Y16" i="72"/>
  <c r="K20" i="72"/>
  <c r="Q16" i="70" s="1"/>
  <c r="F20" i="72"/>
  <c r="G18" i="76" s="1"/>
  <c r="I18" i="76" s="1"/>
  <c r="W20" i="72"/>
  <c r="AU17" i="72"/>
  <c r="W13" i="70" s="1"/>
  <c r="AF17" i="72"/>
  <c r="AE17" i="72"/>
  <c r="M13" i="70" s="1"/>
  <c r="J22" i="72"/>
  <c r="P18" i="70" s="1"/>
  <c r="W22" i="72"/>
  <c r="F22" i="72"/>
  <c r="G20" i="76" s="1"/>
  <c r="I20" i="76" s="1"/>
  <c r="H21" i="76"/>
  <c r="N15" i="72"/>
  <c r="AQ15" i="72" s="1"/>
  <c r="BD15" i="72"/>
  <c r="BB27" i="72"/>
  <c r="D15" i="72"/>
  <c r="E13" i="76" s="1"/>
  <c r="H13" i="76" s="1"/>
  <c r="U15" i="72"/>
  <c r="AU19" i="72"/>
  <c r="W15" i="70" s="1"/>
  <c r="AE19" i="72"/>
  <c r="M15" i="70" s="1"/>
  <c r="AF19" i="72"/>
  <c r="I21" i="72"/>
  <c r="O17" i="70" s="1"/>
  <c r="BD21" i="72"/>
  <c r="BB33" i="72"/>
  <c r="U21" i="72"/>
  <c r="D21" i="72"/>
  <c r="E19" i="76" s="1"/>
  <c r="H19" i="76" s="1"/>
  <c r="Y25" i="72"/>
  <c r="K18" i="72"/>
  <c r="Q14" i="70" s="1"/>
  <c r="F18" i="72"/>
  <c r="G16" i="76" s="1"/>
  <c r="I16" i="76" s="1"/>
  <c r="W18" i="72"/>
  <c r="W16" i="72"/>
  <c r="F16" i="72"/>
  <c r="G14" i="76" s="1"/>
  <c r="Y24" i="72"/>
  <c r="K14" i="72"/>
  <c r="Q10" i="70" s="1"/>
  <c r="BB26" i="72"/>
  <c r="BD14" i="72"/>
  <c r="D14" i="72"/>
  <c r="U14" i="72"/>
  <c r="AF16" i="72"/>
  <c r="AE16" i="72"/>
  <c r="M12" i="70" s="1"/>
  <c r="AU16" i="72"/>
  <c r="W12" i="70" s="1"/>
  <c r="I20" i="72"/>
  <c r="O16" i="70" s="1"/>
  <c r="BB32" i="72"/>
  <c r="BD20" i="72"/>
  <c r="D20" i="72"/>
  <c r="E18" i="76" s="1"/>
  <c r="H18" i="76" s="1"/>
  <c r="U20" i="72"/>
  <c r="Y17" i="72"/>
  <c r="I22" i="72"/>
  <c r="O18" i="70" s="1"/>
  <c r="Y23" i="72"/>
  <c r="L15" i="72"/>
  <c r="Y19" i="72"/>
  <c r="W21" i="72"/>
  <c r="F21" i="72"/>
  <c r="G19" i="76" s="1"/>
  <c r="I19" i="76" s="1"/>
  <c r="AU25" i="72"/>
  <c r="W21" i="70" s="1"/>
  <c r="AF25" i="72"/>
  <c r="AE25" i="72"/>
  <c r="M21" i="70" s="1"/>
  <c r="N18" i="72"/>
  <c r="AQ18" i="72" s="1"/>
  <c r="BD25" i="72"/>
  <c r="U25" i="72"/>
  <c r="D25" i="72"/>
  <c r="E23" i="76" s="1"/>
  <c r="H23" i="76" s="1"/>
  <c r="I22" i="76"/>
  <c r="H22" i="76"/>
  <c r="J14" i="72"/>
  <c r="P10" i="70" s="1"/>
  <c r="AE14" i="72"/>
  <c r="M10" i="70" s="1"/>
  <c r="AU14" i="72"/>
  <c r="W10" i="70" s="1"/>
  <c r="AF14" i="72"/>
  <c r="I14" i="76"/>
  <c r="H14" i="76"/>
  <c r="L20" i="72"/>
  <c r="I15" i="76"/>
  <c r="H15" i="76"/>
  <c r="L22" i="72"/>
  <c r="AU23" i="72"/>
  <c r="W19" i="70" s="1"/>
  <c r="AF23" i="72"/>
  <c r="AE23" i="72"/>
  <c r="M19" i="70" s="1"/>
  <c r="K15" i="72"/>
  <c r="Q11" i="70" s="1"/>
  <c r="H17" i="76"/>
  <c r="I17" i="76"/>
  <c r="J21" i="72"/>
  <c r="P17" i="70" s="1"/>
  <c r="L18" i="72"/>
  <c r="M21" i="72" l="1"/>
  <c r="W19" i="76" s="1"/>
  <c r="M18" i="72"/>
  <c r="W16" i="76" s="1"/>
  <c r="M16" i="72"/>
  <c r="W14" i="76" s="1"/>
  <c r="M15" i="72"/>
  <c r="W13" i="76" s="1"/>
  <c r="M25" i="72"/>
  <c r="W23" i="76" s="1"/>
  <c r="M22" i="72"/>
  <c r="W20" i="76" s="1"/>
  <c r="M24" i="72"/>
  <c r="W22" i="76" s="1"/>
  <c r="M20" i="72"/>
  <c r="W18" i="76" s="1"/>
  <c r="M17" i="72"/>
  <c r="W15" i="76" s="1"/>
  <c r="G12" i="76"/>
  <c r="AB28" i="72"/>
  <c r="C28" i="72"/>
  <c r="D26" i="76" s="1"/>
  <c r="BI28" i="72"/>
  <c r="BH28" i="72"/>
  <c r="T28" i="72"/>
  <c r="BE28" i="72"/>
  <c r="BC28" i="72"/>
  <c r="E12" i="76"/>
  <c r="BI31" i="72"/>
  <c r="BE31" i="72"/>
  <c r="BC31" i="72"/>
  <c r="BH31" i="72"/>
  <c r="C31" i="72"/>
  <c r="D29" i="76" s="1"/>
  <c r="AB31" i="72"/>
  <c r="T31" i="72"/>
  <c r="T33" i="72"/>
  <c r="C33" i="72"/>
  <c r="D31" i="76" s="1"/>
  <c r="AB33" i="72"/>
  <c r="BC33" i="72"/>
  <c r="BH33" i="72"/>
  <c r="BE33" i="72"/>
  <c r="BI33" i="72"/>
  <c r="N33" i="72"/>
  <c r="AQ33" i="72" s="1"/>
  <c r="AB27" i="72"/>
  <c r="C27" i="72"/>
  <c r="D25" i="76" s="1"/>
  <c r="T27" i="72"/>
  <c r="BH27" i="72"/>
  <c r="BC27" i="72"/>
  <c r="BI27" i="72"/>
  <c r="BE27" i="72"/>
  <c r="BH30" i="72"/>
  <c r="BE30" i="72"/>
  <c r="BI30" i="72"/>
  <c r="BC30" i="72"/>
  <c r="C30" i="72"/>
  <c r="D28" i="76" s="1"/>
  <c r="T30" i="72"/>
  <c r="AB30" i="72"/>
  <c r="C34" i="72"/>
  <c r="D32" i="76" s="1"/>
  <c r="AB34" i="72"/>
  <c r="T34" i="72"/>
  <c r="BH34" i="72"/>
  <c r="BE34" i="72"/>
  <c r="BC34" i="72"/>
  <c r="BI34" i="72"/>
  <c r="BI29" i="72"/>
  <c r="BE29" i="72"/>
  <c r="T29" i="72"/>
  <c r="AB29" i="72"/>
  <c r="BH29" i="72"/>
  <c r="C29" i="72"/>
  <c r="L29" i="72" s="1"/>
  <c r="M29" i="72" s="1"/>
  <c r="W27" i="76" s="1"/>
  <c r="BC29" i="72"/>
  <c r="K29" i="72"/>
  <c r="Q25" i="70" s="1"/>
  <c r="M14" i="72"/>
  <c r="W12" i="76" s="1"/>
  <c r="W33" i="76" s="1"/>
  <c r="BI32" i="72"/>
  <c r="BE32" i="72"/>
  <c r="T32" i="72"/>
  <c r="BC32" i="72"/>
  <c r="AB32" i="72"/>
  <c r="BH32" i="72"/>
  <c r="C32" i="72"/>
  <c r="D30" i="76" s="1"/>
  <c r="I12" i="76"/>
  <c r="T26" i="72"/>
  <c r="AB26" i="72"/>
  <c r="BE26" i="72"/>
  <c r="BI26" i="72"/>
  <c r="BH26" i="72"/>
  <c r="BC26" i="72"/>
  <c r="C26" i="72"/>
  <c r="N26" i="72" s="1"/>
  <c r="AQ26" i="72" s="1"/>
  <c r="J26" i="72"/>
  <c r="P22" i="70" s="1"/>
  <c r="I26" i="72"/>
  <c r="O22" i="70" s="1"/>
  <c r="BB35" i="72"/>
  <c r="M19" i="72"/>
  <c r="W17" i="76" s="1"/>
  <c r="I32" i="72" l="1"/>
  <c r="O28" i="70" s="1"/>
  <c r="N32" i="72"/>
  <c r="AQ32" i="72" s="1"/>
  <c r="J33" i="72"/>
  <c r="P29" i="70" s="1"/>
  <c r="I31" i="72"/>
  <c r="O27" i="70" s="1"/>
  <c r="I34" i="72"/>
  <c r="O30" i="70" s="1"/>
  <c r="I27" i="72"/>
  <c r="O23" i="70" s="1"/>
  <c r="L26" i="72"/>
  <c r="M26" i="72" s="1"/>
  <c r="W24" i="76" s="1"/>
  <c r="N30" i="72"/>
  <c r="AQ30" i="72" s="1"/>
  <c r="N29" i="72"/>
  <c r="AQ29" i="72" s="1"/>
  <c r="K30" i="72"/>
  <c r="Q26" i="70" s="1"/>
  <c r="L31" i="72"/>
  <c r="M31" i="72" s="1"/>
  <c r="W29" i="76" s="1"/>
  <c r="I29" i="72"/>
  <c r="O25" i="70" s="1"/>
  <c r="N31" i="72"/>
  <c r="AQ31" i="72" s="1"/>
  <c r="K31" i="72"/>
  <c r="Q27" i="70" s="1"/>
  <c r="I28" i="72"/>
  <c r="O24" i="70" s="1"/>
  <c r="J31" i="72"/>
  <c r="P27" i="70" s="1"/>
  <c r="L28" i="72"/>
  <c r="M28" i="72" s="1"/>
  <c r="W26" i="76" s="1"/>
  <c r="AE32" i="72"/>
  <c r="M28" i="70" s="1"/>
  <c r="AF32" i="72"/>
  <c r="AU32" i="72"/>
  <c r="W28" i="70" s="1"/>
  <c r="F29" i="72"/>
  <c r="G27" i="76" s="1"/>
  <c r="W29" i="72"/>
  <c r="F34" i="72"/>
  <c r="G32" i="76" s="1"/>
  <c r="W34" i="72"/>
  <c r="AU30" i="72"/>
  <c r="W26" i="70" s="1"/>
  <c r="AE30" i="72"/>
  <c r="M26" i="70" s="1"/>
  <c r="AF30" i="72"/>
  <c r="AU33" i="72"/>
  <c r="W29" i="70" s="1"/>
  <c r="AF33" i="72"/>
  <c r="AE33" i="72"/>
  <c r="M29" i="70" s="1"/>
  <c r="Y31" i="72"/>
  <c r="CX27" i="72"/>
  <c r="CX18" i="72"/>
  <c r="CX28" i="72"/>
  <c r="CX19" i="72"/>
  <c r="CX30" i="72"/>
  <c r="CX23" i="72"/>
  <c r="CX21" i="72"/>
  <c r="CX24" i="72"/>
  <c r="CX17" i="72"/>
  <c r="CX16" i="72"/>
  <c r="D28" i="72"/>
  <c r="E26" i="76" s="1"/>
  <c r="CX29" i="72"/>
  <c r="CX22" i="72"/>
  <c r="CX26" i="72"/>
  <c r="U28" i="72"/>
  <c r="BD28" i="72"/>
  <c r="CX20" i="72"/>
  <c r="CX31" i="72"/>
  <c r="CX33" i="72"/>
  <c r="CX25" i="72"/>
  <c r="CX15" i="72"/>
  <c r="CX32" i="72"/>
  <c r="CX34" i="72"/>
  <c r="CX14" i="72"/>
  <c r="AU26" i="72"/>
  <c r="W22" i="70" s="1"/>
  <c r="AF26" i="72"/>
  <c r="AE26" i="72"/>
  <c r="M22" i="70" s="1"/>
  <c r="AB35" i="72"/>
  <c r="K32" i="72"/>
  <c r="Q28" i="70" s="1"/>
  <c r="BD32" i="72"/>
  <c r="V32" i="72" s="1"/>
  <c r="U32" i="72"/>
  <c r="D32" i="72"/>
  <c r="E30" i="76" s="1"/>
  <c r="J34" i="72"/>
  <c r="P30" i="70" s="1"/>
  <c r="Y30" i="72"/>
  <c r="F30" i="72"/>
  <c r="G28" i="76" s="1"/>
  <c r="W30" i="72"/>
  <c r="J27" i="72"/>
  <c r="P23" i="70" s="1"/>
  <c r="BD31" i="72"/>
  <c r="U31" i="72"/>
  <c r="D31" i="72"/>
  <c r="E29" i="76" s="1"/>
  <c r="Y26" i="72"/>
  <c r="T35" i="72"/>
  <c r="Q32" i="72" s="1"/>
  <c r="R32" i="72" s="1"/>
  <c r="AU28" i="72"/>
  <c r="W24" i="70" s="1"/>
  <c r="AF28" i="72"/>
  <c r="AE28" i="72"/>
  <c r="M24" i="70" s="1"/>
  <c r="L32" i="72"/>
  <c r="M32" i="72" s="1"/>
  <c r="W30" i="76" s="1"/>
  <c r="W32" i="72"/>
  <c r="F32" i="72"/>
  <c r="G30" i="76" s="1"/>
  <c r="J29" i="72"/>
  <c r="P25" i="70" s="1"/>
  <c r="D27" i="76"/>
  <c r="N34" i="72"/>
  <c r="AQ34" i="72" s="1"/>
  <c r="K34" i="72"/>
  <c r="Q30" i="70" s="1"/>
  <c r="I30" i="72"/>
  <c r="O26" i="70" s="1"/>
  <c r="N27" i="72"/>
  <c r="AQ27" i="72" s="1"/>
  <c r="F33" i="72"/>
  <c r="G31" i="76" s="1"/>
  <c r="W33" i="72"/>
  <c r="Y28" i="72"/>
  <c r="Y32" i="72"/>
  <c r="BD29" i="72"/>
  <c r="V29" i="72" s="1"/>
  <c r="D29" i="72"/>
  <c r="E27" i="76" s="1"/>
  <c r="U29" i="72"/>
  <c r="BD27" i="72"/>
  <c r="U27" i="72"/>
  <c r="D27" i="72"/>
  <c r="E25" i="76" s="1"/>
  <c r="H25" i="76" s="1"/>
  <c r="Y33" i="72"/>
  <c r="F31" i="72"/>
  <c r="G29" i="76" s="1"/>
  <c r="W31" i="72"/>
  <c r="F28" i="72"/>
  <c r="G26" i="76" s="1"/>
  <c r="I26" i="76" s="1"/>
  <c r="W28" i="72"/>
  <c r="D24" i="76"/>
  <c r="C35" i="72"/>
  <c r="K35" i="72" s="1"/>
  <c r="J32" i="72"/>
  <c r="P28" i="70" s="1"/>
  <c r="Y34" i="72"/>
  <c r="J30" i="72"/>
  <c r="P26" i="70" s="1"/>
  <c r="L27" i="72"/>
  <c r="M27" i="72" s="1"/>
  <c r="W25" i="76" s="1"/>
  <c r="Y27" i="72"/>
  <c r="L33" i="72"/>
  <c r="M33" i="72" s="1"/>
  <c r="W31" i="76" s="1"/>
  <c r="J28" i="72"/>
  <c r="P24" i="70" s="1"/>
  <c r="U26" i="72"/>
  <c r="D26" i="72"/>
  <c r="BD26" i="72"/>
  <c r="BC35" i="72"/>
  <c r="F15" i="36" s="1"/>
  <c r="AE34" i="72"/>
  <c r="M30" i="70" s="1"/>
  <c r="AF34" i="72"/>
  <c r="AU34" i="72"/>
  <c r="W30" i="70" s="1"/>
  <c r="I28" i="76"/>
  <c r="AF31" i="72"/>
  <c r="AE31" i="72"/>
  <c r="M27" i="70" s="1"/>
  <c r="AU31" i="72"/>
  <c r="W27" i="70" s="1"/>
  <c r="W26" i="72"/>
  <c r="F26" i="72"/>
  <c r="BE35" i="72"/>
  <c r="N35" i="72"/>
  <c r="BD34" i="72"/>
  <c r="V34" i="72" s="1"/>
  <c r="D34" i="72"/>
  <c r="E32" i="76" s="1"/>
  <c r="H32" i="76" s="1"/>
  <c r="U34" i="72"/>
  <c r="I32" i="76"/>
  <c r="W27" i="72"/>
  <c r="F27" i="72"/>
  <c r="G25" i="76" s="1"/>
  <c r="AU27" i="72"/>
  <c r="W23" i="70" s="1"/>
  <c r="AE27" i="72"/>
  <c r="M23" i="70" s="1"/>
  <c r="AF27" i="72"/>
  <c r="K33" i="72"/>
  <c r="Q29" i="70" s="1"/>
  <c r="H12" i="76"/>
  <c r="AE29" i="72"/>
  <c r="M25" i="70" s="1"/>
  <c r="AU29" i="72"/>
  <c r="W25" i="70" s="1"/>
  <c r="AF29" i="72"/>
  <c r="BH35" i="72"/>
  <c r="BB9" i="72" s="1"/>
  <c r="D37" i="43" s="1"/>
  <c r="F37" i="43" s="1"/>
  <c r="F47" i="43" s="1"/>
  <c r="E29" i="11" s="1"/>
  <c r="H30" i="76"/>
  <c r="I30" i="76"/>
  <c r="K26" i="72"/>
  <c r="Q22" i="70" s="1"/>
  <c r="BI35" i="72"/>
  <c r="BB10" i="72" s="1"/>
  <c r="E37" i="43" s="1"/>
  <c r="G37" i="43" s="1"/>
  <c r="G47" i="43" s="1"/>
  <c r="Y29" i="72"/>
  <c r="L34" i="72"/>
  <c r="M34" i="72" s="1"/>
  <c r="W32" i="76" s="1"/>
  <c r="L30" i="72"/>
  <c r="M30" i="72" s="1"/>
  <c r="W28" i="76" s="1"/>
  <c r="BD30" i="72"/>
  <c r="D30" i="72"/>
  <c r="E28" i="76" s="1"/>
  <c r="U30" i="72"/>
  <c r="K27" i="72"/>
  <c r="Q23" i="70" s="1"/>
  <c r="I33" i="72"/>
  <c r="O29" i="70" s="1"/>
  <c r="BD33" i="72"/>
  <c r="V33" i="72" s="1"/>
  <c r="U33" i="72"/>
  <c r="D33" i="72"/>
  <c r="E31" i="76" s="1"/>
  <c r="H31" i="76" s="1"/>
  <c r="H29" i="76"/>
  <c r="I29" i="76"/>
  <c r="N28" i="72"/>
  <c r="AQ28" i="72" s="1"/>
  <c r="K28" i="72"/>
  <c r="Q24" i="70" s="1"/>
  <c r="V31" i="72" l="1"/>
  <c r="V30" i="72"/>
  <c r="E20" i="72"/>
  <c r="F18" i="76" s="1"/>
  <c r="V20" i="72"/>
  <c r="E23" i="11"/>
  <c r="I23" i="11" s="1"/>
  <c r="E17" i="12"/>
  <c r="J35" i="72"/>
  <c r="Q27" i="72"/>
  <c r="R27" i="72" s="1"/>
  <c r="D33" i="76"/>
  <c r="Q26" i="72"/>
  <c r="R26" i="72" s="1"/>
  <c r="CX35" i="72"/>
  <c r="V14" i="72"/>
  <c r="E14" i="72"/>
  <c r="E28" i="72"/>
  <c r="F26" i="76" s="1"/>
  <c r="V28" i="72"/>
  <c r="E24" i="72"/>
  <c r="F22" i="76" s="1"/>
  <c r="V24" i="72"/>
  <c r="Q31" i="72"/>
  <c r="R31" i="72" s="1"/>
  <c r="I35" i="72"/>
  <c r="Z15" i="36"/>
  <c r="O15" i="36"/>
  <c r="AE15" i="36" s="1"/>
  <c r="P15" i="36"/>
  <c r="AF15" i="36" s="1"/>
  <c r="AF25" i="36" s="1"/>
  <c r="E15" i="11"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I24" i="76" s="1"/>
  <c r="F35" i="72"/>
  <c r="E24" i="76"/>
  <c r="H24" i="76" s="1"/>
  <c r="D35" i="72"/>
  <c r="Q30" i="72"/>
  <c r="R30" i="72" s="1"/>
  <c r="E15" i="72"/>
  <c r="F13" i="76" s="1"/>
  <c r="V15" i="72"/>
  <c r="E22" i="72"/>
  <c r="F20" i="76" s="1"/>
  <c r="V22" i="72"/>
  <c r="E30" i="72"/>
  <c r="F28" i="76" s="1"/>
  <c r="I27" i="76"/>
  <c r="H27" i="76"/>
  <c r="A27" i="76"/>
  <c r="L27" i="76" s="1"/>
  <c r="AH27" i="76" s="1"/>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R14" i="72" l="1"/>
  <c r="R35" i="72" s="1"/>
  <c r="Q35" i="72"/>
  <c r="E27" i="12"/>
  <c r="I15" i="11"/>
  <c r="AG15" i="36"/>
  <c r="AE25" i="36"/>
  <c r="F12" i="76"/>
  <c r="F33" i="76" s="1"/>
  <c r="E35" i="72"/>
  <c r="E36" i="72" s="1"/>
  <c r="V35" i="72"/>
  <c r="V11" i="72" s="1"/>
  <c r="G33" i="76"/>
  <c r="I17" i="12"/>
  <c r="B26" i="65"/>
  <c r="E33" i="76"/>
  <c r="A12" i="76"/>
  <c r="A15" i="76"/>
  <c r="L15" i="76" s="1"/>
  <c r="AH15" i="76" s="1"/>
  <c r="A18" i="76"/>
  <c r="L18" i="76" s="1"/>
  <c r="AH18" i="76" s="1"/>
  <c r="A14" i="76"/>
  <c r="L14" i="76" s="1"/>
  <c r="AH14" i="76" s="1"/>
  <c r="A21" i="76"/>
  <c r="L21" i="76" s="1"/>
  <c r="AH21" i="76" s="1"/>
  <c r="A13" i="76"/>
  <c r="L13" i="76" s="1"/>
  <c r="AH13" i="76" s="1"/>
  <c r="A23" i="76"/>
  <c r="L23" i="76" s="1"/>
  <c r="AH23" i="76" s="1"/>
  <c r="A17" i="76"/>
  <c r="L17" i="76" s="1"/>
  <c r="AH17" i="76" s="1"/>
  <c r="A16" i="76"/>
  <c r="L16" i="76" s="1"/>
  <c r="AH16" i="76" s="1"/>
  <c r="A20" i="76"/>
  <c r="L20" i="76" s="1"/>
  <c r="AH20" i="76" s="1"/>
  <c r="A19" i="76"/>
  <c r="L19" i="76" s="1"/>
  <c r="AH19" i="76" s="1"/>
  <c r="A22" i="76"/>
  <c r="L22" i="76" s="1"/>
  <c r="AH22" i="76" s="1"/>
  <c r="A26" i="76"/>
  <c r="L26" i="76" s="1"/>
  <c r="AH26" i="76" s="1"/>
  <c r="A31" i="76"/>
  <c r="L31" i="76" s="1"/>
  <c r="AH31" i="76" s="1"/>
  <c r="A28" i="76"/>
  <c r="L28" i="76" s="1"/>
  <c r="AH28" i="76" s="1"/>
  <c r="A30" i="76"/>
  <c r="L30" i="76" s="1"/>
  <c r="AH30" i="76" s="1"/>
  <c r="A32" i="76"/>
  <c r="L32" i="76" s="1"/>
  <c r="AH32" i="76" s="1"/>
  <c r="A29" i="76"/>
  <c r="L29" i="76" s="1"/>
  <c r="AH29" i="76" s="1"/>
  <c r="A25" i="76"/>
  <c r="L25" i="76" s="1"/>
  <c r="AH25" i="76" s="1"/>
  <c r="A24" i="76"/>
  <c r="L24" i="76" s="1"/>
  <c r="AH24" i="76" s="1"/>
  <c r="AG25" i="36" l="1"/>
  <c r="E11" i="11"/>
  <c r="A33" i="76"/>
  <c r="L12" i="76"/>
  <c r="AH12" i="76" l="1"/>
  <c r="AH33" i="76" s="1"/>
  <c r="L33" i="76"/>
  <c r="I11" i="11"/>
  <c r="E25" i="12"/>
  <c r="E19" i="11"/>
  <c r="B29" i="65" l="1"/>
  <c r="I19" i="11"/>
  <c r="Q12" i="76"/>
  <c r="Q33" i="76" s="1"/>
  <c r="P18" i="76"/>
  <c r="O25" i="76"/>
  <c r="P23" i="76"/>
  <c r="O13" i="76"/>
  <c r="O21" i="76"/>
  <c r="P19" i="76"/>
  <c r="O26" i="76"/>
  <c r="O14" i="76"/>
  <c r="P16" i="76"/>
  <c r="R13" i="76"/>
  <c r="R22" i="76"/>
  <c r="R23" i="76"/>
  <c r="O18" i="76"/>
  <c r="R12" i="76"/>
  <c r="R33" i="76" s="1"/>
  <c r="P15" i="76"/>
  <c r="P17" i="76"/>
  <c r="P20" i="76"/>
  <c r="R18" i="76"/>
  <c r="O23" i="76"/>
  <c r="R19" i="76"/>
  <c r="P21" i="76"/>
  <c r="R20" i="76"/>
  <c r="O15" i="76"/>
  <c r="O17" i="76"/>
  <c r="O12" i="76"/>
  <c r="R16" i="76"/>
  <c r="O30" i="76"/>
  <c r="O19" i="76"/>
  <c r="O16" i="76"/>
  <c r="P22" i="76"/>
  <c r="O29" i="76"/>
  <c r="O20" i="76"/>
  <c r="P12" i="76"/>
  <c r="P33" i="76" s="1"/>
  <c r="R15" i="76"/>
  <c r="R14" i="76"/>
  <c r="R21" i="76"/>
  <c r="O31" i="76"/>
  <c r="O28" i="76"/>
  <c r="P14" i="76"/>
  <c r="R17" i="76"/>
  <c r="O22" i="76"/>
  <c r="O32" i="76"/>
  <c r="P13" i="76"/>
  <c r="R32" i="76"/>
  <c r="R26" i="76"/>
  <c r="R25" i="76"/>
  <c r="R31" i="76"/>
  <c r="R29" i="76"/>
  <c r="P30" i="76"/>
  <c r="O24" i="76"/>
  <c r="P29" i="76"/>
  <c r="P32" i="76"/>
  <c r="P28" i="76"/>
  <c r="R28" i="76"/>
  <c r="O27" i="76"/>
  <c r="R30" i="76"/>
  <c r="P31" i="76"/>
  <c r="R27" i="76"/>
  <c r="P26" i="76"/>
  <c r="P27" i="76"/>
  <c r="P25" i="76"/>
  <c r="Q14" i="76"/>
  <c r="Q24" i="76"/>
  <c r="Q28" i="76"/>
  <c r="Q17" i="76"/>
  <c r="Q19" i="76"/>
  <c r="Q23" i="76"/>
  <c r="Q13" i="76"/>
  <c r="Q20" i="76"/>
  <c r="P24" i="76"/>
  <c r="Q25" i="76"/>
  <c r="Q21" i="76"/>
  <c r="R24" i="76"/>
  <c r="Q29" i="76"/>
  <c r="Q16" i="76"/>
  <c r="Q32" i="76"/>
  <c r="Q26" i="76"/>
  <c r="Q31" i="76"/>
  <c r="Q15" i="76"/>
  <c r="Q18" i="76"/>
  <c r="Q30" i="76"/>
  <c r="Q27" i="76"/>
  <c r="Q22" i="76"/>
  <c r="S19" i="76" l="1"/>
  <c r="AO19" i="76" s="1"/>
  <c r="T19" i="76"/>
  <c r="AP19" i="76" s="1"/>
  <c r="Y19" i="76"/>
  <c r="S13" i="76"/>
  <c r="AO13" i="76" s="1"/>
  <c r="Y13" i="76"/>
  <c r="T13" i="76"/>
  <c r="AP13" i="76" s="1"/>
  <c r="T21" i="76"/>
  <c r="AP21" i="76" s="1"/>
  <c r="S21" i="76"/>
  <c r="AO21" i="76" s="1"/>
  <c r="Y21" i="76"/>
  <c r="T30" i="76"/>
  <c r="AP30" i="76" s="1"/>
  <c r="Y30" i="76"/>
  <c r="S30" i="76"/>
  <c r="AO30" i="76" s="1"/>
  <c r="S23" i="76"/>
  <c r="AO23" i="76" s="1"/>
  <c r="T23" i="76"/>
  <c r="AP23" i="76" s="1"/>
  <c r="Y23" i="76"/>
  <c r="T18" i="76"/>
  <c r="AP18" i="76" s="1"/>
  <c r="Y18" i="76"/>
  <c r="S18" i="76"/>
  <c r="AO18" i="76" s="1"/>
  <c r="S24" i="76"/>
  <c r="AO24" i="76" s="1"/>
  <c r="T24" i="76"/>
  <c r="AP24" i="76" s="1"/>
  <c r="Y24" i="76"/>
  <c r="T32" i="76"/>
  <c r="AP32" i="76" s="1"/>
  <c r="Y32" i="76"/>
  <c r="S32" i="76"/>
  <c r="AO32" i="76" s="1"/>
  <c r="T25" i="76"/>
  <c r="AP25" i="76" s="1"/>
  <c r="Y25" i="76"/>
  <c r="S25" i="76"/>
  <c r="AO25" i="76" s="1"/>
  <c r="T12" i="76"/>
  <c r="AP12" i="76" s="1"/>
  <c r="O33" i="76"/>
  <c r="Y12" i="76"/>
  <c r="S12" i="76"/>
  <c r="AO12" i="76" s="1"/>
  <c r="Y22" i="76"/>
  <c r="T22" i="76"/>
  <c r="AP22" i="76" s="1"/>
  <c r="S22" i="76"/>
  <c r="AO22" i="76" s="1"/>
  <c r="T20" i="76"/>
  <c r="AP20" i="76" s="1"/>
  <c r="S20" i="76"/>
  <c r="AO20" i="76" s="1"/>
  <c r="Y20" i="76"/>
  <c r="S17" i="76"/>
  <c r="AO17" i="76" s="1"/>
  <c r="Y17" i="76"/>
  <c r="T17" i="76"/>
  <c r="AP17" i="76" s="1"/>
  <c r="T14" i="76"/>
  <c r="AP14" i="76" s="1"/>
  <c r="S14" i="76"/>
  <c r="AO14" i="76" s="1"/>
  <c r="Y14" i="76"/>
  <c r="T31" i="76"/>
  <c r="AP31" i="76" s="1"/>
  <c r="Y31" i="76"/>
  <c r="S31" i="76"/>
  <c r="AO31" i="76" s="1"/>
  <c r="S27" i="76"/>
  <c r="AO27" i="76" s="1"/>
  <c r="T27" i="76"/>
  <c r="AP27" i="76" s="1"/>
  <c r="Y27" i="76"/>
  <c r="S29" i="76"/>
  <c r="AO29" i="76" s="1"/>
  <c r="T29" i="76"/>
  <c r="AP29" i="76" s="1"/>
  <c r="Y29" i="76"/>
  <c r="T15" i="76"/>
  <c r="AP15" i="76" s="1"/>
  <c r="Y15" i="76"/>
  <c r="S15" i="76"/>
  <c r="AO15" i="76" s="1"/>
  <c r="Y26" i="76"/>
  <c r="S26" i="76"/>
  <c r="AO26" i="76" s="1"/>
  <c r="T26" i="76"/>
  <c r="AP26" i="76" s="1"/>
  <c r="T16" i="76"/>
  <c r="AP16" i="76" s="1"/>
  <c r="S16" i="76"/>
  <c r="AO16" i="76" s="1"/>
  <c r="Y16" i="76"/>
  <c r="T28" i="76"/>
  <c r="AP28" i="76" s="1"/>
  <c r="Y28" i="76"/>
  <c r="S28" i="76"/>
  <c r="AO28" i="76" s="1"/>
  <c r="Z28" i="76" l="1"/>
  <c r="AA28" i="76"/>
  <c r="AA17" i="76"/>
  <c r="Z17" i="76"/>
  <c r="Z32" i="76"/>
  <c r="AA32" i="76"/>
  <c r="AA23" i="76"/>
  <c r="Z23" i="76"/>
  <c r="S26" i="70"/>
  <c r="T26" i="70"/>
  <c r="U26" i="70"/>
  <c r="AA15" i="76"/>
  <c r="Z15" i="76"/>
  <c r="Z12" i="76"/>
  <c r="Z33" i="76" s="1"/>
  <c r="Y33" i="76"/>
  <c r="AA12" i="76"/>
  <c r="T30" i="70"/>
  <c r="S30" i="70"/>
  <c r="U30" i="70"/>
  <c r="T11" i="70"/>
  <c r="S11" i="70"/>
  <c r="U11" i="70"/>
  <c r="AA16" i="76"/>
  <c r="Z16" i="76"/>
  <c r="Z31" i="76"/>
  <c r="AA31" i="76"/>
  <c r="Z20" i="76"/>
  <c r="AA20" i="76"/>
  <c r="Z24" i="76"/>
  <c r="AA24" i="76"/>
  <c r="Z13" i="76"/>
  <c r="AA13" i="76"/>
  <c r="Z29" i="76"/>
  <c r="AA29" i="76"/>
  <c r="U29" i="70"/>
  <c r="S29" i="70"/>
  <c r="T29" i="70"/>
  <c r="U22" i="70"/>
  <c r="S22" i="70"/>
  <c r="T22" i="70"/>
  <c r="AA26" i="76"/>
  <c r="Z26" i="76"/>
  <c r="AA22" i="76"/>
  <c r="Z22" i="76"/>
  <c r="AA14" i="76"/>
  <c r="Z14" i="76"/>
  <c r="AA30" i="76"/>
  <c r="Z30" i="76"/>
  <c r="AA19" i="76"/>
  <c r="Z19" i="76"/>
  <c r="T24" i="70"/>
  <c r="S24" i="70"/>
  <c r="U24" i="70"/>
  <c r="S27" i="70"/>
  <c r="T27" i="70"/>
  <c r="U27" i="70"/>
  <c r="AA25" i="76"/>
  <c r="Z25" i="76"/>
  <c r="U25" i="70"/>
  <c r="T25" i="70"/>
  <c r="S25" i="70"/>
  <c r="AA27" i="76"/>
  <c r="Z27" i="76"/>
  <c r="T12" i="70"/>
  <c r="U12" i="70"/>
  <c r="S12" i="70"/>
  <c r="Z18" i="76"/>
  <c r="AA18" i="76"/>
  <c r="AA21" i="76"/>
  <c r="Z21" i="76"/>
  <c r="AD30" i="76" l="1"/>
  <c r="AC30" i="76"/>
  <c r="AC16" i="76"/>
  <c r="AD16" i="76"/>
  <c r="AD23" i="76"/>
  <c r="AC23" i="76"/>
  <c r="AD27" i="76"/>
  <c r="AC27" i="76"/>
  <c r="X20" i="76"/>
  <c r="X27" i="76"/>
  <c r="X31" i="76"/>
  <c r="X15" i="76"/>
  <c r="X29" i="76"/>
  <c r="X25" i="76"/>
  <c r="X22" i="76"/>
  <c r="X17" i="76"/>
  <c r="X30" i="76"/>
  <c r="X14" i="76"/>
  <c r="X18" i="76"/>
  <c r="X13" i="76"/>
  <c r="X23" i="76"/>
  <c r="X12" i="76"/>
  <c r="X28" i="76"/>
  <c r="X26" i="76"/>
  <c r="X19" i="76"/>
  <c r="X21" i="76"/>
  <c r="X16" i="76"/>
  <c r="X24" i="76"/>
  <c r="X32" i="76"/>
  <c r="AD32" i="76"/>
  <c r="AC32" i="76"/>
  <c r="AD21" i="76"/>
  <c r="AC21" i="76"/>
  <c r="AD14" i="76"/>
  <c r="AC14" i="76"/>
  <c r="AD20" i="76"/>
  <c r="AC20" i="76"/>
  <c r="AD15" i="76"/>
  <c r="AC15" i="76"/>
  <c r="AD22" i="76"/>
  <c r="AC22" i="76"/>
  <c r="AC17" i="76"/>
  <c r="AD17" i="76"/>
  <c r="AA33" i="76"/>
  <c r="AC12" i="76"/>
  <c r="AC33" i="76" s="1"/>
  <c r="AD12" i="76"/>
  <c r="AD29" i="76"/>
  <c r="AC29" i="76"/>
  <c r="AD31" i="76"/>
  <c r="AC31" i="76"/>
  <c r="AD28" i="76"/>
  <c r="AC28" i="76"/>
  <c r="AC13" i="76"/>
  <c r="AD13" i="76"/>
  <c r="AC24" i="76"/>
  <c r="AD24" i="76"/>
  <c r="AC18" i="76"/>
  <c r="AD18" i="76"/>
  <c r="AC25" i="76"/>
  <c r="AD25" i="76"/>
  <c r="AD19" i="76"/>
  <c r="AC19" i="76"/>
  <c r="AD26" i="76"/>
  <c r="AC26" i="76"/>
  <c r="AF24" i="76" l="1"/>
  <c r="AI24" i="76" s="1"/>
  <c r="AF27" i="76"/>
  <c r="AI27" i="76" s="1"/>
  <c r="AF15" i="76"/>
  <c r="AI15" i="76" s="1"/>
  <c r="AF19" i="76"/>
  <c r="AI19" i="76" s="1"/>
  <c r="AF23" i="76"/>
  <c r="AI23" i="76" s="1"/>
  <c r="AF22" i="76"/>
  <c r="AI22" i="76" s="1"/>
  <c r="AF29" i="76"/>
  <c r="AI29" i="76" s="1"/>
  <c r="AF12" i="76"/>
  <c r="AD33" i="76"/>
  <c r="AF16" i="76"/>
  <c r="AI16" i="76" s="1"/>
  <c r="AF21" i="76"/>
  <c r="AI21" i="76" s="1"/>
  <c r="AF26" i="76"/>
  <c r="AI26" i="76" s="1"/>
  <c r="X33" i="76"/>
  <c r="AB32" i="76" s="1"/>
  <c r="AF28" i="76"/>
  <c r="AI28" i="76" s="1"/>
  <c r="AF17" i="76"/>
  <c r="AI17" i="76" s="1"/>
  <c r="AF13" i="76"/>
  <c r="AI13" i="76" s="1"/>
  <c r="AF32" i="76"/>
  <c r="AI32" i="76" s="1"/>
  <c r="AF25" i="76"/>
  <c r="AI25" i="76" s="1"/>
  <c r="AF14" i="76"/>
  <c r="AI14" i="76" s="1"/>
  <c r="AF20" i="76"/>
  <c r="AI20" i="76" s="1"/>
  <c r="AF18" i="76"/>
  <c r="AI18" i="76" s="1"/>
  <c r="AF31" i="76"/>
  <c r="AI31" i="76" s="1"/>
  <c r="AF30" i="76"/>
  <c r="AI30" i="76" s="1"/>
  <c r="AB31" i="76" l="1"/>
  <c r="AB23" i="76"/>
  <c r="AB26" i="76"/>
  <c r="AB24" i="76"/>
  <c r="AB20" i="76"/>
  <c r="AB14" i="76"/>
  <c r="AB16" i="76"/>
  <c r="AB27" i="76"/>
  <c r="AB30" i="76"/>
  <c r="AB21" i="76"/>
  <c r="AB29" i="76"/>
  <c r="AB18" i="76"/>
  <c r="AB19" i="76"/>
  <c r="AB17" i="76"/>
  <c r="AB25" i="76"/>
  <c r="AF33" i="76"/>
  <c r="AI12" i="76"/>
  <c r="AI33" i="76" s="1"/>
  <c r="AB22" i="76"/>
  <c r="AB28" i="76"/>
  <c r="AB12" i="76"/>
  <c r="AB33" i="76" s="1"/>
  <c r="AB15" i="76"/>
  <c r="AB13" i="76"/>
  <c r="AL14" i="76" l="1"/>
  <c r="AL18" i="76"/>
  <c r="AL24" i="76"/>
  <c r="AL15" i="76"/>
  <c r="AL22" i="76"/>
  <c r="AL27" i="76"/>
  <c r="AL13" i="76"/>
  <c r="AL31" i="76"/>
  <c r="AL17" i="76"/>
  <c r="AL19" i="76"/>
  <c r="AL29" i="76"/>
  <c r="AL16" i="76"/>
  <c r="AL28" i="76"/>
  <c r="AL21" i="76"/>
  <c r="AL32" i="76"/>
  <c r="AL12" i="76"/>
  <c r="AL25" i="76"/>
  <c r="AL20" i="76"/>
  <c r="AL23" i="76"/>
  <c r="AL26" i="76"/>
  <c r="AL30" i="76"/>
  <c r="G10" i="70" l="1"/>
  <c r="J10" i="70" s="1"/>
  <c r="AQ12" i="76"/>
  <c r="AR12" i="76"/>
  <c r="AL33" i="76"/>
  <c r="AU2" i="76" s="1"/>
  <c r="AM12" i="76"/>
  <c r="AP14" i="72"/>
  <c r="AN12" i="76"/>
  <c r="AP15" i="72"/>
  <c r="AQ13" i="76"/>
  <c r="AM13" i="76"/>
  <c r="H11" i="70" s="1"/>
  <c r="AB11" i="70" s="1"/>
  <c r="AN13" i="76"/>
  <c r="I11" i="70" s="1"/>
  <c r="G11" i="70"/>
  <c r="J11" i="70" s="1"/>
  <c r="AR13" i="76"/>
  <c r="AQ30" i="76"/>
  <c r="AM30" i="76"/>
  <c r="H28" i="70" s="1"/>
  <c r="AB28" i="70" s="1"/>
  <c r="AP32" i="72"/>
  <c r="AR30" i="76"/>
  <c r="G28" i="70"/>
  <c r="J28" i="70" s="1"/>
  <c r="AN30" i="76"/>
  <c r="I28" i="70" s="1"/>
  <c r="AN22" i="76"/>
  <c r="I20" i="70" s="1"/>
  <c r="AP24" i="72"/>
  <c r="AQ22" i="76"/>
  <c r="G20" i="70"/>
  <c r="J20" i="70" s="1"/>
  <c r="AR22" i="76"/>
  <c r="AM22" i="76"/>
  <c r="H20" i="70" s="1"/>
  <c r="AB20" i="70" s="1"/>
  <c r="AM26" i="76"/>
  <c r="H24" i="70" s="1"/>
  <c r="AB24" i="70" s="1"/>
  <c r="AN26" i="76"/>
  <c r="I24" i="70" s="1"/>
  <c r="G24" i="70"/>
  <c r="J24" i="70" s="1"/>
  <c r="AR26" i="76"/>
  <c r="AQ26" i="76"/>
  <c r="AP28" i="72"/>
  <c r="AN15" i="76"/>
  <c r="I13" i="70" s="1"/>
  <c r="G13" i="70"/>
  <c r="J13" i="70" s="1"/>
  <c r="AP17" i="72"/>
  <c r="AR15" i="76"/>
  <c r="AQ15" i="76"/>
  <c r="AM15" i="76"/>
  <c r="H13" i="70" s="1"/>
  <c r="AB13" i="70" s="1"/>
  <c r="AP33" i="72"/>
  <c r="AN31" i="76"/>
  <c r="I29" i="70" s="1"/>
  <c r="G29" i="70"/>
  <c r="J29" i="70" s="1"/>
  <c r="AR31" i="76"/>
  <c r="AQ31" i="76"/>
  <c r="AM31" i="76"/>
  <c r="H29" i="70" s="1"/>
  <c r="AB29" i="70" s="1"/>
  <c r="G19" i="70"/>
  <c r="J19" i="70" s="1"/>
  <c r="AM21" i="76"/>
  <c r="H19" i="70" s="1"/>
  <c r="AB19" i="70" s="1"/>
  <c r="AR21" i="76"/>
  <c r="AN21" i="76"/>
  <c r="I19" i="70" s="1"/>
  <c r="AP23" i="72"/>
  <c r="AQ21" i="76"/>
  <c r="AN29" i="76"/>
  <c r="I27" i="70" s="1"/>
  <c r="G27" i="70"/>
  <c r="J27" i="70" s="1"/>
  <c r="AQ29" i="76"/>
  <c r="AM29" i="76"/>
  <c r="H27" i="70" s="1"/>
  <c r="AB27" i="70" s="1"/>
  <c r="AR29" i="76"/>
  <c r="AP31" i="72"/>
  <c r="G22" i="70"/>
  <c r="J22" i="70" s="1"/>
  <c r="AQ24" i="76"/>
  <c r="AM24" i="76"/>
  <c r="H22" i="70" s="1"/>
  <c r="AB22" i="70" s="1"/>
  <c r="AP26" i="72"/>
  <c r="AR24" i="76"/>
  <c r="AN24" i="76"/>
  <c r="I22" i="70" s="1"/>
  <c r="AM32" i="76"/>
  <c r="H30" i="70" s="1"/>
  <c r="AB30" i="70" s="1"/>
  <c r="AQ32" i="76"/>
  <c r="AR32" i="76"/>
  <c r="AP34" i="72"/>
  <c r="G30" i="70"/>
  <c r="J30" i="70" s="1"/>
  <c r="AN32" i="76"/>
  <c r="I30" i="70" s="1"/>
  <c r="AQ27" i="76"/>
  <c r="AN27" i="76"/>
  <c r="I25" i="70" s="1"/>
  <c r="AP29" i="72"/>
  <c r="AM27" i="76"/>
  <c r="H25" i="70" s="1"/>
  <c r="AB25" i="70" s="1"/>
  <c r="AR27" i="76"/>
  <c r="G25" i="70"/>
  <c r="J25" i="70" s="1"/>
  <c r="AR16" i="76"/>
  <c r="AQ16" i="76"/>
  <c r="G14" i="70"/>
  <c r="J14" i="70" s="1"/>
  <c r="AP18" i="72"/>
  <c r="AM16" i="76"/>
  <c r="H14" i="70" s="1"/>
  <c r="AB14" i="70" s="1"/>
  <c r="AN16" i="76"/>
  <c r="I14" i="70" s="1"/>
  <c r="AQ20" i="76"/>
  <c r="AN20" i="76"/>
  <c r="I18" i="70" s="1"/>
  <c r="AM20" i="76"/>
  <c r="H18" i="70" s="1"/>
  <c r="AB18" i="70" s="1"/>
  <c r="AP22" i="72"/>
  <c r="G18" i="70"/>
  <c r="J18" i="70" s="1"/>
  <c r="AR20" i="76"/>
  <c r="AN19" i="76"/>
  <c r="I17" i="70" s="1"/>
  <c r="AR19" i="76"/>
  <c r="G17" i="70"/>
  <c r="J17" i="70" s="1"/>
  <c r="AM19" i="76"/>
  <c r="H17" i="70" s="1"/>
  <c r="AB17" i="70" s="1"/>
  <c r="AQ19" i="76"/>
  <c r="AP21" i="72"/>
  <c r="AQ18" i="76"/>
  <c r="AM18" i="76"/>
  <c r="H16" i="70" s="1"/>
  <c r="AB16" i="70" s="1"/>
  <c r="AN18" i="76"/>
  <c r="I16" i="70" s="1"/>
  <c r="G16" i="70"/>
  <c r="J16" i="70" s="1"/>
  <c r="AR18" i="76"/>
  <c r="AP20" i="72"/>
  <c r="AM28" i="76"/>
  <c r="H26" i="70" s="1"/>
  <c r="AB26" i="70" s="1"/>
  <c r="AQ28" i="76"/>
  <c r="AP30" i="72"/>
  <c r="AR28" i="76"/>
  <c r="G26" i="70"/>
  <c r="J26" i="70" s="1"/>
  <c r="AN28" i="76"/>
  <c r="I26" i="70" s="1"/>
  <c r="AM23" i="76"/>
  <c r="H21" i="70" s="1"/>
  <c r="AB21" i="70" s="1"/>
  <c r="G21" i="70"/>
  <c r="J21" i="70" s="1"/>
  <c r="AN23" i="76"/>
  <c r="I21" i="70" s="1"/>
  <c r="AR23" i="76"/>
  <c r="AQ23" i="76"/>
  <c r="AP25" i="72"/>
  <c r="AM25" i="76"/>
  <c r="H23" i="70" s="1"/>
  <c r="AB23" i="70" s="1"/>
  <c r="AN25" i="76"/>
  <c r="I23" i="70" s="1"/>
  <c r="AR25" i="76"/>
  <c r="AP27" i="72"/>
  <c r="G23" i="70"/>
  <c r="J23" i="70" s="1"/>
  <c r="AQ25" i="76"/>
  <c r="AN17" i="76"/>
  <c r="I15" i="70" s="1"/>
  <c r="AQ17" i="76"/>
  <c r="AP19" i="72"/>
  <c r="G15" i="70"/>
  <c r="AR17" i="76"/>
  <c r="AM17" i="76"/>
  <c r="H15" i="70" s="1"/>
  <c r="AB15" i="70" s="1"/>
  <c r="AN14" i="76"/>
  <c r="I12" i="70" s="1"/>
  <c r="AQ14" i="76"/>
  <c r="AP16" i="72"/>
  <c r="AM14" i="76"/>
  <c r="H12" i="70" s="1"/>
  <c r="AB12" i="70" s="1"/>
  <c r="G12" i="70"/>
  <c r="J12" i="70" s="1"/>
  <c r="AR14" i="76"/>
  <c r="AU36" i="61" l="1"/>
  <c r="J15" i="70"/>
  <c r="J31" i="70" s="1"/>
  <c r="I34" i="70" s="1"/>
  <c r="I10" i="70"/>
  <c r="I31" i="70" s="1"/>
  <c r="AN33" i="76"/>
  <c r="H10" i="70"/>
  <c r="AM33" i="76"/>
  <c r="BJ6" i="76"/>
  <c r="BJ7" i="76" s="1"/>
  <c r="I33" i="70" s="1"/>
  <c r="AX6" i="76"/>
  <c r="AX7" i="76" s="1"/>
  <c r="AB10" i="70" l="1"/>
  <c r="H31" i="70"/>
  <c r="I40" i="70"/>
  <c r="E13" i="12"/>
  <c r="I35" i="70"/>
  <c r="G37" i="70" l="1"/>
  <c r="I37" i="70"/>
  <c r="G13" i="12"/>
  <c r="N13" i="12"/>
  <c r="B24" i="65"/>
  <c r="E20" i="12"/>
  <c r="I39" i="70"/>
  <c r="T38" i="61"/>
  <c r="C22" i="69" s="1"/>
  <c r="G12" i="12"/>
  <c r="G17" i="12"/>
  <c r="D29" i="65"/>
  <c r="D25" i="65"/>
  <c r="G26" i="12"/>
  <c r="G13" i="11" s="1"/>
  <c r="G17" i="11"/>
  <c r="G22" i="12"/>
  <c r="G23" i="11"/>
  <c r="D30" i="65"/>
  <c r="G15" i="11"/>
  <c r="D26" i="65"/>
  <c r="G11" i="11"/>
  <c r="T40" i="61"/>
  <c r="G28" i="12"/>
  <c r="E30" i="11"/>
  <c r="G36" i="12"/>
  <c r="G5" i="89"/>
  <c r="G27" i="12"/>
  <c r="I5" i="89"/>
  <c r="G29" i="11"/>
  <c r="G25" i="12"/>
  <c r="G36" i="11"/>
  <c r="G30" i="12"/>
  <c r="G19" i="11"/>
  <c r="N17" i="12"/>
  <c r="K36" i="70"/>
  <c r="L33" i="70"/>
  <c r="K33" i="70"/>
  <c r="G30" i="11" l="1"/>
  <c r="B31" i="65"/>
  <c r="D31" i="65" s="1"/>
  <c r="E31" i="12"/>
  <c r="G31" i="12" s="1"/>
  <c r="I30" i="11"/>
  <c r="I20" i="12"/>
  <c r="G20" i="12"/>
  <c r="E23" i="12"/>
  <c r="B27" i="65"/>
  <c r="D24" i="65"/>
  <c r="E34" i="12" l="1"/>
  <c r="G23" i="12"/>
  <c r="B33" i="65"/>
  <c r="D27" i="65"/>
  <c r="B35" i="65" l="1"/>
  <c r="B34" i="65"/>
  <c r="D33" i="65"/>
  <c r="M34" i="12"/>
  <c r="I34" i="12"/>
  <c r="C27" i="43" s="1"/>
  <c r="E38" i="12"/>
  <c r="G34" i="12"/>
  <c r="K34" i="12"/>
  <c r="M38" i="12" l="1"/>
  <c r="G38" i="12"/>
  <c r="K38" i="12"/>
  <c r="I38" i="12"/>
  <c r="C28" i="43"/>
  <c r="H34" i="12"/>
  <c r="H38" i="12"/>
  <c r="N38" i="1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<sst xmlns="http://schemas.openxmlformats.org/spreadsheetml/2006/main" count="5316" uniqueCount="1601">
  <si>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</si>
  <si>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</si>
  <si>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</si>
  <si>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</si>
  <si>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</si>
  <si>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</si>
  <si>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</si>
  <si>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</si>
  <si>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</si>
  <si>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</si>
  <si>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</si>
  <si>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</si>
  <si>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</si>
  <si>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</si>
  <si>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</si>
  <si>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</si>
  <si>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</si>
  <si>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</si>
  <si>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</si>
  <si>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</si>
  <si>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</si>
  <si>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</si>
  <si>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</si>
  <si>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</si>
  <si>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</si>
  <si>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</si>
  <si>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</si>
  <si>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</si>
  <si>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</si>
  <si>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</si>
  <si>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</si>
  <si>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</si>
  <si>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</si>
  <si>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</si>
  <si>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</si>
  <si>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</si>
  <si>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</si>
  <si>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</si>
  <si>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</si>
  <si>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</si>
  <si>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</si>
  <si>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</si>
  <si>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</si>
  <si>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</si>
  <si>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</si>
  <si>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</si>
  <si>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</si>
  <si>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</si>
  <si>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</si>
  <si>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</si>
  <si>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</si>
  <si>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</si>
  <si>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</si>
  <si>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</si>
  <si>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</si>
  <si>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</si>
  <si>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</si>
  <si>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</si>
  <si>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</si>
  <si>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</si>
  <si>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</si>
  <si>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</si>
  <si>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</si>
  <si>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</si>
  <si>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</si>
  <si>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</si>
  <si>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</si>
  <si>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</si>
  <si>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</si>
  <si>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</si>
  <si>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</si>
  <si>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</si>
  <si>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</si>
  <si>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</si>
  <si>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</si>
  <si>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</si>
  <si>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</si>
  <si>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</si>
  <si>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</si>
  <si>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</si>
  <si>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</si>
  <si>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</si>
  <si>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</si>
  <si>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</si>
  <si>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</si>
  <si>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</si>
  <si>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</si>
  <si>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</si>
  <si>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</si>
  <si>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</si>
  <si>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</si>
  <si>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</si>
  <si>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</si>
  <si>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</si>
  <si>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</si>
  <si>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</si>
  <si>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</si>
  <si>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</si>
  <si>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</si>
  <si>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</si>
  <si>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</si>
  <si>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</si>
  <si>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</si>
  <si>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</si>
  <si>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</si>
  <si>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</si>
  <si>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</si>
  <si>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</si>
  <si>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</si>
  <si>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</si>
  <si>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</si>
  <si>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</si>
  <si>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</si>
  <si>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</si>
  <si>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</si>
  <si>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</si>
  <si>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</si>
  <si>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</si>
  <si>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</si>
  <si>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</si>
  <si>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</si>
  <si>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</si>
  <si>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</si>
  <si>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</si>
  <si>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</si>
  <si>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</si>
  <si>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</si>
  <si>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</si>
  <si>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</si>
  <si>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</si>
  <si>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</si>
  <si>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</si>
  <si>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</si>
  <si>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</si>
  <si>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</si>
  <si>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</si>
  <si>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</si>
  <si>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</si>
  <si>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</si>
  <si>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</si>
  <si>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</si>
  <si>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</si>
  <si>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</si>
  <si>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</si>
  <si>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</si>
  <si>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</si>
  <si>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</si>
  <si>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</si>
  <si>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</si>
  <si>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</si>
  <si>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</si>
  <si>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</si>
  <si>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</si>
  <si>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</si>
  <si>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</si>
  <si>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</si>
  <si>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</si>
  <si>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</si>
  <si>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</si>
  <si>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</si>
  <si>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</si>
  <si>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</si>
  <si>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</si>
  <si>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</si>
  <si>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</si>
  <si>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</si>
  <si>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</si>
  <si>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</si>
  <si>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</si>
  <si>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</si>
  <si>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</si>
  <si>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</si>
  <si>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</si>
  <si>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</si>
  <si>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</si>
  <si>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</si>
  <si>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</si>
  <si>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</si>
  <si>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</si>
  <si>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</si>
  <si>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</si>
  <si>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</si>
  <si>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</si>
  <si>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</si>
  <si>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</si>
  <si>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</si>
  <si>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</si>
  <si>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</si>
  <si>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</si>
  <si>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</si>
  <si>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</si>
  <si>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</si>
  <si>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</si>
  <si>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</si>
  <si>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</si>
  <si>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</si>
  <si>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</si>
  <si>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</si>
  <si>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</si>
  <si>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</si>
  <si>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</si>
  <si>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</si>
  <si>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</si>
  <si>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</si>
  <si>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</si>
  <si>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</si>
  <si>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</si>
  <si>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</si>
  <si>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</si>
  <si>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</si>
  <si>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</si>
  <si>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</si>
  <si>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</si>
  <si>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</si>
  <si>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</si>
  <si>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</si>
  <si>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</si>
  <si>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</si>
  <si>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</si>
  <si>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</si>
  <si>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</si>
  <si>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</si>
  <si>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</si>
  <si>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</si>
  <si>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</si>
  <si>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</si>
  <si>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</si>
  <si>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</si>
  <si>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</si>
  <si>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</si>
  <si>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</si>
  <si>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</si>
  <si>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</si>
  <si>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</si>
  <si>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</si>
  <si>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</si>
  <si>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</si>
  <si>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</si>
  <si>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</si>
  <si>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</si>
  <si>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</si>
  <si>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</si>
  <si>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</si>
  <si>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</si>
  <si>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</si>
  <si>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</si>
  <si>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</si>
  <si>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</si>
  <si>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</si>
  <si>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</si>
  <si>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</si>
  <si>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</si>
  <si>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</si>
  <si>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</si>
  <si>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</si>
  <si>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</si>
  <si>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</si>
  <si>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</si>
  <si>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</si>
  <si>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</si>
  <si>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</si>
  <si>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</si>
  <si>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</si>
  <si>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</si>
  <si>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</si>
  <si>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</si>
  <si>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</si>
  <si>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</si>
  <si>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</si>
  <si>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</si>
  <si>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</si>
  <si>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</si>
  <si>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</si>
  <si>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</si>
  <si>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</si>
  <si>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</si>
  <si>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</si>
  <si>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</si>
  <si>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</si>
  <si>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</si>
  <si>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</si>
  <si>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</si>
  <si>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</si>
  <si>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</si>
  <si>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</si>
  <si>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</si>
  <si>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</si>
  <si>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</si>
  <si>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</si>
  <si>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</si>
  <si>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</si>
  <si>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</si>
  <si>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</si>
  <si>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</si>
  <si>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</si>
  <si>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</si>
  <si>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</si>
  <si>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</si>
  <si>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</si>
  <si>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</si>
  <si>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</si>
  <si>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</si>
  <si>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</si>
  <si>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</si>
  <si>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</si>
  <si>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</si>
  <si>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</si>
  <si>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</si>
  <si>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</si>
  <si>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</si>
  <si>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</si>
  <si>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</si>
  <si>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</si>
  <si>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</si>
  <si>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</si>
  <si>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</si>
  <si>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</si>
  <si>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</si>
  <si>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</si>
  <si>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</si>
  <si>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</si>
  <si>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</si>
  <si>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</si>
  <si>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</si>
  <si>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</si>
  <si>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</si>
  <si>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</si>
  <si>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</si>
  <si>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</si>
  <si>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</si>
  <si>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</si>
  <si>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</si>
  <si>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</si>
  <si>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</si>
  <si>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</si>
  <si>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</si>
  <si>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</si>
  <si>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</si>
  <si>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</si>
  <si>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</si>
  <si>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</si>
  <si>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</si>
  <si>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</si>
  <si>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</si>
  <si>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</si>
  <si>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</si>
  <si>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</si>
  <si>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</si>
  <si>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</si>
  <si>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</si>
  <si>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</si>
  <si>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</si>
  <si>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</si>
  <si>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</si>
  <si>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</si>
  <si>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</si>
  <si>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</si>
  <si>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</si>
  <si>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</si>
  <si>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</si>
  <si>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</si>
  <si>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</si>
  <si>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</si>
  <si>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</si>
  <si>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</si>
  <si>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</si>
  <si>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</si>
  <si>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</si>
  <si>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</si>
  <si>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</si>
  <si>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</si>
  <si>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</si>
  <si>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</si>
  <si>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</si>
  <si>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</si>
  <si>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</si>
  <si>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</si>
  <si>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</si>
  <si>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</si>
  <si>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 xml:space="preserve"># of Locations: </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</si>
  <si>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</si>
  <si>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</si>
  <si>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</si>
  <si>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</si>
  <si>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</si>
  <si>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</si>
  <si>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</si>
  <si>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</si>
  <si>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</si>
  <si>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</si>
  <si>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</si>
  <si>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</si>
  <si>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</si>
  <si>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</si>
  <si>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</si>
  <si>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</si>
  <si>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</si>
  <si>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</si>
  <si>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</si>
  <si>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</si>
  <si>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</si>
  <si>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</si>
  <si>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</si>
  <si>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</si>
  <si>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</si>
  <si>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</si>
  <si>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</si>
  <si>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</si>
  <si>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</si>
  <si>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</si>
  <si>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</si>
  <si>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</si>
  <si>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</si>
  <si>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</si>
  <si>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</si>
  <si>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</si>
  <si>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</si>
  <si>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</si>
  <si>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</si>
  <si>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</si>
  <si>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</si>
  <si>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</si>
  <si>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</si>
  <si>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</si>
  <si>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</si>
  <si>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</si>
  <si>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</si>
  <si>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</si>
  <si>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</si>
  <si>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</si>
  <si>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</si>
  <si>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</si>
  <si>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</si>
  <si>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</si>
  <si>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</si>
  <si>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</si>
  <si>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</si>
  <si>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</si>
  <si>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</si>
  <si>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</si>
  <si>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</si>
  <si>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</si>
  <si>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</si>
  <si>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</si>
  <si>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</si>
  <si>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</si>
  <si>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</si>
  <si>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</si>
  <si>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</si>
  <si>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</si>
  <si>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</si>
  <si>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</si>
  <si>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</si>
  <si>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</si>
  <si>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</si>
  <si>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</si>
  <si>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</si>
  <si>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</si>
  <si>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</si>
  <si>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</si>
  <si>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</si>
  <si>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</si>
  <si>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</si>
  <si>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</si>
  <si>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</si>
  <si>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</si>
  <si>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</si>
  <si>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</si>
  <si>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</si>
  <si>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</si>
  <si>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</si>
  <si>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</si>
  <si>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</si>
  <si>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</si>
  <si>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</si>
  <si>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</si>
  <si>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</si>
  <si>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</si>
  <si>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</si>
  <si>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</si>
  <si>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</si>
  <si>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</si>
  <si>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</si>
  <si>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</si>
  <si>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</si>
  <si>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</si>
  <si>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</si>
  <si>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</si>
  <si>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</si>
  <si>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</si>
  <si>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</si>
  <si>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</si>
  <si>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</si>
  <si>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</si>
  <si>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</si>
  <si>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</si>
  <si>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</si>
  <si>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</si>
  <si>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</si>
  <si>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</si>
  <si>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</si>
  <si>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</si>
  <si>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</si>
  <si>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</si>
  <si>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</si>
  <si>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</si>
  <si>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</si>
  <si>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</si>
  <si>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</si>
  <si>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</si>
  <si>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</si>
  <si>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</si>
  <si>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</si>
  <si>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</si>
  <si>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</si>
  <si>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</si>
  <si>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</si>
  <si>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</si>
  <si>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</si>
  <si>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</si>
  <si>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</si>
  <si>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</si>
  <si>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</si>
  <si>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</si>
  <si>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</si>
  <si>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</si>
  <si>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</si>
  <si>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</si>
  <si>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</si>
  <si>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</si>
  <si>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</si>
  <si>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</si>
  <si>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</si>
  <si>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</si>
  <si>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</si>
  <si>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</si>
  <si>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</si>
  <si>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</si>
  <si>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</si>
  <si>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</si>
  <si>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</si>
  <si>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</si>
  <si>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</si>
  <si>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</si>
  <si>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</si>
  <si>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</si>
  <si>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</si>
  <si>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</si>
  <si>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</si>
  <si>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</si>
  <si>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</si>
  <si>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</si>
  <si>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</si>
  <si>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</si>
  <si>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</si>
  <si>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</si>
  <si>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</si>
  <si>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</si>
  <si>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</si>
  <si>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</si>
  <si>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</si>
  <si>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</si>
  <si>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</si>
  <si>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</si>
  <si>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</si>
  <si>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</si>
  <si>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</si>
  <si>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</si>
  <si>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</si>
  <si>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</si>
  <si>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</si>
  <si>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</si>
  <si>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</si>
  <si>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</si>
  <si>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</si>
  <si>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</si>
  <si>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</si>
  <si>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</si>
  <si>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</si>
  <si>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</si>
  <si>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</si>
  <si>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</si>
  <si>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</si>
  <si>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</si>
  <si>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</si>
  <si>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</si>
  <si>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</si>
  <si>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</si>
  <si>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</si>
  <si>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</si>
  <si>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</si>
  <si>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</si>
  <si>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</si>
  <si>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</si>
  <si>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</si>
  <si>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</si>
  <si>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</si>
  <si>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</si>
  <si>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</si>
  <si>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</si>
  <si>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</si>
  <si>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</si>
  <si>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</si>
  <si>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</si>
  <si>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</si>
  <si>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</si>
  <si>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</si>
  <si>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</si>
  <si>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</si>
  <si>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</si>
  <si>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</si>
  <si>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</si>
  <si>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</si>
  <si>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</si>
  <si>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</si>
  <si>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</si>
  <si>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</si>
  <si>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</si>
  <si>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</si>
  <si>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</si>
  <si>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</si>
  <si>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</si>
  <si>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</si>
  <si>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</si>
  <si>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</si>
  <si>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</si>
  <si>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</si>
  <si>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</si>
  <si>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</si>
  <si>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</si>
  <si>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</si>
  <si>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</si>
  <si>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</si>
  <si>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</si>
  <si>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</si>
  <si>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</si>
  <si>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</si>
  <si>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</si>
  <si>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</si>
  <si>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</si>
  <si>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</si>
  <si>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</si>
  <si>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</si>
  <si>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</si>
  <si>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</si>
  <si>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</si>
  <si>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</si>
  <si>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</si>
  <si>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</si>
  <si>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</si>
  <si>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</si>
  <si>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</si>
  <si>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</si>
  <si>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</si>
  <si>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</si>
  <si>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</si>
  <si>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</si>
  <si>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</si>
  <si>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</si>
  <si>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</si>
  <si>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</si>
  <si>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</si>
  <si>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</si>
  <si>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</si>
  <si>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</si>
  <si>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</si>
  <si>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</si>
  <si>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</si>
  <si>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</si>
  <si>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</si>
  <si>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</si>
  <si>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</si>
  <si>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</si>
  <si>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</si>
  <si>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</si>
  <si>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</si>
  <si>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</si>
  <si>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</si>
  <si>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</si>
  <si>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</si>
  <si>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</si>
  <si>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</si>
  <si>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</si>
  <si>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</si>
  <si>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</si>
  <si>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</si>
  <si>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</si>
  <si>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</si>
  <si>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</si>
  <si>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</si>
  <si>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</si>
  <si>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</si>
  <si>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</si>
  <si>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</si>
  <si>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</si>
  <si>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</si>
  <si>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</si>
  <si>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</si>
  <si>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</si>
  <si>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</si>
  <si>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</si>
  <si>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</si>
  <si>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</si>
  <si>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</si>
  <si>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</si>
  <si>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</si>
  <si>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</si>
  <si>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</si>
  <si>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</si>
  <si>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</si>
  <si>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</si>
  <si>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</si>
  <si>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</si>
  <si>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</si>
  <si>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</si>
  <si>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</si>
  <si>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</si>
  <si>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</si>
  <si>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</si>
  <si>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</si>
  <si>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</si>
  <si>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</si>
  <si>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</si>
  <si>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</si>
  <si>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</si>
  <si>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</si>
  <si>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</si>
  <si>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</si>
  <si>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</si>
  <si>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</si>
  <si>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</si>
  <si>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</si>
  <si>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</si>
  <si>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</si>
  <si>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</si>
  <si>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</si>
  <si>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</si>
  <si>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</si>
  <si>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</si>
  <si>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</si>
  <si>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</si>
  <si>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</si>
  <si>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</si>
  <si>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</si>
  <si>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</si>
  <si>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</si>
  <si>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</si>
  <si>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</si>
  <si>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</si>
  <si>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</si>
  <si>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</si>
  <si>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</si>
  <si>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</si>
  <si>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</si>
  <si>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</si>
  <si>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</si>
  <si>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</si>
  <si>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</si>
  <si>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</si>
  <si>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</si>
  <si>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</si>
  <si>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</si>
  <si>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</si>
  <si>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</si>
  <si>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</si>
  <si>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</si>
  <si>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</si>
  <si>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</si>
  <si>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</si>
  <si>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</si>
  <si>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</si>
  <si>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</si>
  <si>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</si>
  <si>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</si>
  <si>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</si>
  <si>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</si>
  <si>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</si>
  <si>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</si>
  <si>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</si>
  <si>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</si>
  <si>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</si>
  <si>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</si>
  <si>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</si>
  <si>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</si>
  <si>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</si>
  <si>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</si>
  <si>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</si>
  <si>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</si>
  <si>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</si>
  <si>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</si>
  <si>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</si>
  <si>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</si>
  <si>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</si>
  <si>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</si>
  <si>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</si>
  <si>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</si>
  <si>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</si>
  <si>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</si>
  <si>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</si>
  <si>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</si>
  <si>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</si>
  <si>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</si>
  <si>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</si>
  <si>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</si>
  <si>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</si>
  <si>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</si>
  <si>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</si>
  <si>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</si>
  <si>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</si>
  <si>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</si>
  <si>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</si>
  <si>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</si>
  <si>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</si>
  <si>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</si>
  <si>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</si>
  <si>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</si>
  <si>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</si>
  <si>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</si>
  <si>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</si>
  <si>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</si>
  <si>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</si>
  <si>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</si>
  <si>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</si>
  <si>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</si>
  <si>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</si>
  <si>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</si>
  <si>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</si>
  <si>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</si>
  <si>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</si>
  <si>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</si>
  <si>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</si>
  <si>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</si>
  <si>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</si>
  <si>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</si>
  <si>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</si>
  <si>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</si>
  <si>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</si>
  <si>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</si>
  <si>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</si>
  <si>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</si>
  <si>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</si>
  <si>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</si>
  <si>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</si>
  <si>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</si>
  <si>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</si>
  <si>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</si>
  <si>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</si>
  <si>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</si>
  <si>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</si>
  <si>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</si>
  <si>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</si>
  <si>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</si>
  <si>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</si>
  <si>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</si>
  <si>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</si>
  <si>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</si>
  <si>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</si>
  <si>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</si>
  <si>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</si>
  <si>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</si>
  <si>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</si>
  <si>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</si>
  <si>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</si>
  <si>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</si>
  <si>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</si>
  <si>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</si>
  <si>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</si>
  <si>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</si>
  <si>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</si>
  <si>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</si>
  <si>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</si>
  <si>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</si>
  <si>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</si>
  <si>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</si>
  <si>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</si>
  <si>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</si>
  <si>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</si>
  <si>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</si>
  <si>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</si>
  <si>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</si>
  <si>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</si>
  <si>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</si>
  <si>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</si>
  <si>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</si>
  <si>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</si>
  <si>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</si>
  <si>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</si>
  <si>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</si>
  <si>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</si>
  <si>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</si>
  <si>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</si>
  <si>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</si>
  <si>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</si>
  <si>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</si>
  <si>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</si>
  <si>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</si>
  <si>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</si>
  <si>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</si>
  <si>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</si>
  <si>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</si>
  <si>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</si>
  <si>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</si>
  <si>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</si>
  <si>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</si>
  <si>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</si>
  <si>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</si>
  <si>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</si>
  <si>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</si>
  <si>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</si>
  <si>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</si>
  <si>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</si>
  <si>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</si>
  <si>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</si>
  <si>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</si>
  <si>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</si>
  <si>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</si>
  <si>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</si>
  <si>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</si>
  <si>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</si>
  <si>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</si>
  <si>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</si>
  <si>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</si>
  <si>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</si>
  <si>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</si>
  <si>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</si>
  <si>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</si>
  <si>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</si>
  <si>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</si>
  <si>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</si>
  <si>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</si>
  <si>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</si>
  <si>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</si>
  <si>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</si>
  <si>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</si>
  <si>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</si>
  <si>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</si>
  <si>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</si>
  <si>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</si>
  <si>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</si>
  <si>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</si>
  <si>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</si>
  <si>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</si>
  <si>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</si>
  <si>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</si>
  <si>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</si>
  <si>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</si>
  <si>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</si>
  <si>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</si>
  <si>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</si>
  <si>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</si>
  <si>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</si>
  <si>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</si>
  <si>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</si>
  <si>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</si>
  <si>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</si>
  <si>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</si>
  <si>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</si>
  <si>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</si>
  <si>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</si>
  <si>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</si>
  <si>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</si>
  <si>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</si>
  <si>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</si>
  <si>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</si>
  <si>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</si>
  <si>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</si>
  <si>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</si>
  <si>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</si>
  <si>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</si>
  <si>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</si>
  <si>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</si>
  <si>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</si>
  <si>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</si>
  <si>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</si>
  <si>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</si>
  <si>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</si>
  <si>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</si>
  <si>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</si>
  <si>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</si>
  <si>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</si>
  <si>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</si>
  <si>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</si>
  <si>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</si>
  <si>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</si>
  <si>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</si>
  <si>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</si>
  <si>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</si>
  <si>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</si>
  <si>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</si>
  <si>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</si>
  <si>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</si>
  <si>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</si>
  <si>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</si>
  <si>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</si>
  <si>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</si>
  <si>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</si>
  <si>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</si>
  <si>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</si>
  <si>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</si>
  <si>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</si>
  <si>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</si>
  <si>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</si>
  <si>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</si>
  <si>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</si>
  <si>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</si>
  <si>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</si>
  <si>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</si>
  <si>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</si>
  <si>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</si>
  <si>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</si>
  <si>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</si>
  <si>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</si>
  <si>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</si>
  <si>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</si>
  <si>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</si>
  <si>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</si>
  <si>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</si>
  <si>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</si>
  <si>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</si>
  <si>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</si>
  <si>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</si>
  <si>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</si>
  <si>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</si>
  <si>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</si>
  <si>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</si>
  <si>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</si>
  <si>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</si>
  <si>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</si>
  <si>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</si>
  <si>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</si>
  <si>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</si>
  <si>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</si>
  <si>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</si>
  <si>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</si>
  <si>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</si>
  <si>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</si>
  <si>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</si>
  <si>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</si>
  <si>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</si>
  <si>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</si>
  <si>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</si>
  <si>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</si>
  <si>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</si>
  <si>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</si>
  <si>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</si>
  <si>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</si>
  <si>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</si>
  <si>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</si>
  <si>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</si>
  <si>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</si>
  <si>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</si>
  <si>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</si>
  <si>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</si>
  <si>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</si>
  <si>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</si>
  <si>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</si>
  <si>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</si>
  <si>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</si>
  <si>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</si>
  <si>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</si>
  <si>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</si>
  <si>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</si>
  <si>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</si>
  <si>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</si>
  <si>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</si>
  <si>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</si>
  <si>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</si>
  <si>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</si>
  <si>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</si>
  <si>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</si>
  <si>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</si>
  <si>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</si>
  <si>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</si>
  <si>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</si>
  <si>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</si>
  <si>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</si>
  <si>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</si>
  <si>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</si>
  <si>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</si>
  <si>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</si>
  <si>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</si>
  <si>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</si>
  <si>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</si>
  <si>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</si>
  <si>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</si>
  <si>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</si>
  <si>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</si>
  <si>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</si>
  <si>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</si>
  <si>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</si>
  <si>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</si>
  <si>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</si>
  <si>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</si>
  <si>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</si>
  <si>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</si>
  <si>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</si>
  <si>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</si>
  <si>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</si>
  <si>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</si>
  <si>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</si>
  <si>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</si>
  <si>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</si>
  <si>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</si>
  <si>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</si>
  <si>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</si>
  <si>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</si>
  <si>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</si>
  <si>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</si>
  <si>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</si>
  <si>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</si>
  <si>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</si>
  <si>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</si>
  <si>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</si>
  <si>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</si>
  <si>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</si>
  <si>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</si>
  <si>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</si>
  <si>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</si>
  <si>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</si>
  <si>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</si>
  <si>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</si>
  <si>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</si>
  <si>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</si>
  <si>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</si>
  <si>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</si>
  <si>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</si>
  <si>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</si>
  <si>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</si>
  <si>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</si>
  <si>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</si>
  <si>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</si>
  <si>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</si>
  <si>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</si>
  <si>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</si>
  <si>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</si>
  <si>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</si>
  <si>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</si>
  <si>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</si>
  <si>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</si>
  <si>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</si>
  <si>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</si>
  <si>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</si>
  <si>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</si>
  <si>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</si>
  <si>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</si>
  <si>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</si>
  <si>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</si>
  <si>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</si>
  <si>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</si>
  <si>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</si>
  <si>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</si>
  <si>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</si>
  <si>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</si>
  <si>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</si>
  <si>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</si>
  <si>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</si>
  <si>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</si>
  <si>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</si>
  <si>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</si>
  <si>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</si>
  <si>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</si>
  <si>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</si>
  <si>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</si>
  <si>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</si>
  <si>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</si>
  <si>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</si>
  <si>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</si>
  <si>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</si>
  <si>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</si>
  <si>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</si>
  <si>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</si>
  <si>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</si>
  <si>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</si>
  <si>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</si>
  <si>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</si>
  <si>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</si>
  <si>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</si>
  <si>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</si>
  <si>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</si>
  <si>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</si>
  <si>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</si>
  <si>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</si>
  <si>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</si>
  <si>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</si>
  <si>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</si>
  <si>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</si>
  <si>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</si>
  <si>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</si>
  <si>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</si>
  <si>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</si>
  <si>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</si>
  <si>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</si>
  <si>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</si>
  <si>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</si>
  <si>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</si>
  <si>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</si>
  <si>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</si>
  <si>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</si>
  <si>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</si>
  <si>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</si>
  <si>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</si>
  <si>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</si>
  <si>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</si>
  <si>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</si>
  <si>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</si>
  <si>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</si>
  <si>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</si>
  <si>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</si>
  <si>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</si>
  <si>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</si>
  <si>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</si>
  <si>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</si>
  <si>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</si>
  <si>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</si>
  <si>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</si>
  <si>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</si>
  <si>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</si>
  <si>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</si>
  <si>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</si>
  <si>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</si>
  <si>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</si>
  <si>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</si>
  <si>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</si>
  <si>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</si>
  <si>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</si>
  <si>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</si>
  <si>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</si>
  <si>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</si>
  <si>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</si>
  <si>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</si>
  <si>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</si>
  <si>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</si>
  <si>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</si>
  <si>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</si>
  <si>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</si>
  <si>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</si>
  <si>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</si>
  <si>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</si>
  <si>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</si>
  <si>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</si>
  <si>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</si>
  <si>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</si>
  <si>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</si>
  <si>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</si>
  <si>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</si>
  <si>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</si>
  <si>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</si>
  <si>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</si>
  <si>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</si>
  <si>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</si>
  <si>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</si>
  <si>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</si>
  <si>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</si>
  <si>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</si>
  <si>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</si>
  <si>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</si>
  <si>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</si>
  <si>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</si>
  <si>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</si>
  <si>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</si>
  <si>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</si>
  <si>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</si>
  <si>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</si>
  <si>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</si>
  <si>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</si>
  <si>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</si>
  <si>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</si>
  <si>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</si>
  <si>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</si>
  <si>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</si>
  <si>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</si>
  <si>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</si>
  <si>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</si>
  <si>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</si>
  <si>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</si>
  <si>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</si>
  <si>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</si>
  <si>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</si>
  <si>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</si>
  <si>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</si>
  <si>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</si>
  <si>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</si>
  <si>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</si>
  <si>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</si>
  <si>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</si>
  <si>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</si>
  <si>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</si>
  <si>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</si>
  <si>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</si>
  <si>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</si>
  <si>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</si>
  <si>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</si>
  <si>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</si>
  <si>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</si>
  <si>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</si>
  <si>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</si>
  <si>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</si>
  <si>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</si>
  <si>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</si>
  <si>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</si>
  <si>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</si>
  <si>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</si>
  <si>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</si>
  <si>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</si>
  <si>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</si>
  <si>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</si>
  <si>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</si>
  <si>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</si>
  <si>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</si>
  <si>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</si>
  <si>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</si>
  <si>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</si>
  <si>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</si>
  <si>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</si>
  <si>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</si>
  <si>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</si>
  <si>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</si>
  <si>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</si>
  <si>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</si>
  <si>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</si>
  <si>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</si>
  <si>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</si>
  <si>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</si>
  <si>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</si>
  <si>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</si>
  <si>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</si>
  <si>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</si>
  <si>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</si>
  <si>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</si>
  <si>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</si>
  <si>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</si>
  <si>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</si>
  <si>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</si>
  <si>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</si>
  <si>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</si>
  <si>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</si>
  <si>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</si>
  <si>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</si>
  <si>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</si>
  <si>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</si>
  <si>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</si>
  <si>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</si>
  <si>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</si>
  <si>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</si>
  <si>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</si>
  <si>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</si>
  <si>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</si>
  <si>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</si>
  <si>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</si>
  <si>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</si>
  <si>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</si>
  <si>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</si>
  <si>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</si>
  <si>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</si>
  <si>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</si>
  <si>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</si>
  <si>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</si>
  <si>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</si>
  <si>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</si>
  <si>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</si>
  <si>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</si>
  <si>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</si>
  <si>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</si>
  <si>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</si>
  <si>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</si>
  <si>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</si>
  <si>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</si>
  <si>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</si>
  <si>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</si>
  <si>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</si>
  <si>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</si>
  <si>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</si>
  <si>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</si>
  <si>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</si>
  <si>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</si>
  <si>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</si>
  <si>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</si>
  <si>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</si>
  <si>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</si>
  <si>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</si>
  <si>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</si>
  <si>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</si>
  <si>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</si>
  <si>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</si>
  <si>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</si>
  <si>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</si>
  <si>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</si>
  <si>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</si>
  <si>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</si>
  <si>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</si>
  <si>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</si>
  <si>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</si>
  <si>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</si>
  <si>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</si>
  <si>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</si>
  <si>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</si>
  <si>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</si>
  <si>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</si>
  <si>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</si>
  <si>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</si>
  <si>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</si>
  <si>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</si>
  <si>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</si>
  <si>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</si>
  <si>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</si>
  <si>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</si>
  <si>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</si>
  <si>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</si>
  <si>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</si>
  <si>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</si>
  <si>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</si>
  <si>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</si>
  <si>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</si>
  <si>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</si>
  <si>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</si>
  <si>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Basis
Code</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</si>
  <si>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</si>
  <si>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</si>
  <si>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</si>
  <si>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</si>
  <si>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</si>
  <si>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</si>
  <si>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</si>
  <si>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</si>
  <si>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</si>
  <si>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</si>
  <si>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</si>
  <si>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</si>
  <si>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</si>
  <si>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</si>
  <si>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</si>
  <si>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</si>
  <si>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</si>
  <si>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</si>
  <si>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</si>
  <si>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</si>
  <si>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</si>
  <si>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</si>
  <si>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</si>
  <si>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</si>
  <si>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</si>
  <si>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</si>
  <si>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</si>
  <si>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</si>
  <si>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</si>
  <si>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</si>
  <si>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</si>
  <si>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</si>
  <si>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</si>
  <si>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</si>
  <si>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</si>
  <si>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</si>
  <si>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</si>
  <si>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</si>
  <si>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</si>
  <si>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</si>
  <si>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</si>
  <si>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</si>
  <si>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</si>
  <si>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</si>
  <si>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</si>
  <si>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</si>
  <si>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</si>
  <si>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</si>
  <si>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</si>
  <si>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</si>
  <si>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</si>
  <si>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</si>
  <si>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</si>
  <si>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</si>
  <si>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</si>
  <si>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</si>
  <si>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</si>
  <si>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</si>
  <si>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</si>
  <si>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</si>
  <si>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</si>
  <si>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</si>
  <si>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</si>
  <si>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</si>
  <si>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</si>
  <si>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</si>
  <si>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</si>
  <si>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</si>
  <si>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</si>
  <si>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</si>
  <si>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</si>
  <si>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</si>
  <si>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</si>
  <si>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</si>
  <si>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</si>
  <si>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</si>
  <si>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</si>
  <si>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</si>
  <si>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</si>
  <si>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</si>
  <si>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</si>
  <si>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</si>
  <si>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</si>
  <si>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</si>
  <si>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</si>
  <si>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</si>
  <si>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</si>
  <si>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</si>
  <si>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</si>
  <si>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</si>
  <si>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</si>
  <si>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</si>
  <si>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</si>
  <si>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</si>
  <si>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</si>
  <si>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</si>
  <si>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B4</t>
  </si>
  <si>
    <t>B5</t>
  </si>
  <si>
    <t>FORM</t>
  </si>
  <si>
    <t>Agreement Worksheet</t>
  </si>
  <si>
    <t>Market Branch Code</t>
  </si>
  <si>
    <t>A</t>
  </si>
  <si>
    <t>Markets</t>
  </si>
  <si>
    <t>B</t>
  </si>
  <si>
    <t>E23</t>
  </si>
  <si>
    <t>E</t>
  </si>
  <si>
    <t>TABLE</t>
  </si>
  <si>
    <t>Required Info to Submit</t>
  </si>
  <si>
    <t>Customers</t>
  </si>
  <si>
    <t>K23</t>
  </si>
  <si>
    <t>K</t>
  </si>
  <si>
    <t>F</t>
  </si>
  <si>
    <t>L23</t>
  </si>
  <si>
    <t>G</t>
  </si>
  <si>
    <t>M23</t>
  </si>
  <si>
    <t>H</t>
  </si>
  <si>
    <t>I</t>
  </si>
  <si>
    <t>O23</t>
  </si>
  <si>
    <t>O</t>
  </si>
  <si>
    <t>J</t>
  </si>
  <si>
    <t>Fuel Charge Applied</t>
  </si>
  <si>
    <t>N23</t>
  </si>
  <si>
    <t>D9</t>
  </si>
  <si>
    <t>D10</t>
  </si>
  <si>
    <t>Customer Performance</t>
  </si>
  <si>
    <t>D8</t>
  </si>
  <si>
    <t>E8</t>
  </si>
  <si>
    <t>Minimum EB Percentage of Purchases</t>
  </si>
  <si>
    <t>G4</t>
  </si>
  <si>
    <t>G5</t>
  </si>
  <si>
    <t>C</t>
  </si>
  <si>
    <t>H4</t>
  </si>
  <si>
    <t>H5</t>
  </si>
  <si>
    <t>I4</t>
  </si>
  <si>
    <t>I5</t>
  </si>
  <si>
    <t>D7</t>
  </si>
  <si>
    <t>E7</t>
  </si>
  <si>
    <t>C9</t>
  </si>
  <si>
    <t>C10</t>
  </si>
  <si>
    <t>E9</t>
  </si>
  <si>
    <t>E10</t>
  </si>
  <si>
    <t>F9</t>
  </si>
  <si>
    <t>F10</t>
  </si>
  <si>
    <t>C12</t>
  </si>
  <si>
    <t>C13</t>
  </si>
  <si>
    <t>D12</t>
  </si>
  <si>
    <t>D13</t>
  </si>
  <si>
    <t>Minimum per Case Markup</t>
  </si>
  <si>
    <t>F12</t>
  </si>
  <si>
    <t>F13</t>
  </si>
  <si>
    <t>Special Order Products Surcharge Amount</t>
  </si>
  <si>
    <t>G12</t>
  </si>
  <si>
    <t>G13</t>
  </si>
  <si>
    <t>Special Order Products Surcharge  Amount</t>
  </si>
  <si>
    <t>H13</t>
  </si>
  <si>
    <t>G9</t>
  </si>
  <si>
    <t>G10</t>
  </si>
  <si>
    <t>I12</t>
  </si>
  <si>
    <t>I13</t>
  </si>
  <si>
    <t>P</t>
  </si>
  <si>
    <t>Proprietary Slots Additional Markup</t>
  </si>
  <si>
    <t>C20</t>
  </si>
  <si>
    <t>D20</t>
  </si>
  <si>
    <t>Welcome</t>
  </si>
  <si>
    <t>Proprietary Slots Additional Markup</t>
  </si>
  <si>
    <t>Q</t>
  </si>
  <si>
    <t>C25</t>
  </si>
  <si>
    <t>C26</t>
  </si>
  <si>
    <t>Proprietary Slots Alloted Table</t>
  </si>
  <si>
    <t>G25</t>
  </si>
  <si>
    <t>G26</t>
  </si>
  <si>
    <t>D25</t>
  </si>
  <si>
    <t>D26</t>
  </si>
  <si>
    <t>E25</t>
  </si>
  <si>
    <t>E26</t>
  </si>
  <si>
    <t>F25</t>
  </si>
  <si>
    <t>F26</t>
  </si>
  <si>
    <t>H25</t>
  </si>
  <si>
    <t>H26</t>
  </si>
  <si>
    <t>Margin Basis Code</t>
  </si>
  <si>
    <t>D4</t>
  </si>
  <si>
    <t>D5</t>
  </si>
  <si>
    <t>E4</t>
  </si>
  <si>
    <t>E5</t>
  </si>
  <si>
    <t>Basket Composition Adj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</si>
</sst>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s>
  <fonts count="91"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s>
  <fills count="4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s>
  <borders count="8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52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7"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7"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169"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9" fontId="10" fillId="10" borderId="0" xfId="2" applyFont="1" applyFill="1" applyAlignment="1">
      <alignment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70"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9"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0" fontId="4" fillId="3" borderId="0" xfId="0" applyFont="1" applyFill="1" applyAlignment="1">
      <alignment horizontal="center" vertical="center"/>
    </xf>
    <xf numFmtId="170" fontId="4" fillId="3" borderId="0" xfId="0" applyNumberFormat="1" applyFont="1" applyFill="1"/>
    <xf numFmtId="171" fontId="4" fillId="3" borderId="0" xfId="0" applyNumberFormat="1" applyFont="1" applyFill="1"/>
    <xf numFmtId="171" fontId="4" fillId="0" borderId="26" xfId="0" applyNumberFormat="1" applyFont="1" applyBorder="1" applyAlignment="1">
      <alignment horizontal="center"/>
    </xf>
    <xf numFmtId="167"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70"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4" fillId="0" borderId="9" xfId="3" applyNumberFormat="1" applyFont="1" applyBorder="1"/>
    <xf numFmtId="169" fontId="5" fillId="0" borderId="8" xfId="3" applyNumberFormat="1" applyFont="1" applyBorder="1"/>
    <xf numFmtId="169"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76" fontId="4" fillId="0" borderId="9" xfId="1" applyNumberFormat="1" applyFont="1" applyBorder="1" applyAlignment="1">
      <alignment horizontal="center"/>
    </xf>
    <xf numFmtId="176"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7" fontId="0" fillId="10" borderId="0" xfId="2" applyNumberFormat="1" applyFont="1" applyFill="1" applyAlignment="1">
      <alignment horizontal="center" vertical="center"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8"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166"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76" fontId="4" fillId="0" borderId="54" xfId="1" applyNumberFormat="1" applyFont="1" applyBorder="1" applyAlignment="1">
      <alignment horizontal="center"/>
    </xf>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0"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165" fontId="0" fillId="0" borderId="0" xfId="3" applyFont="1" applyBorder="1"/>
    <xf numFmtId="166" fontId="0" fillId="0" borderId="0" xfId="1" applyFont="1" applyBorder="1"/>
    <xf numFmtId="0" fontId="26" fillId="0" borderId="0" xfId="0"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72"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7"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9"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165" fontId="4" fillId="4" borderId="8" xfId="3" applyFont="1" applyFill="1" applyBorder="1" applyAlignment="1" applyProtection="1">
      <alignment horizontal="center" vertical="center"/>
      <protection locked="0"/>
    </xf>
    <xf numFmtId="165" fontId="0" fillId="0" borderId="0" xfId="3" applyFont="1" applyFill="1" applyBorder="1"/>
    <xf numFmtId="165" fontId="0" fillId="4" borderId="9" xfId="3" applyNumberFormat="1" applyFont="1" applyFill="1" applyBorder="1" applyAlignment="1" applyProtection="1">
      <alignment horizontal="center" vertical="center"/>
      <protection locked="0"/>
    </xf>
    <xf numFmtId="165" fontId="0" fillId="23" borderId="41" xfId="0" applyNumberFormat="1" applyFont="1" applyFill="1" applyBorder="1"/>
    <xf numFmtId="0" fontId="0" fillId="23" borderId="41" xfId="0" applyFont="1" applyFill="1" applyBorder="1" applyAlignment="1">
      <alignment horizontal="right"/>
    </xf>
    <xf numFmtId="165" fontId="0" fillId="23" borderId="41" xfId="0" applyNumberFormat="1" applyFont="1" applyFill="1" applyBorder="1" applyAlignment="1">
      <alignment horizontal="right"/>
    </xf>
    <xf numFmtId="165" fontId="0" fillId="23" borderId="26" xfId="3" applyFont="1" applyFill="1" applyBorder="1"/>
    <xf numFmtId="14" fontId="0" fillId="23" borderId="26" xfId="0" applyNumberFormat="1" applyFont="1" applyFill="1" applyBorder="1"/>
    <xf numFmtId="165"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81"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166"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8"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30" fillId="20" borderId="45" xfId="0" applyFont="1" applyFill="1" applyBorder="1" applyAlignment="1">
      <alignment horizontal="center" wrapText="1"/>
    </xf>
    <xf numFmtId="0" fontId="0" fillId="3" borderId="0" xfId="0" applyFont="1" applyFill="1"/>
    <xf numFmtId="0" fontId="70"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27"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7" fillId="36" borderId="9" xfId="0" applyFont="1" applyFill="1" applyBorder="1" applyAlignment="1">
      <alignment horizontal="center" vertical="center"/>
    </xf>
    <xf numFmtId="0" fontId="87" fillId="36" borderId="8" xfId="0" applyFont="1" applyFill="1" applyBorder="1" applyAlignment="1">
      <alignment horizontal="center" vertical="center"/>
    </xf>
    <xf numFmtId="0" fontId="87"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86" fillId="0" borderId="5" xfId="0" applyFont="1" applyBorder="1" applyAlignment="1" applyProtection="1">
      <alignment horizontal="center" vertical="center"/>
      <protection locked="0"/>
    </xf>
    <xf numFmtId="0" fontId="86"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8"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9" fillId="0" borderId="0" xfId="0" applyFont="1"/>
    <xf numFmtId="0" fontId="90"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86" fillId="0" borderId="3" xfId="0" applyFont="1" applyBorder="1" applyAlignment="1" applyProtection="1">
      <alignment horizontal="center" vertical="center"/>
      <protection locked="0"/>
    </xf>
    <xf numFmtId="0" fontId="86"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86" fillId="0" borderId="3" xfId="0" applyFont="1" applyBorder="1" applyAlignment="1" applyProtection="1">
      <alignment horizontal="center" vertical="center" wrapText="1"/>
      <protection locked="0"/>
    </xf>
    <xf numFmtId="0" fontId="86"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7" fontId="42" fillId="7" borderId="0" xfId="2" applyNumberFormat="1" applyFont="1" applyFill="1" applyBorder="1"/>
    <xf numFmtId="0" fontId="42" fillId="7" borderId="0" xfId="2"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0" fontId="0" fillId="0" borderId="9" xfId="0" applyBorder="1" applyAlignment="1"/>
    <xf numFmtId="1" fontId="26" fillId="0" borderId="0" xfId="0" quotePrefix="1" applyNumberFormat="1" applyFont="1"/>
    <xf numFmtId="1" fontId="26" fillId="0" borderId="0" xfId="0" applyNumberFormat="1" applyFont="1"/>
    <xf numFmtId="0" fontId="0" fillId="0" borderId="0" xfId="0"/>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66"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9"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0" fillId="17" borderId="9" xfId="0" applyNumberFormat="1" applyFill="1" applyBorder="1" applyAlignment="1">
      <alignment horizontal="center"/>
    </xf>
    <xf numFmtId="0" fontId="7" fillId="23" borderId="9" xfId="0" applyFont="1" applyFill="1" applyBorder="1" applyAlignment="1">
      <alignment horizontal="center"/>
    </xf>
    <xf numFmtId="0" fontId="86"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86"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5" fontId="0" fillId="0" borderId="0" xfId="0" applyNumberFormat="1" applyAlignment="1">
      <alignment horizontal="left"/>
    </xf>
    <xf numFmtId="14" fontId="0" fillId="0" borderId="0" xfId="0" applyNumberFormat="1" applyAlignment="1">
      <alignment horizontal="left"/>
    </xf>
    <xf numFmtId="165"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42" fillId="0" borderId="0" xfId="0" applyFont="1" applyAlignment="1">
      <alignment horizontal="center" vertical="center" wrapText="1"/>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240">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strike/>
      </font>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onnections" Target="connections.xml"/><Relationship Id="rId47" Type="http://schemas.openxmlformats.org/officeDocument/2006/relationships/customXml" Target="../customXml/item1.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1.xml"/><Relationship Id="rId45"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48"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161925</xdr:colOff>
      <xdr:row>0</xdr:row>
      <xdr:rowOff>152400</xdr:rowOff>
    </xdr:from>
    <xdr:to>
      <xdr:col>4</xdr:col>
      <xdr:colOff>161925</xdr:colOff>
      <xdr:row>3</xdr:row>
      <xdr:rowOff>114300</xdr:rowOff>
    </xdr:to>
    <xdr:sp macro="[0]!UploadFile" textlink="">
      <xdr:nvSpPr>
        <xdr:cNvPr id="2" name="Rectangle 1">
          <a:extLst>
            <a:ext uri="{FF2B5EF4-FFF2-40B4-BE49-F238E27FC236}">
              <a16:creationId xmlns:a16="http://schemas.microsoft.com/office/drawing/2014/main" id="{C0A9030D-6425-4490-BA3C-6F1445CC131D}"/>
            </a:ext>
          </a:extLst>
        </xdr:cNvPr>
        <xdr:cNvSpPr>
          <a:spLocks noChangeArrowheads="1"/>
        </xdr:cNvSpPr>
      </xdr:nvSpPr>
      <xdr:spPr bwMode="auto">
        <a:xfrm>
          <a:off x="161925" y="152400"/>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207" t="s">
        <v>779</v>
      </c>
      <c r="B1" s="1207"/>
      <c r="C1" s="1207"/>
      <c r="D1" s="1207"/>
      <c r="E1" s="1207"/>
    </row>
    <row r="2" spans="1:5" x14ac:dyDescent="0.25">
      <c r="A2" s="1207" t="s">
        <v>780</v>
      </c>
      <c r="B2" s="1207"/>
      <c r="C2" s="1207"/>
      <c r="D2" s="1207"/>
      <c r="E2" s="1207"/>
    </row>
    <row r="3" spans="1:5" x14ac:dyDescent="0.25">
      <c r="A3" s="74"/>
    </row>
    <row r="4" spans="1:5" ht="78" customHeight="1" x14ac:dyDescent="0.25">
      <c r="A4" s="1225" t="s">
        <v>781</v>
      </c>
      <c r="B4" s="1225"/>
      <c r="C4" s="1225"/>
      <c r="D4" s="1225"/>
      <c r="E4" s="1225"/>
    </row>
    <row r="5" spans="1:5" x14ac:dyDescent="0.25">
      <c r="A5" s="74"/>
    </row>
    <row r="6" spans="1:5" ht="31.5" customHeight="1" x14ac:dyDescent="0.25">
      <c r="A6" s="1224" t="s">
        <v>782</v>
      </c>
      <c r="B6" s="1224"/>
      <c r="C6" s="1224"/>
      <c r="D6" s="1224"/>
      <c r="E6" s="1224"/>
    </row>
    <row r="7" spans="1:5" ht="15.75" thickBot="1" x14ac:dyDescent="0.3">
      <c r="A7" s="75"/>
    </row>
    <row r="8" spans="1:5" ht="15" customHeight="1" x14ac:dyDescent="0.25">
      <c r="A8" s="1218" t="s">
        <v>783</v>
      </c>
      <c r="B8" s="1219"/>
      <c r="C8" s="1219"/>
      <c r="D8" s="1219"/>
      <c r="E8" s="1220"/>
    </row>
    <row r="9" spans="1:5" ht="15" customHeight="1" thickBot="1" x14ac:dyDescent="0.3">
      <c r="A9" s="1221" t="s">
        <v>784</v>
      </c>
      <c r="B9" s="1222"/>
      <c r="C9" s="1222"/>
      <c r="D9" s="1222"/>
      <c r="E9" s="1223"/>
    </row>
    <row r="10" spans="1:5" x14ac:dyDescent="0.25">
      <c r="A10" s="76"/>
      <c r="B10" s="1215"/>
      <c r="C10" s="1215"/>
      <c r="D10" s="80"/>
    </row>
    <row r="11" spans="1:5" ht="31.5" customHeight="1" thickBot="1" x14ac:dyDescent="0.3">
      <c r="A11" s="78" t="s">
        <v>785</v>
      </c>
      <c r="B11" s="1216" t="s">
        <v>786</v>
      </c>
      <c r="C11" s="1216"/>
      <c r="D11" s="80">
        <f>Welcome!$D$4</f>
        <v>0</v>
      </c>
    </row>
    <row r="12" spans="1:5" ht="15.75" thickBot="1" x14ac:dyDescent="0.3">
      <c r="A12" s="78" t="s">
        <v>787</v>
      </c>
      <c r="B12" s="1217">
        <f>'MDA Worksheet'!$R$18</f>
        <v>0</v>
      </c>
      <c r="C12" s="1217"/>
      <c r="D12" s="76"/>
    </row>
    <row r="13" spans="1:5" x14ac:dyDescent="0.25">
      <c r="A13" s="78"/>
      <c r="B13" s="76"/>
      <c r="C13" s="77"/>
      <c r="D13" s="76"/>
    </row>
    <row r="14" spans="1:5" ht="30.75" thickBot="1" x14ac:dyDescent="0.3">
      <c r="A14" s="78" t="s">
        <v>788</v>
      </c>
      <c r="B14" s="135">
        <f>'MDA Worksheet'!$R$24</f>
        <v>0</v>
      </c>
      <c r="C14" s="76" t="s">
        <v>789</v>
      </c>
      <c r="D14" s="136" t="str">
        <f>Welcome!$D$12&amp;" Years"</f>
        <v>Select Term Years</v>
      </c>
    </row>
    <row r="15" spans="1:5" ht="15.75" thickBot="1" x14ac:dyDescent="0.3">
      <c r="A15" s="78" t="s">
        <v>790</v>
      </c>
      <c r="B15" s="123">
        <f>'MDA Worksheet'!$R$24</f>
        <v>0</v>
      </c>
      <c r="C15" s="76" t="s">
        <v>791</v>
      </c>
      <c r="D15" s="123" t="e">
        <f>'MDA Worksheet'!$AV$24</f>
        <v>#VALUE!</v>
      </c>
    </row>
    <row r="16" spans="1:5" x14ac:dyDescent="0.25">
      <c r="A16" s="76"/>
      <c r="B16" s="119"/>
      <c r="C16" s="76"/>
      <c r="D16" s="119"/>
    </row>
    <row r="17" spans="1:5" ht="15.75" thickBot="1" x14ac:dyDescent="0.3">
      <c r="A17" s="78" t="s">
        <v>792</v>
      </c>
      <c r="B17" s="1214"/>
      <c r="C17" s="1214"/>
      <c r="D17" s="1214"/>
      <c r="E17" s="1214"/>
    </row>
    <row r="18" spans="1:5" x14ac:dyDescent="0.25">
      <c r="A18" s="76"/>
      <c r="B18" s="119"/>
      <c r="C18" s="76"/>
      <c r="D18" s="119"/>
    </row>
    <row r="19" spans="1:5" ht="15.75" thickBot="1" x14ac:dyDescent="0.3">
      <c r="A19" s="78" t="s">
        <v>863</v>
      </c>
      <c r="B19" s="1214">
        <f>Welcome!$D$8</f>
        <v>0</v>
      </c>
      <c r="C19" s="1214"/>
      <c r="D19" s="1214"/>
      <c r="E19" s="1214"/>
    </row>
    <row r="20" spans="1:5" x14ac:dyDescent="0.25">
      <c r="A20" s="78"/>
      <c r="B20" s="119"/>
      <c r="C20" s="76"/>
      <c r="D20" s="119"/>
    </row>
    <row r="21" spans="1:5" x14ac:dyDescent="0.25">
      <c r="A21" s="122"/>
      <c r="B21" s="122"/>
      <c r="C21" s="122"/>
      <c r="D21" s="122"/>
      <c r="E21" s="41"/>
    </row>
    <row r="22" spans="1:5" x14ac:dyDescent="0.25">
      <c r="A22" s="7"/>
      <c r="B22" s="6" t="s">
        <v>234</v>
      </c>
      <c r="C22" s="35"/>
      <c r="D22" s="127" t="s">
        <v>372</v>
      </c>
      <c r="E22" s="41"/>
    </row>
    <row r="23" spans="1:5" x14ac:dyDescent="0.25">
      <c r="A23" s="8" t="s">
        <v>705</v>
      </c>
      <c r="B23" s="12">
        <f>'Tracking &amp; Profitability'!$E$12</f>
        <v>0</v>
      </c>
      <c r="C23" s="126"/>
      <c r="D23" s="65"/>
      <c r="E23" s="41"/>
    </row>
    <row r="24" spans="1:5" x14ac:dyDescent="0.25">
      <c r="A24" s="8" t="s">
        <v>497</v>
      </c>
      <c r="B24" s="12">
        <f>IFERROR('Tracking &amp; Profitability'!$E$13,0)</f>
        <v>0</v>
      </c>
      <c r="C24" s="36"/>
      <c r="D24" s="131">
        <f>IFERROR($B$24/'PIM Model'!$H$31,0)</f>
        <v>0</v>
      </c>
      <c r="E24" s="41"/>
    </row>
    <row r="25" spans="1:5" x14ac:dyDescent="0.25">
      <c r="A25" s="16" t="s">
        <v>225</v>
      </c>
      <c r="B25" s="12">
        <f>IFERROR(Incentives!$M$94*-1,0)</f>
        <v>0</v>
      </c>
      <c r="C25" s="128"/>
      <c r="D25" s="131">
        <f>IFERROR($B$25/'PIM Model'!$H$31,0)</f>
        <v>0</v>
      </c>
      <c r="E25" s="41"/>
    </row>
    <row r="26" spans="1:5" s="849" customFormat="1" x14ac:dyDescent="0.25">
      <c r="A26" s="16" t="s">
        <v>227</v>
      </c>
      <c r="B26" s="12">
        <f>IFERROR('Tracking &amp; Profitability'!$E$17,0)</f>
        <v>0</v>
      </c>
      <c r="C26" s="128"/>
      <c r="D26" s="131">
        <f>IFERROR(#REF!/'PIM Model'!$H$31,0)</f>
        <v>0</v>
      </c>
      <c r="E26" s="41"/>
    </row>
    <row r="27" spans="1:5" x14ac:dyDescent="0.25">
      <c r="A27" s="8" t="s">
        <v>226</v>
      </c>
      <c r="B27" s="12">
        <f>B24+B25+B26</f>
        <v>0</v>
      </c>
      <c r="C27" s="36"/>
      <c r="D27" s="131">
        <f>IFERROR($B$27/'PIM Model'!$H$31,0)</f>
        <v>0</v>
      </c>
      <c r="E27" s="41"/>
    </row>
    <row r="28" spans="1:5" x14ac:dyDescent="0.25">
      <c r="A28" s="41"/>
      <c r="B28" s="41"/>
      <c r="C28" s="41"/>
      <c r="D28" s="132"/>
      <c r="E28" s="41"/>
    </row>
    <row r="29" spans="1:5" x14ac:dyDescent="0.25">
      <c r="A29" s="16" t="s">
        <v>862</v>
      </c>
      <c r="B29" s="13">
        <f>IFERROR('Variable Costs &amp; Income'!$E$19*-1,0)</f>
        <v>0</v>
      </c>
      <c r="C29" s="37"/>
      <c r="D29" s="131">
        <f>IFERROR($B$29/'PIM Model'!$H$31,0)</f>
        <v>0</v>
      </c>
      <c r="E29" s="41"/>
    </row>
    <row r="30" spans="1:5" x14ac:dyDescent="0.25">
      <c r="A30" s="17" t="s">
        <v>224</v>
      </c>
      <c r="B30" s="12">
        <f>IFERROR('Variable Costs &amp; Income'!$E$29,0)</f>
        <v>0</v>
      </c>
      <c r="C30" s="36"/>
      <c r="D30" s="131">
        <f>IFERROR($B$30/'PIM Model'!$H$31,0)</f>
        <v>0</v>
      </c>
      <c r="E30" s="41"/>
    </row>
    <row r="31" spans="1:5" x14ac:dyDescent="0.25">
      <c r="A31" s="17" t="s">
        <v>223</v>
      </c>
      <c r="B31" s="12">
        <f>'Variable Costs &amp; Income'!$E$30</f>
        <v>0</v>
      </c>
      <c r="C31" s="36"/>
      <c r="D31" s="131">
        <f>IFERROR($B$31/'PIM Model'!$H$31,0)</f>
        <v>0</v>
      </c>
      <c r="E31" s="41"/>
    </row>
    <row r="32" spans="1:5" x14ac:dyDescent="0.25">
      <c r="A32" s="120"/>
      <c r="B32" s="120"/>
      <c r="C32" s="34"/>
      <c r="D32" s="133"/>
      <c r="E32" s="41"/>
    </row>
    <row r="33" spans="1:5" x14ac:dyDescent="0.25">
      <c r="A33" s="8" t="s">
        <v>210</v>
      </c>
      <c r="B33" s="12">
        <f>IFERROR(B27+B29+B30+B31,"")</f>
        <v>0</v>
      </c>
      <c r="C33" s="36"/>
      <c r="D33" s="131">
        <f>IFERROR($B$33/'PIM Model'!$H$31,0)</f>
        <v>0</v>
      </c>
      <c r="E33" s="41"/>
    </row>
    <row r="34" spans="1:5" x14ac:dyDescent="0.25">
      <c r="A34" s="8" t="s">
        <v>864</v>
      </c>
      <c r="B34" s="12">
        <f>IFERROR($B$33/('Tracking &amp; Profitability'!E7*52),0)</f>
        <v>0</v>
      </c>
      <c r="C34" s="41"/>
      <c r="D34" s="41"/>
      <c r="E34" s="41"/>
    </row>
    <row r="35" spans="1:5" x14ac:dyDescent="0.25">
      <c r="A35" s="8" t="s">
        <v>900</v>
      </c>
      <c r="B35" s="134">
        <f>IFERROR(B33/B23,0)</f>
        <v>0</v>
      </c>
      <c r="C35" s="41"/>
      <c r="D35" s="41"/>
      <c r="E35" s="41"/>
    </row>
    <row r="36" spans="1:5" x14ac:dyDescent="0.25">
      <c r="A36" s="121"/>
      <c r="B36" s="41"/>
      <c r="C36" s="41"/>
      <c r="D36" s="125"/>
      <c r="E36" s="41"/>
    </row>
    <row r="37" spans="1:5" x14ac:dyDescent="0.25">
      <c r="A37" s="8" t="s">
        <v>793</v>
      </c>
      <c r="B37" s="12">
        <f>Incentives!$K$66</f>
        <v>0</v>
      </c>
      <c r="C37" s="41"/>
      <c r="D37" s="41"/>
      <c r="E37" s="41"/>
    </row>
    <row r="38" spans="1:5" x14ac:dyDescent="0.25">
      <c r="A38" s="8" t="s">
        <v>794</v>
      </c>
      <c r="B38" s="12">
        <f>SUM(Incentives!M94-Incentives!M75-Incentives!M66)</f>
        <v>0</v>
      </c>
      <c r="C38" s="41"/>
      <c r="D38" s="41"/>
      <c r="E38" s="41"/>
    </row>
    <row r="39" spans="1:5" x14ac:dyDescent="0.25">
      <c r="A39" s="8" t="s">
        <v>470</v>
      </c>
      <c r="B39" s="124">
        <f>'Tracking &amp; Profitability'!$E$8</f>
        <v>0</v>
      </c>
      <c r="C39" s="41"/>
      <c r="D39" s="41"/>
      <c r="E39" s="41"/>
    </row>
    <row r="40" spans="1:5" x14ac:dyDescent="0.25">
      <c r="A40" s="121"/>
      <c r="B40" s="41"/>
      <c r="C40" s="41"/>
      <c r="D40" s="41"/>
      <c r="E40" s="41"/>
    </row>
    <row r="41" spans="1:5" s="900" customFormat="1" ht="15.75" thickBot="1" x14ac:dyDescent="0.3">
      <c r="A41" s="958"/>
    </row>
    <row r="42" spans="1:5" s="900" customFormat="1" ht="15.75" thickBot="1" x14ac:dyDescent="0.3">
      <c r="A42" s="1192" t="s">
        <v>1282</v>
      </c>
      <c r="B42" s="1193"/>
      <c r="C42" s="1193"/>
      <c r="D42" s="1193"/>
      <c r="E42" s="1194"/>
    </row>
    <row r="43" spans="1:5" s="900" customFormat="1" x14ac:dyDescent="0.25">
      <c r="A43" s="1195"/>
      <c r="B43" s="1196"/>
      <c r="C43" s="1196"/>
      <c r="D43" s="1196"/>
      <c r="E43" s="1197"/>
    </row>
    <row r="44" spans="1:5" s="900" customFormat="1" ht="15.75" thickBot="1" x14ac:dyDescent="0.3">
      <c r="A44" s="1198"/>
      <c r="B44" s="1199"/>
      <c r="C44" s="1199"/>
      <c r="D44" s="1199"/>
      <c r="E44" s="1200"/>
    </row>
    <row r="45" spans="1:5" s="900" customFormat="1" ht="15.75" thickBot="1" x14ac:dyDescent="0.3">
      <c r="A45" s="958"/>
    </row>
    <row r="46" spans="1:5" s="900" customFormat="1" ht="15.75" thickBot="1" x14ac:dyDescent="0.3">
      <c r="A46" s="1192" t="s">
        <v>1271</v>
      </c>
      <c r="B46" s="1193"/>
      <c r="C46" s="1193"/>
      <c r="D46" s="1193"/>
      <c r="E46" s="1194"/>
    </row>
    <row r="47" spans="1:5" s="900" customFormat="1" ht="15.75" x14ac:dyDescent="0.25">
      <c r="A47" s="959" t="s">
        <v>1272</v>
      </c>
      <c r="B47" s="960"/>
      <c r="C47" s="971" t="s">
        <v>1273</v>
      </c>
      <c r="D47" s="961"/>
      <c r="E47" s="962"/>
    </row>
    <row r="48" spans="1:5" s="900" customFormat="1" ht="15" customHeight="1" x14ac:dyDescent="0.25">
      <c r="A48" s="959" t="s">
        <v>1274</v>
      </c>
      <c r="B48" s="960"/>
      <c r="C48" s="972"/>
      <c r="D48" s="965" t="s">
        <v>1275</v>
      </c>
      <c r="E48" s="973"/>
    </row>
    <row r="49" spans="1:5" s="900" customFormat="1" ht="15.75" x14ac:dyDescent="0.25">
      <c r="A49" s="959" t="s">
        <v>1276</v>
      </c>
      <c r="B49" s="960"/>
      <c r="C49" s="972"/>
      <c r="D49" s="961" t="s">
        <v>1277</v>
      </c>
      <c r="E49" s="973"/>
    </row>
    <row r="50" spans="1:5" s="900" customFormat="1" ht="15.75" x14ac:dyDescent="0.25">
      <c r="A50" s="959" t="s">
        <v>1278</v>
      </c>
      <c r="B50" s="960"/>
      <c r="C50" s="972"/>
      <c r="D50" s="961"/>
      <c r="E50" s="962"/>
    </row>
    <row r="51" spans="1:5" s="900" customFormat="1" ht="15.75" x14ac:dyDescent="0.25">
      <c r="A51" s="959" t="s">
        <v>1279</v>
      </c>
      <c r="B51" s="960"/>
      <c r="C51" s="972"/>
      <c r="D51" s="961" t="s">
        <v>1280</v>
      </c>
      <c r="E51" s="973"/>
    </row>
    <row r="52" spans="1:5" s="900" customFormat="1" ht="15.75" x14ac:dyDescent="0.25">
      <c r="A52" s="959" t="s">
        <v>1281</v>
      </c>
      <c r="B52" s="960"/>
      <c r="C52" s="963"/>
      <c r="D52" s="960"/>
      <c r="E52" s="964"/>
    </row>
    <row r="53" spans="1:5" s="900" customFormat="1" x14ac:dyDescent="0.25">
      <c r="A53" s="1186"/>
      <c r="B53" s="1187"/>
      <c r="C53" s="1187"/>
      <c r="D53" s="1187"/>
      <c r="E53" s="1188"/>
    </row>
    <row r="54" spans="1:5" s="900" customFormat="1" ht="15.75" thickBot="1" x14ac:dyDescent="0.3">
      <c r="A54" s="1189"/>
      <c r="B54" s="1190"/>
      <c r="C54" s="1190"/>
      <c r="D54" s="1190"/>
      <c r="E54" s="1191"/>
    </row>
    <row r="55" spans="1:5" ht="15.75" thickBot="1" x14ac:dyDescent="0.3">
      <c r="A55" s="958"/>
      <c r="B55" s="900"/>
      <c r="C55" s="900"/>
      <c r="D55" s="900"/>
      <c r="E55" s="900"/>
    </row>
    <row r="56" spans="1:5" ht="30.75" customHeight="1" thickBot="1" x14ac:dyDescent="0.3">
      <c r="A56" s="1208" t="s">
        <v>795</v>
      </c>
      <c r="B56" s="1209"/>
      <c r="C56" s="1209"/>
      <c r="D56" s="1209"/>
      <c r="E56" s="1210"/>
    </row>
    <row r="57" spans="1:5" ht="15" customHeight="1" x14ac:dyDescent="0.25">
      <c r="A57" s="79"/>
      <c r="B57" s="80"/>
      <c r="C57" s="80"/>
      <c r="D57" s="80"/>
    </row>
    <row r="58" spans="1:5" ht="30.95" customHeight="1" thickBot="1" x14ac:dyDescent="0.3">
      <c r="A58" s="81" t="s">
        <v>796</v>
      </c>
      <c r="B58" s="305"/>
      <c r="C58" s="82" t="s">
        <v>797</v>
      </c>
      <c r="D58" s="305"/>
    </row>
    <row r="59" spans="1:5" ht="30.95" customHeight="1" thickBot="1" x14ac:dyDescent="0.3">
      <c r="A59" s="83" t="s">
        <v>798</v>
      </c>
      <c r="B59" s="305"/>
      <c r="C59" s="82" t="s">
        <v>799</v>
      </c>
      <c r="D59" s="306" t="s">
        <v>800</v>
      </c>
    </row>
    <row r="60" spans="1:5" ht="30.95" customHeight="1" thickBot="1" x14ac:dyDescent="0.3">
      <c r="A60" s="81" t="s">
        <v>801</v>
      </c>
      <c r="B60" s="305"/>
      <c r="C60" s="82" t="s">
        <v>797</v>
      </c>
      <c r="D60" s="306"/>
    </row>
    <row r="61" spans="1:5" ht="30.6" customHeight="1" thickBot="1" x14ac:dyDescent="0.3">
      <c r="A61" s="83" t="s">
        <v>798</v>
      </c>
      <c r="B61" s="305"/>
      <c r="C61" s="82" t="s">
        <v>799</v>
      </c>
      <c r="D61" s="306" t="s">
        <v>802</v>
      </c>
    </row>
    <row r="62" spans="1:5" ht="30.75" customHeight="1" thickBot="1" x14ac:dyDescent="0.3">
      <c r="A62" s="81" t="s">
        <v>803</v>
      </c>
      <c r="B62" s="305"/>
      <c r="C62" s="82" t="s">
        <v>797</v>
      </c>
      <c r="D62" s="305"/>
    </row>
    <row r="63" spans="1:5" ht="30.75" customHeight="1" thickBot="1" x14ac:dyDescent="0.3">
      <c r="A63" s="83" t="s">
        <v>798</v>
      </c>
      <c r="B63" s="306"/>
      <c r="C63" s="82" t="s">
        <v>799</v>
      </c>
      <c r="D63" s="306" t="s">
        <v>804</v>
      </c>
    </row>
    <row r="64" spans="1:5" ht="30.75" customHeight="1" thickBot="1" x14ac:dyDescent="0.3">
      <c r="A64" s="81" t="s">
        <v>805</v>
      </c>
      <c r="B64" s="306"/>
      <c r="C64" s="82" t="s">
        <v>797</v>
      </c>
      <c r="D64" s="306"/>
    </row>
    <row r="65" spans="1:5" ht="30.95" customHeight="1" thickBot="1" x14ac:dyDescent="0.3">
      <c r="A65" s="83" t="s">
        <v>798</v>
      </c>
      <c r="B65" s="306"/>
      <c r="C65" s="82" t="s">
        <v>799</v>
      </c>
      <c r="D65" s="306" t="s">
        <v>806</v>
      </c>
    </row>
    <row r="66" spans="1:5" ht="15.75" thickBot="1" x14ac:dyDescent="0.3">
      <c r="A66" s="5"/>
    </row>
    <row r="67" spans="1:5" ht="15.75" thickBot="1" x14ac:dyDescent="0.3">
      <c r="A67" s="1211" t="s">
        <v>807</v>
      </c>
      <c r="B67" s="1212"/>
      <c r="C67" s="1212"/>
      <c r="D67" s="1212"/>
      <c r="E67" s="1213"/>
    </row>
    <row r="68" spans="1:5" x14ac:dyDescent="0.25">
      <c r="A68" s="79"/>
      <c r="B68" s="80"/>
      <c r="C68" s="80"/>
      <c r="D68" s="80"/>
    </row>
    <row r="69" spans="1:5" ht="30.95" customHeight="1" thickBot="1" x14ac:dyDescent="0.3">
      <c r="A69" s="81" t="s">
        <v>796</v>
      </c>
      <c r="B69" s="305"/>
      <c r="C69" s="82" t="s">
        <v>797</v>
      </c>
      <c r="D69" s="305"/>
    </row>
    <row r="70" spans="1:5" ht="30.95" customHeight="1" thickBot="1" x14ac:dyDescent="0.3">
      <c r="A70" s="83" t="s">
        <v>798</v>
      </c>
      <c r="B70" s="305"/>
      <c r="C70" s="82" t="s">
        <v>799</v>
      </c>
      <c r="D70" s="306" t="s">
        <v>808</v>
      </c>
    </row>
    <row r="71" spans="1:5" ht="30.95" customHeight="1" thickBot="1" x14ac:dyDescent="0.3">
      <c r="A71" s="81" t="s">
        <v>801</v>
      </c>
      <c r="B71" s="305"/>
      <c r="C71" s="82" t="s">
        <v>797</v>
      </c>
      <c r="D71" s="305"/>
    </row>
    <row r="72" spans="1:5" ht="30.95" customHeight="1" thickBot="1" x14ac:dyDescent="0.3">
      <c r="A72" s="83" t="s">
        <v>798</v>
      </c>
      <c r="B72" s="306"/>
      <c r="C72" s="82" t="s">
        <v>799</v>
      </c>
      <c r="D72" s="306" t="s">
        <v>809</v>
      </c>
    </row>
    <row r="73" spans="1:5" ht="15.75" thickBot="1" x14ac:dyDescent="0.3"/>
    <row r="74" spans="1:5" ht="15.75" thickBot="1" x14ac:dyDescent="0.3">
      <c r="A74" s="1201" t="s">
        <v>1283</v>
      </c>
      <c r="B74" s="1202"/>
      <c r="C74" s="1202"/>
      <c r="D74" s="1202"/>
      <c r="E74" s="1203"/>
    </row>
    <row r="75" spans="1:5" ht="30.95" customHeight="1" thickBot="1" x14ac:dyDescent="0.3">
      <c r="A75" s="969" t="s">
        <v>811</v>
      </c>
      <c r="B75" s="305"/>
      <c r="C75" s="966" t="s">
        <v>797</v>
      </c>
      <c r="D75" s="305"/>
    </row>
    <row r="76" spans="1:5" ht="30.95" customHeight="1" thickBot="1" x14ac:dyDescent="0.3">
      <c r="A76" s="969" t="s">
        <v>1284</v>
      </c>
      <c r="B76" s="305"/>
      <c r="C76" s="966" t="s">
        <v>799</v>
      </c>
      <c r="D76" s="970" t="s">
        <v>1285</v>
      </c>
    </row>
    <row r="77" spans="1:5" ht="15" customHeight="1" thickBot="1" x14ac:dyDescent="0.3">
      <c r="A77" s="967"/>
      <c r="B77" s="967"/>
      <c r="C77" s="968"/>
      <c r="D77" s="968"/>
      <c r="E77" s="968"/>
    </row>
    <row r="78" spans="1:5" ht="15.75" thickBot="1" x14ac:dyDescent="0.3">
      <c r="A78" s="1204" t="s">
        <v>810</v>
      </c>
      <c r="B78" s="1205"/>
      <c r="C78" s="1205"/>
      <c r="D78" s="1205"/>
      <c r="E78" s="1206"/>
    </row>
    <row r="79" spans="1:5" x14ac:dyDescent="0.25">
      <c r="A79" s="79"/>
      <c r="B79" s="80"/>
      <c r="C79" s="80"/>
      <c r="D79" s="80"/>
    </row>
    <row r="80" spans="1:5" ht="30.95" customHeight="1" thickBot="1" x14ac:dyDescent="0.3">
      <c r="A80" s="81" t="s">
        <v>811</v>
      </c>
      <c r="B80" s="305"/>
      <c r="C80" s="82" t="s">
        <v>797</v>
      </c>
      <c r="D80" s="305"/>
    </row>
    <row r="81" spans="1:5" ht="30.95" customHeight="1" thickBot="1" x14ac:dyDescent="0.3">
      <c r="A81" s="84" t="s">
        <v>798</v>
      </c>
      <c r="B81" s="305"/>
      <c r="C81" s="82" t="s">
        <v>799</v>
      </c>
      <c r="D81" s="305"/>
    </row>
    <row r="82" spans="1:5" ht="15.75" thickBot="1" x14ac:dyDescent="0.3">
      <c r="A82" s="5"/>
    </row>
    <row r="83" spans="1:5" ht="15.75" thickBot="1" x14ac:dyDescent="0.3">
      <c r="A83" s="1204" t="s">
        <v>812</v>
      </c>
      <c r="B83" s="1205"/>
      <c r="C83" s="1205"/>
      <c r="D83" s="1205"/>
      <c r="E83" s="1206"/>
    </row>
    <row r="84" spans="1:5" x14ac:dyDescent="0.25">
      <c r="A84" s="79"/>
      <c r="B84" s="80"/>
      <c r="C84" s="80"/>
      <c r="D84" s="80"/>
    </row>
    <row r="85" spans="1:5" ht="30.95" customHeight="1" thickBot="1" x14ac:dyDescent="0.3">
      <c r="A85" s="81" t="s">
        <v>811</v>
      </c>
      <c r="B85" s="305"/>
      <c r="C85" s="82" t="s">
        <v>797</v>
      </c>
      <c r="D85" s="305"/>
    </row>
    <row r="86" spans="1:5" ht="30.95" customHeight="1" thickBot="1" x14ac:dyDescent="0.3">
      <c r="A86" s="84" t="s">
        <v>798</v>
      </c>
      <c r="B86" s="305"/>
      <c r="C86" s="82" t="s">
        <v>799</v>
      </c>
      <c r="D86" s="305"/>
    </row>
  </sheetData>
  <sheetProtection algorithmName="SHA-512" hashValue="5Tt2riOF0i3d77D155qDg2kmBpzYjYKdKOfCwdgk7Ka44Hn6cSIfCjEFBDxAzTEppldOXgosaqdYZuiJcXTvfw==" saltValue="6UfQqmLw10AauGNP5uJf1w=="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239" priority="7">
      <formula>NOT(ISBLANK(C48))</formula>
    </cfRule>
  </conditionalFormatting>
  <conditionalFormatting sqref="E48">
    <cfRule type="expression" dxfId="238" priority="6">
      <formula>NOT(ISBLANK(E48))</formula>
    </cfRule>
  </conditionalFormatting>
  <conditionalFormatting sqref="E49">
    <cfRule type="expression" dxfId="237" priority="5">
      <formula>NOT(ISBLANK(E49))</formula>
    </cfRule>
  </conditionalFormatting>
  <conditionalFormatting sqref="E51">
    <cfRule type="expression" dxfId="236" priority="4">
      <formula>NOT(ISBLANK(E51))</formula>
    </cfRule>
  </conditionalFormatting>
  <conditionalFormatting sqref="C49">
    <cfRule type="expression" dxfId="235" priority="3">
      <formula>NOT(ISBLANK(C49))</formula>
    </cfRule>
  </conditionalFormatting>
  <conditionalFormatting sqref="C50">
    <cfRule type="expression" dxfId="234" priority="2">
      <formula>NOT(ISBLANK(C50))</formula>
    </cfRule>
  </conditionalFormatting>
  <conditionalFormatting sqref="C51">
    <cfRule type="expression" dxfId="23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999" customWidth="1"/>
    <col min="6" max="6" width="14.7109375" style="999" customWidth="1"/>
    <col min="7" max="7" width="13.140625" style="999" customWidth="1"/>
    <col min="8" max="8" width="15.140625" style="999"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534"/>
      <c r="B1" s="137"/>
      <c r="C1" s="137"/>
      <c r="D1" s="137"/>
      <c r="E1" s="137"/>
      <c r="F1" s="137"/>
      <c r="G1" s="137"/>
      <c r="H1" s="137"/>
      <c r="I1" s="137"/>
      <c r="J1" s="137"/>
      <c r="K1" s="137"/>
      <c r="L1" s="137"/>
      <c r="M1" s="137"/>
      <c r="N1" s="137"/>
      <c r="O1" s="137"/>
      <c r="P1" s="137"/>
      <c r="Q1" s="137"/>
      <c r="R1" s="137"/>
      <c r="S1" s="137"/>
      <c r="T1" s="137"/>
      <c r="U1" s="137"/>
      <c r="V1" s="137"/>
      <c r="W1" s="137"/>
      <c r="X1" s="137"/>
      <c r="Y1" s="137"/>
      <c r="Z1" s="137" t="s">
        <v>1017</v>
      </c>
      <c r="AA1" s="137"/>
      <c r="AB1" s="137"/>
      <c r="AC1" s="137"/>
    </row>
    <row r="2" spans="1:29" ht="21" customHeight="1" x14ac:dyDescent="0.3">
      <c r="A2" s="144"/>
      <c r="B2" s="358"/>
      <c r="C2" s="381" t="s">
        <v>908</v>
      </c>
      <c r="D2" s="382"/>
      <c r="E2" s="382"/>
      <c r="F2" s="382"/>
      <c r="G2" s="382"/>
      <c r="H2" s="382"/>
      <c r="I2" s="383"/>
      <c r="J2" s="144"/>
      <c r="K2" s="137"/>
      <c r="L2" s="137"/>
      <c r="M2" s="137"/>
      <c r="N2" s="137"/>
      <c r="O2" s="137"/>
      <c r="P2" s="137"/>
      <c r="Q2" s="137"/>
      <c r="R2" s="137"/>
      <c r="S2" s="137"/>
      <c r="T2" s="137"/>
      <c r="U2" s="137"/>
      <c r="V2" s="137"/>
      <c r="W2" s="137"/>
      <c r="X2" s="137"/>
      <c r="Y2" s="137"/>
      <c r="Z2" s="137"/>
      <c r="AA2" s="137"/>
      <c r="AB2" s="137"/>
      <c r="AC2" s="137"/>
    </row>
    <row r="3" spans="1:29" ht="21.6" customHeight="1" x14ac:dyDescent="0.3">
      <c r="A3" s="144"/>
      <c r="B3" s="397"/>
      <c r="C3" s="1226" t="s">
        <v>1250</v>
      </c>
      <c r="D3" s="1227"/>
      <c r="E3" s="137"/>
      <c r="F3" s="137"/>
      <c r="G3" s="137"/>
      <c r="H3" s="137"/>
      <c r="I3" s="380"/>
      <c r="J3" s="144"/>
      <c r="K3" s="137"/>
      <c r="L3" s="137"/>
      <c r="M3" s="137"/>
      <c r="N3" s="137"/>
      <c r="O3" s="137"/>
      <c r="P3" s="137"/>
      <c r="Q3" s="137"/>
      <c r="R3" s="137"/>
      <c r="S3" s="137"/>
      <c r="T3" s="137"/>
      <c r="U3" s="137"/>
      <c r="V3" s="137"/>
      <c r="W3" s="137"/>
      <c r="X3" s="137"/>
      <c r="Y3" s="137"/>
      <c r="Z3" s="137"/>
      <c r="AA3" s="137"/>
      <c r="AB3" s="137"/>
      <c r="AC3" s="137"/>
    </row>
    <row r="4" spans="1:29" x14ac:dyDescent="0.25">
      <c r="A4" s="144"/>
      <c r="B4" s="398"/>
      <c r="C4" s="384" t="s">
        <v>901</v>
      </c>
      <c r="D4" s="533">
        <f>'Existing Customers'!$L$2</f>
        <v>0</v>
      </c>
      <c r="E4" s="144"/>
      <c r="F4" s="144"/>
      <c r="G4" s="144"/>
      <c r="H4" s="144"/>
      <c r="I4" s="380"/>
      <c r="J4" s="144"/>
      <c r="K4" s="137"/>
      <c r="L4" s="137"/>
      <c r="M4" s="137"/>
      <c r="N4" s="137"/>
      <c r="O4" s="137"/>
      <c r="P4" s="137"/>
      <c r="Q4" s="137"/>
      <c r="R4" s="137"/>
      <c r="S4" s="137"/>
      <c r="T4" s="137"/>
      <c r="U4" s="137"/>
      <c r="V4" s="137"/>
      <c r="W4" s="137"/>
      <c r="X4" s="137"/>
      <c r="Y4" s="137"/>
      <c r="Z4" s="137"/>
      <c r="AA4" s="137"/>
      <c r="AB4" s="137"/>
      <c r="AC4" s="137"/>
    </row>
    <row r="5" spans="1:29" ht="16.899999999999999" customHeight="1" x14ac:dyDescent="0.25">
      <c r="A5" s="144"/>
      <c r="B5" s="398"/>
      <c r="C5" s="144"/>
      <c r="D5" s="144"/>
      <c r="E5" s="144"/>
      <c r="F5" s="144"/>
      <c r="G5" s="144"/>
      <c r="H5" s="144"/>
      <c r="I5" s="380"/>
      <c r="J5" s="144"/>
      <c r="K5" s="137"/>
      <c r="L5" s="137"/>
      <c r="M5" s="137"/>
      <c r="N5" s="137"/>
      <c r="O5" s="137"/>
      <c r="P5" s="137"/>
      <c r="Q5" s="137"/>
      <c r="R5" s="137"/>
      <c r="S5" s="137"/>
      <c r="T5" s="137"/>
      <c r="U5" s="137"/>
      <c r="V5" s="137"/>
      <c r="W5" s="137"/>
      <c r="X5" s="137"/>
      <c r="Y5" s="137"/>
      <c r="Z5" s="137"/>
      <c r="AA5" s="137"/>
      <c r="AB5" s="137"/>
      <c r="AC5" s="137"/>
    </row>
    <row r="6" spans="1:29" s="995" customFormat="1" ht="16.899999999999999" customHeight="1" x14ac:dyDescent="0.25">
      <c r="A6" s="144"/>
      <c r="B6" s="398"/>
      <c r="C6" s="384" t="s">
        <v>1296</v>
      </c>
      <c r="D6" s="996" t="s">
        <v>1297</v>
      </c>
      <c r="E6" s="144"/>
      <c r="F6" s="144"/>
      <c r="G6" s="144"/>
      <c r="H6" s="144"/>
      <c r="I6" s="380"/>
      <c r="J6" s="144"/>
      <c r="K6" s="137"/>
      <c r="L6" s="137"/>
      <c r="M6" s="137"/>
      <c r="N6" s="137"/>
      <c r="O6" s="137"/>
      <c r="P6" s="137"/>
      <c r="Q6" s="137"/>
      <c r="R6" s="137"/>
      <c r="S6" s="137"/>
      <c r="T6" s="137"/>
      <c r="U6" s="137"/>
      <c r="V6" s="137"/>
      <c r="W6" s="137"/>
      <c r="X6" s="137"/>
      <c r="Y6" s="137"/>
      <c r="Z6" s="137"/>
      <c r="AA6" s="137"/>
      <c r="AB6" s="137"/>
      <c r="AC6" s="137"/>
    </row>
    <row r="7" spans="1:29" s="995" customFormat="1" ht="16.899999999999999" customHeight="1" x14ac:dyDescent="0.25">
      <c r="A7" s="144"/>
      <c r="B7" s="398"/>
      <c r="C7" s="144"/>
      <c r="D7" s="144"/>
      <c r="E7" s="144"/>
      <c r="F7" s="144"/>
      <c r="G7" s="144"/>
      <c r="H7" s="144"/>
      <c r="I7" s="380"/>
      <c r="J7" s="144"/>
      <c r="K7" s="137"/>
      <c r="L7" s="137"/>
      <c r="M7" s="137"/>
      <c r="N7" s="137"/>
      <c r="O7" s="137"/>
      <c r="P7" s="137"/>
      <c r="Q7" s="137"/>
      <c r="R7" s="137"/>
      <c r="S7" s="137"/>
      <c r="T7" s="137"/>
      <c r="U7" s="137"/>
      <c r="V7" s="137"/>
      <c r="W7" s="137"/>
      <c r="X7" s="137"/>
      <c r="Y7" s="137"/>
      <c r="Z7" s="137"/>
      <c r="AA7" s="137"/>
      <c r="AB7" s="137"/>
      <c r="AC7" s="137"/>
    </row>
    <row r="8" spans="1:29" x14ac:dyDescent="0.25">
      <c r="A8" s="144"/>
      <c r="B8" s="398"/>
      <c r="C8" s="384" t="s">
        <v>1298</v>
      </c>
      <c r="D8" s="385"/>
      <c r="E8" s="144"/>
      <c r="F8" s="144"/>
      <c r="G8" s="144"/>
      <c r="H8" s="144"/>
      <c r="I8" s="380"/>
      <c r="J8" s="144"/>
      <c r="K8" s="137"/>
      <c r="L8" s="137"/>
      <c r="M8" s="137"/>
      <c r="N8" s="137"/>
      <c r="O8" s="137"/>
      <c r="P8" s="137"/>
      <c r="Q8" s="137"/>
      <c r="R8" s="137"/>
      <c r="S8" s="137"/>
      <c r="T8" s="137"/>
      <c r="U8" s="137"/>
      <c r="V8" s="137"/>
      <c r="W8" s="137"/>
      <c r="X8" s="137"/>
      <c r="Y8" s="137"/>
      <c r="Z8" s="137"/>
      <c r="AA8" s="137"/>
      <c r="AB8" s="137"/>
      <c r="AC8" s="137"/>
    </row>
    <row r="9" spans="1:29" ht="16.899999999999999" customHeight="1" x14ac:dyDescent="0.25">
      <c r="A9" s="144"/>
      <c r="B9" s="398"/>
      <c r="C9" s="791"/>
      <c r="D9" s="791"/>
      <c r="E9" s="144"/>
      <c r="F9" s="144"/>
      <c r="G9" s="144"/>
      <c r="H9" s="144"/>
      <c r="I9" s="380"/>
      <c r="J9" s="144"/>
      <c r="K9" s="137"/>
      <c r="L9" s="137"/>
      <c r="M9" s="137"/>
      <c r="N9" s="137"/>
      <c r="O9" s="137"/>
      <c r="P9" s="137"/>
      <c r="Q9" s="137"/>
      <c r="R9" s="137"/>
      <c r="S9" s="137"/>
      <c r="T9" s="137"/>
      <c r="U9" s="137"/>
      <c r="V9" s="137"/>
      <c r="W9" s="137"/>
      <c r="X9" s="137"/>
      <c r="Y9" s="137" t="s">
        <v>1209</v>
      </c>
      <c r="Z9" s="137">
        <f>D8</f>
        <v>0</v>
      </c>
      <c r="AA9" s="137"/>
      <c r="AB9" s="137"/>
      <c r="AC9" s="137"/>
    </row>
    <row r="10" spans="1:29" hidden="1" x14ac:dyDescent="0.25">
      <c r="A10" s="144"/>
      <c r="B10" s="398"/>
      <c r="C10" s="384" t="s">
        <v>1210</v>
      </c>
      <c r="D10" s="385" t="s">
        <v>671</v>
      </c>
      <c r="E10" s="144"/>
      <c r="F10" s="144"/>
      <c r="G10" s="144"/>
      <c r="H10" s="144"/>
      <c r="I10" s="380"/>
      <c r="J10" s="144"/>
      <c r="K10" s="137"/>
      <c r="L10" s="137"/>
      <c r="M10" s="137"/>
      <c r="N10" s="137"/>
      <c r="O10" s="137"/>
      <c r="P10" s="137"/>
      <c r="Q10" s="137"/>
      <c r="R10" s="137"/>
      <c r="S10" s="137"/>
      <c r="T10" s="137"/>
      <c r="U10" s="137"/>
      <c r="V10" s="137"/>
      <c r="W10" s="137"/>
      <c r="X10" s="137"/>
      <c r="Y10" s="137" t="s">
        <v>1208</v>
      </c>
      <c r="Z10" s="847" t="s">
        <v>213</v>
      </c>
      <c r="AA10" s="137"/>
      <c r="AB10" s="137"/>
      <c r="AC10" s="137"/>
    </row>
    <row r="11" spans="1:29" ht="16.899999999999999" hidden="1" customHeight="1" x14ac:dyDescent="0.25">
      <c r="A11" s="144"/>
      <c r="B11" s="398"/>
      <c r="C11" s="144"/>
      <c r="D11" s="144"/>
      <c r="E11" s="144"/>
      <c r="F11" s="144"/>
      <c r="G11" s="144"/>
      <c r="H11" s="144"/>
      <c r="I11" s="380"/>
      <c r="J11" s="144"/>
      <c r="K11" s="137"/>
      <c r="L11" s="137"/>
      <c r="M11" s="137"/>
      <c r="N11" s="137"/>
      <c r="O11" s="137"/>
      <c r="P11" s="137"/>
      <c r="Q11" s="137"/>
      <c r="R11" s="137"/>
      <c r="S11" s="137"/>
      <c r="T11" s="137"/>
      <c r="U11" s="137"/>
      <c r="V11" s="137"/>
      <c r="W11" s="137"/>
      <c r="X11" s="137"/>
      <c r="Y11" s="137">
        <v>1</v>
      </c>
      <c r="Z11" s="53" t="str">
        <f>IF(AND($Z$9="MDA",$D$10="No"),"",IF(AND($Z$9="MDA",$D$10="Yes"),Y11,IF(OR($Z$9="PON ONLY",$Z$9="MDA",$Z$9="CIA",$Z$9="PON with Existing CIA",$Z$9="PON with New CIA"),Y11,"")))</f>
        <v/>
      </c>
      <c r="AA11" s="137"/>
      <c r="AB11" s="137"/>
      <c r="AC11" s="137"/>
    </row>
    <row r="12" spans="1:29" x14ac:dyDescent="0.25">
      <c r="A12" s="144"/>
      <c r="B12" s="398"/>
      <c r="C12" s="384" t="s">
        <v>1299</v>
      </c>
      <c r="D12" s="997" t="s">
        <v>213</v>
      </c>
      <c r="E12" s="144"/>
      <c r="F12" s="144"/>
      <c r="G12" s="144"/>
      <c r="H12" s="144"/>
      <c r="I12" s="380"/>
      <c r="J12" s="144"/>
      <c r="K12" s="137"/>
      <c r="L12" s="137"/>
      <c r="M12" s="137"/>
      <c r="N12" s="137"/>
      <c r="O12" s="137"/>
      <c r="P12" s="137"/>
      <c r="Q12" s="137"/>
      <c r="R12" s="137"/>
      <c r="S12" s="137"/>
      <c r="T12" s="137"/>
      <c r="U12" s="137"/>
      <c r="V12" s="137"/>
      <c r="W12" s="137"/>
      <c r="X12" s="137"/>
      <c r="Y12" s="137">
        <v>2</v>
      </c>
      <c r="Z12" s="53" t="str">
        <f>IF(OR($Z$9="PON ONLY",$Z$9="PON with Existing CIA"),"",IF($Z$9="MDA",Y12,IF($Z$9="CIA",Y12,IF($Z$9="PON with New CIA",Y12,""))))</f>
        <v/>
      </c>
      <c r="AA12" s="137"/>
      <c r="AB12" s="137"/>
      <c r="AC12" s="137"/>
    </row>
    <row r="13" spans="1:29" s="780" customFormat="1" x14ac:dyDescent="0.25">
      <c r="A13" s="144"/>
      <c r="B13" s="398"/>
      <c r="C13" s="386"/>
      <c r="D13" s="145"/>
      <c r="E13" s="144"/>
      <c r="F13" s="144"/>
      <c r="G13" s="144"/>
      <c r="H13" s="144"/>
      <c r="I13" s="380"/>
      <c r="J13" s="144"/>
      <c r="K13" s="137"/>
      <c r="L13" s="137"/>
      <c r="M13" s="137"/>
      <c r="N13" s="137"/>
      <c r="O13" s="137"/>
      <c r="P13" s="137"/>
      <c r="Q13" s="137"/>
      <c r="R13" s="137"/>
      <c r="S13" s="137"/>
      <c r="T13" s="137"/>
      <c r="U13" s="137"/>
      <c r="V13" s="137"/>
      <c r="W13" s="137"/>
      <c r="X13" s="137"/>
      <c r="Y13" s="137">
        <v>3</v>
      </c>
      <c r="Z13" s="53" t="str">
        <f>IF(OR($Z$9="PON ONLY",$Z$9="PON with Existing CIA"),"",IF($Z$9="MDA",Y13,IF($Z$9="CIA",Y13,IF($Z$9="PON with New CIA",Y13,""))))</f>
        <v/>
      </c>
      <c r="AA13" s="137"/>
      <c r="AB13" s="137"/>
      <c r="AC13" s="137"/>
    </row>
    <row r="14" spans="1:29" x14ac:dyDescent="0.25">
      <c r="A14" s="144"/>
      <c r="B14" s="398"/>
      <c r="C14" s="384" t="s">
        <v>379</v>
      </c>
      <c r="D14" s="385" t="s">
        <v>463</v>
      </c>
      <c r="E14" s="144"/>
      <c r="F14" s="144"/>
      <c r="G14" s="144"/>
      <c r="H14" s="144"/>
      <c r="I14" s="380"/>
      <c r="J14" s="144"/>
      <c r="K14" s="137"/>
      <c r="L14" s="137"/>
      <c r="M14" s="137"/>
      <c r="N14" s="137"/>
      <c r="O14" s="137"/>
      <c r="P14" s="137"/>
      <c r="Q14" s="137"/>
      <c r="R14" s="137"/>
      <c r="S14" s="137"/>
      <c r="T14" s="137"/>
      <c r="U14" s="137"/>
      <c r="V14" s="137"/>
      <c r="W14" s="137"/>
      <c r="X14" s="137"/>
      <c r="Y14" s="137">
        <v>4</v>
      </c>
      <c r="Z14" s="53" t="str">
        <f>IF(OR($Z$9="PON ONLY",$Z$9="PON with Existing CIA"),"",IF($Z$9="MDA",Y14,IF($Z$9="CIA",Y14,IF($Z$9="PON with New CIA",Y14,""))))</f>
        <v/>
      </c>
      <c r="AA14" s="137"/>
      <c r="AB14" s="137"/>
      <c r="AC14" s="137"/>
    </row>
    <row r="15" spans="1:29" ht="19.899999999999999" customHeight="1" x14ac:dyDescent="0.25">
      <c r="A15" s="144"/>
      <c r="B15" s="398"/>
      <c r="E15" s="144"/>
      <c r="F15" s="144"/>
      <c r="G15" s="144"/>
      <c r="H15" s="144"/>
      <c r="I15" s="380"/>
      <c r="J15" s="144"/>
      <c r="K15" s="137"/>
      <c r="L15" s="137"/>
      <c r="M15" s="137"/>
      <c r="N15" s="137"/>
      <c r="O15" s="137"/>
      <c r="P15" s="137"/>
      <c r="Q15" s="137"/>
      <c r="R15" s="137"/>
      <c r="S15" s="137"/>
      <c r="T15" s="137"/>
      <c r="U15" s="137"/>
      <c r="V15" s="137"/>
      <c r="W15" s="137"/>
      <c r="X15" s="137"/>
      <c r="Y15" s="137">
        <v>5</v>
      </c>
      <c r="Z15" s="53" t="str">
        <f>IF(OR($Z$9="PON ONLY",$Z$9="PON with Existing CIA"),"",IF($Z$9="MDA",Y15,IF($Z$9="CIA",Y15,IF($Z$9="PON with New CIA",Y15,""))))</f>
        <v/>
      </c>
      <c r="AA15" s="137"/>
      <c r="AB15" s="137"/>
      <c r="AC15" s="137"/>
    </row>
    <row r="16" spans="1:29" x14ac:dyDescent="0.25">
      <c r="A16" s="144"/>
      <c r="B16" s="398"/>
      <c r="C16" s="384" t="s">
        <v>1195</v>
      </c>
      <c r="D16" s="385"/>
      <c r="E16" s="144"/>
      <c r="F16" s="144"/>
      <c r="G16" s="144"/>
      <c r="H16" s="144"/>
      <c r="I16" s="380"/>
      <c r="J16" s="144"/>
      <c r="K16" s="137"/>
      <c r="L16" s="137"/>
      <c r="M16" s="137"/>
      <c r="N16" s="137"/>
      <c r="O16" s="137"/>
      <c r="P16" s="137"/>
      <c r="Q16" s="137"/>
      <c r="R16" s="137"/>
      <c r="S16" s="137"/>
      <c r="T16" s="137"/>
      <c r="U16" s="137"/>
      <c r="V16" s="137"/>
      <c r="W16" s="137"/>
      <c r="X16" s="137"/>
      <c r="Y16" s="137"/>
      <c r="Z16" s="137"/>
      <c r="AA16" s="137"/>
      <c r="AB16" s="137"/>
      <c r="AC16" s="137"/>
    </row>
    <row r="17" spans="1:29" s="998" customFormat="1" x14ac:dyDescent="0.25">
      <c r="A17" s="144"/>
      <c r="B17" s="398"/>
      <c r="C17" s="137"/>
      <c r="D17" s="137"/>
      <c r="E17" s="144"/>
      <c r="F17" s="144"/>
      <c r="G17" s="144"/>
      <c r="H17" s="144"/>
      <c r="I17" s="380"/>
      <c r="J17" s="144"/>
      <c r="K17" s="137"/>
      <c r="L17" s="137"/>
      <c r="M17" s="137"/>
      <c r="N17" s="137"/>
      <c r="O17" s="137"/>
      <c r="P17" s="137"/>
      <c r="Q17" s="137"/>
      <c r="R17" s="137"/>
      <c r="S17" s="137"/>
      <c r="T17" s="137"/>
      <c r="U17" s="137"/>
      <c r="V17" s="137"/>
      <c r="W17" s="137"/>
      <c r="X17" s="137"/>
      <c r="Y17" s="137"/>
      <c r="Z17" s="137"/>
      <c r="AA17" s="137"/>
      <c r="AB17" s="137"/>
      <c r="AC17" s="137"/>
    </row>
    <row r="18" spans="1:29" s="998" customFormat="1" hidden="1" x14ac:dyDescent="0.25">
      <c r="A18" s="144"/>
      <c r="B18" s="398"/>
      <c r="C18" s="384" t="s">
        <v>1300</v>
      </c>
      <c r="D18" s="385" t="s">
        <v>671</v>
      </c>
      <c r="E18" s="144"/>
      <c r="F18" s="144"/>
      <c r="G18" s="144"/>
      <c r="H18" s="144"/>
      <c r="I18" s="380"/>
      <c r="J18" s="144"/>
      <c r="K18" s="137"/>
      <c r="L18" s="137"/>
      <c r="M18" s="137"/>
      <c r="N18" s="137"/>
      <c r="O18" s="137"/>
      <c r="P18" s="137"/>
      <c r="Q18" s="137"/>
      <c r="R18" s="137"/>
      <c r="S18" s="137"/>
      <c r="T18" s="137"/>
      <c r="U18" s="137"/>
      <c r="V18" s="137"/>
      <c r="W18" s="137"/>
      <c r="X18" s="137"/>
      <c r="Y18" s="137"/>
      <c r="Z18" s="137"/>
      <c r="AA18" s="137"/>
      <c r="AB18" s="137"/>
      <c r="AC18" s="137"/>
    </row>
    <row r="19" spans="1:29" s="998" customFormat="1" hidden="1" x14ac:dyDescent="0.25">
      <c r="A19" s="144"/>
      <c r="B19" s="398"/>
      <c r="C19" s="137"/>
      <c r="D19" s="137"/>
      <c r="E19" s="144"/>
      <c r="F19" s="144"/>
      <c r="G19" s="144"/>
      <c r="H19" s="144"/>
      <c r="I19" s="380"/>
      <c r="J19" s="144"/>
      <c r="K19" s="137"/>
      <c r="L19" s="137"/>
      <c r="M19" s="137"/>
      <c r="N19" s="137"/>
      <c r="O19" s="137"/>
      <c r="P19" s="137"/>
      <c r="Q19" s="137"/>
      <c r="R19" s="137"/>
      <c r="S19" s="137"/>
      <c r="T19" s="137"/>
      <c r="U19" s="137"/>
      <c r="V19" s="137"/>
      <c r="W19" s="137"/>
      <c r="X19" s="137"/>
      <c r="Y19" s="137"/>
      <c r="Z19" s="137"/>
      <c r="AA19" s="137"/>
      <c r="AB19" s="137"/>
      <c r="AC19" s="137"/>
    </row>
    <row r="20" spans="1:29" s="998" customFormat="1" hidden="1" x14ac:dyDescent="0.25">
      <c r="A20" s="144"/>
      <c r="B20" s="398"/>
      <c r="C20" s="384" t="s">
        <v>1301</v>
      </c>
      <c r="D20" s="1000"/>
      <c r="E20" s="144"/>
      <c r="F20" s="144"/>
      <c r="G20" s="144"/>
      <c r="H20" s="144"/>
      <c r="I20" s="380"/>
      <c r="J20" s="144"/>
      <c r="K20" s="137"/>
      <c r="L20" s="137"/>
      <c r="M20" s="137"/>
      <c r="N20" s="137"/>
      <c r="O20" s="137"/>
      <c r="P20" s="137"/>
      <c r="Q20" s="137"/>
      <c r="R20" s="137"/>
      <c r="S20" s="137"/>
      <c r="T20" s="137"/>
      <c r="U20" s="137"/>
      <c r="V20" s="137"/>
      <c r="W20" s="137"/>
      <c r="X20" s="137"/>
      <c r="Y20" s="137"/>
      <c r="Z20" s="137"/>
      <c r="AA20" s="137"/>
      <c r="AB20" s="137"/>
      <c r="AC20" s="137"/>
    </row>
    <row r="21" spans="1:29" s="999" customFormat="1" hidden="1" x14ac:dyDescent="0.25">
      <c r="A21" s="144"/>
      <c r="B21" s="398"/>
      <c r="C21" s="137"/>
      <c r="D21" s="137"/>
      <c r="E21" s="137"/>
      <c r="F21" s="137"/>
      <c r="G21" s="137"/>
      <c r="H21" s="137"/>
      <c r="I21" s="380"/>
      <c r="J21" s="144"/>
      <c r="K21" s="137"/>
      <c r="L21" s="137"/>
      <c r="M21" s="137"/>
      <c r="N21" s="137"/>
      <c r="O21" s="137"/>
      <c r="P21" s="137"/>
      <c r="Q21" s="137"/>
      <c r="R21" s="137"/>
      <c r="S21" s="137"/>
      <c r="T21" s="137"/>
      <c r="U21" s="137"/>
      <c r="V21" s="137"/>
      <c r="W21" s="137"/>
      <c r="X21" s="137"/>
      <c r="Y21" s="137"/>
      <c r="Z21" s="137"/>
      <c r="AA21" s="137"/>
      <c r="AB21" s="137"/>
      <c r="AC21" s="137"/>
    </row>
    <row r="22" spans="1:29" s="999" customFormat="1" x14ac:dyDescent="0.25">
      <c r="A22" s="144"/>
      <c r="B22" s="398"/>
      <c r="C22" s="137"/>
      <c r="D22" s="137"/>
      <c r="E22" s="137"/>
      <c r="F22" s="137"/>
      <c r="G22" s="137"/>
      <c r="H22" s="137"/>
      <c r="I22" s="380"/>
      <c r="J22" s="144"/>
      <c r="K22" s="137"/>
      <c r="L22" s="137"/>
      <c r="M22" s="137"/>
      <c r="N22" s="137"/>
      <c r="O22" s="137"/>
      <c r="P22" s="137"/>
      <c r="Q22" s="137"/>
      <c r="R22" s="137"/>
      <c r="S22" s="137"/>
      <c r="T22" s="137"/>
      <c r="U22" s="137"/>
      <c r="V22" s="137"/>
      <c r="W22" s="137"/>
      <c r="X22" s="137"/>
      <c r="Y22" s="137"/>
      <c r="Z22" s="137"/>
      <c r="AA22" s="137"/>
      <c r="AB22" s="137"/>
      <c r="AC22" s="137"/>
    </row>
    <row r="23" spans="1:29" s="999" customFormat="1" x14ac:dyDescent="0.25">
      <c r="A23" s="144"/>
      <c r="B23" s="398"/>
      <c r="C23" s="137"/>
      <c r="D23" s="137"/>
      <c r="E23" s="137"/>
      <c r="F23" s="137"/>
      <c r="G23" s="137"/>
      <c r="H23" s="137"/>
      <c r="I23" s="380"/>
      <c r="J23" s="144"/>
      <c r="K23" s="137"/>
      <c r="L23" s="137"/>
      <c r="M23" s="137"/>
      <c r="N23" s="137"/>
      <c r="O23" s="137"/>
      <c r="P23" s="137"/>
      <c r="Q23" s="137"/>
      <c r="R23" s="137"/>
      <c r="S23" s="137"/>
      <c r="T23" s="137"/>
      <c r="U23" s="137"/>
      <c r="V23" s="137"/>
      <c r="W23" s="137"/>
      <c r="X23" s="137"/>
      <c r="Y23" s="137"/>
      <c r="Z23" s="137"/>
      <c r="AA23" s="137"/>
      <c r="AB23" s="137"/>
      <c r="AC23" s="137"/>
    </row>
    <row r="24" spans="1:29" s="999" customFormat="1" x14ac:dyDescent="0.25">
      <c r="A24" s="144"/>
      <c r="B24" s="398"/>
      <c r="C24" s="137"/>
      <c r="D24" s="137"/>
      <c r="E24" s="137"/>
      <c r="F24" s="137"/>
      <c r="G24" s="137"/>
      <c r="H24" s="137"/>
      <c r="I24" s="380"/>
      <c r="J24" s="144"/>
      <c r="K24" s="137"/>
      <c r="L24" s="137"/>
      <c r="M24" s="137"/>
      <c r="N24" s="137"/>
      <c r="O24" s="137"/>
      <c r="P24" s="137"/>
      <c r="Q24" s="137"/>
      <c r="R24" s="137"/>
      <c r="S24" s="137"/>
      <c r="T24" s="137"/>
      <c r="U24" s="137"/>
      <c r="V24" s="137"/>
      <c r="W24" s="137"/>
      <c r="X24" s="137"/>
      <c r="Y24" s="137"/>
      <c r="Z24" s="137"/>
      <c r="AA24" s="137"/>
      <c r="AB24" s="137"/>
      <c r="AC24" s="137"/>
    </row>
    <row r="25" spans="1:29" s="999" customFormat="1" ht="29.25" hidden="1" customHeight="1" x14ac:dyDescent="0.25">
      <c r="A25" s="144"/>
      <c r="B25" s="398"/>
      <c r="C25" s="1001" t="s">
        <v>248</v>
      </c>
      <c r="D25" s="1004" t="s">
        <v>675</v>
      </c>
      <c r="E25" s="1004" t="s">
        <v>1302</v>
      </c>
      <c r="F25" s="1004" t="s">
        <v>1303</v>
      </c>
      <c r="G25" s="1003" t="s">
        <v>269</v>
      </c>
      <c r="H25" s="1002" t="s">
        <v>1304</v>
      </c>
      <c r="I25" s="380"/>
      <c r="J25" s="144"/>
      <c r="K25" s="137"/>
      <c r="L25" s="137"/>
      <c r="M25" s="137"/>
      <c r="N25" s="137"/>
      <c r="O25" s="137"/>
      <c r="P25" s="137"/>
      <c r="Q25" s="137"/>
      <c r="R25" s="137"/>
      <c r="S25" s="137"/>
      <c r="T25" s="137"/>
      <c r="U25" s="137"/>
      <c r="V25" s="137"/>
      <c r="W25" s="137"/>
      <c r="X25" s="137"/>
      <c r="Y25" s="137"/>
      <c r="Z25" s="137"/>
      <c r="AA25" s="137"/>
      <c r="AB25" s="137"/>
      <c r="AC25" s="137"/>
    </row>
    <row r="26" spans="1:29" s="999" customFormat="1" ht="26.25" hidden="1" customHeight="1" thickBot="1" x14ac:dyDescent="0.3">
      <c r="A26" s="144"/>
      <c r="B26" s="398"/>
      <c r="C26" s="1005">
        <f>D4</f>
        <v>0</v>
      </c>
      <c r="D26" s="1006"/>
      <c r="E26" s="1006"/>
      <c r="F26" s="1007"/>
      <c r="G26" s="1009">
        <f>D26+E26+F26</f>
        <v>0</v>
      </c>
      <c r="H26" s="1008">
        <v>5</v>
      </c>
      <c r="I26" s="380"/>
      <c r="J26" s="144"/>
      <c r="K26" s="137"/>
      <c r="L26" s="137"/>
      <c r="M26" s="137"/>
      <c r="N26" s="137"/>
      <c r="O26" s="137"/>
      <c r="P26" s="137"/>
      <c r="Q26" s="137"/>
      <c r="R26" s="137"/>
      <c r="S26" s="137"/>
      <c r="T26" s="137"/>
      <c r="U26" s="137"/>
      <c r="V26" s="137"/>
      <c r="W26" s="137"/>
      <c r="X26" s="137"/>
      <c r="Y26" s="137"/>
      <c r="Z26" s="137"/>
      <c r="AA26" s="137"/>
      <c r="AB26" s="137"/>
      <c r="AC26" s="137"/>
    </row>
    <row r="27" spans="1:29" ht="19.899999999999999" customHeight="1" thickBot="1" x14ac:dyDescent="0.3">
      <c r="A27" s="144"/>
      <c r="B27" s="387"/>
      <c r="C27" s="399"/>
      <c r="D27" s="416"/>
      <c r="E27" s="416"/>
      <c r="F27" s="416"/>
      <c r="G27" s="416"/>
      <c r="H27" s="416"/>
      <c r="I27" s="388"/>
      <c r="J27" s="144"/>
      <c r="K27" s="137"/>
      <c r="L27" s="137"/>
      <c r="M27" s="137"/>
      <c r="N27" s="137"/>
      <c r="O27" s="137"/>
      <c r="P27" s="137"/>
      <c r="Q27" s="137"/>
      <c r="R27" s="137"/>
      <c r="S27" s="137"/>
      <c r="T27" s="137"/>
      <c r="U27" s="137"/>
      <c r="V27" s="137"/>
      <c r="W27" s="137"/>
      <c r="X27" s="137"/>
      <c r="Y27" s="137"/>
      <c r="Z27" s="137"/>
      <c r="AA27" s="137"/>
      <c r="AB27" s="137"/>
      <c r="AC27" s="137"/>
    </row>
    <row r="28" spans="1:29" ht="33" customHeight="1" thickBot="1" x14ac:dyDescent="0.3">
      <c r="A28" s="144"/>
      <c r="B28" s="144"/>
      <c r="C28" s="386"/>
      <c r="D28" s="145"/>
      <c r="E28" s="145"/>
      <c r="F28" s="145"/>
      <c r="G28" s="145"/>
      <c r="H28" s="145"/>
      <c r="I28" s="144"/>
      <c r="J28" s="144"/>
      <c r="K28" s="137"/>
      <c r="L28" s="137"/>
      <c r="M28" s="137"/>
      <c r="N28" s="137"/>
      <c r="O28" s="137"/>
      <c r="P28" s="137"/>
      <c r="Q28" s="137"/>
      <c r="R28" s="137"/>
      <c r="S28" s="137"/>
      <c r="T28" s="137"/>
      <c r="U28" s="137"/>
      <c r="V28" s="137"/>
      <c r="W28" s="137"/>
      <c r="X28" s="137"/>
      <c r="Y28" s="137"/>
      <c r="Z28" s="137"/>
      <c r="AA28" s="137"/>
      <c r="AB28" s="137"/>
      <c r="AC28" s="137"/>
    </row>
    <row r="29" spans="1:29" ht="19.899999999999999" customHeight="1" thickBot="1" x14ac:dyDescent="0.3">
      <c r="A29" s="144"/>
      <c r="B29" s="1237" t="s">
        <v>1305</v>
      </c>
      <c r="C29" s="1238"/>
      <c r="D29" s="1238"/>
      <c r="E29" s="1238"/>
      <c r="F29" s="1238"/>
      <c r="G29" s="1238"/>
      <c r="H29" s="1238"/>
      <c r="I29" s="1239"/>
      <c r="J29" s="144"/>
      <c r="K29" s="137"/>
      <c r="L29" s="137"/>
      <c r="M29" s="137"/>
      <c r="N29" s="137"/>
      <c r="O29" s="137"/>
      <c r="P29" s="137"/>
      <c r="Q29" s="137"/>
      <c r="R29" s="137"/>
      <c r="S29" s="137"/>
      <c r="T29" s="137"/>
      <c r="U29" s="137"/>
      <c r="V29" s="137"/>
      <c r="W29" s="137"/>
      <c r="X29" s="137"/>
      <c r="Y29" s="137"/>
      <c r="Z29" s="137"/>
      <c r="AA29" s="137"/>
      <c r="AB29" s="137"/>
      <c r="AC29" s="137"/>
    </row>
    <row r="30" spans="1:29" ht="19.899999999999999" customHeight="1" x14ac:dyDescent="0.25">
      <c r="A30" s="144"/>
      <c r="B30" s="1228"/>
      <c r="C30" s="1229"/>
      <c r="D30" s="1229"/>
      <c r="E30" s="1229"/>
      <c r="F30" s="1229"/>
      <c r="G30" s="1229"/>
      <c r="H30" s="1229"/>
      <c r="I30" s="1230"/>
      <c r="J30" s="144"/>
      <c r="K30" s="137"/>
      <c r="L30" s="137"/>
      <c r="M30" s="137"/>
      <c r="N30" s="137"/>
      <c r="O30" s="137"/>
      <c r="P30" s="137"/>
      <c r="Q30" s="137"/>
      <c r="R30" s="137"/>
      <c r="S30" s="137"/>
      <c r="T30" s="137"/>
      <c r="U30" s="137"/>
      <c r="V30" s="137"/>
      <c r="W30" s="137"/>
      <c r="X30" s="137"/>
      <c r="Y30" s="137"/>
      <c r="Z30" s="137"/>
      <c r="AA30" s="137"/>
      <c r="AB30" s="137"/>
      <c r="AC30" s="137"/>
    </row>
    <row r="31" spans="1:29" ht="19.899999999999999" customHeight="1" x14ac:dyDescent="0.25">
      <c r="A31" s="144"/>
      <c r="B31" s="1231"/>
      <c r="C31" s="1232"/>
      <c r="D31" s="1232"/>
      <c r="E31" s="1232"/>
      <c r="F31" s="1232"/>
      <c r="G31" s="1232"/>
      <c r="H31" s="1232"/>
      <c r="I31" s="1233"/>
      <c r="J31" s="144"/>
      <c r="K31" s="137"/>
      <c r="L31" s="137"/>
      <c r="M31" s="137"/>
      <c r="N31" s="137"/>
      <c r="O31" s="137"/>
      <c r="P31" s="137"/>
      <c r="Q31" s="137"/>
      <c r="R31" s="137"/>
      <c r="S31" s="137"/>
      <c r="T31" s="137"/>
      <c r="U31" s="137"/>
      <c r="V31" s="137"/>
      <c r="W31" s="137"/>
      <c r="X31" s="137"/>
      <c r="Y31" s="137"/>
      <c r="Z31" s="137"/>
      <c r="AA31" s="137"/>
      <c r="AB31" s="137"/>
      <c r="AC31" s="137"/>
    </row>
    <row r="32" spans="1:29" ht="19.899999999999999" customHeight="1" x14ac:dyDescent="0.25">
      <c r="A32" s="144"/>
      <c r="B32" s="1231"/>
      <c r="C32" s="1232"/>
      <c r="D32" s="1232"/>
      <c r="E32" s="1232"/>
      <c r="F32" s="1232"/>
      <c r="G32" s="1232"/>
      <c r="H32" s="1232"/>
      <c r="I32" s="1233"/>
      <c r="J32" s="144"/>
      <c r="K32" s="137"/>
      <c r="L32" s="137"/>
      <c r="M32" s="137"/>
      <c r="N32" s="137"/>
      <c r="O32" s="137"/>
      <c r="P32" s="137"/>
      <c r="Q32" s="137"/>
      <c r="R32" s="137"/>
      <c r="S32" s="137"/>
      <c r="T32" s="137"/>
      <c r="U32" s="137"/>
      <c r="V32" s="137"/>
      <c r="W32" s="137"/>
      <c r="X32" s="137"/>
      <c r="Y32" s="137"/>
      <c r="Z32" s="137"/>
      <c r="AA32" s="137"/>
      <c r="AB32" s="137"/>
      <c r="AC32" s="137"/>
    </row>
    <row r="33" spans="1:29" ht="27" customHeight="1" x14ac:dyDescent="0.25">
      <c r="A33" s="144"/>
      <c r="B33" s="1231"/>
      <c r="C33" s="1232"/>
      <c r="D33" s="1232"/>
      <c r="E33" s="1232"/>
      <c r="F33" s="1232"/>
      <c r="G33" s="1232"/>
      <c r="H33" s="1232"/>
      <c r="I33" s="1233"/>
      <c r="J33" s="144"/>
      <c r="K33" s="137"/>
      <c r="L33" s="137"/>
      <c r="M33" s="137"/>
      <c r="N33" s="137"/>
      <c r="O33" s="137"/>
      <c r="P33" s="137"/>
      <c r="Q33" s="137"/>
      <c r="R33" s="137"/>
      <c r="S33" s="137"/>
      <c r="T33" s="137"/>
      <c r="U33" s="137"/>
      <c r="V33" s="137"/>
      <c r="W33" s="137"/>
      <c r="X33" s="137"/>
      <c r="Y33" s="137"/>
      <c r="Z33" s="137"/>
      <c r="AA33" s="137"/>
      <c r="AB33" s="137"/>
      <c r="AC33" s="137"/>
    </row>
    <row r="34" spans="1:29" ht="15.6" customHeight="1" x14ac:dyDescent="0.25">
      <c r="A34" s="144"/>
      <c r="B34" s="1231"/>
      <c r="C34" s="1232"/>
      <c r="D34" s="1232"/>
      <c r="E34" s="1232"/>
      <c r="F34" s="1232"/>
      <c r="G34" s="1232"/>
      <c r="H34" s="1232"/>
      <c r="I34" s="1233"/>
      <c r="J34" s="144"/>
      <c r="K34" s="137"/>
      <c r="L34" s="137"/>
      <c r="M34" s="137"/>
      <c r="N34" s="137"/>
      <c r="O34" s="137"/>
      <c r="P34" s="137"/>
      <c r="Q34" s="137"/>
      <c r="R34" s="137"/>
      <c r="S34" s="137"/>
      <c r="T34" s="137"/>
      <c r="U34" s="137"/>
      <c r="V34" s="137"/>
      <c r="W34" s="137"/>
      <c r="X34" s="137"/>
      <c r="Y34" s="137"/>
      <c r="Z34" s="137"/>
      <c r="AA34" s="137"/>
      <c r="AB34" s="137"/>
      <c r="AC34" s="137"/>
    </row>
    <row r="35" spans="1:29" ht="27.75" customHeight="1" thickBot="1" x14ac:dyDescent="0.3">
      <c r="A35" s="137"/>
      <c r="B35" s="1234"/>
      <c r="C35" s="1235"/>
      <c r="D35" s="1235"/>
      <c r="E35" s="1235"/>
      <c r="F35" s="1235"/>
      <c r="G35" s="1235"/>
      <c r="H35" s="1235"/>
      <c r="I35" s="1236"/>
      <c r="J35" s="137"/>
      <c r="K35" s="137"/>
      <c r="L35" s="137"/>
      <c r="M35" s="137"/>
      <c r="N35" s="137"/>
      <c r="O35" s="137"/>
      <c r="P35" s="137"/>
      <c r="Q35" s="137"/>
      <c r="R35" s="137"/>
      <c r="S35" s="137"/>
      <c r="T35" s="137"/>
      <c r="U35" s="137"/>
      <c r="V35" s="137"/>
      <c r="W35" s="137"/>
      <c r="X35" s="137"/>
      <c r="Y35" s="137"/>
      <c r="Z35" s="137"/>
      <c r="AA35" s="137"/>
      <c r="AB35" s="137"/>
      <c r="AC35" s="137"/>
    </row>
    <row r="36" spans="1:29" ht="15.75" thickBot="1" x14ac:dyDescent="0.3">
      <c r="A36" s="137"/>
      <c r="B36" s="144"/>
      <c r="C36" s="386"/>
      <c r="D36" s="145"/>
      <c r="E36" s="145"/>
      <c r="F36" s="145"/>
      <c r="G36" s="145"/>
      <c r="H36" s="145"/>
      <c r="I36" s="144"/>
      <c r="J36" s="137"/>
      <c r="K36" s="137"/>
      <c r="L36" s="137"/>
      <c r="M36" s="137"/>
      <c r="N36" s="137"/>
      <c r="O36" s="137"/>
      <c r="P36" s="137"/>
      <c r="Q36" s="137"/>
      <c r="R36" s="137"/>
      <c r="S36" s="137"/>
      <c r="T36" s="137"/>
      <c r="U36" s="137"/>
      <c r="V36" s="137"/>
      <c r="W36" s="137"/>
      <c r="X36" s="137"/>
      <c r="Y36" s="137"/>
      <c r="Z36" s="137"/>
      <c r="AA36" s="137"/>
      <c r="AB36" s="137"/>
      <c r="AC36" s="137"/>
    </row>
    <row r="37" spans="1:29" ht="15.75" thickBot="1" x14ac:dyDescent="0.3">
      <c r="A37" s="137"/>
      <c r="B37" s="1240" t="s">
        <v>1196</v>
      </c>
      <c r="C37" s="1241"/>
      <c r="D37" s="1241"/>
      <c r="E37" s="1241"/>
      <c r="F37" s="1241"/>
      <c r="G37" s="1241"/>
      <c r="H37" s="1241"/>
      <c r="I37" s="1242"/>
      <c r="J37" s="137"/>
      <c r="K37" s="137"/>
      <c r="L37" s="137"/>
      <c r="M37" s="137"/>
      <c r="N37" s="137"/>
      <c r="O37" s="137"/>
      <c r="P37" s="137"/>
      <c r="Q37" s="137"/>
      <c r="R37" s="137"/>
      <c r="S37" s="137"/>
      <c r="T37" s="137"/>
      <c r="U37" s="137"/>
      <c r="V37" s="137"/>
      <c r="W37" s="137"/>
      <c r="X37" s="137"/>
      <c r="Y37" s="137"/>
      <c r="Z37" s="137"/>
      <c r="AA37" s="137"/>
      <c r="AB37" s="137"/>
      <c r="AC37" s="137"/>
    </row>
    <row r="38" spans="1:29" x14ac:dyDescent="0.25">
      <c r="A38" s="137"/>
      <c r="B38" s="1228"/>
      <c r="C38" s="1229"/>
      <c r="D38" s="1229"/>
      <c r="E38" s="1229"/>
      <c r="F38" s="1229"/>
      <c r="G38" s="1229"/>
      <c r="H38" s="1229"/>
      <c r="I38" s="1230"/>
      <c r="J38" s="137"/>
      <c r="K38" s="137"/>
      <c r="L38" s="137"/>
      <c r="M38" s="137"/>
      <c r="N38" s="137"/>
      <c r="O38" s="137"/>
      <c r="P38" s="137"/>
      <c r="Q38" s="137"/>
      <c r="R38" s="137"/>
      <c r="S38" s="137"/>
      <c r="T38" s="137"/>
      <c r="U38" s="137"/>
      <c r="V38" s="137"/>
      <c r="W38" s="137"/>
      <c r="X38" s="137"/>
      <c r="Y38" s="137"/>
      <c r="Z38" s="137"/>
      <c r="AA38" s="137"/>
      <c r="AB38" s="137"/>
      <c r="AC38" s="137"/>
    </row>
    <row r="39" spans="1:29" x14ac:dyDescent="0.25">
      <c r="A39" s="137"/>
      <c r="B39" s="1231"/>
      <c r="C39" s="1232"/>
      <c r="D39" s="1232"/>
      <c r="E39" s="1232"/>
      <c r="F39" s="1232"/>
      <c r="G39" s="1232"/>
      <c r="H39" s="1232"/>
      <c r="I39" s="1233"/>
      <c r="J39" s="137"/>
      <c r="K39" s="137"/>
      <c r="L39" s="137"/>
      <c r="M39" s="137"/>
      <c r="N39" s="137"/>
      <c r="O39" s="137"/>
      <c r="P39" s="137"/>
      <c r="Q39" s="137"/>
      <c r="R39" s="137"/>
      <c r="S39" s="137"/>
      <c r="T39" s="137"/>
      <c r="U39" s="137"/>
      <c r="V39" s="137"/>
      <c r="W39" s="137"/>
      <c r="X39" s="137"/>
      <c r="Y39" s="137"/>
      <c r="Z39" s="137"/>
      <c r="AA39" s="137"/>
      <c r="AB39" s="137"/>
      <c r="AC39" s="137"/>
    </row>
    <row r="40" spans="1:29" x14ac:dyDescent="0.25">
      <c r="A40" s="137"/>
      <c r="B40" s="1231"/>
      <c r="C40" s="1232"/>
      <c r="D40" s="1232"/>
      <c r="E40" s="1232"/>
      <c r="F40" s="1232"/>
      <c r="G40" s="1232"/>
      <c r="H40" s="1232"/>
      <c r="I40" s="1233"/>
      <c r="J40" s="137"/>
      <c r="K40" s="137"/>
      <c r="L40" s="137"/>
      <c r="M40" s="137"/>
      <c r="N40" s="137"/>
      <c r="O40" s="137"/>
      <c r="P40" s="137"/>
      <c r="Q40" s="137"/>
      <c r="R40" s="137"/>
      <c r="S40" s="137"/>
      <c r="T40" s="137"/>
      <c r="U40" s="137"/>
      <c r="V40" s="137"/>
      <c r="W40" s="137"/>
      <c r="X40" s="137"/>
      <c r="Y40" s="137"/>
      <c r="Z40" s="137"/>
      <c r="AA40" s="137"/>
      <c r="AB40" s="137"/>
      <c r="AC40" s="137"/>
    </row>
    <row r="41" spans="1:29" x14ac:dyDescent="0.25">
      <c r="A41" s="137"/>
      <c r="B41" s="1231"/>
      <c r="C41" s="1232"/>
      <c r="D41" s="1232"/>
      <c r="E41" s="1232"/>
      <c r="F41" s="1232"/>
      <c r="G41" s="1232"/>
      <c r="H41" s="1232"/>
      <c r="I41" s="1233"/>
      <c r="J41" s="137"/>
      <c r="K41" s="137"/>
      <c r="L41" s="137"/>
      <c r="M41" s="137"/>
      <c r="N41" s="137"/>
      <c r="O41" s="137"/>
      <c r="P41" s="137"/>
      <c r="Q41" s="137"/>
      <c r="R41" s="137"/>
      <c r="S41" s="137"/>
      <c r="T41" s="137"/>
      <c r="U41" s="137"/>
      <c r="V41" s="137"/>
      <c r="W41" s="137"/>
      <c r="X41" s="137"/>
      <c r="Y41" s="137"/>
      <c r="Z41" s="137"/>
      <c r="AA41" s="137"/>
      <c r="AB41" s="137"/>
      <c r="AC41" s="137"/>
    </row>
    <row r="42" spans="1:29" x14ac:dyDescent="0.25">
      <c r="A42" s="137"/>
      <c r="B42" s="1231"/>
      <c r="C42" s="1232"/>
      <c r="D42" s="1232"/>
      <c r="E42" s="1232"/>
      <c r="F42" s="1232"/>
      <c r="G42" s="1232"/>
      <c r="H42" s="1232"/>
      <c r="I42" s="1233"/>
      <c r="J42" s="137"/>
      <c r="K42" s="137"/>
      <c r="L42" s="137"/>
      <c r="M42" s="137"/>
      <c r="N42" s="137"/>
      <c r="O42" s="137"/>
      <c r="P42" s="137"/>
      <c r="Q42" s="137"/>
      <c r="R42" s="137"/>
      <c r="S42" s="137"/>
      <c r="T42" s="137"/>
      <c r="U42" s="137"/>
      <c r="V42" s="137"/>
      <c r="W42" s="137"/>
      <c r="X42" s="137"/>
      <c r="Y42" s="137"/>
      <c r="Z42" s="137"/>
      <c r="AA42" s="137"/>
      <c r="AB42" s="137"/>
      <c r="AC42" s="137"/>
    </row>
    <row r="43" spans="1:29" ht="15.75" thickBot="1" x14ac:dyDescent="0.3">
      <c r="A43" s="137"/>
      <c r="B43" s="1234"/>
      <c r="C43" s="1235"/>
      <c r="D43" s="1235"/>
      <c r="E43" s="1235"/>
      <c r="F43" s="1235"/>
      <c r="G43" s="1235"/>
      <c r="H43" s="1235"/>
      <c r="I43" s="1236"/>
      <c r="J43" s="137"/>
      <c r="K43" s="137"/>
      <c r="L43" s="137"/>
      <c r="M43" s="137"/>
      <c r="N43" s="137"/>
      <c r="O43" s="137"/>
      <c r="P43" s="137"/>
      <c r="Q43" s="137"/>
      <c r="R43" s="137"/>
      <c r="S43" s="137"/>
      <c r="T43" s="137"/>
      <c r="U43" s="137"/>
      <c r="V43" s="137"/>
      <c r="W43" s="137"/>
      <c r="X43" s="137"/>
      <c r="Y43" s="137"/>
      <c r="Z43" s="137"/>
      <c r="AA43" s="137"/>
      <c r="AB43" s="137"/>
      <c r="AC43" s="137"/>
    </row>
    <row r="44" spans="1:29" x14ac:dyDescent="0.25">
      <c r="A44" s="137"/>
      <c r="B44" s="137"/>
      <c r="C44" s="137"/>
      <c r="D44" s="137"/>
      <c r="E44" s="137"/>
      <c r="F44" s="137"/>
      <c r="G44" s="137"/>
      <c r="H44" s="137"/>
      <c r="I44" s="137"/>
      <c r="J44" s="137"/>
      <c r="K44" s="137"/>
      <c r="L44" s="137"/>
      <c r="M44" s="137"/>
      <c r="N44" s="137"/>
      <c r="O44" s="137"/>
      <c r="P44" s="137"/>
      <c r="Q44" s="137"/>
      <c r="R44" s="137"/>
      <c r="S44" s="137"/>
      <c r="T44" s="137"/>
      <c r="U44" s="137"/>
      <c r="V44" s="137"/>
      <c r="W44" s="137"/>
      <c r="X44" s="137"/>
      <c r="Y44" s="137"/>
      <c r="Z44" s="137"/>
      <c r="AA44" s="137"/>
      <c r="AB44" s="137"/>
      <c r="AC44" s="137"/>
    </row>
    <row r="45" spans="1:29" x14ac:dyDescent="0.25">
      <c r="A45" s="137"/>
      <c r="B45" s="137"/>
      <c r="C45" s="137"/>
      <c r="D45" s="137"/>
      <c r="E45" s="137"/>
      <c r="F45" s="137"/>
      <c r="G45" s="137"/>
      <c r="H45" s="137"/>
      <c r="I45" s="137"/>
      <c r="J45" s="137"/>
      <c r="K45" s="137"/>
      <c r="L45" s="137"/>
      <c r="M45" s="137"/>
      <c r="N45" s="137"/>
      <c r="O45" s="137"/>
      <c r="P45" s="137"/>
      <c r="Q45" s="137"/>
      <c r="R45" s="137"/>
      <c r="S45" s="137"/>
      <c r="T45" s="137"/>
      <c r="U45" s="137"/>
      <c r="V45" s="137"/>
      <c r="W45" s="137"/>
      <c r="X45" s="137"/>
      <c r="Y45" s="137"/>
      <c r="Z45" s="137"/>
      <c r="AA45" s="137"/>
      <c r="AB45" s="137"/>
      <c r="AC45" s="137"/>
    </row>
    <row r="46" spans="1:29" x14ac:dyDescent="0.25">
      <c r="A46" s="137"/>
      <c r="B46" s="137"/>
      <c r="C46" s="137"/>
      <c r="D46" s="137"/>
      <c r="E46" s="137"/>
      <c r="F46" s="137"/>
      <c r="G46" s="137"/>
      <c r="H46" s="137"/>
      <c r="I46" s="137"/>
      <c r="J46" s="137"/>
      <c r="K46" s="137"/>
      <c r="L46" s="137"/>
      <c r="M46" s="137"/>
      <c r="N46" s="137"/>
      <c r="O46" s="137"/>
      <c r="P46" s="137"/>
      <c r="Q46" s="137"/>
      <c r="R46" s="137"/>
      <c r="S46" s="137"/>
      <c r="T46" s="137"/>
      <c r="U46" s="137"/>
      <c r="V46" s="137"/>
      <c r="W46" s="137"/>
      <c r="X46" s="137"/>
      <c r="Y46" s="137"/>
      <c r="Z46" s="137"/>
      <c r="AA46" s="137"/>
      <c r="AB46" s="137"/>
      <c r="AC46" s="137"/>
    </row>
    <row r="47" spans="1:29" x14ac:dyDescent="0.25">
      <c r="A47" s="137"/>
      <c r="B47" s="137"/>
      <c r="C47" s="137"/>
      <c r="D47" s="137"/>
      <c r="E47" s="137"/>
      <c r="F47" s="137"/>
      <c r="G47" s="137"/>
      <c r="H47" s="137"/>
      <c r="I47" s="137"/>
      <c r="J47" s="137"/>
      <c r="K47" s="137"/>
      <c r="L47" s="137"/>
      <c r="M47" s="137"/>
      <c r="N47" s="137"/>
      <c r="O47" s="137"/>
      <c r="P47" s="137"/>
      <c r="Q47" s="137"/>
      <c r="R47" s="137"/>
      <c r="S47" s="137"/>
      <c r="T47" s="137"/>
      <c r="U47" s="137"/>
      <c r="V47" s="137"/>
      <c r="W47" s="137"/>
      <c r="X47" s="137"/>
      <c r="Y47" s="137"/>
      <c r="Z47" s="137"/>
      <c r="AA47" s="137"/>
      <c r="AB47" s="137"/>
      <c r="AC47" s="137"/>
    </row>
    <row r="48" spans="1:29" x14ac:dyDescent="0.25">
      <c r="A48" s="144"/>
      <c r="B48" s="137"/>
      <c r="C48" s="137"/>
      <c r="D48" s="137"/>
      <c r="E48" s="137"/>
      <c r="F48" s="137"/>
      <c r="G48" s="137"/>
      <c r="H48" s="137"/>
      <c r="I48" s="137"/>
      <c r="J48" s="144"/>
      <c r="K48" s="137"/>
      <c r="L48" s="137"/>
      <c r="M48" s="137"/>
      <c r="N48" s="137"/>
      <c r="O48" s="137"/>
      <c r="P48" s="137"/>
      <c r="Q48" s="137"/>
      <c r="R48" s="137"/>
      <c r="S48" s="137"/>
      <c r="T48" s="137"/>
      <c r="U48" s="137"/>
      <c r="V48" s="137"/>
      <c r="W48" s="137"/>
      <c r="X48" s="137"/>
      <c r="Y48" s="137"/>
      <c r="Z48" s="137"/>
      <c r="AA48" s="137"/>
      <c r="AB48" s="137"/>
      <c r="AC48" s="137"/>
    </row>
    <row r="49" spans="1:29" x14ac:dyDescent="0.25">
      <c r="A49" s="144"/>
      <c r="B49" s="137"/>
      <c r="C49" s="137"/>
      <c r="D49" s="137"/>
      <c r="E49" s="137"/>
      <c r="F49" s="137"/>
      <c r="G49" s="137"/>
      <c r="H49" s="137"/>
      <c r="I49" s="137"/>
      <c r="J49" s="144"/>
      <c r="K49" s="137"/>
      <c r="L49" s="137"/>
      <c r="M49" s="137"/>
      <c r="N49" s="137"/>
      <c r="O49" s="137"/>
      <c r="P49" s="137"/>
      <c r="Q49" s="137"/>
      <c r="R49" s="137"/>
      <c r="S49" s="137"/>
      <c r="T49" s="137"/>
      <c r="U49" s="137"/>
      <c r="V49" s="137"/>
      <c r="W49" s="137"/>
      <c r="X49" s="137"/>
      <c r="Y49" s="137"/>
      <c r="Z49" s="137"/>
      <c r="AA49" s="137"/>
      <c r="AB49" s="137"/>
      <c r="AC49" s="137"/>
    </row>
    <row r="50" spans="1:29" x14ac:dyDescent="0.25">
      <c r="A50" s="144"/>
      <c r="B50" s="137"/>
      <c r="C50" s="137"/>
      <c r="D50" s="137"/>
      <c r="E50" s="137"/>
      <c r="F50" s="137"/>
      <c r="G50" s="137"/>
      <c r="H50" s="137"/>
      <c r="I50" s="137"/>
      <c r="J50" s="144"/>
      <c r="K50" s="137"/>
      <c r="L50" s="137"/>
      <c r="M50" s="137"/>
      <c r="N50" s="137"/>
      <c r="O50" s="137"/>
      <c r="P50" s="137"/>
      <c r="Q50" s="137"/>
      <c r="R50" s="137"/>
      <c r="S50" s="137"/>
      <c r="T50" s="137"/>
      <c r="U50" s="137"/>
      <c r="V50" s="137"/>
      <c r="W50" s="137"/>
      <c r="X50" s="137"/>
      <c r="Y50" s="137"/>
      <c r="Z50" s="137"/>
      <c r="AA50" s="137"/>
      <c r="AB50" s="137"/>
      <c r="AC50" s="137"/>
    </row>
    <row r="51" spans="1:29" x14ac:dyDescent="0.25">
      <c r="A51" s="144"/>
      <c r="B51" s="144"/>
      <c r="C51" s="144"/>
      <c r="D51" s="144"/>
      <c r="E51" s="144"/>
      <c r="F51" s="144"/>
      <c r="G51" s="144"/>
      <c r="H51" s="144"/>
      <c r="I51" s="144"/>
      <c r="J51" s="144"/>
      <c r="K51" s="137"/>
      <c r="L51" s="137"/>
      <c r="M51" s="137"/>
      <c r="N51" s="137"/>
      <c r="O51" s="137"/>
      <c r="P51" s="137"/>
      <c r="Q51" s="137"/>
      <c r="R51" s="137"/>
      <c r="S51" s="137"/>
      <c r="T51" s="137"/>
      <c r="U51" s="137"/>
      <c r="V51" s="137"/>
      <c r="W51" s="137"/>
      <c r="X51" s="137"/>
      <c r="Y51" s="137"/>
      <c r="Z51" s="137"/>
      <c r="AA51" s="137"/>
      <c r="AB51" s="137"/>
      <c r="AC51" s="137"/>
    </row>
    <row r="52" spans="1:29" x14ac:dyDescent="0.25">
      <c r="A52" s="144"/>
      <c r="B52" s="144"/>
      <c r="C52" s="144"/>
      <c r="D52" s="144"/>
      <c r="E52" s="144"/>
      <c r="F52" s="144"/>
      <c r="G52" s="144"/>
      <c r="H52" s="144"/>
      <c r="I52" s="144"/>
      <c r="J52" s="144"/>
      <c r="K52" s="137"/>
      <c r="L52" s="137"/>
      <c r="M52" s="137"/>
      <c r="N52" s="137"/>
      <c r="O52" s="137"/>
      <c r="P52" s="137"/>
      <c r="Q52" s="137"/>
      <c r="R52" s="137"/>
      <c r="S52" s="137"/>
      <c r="T52" s="137"/>
      <c r="U52" s="137"/>
      <c r="V52" s="137"/>
      <c r="W52" s="137"/>
      <c r="X52" s="137"/>
      <c r="Y52" s="137"/>
      <c r="Z52" s="137"/>
      <c r="AA52" s="137"/>
      <c r="AB52" s="137"/>
      <c r="AC52" s="137"/>
    </row>
    <row r="53" spans="1:29" x14ac:dyDescent="0.25">
      <c r="A53" s="144"/>
      <c r="B53" s="144"/>
      <c r="C53" s="144"/>
      <c r="D53" s="144"/>
      <c r="E53" s="144"/>
      <c r="F53" s="144"/>
      <c r="G53" s="144"/>
      <c r="H53" s="144"/>
      <c r="I53" s="144"/>
      <c r="J53" s="144"/>
      <c r="K53" s="137"/>
      <c r="L53" s="137"/>
      <c r="M53" s="137"/>
      <c r="N53" s="137"/>
      <c r="O53" s="137"/>
      <c r="P53" s="137"/>
      <c r="Q53" s="137"/>
      <c r="R53" s="137"/>
      <c r="S53" s="137"/>
      <c r="T53" s="137"/>
      <c r="U53" s="137"/>
      <c r="V53" s="137"/>
      <c r="W53" s="137"/>
      <c r="X53" s="137"/>
      <c r="Y53" s="137"/>
      <c r="Z53" s="137"/>
      <c r="AA53" s="137"/>
      <c r="AB53" s="137"/>
      <c r="AC53" s="137"/>
    </row>
    <row r="54" spans="1:29" x14ac:dyDescent="0.25">
      <c r="A54" s="144"/>
      <c r="B54" s="144"/>
      <c r="C54" s="144"/>
      <c r="D54" s="144"/>
      <c r="E54" s="144"/>
      <c r="F54" s="144"/>
      <c r="G54" s="144"/>
      <c r="H54" s="144"/>
      <c r="I54" s="144"/>
      <c r="J54" s="144"/>
      <c r="K54" s="137"/>
      <c r="L54" s="137"/>
      <c r="M54" s="137"/>
      <c r="N54" s="137"/>
      <c r="O54" s="137"/>
      <c r="P54" s="137"/>
      <c r="Q54" s="137"/>
      <c r="R54" s="137"/>
      <c r="S54" s="137"/>
      <c r="T54" s="137"/>
      <c r="U54" s="137"/>
      <c r="V54" s="137"/>
      <c r="W54" s="137"/>
      <c r="X54" s="137"/>
      <c r="Y54" s="137"/>
      <c r="Z54" s="137"/>
      <c r="AA54" s="137"/>
      <c r="AB54" s="137"/>
      <c r="AC54" s="137"/>
    </row>
    <row r="55" spans="1:29" x14ac:dyDescent="0.25">
      <c r="A55" s="144"/>
      <c r="B55" s="144"/>
      <c r="C55" s="144"/>
      <c r="D55" s="144"/>
      <c r="E55" s="144"/>
      <c r="F55" s="144"/>
      <c r="G55" s="144"/>
      <c r="H55" s="144"/>
      <c r="I55" s="144"/>
      <c r="J55" s="144"/>
      <c r="K55" s="137"/>
      <c r="L55" s="137"/>
      <c r="M55" s="137"/>
      <c r="N55" s="137"/>
      <c r="O55" s="137"/>
      <c r="P55" s="137"/>
      <c r="Q55" s="137"/>
      <c r="R55" s="137"/>
      <c r="S55" s="137"/>
      <c r="T55" s="137"/>
      <c r="U55" s="137"/>
      <c r="V55" s="137"/>
      <c r="W55" s="137"/>
      <c r="X55" s="137"/>
      <c r="Y55" s="137"/>
      <c r="Z55" s="137"/>
      <c r="AA55" s="137"/>
      <c r="AB55" s="137"/>
      <c r="AC55" s="137"/>
    </row>
    <row r="56" spans="1:29" x14ac:dyDescent="0.25">
      <c r="A56" s="144"/>
      <c r="B56" s="144"/>
      <c r="C56" s="144"/>
      <c r="D56" s="144"/>
      <c r="E56" s="144"/>
      <c r="F56" s="144"/>
      <c r="G56" s="144"/>
      <c r="H56" s="144"/>
      <c r="I56" s="144"/>
      <c r="J56" s="144"/>
      <c r="K56" s="137"/>
      <c r="L56" s="137"/>
      <c r="M56" s="137"/>
      <c r="N56" s="137"/>
      <c r="O56" s="137"/>
      <c r="P56" s="137"/>
      <c r="Q56" s="137"/>
      <c r="R56" s="137"/>
      <c r="S56" s="137"/>
      <c r="T56" s="137"/>
      <c r="U56" s="137"/>
      <c r="V56" s="137"/>
      <c r="W56" s="137"/>
      <c r="X56" s="137"/>
      <c r="Y56" s="137"/>
      <c r="Z56" s="137"/>
      <c r="AA56" s="137"/>
      <c r="AB56" s="137"/>
      <c r="AC56" s="137"/>
    </row>
    <row r="57" spans="1:29" x14ac:dyDescent="0.25">
      <c r="A57" s="144"/>
      <c r="B57" s="144"/>
      <c r="C57" s="144"/>
      <c r="D57" s="144"/>
      <c r="E57" s="144"/>
      <c r="F57" s="144"/>
      <c r="G57" s="144"/>
      <c r="H57" s="144"/>
      <c r="I57" s="144"/>
      <c r="J57" s="144"/>
      <c r="K57" s="137"/>
      <c r="L57" s="137"/>
      <c r="M57" s="137"/>
      <c r="N57" s="137"/>
      <c r="O57" s="137"/>
      <c r="P57" s="137"/>
      <c r="Q57" s="137"/>
      <c r="R57" s="137"/>
      <c r="S57" s="137"/>
      <c r="T57" s="137"/>
      <c r="U57" s="137"/>
      <c r="V57" s="137"/>
      <c r="W57" s="137"/>
      <c r="X57" s="137"/>
      <c r="Y57" s="137"/>
      <c r="Z57" s="137"/>
      <c r="AA57" s="137"/>
      <c r="AB57" s="137"/>
      <c r="AC57" s="137"/>
    </row>
    <row r="58" spans="1:29" x14ac:dyDescent="0.25">
      <c r="A58" s="144"/>
      <c r="B58" s="144"/>
      <c r="C58" s="144"/>
      <c r="D58" s="144"/>
      <c r="E58" s="144"/>
      <c r="F58" s="144"/>
      <c r="G58" s="144"/>
      <c r="H58" s="144"/>
      <c r="I58" s="144"/>
      <c r="J58" s="144"/>
      <c r="K58" s="137"/>
      <c r="L58" s="137"/>
      <c r="M58" s="137"/>
      <c r="N58" s="137"/>
      <c r="O58" s="137"/>
      <c r="P58" s="137"/>
      <c r="Q58" s="137"/>
      <c r="R58" s="137"/>
      <c r="S58" s="137"/>
      <c r="T58" s="137"/>
      <c r="U58" s="137"/>
      <c r="V58" s="137"/>
      <c r="W58" s="137"/>
      <c r="X58" s="137"/>
      <c r="Y58" s="137"/>
      <c r="Z58" s="137"/>
      <c r="AA58" s="137"/>
      <c r="AB58" s="137"/>
      <c r="AC58" s="137"/>
    </row>
    <row r="59" spans="1:29" x14ac:dyDescent="0.25">
      <c r="A59" s="137"/>
      <c r="B59" s="144"/>
      <c r="C59" s="144"/>
      <c r="D59" s="144"/>
      <c r="E59" s="144"/>
      <c r="F59" s="144"/>
      <c r="G59" s="144"/>
      <c r="H59" s="144"/>
      <c r="I59" s="144"/>
      <c r="J59" s="137"/>
      <c r="K59" s="137"/>
      <c r="L59" s="137"/>
      <c r="M59" s="137"/>
      <c r="N59" s="137"/>
      <c r="O59" s="137"/>
      <c r="P59" s="137"/>
      <c r="Q59" s="137"/>
      <c r="R59" s="137"/>
      <c r="S59" s="137"/>
      <c r="T59" s="137"/>
      <c r="U59" s="137"/>
      <c r="V59" s="137"/>
      <c r="W59" s="137"/>
      <c r="X59" s="137"/>
      <c r="Y59" s="137"/>
      <c r="Z59" s="137"/>
      <c r="AA59" s="137"/>
      <c r="AB59" s="137"/>
      <c r="AC59" s="137"/>
    </row>
    <row r="60" spans="1:29" x14ac:dyDescent="0.25">
      <c r="A60" s="137"/>
      <c r="B60" s="144"/>
      <c r="C60" s="144"/>
      <c r="D60" s="144"/>
      <c r="E60" s="144"/>
      <c r="F60" s="144"/>
      <c r="G60" s="144"/>
      <c r="H60" s="144"/>
      <c r="I60" s="144"/>
      <c r="J60" s="137"/>
      <c r="K60" s="137"/>
      <c r="L60" s="137"/>
      <c r="M60" s="137"/>
      <c r="N60" s="137"/>
      <c r="O60" s="137"/>
      <c r="P60" s="137"/>
      <c r="Q60" s="137"/>
      <c r="R60" s="137"/>
      <c r="S60" s="137"/>
      <c r="T60" s="137"/>
      <c r="U60" s="137"/>
      <c r="V60" s="137"/>
      <c r="W60" s="137"/>
      <c r="X60" s="137"/>
      <c r="Y60" s="137"/>
      <c r="Z60" s="137"/>
      <c r="AA60" s="137"/>
      <c r="AB60" s="137"/>
      <c r="AC60" s="137"/>
    </row>
    <row r="61" spans="1:29" x14ac:dyDescent="0.25">
      <c r="A61" s="137"/>
      <c r="B61" s="144"/>
      <c r="C61" s="144"/>
      <c r="D61" s="144"/>
      <c r="E61" s="144"/>
      <c r="F61" s="144"/>
      <c r="G61" s="144"/>
      <c r="H61" s="144"/>
      <c r="I61" s="144"/>
      <c r="J61" s="137"/>
      <c r="K61" s="137"/>
      <c r="L61" s="137"/>
      <c r="M61" s="137"/>
      <c r="N61" s="137"/>
      <c r="O61" s="137"/>
      <c r="P61" s="137"/>
      <c r="Q61" s="137"/>
      <c r="R61" s="137"/>
      <c r="S61" s="137"/>
      <c r="T61" s="137"/>
      <c r="U61" s="137"/>
      <c r="V61" s="137"/>
      <c r="W61" s="137"/>
      <c r="X61" s="137"/>
      <c r="Y61" s="137"/>
      <c r="Z61" s="137"/>
      <c r="AA61" s="137"/>
      <c r="AB61" s="137"/>
      <c r="AC61" s="137"/>
    </row>
    <row r="62" spans="1:29" x14ac:dyDescent="0.25">
      <c r="A62" s="137"/>
      <c r="B62" s="137"/>
      <c r="C62" s="137"/>
      <c r="D62" s="137"/>
      <c r="E62" s="137"/>
      <c r="F62" s="137"/>
      <c r="G62" s="137"/>
      <c r="H62" s="137"/>
      <c r="I62" s="137"/>
      <c r="J62" s="137"/>
      <c r="K62" s="137"/>
      <c r="L62" s="137"/>
      <c r="M62" s="137"/>
      <c r="N62" s="137"/>
      <c r="O62" s="137"/>
      <c r="P62" s="137"/>
      <c r="Q62" s="137"/>
      <c r="R62" s="137"/>
      <c r="S62" s="137"/>
      <c r="T62" s="137"/>
      <c r="U62" s="137"/>
      <c r="V62" s="137"/>
      <c r="W62" s="137"/>
      <c r="X62" s="137"/>
      <c r="Y62" s="137"/>
      <c r="Z62" s="137"/>
      <c r="AA62" s="137"/>
      <c r="AB62" s="137"/>
      <c r="AC62" s="137"/>
    </row>
    <row r="63" spans="1:29" x14ac:dyDescent="0.25">
      <c r="A63" s="137"/>
      <c r="B63" s="137"/>
      <c r="C63" s="137"/>
      <c r="D63" s="137"/>
      <c r="E63" s="137"/>
      <c r="F63" s="137"/>
      <c r="G63" s="137"/>
      <c r="H63" s="137"/>
      <c r="I63" s="137"/>
      <c r="J63" s="137"/>
      <c r="K63" s="137"/>
      <c r="L63" s="137"/>
      <c r="M63" s="137"/>
      <c r="N63" s="137"/>
      <c r="O63" s="137"/>
      <c r="P63" s="137"/>
      <c r="Q63" s="137"/>
      <c r="R63" s="137"/>
      <c r="S63" s="137"/>
      <c r="T63" s="137"/>
      <c r="U63" s="137"/>
      <c r="V63" s="137"/>
      <c r="W63" s="137"/>
      <c r="X63" s="137"/>
      <c r="Y63" s="137"/>
      <c r="Z63" s="137"/>
      <c r="AA63" s="137"/>
      <c r="AB63" s="137"/>
      <c r="AC63" s="137"/>
    </row>
    <row r="64" spans="1:29" x14ac:dyDescent="0.25">
      <c r="A64" s="137"/>
      <c r="B64" s="137"/>
      <c r="C64" s="137"/>
      <c r="D64" s="137"/>
      <c r="E64" s="137"/>
      <c r="F64" s="137"/>
      <c r="G64" s="137"/>
      <c r="H64" s="137"/>
      <c r="I64" s="137"/>
      <c r="J64" s="137"/>
      <c r="K64" s="137"/>
      <c r="L64" s="137"/>
      <c r="M64" s="137"/>
      <c r="N64" s="137"/>
      <c r="O64" s="137"/>
      <c r="P64" s="137"/>
      <c r="Q64" s="137"/>
      <c r="R64" s="137"/>
      <c r="S64" s="137"/>
      <c r="T64" s="137"/>
      <c r="U64" s="137"/>
      <c r="V64" s="137"/>
      <c r="W64" s="137"/>
      <c r="X64" s="137"/>
      <c r="Y64" s="137"/>
      <c r="Z64" s="137"/>
      <c r="AA64" s="137"/>
      <c r="AB64" s="137"/>
      <c r="AC64" s="137"/>
    </row>
    <row r="65" spans="1:29" x14ac:dyDescent="0.25">
      <c r="A65" s="137"/>
      <c r="B65" s="137"/>
      <c r="C65" s="137"/>
      <c r="D65" s="137"/>
      <c r="E65" s="137"/>
      <c r="F65" s="137"/>
      <c r="G65" s="137"/>
      <c r="H65" s="137"/>
      <c r="I65" s="137"/>
      <c r="J65" s="137"/>
      <c r="K65" s="137"/>
      <c r="L65" s="137"/>
      <c r="M65" s="137"/>
      <c r="N65" s="137"/>
      <c r="O65" s="137"/>
      <c r="P65" s="137"/>
      <c r="Q65" s="137"/>
      <c r="R65" s="137"/>
      <c r="S65" s="137"/>
      <c r="T65" s="137"/>
      <c r="U65" s="137"/>
      <c r="V65" s="137"/>
      <c r="W65" s="137"/>
      <c r="X65" s="137"/>
      <c r="Y65" s="137"/>
      <c r="Z65" s="137"/>
      <c r="AA65" s="137"/>
      <c r="AB65" s="137"/>
      <c r="AC65" s="137"/>
    </row>
    <row r="66" spans="1:29" x14ac:dyDescent="0.25">
      <c r="A66" s="137"/>
      <c r="B66" s="137"/>
      <c r="C66" s="137"/>
      <c r="D66" s="137"/>
      <c r="E66" s="137"/>
      <c r="F66" s="137"/>
      <c r="G66" s="137"/>
      <c r="H66" s="137"/>
      <c r="I66" s="137"/>
      <c r="J66" s="137"/>
      <c r="K66" s="137"/>
      <c r="L66" s="137"/>
      <c r="M66" s="137"/>
      <c r="N66" s="137"/>
      <c r="O66" s="137"/>
      <c r="P66" s="137"/>
      <c r="Q66" s="137"/>
      <c r="R66" s="137"/>
      <c r="S66" s="137"/>
      <c r="T66" s="137"/>
      <c r="U66" s="137"/>
      <c r="V66" s="137"/>
      <c r="W66" s="137"/>
      <c r="X66" s="137"/>
      <c r="Y66" s="137"/>
      <c r="Z66" s="137"/>
      <c r="AA66" s="137"/>
      <c r="AB66" s="137"/>
      <c r="AC66" s="137"/>
    </row>
    <row r="67" spans="1:29" x14ac:dyDescent="0.25">
      <c r="A67" s="137"/>
      <c r="B67" s="137"/>
      <c r="C67" s="137"/>
      <c r="D67" s="137"/>
      <c r="E67" s="137"/>
      <c r="F67" s="137"/>
      <c r="G67" s="137"/>
      <c r="H67" s="137"/>
      <c r="I67" s="137"/>
      <c r="J67" s="137"/>
      <c r="K67" s="137"/>
      <c r="L67" s="137"/>
      <c r="M67" s="137"/>
      <c r="N67" s="137"/>
      <c r="O67" s="137"/>
      <c r="P67" s="137"/>
      <c r="Q67" s="137"/>
      <c r="R67" s="137"/>
      <c r="S67" s="137"/>
      <c r="T67" s="137"/>
      <c r="U67" s="137"/>
      <c r="V67" s="137"/>
      <c r="W67" s="137"/>
      <c r="X67" s="137"/>
      <c r="Y67" s="137"/>
      <c r="Z67" s="137"/>
      <c r="AA67" s="137"/>
      <c r="AB67" s="137"/>
      <c r="AC67" s="137"/>
    </row>
    <row r="68" spans="1:29" x14ac:dyDescent="0.25">
      <c r="A68" s="137"/>
      <c r="B68" s="137"/>
      <c r="C68" s="137"/>
      <c r="D68" s="137"/>
      <c r="E68" s="137"/>
      <c r="F68" s="137"/>
      <c r="G68" s="137"/>
      <c r="H68" s="137"/>
      <c r="I68" s="137"/>
      <c r="J68" s="137"/>
      <c r="K68" s="137"/>
      <c r="L68" s="137"/>
      <c r="M68" s="137"/>
      <c r="N68" s="137"/>
      <c r="O68" s="137"/>
      <c r="P68" s="137"/>
      <c r="Q68" s="137"/>
      <c r="R68" s="137"/>
      <c r="S68" s="137"/>
      <c r="T68" s="137"/>
      <c r="U68" s="137"/>
      <c r="V68" s="137"/>
      <c r="W68" s="137"/>
      <c r="X68" s="137"/>
      <c r="Y68" s="137"/>
      <c r="Z68" s="137"/>
      <c r="AA68" s="137"/>
      <c r="AB68" s="137"/>
      <c r="AC68" s="137"/>
    </row>
    <row r="69" spans="1:29" x14ac:dyDescent="0.25">
      <c r="A69" s="137"/>
      <c r="B69" s="137"/>
      <c r="C69" s="137"/>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137"/>
      <c r="AB69" s="137"/>
      <c r="AC69" s="137"/>
    </row>
    <row r="70" spans="1:29" x14ac:dyDescent="0.25">
      <c r="A70" s="137"/>
      <c r="B70" s="137"/>
      <c r="C70" s="137"/>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137"/>
      <c r="AB70" s="137"/>
      <c r="AC70" s="137"/>
    </row>
    <row r="71" spans="1:29" x14ac:dyDescent="0.25">
      <c r="A71" s="137"/>
      <c r="B71" s="137"/>
      <c r="C71" s="137"/>
      <c r="D71" s="137"/>
      <c r="E71" s="137"/>
      <c r="F71" s="137"/>
      <c r="G71" s="137"/>
      <c r="H71" s="137"/>
      <c r="I71" s="137"/>
      <c r="J71" s="137"/>
      <c r="K71" s="137"/>
      <c r="L71" s="137"/>
      <c r="M71" s="137"/>
      <c r="N71" s="137"/>
      <c r="O71" s="137"/>
      <c r="P71" s="137"/>
      <c r="Q71" s="137"/>
      <c r="R71" s="137"/>
      <c r="S71" s="137"/>
      <c r="T71" s="137"/>
      <c r="U71" s="137"/>
      <c r="V71" s="137"/>
      <c r="W71" s="137"/>
      <c r="X71" s="137"/>
      <c r="Y71" s="137"/>
      <c r="Z71" s="137"/>
      <c r="AA71" s="137"/>
      <c r="AB71" s="137"/>
      <c r="AC71" s="137"/>
    </row>
    <row r="72" spans="1:29" x14ac:dyDescent="0.25">
      <c r="A72" s="137"/>
      <c r="B72" s="137"/>
      <c r="C72" s="137"/>
      <c r="D72" s="137"/>
      <c r="E72" s="137"/>
      <c r="F72" s="137"/>
      <c r="G72" s="137"/>
      <c r="H72" s="137"/>
      <c r="I72" s="137"/>
      <c r="J72" s="137"/>
      <c r="K72" s="137"/>
      <c r="L72" s="137"/>
      <c r="M72" s="137"/>
      <c r="N72" s="137"/>
      <c r="O72" s="137"/>
      <c r="P72" s="137"/>
      <c r="Q72" s="137"/>
      <c r="R72" s="137"/>
      <c r="S72" s="137"/>
      <c r="T72" s="137"/>
      <c r="U72" s="137"/>
      <c r="V72" s="137"/>
      <c r="W72" s="137"/>
      <c r="X72" s="137"/>
      <c r="Y72" s="137"/>
      <c r="Z72" s="137"/>
      <c r="AA72" s="137"/>
      <c r="AB72" s="137"/>
      <c r="AC72" s="137"/>
    </row>
    <row r="73" spans="1:29" x14ac:dyDescent="0.25">
      <c r="A73" s="137"/>
      <c r="B73" s="137"/>
      <c r="C73" s="137"/>
      <c r="D73" s="137"/>
      <c r="E73" s="137"/>
      <c r="F73" s="137"/>
      <c r="G73" s="137"/>
      <c r="H73" s="137"/>
      <c r="I73" s="137"/>
      <c r="J73" s="137"/>
      <c r="K73" s="137"/>
      <c r="L73" s="137"/>
      <c r="M73" s="137"/>
      <c r="N73" s="137"/>
      <c r="O73" s="137"/>
      <c r="P73" s="137"/>
      <c r="Q73" s="137"/>
      <c r="R73" s="137"/>
      <c r="S73" s="137"/>
      <c r="T73" s="137"/>
      <c r="U73" s="137"/>
      <c r="V73" s="137"/>
      <c r="W73" s="137"/>
      <c r="X73" s="137"/>
      <c r="Y73" s="137"/>
      <c r="Z73" s="137"/>
      <c r="AA73" s="137"/>
      <c r="AB73" s="137"/>
      <c r="AC73" s="137"/>
    </row>
    <row r="74" spans="1:29" x14ac:dyDescent="0.25">
      <c r="A74" s="137"/>
      <c r="B74" s="137"/>
      <c r="C74" s="137"/>
      <c r="D74" s="137"/>
      <c r="E74" s="137"/>
      <c r="F74" s="137"/>
      <c r="G74" s="137"/>
      <c r="H74" s="137"/>
      <c r="I74" s="137"/>
      <c r="J74" s="137"/>
      <c r="K74" s="137"/>
      <c r="L74" s="137"/>
      <c r="M74" s="137"/>
      <c r="N74" s="137"/>
      <c r="O74" s="137"/>
      <c r="P74" s="137"/>
      <c r="Q74" s="137"/>
      <c r="R74" s="137"/>
      <c r="S74" s="137"/>
      <c r="T74" s="137"/>
      <c r="U74" s="137"/>
      <c r="V74" s="137"/>
      <c r="W74" s="137"/>
      <c r="X74" s="137"/>
      <c r="Y74" s="137"/>
      <c r="Z74" s="137"/>
      <c r="AA74" s="137"/>
      <c r="AB74" s="137"/>
      <c r="AC74" s="137"/>
    </row>
    <row r="75" spans="1:29" x14ac:dyDescent="0.25">
      <c r="A75" s="137"/>
      <c r="B75" s="137"/>
      <c r="C75" s="137"/>
      <c r="D75" s="137"/>
      <c r="E75" s="137"/>
      <c r="F75" s="137"/>
      <c r="G75" s="137"/>
      <c r="H75" s="137"/>
      <c r="I75" s="137"/>
      <c r="J75" s="137"/>
      <c r="K75" s="137"/>
      <c r="L75" s="137"/>
      <c r="M75" s="137"/>
      <c r="N75" s="137"/>
      <c r="O75" s="137"/>
      <c r="P75" s="137"/>
      <c r="Q75" s="137"/>
      <c r="R75" s="137"/>
      <c r="S75" s="137"/>
      <c r="T75" s="137"/>
      <c r="U75" s="137"/>
      <c r="V75" s="137"/>
      <c r="W75" s="137"/>
      <c r="X75" s="137"/>
      <c r="Y75" s="137"/>
      <c r="Z75" s="137"/>
      <c r="AA75" s="137"/>
      <c r="AB75" s="137"/>
      <c r="AC75" s="137"/>
    </row>
    <row r="76" spans="1:29" x14ac:dyDescent="0.25">
      <c r="A76" s="137"/>
      <c r="B76" s="137"/>
      <c r="C76" s="137"/>
      <c r="D76" s="137"/>
      <c r="E76" s="137"/>
      <c r="F76" s="137"/>
      <c r="G76" s="137"/>
      <c r="H76" s="137"/>
      <c r="I76" s="137"/>
      <c r="J76" s="137"/>
      <c r="K76" s="137"/>
      <c r="L76" s="137"/>
      <c r="M76" s="137"/>
      <c r="N76" s="137"/>
      <c r="O76" s="137"/>
      <c r="P76" s="137"/>
      <c r="Q76" s="137"/>
      <c r="R76" s="137"/>
      <c r="S76" s="137"/>
      <c r="T76" s="137"/>
      <c r="U76" s="137"/>
      <c r="V76" s="137"/>
      <c r="W76" s="137"/>
      <c r="X76" s="137"/>
      <c r="Y76" s="137"/>
      <c r="Z76" s="137"/>
      <c r="AA76" s="137"/>
      <c r="AB76" s="137"/>
      <c r="AC76" s="137"/>
    </row>
    <row r="77" spans="1:29" x14ac:dyDescent="0.25">
      <c r="A77" s="137"/>
      <c r="B77" s="137"/>
      <c r="C77" s="137"/>
      <c r="D77" s="137"/>
      <c r="E77" s="137"/>
      <c r="F77" s="137"/>
      <c r="G77" s="137"/>
      <c r="H77" s="137"/>
      <c r="I77" s="137"/>
      <c r="J77" s="137"/>
      <c r="K77" s="137"/>
      <c r="L77" s="137"/>
      <c r="M77" s="137"/>
      <c r="N77" s="137"/>
      <c r="O77" s="137"/>
      <c r="P77" s="137"/>
      <c r="Q77" s="137"/>
      <c r="R77" s="137"/>
      <c r="S77" s="137"/>
      <c r="T77" s="137"/>
      <c r="U77" s="137"/>
      <c r="V77" s="137"/>
      <c r="W77" s="137"/>
      <c r="X77" s="137"/>
      <c r="Y77" s="137"/>
      <c r="Z77" s="137"/>
      <c r="AA77" s="137"/>
      <c r="AB77" s="137"/>
      <c r="AC77" s="137"/>
    </row>
    <row r="78" spans="1:29" x14ac:dyDescent="0.25">
      <c r="A78" s="137"/>
      <c r="B78" s="137"/>
      <c r="C78" s="137"/>
      <c r="D78" s="137"/>
      <c r="E78" s="137"/>
      <c r="F78" s="137"/>
      <c r="G78" s="137"/>
      <c r="H78" s="137"/>
      <c r="I78" s="137"/>
      <c r="J78" s="137"/>
      <c r="K78" s="137"/>
      <c r="L78" s="137"/>
      <c r="M78" s="137"/>
      <c r="N78" s="137"/>
      <c r="O78" s="137"/>
      <c r="P78" s="137"/>
      <c r="Q78" s="137"/>
      <c r="R78" s="137"/>
      <c r="S78" s="137"/>
      <c r="T78" s="137"/>
      <c r="U78" s="137"/>
      <c r="V78" s="137"/>
      <c r="W78" s="137"/>
      <c r="X78" s="137"/>
      <c r="Y78" s="137"/>
      <c r="Z78" s="137"/>
      <c r="AA78" s="137"/>
      <c r="AB78" s="137"/>
      <c r="AC78" s="137"/>
    </row>
    <row r="79" spans="1:29" x14ac:dyDescent="0.25">
      <c r="A79" s="137"/>
      <c r="B79" s="137"/>
      <c r="C79" s="137"/>
      <c r="D79" s="137"/>
      <c r="E79" s="137"/>
      <c r="F79" s="137"/>
      <c r="G79" s="137"/>
      <c r="H79" s="137"/>
      <c r="I79" s="137"/>
      <c r="J79" s="137"/>
      <c r="K79" s="137"/>
      <c r="L79" s="137"/>
      <c r="M79" s="137"/>
      <c r="N79" s="137"/>
      <c r="O79" s="137"/>
      <c r="P79" s="137"/>
      <c r="Q79" s="137"/>
      <c r="R79" s="137"/>
      <c r="S79" s="137"/>
      <c r="T79" s="137"/>
      <c r="U79" s="137"/>
      <c r="V79" s="137"/>
      <c r="W79" s="137"/>
      <c r="X79" s="137"/>
      <c r="Y79" s="137"/>
      <c r="Z79" s="137"/>
      <c r="AA79" s="137"/>
      <c r="AB79" s="137"/>
      <c r="AC79" s="137"/>
    </row>
    <row r="80" spans="1:29" x14ac:dyDescent="0.25">
      <c r="A80" s="137"/>
      <c r="B80" s="137"/>
      <c r="C80" s="137"/>
      <c r="D80" s="137"/>
      <c r="E80" s="137"/>
      <c r="F80" s="137"/>
      <c r="G80" s="137"/>
      <c r="H80" s="137"/>
      <c r="I80" s="137"/>
      <c r="J80" s="137"/>
      <c r="K80" s="137"/>
      <c r="L80" s="137"/>
      <c r="M80" s="137"/>
      <c r="N80" s="137"/>
      <c r="O80" s="137"/>
      <c r="P80" s="137"/>
      <c r="Q80" s="137"/>
      <c r="R80" s="137"/>
      <c r="S80" s="137"/>
      <c r="T80" s="137"/>
      <c r="U80" s="137"/>
      <c r="V80" s="137"/>
      <c r="W80" s="137"/>
      <c r="X80" s="137"/>
      <c r="Y80" s="137"/>
      <c r="Z80" s="137"/>
      <c r="AA80" s="137"/>
      <c r="AB80" s="137"/>
      <c r="AC80" s="137"/>
    </row>
    <row r="81" spans="1:29" x14ac:dyDescent="0.25">
      <c r="A81" s="137"/>
      <c r="B81" s="137"/>
      <c r="C81" s="137"/>
      <c r="D81" s="137"/>
      <c r="E81" s="137"/>
      <c r="F81" s="137"/>
      <c r="G81" s="137"/>
      <c r="H81" s="137"/>
      <c r="I81" s="137"/>
      <c r="J81" s="137"/>
      <c r="K81" s="137"/>
      <c r="L81" s="137"/>
      <c r="M81" s="137"/>
      <c r="N81" s="137"/>
      <c r="O81" s="137"/>
      <c r="P81" s="137"/>
      <c r="Q81" s="137"/>
      <c r="R81" s="137"/>
      <c r="S81" s="137"/>
      <c r="T81" s="137"/>
      <c r="U81" s="137"/>
      <c r="V81" s="137"/>
      <c r="W81" s="137"/>
      <c r="X81" s="137"/>
      <c r="Y81" s="137"/>
      <c r="Z81" s="137"/>
      <c r="AA81" s="137"/>
      <c r="AB81" s="137"/>
      <c r="AC81" s="137"/>
    </row>
    <row r="82" spans="1:29" x14ac:dyDescent="0.25">
      <c r="A82" s="137"/>
      <c r="B82" s="137"/>
      <c r="C82" s="137"/>
      <c r="D82" s="137"/>
      <c r="E82" s="137"/>
      <c r="F82" s="137"/>
      <c r="G82" s="137"/>
      <c r="H82" s="137"/>
      <c r="I82" s="137"/>
      <c r="J82" s="137"/>
      <c r="K82" s="137"/>
      <c r="L82" s="137"/>
      <c r="M82" s="137"/>
      <c r="N82" s="137"/>
      <c r="O82" s="137"/>
      <c r="P82" s="137"/>
      <c r="Q82" s="137"/>
      <c r="R82" s="137"/>
      <c r="S82" s="137"/>
      <c r="T82" s="137"/>
      <c r="U82" s="137"/>
      <c r="V82" s="137"/>
      <c r="W82" s="137"/>
      <c r="X82" s="137"/>
      <c r="Y82" s="137"/>
      <c r="Z82" s="137"/>
      <c r="AA82" s="137"/>
      <c r="AB82" s="137"/>
      <c r="AC82" s="137"/>
    </row>
    <row r="83" spans="1:29" x14ac:dyDescent="0.25">
      <c r="A83" s="137"/>
      <c r="B83" s="137"/>
      <c r="C83" s="137"/>
      <c r="D83" s="137"/>
      <c r="E83" s="137"/>
      <c r="F83" s="137"/>
      <c r="G83" s="137"/>
      <c r="H83" s="137"/>
      <c r="I83" s="137"/>
      <c r="J83" s="137"/>
      <c r="K83" s="137"/>
      <c r="L83" s="137"/>
      <c r="M83" s="137"/>
      <c r="N83" s="137"/>
      <c r="O83" s="137"/>
      <c r="P83" s="137"/>
      <c r="Q83" s="137"/>
      <c r="R83" s="137"/>
      <c r="S83" s="137"/>
      <c r="T83" s="137"/>
      <c r="U83" s="137"/>
      <c r="V83" s="137"/>
      <c r="W83" s="137"/>
      <c r="X83" s="137"/>
      <c r="Y83" s="137"/>
      <c r="Z83" s="137"/>
      <c r="AA83" s="137"/>
      <c r="AB83" s="137"/>
      <c r="AC83" s="137"/>
    </row>
    <row r="84" spans="1:29" x14ac:dyDescent="0.25">
      <c r="A84" s="137"/>
      <c r="B84" s="137"/>
      <c r="C84" s="137"/>
      <c r="D84" s="137"/>
      <c r="E84" s="137"/>
      <c r="F84" s="137"/>
      <c r="G84" s="137"/>
      <c r="H84" s="137"/>
      <c r="I84" s="137"/>
      <c r="J84" s="137"/>
      <c r="K84" s="137"/>
      <c r="L84" s="137"/>
      <c r="M84" s="137"/>
      <c r="N84" s="137"/>
      <c r="O84" s="137"/>
      <c r="P84" s="137"/>
      <c r="Q84" s="137"/>
      <c r="R84" s="137"/>
      <c r="S84" s="137"/>
      <c r="T84" s="137"/>
      <c r="U84" s="137"/>
      <c r="V84" s="137"/>
      <c r="W84" s="137"/>
      <c r="X84" s="137"/>
      <c r="Y84" s="137"/>
      <c r="Z84" s="137"/>
      <c r="AA84" s="137"/>
      <c r="AB84" s="137"/>
      <c r="AC84" s="137"/>
    </row>
    <row r="85" spans="1:29" x14ac:dyDescent="0.25">
      <c r="A85" s="137"/>
      <c r="B85" s="137"/>
      <c r="C85" s="137"/>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137"/>
      <c r="AB85" s="137"/>
      <c r="AC85" s="137"/>
    </row>
    <row r="86" spans="1:29" x14ac:dyDescent="0.25">
      <c r="A86" s="137"/>
      <c r="B86" s="137"/>
      <c r="C86" s="137"/>
      <c r="D86" s="137"/>
      <c r="E86" s="137"/>
      <c r="F86" s="137"/>
      <c r="G86" s="137"/>
      <c r="H86" s="137"/>
      <c r="I86" s="137"/>
      <c r="J86" s="137"/>
      <c r="K86" s="137"/>
      <c r="L86" s="137"/>
      <c r="M86" s="137"/>
      <c r="N86" s="137"/>
      <c r="O86" s="137"/>
      <c r="P86" s="137"/>
      <c r="Q86" s="137"/>
      <c r="R86" s="137"/>
      <c r="S86" s="137"/>
      <c r="T86" s="137"/>
      <c r="U86" s="137"/>
      <c r="V86" s="137"/>
      <c r="W86" s="137"/>
      <c r="X86" s="137"/>
      <c r="Y86" s="137"/>
      <c r="Z86" s="137"/>
      <c r="AA86" s="137"/>
      <c r="AB86" s="137"/>
      <c r="AC86" s="137"/>
    </row>
    <row r="87" spans="1:29" x14ac:dyDescent="0.25">
      <c r="A87" s="137"/>
      <c r="B87" s="137"/>
      <c r="C87" s="137"/>
      <c r="D87" s="137"/>
      <c r="E87" s="137"/>
      <c r="F87" s="137"/>
      <c r="G87" s="137"/>
      <c r="H87" s="137"/>
      <c r="I87" s="137"/>
      <c r="J87" s="137"/>
      <c r="K87" s="137"/>
      <c r="L87" s="137"/>
      <c r="M87" s="137"/>
      <c r="N87" s="137"/>
      <c r="O87" s="137"/>
      <c r="P87" s="137"/>
      <c r="Q87" s="137"/>
      <c r="R87" s="137"/>
      <c r="S87" s="137"/>
      <c r="T87" s="137"/>
      <c r="U87" s="137"/>
      <c r="V87" s="137"/>
      <c r="W87" s="137"/>
      <c r="X87" s="137"/>
      <c r="Y87" s="137"/>
      <c r="Z87" s="137"/>
      <c r="AA87" s="137"/>
      <c r="AB87" s="137"/>
      <c r="AC87" s="137"/>
    </row>
    <row r="88" spans="1:29" x14ac:dyDescent="0.25">
      <c r="A88" s="137"/>
      <c r="B88" s="137"/>
      <c r="C88" s="137"/>
      <c r="D88" s="137"/>
      <c r="E88" s="137"/>
      <c r="F88" s="137"/>
      <c r="G88" s="137"/>
      <c r="H88" s="137"/>
      <c r="I88" s="137"/>
      <c r="J88" s="137"/>
      <c r="K88" s="137"/>
      <c r="L88" s="137"/>
      <c r="M88" s="137"/>
      <c r="N88" s="137"/>
      <c r="O88" s="137"/>
      <c r="P88" s="137"/>
      <c r="Q88" s="137"/>
      <c r="R88" s="137"/>
      <c r="S88" s="137"/>
      <c r="T88" s="137"/>
      <c r="U88" s="137"/>
      <c r="V88" s="137"/>
      <c r="W88" s="137"/>
      <c r="X88" s="137"/>
      <c r="Y88" s="137"/>
      <c r="Z88" s="137"/>
      <c r="AA88" s="137"/>
      <c r="AB88" s="137"/>
      <c r="AC88" s="137"/>
    </row>
    <row r="89" spans="1:29" x14ac:dyDescent="0.25">
      <c r="A89" s="137"/>
      <c r="B89" s="137"/>
      <c r="C89" s="137"/>
      <c r="D89" s="137"/>
      <c r="E89" s="137"/>
      <c r="F89" s="137"/>
      <c r="G89" s="137"/>
      <c r="H89" s="137"/>
      <c r="I89" s="137"/>
      <c r="J89" s="137"/>
      <c r="K89" s="137"/>
      <c r="L89" s="137"/>
      <c r="M89" s="137"/>
      <c r="N89" s="137"/>
      <c r="O89" s="137"/>
      <c r="P89" s="137"/>
      <c r="Q89" s="137"/>
      <c r="R89" s="137"/>
      <c r="S89" s="137"/>
      <c r="T89" s="137"/>
      <c r="U89" s="137"/>
      <c r="V89" s="137"/>
      <c r="W89" s="137"/>
      <c r="X89" s="137"/>
      <c r="Y89" s="137"/>
      <c r="Z89" s="137"/>
      <c r="AA89" s="137"/>
      <c r="AB89" s="137"/>
      <c r="AC89" s="137"/>
    </row>
    <row r="90" spans="1:29" x14ac:dyDescent="0.25">
      <c r="A90" s="137"/>
      <c r="B90" s="137"/>
      <c r="C90" s="137"/>
      <c r="D90" s="137"/>
      <c r="E90" s="137"/>
      <c r="F90" s="137"/>
      <c r="G90" s="137"/>
      <c r="H90" s="137"/>
      <c r="I90" s="137"/>
      <c r="J90" s="137"/>
      <c r="K90" s="137"/>
      <c r="L90" s="137"/>
      <c r="M90" s="137"/>
      <c r="N90" s="137"/>
      <c r="O90" s="137"/>
      <c r="P90" s="137"/>
      <c r="Q90" s="137"/>
      <c r="R90" s="137"/>
      <c r="S90" s="137"/>
      <c r="T90" s="137"/>
      <c r="U90" s="137"/>
      <c r="V90" s="137"/>
      <c r="W90" s="137"/>
      <c r="X90" s="137"/>
      <c r="Y90" s="137"/>
      <c r="Z90" s="137"/>
      <c r="AA90" s="137"/>
      <c r="AB90" s="137"/>
      <c r="AC90" s="137"/>
    </row>
    <row r="91" spans="1:29" x14ac:dyDescent="0.25">
      <c r="A91" s="137"/>
      <c r="B91" s="137"/>
      <c r="C91" s="137"/>
      <c r="D91" s="137"/>
      <c r="E91" s="137"/>
      <c r="F91" s="137"/>
      <c r="G91" s="137"/>
      <c r="H91" s="137"/>
      <c r="I91" s="137"/>
      <c r="J91" s="137"/>
      <c r="K91" s="137"/>
      <c r="L91" s="137"/>
      <c r="M91" s="137"/>
      <c r="N91" s="137"/>
      <c r="O91" s="137"/>
      <c r="P91" s="137"/>
      <c r="Q91" s="137"/>
      <c r="R91" s="137"/>
      <c r="S91" s="137"/>
      <c r="T91" s="137"/>
      <c r="U91" s="137"/>
      <c r="V91" s="137"/>
      <c r="W91" s="137"/>
      <c r="X91" s="137"/>
      <c r="Y91" s="137"/>
      <c r="Z91" s="137"/>
      <c r="AA91" s="137"/>
      <c r="AB91" s="137"/>
      <c r="AC91" s="137"/>
    </row>
    <row r="92" spans="1:29" x14ac:dyDescent="0.25">
      <c r="A92" s="137"/>
      <c r="B92" s="137"/>
      <c r="C92" s="137"/>
      <c r="D92" s="137"/>
      <c r="E92" s="137"/>
      <c r="F92" s="137"/>
      <c r="G92" s="137"/>
      <c r="H92" s="137"/>
      <c r="I92" s="137"/>
      <c r="J92" s="137"/>
      <c r="K92" s="137"/>
      <c r="L92" s="137"/>
      <c r="M92" s="137"/>
      <c r="N92" s="137"/>
      <c r="O92" s="137"/>
      <c r="P92" s="137"/>
      <c r="Q92" s="137"/>
      <c r="R92" s="137"/>
      <c r="S92" s="137"/>
      <c r="T92" s="137"/>
      <c r="U92" s="137"/>
      <c r="V92" s="137"/>
      <c r="W92" s="137"/>
      <c r="X92" s="137"/>
      <c r="Y92" s="137"/>
      <c r="Z92" s="137"/>
      <c r="AA92" s="137"/>
      <c r="AB92" s="137"/>
      <c r="AC92" s="137"/>
    </row>
    <row r="93" spans="1:29" x14ac:dyDescent="0.25">
      <c r="A93" s="137"/>
      <c r="B93" s="137"/>
      <c r="C93" s="137"/>
      <c r="D93" s="137"/>
      <c r="E93" s="137"/>
      <c r="F93" s="137"/>
      <c r="G93" s="137"/>
      <c r="H93" s="137"/>
      <c r="I93" s="137"/>
      <c r="J93" s="137"/>
      <c r="K93" s="137"/>
      <c r="L93" s="137"/>
      <c r="M93" s="137"/>
      <c r="N93" s="137"/>
      <c r="O93" s="137"/>
      <c r="P93" s="137"/>
      <c r="Q93" s="137"/>
      <c r="R93" s="137"/>
      <c r="S93" s="137"/>
      <c r="T93" s="137"/>
      <c r="U93" s="137"/>
      <c r="V93" s="137"/>
      <c r="W93" s="137"/>
      <c r="X93" s="137"/>
      <c r="Y93" s="137"/>
      <c r="Z93" s="137"/>
      <c r="AA93" s="137"/>
      <c r="AB93" s="137"/>
      <c r="AC93" s="137"/>
    </row>
    <row r="94" spans="1:29" x14ac:dyDescent="0.25">
      <c r="A94" s="137"/>
      <c r="B94" s="137"/>
      <c r="C94" s="137"/>
      <c r="D94" s="137"/>
      <c r="E94" s="137"/>
      <c r="F94" s="137"/>
      <c r="G94" s="137"/>
      <c r="H94" s="137"/>
      <c r="I94" s="137"/>
      <c r="J94" s="137"/>
      <c r="K94" s="137"/>
      <c r="L94" s="137"/>
      <c r="M94" s="137"/>
      <c r="N94" s="137"/>
      <c r="O94" s="137"/>
      <c r="P94" s="137"/>
      <c r="Q94" s="137"/>
      <c r="R94" s="137"/>
      <c r="S94" s="137"/>
      <c r="T94" s="137"/>
      <c r="U94" s="137"/>
      <c r="V94" s="137"/>
      <c r="W94" s="137"/>
      <c r="X94" s="137"/>
      <c r="Y94" s="137"/>
      <c r="Z94" s="137"/>
      <c r="AA94" s="137"/>
      <c r="AB94" s="137"/>
      <c r="AC94" s="137"/>
    </row>
    <row r="95" spans="1:29" x14ac:dyDescent="0.25">
      <c r="A95" s="137"/>
      <c r="B95" s="137"/>
      <c r="C95" s="137"/>
      <c r="D95" s="137"/>
      <c r="E95" s="137"/>
      <c r="F95" s="137"/>
      <c r="G95" s="137"/>
      <c r="H95" s="137"/>
      <c r="I95" s="137"/>
      <c r="J95" s="137"/>
      <c r="K95" s="137"/>
      <c r="L95" s="137"/>
      <c r="M95" s="137"/>
      <c r="N95" s="137"/>
      <c r="O95" s="137"/>
      <c r="P95" s="137"/>
      <c r="Q95" s="137"/>
      <c r="R95" s="137"/>
      <c r="S95" s="137"/>
      <c r="T95" s="137"/>
      <c r="U95" s="137"/>
      <c r="V95" s="137"/>
      <c r="W95" s="137"/>
      <c r="X95" s="137"/>
      <c r="Y95" s="137"/>
      <c r="Z95" s="137"/>
      <c r="AA95" s="137"/>
      <c r="AB95" s="137"/>
      <c r="AC95" s="137"/>
    </row>
    <row r="96" spans="1:29" x14ac:dyDescent="0.25">
      <c r="A96" s="137"/>
      <c r="B96" s="137"/>
      <c r="C96" s="137"/>
      <c r="D96" s="137"/>
      <c r="E96" s="137"/>
      <c r="F96" s="137"/>
      <c r="G96" s="137"/>
      <c r="H96" s="137"/>
      <c r="I96" s="137"/>
      <c r="J96" s="137"/>
      <c r="K96" s="137"/>
      <c r="L96" s="137"/>
      <c r="M96" s="137"/>
      <c r="N96" s="137"/>
      <c r="O96" s="137"/>
      <c r="P96" s="137"/>
      <c r="Q96" s="137"/>
      <c r="R96" s="137"/>
      <c r="S96" s="137"/>
      <c r="T96" s="137"/>
      <c r="U96" s="137"/>
      <c r="V96" s="137"/>
      <c r="W96" s="137"/>
      <c r="X96" s="137"/>
      <c r="Y96" s="137"/>
      <c r="Z96" s="137"/>
      <c r="AA96" s="137"/>
      <c r="AB96" s="137"/>
      <c r="AC96" s="137"/>
    </row>
    <row r="97" spans="1:29" x14ac:dyDescent="0.25">
      <c r="A97" s="137"/>
      <c r="B97" s="137"/>
      <c r="C97" s="137"/>
      <c r="D97" s="137"/>
      <c r="E97" s="137"/>
      <c r="F97" s="137"/>
      <c r="G97" s="137"/>
      <c r="H97" s="137"/>
      <c r="I97" s="137"/>
      <c r="J97" s="137"/>
      <c r="K97" s="137"/>
      <c r="L97" s="137"/>
      <c r="M97" s="137"/>
      <c r="N97" s="137"/>
      <c r="O97" s="137"/>
      <c r="P97" s="137"/>
      <c r="Q97" s="137"/>
      <c r="R97" s="137"/>
      <c r="S97" s="137"/>
      <c r="T97" s="137"/>
      <c r="U97" s="137"/>
      <c r="V97" s="137"/>
      <c r="W97" s="137"/>
      <c r="X97" s="137"/>
      <c r="Y97" s="137"/>
      <c r="Z97" s="137"/>
      <c r="AA97" s="137"/>
      <c r="AB97" s="137"/>
      <c r="AC97" s="137"/>
    </row>
    <row r="98" spans="1:29" x14ac:dyDescent="0.25">
      <c r="A98" s="137"/>
      <c r="B98" s="137"/>
      <c r="C98" s="137"/>
      <c r="D98" s="137"/>
      <c r="E98" s="137"/>
      <c r="F98" s="137"/>
      <c r="G98" s="137"/>
      <c r="H98" s="137"/>
      <c r="I98" s="137"/>
      <c r="J98" s="137"/>
      <c r="K98" s="137"/>
      <c r="L98" s="137"/>
      <c r="M98" s="137"/>
      <c r="N98" s="137"/>
      <c r="O98" s="137"/>
      <c r="P98" s="137"/>
      <c r="Q98" s="137"/>
      <c r="R98" s="137"/>
      <c r="S98" s="137"/>
      <c r="T98" s="137"/>
      <c r="U98" s="137"/>
      <c r="V98" s="137"/>
      <c r="W98" s="137"/>
      <c r="X98" s="137"/>
      <c r="Y98" s="137"/>
      <c r="Z98" s="137"/>
      <c r="AA98" s="137"/>
      <c r="AB98" s="137"/>
      <c r="AC98" s="137"/>
    </row>
    <row r="99" spans="1:29" x14ac:dyDescent="0.25">
      <c r="A99" s="137"/>
      <c r="B99" s="137"/>
      <c r="C99" s="137"/>
      <c r="D99" s="137"/>
      <c r="E99" s="137"/>
      <c r="F99" s="137"/>
      <c r="G99" s="137"/>
      <c r="H99" s="137"/>
      <c r="I99" s="137"/>
      <c r="J99" s="137"/>
      <c r="K99" s="137"/>
      <c r="L99" s="137"/>
      <c r="M99" s="137"/>
      <c r="N99" s="137"/>
      <c r="O99" s="137"/>
      <c r="P99" s="137"/>
      <c r="Q99" s="137"/>
      <c r="R99" s="137"/>
      <c r="S99" s="137"/>
      <c r="T99" s="137"/>
      <c r="U99" s="137"/>
      <c r="V99" s="137"/>
      <c r="W99" s="137"/>
      <c r="X99" s="137"/>
      <c r="Y99" s="137"/>
      <c r="Z99" s="137"/>
      <c r="AA99" s="137"/>
      <c r="AB99" s="137"/>
      <c r="AC99" s="137"/>
    </row>
    <row r="100" spans="1:29" x14ac:dyDescent="0.25">
      <c r="A100" s="137"/>
      <c r="B100" s="137"/>
      <c r="C100" s="137"/>
      <c r="D100" s="137"/>
      <c r="E100" s="137"/>
      <c r="F100" s="137"/>
      <c r="G100" s="137"/>
      <c r="H100" s="137"/>
      <c r="I100" s="137"/>
      <c r="J100" s="137"/>
      <c r="K100" s="137"/>
      <c r="L100" s="137"/>
      <c r="M100" s="137"/>
      <c r="N100" s="137"/>
      <c r="O100" s="137"/>
      <c r="P100" s="137"/>
      <c r="Q100" s="137"/>
      <c r="R100" s="137"/>
      <c r="S100" s="137"/>
      <c r="T100" s="137"/>
      <c r="U100" s="137"/>
      <c r="V100" s="137"/>
      <c r="W100" s="137"/>
      <c r="X100" s="137"/>
      <c r="Y100" s="137"/>
      <c r="Z100" s="137"/>
      <c r="AA100" s="137"/>
      <c r="AB100" s="137"/>
      <c r="AC100" s="137"/>
    </row>
    <row r="101" spans="1:29" x14ac:dyDescent="0.25">
      <c r="A101" s="137"/>
      <c r="B101" s="137"/>
      <c r="C101" s="137"/>
      <c r="D101" s="137"/>
      <c r="E101" s="137"/>
      <c r="F101" s="137"/>
      <c r="G101" s="137"/>
      <c r="H101" s="137"/>
      <c r="I101" s="137"/>
      <c r="J101" s="137"/>
      <c r="K101" s="137"/>
      <c r="L101" s="137"/>
      <c r="M101" s="137"/>
      <c r="N101" s="137"/>
      <c r="O101" s="137"/>
      <c r="P101" s="137"/>
      <c r="Q101" s="137"/>
      <c r="R101" s="137"/>
      <c r="S101" s="137"/>
      <c r="T101" s="137"/>
      <c r="U101" s="137"/>
      <c r="V101" s="137"/>
      <c r="W101" s="137"/>
      <c r="X101" s="137"/>
      <c r="Y101" s="137"/>
      <c r="Z101" s="137"/>
      <c r="AA101" s="137"/>
      <c r="AB101" s="137"/>
      <c r="AC101" s="137"/>
    </row>
    <row r="102" spans="1:29" x14ac:dyDescent="0.25">
      <c r="A102" s="137"/>
      <c r="B102" s="137"/>
      <c r="C102" s="137"/>
      <c r="D102" s="137"/>
      <c r="E102" s="137"/>
      <c r="F102" s="137"/>
      <c r="G102" s="137"/>
      <c r="H102" s="137"/>
      <c r="I102" s="137"/>
      <c r="J102" s="137"/>
      <c r="K102" s="137"/>
      <c r="L102" s="137"/>
      <c r="M102" s="137"/>
      <c r="N102" s="137"/>
      <c r="O102" s="137"/>
      <c r="P102" s="137"/>
      <c r="Q102" s="137"/>
      <c r="R102" s="137"/>
      <c r="S102" s="137"/>
      <c r="T102" s="137"/>
      <c r="U102" s="137"/>
      <c r="V102" s="137"/>
      <c r="W102" s="137"/>
      <c r="X102" s="137"/>
      <c r="Y102" s="137"/>
      <c r="Z102" s="137"/>
      <c r="AA102" s="137"/>
      <c r="AB102" s="137"/>
      <c r="AC102" s="137"/>
    </row>
    <row r="103" spans="1:29" x14ac:dyDescent="0.25">
      <c r="B103" s="137"/>
      <c r="C103" s="137"/>
      <c r="D103" s="137"/>
      <c r="E103" s="137"/>
      <c r="F103" s="137"/>
      <c r="G103" s="137"/>
      <c r="H103" s="137"/>
      <c r="I103" s="137"/>
    </row>
    <row r="104" spans="1:29" x14ac:dyDescent="0.25">
      <c r="B104" s="137"/>
      <c r="C104" s="137"/>
      <c r="D104" s="137"/>
      <c r="E104" s="137"/>
      <c r="F104" s="137"/>
      <c r="G104" s="137"/>
      <c r="H104" s="137"/>
      <c r="I104" s="137"/>
    </row>
    <row r="105" spans="1:29" x14ac:dyDescent="0.25">
      <c r="B105" s="137"/>
      <c r="C105" s="137"/>
      <c r="D105" s="137"/>
      <c r="E105" s="137"/>
      <c r="F105" s="137"/>
      <c r="G105" s="137"/>
      <c r="H105" s="137"/>
      <c r="I105" s="137"/>
    </row>
  </sheetData>
  <sheetProtection algorithmName="SHA-512" hashValue="PhDc1cGZ/nJvpnzVW5dSPyQYVlDbUMUBTxDd6tmnXZ7CWTAInlDnxYVmz/uUdU9KyOMxc43O+l++2ECAz+zacA==" saltValue="rWrjFtu63x+hs7DFZwUgjA==" spinCount="100000" sheet="1" objects="1" scenarios="1" selectLockedCells="1"/>
  <mergeCells count="5">
    <mergeCell ref="C3:D3"/>
    <mergeCell ref="B30:I35"/>
    <mergeCell ref="B29:I29"/>
    <mergeCell ref="B37:I37"/>
    <mergeCell ref="B38:I43"/>
  </mergeCells>
  <conditionalFormatting sqref="B37:I43">
    <cfRule type="expression" dxfId="232"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N1" zoomScale="82" zoomScaleNormal="82" zoomScaleSheetLayoutView="80" workbookViewId="0">
      <selection activeCell="E2" sqref="E2"/>
    </sheetView>
  </sheetViews>
  <sheetFormatPr defaultColWidth="8.85546875" defaultRowHeight="15" x14ac:dyDescent="0.25"/>
  <cols>
    <col min="1" max="1" width="4.140625" hidden="1" customWidth="1"/>
    <col min="2" max="2" width="9" hidden="1" customWidth="1"/>
    <col min="3" max="3" width="3" hidden="1" customWidth="1"/>
    <col min="4" max="4" width="0.5703125" style="137" customWidth="1"/>
    <col min="5" max="5" width="2.7109375" customWidth="1"/>
    <col min="6" max="6" width="8.42578125" customWidth="1"/>
    <col min="7" max="7" width="14.5703125" customWidth="1"/>
    <col min="8" max="8" width="33.140625" style="1017" customWidth="1"/>
    <col min="9" max="9" width="17" style="1060" hidden="1" customWidth="1"/>
    <col min="10" max="10" width="23.140625" style="106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1017" customWidth="1"/>
    <col min="22" max="22" width="13.28515625" style="1017"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2" max="44" width="8.85546875" hidden="1" customWidth="1"/>
    <col min="45" max="45" width="13" hidden="1" customWidth="1"/>
    <col min="46" max="46" width="24.85546875" hidden="1" customWidth="1"/>
    <col min="47" max="47" width="21.7109375" hidden="1" customWidth="1"/>
    <col min="48" max="49" width="21.7109375" style="1137"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7"/>
      <c r="F1" s="137"/>
      <c r="G1" s="417"/>
      <c r="H1" s="417"/>
      <c r="I1" s="417"/>
      <c r="J1" s="417"/>
      <c r="K1" s="137"/>
      <c r="L1" s="137"/>
      <c r="M1" s="137"/>
      <c r="N1" s="137"/>
      <c r="O1" s="137"/>
      <c r="P1" s="137"/>
      <c r="Q1" s="137"/>
      <c r="R1" s="137"/>
      <c r="S1" s="137"/>
      <c r="T1" s="137"/>
      <c r="U1" s="137"/>
      <c r="V1" s="137"/>
      <c r="W1" s="137"/>
      <c r="X1" s="137"/>
      <c r="Y1" s="137"/>
      <c r="Z1" s="137"/>
      <c r="AA1" s="137"/>
      <c r="AB1" s="137"/>
      <c r="AC1" s="137"/>
      <c r="AD1" s="137"/>
      <c r="AE1" s="137"/>
      <c r="AF1" s="137"/>
      <c r="AG1" s="137" t="e">
        <f>VLOOKUP('Existing Customers'!AB2,'Market Geography'!A:B,2,0)</f>
        <v>#N/A</v>
      </c>
      <c r="AH1" s="137"/>
      <c r="AI1" s="137"/>
      <c r="AJ1" s="137"/>
      <c r="AK1" s="137"/>
      <c r="AL1" s="137"/>
      <c r="AM1" s="137"/>
      <c r="AN1" s="137"/>
      <c r="AO1" s="137"/>
      <c r="AP1" s="137"/>
      <c r="AQ1" s="137"/>
      <c r="AR1" s="137"/>
      <c r="AS1" s="137"/>
      <c r="AT1" s="137"/>
      <c r="AU1" s="137"/>
      <c r="AV1" s="137"/>
      <c r="AW1" s="137"/>
      <c r="AX1" s="137"/>
      <c r="AY1" s="137"/>
      <c r="AZ1" s="137"/>
      <c r="BA1" s="137"/>
      <c r="BB1" s="137"/>
      <c r="BC1" s="137"/>
      <c r="BD1" s="137"/>
    </row>
    <row r="2" spans="1:56" ht="21" x14ac:dyDescent="0.35">
      <c r="E2" s="735"/>
      <c r="F2" s="1243" t="s">
        <v>942</v>
      </c>
      <c r="G2" s="1243"/>
      <c r="H2" s="1016"/>
      <c r="I2" s="1059"/>
      <c r="J2" s="1059"/>
      <c r="K2" s="661"/>
      <c r="L2" s="661"/>
      <c r="M2" s="661"/>
      <c r="N2" s="661"/>
      <c r="O2" s="661"/>
      <c r="P2" s="138"/>
      <c r="Q2" s="138"/>
      <c r="R2" s="138"/>
      <c r="S2" s="661"/>
      <c r="T2" s="661"/>
      <c r="U2" s="661"/>
      <c r="V2" s="661"/>
      <c r="W2" s="662"/>
      <c r="X2" s="137"/>
      <c r="Y2" s="137"/>
      <c r="Z2" s="137"/>
      <c r="AA2" s="137"/>
      <c r="AB2" s="137"/>
      <c r="AC2" s="137"/>
      <c r="AD2" s="137"/>
      <c r="AE2" s="137"/>
      <c r="AF2" s="137"/>
      <c r="AG2" s="137"/>
      <c r="AH2" s="137"/>
      <c r="AI2" s="137"/>
      <c r="AJ2" s="137"/>
      <c r="AL2" s="137"/>
      <c r="AM2" s="137"/>
      <c r="AN2" s="137"/>
      <c r="AO2" s="137"/>
      <c r="AP2" s="137"/>
      <c r="AQ2" s="137"/>
      <c r="AR2" s="137"/>
      <c r="AS2" s="137"/>
      <c r="AT2" s="137"/>
      <c r="AU2" s="137"/>
      <c r="AV2" s="137"/>
      <c r="AW2" s="137"/>
      <c r="AX2" s="137"/>
      <c r="AY2" s="137"/>
      <c r="AZ2" s="137"/>
      <c r="BA2" s="137"/>
      <c r="BB2" s="137"/>
      <c r="BC2" s="137"/>
      <c r="BD2" s="137"/>
    </row>
    <row r="3" spans="1:56" ht="27" customHeight="1" x14ac:dyDescent="0.25">
      <c r="E3" s="663"/>
      <c r="F3" s="790"/>
      <c r="G3" s="790"/>
      <c r="H3" s="790"/>
      <c r="I3" s="790"/>
      <c r="J3" s="790"/>
      <c r="K3" s="790"/>
      <c r="L3" s="1248"/>
      <c r="M3" s="1248"/>
      <c r="N3" s="1248"/>
      <c r="O3" s="791"/>
      <c r="P3" s="1244" t="str">
        <f>IF(COUNTIFS($P$6:$P$15,"&gt;0")&lt;$C$4,"Must Enter Expected Sales for All Locations","")</f>
        <v/>
      </c>
      <c r="Q3" s="1244"/>
      <c r="R3" s="1244"/>
      <c r="S3" s="790"/>
      <c r="T3" s="790"/>
      <c r="U3" s="790"/>
      <c r="V3" s="790"/>
      <c r="W3" s="664"/>
      <c r="X3" s="137"/>
      <c r="Y3" s="137"/>
      <c r="Z3" s="137"/>
      <c r="AA3" s="137"/>
      <c r="AB3" s="137"/>
      <c r="AC3" s="137"/>
      <c r="AD3" s="137"/>
      <c r="AE3" s="137"/>
      <c r="AF3" s="137"/>
      <c r="AG3" s="137"/>
      <c r="AH3" s="137"/>
      <c r="AI3" s="137"/>
      <c r="AJ3" s="137"/>
      <c r="AL3" s="137"/>
      <c r="AM3" s="137"/>
      <c r="AN3" s="137"/>
      <c r="AO3" s="137"/>
      <c r="AP3" s="137"/>
      <c r="AQ3" s="137"/>
      <c r="AR3" s="137"/>
      <c r="AS3" s="137"/>
      <c r="AT3" s="137"/>
      <c r="AU3" s="137"/>
      <c r="AV3" s="137"/>
      <c r="AW3" s="137"/>
      <c r="AX3" s="137"/>
      <c r="AY3" s="137"/>
      <c r="AZ3" s="137"/>
      <c r="BA3" s="137"/>
      <c r="BB3" s="137"/>
      <c r="BC3" s="137"/>
      <c r="BD3" s="137"/>
    </row>
    <row r="4" spans="1:56" ht="21" customHeight="1" thickBot="1" x14ac:dyDescent="0.3">
      <c r="C4" s="144">
        <f>IF(Welcome!$D$14="Select # of Locations",0,Welcome!$D$14)</f>
        <v>0</v>
      </c>
      <c r="D4" s="144"/>
      <c r="E4" s="398"/>
      <c r="F4" s="792"/>
      <c r="G4" s="792"/>
      <c r="H4" s="792"/>
      <c r="I4" s="792"/>
      <c r="J4" s="792"/>
      <c r="K4" s="792"/>
      <c r="L4" s="792"/>
      <c r="M4" s="792"/>
      <c r="N4" s="792"/>
      <c r="O4" s="1245" t="str">
        <f>IF(COUNTIFS($P$6:$P$15,"&gt;0")&lt;$C$4,"VVVVV","")</f>
        <v/>
      </c>
      <c r="P4" s="1245"/>
      <c r="Q4" s="1245"/>
      <c r="R4" s="790"/>
      <c r="S4" s="790"/>
      <c r="T4" s="793"/>
      <c r="U4" s="793"/>
      <c r="V4" s="793"/>
      <c r="W4" s="664"/>
      <c r="X4" s="137"/>
      <c r="Y4" s="137"/>
      <c r="Z4" s="137"/>
      <c r="AA4" s="137"/>
      <c r="AB4" s="137"/>
      <c r="AE4" s="2"/>
      <c r="AF4" s="137"/>
      <c r="AH4" s="137"/>
      <c r="AI4" s="137"/>
      <c r="AJ4" s="137"/>
      <c r="AK4" s="476" t="e">
        <f>Welcome!#REF!</f>
        <v>#REF!</v>
      </c>
      <c r="AL4" s="476"/>
      <c r="AM4" s="476"/>
      <c r="AN4" s="787">
        <f>COUNTIF($AN$6:$AN$15,"FLAG")</f>
        <v>0</v>
      </c>
      <c r="AO4" s="137"/>
      <c r="AP4" s="137"/>
      <c r="AQ4" s="137"/>
      <c r="AR4" s="137"/>
      <c r="AS4" s="137"/>
      <c r="AT4" s="137"/>
      <c r="AU4" s="137"/>
      <c r="AV4" s="137"/>
      <c r="AW4" s="137"/>
      <c r="AX4" s="137"/>
      <c r="AY4" s="137"/>
      <c r="AZ4" s="137" t="s">
        <v>1461</v>
      </c>
      <c r="BA4" s="137" t="s">
        <v>1462</v>
      </c>
      <c r="BB4" s="137" t="s">
        <v>1463</v>
      </c>
      <c r="BC4" s="137"/>
      <c r="BD4" s="137" t="s">
        <v>1464</v>
      </c>
    </row>
    <row r="5" spans="1:56" ht="49.5" customHeight="1" thickBot="1" x14ac:dyDescent="0.3">
      <c r="E5" s="663"/>
      <c r="F5" s="733" t="s">
        <v>1067</v>
      </c>
      <c r="G5" s="1067" t="s">
        <v>754</v>
      </c>
      <c r="H5" s="1066" t="s">
        <v>1328</v>
      </c>
      <c r="I5" s="1067" t="s">
        <v>1410</v>
      </c>
      <c r="J5" s="688" t="s">
        <v>1411</v>
      </c>
      <c r="K5" s="1018" t="s">
        <v>940</v>
      </c>
      <c r="L5" s="689" t="s">
        <v>1329</v>
      </c>
      <c r="M5" s="689" t="s">
        <v>1336</v>
      </c>
      <c r="N5" s="689" t="s">
        <v>938</v>
      </c>
      <c r="O5" s="690" t="s">
        <v>1330</v>
      </c>
      <c r="P5" s="800" t="s">
        <v>1331</v>
      </c>
      <c r="Q5" s="801" t="s">
        <v>1332</v>
      </c>
      <c r="R5" s="801" t="s">
        <v>1333</v>
      </c>
      <c r="S5" s="801" t="s">
        <v>205</v>
      </c>
      <c r="T5" s="1022" t="s">
        <v>1334</v>
      </c>
      <c r="U5" s="1023" t="s">
        <v>1335</v>
      </c>
      <c r="V5" s="1027" t="s">
        <v>1501</v>
      </c>
      <c r="W5" s="664"/>
      <c r="X5" s="659" t="s">
        <v>467</v>
      </c>
      <c r="Y5" s="53" t="s">
        <v>941</v>
      </c>
      <c r="Z5" s="53" t="s">
        <v>205</v>
      </c>
      <c r="AA5" s="53" t="s">
        <v>518</v>
      </c>
      <c r="AB5" s="137"/>
      <c r="AC5" t="s">
        <v>957</v>
      </c>
      <c r="AD5">
        <f>MAX(AD6:AD15)</f>
        <v>0</v>
      </c>
      <c r="AE5" s="2"/>
      <c r="AF5" s="137"/>
      <c r="AH5" s="137"/>
      <c r="AI5" s="137"/>
      <c r="AJ5" s="137"/>
      <c r="AK5" s="137" t="s">
        <v>1160</v>
      </c>
      <c r="AL5" s="137" t="s">
        <v>1161</v>
      </c>
      <c r="AM5" s="137" t="s">
        <v>1162</v>
      </c>
      <c r="AN5" s="137" t="s">
        <v>1163</v>
      </c>
      <c r="AO5" s="137"/>
      <c r="AP5" s="137"/>
      <c r="AQ5" s="137"/>
      <c r="AR5" s="137"/>
      <c r="AS5" s="1138" t="s">
        <v>1448</v>
      </c>
      <c r="AT5" s="1138" t="s">
        <v>1454</v>
      </c>
      <c r="AU5" s="1138" t="s">
        <v>1455</v>
      </c>
      <c r="AV5" s="1138" t="s">
        <v>1465</v>
      </c>
      <c r="AW5" s="1138" t="s">
        <v>1466</v>
      </c>
      <c r="AX5" s="1138" t="s">
        <v>1450</v>
      </c>
      <c r="AY5" s="1138" t="s">
        <v>1453</v>
      </c>
      <c r="AZ5" s="1138" t="s">
        <v>1456</v>
      </c>
      <c r="BA5" s="1139" t="s">
        <v>1457</v>
      </c>
      <c r="BB5" s="1139" t="s">
        <v>1458</v>
      </c>
      <c r="BC5" s="1140" t="s">
        <v>1459</v>
      </c>
      <c r="BD5" s="1140" t="s">
        <v>1460</v>
      </c>
    </row>
    <row r="6" spans="1:56" x14ac:dyDescent="0.25">
      <c r="A6" t="str">
        <f t="shared" ref="A6:A15" si="0">IFERROR(RANK($AE6,$AE$6:$AE$15,1),"")</f>
        <v/>
      </c>
      <c r="B6">
        <f t="shared" ref="B6:B15" si="1">IF($G6="New Store",$G6&amp;" "&amp;$AC6,$G6)</f>
        <v>0</v>
      </c>
      <c r="C6" s="144">
        <v>1</v>
      </c>
      <c r="D6" s="144"/>
      <c r="E6" s="732"/>
      <c r="F6" s="648" t="str">
        <f>IF(Welcome!$D$14="Select # of Locations","",IF($C6&lt;=Welcome!$D$14,$C6,""))</f>
        <v/>
      </c>
      <c r="G6" s="1071"/>
      <c r="H6" s="1068"/>
      <c r="I6" s="1133"/>
      <c r="J6" s="1113"/>
      <c r="K6" s="1019" t="str">
        <f>IF($C$4&gt;=$C6,IF(SUMIF('Existing Customers'!$A:$A,'Customer Inputs'!$G6,'Existing Customers'!$Q:$Q)=0,"Enter Spend&gt;&gt;&gt;",ROUND(SUMIF('Existing Customers'!$A:$A,'Customer Inputs'!$G6,'Existing Customers'!$Q:$Q),0)),"")</f>
        <v/>
      </c>
      <c r="L6" s="788" t="str">
        <f>IF($F6="","",IFERROR(ROUND(VLOOKUP(BB38,'Existing Customer Variable Exp'!$B:$F,5,FALSE)/52,1),"Enter Drops &gt;"))</f>
        <v/>
      </c>
      <c r="M6" s="1020" t="str">
        <f>IF($F6="","",IFERROR(VLOOKUP($G6,'Existing Customers'!$A:$AD,30,FALSE),"Enter Menu Type&gt;&gt;"))</f>
        <v/>
      </c>
      <c r="N6" s="789" t="str">
        <f>IFERROR(IF($C$4&gt;=$C6,VLOOKUP($G6,'Existing Customers'!$A:$J,10,FALSE),""),"Enter Zip Code &gt;")</f>
        <v/>
      </c>
      <c r="O6" s="798" t="str">
        <f>IF($F6="","",IF(K6="Enter Spend&gt;&gt;&gt;","Enter EB % &gt;",BB$7))</f>
        <v/>
      </c>
      <c r="P6" s="804"/>
      <c r="Q6" s="668"/>
      <c r="R6" s="805"/>
      <c r="S6" s="806"/>
      <c r="T6" s="1171"/>
      <c r="U6" s="803"/>
      <c r="V6" s="1026" t="s">
        <v>671</v>
      </c>
      <c r="W6" s="1025" t="str">
        <f>IF($F6="","",'Variable Costs (Back)'!$A15)</f>
        <v/>
      </c>
      <c r="X6" s="660" t="str">
        <f>IF(Q6="",L6,Q6)</f>
        <v/>
      </c>
      <c r="Y6" s="53" t="str">
        <f t="shared" ref="Y6:Y15" si="2">IF(K6="Enter Spend&gt;&gt;&gt;",R6,M6)</f>
        <v/>
      </c>
      <c r="Z6" s="53" t="str">
        <f t="shared" ref="Z6:Z15" si="3">IF(K6="Enter Spend&gt;&gt;&gt;",S6,N6)</f>
        <v/>
      </c>
      <c r="AA6" s="53" t="str">
        <f>IF(T6="",O6,T6)</f>
        <v/>
      </c>
      <c r="AB6" s="137">
        <f>IFERROR(AA6*(P6/$P$17),0)</f>
        <v>0</v>
      </c>
      <c r="AC6">
        <f>IF($G6="New Store",COUNTIF($G$6:$G$15,"New Store")-COUNTIF($G7:$G$15,"New Store"),0)</f>
        <v>0</v>
      </c>
      <c r="AD6" t="str">
        <f t="shared" ref="AD6:AD15" si="4">IFERROR(RANK($AE6,$AE$6:$AE$15,1),"")</f>
        <v/>
      </c>
      <c r="AE6" s="2" t="str">
        <f t="shared" ref="AE6:AE15" si="5">IF($G6="New Store",$F6,IF($K6="Enter Spend&gt;&gt;&gt;",$F6,""))</f>
        <v/>
      </c>
      <c r="AF6" s="137"/>
      <c r="AG6" t="e">
        <f>_xlfn.CONCAT($AG$1,"_",IF(NOT(ISBLANK($H$6)),$H$6,""),"_",IF(AND(NOT(ISBLANK($G$6)),$G$6&lt;&gt;"New"),IF($M$6&lt;&gt;"Enter Menu Type&gt;&gt;",IF($R$6=0,$M$6,$R$6),$R$6),""))</f>
        <v>#N/A</v>
      </c>
      <c r="AH6" s="137"/>
      <c r="AI6" s="137"/>
      <c r="AJ6" s="137"/>
      <c r="AK6" s="137" t="b">
        <f>NOT(ISERROR(IFERROR(VLOOKUP($G6&amp;"",'HOS_Modellable Customers'!$A:$A,1,0),VLOOKUP($G6,'HOS_Modellable Customers'!$A:$A,1,0))))</f>
        <v>0</v>
      </c>
      <c r="AL6" s="137" t="b">
        <f>NOT(ISERROR(IFERROR(VLOOKUP($G6&amp;"",'Modellable Customers'!$A:$A,1,0),VLOOKUP($G6,'Modellable Customers'!$A:$A,1,0))))</f>
        <v>0</v>
      </c>
      <c r="AM6" s="137" t="b">
        <f>IF(K6="Enter Spend&gt;&gt;&gt;",TRUE,FALSE)</f>
        <v>0</v>
      </c>
      <c r="AN6" s="137" t="str">
        <f>IF(G6="","CLEAR",IF(AM6=TRUE,"CLEAR",IF(AND($AK$4="HOSPITALITY",AK6=TRUE),"CLEAR",IF(AND($AK$4="INDEPENDENT RESTAURATEURS",AL6=TRUE),"CLEAR","FLAG"))))</f>
        <v>CLEAR</v>
      </c>
      <c r="AO6" s="137"/>
      <c r="AP6" s="137" t="str">
        <f>IF($G6="","",IF(AR6="","Prospect","Existing"))</f>
        <v/>
      </c>
      <c r="AQ6" s="1024" t="str">
        <f>IF($F6="","",IF(OR(U6="",U6="Existing"),IFERROR(VLOOKUP($G6,'Existing Customers'!$A:$F,4,FALSE),""),""))</f>
        <v/>
      </c>
      <c r="AR6" s="137" t="str">
        <f>IF($F6="","",IFERROR(VLOOKUP($G6,'Existing Customers'!$A:$F,4,FALSE),""))</f>
        <v/>
      </c>
      <c r="AS6" s="53" t="str">
        <f>IF($F6="","",IFERROR(VLOOKUP($G6,'Existing Customer Variable Exp'!$B:$L,6,FALSE),0))</f>
        <v/>
      </c>
      <c r="AT6" s="53" t="str">
        <f>IF($F6="","",IF(AS6=0,Welcome!$G$26,0))</f>
        <v/>
      </c>
      <c r="AU6" s="53" t="str">
        <f>IF($F6="","",IF(AT6&lt;&gt;0,(AT6*AV6)+(AT6*AW6),0))</f>
        <v/>
      </c>
      <c r="AV6" s="53" t="str">
        <f>IF($F6="","",IFERROR(VLOOKUP($H6,'Prospect Slot Assumptions'!$A:$D,2,FALSE),0))</f>
        <v/>
      </c>
      <c r="AW6" s="53" t="str">
        <f>IF($F6="","",IFERROR(VLOOKUP($H6,'Prospect Slot Assumptions'!$A:$D,3,FALSE),0))</f>
        <v/>
      </c>
      <c r="AX6" s="53" t="str">
        <f>IF($F6="","",IFERROR(VLOOKUP($G6,'Existing Customer Variable Exp'!$B:$L,8,FALSE),0))</f>
        <v/>
      </c>
      <c r="AY6" s="53" t="str">
        <f>IF($F6="","",IFERROR(VLOOKUP($G6,'Existing Customer Variable Exp'!$B:$L,11,FALSE),0))</f>
        <v/>
      </c>
      <c r="AZ6" s="53" t="str">
        <f>IF($F6="","",IF(AS6&lt;&gt;"",COUNTIF($AS$6:$AS$15,AS6),1))</f>
        <v/>
      </c>
      <c r="BA6" s="53" t="str">
        <f>IF($F6="","",IFERROR(AX6/AZ6,0))</f>
        <v/>
      </c>
      <c r="BB6" s="53" t="str">
        <f>IF($F6="","",IFERROR(AY6/AZ6,0))</f>
        <v/>
      </c>
      <c r="BC6" s="53" t="str">
        <f>IF($F6="","",IFERROR(VLOOKUP($H6,'Prospect Slot Assumptions'!$A:$D,4,FALSE),0))</f>
        <v/>
      </c>
      <c r="BD6" s="53" t="str">
        <f>IF($F6="","",IFERROR(BC6*BB6,0))</f>
        <v/>
      </c>
    </row>
    <row r="7" spans="1:56" x14ac:dyDescent="0.25">
      <c r="A7" t="str">
        <f t="shared" si="0"/>
        <v/>
      </c>
      <c r="B7">
        <f t="shared" si="1"/>
        <v>0</v>
      </c>
      <c r="C7" s="144">
        <v>2</v>
      </c>
      <c r="D7" s="144"/>
      <c r="E7" s="732"/>
      <c r="F7" s="649" t="str">
        <f>IF(Welcome!$D$14="Select # of Locations","",IF($C7&lt;=Welcome!$D$14,$C7,""))</f>
        <v/>
      </c>
      <c r="G7" s="1069"/>
      <c r="H7" s="1064"/>
      <c r="I7" s="1134"/>
      <c r="J7" s="1115"/>
      <c r="K7" s="1020" t="str">
        <f>IF($C$4&gt;=$C7,IF(SUMIF('Existing Customers'!$A:$A,'Customer Inputs'!$G7,'Existing Customers'!$Q:$Q)=0,"Enter Spend&gt;&gt;&gt;",ROUND(SUMIF('Existing Customers'!$A:$A,'Customer Inputs'!$G7,'Existing Customers'!$Q:$Q),0)),"")</f>
        <v/>
      </c>
      <c r="L7" s="651" t="str">
        <f>IF($F7="","",IFERROR(ROUND(VLOOKUP(BY38,'Existing Customer Variable Exp'!$B:$F,5,FALSE)/52,1),"Enter Drops &gt;"))</f>
        <v/>
      </c>
      <c r="M7" s="1020" t="str">
        <f>IF($F7="","",IFERROR(VLOOKUP($G7,'Existing Customers'!$A:$AD,30,FALSE),"Enter Menu Type&gt;&gt;"))</f>
        <v/>
      </c>
      <c r="N7" s="785" t="str">
        <f>IFERROR(IF($C$4&gt;=$C7,VLOOKUP($G7,'Existing Customers'!$A:$J,10,FALSE),""),"Enter Zip Code &gt;")</f>
        <v/>
      </c>
      <c r="O7" s="799" t="str">
        <f>IF($F7="","",IF(K7="Enter Spend&gt;&gt;&gt;","Enter EB % &gt;",BY$7))</f>
        <v/>
      </c>
      <c r="P7" s="807"/>
      <c r="Q7" s="669"/>
      <c r="R7" s="802"/>
      <c r="S7" s="803"/>
      <c r="T7" s="1172"/>
      <c r="U7" s="803"/>
      <c r="V7" s="653" t="s">
        <v>671</v>
      </c>
      <c r="W7" s="1025" t="str">
        <f>IF($F7="","",'Variable Costs (Back)'!$A16)</f>
        <v/>
      </c>
      <c r="X7" s="660" t="str">
        <f t="shared" ref="X7:X15" si="6">IF(Q7="",L7,Q7)</f>
        <v/>
      </c>
      <c r="Y7" s="53" t="str">
        <f t="shared" si="2"/>
        <v/>
      </c>
      <c r="Z7" s="53" t="str">
        <f t="shared" si="3"/>
        <v/>
      </c>
      <c r="AA7" s="53" t="str">
        <f t="shared" ref="AA7:AA15" si="7">IF(T7="",O7,T7)</f>
        <v/>
      </c>
      <c r="AB7" s="137">
        <f t="shared" ref="AB7:AB15" si="8">IFERROR(AA7*(P7/$P$17),0)</f>
        <v>0</v>
      </c>
      <c r="AC7">
        <f>IF($G7="New Store",COUNTIF($G$6:$G$15,"New Store")-COUNTIF($G8:$G$15,"New Store"),0)</f>
        <v>0</v>
      </c>
      <c r="AD7" t="str">
        <f t="shared" si="4"/>
        <v/>
      </c>
      <c r="AE7" s="2" t="str">
        <f t="shared" si="5"/>
        <v/>
      </c>
      <c r="AF7" s="137"/>
      <c r="AG7" t="e">
        <f>_xlfn.CONCAT($AG$1,"_",IF(NOT(ISBLANK($H$7)),$H$7,""),"_",IF(AND(NOT(ISBLANK($G$7)),$G$7&lt;&gt;"New"),IF($M$7&lt;&gt;"Enter Menu Type&gt;&gt;",IF($R$7=0,$M$7,$R$7),$R$7),""))</f>
        <v>#N/A</v>
      </c>
      <c r="AH7" s="137"/>
      <c r="AI7" s="137"/>
      <c r="AJ7" s="137"/>
      <c r="AK7" s="137" t="b">
        <f>NOT(ISERROR(IFERROR(VLOOKUP($G7&amp;"",'HOS_Modellable Customers'!$A:$A,1,0),VLOOKUP($G7,'HOS_Modellable Customers'!$A:$A,1,0))))</f>
        <v>0</v>
      </c>
      <c r="AL7" s="137" t="b">
        <f>NOT(ISERROR(IFERROR(VLOOKUP($G7&amp;"",'Modellable Customers'!$A:$A,1,0),VLOOKUP($G7,'Modellable Customers'!$A:$A,1,0))))</f>
        <v>0</v>
      </c>
      <c r="AM7" s="137" t="b">
        <f t="shared" ref="AM7:AM12" si="9">IF(K7="Enter Spend&gt;&gt;&gt;",TRUE,FALSE)</f>
        <v>0</v>
      </c>
      <c r="AN7" s="137" t="str">
        <f t="shared" ref="AN7:AN15" si="10">IF(G7="","CLEAR",IF(AM7=TRUE,"CLEAR",IF(AND($AK$4="HOSPITALITY",AK7=TRUE),"CLEAR",IF(AND($AK$4="INDEPENDENT RESTAURATEURS",AL7=TRUE),"CLEAR","FLAG"))))</f>
        <v>CLEAR</v>
      </c>
      <c r="AO7" s="137"/>
      <c r="AP7" s="137" t="str">
        <f t="shared" ref="AP7:AP15" si="11">IF($G7="","",IF(AR7="","Prospect","Existing"))</f>
        <v/>
      </c>
      <c r="AQ7" s="1024" t="str">
        <f>IF($F7="","",IF(OR(U7="",U7="Existing"),IFERROR(VLOOKUP($G7,'Existing Customers'!$A:$F,4,FALSE),""),""))</f>
        <v/>
      </c>
      <c r="AR7" s="137" t="str">
        <f>IF($F7="","",IFERROR(VLOOKUP($G7,'Existing Customers'!$A:$F,4,FALSE),""))</f>
        <v/>
      </c>
      <c r="AS7" s="53" t="str">
        <f>IF($F7="","",IFERROR(VLOOKUP($G7,'Existing Customer Variable Exp'!$B:$L,6,FALSE),0))</f>
        <v/>
      </c>
      <c r="AT7" s="53" t="str">
        <f>IF($F7="","",IF(AS7=0,Welcome!$G$26,0))</f>
        <v/>
      </c>
      <c r="AU7" s="53" t="str">
        <f t="shared" ref="AU7:AU15" si="12">IF($F7="","",IF(AT7&lt;&gt;0,(AT7*AV7)+(AT7*AW7),0))</f>
        <v/>
      </c>
      <c r="AV7" s="53" t="str">
        <f>IF($F7="","",IFERROR(VLOOKUP($H7,'Prospect Slot Assumptions'!$A:$D,2,FALSE),0))</f>
        <v/>
      </c>
      <c r="AW7" s="53" t="str">
        <f>IF($F7="","",IFERROR(VLOOKUP($H7,'Prospect Slot Assumptions'!$A:$D,3,FALSE),0))</f>
        <v/>
      </c>
      <c r="AX7" s="53" t="str">
        <f>IF($F7="","",IFERROR(VLOOKUP($G7,'Existing Customer Variable Exp'!$B:$L,8,FALSE),0))</f>
        <v/>
      </c>
      <c r="AY7" s="53" t="str">
        <f>IF($F7="","",IFERROR(VLOOKUP($G7,'Existing Customer Variable Exp'!$B:$L,11,FALSE),0))</f>
        <v/>
      </c>
      <c r="AZ7" s="53" t="str">
        <f t="shared" ref="AZ7:AZ15" si="13">IF($F7="","",IF(AS7&lt;&gt;"",COUNTIF($AS$6:$AS$15,AS7),1))</f>
        <v/>
      </c>
      <c r="BA7" s="53" t="str">
        <f t="shared" ref="BA7:BA15" si="14">IF($F7="","",IFERROR(AX7/AZ7,0))</f>
        <v/>
      </c>
      <c r="BB7" s="53" t="str">
        <f t="shared" ref="BB7:BB15" si="15">IF($F7="","",IFERROR(AY7/AZ7,0))</f>
        <v/>
      </c>
      <c r="BC7" s="53" t="str">
        <f>IF($F7="","",IFERROR(VLOOKUP($H7,'Prospect Slot Assumptions'!$A:$D,4,FALSE),0))</f>
        <v/>
      </c>
      <c r="BD7" s="53" t="str">
        <f t="shared" ref="BD7:BD15" si="16">IF($F7="","",IFERROR(BC7*BB7,0))</f>
        <v/>
      </c>
    </row>
    <row r="8" spans="1:56" x14ac:dyDescent="0.25">
      <c r="A8" t="str">
        <f t="shared" si="0"/>
        <v/>
      </c>
      <c r="B8">
        <f t="shared" si="1"/>
        <v>0</v>
      </c>
      <c r="C8" s="144">
        <v>3</v>
      </c>
      <c r="D8" s="144"/>
      <c r="E8" s="732"/>
      <c r="F8" s="649" t="str">
        <f>IF(Welcome!$D$14="Select # of Locations","",IF($C8&lt;=Welcome!$D$14,$C8,""))</f>
        <v/>
      </c>
      <c r="G8" s="1069"/>
      <c r="H8" s="1064"/>
      <c r="I8" s="1134"/>
      <c r="J8" s="1115"/>
      <c r="K8" s="1020" t="str">
        <f>IF($C$4&gt;=$C8,IF(SUMIF('Existing Customers'!$A:$A,'Customer Inputs'!$G8,'Existing Customers'!$Q:$Q)=0,"Enter Spend&gt;&gt;&gt;",ROUND(SUMIF('Existing Customers'!$A:$A,'Customer Inputs'!$G8,'Existing Customers'!$Q:$Q),0)),"")</f>
        <v/>
      </c>
      <c r="L8" s="651" t="str">
        <f>IF($F8="","",IFERROR(ROUND(VLOOKUP(CV38,'Existing Customer Variable Exp'!$B:$F,5,FALSE)/52,1),"Enter Drops &gt;"))</f>
        <v/>
      </c>
      <c r="M8" s="1020" t="str">
        <f>IF($F8="","",IFERROR(VLOOKUP($G8,'Existing Customers'!$A:$AD,30,FALSE),"Enter Menu Type&gt;&gt;"))</f>
        <v/>
      </c>
      <c r="N8" s="785" t="str">
        <f>IFERROR(IF($C$4&gt;=$C8,VLOOKUP($G8,'Existing Customers'!$A:$J,10,FALSE),""),"Enter Zip Code &gt;")</f>
        <v/>
      </c>
      <c r="O8" s="799" t="str">
        <f>IF($F8="","",IF(K8="Enter Spend&gt;&gt;&gt;","Enter EB % &gt;",CV$7))</f>
        <v/>
      </c>
      <c r="P8" s="807"/>
      <c r="Q8" s="669"/>
      <c r="R8" s="802"/>
      <c r="S8" s="803"/>
      <c r="T8" s="1172"/>
      <c r="U8" s="803"/>
      <c r="V8" s="653" t="s">
        <v>671</v>
      </c>
      <c r="W8" s="1025" t="str">
        <f>IF($F8="","",'Variable Costs (Back)'!$A17)</f>
        <v/>
      </c>
      <c r="X8" s="660" t="str">
        <f t="shared" si="6"/>
        <v/>
      </c>
      <c r="Y8" s="53" t="str">
        <f t="shared" si="2"/>
        <v/>
      </c>
      <c r="Z8" s="53" t="str">
        <f t="shared" si="3"/>
        <v/>
      </c>
      <c r="AA8" s="53" t="str">
        <f t="shared" si="7"/>
        <v/>
      </c>
      <c r="AB8" s="137">
        <f t="shared" si="8"/>
        <v>0</v>
      </c>
      <c r="AC8">
        <f>IF($G8="New Store",COUNTIF($G$6:$G$15,"New Store")-COUNTIF($G9:$G$15,"New Store"),0)</f>
        <v>0</v>
      </c>
      <c r="AD8" t="str">
        <f t="shared" si="4"/>
        <v/>
      </c>
      <c r="AE8" s="2" t="str">
        <f t="shared" si="5"/>
        <v/>
      </c>
      <c r="AF8" s="137"/>
      <c r="AG8" t="e">
        <f>_xlfn.CONCAT($AG$1,"_",IF(NOT(ISBLANK($H$8)),$H$8,""),"_",IF(AND(NOT(ISBLANK($G$8)),$G$8&lt;&gt;"New"),IF($M$8&lt;&gt;"Enter Menu Type&gt;&gt;",IF($R$8=0,$M$8,$R$8),$R$8),""))</f>
        <v>#N/A</v>
      </c>
      <c r="AH8" s="137"/>
      <c r="AI8" s="137"/>
      <c r="AJ8" s="137"/>
      <c r="AK8" s="137" t="b">
        <f>NOT(ISERROR(IFERROR(VLOOKUP($G8&amp;"",'HOS_Modellable Customers'!$A:$A,1,0),VLOOKUP($G8,'HOS_Modellable Customers'!$A:$A,1,0))))</f>
        <v>0</v>
      </c>
      <c r="AL8" s="137" t="b">
        <f>NOT(ISERROR(IFERROR(VLOOKUP($G8&amp;"",'Modellable Customers'!$A:$A,1,0),VLOOKUP($G8,'Modellable Customers'!$A:$A,1,0))))</f>
        <v>0</v>
      </c>
      <c r="AM8" s="137" t="b">
        <f t="shared" si="9"/>
        <v>0</v>
      </c>
      <c r="AN8" s="137" t="str">
        <f t="shared" si="10"/>
        <v>CLEAR</v>
      </c>
      <c r="AO8" s="137"/>
      <c r="AP8" s="137" t="str">
        <f t="shared" si="11"/>
        <v/>
      </c>
      <c r="AQ8" s="1024" t="str">
        <f>IF($F8="","",IF(OR(U8="",U8="Existing"),IFERROR(VLOOKUP($G8,'Existing Customers'!$A:$F,4,FALSE),""),""))</f>
        <v/>
      </c>
      <c r="AR8" s="137" t="str">
        <f>IF($F8="","",IFERROR(VLOOKUP($G8,'Existing Customers'!$A:$F,4,FALSE),""))</f>
        <v/>
      </c>
      <c r="AS8" s="53" t="str">
        <f>IF($F8="","",IFERROR(VLOOKUP($G8,'Existing Customer Variable Exp'!$B:$L,6,FALSE),0))</f>
        <v/>
      </c>
      <c r="AT8" s="53" t="str">
        <f>IF($F8="","",IF(AS8=0,Welcome!$G$26,0))</f>
        <v/>
      </c>
      <c r="AU8" s="53" t="str">
        <f t="shared" si="12"/>
        <v/>
      </c>
      <c r="AV8" s="53" t="str">
        <f>IF($F8="","",IFERROR(VLOOKUP($H8,'Prospect Slot Assumptions'!$A:$D,2,FALSE),0))</f>
        <v/>
      </c>
      <c r="AW8" s="53" t="str">
        <f>IF($F8="","",IFERROR(VLOOKUP($H8,'Prospect Slot Assumptions'!$A:$D,3,FALSE),0))</f>
        <v/>
      </c>
      <c r="AX8" s="53" t="str">
        <f>IF($F8="","",IFERROR(VLOOKUP($G8,'Existing Customer Variable Exp'!$B:$L,8,FALSE),0))</f>
        <v/>
      </c>
      <c r="AY8" s="53" t="str">
        <f>IF($F8="","",IFERROR(VLOOKUP($G8,'Existing Customer Variable Exp'!$B:$L,11,FALSE),0))</f>
        <v/>
      </c>
      <c r="AZ8" s="53" t="str">
        <f t="shared" si="13"/>
        <v/>
      </c>
      <c r="BA8" s="53" t="str">
        <f t="shared" si="14"/>
        <v/>
      </c>
      <c r="BB8" s="53" t="str">
        <f t="shared" si="15"/>
        <v/>
      </c>
      <c r="BC8" s="53" t="str">
        <f>IF($F8="","",IFERROR(VLOOKUP($H8,'Prospect Slot Assumptions'!$A:$D,4,FALSE),0))</f>
        <v/>
      </c>
      <c r="BD8" s="53" t="str">
        <f t="shared" si="16"/>
        <v/>
      </c>
    </row>
    <row r="9" spans="1:56" x14ac:dyDescent="0.25">
      <c r="A9" t="str">
        <f t="shared" si="0"/>
        <v/>
      </c>
      <c r="B9">
        <f t="shared" si="1"/>
        <v>0</v>
      </c>
      <c r="C9" s="144">
        <v>4</v>
      </c>
      <c r="D9" s="144"/>
      <c r="E9" s="732"/>
      <c r="F9" s="649" t="str">
        <f>IF(Welcome!$D$14="Select # of Locations","",IF($C9&lt;=Welcome!$D$14,$C9,""))</f>
        <v/>
      </c>
      <c r="G9" s="1069"/>
      <c r="H9" s="1064"/>
      <c r="I9" s="1134"/>
      <c r="J9" s="1115"/>
      <c r="K9" s="1020" t="str">
        <f>IF($C$4&gt;=$C9,IF(SUMIF('Existing Customers'!$A:$A,'Customer Inputs'!$G9,'Existing Customers'!$Q:$Q)=0,"Enter Spend&gt;&gt;&gt;",ROUND(SUMIF('Existing Customers'!$A:$A,'Customer Inputs'!$G9,'Existing Customers'!$Q:$Q),0)),"")</f>
        <v/>
      </c>
      <c r="L9" s="651" t="str">
        <f>IF($F9="","",IFERROR(ROUND(VLOOKUP(DS38,'Existing Customer Variable Exp'!$B:$F,5,FALSE)/52,1),"Enter Drops &gt;"))</f>
        <v/>
      </c>
      <c r="M9" s="1020" t="str">
        <f>IF($F9="","",IFERROR(VLOOKUP($G9,'Existing Customers'!$A:$AD,30,FALSE),"Enter Menu Type&gt;&gt;"))</f>
        <v/>
      </c>
      <c r="N9" s="785" t="str">
        <f>IFERROR(IF($C$4&gt;=$C9,VLOOKUP($G9,'Existing Customers'!$A:$J,10,FALSE),""),"Enter Zip Code &gt;")</f>
        <v/>
      </c>
      <c r="O9" s="799" t="str">
        <f>IF($F9="","",IF(K9="Enter Spend&gt;&gt;&gt;","Enter EB % &gt;",DS$7))</f>
        <v/>
      </c>
      <c r="P9" s="807"/>
      <c r="Q9" s="669"/>
      <c r="R9" s="802"/>
      <c r="S9" s="803"/>
      <c r="T9" s="1172"/>
      <c r="U9" s="803"/>
      <c r="V9" s="653" t="s">
        <v>671</v>
      </c>
      <c r="W9" s="1025" t="str">
        <f>IF($F9="","",'Variable Costs (Back)'!$A18)</f>
        <v/>
      </c>
      <c r="X9" s="660" t="str">
        <f>IF(Q9="",L9,Q9)</f>
        <v/>
      </c>
      <c r="Y9" s="53" t="str">
        <f t="shared" si="2"/>
        <v/>
      </c>
      <c r="Z9" s="53" t="str">
        <f t="shared" si="3"/>
        <v/>
      </c>
      <c r="AA9" s="53" t="str">
        <f t="shared" si="7"/>
        <v/>
      </c>
      <c r="AB9" s="137">
        <f t="shared" si="8"/>
        <v>0</v>
      </c>
      <c r="AC9">
        <f>IF($G9="New Store",COUNTIF($G$6:$G$15,"New Store")-COUNTIF($G10:$G$15,"New Store"),0)</f>
        <v>0</v>
      </c>
      <c r="AD9" t="str">
        <f t="shared" si="4"/>
        <v/>
      </c>
      <c r="AE9" s="2" t="str">
        <f t="shared" si="5"/>
        <v/>
      </c>
      <c r="AF9" s="137"/>
      <c r="AG9" t="e">
        <f>_xlfn.CONCAT($AG$1,"_",IF(NOT(ISBLANK($H$9)),$H$9,""),"_",IF(AND(NOT(ISBLANK($G$9)),$G$9&lt;&gt;"New"),IF($M$9&lt;&gt;"Enter Menu Type&gt;&gt;",IF($R$9=0,$M$9,$R$9),$R$9),""))</f>
        <v>#N/A</v>
      </c>
      <c r="AH9" s="137"/>
      <c r="AI9" s="137"/>
      <c r="AJ9" s="137"/>
      <c r="AK9" s="137" t="b">
        <f>NOT(ISERROR(IFERROR(VLOOKUP($G9&amp;"",'HOS_Modellable Customers'!$A:$A,1,0),VLOOKUP($G9,'HOS_Modellable Customers'!$A:$A,1,0))))</f>
        <v>0</v>
      </c>
      <c r="AL9" s="137" t="b">
        <f>NOT(ISERROR(IFERROR(VLOOKUP($G9&amp;"",'Modellable Customers'!$A:$A,1,0),VLOOKUP($G9,'Modellable Customers'!$A:$A,1,0))))</f>
        <v>0</v>
      </c>
      <c r="AM9" s="137" t="b">
        <f t="shared" si="9"/>
        <v>0</v>
      </c>
      <c r="AN9" s="137" t="str">
        <f t="shared" si="10"/>
        <v>CLEAR</v>
      </c>
      <c r="AO9" s="137"/>
      <c r="AP9" s="137" t="str">
        <f t="shared" si="11"/>
        <v/>
      </c>
      <c r="AQ9" s="1024" t="str">
        <f>IF($F9="","",IF(OR(U9="",U9="Existing"),IFERROR(VLOOKUP($G9,'Existing Customers'!$A:$F,4,FALSE),""),""))</f>
        <v/>
      </c>
      <c r="AR9" s="137" t="str">
        <f>IF($F9="","",IFERROR(VLOOKUP($G9,'Existing Customers'!$A:$F,4,FALSE),""))</f>
        <v/>
      </c>
      <c r="AS9" s="53" t="str">
        <f>IF($F9="","",IFERROR(VLOOKUP($G9,'Existing Customer Variable Exp'!$B:$L,6,FALSE),0))</f>
        <v/>
      </c>
      <c r="AT9" s="53" t="str">
        <f>IF($F9="","",IF(AS9=0,Welcome!$G$26,0))</f>
        <v/>
      </c>
      <c r="AU9" s="53" t="str">
        <f t="shared" si="12"/>
        <v/>
      </c>
      <c r="AV9" s="53" t="str">
        <f>IF($F9="","",IFERROR(VLOOKUP($H9,'Prospect Slot Assumptions'!$A:$D,2,FALSE),0))</f>
        <v/>
      </c>
      <c r="AW9" s="53" t="str">
        <f>IF($F9="","",IFERROR(VLOOKUP($H9,'Prospect Slot Assumptions'!$A:$D,3,FALSE),0))</f>
        <v/>
      </c>
      <c r="AX9" s="53" t="str">
        <f>IF($F9="","",IFERROR(VLOOKUP($G9,'Existing Customer Variable Exp'!$B:$L,8,FALSE),0))</f>
        <v/>
      </c>
      <c r="AY9" s="53" t="str">
        <f>IF($F9="","",IFERROR(VLOOKUP($G9,'Existing Customer Variable Exp'!$B:$L,11,FALSE),0))</f>
        <v/>
      </c>
      <c r="AZ9" s="53" t="str">
        <f t="shared" si="13"/>
        <v/>
      </c>
      <c r="BA9" s="53" t="str">
        <f t="shared" si="14"/>
        <v/>
      </c>
      <c r="BB9" s="53" t="str">
        <f t="shared" si="15"/>
        <v/>
      </c>
      <c r="BC9" s="53" t="str">
        <f>IF($F9="","",IFERROR(VLOOKUP($H9,'Prospect Slot Assumptions'!$A:$D,4,FALSE),0))</f>
        <v/>
      </c>
      <c r="BD9" s="53" t="str">
        <f t="shared" si="16"/>
        <v/>
      </c>
    </row>
    <row r="10" spans="1:56" x14ac:dyDescent="0.25">
      <c r="A10" t="str">
        <f t="shared" si="0"/>
        <v/>
      </c>
      <c r="B10">
        <f t="shared" si="1"/>
        <v>0</v>
      </c>
      <c r="C10" s="144">
        <v>5</v>
      </c>
      <c r="D10" s="144"/>
      <c r="E10" s="732"/>
      <c r="F10" s="649" t="str">
        <f>IF(Welcome!$D$14="Select # of Locations","",IF($C10&lt;=Welcome!$D$14,$C10,""))</f>
        <v/>
      </c>
      <c r="G10" s="1069"/>
      <c r="H10" s="1064"/>
      <c r="I10" s="1134"/>
      <c r="J10" s="1115"/>
      <c r="K10" s="1020" t="str">
        <f>IF($C$4&gt;=$C10,IF(SUMIF('Existing Customers'!$A:$A,'Customer Inputs'!$G10,'Existing Customers'!$Q:$Q)=0,"Enter Spend&gt;&gt;&gt;",ROUND(SUMIF('Existing Customers'!$A:$A,'Customer Inputs'!$G10,'Existing Customers'!$Q:$Q),0)),"")</f>
        <v/>
      </c>
      <c r="L10" s="651" t="str">
        <f>IF($F10="","",IFERROR(ROUND(VLOOKUP(EP38,'Existing Customer Variable Exp'!$B:$F,5,FALSE)/52,1),"Enter Drops &gt;"))</f>
        <v/>
      </c>
      <c r="M10" s="1020" t="str">
        <f>IF($F10="","",IFERROR(VLOOKUP($G10,'Existing Customers'!$A:$AD,30,FALSE),"Enter Menu Type&gt;&gt;"))</f>
        <v/>
      </c>
      <c r="N10" s="785" t="str">
        <f>IFERROR(IF($C$4&gt;=$C10,VLOOKUP($G10,'Existing Customers'!$A:$J,10,FALSE),""),"Enter Zip Code &gt;")</f>
        <v/>
      </c>
      <c r="O10" s="799" t="str">
        <f>IF($F10="","",IF(K10="Enter Spend&gt;&gt;&gt;","Enter EB % &gt;",EP$7))</f>
        <v/>
      </c>
      <c r="P10" s="807"/>
      <c r="Q10" s="669"/>
      <c r="R10" s="802"/>
      <c r="S10" s="803"/>
      <c r="T10" s="1172"/>
      <c r="U10" s="803"/>
      <c r="V10" s="653" t="s">
        <v>671</v>
      </c>
      <c r="W10" s="1025" t="str">
        <f>IF($F10="","",'Variable Costs (Back)'!$A19)</f>
        <v/>
      </c>
      <c r="X10" s="660" t="str">
        <f t="shared" si="6"/>
        <v/>
      </c>
      <c r="Y10" s="53" t="str">
        <f t="shared" si="2"/>
        <v/>
      </c>
      <c r="Z10" s="53" t="str">
        <f t="shared" si="3"/>
        <v/>
      </c>
      <c r="AA10" s="53" t="str">
        <f t="shared" si="7"/>
        <v/>
      </c>
      <c r="AB10" s="137">
        <f t="shared" si="8"/>
        <v>0</v>
      </c>
      <c r="AC10">
        <f>IF($G10="New Store",COUNTIF($G$6:$G$15,"New Store")-COUNTIF($G11:$G$15,"New Store"),0)</f>
        <v>0</v>
      </c>
      <c r="AD10" t="str">
        <f t="shared" si="4"/>
        <v/>
      </c>
      <c r="AE10" s="2" t="str">
        <f t="shared" si="5"/>
        <v/>
      </c>
      <c r="AF10" s="137"/>
      <c r="AG10" t="e">
        <f>_xlfn.CONCAT($AG$1,"_",IF(NOT(ISBLANK($H$10)),$H$10,""),"_",IF(AND(NOT(ISBLANK($G$10)),$G$10&lt;&gt;"New"),IF($M$10&lt;&gt;"Enter Menu Type&gt;&gt;",IF($R$10=0,$M$10,$R$10),$R$10),""))</f>
        <v>#N/A</v>
      </c>
      <c r="AH10" s="137"/>
      <c r="AI10" s="137"/>
      <c r="AJ10" s="137"/>
      <c r="AK10" s="137" t="b">
        <f>NOT(ISERROR(IFERROR(VLOOKUP($G10&amp;"",'HOS_Modellable Customers'!$A:$A,1,0),VLOOKUP($G10,'HOS_Modellable Customers'!$A:$A,1,0))))</f>
        <v>0</v>
      </c>
      <c r="AL10" s="137" t="b">
        <f>NOT(ISERROR(IFERROR(VLOOKUP($G10&amp;"",'Modellable Customers'!$A:$A,1,0),VLOOKUP($G10,'Modellable Customers'!$A:$A,1,0))))</f>
        <v>0</v>
      </c>
      <c r="AM10" s="137" t="b">
        <f t="shared" si="9"/>
        <v>0</v>
      </c>
      <c r="AN10" s="137" t="str">
        <f t="shared" si="10"/>
        <v>CLEAR</v>
      </c>
      <c r="AO10" s="137"/>
      <c r="AP10" s="137" t="str">
        <f t="shared" si="11"/>
        <v/>
      </c>
      <c r="AQ10" s="1024" t="str">
        <f>IF($F10="","",IF(OR(U10="",U10="Existing"),IFERROR(VLOOKUP($G10,'Existing Customers'!$A:$F,4,FALSE),""),""))</f>
        <v/>
      </c>
      <c r="AR10" s="137" t="str">
        <f>IF($F10="","",IFERROR(VLOOKUP($G10,'Existing Customers'!$A:$F,4,FALSE),""))</f>
        <v/>
      </c>
      <c r="AS10" s="53" t="str">
        <f>IF($F10="","",IFERROR(VLOOKUP($G10,'Existing Customer Variable Exp'!$B:$L,6,FALSE),0))</f>
        <v/>
      </c>
      <c r="AT10" s="53" t="str">
        <f>IF($F10="","",IF(AS10=0,Welcome!$G$26,0))</f>
        <v/>
      </c>
      <c r="AU10" s="53" t="str">
        <f t="shared" si="12"/>
        <v/>
      </c>
      <c r="AV10" s="53" t="str">
        <f>IF($F10="","",IFERROR(VLOOKUP($H10,'Prospect Slot Assumptions'!$A:$D,2,FALSE),0))</f>
        <v/>
      </c>
      <c r="AW10" s="53" t="str">
        <f>IF($F10="","",IFERROR(VLOOKUP($H10,'Prospect Slot Assumptions'!$A:$D,3,FALSE),0))</f>
        <v/>
      </c>
      <c r="AX10" s="53" t="str">
        <f>IF($F10="","",IFERROR(VLOOKUP($G10,'Existing Customer Variable Exp'!$B:$L,8,FALSE),0))</f>
        <v/>
      </c>
      <c r="AY10" s="53" t="str">
        <f>IF($F10="","",IFERROR(VLOOKUP($G10,'Existing Customer Variable Exp'!$B:$L,11,FALSE),0))</f>
        <v/>
      </c>
      <c r="AZ10" s="53" t="str">
        <f t="shared" si="13"/>
        <v/>
      </c>
      <c r="BA10" s="53" t="str">
        <f t="shared" si="14"/>
        <v/>
      </c>
      <c r="BB10" s="53" t="str">
        <f t="shared" si="15"/>
        <v/>
      </c>
      <c r="BC10" s="53" t="str">
        <f>IF($F10="","",IFERROR(VLOOKUP($H10,'Prospect Slot Assumptions'!$A:$D,4,FALSE),0))</f>
        <v/>
      </c>
      <c r="BD10" s="53" t="str">
        <f t="shared" si="16"/>
        <v/>
      </c>
    </row>
    <row r="11" spans="1:56" x14ac:dyDescent="0.25">
      <c r="A11" t="str">
        <f t="shared" si="0"/>
        <v/>
      </c>
      <c r="B11">
        <f t="shared" si="1"/>
        <v>0</v>
      </c>
      <c r="C11" s="144">
        <v>6</v>
      </c>
      <c r="D11" s="144"/>
      <c r="E11" s="732"/>
      <c r="F11" s="649" t="str">
        <f>IF(Welcome!$D$14="Select # of Locations","",IF($C11&lt;=Welcome!$D$14,$C11,""))</f>
        <v/>
      </c>
      <c r="G11" s="1069"/>
      <c r="H11" s="1064"/>
      <c r="I11" s="1134"/>
      <c r="J11" s="1115"/>
      <c r="K11" s="1020" t="str">
        <f>IF($C$4&gt;=$C11,IF(SUMIF('Existing Customers'!$A:$A,'Customer Inputs'!$G11,'Existing Customers'!$Q:$Q)=0,"Enter Spend&gt;&gt;&gt;",ROUND(SUMIF('Existing Customers'!$A:$A,'Customer Inputs'!$G11,'Existing Customers'!$Q:$Q),0)),"")</f>
        <v/>
      </c>
      <c r="L11" s="651" t="str">
        <f>IF($F11="","",IFERROR(ROUND(VLOOKUP(FM38,'Existing Customer Variable Exp'!$B:$F,5,FALSE)/52,1),"Enter Drops &gt;"))</f>
        <v/>
      </c>
      <c r="M11" s="1020" t="str">
        <f>IF($F11="","",IFERROR(VLOOKUP($G11,'Existing Customers'!$A:$AD,30,FALSE),"Enter Menu Type&gt;&gt;"))</f>
        <v/>
      </c>
      <c r="N11" s="785" t="str">
        <f>IFERROR(IF($C$4&gt;=$C11,VLOOKUP($G11,'Existing Customers'!$A:$J,10,FALSE),""),"Enter Zip Code &gt;")</f>
        <v/>
      </c>
      <c r="O11" s="799" t="str">
        <f>IF($F11="","",IF(K11="Enter Spend&gt;&gt;&gt;","Enter EB % &gt;",FM$7))</f>
        <v/>
      </c>
      <c r="P11" s="807"/>
      <c r="Q11" s="669"/>
      <c r="R11" s="802"/>
      <c r="S11" s="803"/>
      <c r="T11" s="1172"/>
      <c r="U11" s="803"/>
      <c r="V11" s="653" t="s">
        <v>671</v>
      </c>
      <c r="W11" s="1025" t="str">
        <f>IF($F11="","",'Variable Costs (Back)'!$A20)</f>
        <v/>
      </c>
      <c r="X11" s="660" t="str">
        <f t="shared" si="6"/>
        <v/>
      </c>
      <c r="Y11" s="53" t="str">
        <f t="shared" si="2"/>
        <v/>
      </c>
      <c r="Z11" s="53" t="str">
        <f t="shared" si="3"/>
        <v/>
      </c>
      <c r="AA11" s="53" t="str">
        <f t="shared" si="7"/>
        <v/>
      </c>
      <c r="AB11" s="137">
        <f t="shared" si="8"/>
        <v>0</v>
      </c>
      <c r="AC11">
        <f>IF($G11="New Store",COUNTIF($G$6:$G$15,"New Store")-COUNTIF($G12:$G$15,"New Store"),0)</f>
        <v>0</v>
      </c>
      <c r="AD11" t="str">
        <f t="shared" si="4"/>
        <v/>
      </c>
      <c r="AE11" s="2" t="str">
        <f t="shared" si="5"/>
        <v/>
      </c>
      <c r="AF11" s="137"/>
      <c r="AG11" t="e">
        <f>_xlfn.CONCAT($AG$1,"_",IF(NOT(ISBLANK($H$11)),$H$11,""),"_",IF(AND(NOT(ISBLANK($G$11)),$G$11&lt;&gt;"New"),IF($M$11&lt;&gt;"Enter Menu Type&gt;&gt;",IF($R$11=0,$M$11,$R$11),$R$11),""))</f>
        <v>#N/A</v>
      </c>
      <c r="AH11" s="137"/>
      <c r="AI11" s="137"/>
      <c r="AJ11" s="137"/>
      <c r="AK11" s="137" t="b">
        <f>NOT(ISERROR(IFERROR(VLOOKUP($G11&amp;"",'HOS_Modellable Customers'!$A:$A,1,0),VLOOKUP($G11,'HOS_Modellable Customers'!$A:$A,1,0))))</f>
        <v>0</v>
      </c>
      <c r="AL11" s="137" t="b">
        <f>NOT(ISERROR(IFERROR(VLOOKUP($G11&amp;"",'Modellable Customers'!$A:$A,1,0),VLOOKUP($G11,'Modellable Customers'!$A:$A,1,0))))</f>
        <v>0</v>
      </c>
      <c r="AM11" s="137" t="b">
        <f t="shared" si="9"/>
        <v>0</v>
      </c>
      <c r="AN11" s="137" t="str">
        <f t="shared" si="10"/>
        <v>CLEAR</v>
      </c>
      <c r="AO11" s="137"/>
      <c r="AP11" s="137" t="str">
        <f t="shared" si="11"/>
        <v/>
      </c>
      <c r="AQ11" s="1024" t="str">
        <f>IF($F11="","",IF(OR(U11="",U11="Existing"),IFERROR(VLOOKUP($G11,'Existing Customers'!$A:$F,4,FALSE),""),""))</f>
        <v/>
      </c>
      <c r="AR11" s="137" t="str">
        <f>IF($F11="","",IFERROR(VLOOKUP($G11,'Existing Customers'!$A:$F,4,FALSE),""))</f>
        <v/>
      </c>
      <c r="AS11" s="53" t="str">
        <f>IF($F11="","",IFERROR(VLOOKUP($G11,'Existing Customer Variable Exp'!$B:$L,6,FALSE),0))</f>
        <v/>
      </c>
      <c r="AT11" s="53" t="str">
        <f>IF($F11="","",IF(AS11=0,Welcome!$G$26,0))</f>
        <v/>
      </c>
      <c r="AU11" s="53" t="str">
        <f t="shared" si="12"/>
        <v/>
      </c>
      <c r="AV11" s="53" t="str">
        <f>IF($F11="","",IFERROR(VLOOKUP($H11,'Prospect Slot Assumptions'!$A:$D,2,FALSE),0))</f>
        <v/>
      </c>
      <c r="AW11" s="53" t="str">
        <f>IF($F11="","",IFERROR(VLOOKUP($H11,'Prospect Slot Assumptions'!$A:$D,3,FALSE),0))</f>
        <v/>
      </c>
      <c r="AX11" s="53" t="str">
        <f>IF($F11="","",IFERROR(VLOOKUP($G11,'Existing Customer Variable Exp'!$B:$L,8,FALSE),0))</f>
        <v/>
      </c>
      <c r="AY11" s="53" t="str">
        <f>IF($F11="","",IFERROR(VLOOKUP($G11,'Existing Customer Variable Exp'!$B:$L,11,FALSE),0))</f>
        <v/>
      </c>
      <c r="AZ11" s="53" t="str">
        <f t="shared" si="13"/>
        <v/>
      </c>
      <c r="BA11" s="53" t="str">
        <f t="shared" si="14"/>
        <v/>
      </c>
      <c r="BB11" s="53" t="str">
        <f t="shared" si="15"/>
        <v/>
      </c>
      <c r="BC11" s="53" t="str">
        <f>IF($F11="","",IFERROR(VLOOKUP($H11,'Prospect Slot Assumptions'!$A:$D,4,FALSE),0))</f>
        <v/>
      </c>
      <c r="BD11" s="53" t="str">
        <f t="shared" si="16"/>
        <v/>
      </c>
    </row>
    <row r="12" spans="1:56" x14ac:dyDescent="0.25">
      <c r="A12" t="str">
        <f t="shared" si="0"/>
        <v/>
      </c>
      <c r="B12">
        <f t="shared" si="1"/>
        <v>0</v>
      </c>
      <c r="C12" s="144">
        <v>7</v>
      </c>
      <c r="D12" s="144"/>
      <c r="E12" s="732"/>
      <c r="F12" s="649" t="str">
        <f>IF(Welcome!$D$14="Select # of Locations","",IF($C12&lt;=Welcome!$D$14,$C12,""))</f>
        <v/>
      </c>
      <c r="G12" s="1069"/>
      <c r="H12" s="1064"/>
      <c r="I12" s="1134"/>
      <c r="J12" s="1115"/>
      <c r="K12" s="1020" t="str">
        <f>IF($C$4&gt;=$C12,IF(SUMIF('Existing Customers'!$A:$A,'Customer Inputs'!$G12,'Existing Customers'!$Q:$Q)=0,"Enter Spend&gt;&gt;&gt;",ROUND(SUMIF('Existing Customers'!$A:$A,'Customer Inputs'!$G12,'Existing Customers'!$Q:$Q),0)),"")</f>
        <v/>
      </c>
      <c r="L12" s="651" t="str">
        <f>IF($F12="","",IFERROR(ROUND(VLOOKUP(GJ38,'Existing Customer Variable Exp'!$B:$F,5,FALSE)/52,1),"Enter Drops &gt;"))</f>
        <v/>
      </c>
      <c r="M12" s="1020" t="str">
        <f>IF($F12="","",IFERROR(VLOOKUP($G12,'Existing Customers'!$A:$AD,30,FALSE),"Enter Menu Type&gt;&gt;"))</f>
        <v/>
      </c>
      <c r="N12" s="785" t="str">
        <f>IFERROR(IF($C$4&gt;=$C12,VLOOKUP($G12,'Existing Customers'!$A:$J,10,FALSE),""),"Enter Zip Code &gt;")</f>
        <v/>
      </c>
      <c r="O12" s="799" t="str">
        <f>IF($F12="","",IF(K12="Enter Spend&gt;&gt;&gt;","Enter EB % &gt;",GJ$7))</f>
        <v/>
      </c>
      <c r="P12" s="807"/>
      <c r="Q12" s="669"/>
      <c r="R12" s="802"/>
      <c r="S12" s="803"/>
      <c r="T12" s="1172"/>
      <c r="U12" s="803"/>
      <c r="V12" s="653" t="s">
        <v>671</v>
      </c>
      <c r="W12" s="1025" t="str">
        <f>IF($F12="","",'Variable Costs (Back)'!$A21)</f>
        <v/>
      </c>
      <c r="X12" s="660" t="str">
        <f t="shared" si="6"/>
        <v/>
      </c>
      <c r="Y12" s="53" t="str">
        <f t="shared" si="2"/>
        <v/>
      </c>
      <c r="Z12" s="53" t="str">
        <f t="shared" si="3"/>
        <v/>
      </c>
      <c r="AA12" s="53" t="str">
        <f t="shared" si="7"/>
        <v/>
      </c>
      <c r="AB12" s="137">
        <f t="shared" si="8"/>
        <v>0</v>
      </c>
      <c r="AC12">
        <f>IF($G12="New Store",COUNTIF($G$6:$G$15,"New Store")-COUNTIF($G13:$G$15,"New Store"),0)</f>
        <v>0</v>
      </c>
      <c r="AD12" t="str">
        <f t="shared" si="4"/>
        <v/>
      </c>
      <c r="AE12" s="2" t="str">
        <f t="shared" si="5"/>
        <v/>
      </c>
      <c r="AF12" s="137"/>
      <c r="AG12" t="e">
        <f>_xlfn.CONCAT($AG$1,"_",IF(NOT(ISBLANK($H$12)),$H$12,""),"_",IF(AND(NOT(ISBLANK($G$12)),$G$12&lt;&gt;"New"),IF($M$12&lt;&gt;"Enter Menu Type&gt;&gt;",IF($R$12=0,$M$12,$R$12),$R$12),""))</f>
        <v>#N/A</v>
      </c>
      <c r="AH12" s="137"/>
      <c r="AI12" s="137"/>
      <c r="AJ12" s="137"/>
      <c r="AK12" s="137" t="b">
        <f>NOT(ISERROR(IFERROR(VLOOKUP($G12&amp;"",'HOS_Modellable Customers'!$A:$A,1,0),VLOOKUP($G12,'HOS_Modellable Customers'!$A:$A,1,0))))</f>
        <v>0</v>
      </c>
      <c r="AL12" s="137" t="b">
        <f>NOT(ISERROR(IFERROR(VLOOKUP($G12&amp;"",'Modellable Customers'!$A:$A,1,0),VLOOKUP($G12,'Modellable Customers'!$A:$A,1,0))))</f>
        <v>0</v>
      </c>
      <c r="AM12" s="137" t="b">
        <f t="shared" si="9"/>
        <v>0</v>
      </c>
      <c r="AN12" s="137" t="str">
        <f t="shared" si="10"/>
        <v>CLEAR</v>
      </c>
      <c r="AO12" s="137"/>
      <c r="AP12" s="137" t="str">
        <f t="shared" si="11"/>
        <v/>
      </c>
      <c r="AQ12" s="1024" t="str">
        <f>IF($F12="","",IF(OR(U12="",U12="Existing"),IFERROR(VLOOKUP($G12,'Existing Customers'!$A:$F,4,FALSE),""),""))</f>
        <v/>
      </c>
      <c r="AR12" s="137" t="str">
        <f>IF($F12="","",IFERROR(VLOOKUP($G12,'Existing Customers'!$A:$F,4,FALSE),""))</f>
        <v/>
      </c>
      <c r="AS12" s="53" t="str">
        <f>IF($F12="","",IFERROR(VLOOKUP($G12,'Existing Customer Variable Exp'!$B:$L,6,FALSE),0))</f>
        <v/>
      </c>
      <c r="AT12" s="53" t="str">
        <f>IF($F12="","",IF(AS12=0,Welcome!$G$26,0))</f>
        <v/>
      </c>
      <c r="AU12" s="53" t="str">
        <f t="shared" si="12"/>
        <v/>
      </c>
      <c r="AV12" s="53" t="str">
        <f>IF($F12="","",IFERROR(VLOOKUP($H12,'Prospect Slot Assumptions'!$A:$D,2,FALSE),0))</f>
        <v/>
      </c>
      <c r="AW12" s="53" t="str">
        <f>IF($F12="","",IFERROR(VLOOKUP($H12,'Prospect Slot Assumptions'!$A:$D,3,FALSE),0))</f>
        <v/>
      </c>
      <c r="AX12" s="53" t="str">
        <f>IF($F12="","",IFERROR(VLOOKUP($G12,'Existing Customer Variable Exp'!$B:$L,8,FALSE),0))</f>
        <v/>
      </c>
      <c r="AY12" s="53" t="str">
        <f>IF($F12="","",IFERROR(VLOOKUP($G12,'Existing Customer Variable Exp'!$B:$L,11,FALSE),0))</f>
        <v/>
      </c>
      <c r="AZ12" s="53" t="str">
        <f t="shared" si="13"/>
        <v/>
      </c>
      <c r="BA12" s="53" t="str">
        <f t="shared" si="14"/>
        <v/>
      </c>
      <c r="BB12" s="53" t="str">
        <f t="shared" si="15"/>
        <v/>
      </c>
      <c r="BC12" s="53" t="str">
        <f>IF($F12="","",IFERROR(VLOOKUP($H12,'Prospect Slot Assumptions'!$A:$D,4,FALSE),0))</f>
        <v/>
      </c>
      <c r="BD12" s="53" t="str">
        <f t="shared" si="16"/>
        <v/>
      </c>
    </row>
    <row r="13" spans="1:56" x14ac:dyDescent="0.25">
      <c r="A13" t="str">
        <f t="shared" si="0"/>
        <v/>
      </c>
      <c r="B13">
        <f t="shared" si="1"/>
        <v>0</v>
      </c>
      <c r="C13" s="144">
        <v>8</v>
      </c>
      <c r="D13" s="144"/>
      <c r="E13" s="732"/>
      <c r="F13" s="649" t="str">
        <f>IF(Welcome!$D$14="Select # of Locations","",IF($C13&lt;=Welcome!$D$14,$C13,""))</f>
        <v/>
      </c>
      <c r="G13" s="1069"/>
      <c r="H13" s="1064"/>
      <c r="I13" s="1134"/>
      <c r="J13" s="1115"/>
      <c r="K13" s="1020" t="str">
        <f>IF($C$4&gt;=$C13,IF(SUMIF('Existing Customers'!$A:$A,'Customer Inputs'!$G13,'Existing Customers'!$Q:$Q)=0,"Enter Spend&gt;&gt;&gt;",ROUND(SUMIF('Existing Customers'!$A:$A,'Customer Inputs'!$G13,'Existing Customers'!$Q:$Q),0)),"")</f>
        <v/>
      </c>
      <c r="L13" s="651" t="str">
        <f>IF($F13="","",IFERROR(ROUND(VLOOKUP(HG38,'Existing Customer Variable Exp'!$B:$F,5,FALSE)/52,1),"Enter Drops &gt;"))</f>
        <v/>
      </c>
      <c r="M13" s="1020" t="str">
        <f>IF($F13="","",IFERROR(VLOOKUP($G13,'Existing Customers'!$A:$AD,30,FALSE),"Enter Menu Type&gt;&gt;"))</f>
        <v/>
      </c>
      <c r="N13" s="785" t="str">
        <f>IFERROR(IF($C$4&gt;=$C13,VLOOKUP($G13,'Existing Customers'!$A:$J,10,FALSE),""),"Enter Zip Code &gt;")</f>
        <v/>
      </c>
      <c r="O13" s="799" t="str">
        <f>IF($F13="","",IF(K13="Enter Spend&gt;&gt;&gt;","Enter EB % &gt;",HG$7))</f>
        <v/>
      </c>
      <c r="P13" s="807"/>
      <c r="Q13" s="669"/>
      <c r="R13" s="802"/>
      <c r="S13" s="803"/>
      <c r="T13" s="1172"/>
      <c r="U13" s="803"/>
      <c r="V13" s="653" t="s">
        <v>671</v>
      </c>
      <c r="W13" s="1025" t="str">
        <f>IF($F13="","",'Variable Costs (Back)'!$A22)</f>
        <v/>
      </c>
      <c r="X13" s="660" t="str">
        <f t="shared" si="6"/>
        <v/>
      </c>
      <c r="Y13" s="53" t="str">
        <f t="shared" si="2"/>
        <v/>
      </c>
      <c r="Z13" s="53" t="str">
        <f t="shared" si="3"/>
        <v/>
      </c>
      <c r="AA13" s="53" t="str">
        <f t="shared" si="7"/>
        <v/>
      </c>
      <c r="AB13" s="137">
        <f t="shared" si="8"/>
        <v>0</v>
      </c>
      <c r="AC13">
        <f>IF($G13="New Store",COUNTIF($G$6:$G$15,"New Store")-COUNTIF($G14:$G$15,"New Store"),0)</f>
        <v>0</v>
      </c>
      <c r="AD13" t="str">
        <f t="shared" si="4"/>
        <v/>
      </c>
      <c r="AE13" s="2" t="str">
        <f t="shared" si="5"/>
        <v/>
      </c>
      <c r="AF13" s="137"/>
      <c r="AG13" t="e">
        <f>_xlfn.CONCAT($AG$1,"_",IF(NOT(ISBLANK($H$13)),$H$13,""),"_",IF(AND(NOT(ISBLANK($G$13)),$G$13&lt;&gt;"New"),IF($M$13&lt;&gt;"Enter Menu Type&gt;&gt;",IF($R$13=0,$M$13,$R$13),$R$13),""))</f>
        <v>#N/A</v>
      </c>
      <c r="AH13" s="137"/>
      <c r="AI13" s="137"/>
      <c r="AJ13" s="137"/>
      <c r="AK13" s="137" t="b">
        <f>NOT(ISERROR(IFERROR(VLOOKUP($G13&amp;"",'HOS_Modellable Customers'!$A:$A,1,0),VLOOKUP($G13,'HOS_Modellable Customers'!$A:$A,1,0))))</f>
        <v>0</v>
      </c>
      <c r="AL13" s="137" t="b">
        <f>NOT(ISERROR(IFERROR(VLOOKUP($G13&amp;"",'Modellable Customers'!$A:$A,1,0),VLOOKUP($G13,'Modellable Customers'!$A:$A,1,0))))</f>
        <v>0</v>
      </c>
      <c r="AM13" s="137" t="b">
        <f t="shared" ref="AM13:AM15" si="17">IF(K13="Enter Spend&gt;&gt;&gt;",TRUE,FALSE)</f>
        <v>0</v>
      </c>
      <c r="AN13" s="137" t="str">
        <f t="shared" si="10"/>
        <v>CLEAR</v>
      </c>
      <c r="AO13" s="137"/>
      <c r="AP13" s="137" t="str">
        <f t="shared" si="11"/>
        <v/>
      </c>
      <c r="AQ13" s="1024" t="str">
        <f>IF($F13="","",IF(OR(U13="",U13="Existing"),IFERROR(VLOOKUP($G13,'Existing Customers'!$A:$F,4,FALSE),""),""))</f>
        <v/>
      </c>
      <c r="AR13" s="137" t="str">
        <f>IF($F13="","",IFERROR(VLOOKUP($G13,'Existing Customers'!$A:$F,4,FALSE),""))</f>
        <v/>
      </c>
      <c r="AS13" s="53" t="str">
        <f>IF($F13="","",IFERROR(VLOOKUP($G13,'Existing Customer Variable Exp'!$B:$L,6,FALSE),0))</f>
        <v/>
      </c>
      <c r="AT13" s="53" t="str">
        <f>IF($F13="","",IF(AS13=0,Welcome!$G$26,0))</f>
        <v/>
      </c>
      <c r="AU13" s="53" t="str">
        <f t="shared" si="12"/>
        <v/>
      </c>
      <c r="AV13" s="53" t="str">
        <f>IF($F13="","",IFERROR(VLOOKUP($H13,'Prospect Slot Assumptions'!$A:$D,2,FALSE),0))</f>
        <v/>
      </c>
      <c r="AW13" s="53" t="str">
        <f>IF($F13="","",IFERROR(VLOOKUP($H13,'Prospect Slot Assumptions'!$A:$D,3,FALSE),0))</f>
        <v/>
      </c>
      <c r="AX13" s="53" t="str">
        <f>IF($F13="","",IFERROR(VLOOKUP($G13,'Existing Customer Variable Exp'!$B:$L,8,FALSE),0))</f>
        <v/>
      </c>
      <c r="AY13" s="53" t="str">
        <f>IF($F13="","",IFERROR(VLOOKUP($G13,'Existing Customer Variable Exp'!$B:$L,11,FALSE),0))</f>
        <v/>
      </c>
      <c r="AZ13" s="53" t="str">
        <f t="shared" si="13"/>
        <v/>
      </c>
      <c r="BA13" s="53" t="str">
        <f t="shared" si="14"/>
        <v/>
      </c>
      <c r="BB13" s="53" t="str">
        <f t="shared" si="15"/>
        <v/>
      </c>
      <c r="BC13" s="53" t="str">
        <f>IF($F13="","",IFERROR(VLOOKUP($H13,'Prospect Slot Assumptions'!$A:$D,4,FALSE),0))</f>
        <v/>
      </c>
      <c r="BD13" s="53" t="str">
        <f t="shared" si="16"/>
        <v/>
      </c>
    </row>
    <row r="14" spans="1:56" x14ac:dyDescent="0.25">
      <c r="A14" t="str">
        <f t="shared" si="0"/>
        <v/>
      </c>
      <c r="B14">
        <f t="shared" si="1"/>
        <v>0</v>
      </c>
      <c r="C14" s="144">
        <v>9</v>
      </c>
      <c r="D14" s="144"/>
      <c r="E14" s="732"/>
      <c r="F14" s="649" t="str">
        <f>IF(Welcome!$D$14="Select # of Locations","",IF($C14&lt;=Welcome!$D$14,$C14,""))</f>
        <v/>
      </c>
      <c r="G14" s="1069"/>
      <c r="H14" s="1064"/>
      <c r="I14" s="1134"/>
      <c r="J14" s="1115"/>
      <c r="K14" s="1020" t="str">
        <f>IF($C$4&gt;=$C14,IF(SUMIF('Existing Customers'!$A:$A,'Customer Inputs'!$G14,'Existing Customers'!$Q:$Q)=0,"Enter Spend&gt;&gt;&gt;",ROUND(SUMIF('Existing Customers'!$A:$A,'Customer Inputs'!$G14,'Existing Customers'!$Q:$Q),0)),"")</f>
        <v/>
      </c>
      <c r="L14" s="651" t="str">
        <f>IF($F14="","",IFERROR(ROUND(VLOOKUP(ID38,'Existing Customer Variable Exp'!$B:$F,5,FALSE)/52,1),"Enter Drops &gt;"))</f>
        <v/>
      </c>
      <c r="M14" s="1020" t="str">
        <f>IF($F14="","",IFERROR(VLOOKUP($G14,'Existing Customers'!$A:$AD,30,FALSE),"Enter Menu Type&gt;&gt;"))</f>
        <v/>
      </c>
      <c r="N14" s="785" t="str">
        <f>IFERROR(IF($C$4&gt;=$C14,VLOOKUP($G14,'Existing Customers'!$A:$J,10,FALSE),""),"Enter Zip Code &gt;")</f>
        <v/>
      </c>
      <c r="O14" s="799" t="str">
        <f>IF($F14="","",IF(K14="Enter Spend&gt;&gt;&gt;","Enter EB % &gt;",ID$7))</f>
        <v/>
      </c>
      <c r="P14" s="807"/>
      <c r="Q14" s="669"/>
      <c r="R14" s="802"/>
      <c r="S14" s="803"/>
      <c r="T14" s="1172"/>
      <c r="U14" s="803"/>
      <c r="V14" s="653" t="s">
        <v>671</v>
      </c>
      <c r="W14" s="1025" t="str">
        <f>IF($F14="","",'Variable Costs (Back)'!$A23)</f>
        <v/>
      </c>
      <c r="X14" s="660" t="str">
        <f t="shared" si="6"/>
        <v/>
      </c>
      <c r="Y14" s="53" t="str">
        <f t="shared" si="2"/>
        <v/>
      </c>
      <c r="Z14" s="53" t="str">
        <f t="shared" si="3"/>
        <v/>
      </c>
      <c r="AA14" s="53" t="str">
        <f t="shared" si="7"/>
        <v/>
      </c>
      <c r="AB14" s="137">
        <f t="shared" si="8"/>
        <v>0</v>
      </c>
      <c r="AC14">
        <f>IF($G14="New Store",COUNTIF($G$6:$G$15,"New Store")-COUNTIF($G15:$G$15,"New Store"),0)</f>
        <v>0</v>
      </c>
      <c r="AD14" t="str">
        <f t="shared" si="4"/>
        <v/>
      </c>
      <c r="AE14" s="2" t="str">
        <f t="shared" si="5"/>
        <v/>
      </c>
      <c r="AF14" s="137"/>
      <c r="AG14" t="e">
        <f>_xlfn.CONCAT($AG$1,"_",IF(NOT(ISBLANK($H$14)),$H$14,""),"_",IF(AND(NOT(ISBLANK($G$14)),$G$14&lt;&gt;"New"),IF($M$14&lt;&gt;"Enter Menu Type&gt;&gt;",IF($R$14=0,$M$14,$R$14),$R$14),""))</f>
        <v>#N/A</v>
      </c>
      <c r="AH14" s="137"/>
      <c r="AI14" s="137"/>
      <c r="AJ14" s="137"/>
      <c r="AK14" s="137" t="b">
        <f>NOT(ISERROR(IFERROR(VLOOKUP($G14&amp;"",'HOS_Modellable Customers'!$A:$A,1,0),VLOOKUP($G14,'HOS_Modellable Customers'!$A:$A,1,0))))</f>
        <v>0</v>
      </c>
      <c r="AL14" s="137" t="b">
        <f>NOT(ISERROR(IFERROR(VLOOKUP($G14&amp;"",'Modellable Customers'!$A:$A,1,0),VLOOKUP($G14,'Modellable Customers'!$A:$A,1,0))))</f>
        <v>0</v>
      </c>
      <c r="AM14" s="137" t="b">
        <f t="shared" si="17"/>
        <v>0</v>
      </c>
      <c r="AN14" s="137" t="str">
        <f t="shared" si="10"/>
        <v>CLEAR</v>
      </c>
      <c r="AO14" s="137"/>
      <c r="AP14" s="137" t="str">
        <f t="shared" si="11"/>
        <v/>
      </c>
      <c r="AQ14" s="1024" t="str">
        <f>IF($F14="","",IF(OR(U14="",U14="Existing"),IFERROR(VLOOKUP($G14,'Existing Customers'!$A:$F,4,FALSE),""),""))</f>
        <v/>
      </c>
      <c r="AR14" s="137" t="str">
        <f>IF($F14="","",IFERROR(VLOOKUP($G14,'Existing Customers'!$A:$F,4,FALSE),""))</f>
        <v/>
      </c>
      <c r="AS14" s="53" t="str">
        <f>IF($F14="","",IFERROR(VLOOKUP($G14,'Existing Customer Variable Exp'!$B:$L,6,FALSE),0))</f>
        <v/>
      </c>
      <c r="AT14" s="53" t="str">
        <f>IF($F14="","",IF(AS14=0,Welcome!$G$26,0))</f>
        <v/>
      </c>
      <c r="AU14" s="53" t="str">
        <f t="shared" si="12"/>
        <v/>
      </c>
      <c r="AV14" s="53" t="str">
        <f>IF($F14="","",IFERROR(VLOOKUP($H14,'Prospect Slot Assumptions'!$A:$D,2,FALSE),0))</f>
        <v/>
      </c>
      <c r="AW14" s="53" t="str">
        <f>IF($F14="","",IFERROR(VLOOKUP($H14,'Prospect Slot Assumptions'!$A:$D,3,FALSE),0))</f>
        <v/>
      </c>
      <c r="AX14" s="53" t="str">
        <f>IF($F14="","",IFERROR(VLOOKUP($G14,'Existing Customer Variable Exp'!$B:$L,8,FALSE),0))</f>
        <v/>
      </c>
      <c r="AY14" s="53" t="str">
        <f>IF($F14="","",IFERROR(VLOOKUP($G14,'Existing Customer Variable Exp'!$B:$L,11,FALSE),0))</f>
        <v/>
      </c>
      <c r="AZ14" s="53" t="str">
        <f t="shared" si="13"/>
        <v/>
      </c>
      <c r="BA14" s="53" t="str">
        <f t="shared" si="14"/>
        <v/>
      </c>
      <c r="BB14" s="53" t="str">
        <f t="shared" si="15"/>
        <v/>
      </c>
      <c r="BC14" s="53" t="str">
        <f>IF($F14="","",IFERROR(VLOOKUP($H14,'Prospect Slot Assumptions'!$A:$D,4,FALSE),0))</f>
        <v/>
      </c>
      <c r="BD14" s="53" t="str">
        <f t="shared" si="16"/>
        <v/>
      </c>
    </row>
    <row r="15" spans="1:56" ht="15.75" thickBot="1" x14ac:dyDescent="0.3">
      <c r="A15" t="str">
        <f t="shared" si="0"/>
        <v/>
      </c>
      <c r="B15">
        <f t="shared" si="1"/>
        <v>0</v>
      </c>
      <c r="C15" s="144">
        <v>10</v>
      </c>
      <c r="D15" s="144"/>
      <c r="E15" s="732"/>
      <c r="F15" s="650" t="str">
        <f>IF(Welcome!$D$14="Select # of Locations","",IF($C15&lt;=Welcome!$D$14,$C15,""))</f>
        <v/>
      </c>
      <c r="G15" s="1070"/>
      <c r="H15" s="1065"/>
      <c r="I15" s="1072"/>
      <c r="J15" s="1114"/>
      <c r="K15" s="1021" t="str">
        <f>IF($C$4&gt;=$C15,IF(SUMIF('Existing Customers'!$A:$A,'Customer Inputs'!$G15,'Existing Customers'!$Q:$Q)=0,"Enter Spend&gt;&gt;&gt;",ROUND(SUMIF('Existing Customers'!$A:$A,'Customer Inputs'!$G15,'Existing Customers'!$Q:$Q),0)),"")</f>
        <v/>
      </c>
      <c r="L15" s="652" t="str">
        <f>IF($F15="","",IFERROR(ROUND(VLOOKUP(JA38,'Existing Customer Variable Exp'!$B:$F,5,FALSE)/52,1),"Enter Drops &gt;"))</f>
        <v/>
      </c>
      <c r="M15" s="1154" t="str">
        <f>IF($F15="","",IFERROR(VLOOKUP($G15,'Existing Customers'!$A:$AD,30,FALSE),"Enter Menu Type&gt;&gt;"))</f>
        <v/>
      </c>
      <c r="N15" s="786" t="str">
        <f>IFERROR(IF($C$4&gt;=$C15,VLOOKUP($G15,'Existing Customers'!$A:$J,10,FALSE),""),"Enter Zip Code &gt;")</f>
        <v/>
      </c>
      <c r="O15" s="795" t="str">
        <f>IF($F15="","",IF(K15="Enter Spend&gt;&gt;&gt;","Enter EB % &gt;",JA$7))</f>
        <v/>
      </c>
      <c r="P15" s="808"/>
      <c r="Q15" s="670"/>
      <c r="R15" s="809"/>
      <c r="S15" s="810"/>
      <c r="T15" s="1173"/>
      <c r="U15" s="810"/>
      <c r="V15" s="654" t="s">
        <v>671</v>
      </c>
      <c r="W15" s="1025" t="str">
        <f>IF($F15="","",'Variable Costs (Back)'!$A24)</f>
        <v/>
      </c>
      <c r="X15" s="660" t="str">
        <f t="shared" si="6"/>
        <v/>
      </c>
      <c r="Y15" s="53" t="str">
        <f t="shared" si="2"/>
        <v/>
      </c>
      <c r="Z15" s="53" t="str">
        <f t="shared" si="3"/>
        <v/>
      </c>
      <c r="AA15" s="53" t="str">
        <f t="shared" si="7"/>
        <v/>
      </c>
      <c r="AB15" s="137">
        <f t="shared" si="8"/>
        <v>0</v>
      </c>
      <c r="AC15">
        <f>IF(IF($G15="New Store",COUNTIF($G$6:$G$15,"New Store")-COUNTIF($G$15:$G16,"New Store"),0)=9,10,9)</f>
        <v>9</v>
      </c>
      <c r="AD15" t="str">
        <f t="shared" si="4"/>
        <v/>
      </c>
      <c r="AE15" s="2" t="str">
        <f t="shared" si="5"/>
        <v/>
      </c>
      <c r="AF15" s="137"/>
      <c r="AG15" s="137" t="e">
        <f>_xlfn.CONCAT($AG$1,"_",IF(NOT(ISBLANK($H$15)),$H$15,""),"_",IF(AND(NOT(ISBLANK($G$15)),$G$15&lt;&gt;"New"),IF($M$15&lt;&gt;"Enter Menu Type&gt;&gt;",IF($R$15=0,$M$15,$R$15),$R$15),""))</f>
        <v>#N/A</v>
      </c>
      <c r="AH15" s="137"/>
      <c r="AI15" s="137"/>
      <c r="AJ15" s="137"/>
      <c r="AK15" s="137" t="b">
        <f>NOT(ISERROR(IFERROR(VLOOKUP($G15&amp;"",'HOS_Modellable Customers'!$A:$A,1,0),VLOOKUP($G15,'HOS_Modellable Customers'!$A:$A,1,0))))</f>
        <v>0</v>
      </c>
      <c r="AL15" s="137" t="b">
        <f>NOT(ISERROR(IFERROR(VLOOKUP($G15&amp;"",'Modellable Customers'!$A:$A,1,0),VLOOKUP($G15,'Modellable Customers'!$A:$A,1,0))))</f>
        <v>0</v>
      </c>
      <c r="AM15" s="137" t="b">
        <f t="shared" si="17"/>
        <v>0</v>
      </c>
      <c r="AN15" s="137" t="str">
        <f t="shared" si="10"/>
        <v>CLEAR</v>
      </c>
      <c r="AO15" s="137"/>
      <c r="AP15" s="137" t="str">
        <f t="shared" si="11"/>
        <v/>
      </c>
      <c r="AQ15" s="1024" t="str">
        <f>IF($F15="","",IF(OR(U15="",U15="Existing"),IFERROR(VLOOKUP($G15,'Existing Customers'!$A:$F,4,FALSE),""),""))</f>
        <v/>
      </c>
      <c r="AR15" s="137" t="str">
        <f>IF($F15="","",IFERROR(VLOOKUP($G15,'Existing Customers'!$A:$F,4,FALSE),""))</f>
        <v/>
      </c>
      <c r="AS15" s="53" t="str">
        <f>IF($F15="","",IFERROR(VLOOKUP($G15,'Existing Customer Variable Exp'!$B:$L,6,FALSE),0))</f>
        <v/>
      </c>
      <c r="AT15" s="53" t="str">
        <f>IF($F15="","",IF(AS15=0,Welcome!$G$26,0))</f>
        <v/>
      </c>
      <c r="AU15" s="53" t="str">
        <f t="shared" si="12"/>
        <v/>
      </c>
      <c r="AV15" s="53" t="str">
        <f>IF($F15="","",IFERROR(VLOOKUP($H15,'Prospect Slot Assumptions'!$A:$D,2,FALSE),0))</f>
        <v/>
      </c>
      <c r="AW15" s="53" t="str">
        <f>IF($F15="","",IFERROR(VLOOKUP($H15,'Prospect Slot Assumptions'!$A:$D,3,FALSE),0))</f>
        <v/>
      </c>
      <c r="AX15" s="53" t="str">
        <f>IF($F15="","",IFERROR(VLOOKUP($G15,'Existing Customer Variable Exp'!$B:$L,8,FALSE),0))</f>
        <v/>
      </c>
      <c r="AY15" s="53" t="str">
        <f>IF($F15="","",IFERROR(VLOOKUP($G15,'Existing Customer Variable Exp'!$B:$L,11,FALSE),0))</f>
        <v/>
      </c>
      <c r="AZ15" s="53" t="str">
        <f t="shared" si="13"/>
        <v/>
      </c>
      <c r="BA15" s="53" t="str">
        <f t="shared" si="14"/>
        <v/>
      </c>
      <c r="BB15" s="53" t="str">
        <f t="shared" si="15"/>
        <v/>
      </c>
      <c r="BC15" s="53" t="str">
        <f>IF($F15="","",IFERROR(VLOOKUP($H15,'Prospect Slot Assumptions'!$A:$D,4,FALSE),0))</f>
        <v/>
      </c>
      <c r="BD15" s="53" t="str">
        <f t="shared" si="16"/>
        <v/>
      </c>
    </row>
    <row r="16" spans="1:56" ht="15.75" thickBot="1" x14ac:dyDescent="0.3">
      <c r="E16" s="663"/>
      <c r="F16" s="790"/>
      <c r="G16" s="790"/>
      <c r="H16" s="790"/>
      <c r="I16" s="790"/>
      <c r="J16" s="790"/>
      <c r="K16" s="794"/>
      <c r="L16" s="790"/>
      <c r="M16" s="790"/>
      <c r="N16" s="790"/>
      <c r="O16" s="790"/>
      <c r="P16" s="790"/>
      <c r="Q16" s="790"/>
      <c r="R16" s="790"/>
      <c r="S16" s="790"/>
      <c r="T16" s="790"/>
      <c r="U16" s="790"/>
      <c r="V16" s="790"/>
      <c r="W16" s="664"/>
      <c r="X16" s="137">
        <f>COUNTIF($X$6:$X$15,"Enter Drops &gt;")</f>
        <v>0</v>
      </c>
      <c r="Y16" s="137"/>
      <c r="Z16" s="137"/>
      <c r="AA16" s="721">
        <f>COUNTIF($AA$6:$AA$15,"Enter EB % &gt;")</f>
        <v>0</v>
      </c>
      <c r="AB16" s="137">
        <f>SUM(AB6:AB15)</f>
        <v>0</v>
      </c>
      <c r="AC16" s="137"/>
      <c r="AD16" s="137"/>
      <c r="AE16" s="137"/>
      <c r="AF16" s="137"/>
      <c r="AG16" s="137"/>
      <c r="AH16" s="137"/>
      <c r="AI16" s="137"/>
      <c r="AJ16" s="137"/>
      <c r="AK16" s="137"/>
      <c r="AL16" s="137"/>
      <c r="AM16" s="137"/>
      <c r="AN16" s="137"/>
      <c r="AO16" s="137"/>
      <c r="AP16" s="137"/>
      <c r="AQ16" s="137"/>
      <c r="AR16" s="137"/>
      <c r="AS16" s="137"/>
      <c r="AT16" s="137"/>
      <c r="AU16" s="137"/>
      <c r="AV16" s="137"/>
      <c r="AW16" s="137"/>
      <c r="AX16" s="137"/>
      <c r="AY16" s="137"/>
      <c r="AZ16" s="137"/>
      <c r="BA16" s="53">
        <f>SUM(BA6:BA15)</f>
        <v>0</v>
      </c>
      <c r="BB16" s="790"/>
      <c r="BC16" s="53">
        <f>SUM(BC6:BC15)</f>
        <v>0</v>
      </c>
      <c r="BD16" s="53">
        <f>SUM(BD6:BD15)</f>
        <v>0</v>
      </c>
    </row>
    <row r="17" spans="5:56" ht="14.45" customHeight="1" x14ac:dyDescent="0.25">
      <c r="E17" s="663"/>
      <c r="F17" s="790"/>
      <c r="G17" s="1107" t="s">
        <v>1184</v>
      </c>
      <c r="H17" s="1107" t="s">
        <v>1184</v>
      </c>
      <c r="I17" s="1246">
        <f>SUM($I$6:$I$15)</f>
        <v>0</v>
      </c>
      <c r="J17" s="1249" t="s">
        <v>1442</v>
      </c>
      <c r="K17" s="1251">
        <f>SUM($K$6:$K$15)</f>
        <v>0</v>
      </c>
      <c r="L17" s="1249" t="s">
        <v>1443</v>
      </c>
      <c r="M17" s="790"/>
      <c r="N17" s="790"/>
      <c r="O17" s="790"/>
      <c r="P17" s="1246">
        <f>SUMIF($F$6:$F$15,"&gt;0",$P$6:$P$15)</f>
        <v>0</v>
      </c>
      <c r="Q17" s="1253" t="s">
        <v>1444</v>
      </c>
      <c r="R17" s="1108"/>
      <c r="S17" s="790"/>
      <c r="T17" s="790"/>
      <c r="U17" s="790"/>
      <c r="V17" s="790"/>
      <c r="W17" s="664"/>
      <c r="X17" s="137"/>
      <c r="Y17" s="137"/>
      <c r="Z17" s="137"/>
      <c r="AA17" s="137"/>
      <c r="AB17" s="137" t="s">
        <v>1082</v>
      </c>
      <c r="AC17" s="137"/>
      <c r="AD17" s="137"/>
      <c r="AE17" s="137"/>
      <c r="AF17" s="137"/>
      <c r="AG17" s="137"/>
      <c r="AH17" s="137"/>
      <c r="AI17" s="137"/>
      <c r="AJ17" s="137"/>
      <c r="AK17" s="137"/>
      <c r="AL17" s="137"/>
      <c r="AM17" s="137"/>
      <c r="AN17" s="137"/>
      <c r="AO17" s="137"/>
      <c r="AP17" s="137"/>
      <c r="AQ17" s="137"/>
      <c r="AR17" s="137"/>
      <c r="AS17" s="137"/>
      <c r="AT17" s="137"/>
      <c r="AU17" s="137"/>
      <c r="AV17" s="137"/>
      <c r="AW17" s="137"/>
      <c r="AX17" s="137"/>
      <c r="AY17" s="137"/>
      <c r="AZ17" s="137"/>
      <c r="BA17" s="137"/>
      <c r="BB17" s="137"/>
      <c r="BC17" s="137"/>
      <c r="BD17" s="137"/>
    </row>
    <row r="18" spans="5:56" ht="20.25" customHeight="1" thickBot="1" x14ac:dyDescent="0.3">
      <c r="E18" s="663"/>
      <c r="F18" s="790"/>
      <c r="G18" s="1107"/>
      <c r="H18" s="1107"/>
      <c r="I18" s="1247"/>
      <c r="J18" s="1250"/>
      <c r="K18" s="1252"/>
      <c r="L18" s="1250"/>
      <c r="M18" s="790"/>
      <c r="N18" s="790"/>
      <c r="O18" s="790"/>
      <c r="P18" s="1247"/>
      <c r="Q18" s="1254"/>
      <c r="R18" s="1108"/>
      <c r="S18" s="790"/>
      <c r="T18" s="790"/>
      <c r="U18" s="790"/>
      <c r="V18" s="790"/>
      <c r="W18" s="664"/>
      <c r="X18" s="137"/>
      <c r="Y18" s="137"/>
      <c r="Z18" s="137"/>
      <c r="AA18" s="137"/>
      <c r="AB18" s="137"/>
      <c r="AC18" s="137"/>
      <c r="AD18" s="137"/>
      <c r="AE18" s="137"/>
      <c r="AF18" s="137"/>
      <c r="AG18" s="137"/>
      <c r="AH18" s="137"/>
      <c r="AI18" s="137"/>
      <c r="AJ18" s="137"/>
      <c r="AK18" s="137"/>
      <c r="AL18" s="137"/>
      <c r="AM18" s="137"/>
      <c r="AN18" s="137"/>
      <c r="AO18" s="137"/>
      <c r="AP18" s="137"/>
      <c r="AQ18" s="137"/>
      <c r="AR18" s="137"/>
      <c r="AS18" s="137"/>
      <c r="AT18" s="137"/>
      <c r="AU18" s="137"/>
      <c r="AV18" s="137"/>
      <c r="AW18" s="137"/>
      <c r="AX18" s="137"/>
      <c r="AY18" s="137"/>
      <c r="AZ18" s="137"/>
      <c r="BA18" s="137"/>
      <c r="BB18" s="137"/>
      <c r="BC18" s="137"/>
      <c r="BD18" s="137"/>
    </row>
    <row r="19" spans="5:56" ht="19.149999999999999" customHeight="1" thickBot="1" x14ac:dyDescent="0.3">
      <c r="E19" s="665"/>
      <c r="F19" s="666"/>
      <c r="G19" s="666"/>
      <c r="H19" s="666"/>
      <c r="I19" s="666"/>
      <c r="J19" s="666"/>
      <c r="K19" s="666"/>
      <c r="L19" s="666"/>
      <c r="M19" s="666"/>
      <c r="N19" s="703"/>
      <c r="O19" s="288"/>
      <c r="P19" s="703"/>
      <c r="Q19" s="703"/>
      <c r="R19" s="666"/>
      <c r="S19" s="666"/>
      <c r="T19" s="666"/>
      <c r="U19" s="666"/>
      <c r="V19" s="666"/>
      <c r="W19" s="667"/>
      <c r="X19" s="137"/>
      <c r="Y19" s="137"/>
      <c r="Z19" s="137"/>
      <c r="AA19" s="137"/>
      <c r="AB19" s="137"/>
      <c r="AC19" s="137"/>
      <c r="AD19" s="137"/>
      <c r="AE19" s="137"/>
      <c r="AF19" s="137"/>
      <c r="AG19" s="137"/>
      <c r="AH19" s="137"/>
      <c r="AI19" s="137"/>
      <c r="AJ19" s="137"/>
      <c r="AK19" s="137"/>
      <c r="AL19" s="137"/>
      <c r="AM19" s="137"/>
      <c r="AN19" s="137"/>
      <c r="AO19" s="137"/>
      <c r="AP19" s="137"/>
      <c r="AQ19" s="137"/>
      <c r="AR19" s="137"/>
      <c r="AS19" s="137"/>
      <c r="AT19" s="137"/>
      <c r="AU19" s="137"/>
      <c r="AV19" s="137"/>
      <c r="AW19" s="137"/>
      <c r="AX19" s="137"/>
      <c r="AY19" s="137"/>
      <c r="AZ19" s="137"/>
      <c r="BA19" s="137"/>
      <c r="BB19" s="137"/>
      <c r="BC19" s="137"/>
      <c r="BD19" s="137"/>
    </row>
    <row r="20" spans="5:56" x14ac:dyDescent="0.25">
      <c r="E20" s="137"/>
      <c r="F20" s="137"/>
      <c r="G20" s="137"/>
      <c r="H20" s="137"/>
      <c r="I20" s="137"/>
      <c r="J20" s="137"/>
      <c r="K20" s="137"/>
      <c r="L20" s="137"/>
      <c r="M20" s="137"/>
      <c r="N20" s="137"/>
      <c r="O20" s="137"/>
      <c r="P20" s="137"/>
      <c r="Q20" s="137"/>
      <c r="R20" s="137"/>
      <c r="S20" s="137"/>
      <c r="T20" s="137"/>
      <c r="U20" s="137"/>
      <c r="V20" s="137"/>
      <c r="W20" s="137"/>
      <c r="X20" s="137"/>
      <c r="Y20" s="137"/>
      <c r="Z20" s="137"/>
      <c r="AA20" s="137"/>
      <c r="AB20" s="137"/>
      <c r="AC20" s="137"/>
      <c r="AD20" s="137"/>
      <c r="AE20" s="137"/>
      <c r="AF20" s="137"/>
      <c r="AG20" s="137"/>
      <c r="AH20" s="137"/>
      <c r="AI20" s="137"/>
      <c r="AJ20" s="137"/>
      <c r="AK20" s="137"/>
      <c r="AL20" s="137"/>
      <c r="AM20" s="137"/>
      <c r="AN20" s="137"/>
      <c r="AO20" s="137"/>
      <c r="AP20" s="137"/>
      <c r="AQ20" s="137"/>
      <c r="AR20" s="137"/>
      <c r="AS20" s="137"/>
      <c r="AT20" s="137"/>
      <c r="AU20" s="137"/>
      <c r="AV20" s="137"/>
      <c r="AW20" s="137"/>
      <c r="AX20" s="137"/>
      <c r="AY20" s="137"/>
      <c r="AZ20" s="137"/>
      <c r="BA20" s="137"/>
      <c r="BB20" s="137"/>
      <c r="BC20" s="137"/>
      <c r="BD20" s="137"/>
    </row>
    <row r="21" spans="5:56" ht="15" customHeight="1" x14ac:dyDescent="0.25">
      <c r="E21" s="137"/>
      <c r="F21" s="137"/>
      <c r="G21" s="137"/>
      <c r="H21" s="137"/>
      <c r="I21" s="137"/>
      <c r="J21" s="137"/>
      <c r="K21" s="137"/>
      <c r="L21" s="137"/>
      <c r="M21" s="137"/>
      <c r="N21" s="137"/>
      <c r="O21" s="137"/>
      <c r="P21" s="137"/>
      <c r="Q21" s="137"/>
      <c r="R21" s="137"/>
      <c r="S21" s="137"/>
      <c r="T21" s="137"/>
      <c r="U21" s="137"/>
      <c r="V21" s="137"/>
      <c r="W21" s="137"/>
      <c r="X21" s="137"/>
      <c r="Y21" s="137"/>
      <c r="Z21" s="137"/>
      <c r="AA21" s="137"/>
      <c r="AB21" s="137"/>
      <c r="AC21" s="137"/>
      <c r="AD21" s="137"/>
      <c r="AE21" s="137"/>
      <c r="AF21" s="137"/>
      <c r="AG21" s="137"/>
      <c r="AH21" s="137"/>
      <c r="AI21" s="137"/>
      <c r="AJ21" s="137"/>
      <c r="AK21" s="137"/>
      <c r="AL21" s="137"/>
      <c r="AM21" s="137"/>
      <c r="AN21" s="137"/>
      <c r="AO21" s="137"/>
      <c r="AP21" s="137"/>
      <c r="AQ21" s="137"/>
      <c r="AR21" s="137"/>
      <c r="AS21" s="137"/>
      <c r="AT21" s="137"/>
      <c r="AU21" s="137"/>
      <c r="AV21" s="137"/>
      <c r="AW21" s="137"/>
      <c r="AX21" s="137"/>
      <c r="AY21" s="137"/>
      <c r="AZ21" s="137"/>
      <c r="BA21" s="137"/>
      <c r="BB21" s="137"/>
      <c r="BC21" s="137"/>
      <c r="BD21" s="137"/>
    </row>
    <row r="22" spans="5:56" x14ac:dyDescent="0.25">
      <c r="E22" s="137"/>
      <c r="F22" s="137"/>
      <c r="G22" s="137"/>
      <c r="H22" s="137"/>
      <c r="I22" s="137"/>
      <c r="J22" s="137"/>
      <c r="K22" s="137"/>
      <c r="L22" s="137"/>
      <c r="M22" s="137"/>
      <c r="N22" s="137"/>
      <c r="O22" s="137"/>
      <c r="P22" s="137"/>
      <c r="Q22" s="137"/>
      <c r="R22" s="137"/>
      <c r="S22" s="137"/>
      <c r="T22" s="137"/>
      <c r="U22" s="137"/>
      <c r="V22" s="137"/>
      <c r="W22" s="137"/>
      <c r="X22" s="137"/>
      <c r="Y22" s="137"/>
      <c r="Z22" s="137"/>
      <c r="AA22" s="137"/>
      <c r="AB22" s="137"/>
      <c r="AC22" s="137"/>
      <c r="AD22" s="137"/>
      <c r="AE22" s="137"/>
      <c r="AF22" s="137"/>
      <c r="AG22" s="137"/>
      <c r="AH22" s="137"/>
      <c r="AI22" s="137"/>
      <c r="AJ22" s="137"/>
      <c r="AK22" s="137"/>
      <c r="AL22" s="137"/>
      <c r="AM22" s="137"/>
      <c r="AN22" s="137"/>
      <c r="AO22" s="137"/>
      <c r="AP22" s="137"/>
      <c r="AQ22" s="137"/>
      <c r="AR22" s="137"/>
      <c r="AS22" s="137"/>
      <c r="AT22" s="137"/>
      <c r="AU22" s="137"/>
      <c r="AV22" s="137"/>
      <c r="AW22" s="137"/>
      <c r="AX22" s="137"/>
      <c r="AY22" s="137"/>
      <c r="AZ22" s="137"/>
      <c r="BA22" s="137"/>
      <c r="BB22" s="137"/>
      <c r="BC22" s="137"/>
      <c r="BD22" s="137"/>
    </row>
    <row r="23" spans="5:56" x14ac:dyDescent="0.25">
      <c r="E23" s="137"/>
      <c r="F23" s="137"/>
      <c r="G23" s="137"/>
      <c r="H23" s="137"/>
      <c r="I23" s="137"/>
      <c r="J23" s="137"/>
      <c r="K23" s="137"/>
      <c r="L23" s="137"/>
      <c r="M23" s="137"/>
      <c r="N23" s="137"/>
      <c r="O23" s="137"/>
      <c r="P23" s="137"/>
      <c r="Q23" s="137"/>
      <c r="R23" s="137"/>
      <c r="S23" s="137"/>
      <c r="T23" s="137"/>
      <c r="U23" s="137"/>
      <c r="V23" s="137"/>
      <c r="W23" s="137"/>
      <c r="X23" s="137"/>
      <c r="Y23" s="137"/>
      <c r="Z23" s="137"/>
      <c r="AA23" s="137"/>
      <c r="AB23" s="137"/>
      <c r="AC23" s="137"/>
      <c r="AD23" s="137"/>
      <c r="AE23" s="137"/>
      <c r="AF23" s="137"/>
      <c r="AG23" s="137"/>
      <c r="AH23" s="137"/>
      <c r="AI23" s="137"/>
      <c r="AJ23" s="137"/>
      <c r="AK23" s="137"/>
      <c r="AL23" s="137"/>
      <c r="AM23" s="137"/>
      <c r="AN23" s="137"/>
      <c r="AO23" s="137"/>
      <c r="AP23" s="137"/>
      <c r="AQ23" s="137"/>
      <c r="AR23" s="137"/>
      <c r="AS23" s="137"/>
      <c r="AT23" s="137"/>
      <c r="AU23" s="137"/>
      <c r="AV23" s="137"/>
      <c r="AW23" s="137"/>
      <c r="AX23" s="137"/>
      <c r="AY23" s="137"/>
      <c r="AZ23" s="137"/>
      <c r="BA23" s="137"/>
      <c r="BB23" s="137"/>
      <c r="BC23" s="137"/>
      <c r="BD23" s="137"/>
    </row>
    <row r="24" spans="5:56" x14ac:dyDescent="0.25">
      <c r="E24" s="137"/>
      <c r="F24" s="137"/>
      <c r="G24" s="137"/>
      <c r="H24" s="137"/>
      <c r="I24" s="137"/>
      <c r="J24" s="137"/>
      <c r="K24" s="137"/>
      <c r="L24" s="137"/>
      <c r="M24" s="137"/>
      <c r="N24" s="137"/>
      <c r="O24" s="137"/>
      <c r="P24" s="137"/>
      <c r="Q24" s="137"/>
      <c r="R24" s="137"/>
      <c r="S24" s="137"/>
      <c r="T24" s="137"/>
      <c r="U24" s="137"/>
      <c r="V24" s="137"/>
      <c r="W24" s="137"/>
      <c r="X24" s="137"/>
      <c r="Y24" s="137"/>
      <c r="Z24" s="137"/>
      <c r="AA24" s="137"/>
      <c r="AB24" s="137"/>
      <c r="AC24" s="137"/>
      <c r="AD24" s="137"/>
      <c r="AE24" s="137"/>
      <c r="AF24" s="137"/>
      <c r="AG24" s="137"/>
      <c r="AH24" s="137"/>
      <c r="AI24" s="137"/>
      <c r="AJ24" s="137"/>
      <c r="AK24" s="137"/>
      <c r="AL24" s="137"/>
      <c r="AM24" s="137"/>
      <c r="AN24" s="137"/>
      <c r="AO24" s="137"/>
      <c r="AP24" s="137"/>
      <c r="AQ24" s="137"/>
      <c r="AR24" s="137"/>
      <c r="AS24" s="137"/>
      <c r="AT24" s="137"/>
      <c r="AU24" s="137"/>
      <c r="AV24" s="137"/>
      <c r="AW24" s="137"/>
      <c r="AX24" s="137"/>
      <c r="AY24" s="137"/>
      <c r="AZ24" s="137"/>
      <c r="BA24" s="137"/>
      <c r="BB24" s="137"/>
      <c r="BC24" s="137"/>
      <c r="BD24" s="137"/>
    </row>
    <row r="25" spans="5:56" x14ac:dyDescent="0.25">
      <c r="E25" s="137"/>
      <c r="F25" s="137"/>
      <c r="G25" s="137"/>
      <c r="H25" s="137"/>
      <c r="I25" s="137"/>
      <c r="J25" s="137"/>
      <c r="K25" s="137"/>
      <c r="L25" s="137"/>
      <c r="M25" s="137"/>
      <c r="N25" s="137"/>
      <c r="O25" s="137"/>
      <c r="P25" s="137"/>
      <c r="Q25" s="137"/>
      <c r="R25" s="137"/>
      <c r="S25" s="137"/>
      <c r="T25" s="137"/>
      <c r="U25" s="137"/>
      <c r="V25" s="137"/>
      <c r="W25" s="137"/>
      <c r="X25" s="137"/>
      <c r="Y25" s="137"/>
      <c r="Z25" s="137"/>
      <c r="AA25" s="137"/>
      <c r="AB25" s="137"/>
      <c r="AC25" s="137"/>
      <c r="AD25" s="137"/>
      <c r="AE25" s="137"/>
      <c r="AF25" s="137"/>
      <c r="AG25" s="137"/>
      <c r="AH25" s="137"/>
      <c r="AI25" s="137"/>
      <c r="AJ25" s="137"/>
      <c r="AK25" s="137"/>
      <c r="AL25" s="137"/>
      <c r="AM25" s="137"/>
      <c r="AN25" s="137"/>
      <c r="AO25" s="137"/>
      <c r="AP25" s="137"/>
      <c r="AQ25" s="137"/>
      <c r="AR25" s="137"/>
      <c r="AS25" s="137"/>
      <c r="AT25" s="137"/>
      <c r="AU25" s="137"/>
      <c r="AV25" s="137"/>
      <c r="AW25" s="137"/>
      <c r="AX25" s="137"/>
      <c r="AY25" s="137"/>
      <c r="AZ25" s="137"/>
      <c r="BA25" s="137"/>
      <c r="BB25" s="137"/>
      <c r="BC25" s="137"/>
      <c r="BD25" s="137"/>
    </row>
    <row r="26" spans="5:56" x14ac:dyDescent="0.25">
      <c r="E26" s="137"/>
      <c r="F26" s="137"/>
      <c r="G26" s="137"/>
      <c r="H26" s="137"/>
      <c r="I26" s="137"/>
      <c r="J26" s="137"/>
      <c r="K26" s="137"/>
      <c r="L26" s="137"/>
      <c r="M26" s="137"/>
      <c r="N26" s="137"/>
      <c r="O26" s="137"/>
      <c r="P26" s="137"/>
      <c r="Q26" s="137"/>
      <c r="R26" s="137"/>
      <c r="S26" s="137"/>
      <c r="T26" s="137"/>
      <c r="U26" s="137"/>
      <c r="V26" s="137"/>
      <c r="W26" s="137"/>
      <c r="X26" s="137"/>
      <c r="Y26" s="137"/>
      <c r="Z26" s="137"/>
      <c r="AA26" s="137"/>
      <c r="AB26" s="137"/>
      <c r="AC26" s="137"/>
      <c r="AD26" s="137"/>
      <c r="AE26" s="137"/>
      <c r="AF26" s="137"/>
      <c r="AG26" s="137"/>
      <c r="AH26" s="137"/>
      <c r="AI26" s="137"/>
      <c r="AJ26" s="137"/>
      <c r="AK26" s="137"/>
      <c r="AL26" s="137"/>
      <c r="AM26" s="137"/>
      <c r="AN26" s="137"/>
      <c r="AO26" s="137"/>
      <c r="AP26" s="137"/>
      <c r="AQ26" s="137"/>
      <c r="AR26" s="137"/>
      <c r="AS26" s="137"/>
      <c r="AT26" s="137"/>
      <c r="AU26" s="137"/>
      <c r="AV26" s="137"/>
      <c r="AW26" s="137"/>
      <c r="AX26" s="137"/>
      <c r="AY26" s="137"/>
      <c r="AZ26" s="137"/>
      <c r="BA26" s="137"/>
      <c r="BB26" s="137"/>
      <c r="BC26" s="137"/>
      <c r="BD26" s="137"/>
    </row>
    <row r="27" spans="5:56" x14ac:dyDescent="0.25">
      <c r="E27" s="137"/>
      <c r="F27" s="137"/>
      <c r="G27" s="137"/>
      <c r="H27" s="137"/>
      <c r="I27" s="137"/>
      <c r="J27" s="137"/>
      <c r="K27" s="137"/>
      <c r="L27" s="137"/>
      <c r="M27" s="137"/>
      <c r="N27" s="137"/>
      <c r="O27" s="137"/>
      <c r="P27" s="137"/>
      <c r="Q27" s="137"/>
      <c r="R27" s="137"/>
      <c r="S27" s="137"/>
      <c r="T27" s="137"/>
      <c r="U27" s="137"/>
      <c r="V27" s="137"/>
      <c r="W27" s="137"/>
      <c r="X27" s="137"/>
      <c r="Y27" s="137"/>
      <c r="Z27" s="137"/>
      <c r="AA27" s="137"/>
      <c r="AB27" s="137"/>
      <c r="AC27" s="137"/>
      <c r="AD27" s="137"/>
      <c r="AE27" s="137"/>
      <c r="AF27" s="137"/>
      <c r="AG27" s="137"/>
      <c r="AH27" s="137"/>
      <c r="AI27" s="137"/>
      <c r="AJ27" s="137"/>
      <c r="AK27" s="137"/>
      <c r="AL27" s="137"/>
      <c r="AM27" s="137"/>
      <c r="AN27" s="137"/>
      <c r="AO27" s="137"/>
      <c r="AP27" s="137"/>
      <c r="AQ27" s="137"/>
      <c r="AR27" s="137"/>
      <c r="AS27" s="137"/>
      <c r="AT27" s="137"/>
      <c r="AU27" s="137"/>
      <c r="AV27" s="137"/>
      <c r="AW27" s="137"/>
      <c r="AX27" s="137"/>
      <c r="AY27" s="137"/>
      <c r="AZ27" s="137"/>
      <c r="BA27" s="137"/>
      <c r="BB27" s="137"/>
      <c r="BC27" s="137"/>
      <c r="BD27" s="137"/>
    </row>
    <row r="28" spans="5:56" x14ac:dyDescent="0.25">
      <c r="E28" s="137"/>
      <c r="F28" s="137"/>
      <c r="G28" s="137"/>
      <c r="H28" s="137"/>
      <c r="I28" s="137"/>
      <c r="J28" s="137"/>
      <c r="K28" s="137"/>
      <c r="L28" s="137"/>
      <c r="M28" s="137"/>
      <c r="N28" s="137"/>
      <c r="O28" s="137"/>
      <c r="P28" s="137"/>
      <c r="Q28" s="137"/>
      <c r="R28" s="137"/>
      <c r="S28" s="137"/>
      <c r="T28" s="137"/>
      <c r="U28" s="137"/>
      <c r="V28" s="137"/>
      <c r="W28" s="137"/>
      <c r="X28" s="137"/>
      <c r="Y28" s="137"/>
      <c r="Z28" s="137"/>
      <c r="AA28" s="137"/>
      <c r="AB28" s="137"/>
      <c r="AC28" s="137"/>
      <c r="AD28" s="137"/>
      <c r="AE28" s="137"/>
      <c r="AF28" s="137"/>
      <c r="AG28" s="137"/>
      <c r="AH28" s="137"/>
      <c r="AI28" s="137"/>
      <c r="AJ28" s="137"/>
      <c r="AK28" s="137"/>
      <c r="AL28" s="137"/>
      <c r="AM28" s="137"/>
      <c r="AN28" s="137"/>
      <c r="AO28" s="137"/>
      <c r="AP28" s="137"/>
      <c r="AQ28" s="137"/>
      <c r="AR28" s="137"/>
      <c r="AS28" s="137"/>
      <c r="AT28" s="137"/>
      <c r="AU28" s="137"/>
      <c r="AV28" s="137"/>
      <c r="AW28" s="137"/>
      <c r="AX28" s="137"/>
      <c r="AY28" s="137"/>
      <c r="AZ28" s="137"/>
      <c r="BA28" s="137"/>
      <c r="BB28" s="137"/>
      <c r="BC28" s="137"/>
      <c r="BD28" s="137"/>
    </row>
    <row r="29" spans="5:56" x14ac:dyDescent="0.25">
      <c r="E29" s="137"/>
      <c r="F29" s="137"/>
      <c r="G29" s="137"/>
      <c r="H29" s="137"/>
      <c r="I29" s="137"/>
      <c r="J29" s="137"/>
      <c r="K29" s="137"/>
      <c r="L29" s="137"/>
      <c r="M29" s="137"/>
      <c r="N29" s="137"/>
      <c r="O29" s="137"/>
      <c r="P29" s="137"/>
      <c r="Q29" s="137"/>
      <c r="R29" s="137"/>
      <c r="S29" s="137"/>
      <c r="T29" s="137"/>
      <c r="U29" s="137"/>
      <c r="V29" s="137"/>
      <c r="W29" s="137"/>
      <c r="X29" s="137"/>
      <c r="Y29" s="137"/>
      <c r="Z29" s="137"/>
      <c r="AA29" s="137"/>
      <c r="AB29" s="137"/>
      <c r="AC29" s="137"/>
      <c r="AD29" s="137"/>
      <c r="AE29" s="137"/>
      <c r="AF29" s="137"/>
      <c r="AG29" s="137"/>
      <c r="AH29" s="137"/>
      <c r="AI29" s="137"/>
      <c r="AJ29" s="137"/>
      <c r="AK29" s="137"/>
      <c r="AL29" s="137"/>
      <c r="AM29" s="137"/>
      <c r="AN29" s="137"/>
      <c r="AO29" s="137"/>
      <c r="AP29" s="137"/>
      <c r="AQ29" s="137"/>
      <c r="AR29" s="137"/>
      <c r="AS29" s="137"/>
      <c r="AT29" s="137"/>
      <c r="AU29" s="137"/>
      <c r="AV29" s="137"/>
      <c r="AW29" s="137"/>
      <c r="AX29" s="137"/>
      <c r="AY29" s="137"/>
      <c r="AZ29" s="137"/>
      <c r="BA29" s="137"/>
      <c r="BB29" s="137"/>
      <c r="BC29" s="137"/>
      <c r="BD29" s="137"/>
    </row>
    <row r="30" spans="5:56" x14ac:dyDescent="0.25">
      <c r="E30" s="137"/>
      <c r="F30" s="137"/>
      <c r="G30" s="137"/>
      <c r="H30" s="137"/>
      <c r="I30" s="137"/>
      <c r="J30" s="137"/>
      <c r="K30" s="137"/>
      <c r="L30" s="137"/>
      <c r="M30" s="137"/>
      <c r="N30" s="137"/>
      <c r="O30" s="137"/>
      <c r="P30" s="137"/>
      <c r="Q30" s="137"/>
      <c r="R30" s="137"/>
      <c r="S30" s="137"/>
      <c r="T30" s="137"/>
      <c r="U30" s="137"/>
      <c r="V30" s="137"/>
      <c r="W30" s="137"/>
      <c r="X30" s="137"/>
      <c r="Y30" s="137"/>
      <c r="Z30" s="137"/>
      <c r="AA30" s="137"/>
      <c r="AB30" s="137"/>
      <c r="AC30" s="137"/>
      <c r="AD30" s="137"/>
      <c r="AE30" s="137"/>
      <c r="AF30" s="137"/>
      <c r="AG30" s="137"/>
      <c r="AH30" s="137"/>
      <c r="AI30" s="137"/>
      <c r="AJ30" s="137"/>
      <c r="AK30" s="137"/>
      <c r="AL30" s="137"/>
      <c r="AM30" s="137"/>
      <c r="AN30" s="137"/>
      <c r="AO30" s="137"/>
      <c r="AP30" s="137"/>
      <c r="AQ30" s="137"/>
      <c r="AR30" s="137"/>
      <c r="AS30" s="137"/>
      <c r="AT30" s="137"/>
      <c r="AU30" s="137"/>
      <c r="AV30" s="137"/>
      <c r="AW30" s="137"/>
      <c r="AX30" s="137"/>
      <c r="AY30" s="137"/>
      <c r="AZ30" s="137"/>
      <c r="BA30" s="137"/>
      <c r="BB30" s="137"/>
      <c r="BC30" s="137"/>
      <c r="BD30" s="137"/>
    </row>
    <row r="31" spans="5:56" x14ac:dyDescent="0.25">
      <c r="E31" s="137"/>
      <c r="F31" s="137"/>
      <c r="G31" s="137"/>
      <c r="H31" s="137"/>
      <c r="I31" s="137"/>
      <c r="J31" s="137"/>
      <c r="K31" s="137"/>
      <c r="L31" s="137"/>
      <c r="M31" s="137"/>
      <c r="N31" s="137"/>
      <c r="O31" s="137"/>
      <c r="P31" s="137"/>
      <c r="Q31" s="137"/>
      <c r="R31" s="137"/>
      <c r="S31" s="137"/>
      <c r="T31" s="137"/>
      <c r="U31" s="137"/>
      <c r="V31" s="137"/>
      <c r="W31" s="137"/>
      <c r="X31" s="137"/>
      <c r="Y31" s="137"/>
      <c r="Z31" s="137"/>
      <c r="AA31" s="137"/>
      <c r="AB31" s="137"/>
      <c r="AC31" s="137"/>
      <c r="AD31" s="137"/>
      <c r="AE31" s="137"/>
      <c r="AF31" s="137"/>
      <c r="AG31" s="137"/>
      <c r="AH31" s="137"/>
      <c r="AI31" s="137"/>
      <c r="AJ31" s="137"/>
      <c r="AK31" s="137"/>
      <c r="AL31" s="137"/>
      <c r="AM31" s="137"/>
      <c r="AN31" s="137"/>
      <c r="AO31" s="137"/>
      <c r="AP31" s="137"/>
      <c r="AQ31" s="137"/>
      <c r="AR31" s="137"/>
      <c r="AS31" s="137"/>
      <c r="AT31" s="137"/>
      <c r="AU31" s="137"/>
      <c r="AV31" s="137"/>
      <c r="AW31" s="137"/>
      <c r="AX31" s="137"/>
      <c r="AY31" s="137"/>
      <c r="AZ31" s="137"/>
      <c r="BA31" s="137"/>
      <c r="BB31" s="137"/>
      <c r="BC31" s="137"/>
      <c r="BD31" s="137"/>
    </row>
    <row r="32" spans="5:56" x14ac:dyDescent="0.25">
      <c r="E32" s="137"/>
      <c r="F32" s="137"/>
      <c r="G32" s="137"/>
      <c r="H32" s="137"/>
      <c r="I32" s="137"/>
      <c r="J32" s="137"/>
      <c r="K32" s="137"/>
      <c r="L32" s="137"/>
      <c r="M32" s="137"/>
      <c r="N32" s="137"/>
      <c r="O32" s="137"/>
      <c r="P32" s="137"/>
      <c r="Q32" s="137"/>
      <c r="R32" s="137"/>
      <c r="S32" s="137"/>
      <c r="T32" s="137"/>
      <c r="U32" s="137"/>
      <c r="V32" s="137"/>
      <c r="W32" s="137"/>
      <c r="X32" s="137"/>
      <c r="Y32" s="137"/>
      <c r="Z32" s="137"/>
      <c r="AA32" s="137"/>
      <c r="AB32" s="137"/>
      <c r="AC32" s="137"/>
      <c r="AD32" s="137"/>
      <c r="AE32" s="137"/>
      <c r="AF32" s="137"/>
      <c r="AG32" s="137"/>
      <c r="AH32" s="137"/>
      <c r="AI32" s="137"/>
      <c r="AJ32" s="137"/>
      <c r="AK32" s="137"/>
      <c r="AL32" s="137"/>
      <c r="AM32" s="137"/>
      <c r="AN32" s="137"/>
      <c r="AO32" s="137"/>
      <c r="AP32" s="137"/>
      <c r="AQ32" s="137"/>
      <c r="AR32" s="137"/>
      <c r="AS32" s="137"/>
      <c r="AT32" s="137"/>
      <c r="AU32" s="137"/>
      <c r="AV32" s="137"/>
      <c r="AW32" s="137"/>
      <c r="AX32" s="137"/>
      <c r="AY32" s="137"/>
      <c r="AZ32" s="137"/>
      <c r="BA32" s="137"/>
      <c r="BB32" s="137"/>
      <c r="BC32" s="137"/>
      <c r="BD32" s="137"/>
    </row>
    <row r="33" spans="5:56" x14ac:dyDescent="0.25">
      <c r="E33" s="137"/>
      <c r="F33" s="137"/>
      <c r="G33" s="137"/>
      <c r="H33" s="137"/>
      <c r="I33" s="137"/>
      <c r="J33" s="137"/>
      <c r="K33" s="137"/>
      <c r="L33" s="137"/>
      <c r="M33" s="137"/>
      <c r="N33" s="137"/>
      <c r="O33" s="137"/>
      <c r="P33" s="137"/>
      <c r="Q33" s="137"/>
      <c r="R33" s="137"/>
      <c r="S33" s="137"/>
      <c r="T33" s="137"/>
      <c r="U33" s="137"/>
      <c r="V33" s="137"/>
      <c r="W33" s="137"/>
      <c r="X33" s="137"/>
      <c r="Y33" s="137"/>
      <c r="Z33" s="137"/>
      <c r="AA33" s="137"/>
      <c r="AB33" s="137"/>
      <c r="AC33" s="137"/>
      <c r="AD33" s="137"/>
      <c r="AE33" s="137"/>
      <c r="AF33" s="137"/>
      <c r="AG33" s="137"/>
      <c r="AH33" s="137"/>
      <c r="AI33" s="137"/>
      <c r="AJ33" s="137"/>
      <c r="AK33" s="137"/>
      <c r="AL33" s="137"/>
      <c r="AM33" s="137"/>
      <c r="AN33" s="137"/>
      <c r="AO33" s="137"/>
      <c r="AP33" s="137"/>
      <c r="AQ33" s="137"/>
      <c r="AR33" s="137"/>
      <c r="AS33" s="137"/>
      <c r="AT33" s="137"/>
      <c r="AU33" s="137"/>
      <c r="AV33" s="137"/>
      <c r="AW33" s="137"/>
      <c r="AX33" s="137"/>
      <c r="AY33" s="137"/>
      <c r="AZ33" s="137"/>
      <c r="BA33" s="137"/>
      <c r="BB33" s="137"/>
      <c r="BC33" s="137"/>
      <c r="BD33" s="137"/>
    </row>
    <row r="34" spans="5:56" x14ac:dyDescent="0.25">
      <c r="E34" s="137"/>
      <c r="F34" s="137"/>
      <c r="G34" s="137"/>
      <c r="H34" s="137"/>
      <c r="I34" s="137"/>
      <c r="J34" s="137"/>
      <c r="K34" s="137"/>
      <c r="L34" s="137"/>
      <c r="M34" s="137"/>
      <c r="N34" s="137"/>
      <c r="O34" s="137"/>
      <c r="P34" s="137"/>
      <c r="Q34" s="137"/>
      <c r="R34" s="137"/>
      <c r="S34" s="137"/>
      <c r="T34" s="137"/>
      <c r="U34" s="137"/>
      <c r="V34" s="137"/>
      <c r="W34" s="137"/>
      <c r="X34" s="137"/>
      <c r="Y34" s="137"/>
      <c r="Z34" s="137"/>
      <c r="AA34" s="137"/>
      <c r="AB34" s="137"/>
      <c r="AC34" s="137"/>
      <c r="AD34" s="137"/>
      <c r="AE34" s="137"/>
      <c r="AF34" s="137"/>
      <c r="AG34" s="137"/>
      <c r="AH34" s="137"/>
      <c r="AI34" s="137"/>
      <c r="AJ34" s="137"/>
      <c r="AK34" s="137"/>
      <c r="AL34" s="137"/>
      <c r="AM34" s="137"/>
      <c r="AN34" s="137"/>
      <c r="AO34" s="137"/>
      <c r="AP34" s="137"/>
      <c r="AQ34" s="137"/>
      <c r="AR34" s="137"/>
      <c r="AS34" s="137"/>
      <c r="AT34" s="137"/>
      <c r="AU34" s="137"/>
      <c r="AV34" s="137"/>
      <c r="AW34" s="137"/>
      <c r="AX34" s="137"/>
      <c r="AY34" s="137"/>
      <c r="AZ34" s="137"/>
      <c r="BA34" s="137"/>
      <c r="BB34" s="137"/>
      <c r="BC34" s="137"/>
      <c r="BD34" s="137"/>
    </row>
    <row r="35" spans="5:56" x14ac:dyDescent="0.25">
      <c r="E35" s="137"/>
      <c r="F35" s="137"/>
      <c r="G35" s="137"/>
      <c r="H35" s="137"/>
      <c r="I35" s="137"/>
      <c r="J35" s="137"/>
      <c r="K35" s="137"/>
      <c r="L35" s="137"/>
      <c r="M35" s="137"/>
      <c r="N35" s="137"/>
      <c r="O35" s="137"/>
      <c r="P35" s="137"/>
      <c r="Q35" s="137"/>
      <c r="R35" s="137"/>
      <c r="S35" s="137"/>
      <c r="T35" s="137"/>
      <c r="U35" s="137"/>
      <c r="V35" s="137"/>
      <c r="W35" s="137"/>
      <c r="X35" s="137"/>
      <c r="Y35" s="137"/>
      <c r="Z35" s="137"/>
      <c r="AA35" s="137"/>
      <c r="AB35" s="137"/>
      <c r="AC35" s="137"/>
      <c r="AD35" s="137"/>
      <c r="AE35" s="137"/>
      <c r="AF35" s="137"/>
      <c r="AG35" s="137"/>
      <c r="AH35" s="137"/>
      <c r="AI35" s="137"/>
      <c r="AJ35" s="137"/>
      <c r="AK35" s="137"/>
      <c r="AL35" s="137"/>
      <c r="AM35" s="137"/>
      <c r="AN35" s="137"/>
      <c r="AO35" s="137"/>
      <c r="AP35" s="137"/>
      <c r="AQ35" s="137"/>
      <c r="AR35" s="137"/>
      <c r="AS35" s="137"/>
      <c r="AT35" s="137"/>
      <c r="AU35" s="137"/>
      <c r="AV35" s="137"/>
      <c r="AW35" s="137"/>
      <c r="AX35" s="137"/>
      <c r="AY35" s="137"/>
      <c r="AZ35" s="137"/>
      <c r="BA35" s="137"/>
      <c r="BB35" s="137"/>
      <c r="BC35" s="137"/>
      <c r="BD35" s="137"/>
    </row>
    <row r="36" spans="5:56" x14ac:dyDescent="0.25">
      <c r="E36" s="137"/>
      <c r="F36" s="137"/>
      <c r="G36" s="137"/>
      <c r="H36" s="137"/>
      <c r="I36" s="137"/>
      <c r="J36" s="137"/>
      <c r="K36" s="137"/>
      <c r="L36" s="137"/>
      <c r="M36" s="137"/>
      <c r="N36" s="137"/>
      <c r="O36" s="137"/>
      <c r="P36" s="137"/>
      <c r="Q36" s="137"/>
      <c r="R36" s="137"/>
      <c r="S36" s="137"/>
      <c r="T36" s="137"/>
      <c r="U36" s="137"/>
      <c r="V36" s="137"/>
      <c r="W36" s="137"/>
      <c r="X36" s="137"/>
      <c r="Y36" s="137"/>
      <c r="Z36" s="137"/>
      <c r="AA36" s="137"/>
      <c r="AB36" s="137"/>
      <c r="AC36" s="137"/>
      <c r="AD36" s="137"/>
      <c r="AE36" s="137"/>
      <c r="AF36" s="137"/>
      <c r="AG36" s="137"/>
      <c r="AH36" s="137"/>
      <c r="AI36" s="137"/>
      <c r="AJ36" s="137"/>
      <c r="AK36" s="137"/>
      <c r="AL36" s="137"/>
      <c r="AM36" s="137"/>
      <c r="AN36" s="137"/>
      <c r="AO36" s="137"/>
      <c r="AP36" s="137"/>
      <c r="AQ36" s="137"/>
      <c r="AR36" s="137"/>
      <c r="AS36" s="137"/>
      <c r="AT36" s="137"/>
      <c r="AU36" s="137"/>
      <c r="AV36" s="137"/>
      <c r="AW36" s="137"/>
      <c r="AX36" s="137"/>
      <c r="AY36" s="137"/>
      <c r="AZ36" s="137"/>
      <c r="BA36" s="137"/>
      <c r="BB36" s="137"/>
      <c r="BC36" s="137"/>
      <c r="BD36" s="137"/>
    </row>
    <row r="37" spans="5:56" x14ac:dyDescent="0.25">
      <c r="E37" s="137"/>
      <c r="F37" s="137"/>
      <c r="G37" s="137"/>
      <c r="H37" s="137"/>
      <c r="I37" s="137"/>
      <c r="J37" s="137"/>
      <c r="K37" s="137"/>
      <c r="L37" s="137"/>
      <c r="M37" s="137"/>
      <c r="N37" s="137"/>
      <c r="O37" s="137"/>
      <c r="P37" s="137"/>
      <c r="Q37" s="137"/>
      <c r="R37" s="137"/>
      <c r="S37" s="137"/>
      <c r="T37" s="137"/>
      <c r="U37" s="137"/>
      <c r="V37" s="137"/>
      <c r="W37" s="137"/>
      <c r="X37" s="137"/>
      <c r="Y37" s="137"/>
      <c r="Z37" s="137"/>
      <c r="AA37" s="137"/>
      <c r="AB37" s="137"/>
      <c r="AC37" s="137"/>
      <c r="AD37" s="137"/>
      <c r="AE37" s="137"/>
      <c r="AF37" s="137"/>
      <c r="AG37" s="137"/>
      <c r="AH37" s="137"/>
      <c r="AI37" s="137"/>
      <c r="AJ37" s="137"/>
      <c r="AK37" s="137"/>
      <c r="AL37" s="137"/>
      <c r="AM37" s="137"/>
      <c r="AN37" s="137"/>
      <c r="AO37" s="137"/>
      <c r="AP37" s="137"/>
      <c r="AQ37" s="137"/>
      <c r="AR37" s="137"/>
      <c r="AS37" s="137"/>
      <c r="AT37" s="137"/>
      <c r="AU37" s="137"/>
      <c r="AV37" s="137"/>
      <c r="AW37" s="137"/>
      <c r="AX37" s="137"/>
      <c r="AY37" s="137"/>
      <c r="AZ37" s="137"/>
      <c r="BA37" s="137"/>
      <c r="BB37" s="137"/>
      <c r="BC37" s="137"/>
      <c r="BD37" s="137"/>
    </row>
    <row r="38" spans="5:56" x14ac:dyDescent="0.25">
      <c r="E38" s="137"/>
      <c r="F38" s="137"/>
      <c r="G38" s="137"/>
      <c r="H38" s="137"/>
      <c r="I38" s="137"/>
      <c r="J38" s="137"/>
      <c r="K38" s="137"/>
      <c r="L38" s="137"/>
      <c r="M38" s="137"/>
      <c r="N38" s="137"/>
      <c r="O38" s="137"/>
      <c r="P38" s="137"/>
      <c r="Q38" s="137"/>
      <c r="R38" s="137"/>
      <c r="S38" s="137"/>
      <c r="T38" s="137"/>
      <c r="U38" s="137"/>
      <c r="V38" s="137"/>
      <c r="W38" s="137"/>
      <c r="X38" s="137"/>
      <c r="Y38" s="137"/>
      <c r="Z38" s="137"/>
      <c r="AA38" s="137"/>
      <c r="AB38" s="137"/>
      <c r="AC38" s="137"/>
      <c r="AD38" s="137"/>
      <c r="AE38" s="137"/>
      <c r="AF38" s="137"/>
      <c r="AG38" s="137"/>
      <c r="AH38" s="137"/>
      <c r="AI38" s="137"/>
      <c r="AJ38" s="137"/>
      <c r="AK38" s="137"/>
      <c r="AL38" s="137"/>
      <c r="AM38" s="137"/>
      <c r="AN38" s="137"/>
      <c r="AO38" s="137"/>
      <c r="AP38" s="137"/>
      <c r="AQ38" s="137"/>
      <c r="AR38" s="137"/>
      <c r="AS38" s="137"/>
      <c r="AT38" s="137"/>
      <c r="AU38" s="137"/>
      <c r="AV38" s="137"/>
      <c r="AW38" s="137"/>
      <c r="AX38" s="137"/>
      <c r="AY38" s="137"/>
      <c r="AZ38" s="137"/>
      <c r="BA38" s="137"/>
      <c r="BB38" s="137"/>
      <c r="BC38" s="137"/>
      <c r="BD38" s="137"/>
    </row>
    <row r="39" spans="5:56" x14ac:dyDescent="0.25">
      <c r="E39" s="137"/>
      <c r="F39" s="137"/>
      <c r="G39" s="137"/>
      <c r="H39" s="137"/>
      <c r="I39" s="137"/>
      <c r="J39" s="137"/>
      <c r="K39" s="137"/>
      <c r="L39" s="137"/>
      <c r="M39" s="137"/>
      <c r="N39" s="137"/>
      <c r="O39" s="137"/>
      <c r="P39" s="137"/>
      <c r="Q39" s="137"/>
      <c r="R39" s="137"/>
      <c r="S39" s="137"/>
      <c r="T39" s="137"/>
      <c r="U39" s="137"/>
      <c r="V39" s="137"/>
      <c r="W39" s="137"/>
      <c r="X39" s="137"/>
      <c r="Y39" s="137"/>
      <c r="Z39" s="137"/>
      <c r="AA39" s="137"/>
      <c r="AB39" s="137"/>
      <c r="AC39" s="137"/>
      <c r="AD39" s="137"/>
      <c r="AE39" s="137"/>
      <c r="AF39" s="137"/>
      <c r="AG39" s="137"/>
      <c r="AH39" s="137"/>
      <c r="AI39" s="137"/>
      <c r="AJ39" s="137"/>
      <c r="AK39" s="137"/>
      <c r="AL39" s="137"/>
      <c r="AM39" s="137"/>
      <c r="AN39" s="137"/>
      <c r="AO39" s="137"/>
      <c r="AP39" s="137"/>
      <c r="AQ39" s="137"/>
      <c r="AR39" s="137"/>
      <c r="AS39" s="137"/>
      <c r="AT39" s="137"/>
      <c r="AU39" s="137"/>
      <c r="AV39" s="137"/>
      <c r="AW39" s="137"/>
      <c r="AX39" s="137"/>
      <c r="AY39" s="137"/>
      <c r="AZ39" s="137"/>
      <c r="BA39" s="137"/>
      <c r="BB39" s="137"/>
      <c r="BC39" s="137"/>
      <c r="BD39" s="137"/>
    </row>
    <row r="40" spans="5:56" x14ac:dyDescent="0.25">
      <c r="E40" s="137"/>
      <c r="F40" s="137"/>
      <c r="G40" s="137"/>
      <c r="H40" s="137"/>
      <c r="I40" s="137"/>
      <c r="J40" s="137"/>
      <c r="K40" s="137"/>
      <c r="L40" s="137"/>
      <c r="M40" s="137"/>
      <c r="N40" s="137"/>
      <c r="O40" s="137"/>
      <c r="P40" s="137"/>
      <c r="Q40" s="137"/>
      <c r="R40" s="137"/>
      <c r="S40" s="137"/>
      <c r="T40" s="137"/>
      <c r="U40" s="137"/>
      <c r="V40" s="137"/>
      <c r="W40" s="137"/>
      <c r="X40" s="137"/>
      <c r="Y40" s="137"/>
      <c r="Z40" s="137"/>
      <c r="AA40" s="137"/>
      <c r="AB40" s="137"/>
      <c r="AC40" s="137"/>
      <c r="AD40" s="137"/>
      <c r="AE40" s="137"/>
      <c r="AF40" s="137"/>
      <c r="AG40" s="137"/>
      <c r="AH40" s="137"/>
      <c r="AI40" s="137"/>
      <c r="AJ40" s="137"/>
      <c r="AK40" s="137"/>
      <c r="AL40" s="137"/>
      <c r="AM40" s="137"/>
      <c r="AN40" s="137"/>
      <c r="AO40" s="137"/>
      <c r="AP40" s="137"/>
      <c r="AQ40" s="137"/>
      <c r="AR40" s="137"/>
      <c r="AS40" s="137"/>
      <c r="AT40" s="137"/>
      <c r="AU40" s="137"/>
      <c r="AV40" s="137"/>
      <c r="AW40" s="137"/>
      <c r="AX40" s="137"/>
      <c r="AY40" s="137"/>
      <c r="AZ40" s="137"/>
      <c r="BA40" s="137"/>
      <c r="BB40" s="137"/>
      <c r="BC40" s="137"/>
      <c r="BD40" s="137"/>
    </row>
    <row r="41" spans="5:56" x14ac:dyDescent="0.25">
      <c r="E41" s="137"/>
      <c r="F41" s="137"/>
      <c r="G41" s="137"/>
      <c r="H41" s="137"/>
      <c r="I41" s="137"/>
      <c r="J41" s="137"/>
      <c r="K41" s="137"/>
      <c r="L41" s="137"/>
      <c r="M41" s="137"/>
      <c r="N41" s="137"/>
      <c r="O41" s="137"/>
      <c r="P41" s="137"/>
      <c r="Q41" s="137"/>
      <c r="R41" s="137"/>
      <c r="S41" s="137"/>
      <c r="T41" s="137"/>
      <c r="U41" s="137"/>
      <c r="V41" s="137"/>
      <c r="W41" s="137"/>
      <c r="X41" s="137"/>
      <c r="Y41" s="137"/>
      <c r="Z41" s="137"/>
      <c r="AA41" s="137"/>
      <c r="AB41" s="137"/>
      <c r="AC41" s="137"/>
      <c r="AD41" s="137"/>
      <c r="AE41" s="137"/>
      <c r="AF41" s="137"/>
      <c r="AG41" s="137"/>
      <c r="AH41" s="137"/>
      <c r="AI41" s="137"/>
      <c r="AJ41" s="137"/>
      <c r="AK41" s="137"/>
      <c r="AL41" s="137"/>
      <c r="AM41" s="137"/>
      <c r="AN41" s="137"/>
      <c r="AO41" s="137"/>
      <c r="AP41" s="137"/>
      <c r="AQ41" s="137"/>
      <c r="AR41" s="137"/>
      <c r="AS41" s="137"/>
      <c r="AT41" s="137"/>
      <c r="AU41" s="137"/>
      <c r="AV41" s="137"/>
      <c r="AW41" s="137"/>
      <c r="AX41" s="137"/>
      <c r="AY41" s="137"/>
      <c r="AZ41" s="137"/>
      <c r="BA41" s="137"/>
      <c r="BB41" s="137"/>
      <c r="BC41" s="137"/>
      <c r="BD41" s="137"/>
    </row>
    <row r="42" spans="5:56" x14ac:dyDescent="0.25">
      <c r="E42" s="137"/>
      <c r="F42" s="137"/>
      <c r="G42" s="137"/>
      <c r="H42" s="137"/>
      <c r="I42" s="137"/>
      <c r="J42" s="137"/>
      <c r="K42" s="137"/>
      <c r="L42" s="137"/>
      <c r="M42" s="137"/>
      <c r="N42" s="137"/>
      <c r="O42" s="137"/>
      <c r="P42" s="137"/>
      <c r="Q42" s="137"/>
      <c r="R42" s="137"/>
      <c r="S42" s="137"/>
      <c r="T42" s="137"/>
      <c r="U42" s="137"/>
      <c r="V42" s="137"/>
      <c r="W42" s="137"/>
      <c r="X42" s="137"/>
      <c r="Y42" s="137"/>
      <c r="Z42" s="137"/>
      <c r="AA42" s="137"/>
      <c r="AB42" s="137"/>
      <c r="AC42" s="137"/>
      <c r="AD42" s="137"/>
      <c r="AE42" s="137"/>
      <c r="AF42" s="137"/>
      <c r="AG42" s="137"/>
      <c r="AH42" s="137"/>
      <c r="AI42" s="137"/>
      <c r="AJ42" s="137"/>
      <c r="AK42" s="137"/>
      <c r="AL42" s="137"/>
      <c r="AM42" s="137"/>
      <c r="AN42" s="137"/>
      <c r="AO42" s="137"/>
      <c r="AP42" s="137"/>
      <c r="AQ42" s="137"/>
      <c r="AR42" s="137"/>
      <c r="AS42" s="137"/>
      <c r="AT42" s="137"/>
      <c r="AU42" s="137"/>
      <c r="AV42" s="137"/>
      <c r="AW42" s="137"/>
      <c r="AX42" s="137"/>
      <c r="AY42" s="137"/>
      <c r="AZ42" s="137"/>
      <c r="BA42" s="137"/>
      <c r="BB42" s="137"/>
      <c r="BC42" s="137"/>
      <c r="BD42" s="137"/>
    </row>
    <row r="43" spans="5:56" x14ac:dyDescent="0.25">
      <c r="E43" s="137"/>
      <c r="F43" s="137"/>
      <c r="G43" s="137"/>
      <c r="H43" s="137"/>
      <c r="I43" s="137"/>
      <c r="J43" s="137"/>
      <c r="K43" s="137"/>
      <c r="L43" s="137"/>
      <c r="M43" s="137"/>
      <c r="N43" s="137"/>
      <c r="O43" s="137"/>
      <c r="P43" s="137"/>
      <c r="Q43" s="137"/>
      <c r="R43" s="137"/>
      <c r="S43" s="137"/>
      <c r="T43" s="137"/>
      <c r="U43" s="137"/>
      <c r="V43" s="137"/>
      <c r="W43" s="137"/>
      <c r="X43" s="137"/>
      <c r="Y43" s="137"/>
      <c r="Z43" s="137"/>
      <c r="AA43" s="137"/>
      <c r="AB43" s="137"/>
      <c r="AC43" s="137"/>
      <c r="AD43" s="137"/>
      <c r="AE43" s="137"/>
      <c r="AF43" s="137"/>
      <c r="AG43" s="137"/>
      <c r="AH43" s="137"/>
      <c r="AI43" s="137"/>
      <c r="AJ43" s="137"/>
      <c r="AK43" s="137"/>
      <c r="AL43" s="137"/>
      <c r="AM43" s="137"/>
      <c r="AN43" s="137"/>
      <c r="AO43" s="137"/>
      <c r="AP43" s="137"/>
      <c r="AQ43" s="137"/>
      <c r="AR43" s="137"/>
      <c r="AS43" s="137"/>
      <c r="AT43" s="137"/>
      <c r="AU43" s="137"/>
      <c r="AV43" s="137"/>
      <c r="AW43" s="137"/>
      <c r="AX43" s="137"/>
      <c r="AY43" s="137"/>
      <c r="AZ43" s="137"/>
      <c r="BA43" s="137"/>
      <c r="BB43" s="137"/>
      <c r="BC43" s="137"/>
      <c r="BD43" s="137"/>
    </row>
    <row r="44" spans="5:56" x14ac:dyDescent="0.25">
      <c r="E44" s="137"/>
      <c r="F44" s="137"/>
      <c r="G44" s="137"/>
      <c r="H44" s="137"/>
      <c r="I44" s="137"/>
      <c r="J44" s="137"/>
      <c r="K44" s="137"/>
      <c r="L44" s="137"/>
      <c r="M44" s="137"/>
      <c r="N44" s="137"/>
      <c r="O44" s="137"/>
      <c r="P44" s="137"/>
      <c r="Q44" s="137"/>
      <c r="R44" s="137"/>
      <c r="S44" s="137"/>
      <c r="T44" s="137"/>
      <c r="U44" s="137"/>
      <c r="V44" s="137"/>
      <c r="W44" s="137"/>
      <c r="X44" s="137"/>
      <c r="Y44" s="137"/>
      <c r="Z44" s="137"/>
      <c r="AA44" s="137"/>
      <c r="AB44" s="137"/>
      <c r="AC44" s="137"/>
      <c r="AD44" s="137"/>
      <c r="AE44" s="137"/>
      <c r="AF44" s="137"/>
      <c r="AG44" s="137"/>
      <c r="AH44" s="137"/>
      <c r="AI44" s="137"/>
      <c r="AJ44" s="137"/>
      <c r="AK44" s="137"/>
      <c r="AL44" s="137"/>
      <c r="AM44" s="137"/>
      <c r="AN44" s="137"/>
      <c r="AO44" s="137"/>
      <c r="AP44" s="137"/>
      <c r="AQ44" s="137"/>
      <c r="AR44" s="137"/>
      <c r="AS44" s="137"/>
      <c r="AT44" s="137"/>
      <c r="AU44" s="137"/>
      <c r="AV44" s="137"/>
      <c r="AW44" s="137"/>
      <c r="AX44" s="137"/>
      <c r="AY44" s="137"/>
      <c r="AZ44" s="137"/>
      <c r="BA44" s="137"/>
      <c r="BB44" s="137"/>
      <c r="BC44" s="137"/>
      <c r="BD44" s="137"/>
    </row>
    <row r="45" spans="5:56" x14ac:dyDescent="0.25">
      <c r="E45" s="137"/>
      <c r="F45" s="137"/>
      <c r="G45" s="137"/>
      <c r="H45" s="137"/>
      <c r="I45" s="137"/>
      <c r="J45" s="137"/>
      <c r="K45" s="137"/>
      <c r="L45" s="137"/>
      <c r="M45" s="137"/>
      <c r="N45" s="137"/>
      <c r="O45" s="137"/>
      <c r="P45" s="137"/>
      <c r="Q45" s="137"/>
      <c r="R45" s="137"/>
      <c r="S45" s="137"/>
      <c r="T45" s="137"/>
      <c r="U45" s="137"/>
      <c r="V45" s="137"/>
      <c r="W45" s="137"/>
      <c r="X45" s="137"/>
      <c r="Y45" s="137"/>
      <c r="Z45" s="137"/>
      <c r="AA45" s="137"/>
      <c r="AB45" s="137"/>
      <c r="AC45" s="137"/>
      <c r="AD45" s="137"/>
      <c r="AE45" s="137"/>
      <c r="AF45" s="137"/>
      <c r="AG45" s="137"/>
      <c r="AH45" s="137"/>
      <c r="AI45" s="137"/>
      <c r="AJ45" s="137"/>
      <c r="AK45" s="137"/>
      <c r="AL45" s="137"/>
      <c r="AM45" s="137"/>
      <c r="AN45" s="137"/>
      <c r="AO45" s="137"/>
      <c r="AP45" s="137"/>
      <c r="AQ45" s="137"/>
      <c r="AR45" s="137"/>
      <c r="AS45" s="137"/>
      <c r="AT45" s="137"/>
      <c r="AU45" s="137"/>
      <c r="AV45" s="137"/>
      <c r="AW45" s="137"/>
      <c r="AX45" s="137"/>
      <c r="AY45" s="137"/>
      <c r="AZ45" s="137"/>
      <c r="BA45" s="137"/>
      <c r="BB45" s="137"/>
      <c r="BC45" s="137"/>
      <c r="BD45" s="137"/>
    </row>
    <row r="46" spans="5:56" x14ac:dyDescent="0.25">
      <c r="E46" s="137"/>
      <c r="F46" s="137"/>
      <c r="G46" s="137"/>
      <c r="H46" s="137"/>
      <c r="I46" s="137"/>
      <c r="J46" s="137"/>
      <c r="K46" s="137"/>
      <c r="L46" s="137"/>
      <c r="M46" s="137"/>
      <c r="N46" s="137"/>
      <c r="O46" s="137"/>
      <c r="P46" s="137"/>
      <c r="Q46" s="137"/>
      <c r="R46" s="137"/>
      <c r="S46" s="137"/>
      <c r="T46" s="137"/>
      <c r="U46" s="137"/>
      <c r="V46" s="137"/>
      <c r="W46" s="137"/>
      <c r="X46" s="137"/>
      <c r="Y46" s="137"/>
      <c r="Z46" s="137"/>
      <c r="AA46" s="137"/>
      <c r="AB46" s="137"/>
      <c r="AC46" s="137"/>
      <c r="AD46" s="137"/>
      <c r="AE46" s="137"/>
      <c r="AF46" s="137"/>
      <c r="AG46" s="137"/>
      <c r="AH46" s="137"/>
      <c r="AI46" s="137"/>
      <c r="AJ46" s="137"/>
      <c r="AK46" s="137"/>
      <c r="AL46" s="137"/>
      <c r="AM46" s="137"/>
      <c r="AN46" s="137"/>
      <c r="AO46" s="137"/>
      <c r="AP46" s="137"/>
      <c r="AQ46" s="137"/>
      <c r="AR46" s="137"/>
      <c r="AS46" s="137"/>
      <c r="AT46" s="137"/>
      <c r="AU46" s="137"/>
      <c r="AV46" s="137"/>
      <c r="AW46" s="137"/>
      <c r="AX46" s="137"/>
      <c r="AY46" s="137"/>
      <c r="AZ46" s="137"/>
      <c r="BA46" s="137"/>
      <c r="BB46" s="137"/>
      <c r="BC46" s="137"/>
      <c r="BD46" s="137"/>
    </row>
    <row r="47" spans="5:56" x14ac:dyDescent="0.25">
      <c r="E47" s="137"/>
      <c r="F47" s="137"/>
      <c r="G47" s="137"/>
      <c r="H47" s="137"/>
      <c r="I47" s="137"/>
      <c r="J47" s="137"/>
      <c r="K47" s="137"/>
      <c r="L47" s="137"/>
      <c r="M47" s="137"/>
      <c r="N47" s="137"/>
      <c r="O47" s="137"/>
      <c r="P47" s="137"/>
      <c r="Q47" s="137"/>
      <c r="R47" s="137"/>
      <c r="S47" s="137"/>
      <c r="T47" s="137"/>
      <c r="U47" s="137"/>
      <c r="V47" s="137"/>
      <c r="W47" s="137"/>
      <c r="X47" s="137"/>
      <c r="Y47" s="137"/>
      <c r="Z47" s="137"/>
      <c r="AA47" s="137"/>
      <c r="AB47" s="137"/>
      <c r="AC47" s="137"/>
      <c r="AD47" s="137"/>
      <c r="AE47" s="137"/>
      <c r="AF47" s="137"/>
      <c r="AG47" s="137"/>
      <c r="AH47" s="137"/>
      <c r="AI47" s="137"/>
      <c r="AJ47" s="137"/>
      <c r="AK47" s="137"/>
      <c r="AL47" s="137"/>
      <c r="AM47" s="137"/>
      <c r="AN47" s="137"/>
      <c r="AO47" s="137"/>
      <c r="AP47" s="137"/>
      <c r="AQ47" s="137"/>
      <c r="AR47" s="137"/>
      <c r="AS47" s="137"/>
      <c r="AT47" s="137"/>
      <c r="AU47" s="137"/>
      <c r="AV47" s="137"/>
      <c r="AW47" s="137"/>
      <c r="AX47" s="137"/>
      <c r="AY47" s="137"/>
      <c r="AZ47" s="137"/>
      <c r="BA47" s="137"/>
      <c r="BB47" s="137"/>
      <c r="BC47" s="137"/>
      <c r="BD47" s="137"/>
    </row>
    <row r="48" spans="5:56" x14ac:dyDescent="0.25">
      <c r="E48" s="137"/>
      <c r="F48" s="137"/>
      <c r="G48" s="137"/>
      <c r="H48" s="137"/>
      <c r="I48" s="137"/>
      <c r="J48" s="137"/>
      <c r="K48" s="137"/>
      <c r="L48" s="137"/>
      <c r="M48" s="137"/>
      <c r="N48" s="137"/>
      <c r="O48" s="137"/>
      <c r="P48" s="137"/>
      <c r="Q48" s="137"/>
      <c r="R48" s="137"/>
      <c r="S48" s="137"/>
      <c r="T48" s="137"/>
      <c r="U48" s="137"/>
      <c r="V48" s="137"/>
      <c r="W48" s="137"/>
      <c r="X48" s="137"/>
      <c r="Y48" s="137"/>
      <c r="Z48" s="137"/>
      <c r="AA48" s="137"/>
      <c r="AB48" s="137"/>
      <c r="AC48" s="137"/>
      <c r="AD48" s="137"/>
      <c r="AE48" s="137"/>
      <c r="AF48" s="137"/>
      <c r="AG48" s="137"/>
      <c r="AH48" s="137"/>
      <c r="AI48" s="137"/>
      <c r="AJ48" s="137"/>
      <c r="AK48" s="137"/>
      <c r="AL48" s="137"/>
      <c r="AM48" s="137"/>
      <c r="AN48" s="137"/>
      <c r="AO48" s="137"/>
      <c r="AP48" s="137"/>
      <c r="AQ48" s="137"/>
      <c r="AR48" s="137"/>
      <c r="AS48" s="137"/>
      <c r="AT48" s="137"/>
      <c r="AU48" s="137"/>
      <c r="AV48" s="137"/>
      <c r="AW48" s="137"/>
      <c r="AX48" s="137"/>
      <c r="AY48" s="137"/>
      <c r="AZ48" s="137"/>
      <c r="BA48" s="137"/>
      <c r="BB48" s="137"/>
      <c r="BC48" s="137"/>
      <c r="BD48" s="137"/>
    </row>
    <row r="49" spans="5:56" x14ac:dyDescent="0.25">
      <c r="E49" s="137"/>
      <c r="F49" s="137"/>
      <c r="G49" s="137"/>
      <c r="H49" s="137"/>
      <c r="I49" s="137"/>
      <c r="J49" s="137"/>
      <c r="K49" s="137"/>
      <c r="L49" s="137"/>
      <c r="M49" s="137"/>
      <c r="N49" s="137"/>
      <c r="O49" s="137"/>
      <c r="P49" s="137"/>
      <c r="Q49" s="137"/>
      <c r="R49" s="137"/>
      <c r="S49" s="137"/>
      <c r="T49" s="137"/>
      <c r="U49" s="137"/>
      <c r="V49" s="137"/>
      <c r="W49" s="137"/>
      <c r="X49" s="137"/>
      <c r="Y49" s="137"/>
      <c r="Z49" s="137"/>
      <c r="AA49" s="137"/>
      <c r="AB49" s="137"/>
      <c r="AC49" s="137"/>
      <c r="AD49" s="137"/>
      <c r="AE49" s="137"/>
      <c r="AF49" s="137"/>
      <c r="AG49" s="137"/>
      <c r="AH49" s="137"/>
      <c r="AI49" s="137"/>
      <c r="AJ49" s="137"/>
      <c r="AK49" s="137"/>
      <c r="AL49" s="137"/>
      <c r="AM49" s="137"/>
      <c r="AN49" s="137"/>
      <c r="AO49" s="137"/>
      <c r="AP49" s="137"/>
      <c r="AQ49" s="137"/>
      <c r="AR49" s="137"/>
      <c r="AS49" s="137"/>
      <c r="AT49" s="137"/>
      <c r="AU49" s="137"/>
      <c r="AV49" s="137"/>
      <c r="AW49" s="137"/>
      <c r="AX49" s="137"/>
      <c r="AY49" s="137"/>
      <c r="AZ49" s="137"/>
      <c r="BA49" s="137"/>
      <c r="BB49" s="137"/>
      <c r="BC49" s="137"/>
      <c r="BD49" s="137"/>
    </row>
    <row r="50" spans="5:56" x14ac:dyDescent="0.25">
      <c r="E50" s="137"/>
      <c r="F50" s="137"/>
      <c r="G50" s="137"/>
      <c r="H50" s="137"/>
      <c r="I50" s="137"/>
      <c r="J50" s="137"/>
      <c r="K50" s="137"/>
      <c r="L50" s="137"/>
      <c r="M50" s="137"/>
      <c r="N50" s="137"/>
      <c r="O50" s="137"/>
      <c r="P50" s="137"/>
      <c r="Q50" s="137"/>
      <c r="R50" s="137"/>
      <c r="S50" s="137"/>
      <c r="T50" s="137"/>
      <c r="U50" s="137"/>
      <c r="V50" s="137"/>
      <c r="W50" s="137"/>
      <c r="X50" s="137"/>
      <c r="Y50" s="137"/>
      <c r="Z50" s="137"/>
      <c r="AA50" s="137"/>
      <c r="AB50" s="137"/>
      <c r="AC50" s="137"/>
      <c r="AD50" s="137"/>
      <c r="AE50" s="137"/>
      <c r="AF50" s="137"/>
      <c r="AG50" s="137"/>
      <c r="AH50" s="137"/>
      <c r="AI50" s="137"/>
      <c r="AJ50" s="137"/>
      <c r="AK50" s="137"/>
      <c r="AL50" s="137"/>
      <c r="AM50" s="137"/>
      <c r="AN50" s="137"/>
      <c r="AO50" s="137"/>
      <c r="AP50" s="137"/>
      <c r="AQ50" s="137"/>
      <c r="AR50" s="137"/>
      <c r="AS50" s="137"/>
      <c r="AT50" s="137"/>
      <c r="AU50" s="137"/>
      <c r="AV50" s="137"/>
      <c r="AW50" s="137"/>
      <c r="AX50" s="137"/>
      <c r="AY50" s="137"/>
      <c r="AZ50" s="137"/>
      <c r="BA50" s="137"/>
      <c r="BB50" s="137"/>
      <c r="BC50" s="137"/>
      <c r="BD50" s="137"/>
    </row>
  </sheetData>
  <sheetProtection algorithmName="SHA-512" hashValue="ogYa52ptT3EvOpiN3QL1tLIbZa+jYLJWithYCQbS1ZA1sTJPMkcAAj2ysYUNUEvocId0DLg4wl6StCdlAfFVOw==" saltValue="M4qWNXTmnn5chh7/gHTlwA=="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231" priority="11">
      <formula>$U6="Existing"</formula>
    </cfRule>
    <cfRule type="expression" dxfId="230" priority="35">
      <formula>AND($K6&lt;&gt;"Enter Spend&gt;&gt;&gt;",$U6&lt;&gt;"Prospect")</formula>
    </cfRule>
  </conditionalFormatting>
  <conditionalFormatting sqref="O6:O15 L6:L15">
    <cfRule type="expression" dxfId="229" priority="31">
      <formula>Q6&lt;&gt;""</formula>
    </cfRule>
  </conditionalFormatting>
  <conditionalFormatting sqref="S6:S15">
    <cfRule type="expression" dxfId="228" priority="29">
      <formula>$W6="Zip Code Not Serviced"</formula>
    </cfRule>
  </conditionalFormatting>
  <conditionalFormatting sqref="L3:N3">
    <cfRule type="expression" dxfId="227" priority="25">
      <formula>$AN$4&gt;0</formula>
    </cfRule>
  </conditionalFormatting>
  <conditionalFormatting sqref="T6:V15">
    <cfRule type="expression" dxfId="226" priority="20">
      <formula>AND($K6&lt;&gt;"Enter Spend&gt;&gt;&gt;",$U$6&lt;&gt;"Prospect")</formula>
    </cfRule>
  </conditionalFormatting>
  <conditionalFormatting sqref="T6:V15">
    <cfRule type="expression" dxfId="225" priority="21">
      <formula>$F6=""</formula>
    </cfRule>
    <cfRule type="notContainsBlanks" dxfId="224" priority="22">
      <formula>LEN(TRIM(T6))&gt;0</formula>
    </cfRule>
  </conditionalFormatting>
  <conditionalFormatting sqref="T6:V15">
    <cfRule type="expression" dxfId="223" priority="19">
      <formula>$AN6="FLAG"</formula>
    </cfRule>
  </conditionalFormatting>
  <conditionalFormatting sqref="T6:T15">
    <cfRule type="expression" dxfId="222" priority="18">
      <formula>$W6="Zip Code Not Serviced"</formula>
    </cfRule>
  </conditionalFormatting>
  <conditionalFormatting sqref="T6:T15">
    <cfRule type="expression" dxfId="221" priority="17">
      <formula>$W6="Zip Code Not Serviced"</formula>
    </cfRule>
  </conditionalFormatting>
  <conditionalFormatting sqref="U6:U15">
    <cfRule type="expression" dxfId="220" priority="16">
      <formula>$W6="Zip Code Not Serviced"</formula>
    </cfRule>
  </conditionalFormatting>
  <conditionalFormatting sqref="G6:G15">
    <cfRule type="expression" dxfId="219" priority="33">
      <formula>$F6&lt;&gt;""</formula>
    </cfRule>
    <cfRule type="notContainsBlanks" dxfId="218" priority="43">
      <formula>LEN(TRIM(G6))&gt;0</formula>
    </cfRule>
  </conditionalFormatting>
  <conditionalFormatting sqref="P6:S15">
    <cfRule type="expression" dxfId="217" priority="36">
      <formula>$F6=""</formula>
    </cfRule>
    <cfRule type="notContainsBlanks" dxfId="216" priority="37">
      <formula>LEN(TRIM(P6))&gt;0</formula>
    </cfRule>
  </conditionalFormatting>
  <conditionalFormatting sqref="H6:H15">
    <cfRule type="notContainsBlanks" dxfId="215" priority="12">
      <formula>LEN(TRIM(H6))&gt;0</formula>
    </cfRule>
    <cfRule type="expression" dxfId="214" priority="13">
      <formula>$F6&lt;&gt;""</formula>
    </cfRule>
  </conditionalFormatting>
  <conditionalFormatting sqref="K6:S15">
    <cfRule type="expression" dxfId="213" priority="23">
      <formula>$AN6="FLAG"</formula>
    </cfRule>
  </conditionalFormatting>
  <conditionalFormatting sqref="U14">
    <cfRule type="expression" dxfId="212" priority="10">
      <formula>$AP14="Prospect"</formula>
    </cfRule>
  </conditionalFormatting>
  <conditionalFormatting sqref="U13">
    <cfRule type="expression" dxfId="211" priority="9">
      <formula>$AP13="Prospect"</formula>
    </cfRule>
  </conditionalFormatting>
  <conditionalFormatting sqref="U15">
    <cfRule type="expression" dxfId="210" priority="8">
      <formula>$AP15="Prospect"</formula>
    </cfRule>
  </conditionalFormatting>
  <conditionalFormatting sqref="U12">
    <cfRule type="expression" dxfId="209" priority="7">
      <formula>$AP12="Prospect"</formula>
    </cfRule>
  </conditionalFormatting>
  <conditionalFormatting sqref="U11">
    <cfRule type="expression" dxfId="208" priority="6">
      <formula>$AP11="Prospect"</formula>
    </cfRule>
  </conditionalFormatting>
  <conditionalFormatting sqref="U10">
    <cfRule type="expression" dxfId="207" priority="5">
      <formula>$AP10="Prospect"</formula>
    </cfRule>
  </conditionalFormatting>
  <conditionalFormatting sqref="U9">
    <cfRule type="expression" dxfId="206" priority="4">
      <formula>$AP9="Prospect"</formula>
    </cfRule>
  </conditionalFormatting>
  <conditionalFormatting sqref="U8">
    <cfRule type="expression" dxfId="205" priority="3">
      <formula>$AP8="Prospect"</formula>
    </cfRule>
  </conditionalFormatting>
  <conditionalFormatting sqref="U7">
    <cfRule type="expression" dxfId="204" priority="2">
      <formula>$AP7="Prospect"</formula>
    </cfRule>
  </conditionalFormatting>
  <conditionalFormatting sqref="U6">
    <cfRule type="expression" dxfId="203" priority="1">
      <formula>$AP6="Prospect"</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N7" sqref="N7"/>
    </sheetView>
  </sheetViews>
  <sheetFormatPr defaultColWidth="8.85546875" defaultRowHeight="15" x14ac:dyDescent="0.25"/>
  <cols>
    <col min="1" max="1" width="2.140625" style="143" customWidth="1"/>
    <col min="2" max="2" width="15.5703125" style="143" customWidth="1"/>
    <col min="3" max="3" width="12.5703125" style="143" customWidth="1"/>
    <col min="4" max="4" width="38" style="143" customWidth="1"/>
    <col min="5" max="5" width="17.7109375" style="143" customWidth="1"/>
    <col min="6" max="6" width="36.140625" style="143" customWidth="1"/>
    <col min="7" max="7" width="27.7109375" style="143" customWidth="1"/>
    <col min="8" max="8" width="11.140625" bestFit="1" customWidth="1"/>
    <col min="9" max="9" width="13.7109375" customWidth="1"/>
    <col min="10" max="10" width="12" hidden="1" customWidth="1"/>
    <col min="11" max="11" width="14.140625" style="143" customWidth="1"/>
    <col min="12" max="12" width="7.28515625" style="143" customWidth="1"/>
    <col min="13" max="13" width="16.85546875" style="143" bestFit="1" customWidth="1"/>
    <col min="14" max="14" width="2.140625" style="143" customWidth="1"/>
    <col min="15" max="15" width="11.7109375" style="143" customWidth="1"/>
    <col min="16" max="16" width="17.28515625" style="143" bestFit="1" customWidth="1"/>
    <col min="17" max="17" width="11.140625" style="143" customWidth="1"/>
    <col min="18" max="18" width="2.7109375" hidden="1" customWidth="1"/>
    <col min="19" max="19" width="8.7109375" style="143" hidden="1" customWidth="1"/>
    <col min="20" max="20" width="13.140625" style="143" hidden="1" customWidth="1"/>
    <col min="21" max="21" width="9" style="143" hidden="1" customWidth="1"/>
    <col min="22" max="22" width="2.7109375" style="143" hidden="1" customWidth="1"/>
    <col min="23" max="23" width="24.85546875" style="143" hidden="1" customWidth="1"/>
    <col min="24" max="24" width="2.7109375" style="143" hidden="1" customWidth="1"/>
    <col min="25" max="25" width="22.5703125" style="143" hidden="1" customWidth="1"/>
    <col min="26" max="27" width="8.85546875" style="143" hidden="1" customWidth="1"/>
    <col min="28" max="28" width="7.140625" hidden="1" customWidth="1"/>
    <col min="29" max="29" width="15.42578125" style="143" hidden="1" customWidth="1"/>
    <col min="30" max="30" width="14.28515625" style="143" hidden="1" customWidth="1"/>
    <col min="31" max="31" width="8.85546875" style="143" hidden="1" customWidth="1"/>
    <col min="32" max="32" width="11.5703125" style="143" hidden="1" customWidth="1"/>
    <col min="33" max="34" width="8.85546875" style="143" hidden="1" customWidth="1"/>
    <col min="35" max="35" width="8.85546875" style="143" customWidth="1"/>
    <col min="36" max="16384" width="8.85546875" style="143"/>
  </cols>
  <sheetData>
    <row r="1" spans="1:39" ht="21" x14ac:dyDescent="0.25">
      <c r="A1" s="142"/>
      <c r="B1" s="142"/>
      <c r="C1" s="142"/>
      <c r="D1" s="537" t="s">
        <v>209</v>
      </c>
      <c r="E1" s="142"/>
      <c r="F1" s="142"/>
      <c r="G1" s="144"/>
      <c r="H1" s="144"/>
      <c r="I1" s="144"/>
      <c r="J1" s="144"/>
      <c r="K1" s="538"/>
      <c r="L1" s="142"/>
      <c r="M1" s="142"/>
      <c r="N1" s="142"/>
      <c r="O1" s="142"/>
      <c r="P1" s="142"/>
      <c r="Q1" s="142"/>
      <c r="R1" s="137"/>
      <c r="S1" s="142"/>
      <c r="T1" s="142"/>
      <c r="U1" s="142"/>
      <c r="V1" s="142"/>
      <c r="W1" s="142"/>
      <c r="X1" s="142"/>
      <c r="Y1" s="142"/>
      <c r="Z1" s="142"/>
      <c r="AA1" s="142"/>
      <c r="AB1" s="137"/>
      <c r="AC1" s="142"/>
      <c r="AD1" s="142"/>
      <c r="AE1" s="142"/>
      <c r="AF1" s="142"/>
      <c r="AG1" s="142"/>
      <c r="AH1" s="142"/>
      <c r="AI1" s="142"/>
      <c r="AJ1" s="142"/>
      <c r="AK1" s="142"/>
      <c r="AL1" s="142"/>
      <c r="AM1" s="142"/>
    </row>
    <row r="2" spans="1:39" ht="6.6" customHeight="1" thickBot="1" x14ac:dyDescent="0.3">
      <c r="A2" s="142"/>
      <c r="B2" s="142"/>
      <c r="C2" s="142"/>
      <c r="D2" s="537"/>
      <c r="E2" s="142"/>
      <c r="F2" s="142"/>
      <c r="G2" s="144"/>
      <c r="H2" s="144"/>
      <c r="I2" s="144"/>
      <c r="J2" s="144"/>
      <c r="K2" s="142"/>
      <c r="L2" s="142"/>
      <c r="M2" s="142"/>
      <c r="N2" s="142"/>
      <c r="O2" s="142"/>
      <c r="P2" s="142"/>
      <c r="Q2" s="142"/>
      <c r="R2" s="137"/>
      <c r="S2" s="142"/>
      <c r="T2" s="142"/>
      <c r="U2" s="142"/>
      <c r="V2" s="142"/>
      <c r="W2" s="142"/>
      <c r="X2" s="142"/>
      <c r="Y2" s="142"/>
      <c r="Z2" s="142"/>
      <c r="AA2" s="142"/>
      <c r="AB2" s="137"/>
      <c r="AC2" s="142"/>
      <c r="AD2" s="142"/>
      <c r="AE2" s="142"/>
      <c r="AF2" s="142"/>
      <c r="AG2" s="142"/>
      <c r="AH2" s="142"/>
      <c r="AI2" s="142"/>
      <c r="AJ2" s="142"/>
      <c r="AK2" s="142"/>
      <c r="AL2" s="142"/>
      <c r="AM2" s="142"/>
    </row>
    <row r="3" spans="1:39" x14ac:dyDescent="0.25">
      <c r="A3" s="142"/>
      <c r="B3" s="142"/>
      <c r="C3" s="142"/>
      <c r="D3" s="512" t="s">
        <v>1298</v>
      </c>
      <c r="E3" s="420">
        <f>Welcome!$D$8</f>
        <v>0</v>
      </c>
      <c r="F3" s="142"/>
      <c r="G3" s="512" t="s">
        <v>110</v>
      </c>
      <c r="H3" s="1266" t="e">
        <f>VLOOKUP($H$4,'Market Geography'!$D:$G,4,FALSE)</f>
        <v>#N/A</v>
      </c>
      <c r="I3" s="1267"/>
      <c r="J3" s="1267"/>
      <c r="K3" s="1268"/>
      <c r="L3" s="142"/>
      <c r="M3" s="142"/>
      <c r="N3" s="142"/>
      <c r="O3" s="142"/>
      <c r="P3" s="142"/>
      <c r="Q3" s="142"/>
      <c r="R3" s="137"/>
      <c r="S3" s="142"/>
      <c r="T3" s="142"/>
      <c r="U3" s="142"/>
      <c r="V3" s="142"/>
      <c r="W3" s="142"/>
      <c r="X3" s="142"/>
      <c r="Y3" s="142"/>
      <c r="Z3" s="142"/>
      <c r="AA3" s="142"/>
      <c r="AB3" s="137"/>
      <c r="AC3" s="142"/>
      <c r="AD3" s="142"/>
      <c r="AE3" s="142"/>
      <c r="AF3" s="142"/>
      <c r="AG3" s="142"/>
      <c r="AH3" s="142"/>
      <c r="AI3" s="142"/>
      <c r="AJ3" s="142"/>
      <c r="AK3" s="142"/>
      <c r="AL3" s="142"/>
      <c r="AM3" s="142"/>
    </row>
    <row r="4" spans="1:39" x14ac:dyDescent="0.25">
      <c r="A4" s="142"/>
      <c r="B4" s="142"/>
      <c r="C4" s="142"/>
      <c r="D4" s="513" t="s">
        <v>1299</v>
      </c>
      <c r="E4" s="389" t="str">
        <f>Welcome!$D$12</f>
        <v>Select Term</v>
      </c>
      <c r="F4" s="142"/>
      <c r="G4" s="513" t="s">
        <v>901</v>
      </c>
      <c r="H4" s="1263">
        <f>Welcome!$D$4</f>
        <v>0</v>
      </c>
      <c r="I4" s="1264"/>
      <c r="J4" s="1264"/>
      <c r="K4" s="1265"/>
      <c r="L4" s="142"/>
      <c r="M4" s="142"/>
      <c r="N4" s="142"/>
      <c r="O4" s="142"/>
      <c r="P4" s="142"/>
      <c r="Q4" s="142"/>
      <c r="R4" s="137"/>
      <c r="S4" s="142"/>
      <c r="T4" s="142"/>
      <c r="U4" s="142"/>
      <c r="V4" s="142"/>
      <c r="W4" s="142"/>
      <c r="X4" s="142"/>
      <c r="Y4" s="142"/>
      <c r="Z4" s="142"/>
      <c r="AA4" s="142"/>
      <c r="AB4" s="137"/>
      <c r="AC4" s="142"/>
      <c r="AD4" s="142"/>
      <c r="AE4" s="142"/>
      <c r="AF4" s="142"/>
      <c r="AG4" s="142"/>
      <c r="AH4" s="142"/>
      <c r="AI4" s="142"/>
      <c r="AJ4" s="142"/>
      <c r="AK4" s="142"/>
      <c r="AL4" s="142"/>
      <c r="AM4" s="142"/>
    </row>
    <row r="5" spans="1:39" x14ac:dyDescent="0.25">
      <c r="A5" s="142"/>
      <c r="B5" s="142"/>
      <c r="C5" s="142"/>
      <c r="D5" s="513" t="s">
        <v>1306</v>
      </c>
      <c r="E5" s="146">
        <f>$G$31</f>
        <v>0</v>
      </c>
      <c r="F5" s="142"/>
      <c r="G5" s="513" t="s">
        <v>107</v>
      </c>
      <c r="H5" s="1263" t="str">
        <f>'Multi-Customer'!$S$49</f>
        <v>Enter Customer(s)</v>
      </c>
      <c r="I5" s="1264"/>
      <c r="J5" s="1264"/>
      <c r="K5" s="1265"/>
      <c r="L5" s="142"/>
      <c r="M5" s="142"/>
      <c r="N5" s="142"/>
      <c r="O5" s="142"/>
      <c r="P5" s="142"/>
      <c r="Q5" s="142"/>
      <c r="R5" s="137"/>
      <c r="S5" s="142"/>
      <c r="T5" s="142"/>
      <c r="U5" s="142"/>
      <c r="V5" s="142"/>
      <c r="W5" s="142"/>
      <c r="X5" s="142"/>
      <c r="Y5" s="142"/>
      <c r="Z5" s="142"/>
      <c r="AA5" s="142"/>
      <c r="AB5" s="137"/>
      <c r="AC5" s="142"/>
      <c r="AD5" s="142"/>
      <c r="AE5" s="142"/>
      <c r="AF5" s="142"/>
      <c r="AG5" s="142"/>
      <c r="AH5" s="142"/>
      <c r="AI5" s="142"/>
      <c r="AJ5" s="142"/>
      <c r="AK5" s="142"/>
      <c r="AL5" s="142"/>
      <c r="AM5" s="142"/>
    </row>
    <row r="6" spans="1:39" x14ac:dyDescent="0.25">
      <c r="A6" s="142"/>
      <c r="B6" s="142"/>
      <c r="C6" s="142"/>
      <c r="D6" s="513" t="s">
        <v>1307</v>
      </c>
      <c r="E6" s="147">
        <f>IFERROR('Variable Costs (Back)'!$K$26,0)</f>
        <v>0</v>
      </c>
      <c r="F6" s="142"/>
      <c r="G6" s="513" t="s">
        <v>1316</v>
      </c>
      <c r="H6" s="1263" t="str">
        <f>'Multi-Customer'!$AH$40</f>
        <v>MULTIPLE TYPES</v>
      </c>
      <c r="I6" s="1264"/>
      <c r="J6" s="1264"/>
      <c r="K6" s="1265"/>
      <c r="L6" s="142"/>
      <c r="M6" s="142"/>
      <c r="N6" s="142"/>
      <c r="O6" s="142"/>
      <c r="P6" s="142"/>
      <c r="Q6" s="142"/>
      <c r="R6" s="137"/>
      <c r="S6" s="142"/>
      <c r="T6" s="142"/>
      <c r="U6" s="142"/>
      <c r="V6" s="142"/>
      <c r="W6" s="142"/>
      <c r="X6" s="142"/>
      <c r="Y6" s="142"/>
      <c r="Z6" s="142"/>
      <c r="AA6" s="142"/>
      <c r="AB6" s="137"/>
      <c r="AC6" s="142"/>
      <c r="AD6" s="142"/>
      <c r="AE6" s="142"/>
      <c r="AF6" s="142"/>
      <c r="AG6" s="142"/>
      <c r="AH6" s="142"/>
      <c r="AI6" s="142"/>
      <c r="AJ6" s="142"/>
      <c r="AK6" s="142"/>
      <c r="AL6" s="142"/>
      <c r="AM6" s="142"/>
    </row>
    <row r="7" spans="1:39" ht="15.75" thickBot="1" x14ac:dyDescent="0.3">
      <c r="A7" s="142"/>
      <c r="B7" s="142"/>
      <c r="C7" s="142"/>
      <c r="D7" s="514" t="s">
        <v>1308</v>
      </c>
      <c r="E7" s="421">
        <f>IFERROR('PIM Ranges'!$AU$3,0)</f>
        <v>0</v>
      </c>
      <c r="F7" s="142"/>
      <c r="G7" s="514" t="s">
        <v>1309</v>
      </c>
      <c r="H7" s="1269" t="s">
        <v>207</v>
      </c>
      <c r="I7" s="1270"/>
      <c r="J7" s="1270"/>
      <c r="K7" s="1271"/>
      <c r="L7" s="142"/>
      <c r="M7" s="142"/>
      <c r="N7" s="142"/>
      <c r="O7" s="142"/>
      <c r="P7" s="142"/>
      <c r="Q7" s="538"/>
      <c r="R7" s="137"/>
      <c r="S7" s="142"/>
      <c r="T7" s="142"/>
      <c r="U7" s="142"/>
      <c r="V7" s="142"/>
      <c r="W7" s="142"/>
      <c r="X7" s="142"/>
      <c r="Y7" s="142"/>
      <c r="Z7" s="142"/>
      <c r="AA7" s="142"/>
      <c r="AB7" s="137"/>
      <c r="AC7" s="142"/>
      <c r="AD7" s="142"/>
      <c r="AE7" s="142"/>
      <c r="AF7" s="142"/>
      <c r="AG7" s="142"/>
      <c r="AH7" s="142"/>
      <c r="AI7" s="142"/>
      <c r="AJ7" s="142"/>
      <c r="AK7" s="142"/>
      <c r="AL7" s="142"/>
      <c r="AM7" s="142"/>
    </row>
    <row r="8" spans="1:39" ht="31.9" customHeight="1" thickBot="1" x14ac:dyDescent="0.3">
      <c r="A8" s="142"/>
      <c r="B8" s="142"/>
      <c r="C8" s="142"/>
      <c r="D8" s="142"/>
      <c r="E8" s="142"/>
      <c r="F8" s="142"/>
      <c r="G8" s="647"/>
      <c r="H8" s="137"/>
      <c r="I8" s="137"/>
      <c r="J8" s="137"/>
      <c r="K8" s="142"/>
      <c r="L8" s="142"/>
      <c r="M8" s="142"/>
      <c r="N8" s="142"/>
      <c r="O8" s="507"/>
      <c r="P8" s="605" t="str">
        <f>IF($E$3="MDA","Contract Margin %","Margin % Used For Modeling")</f>
        <v>Margin % Used For Modeling</v>
      </c>
      <c r="Q8" s="507"/>
      <c r="R8" s="137"/>
      <c r="S8" s="149"/>
      <c r="T8" s="150" t="s">
        <v>512</v>
      </c>
      <c r="U8" s="149"/>
      <c r="V8" s="142"/>
      <c r="W8" s="412" t="s">
        <v>503</v>
      </c>
      <c r="X8" s="142"/>
      <c r="Y8" s="142"/>
      <c r="Z8" s="142"/>
      <c r="AA8" s="142"/>
      <c r="AB8" s="142"/>
      <c r="AC8" s="142"/>
      <c r="AD8" s="142"/>
      <c r="AE8" s="142"/>
      <c r="AF8" s="142"/>
      <c r="AG8" s="142"/>
      <c r="AH8" s="142"/>
      <c r="AI8" s="142"/>
      <c r="AJ8" s="142"/>
      <c r="AK8" s="142"/>
      <c r="AL8" s="142"/>
      <c r="AM8" s="142"/>
    </row>
    <row r="9" spans="1:39" ht="30" customHeight="1" thickBot="1" x14ac:dyDescent="0.3">
      <c r="A9" s="142"/>
      <c r="B9" s="535" t="s">
        <v>954</v>
      </c>
      <c r="C9" s="536" t="s">
        <v>1031</v>
      </c>
      <c r="D9" s="536" t="s">
        <v>1393</v>
      </c>
      <c r="E9" s="414" t="s">
        <v>472</v>
      </c>
      <c r="F9" s="151" t="s">
        <v>1441</v>
      </c>
      <c r="G9" s="152" t="s">
        <v>402</v>
      </c>
      <c r="H9" s="153" t="s">
        <v>83</v>
      </c>
      <c r="I9" s="154" t="s">
        <v>1394</v>
      </c>
      <c r="J9" s="151" t="s">
        <v>1395</v>
      </c>
      <c r="K9" s="155" t="s">
        <v>228</v>
      </c>
      <c r="L9" s="156"/>
      <c r="M9" s="157" t="s">
        <v>982</v>
      </c>
      <c r="N9" s="158"/>
      <c r="O9" s="509" t="s">
        <v>126</v>
      </c>
      <c r="P9" s="508" t="str">
        <f>IF($E$3="CIA","Incentive Only","Recommended")</f>
        <v>Recommended</v>
      </c>
      <c r="Q9" s="510" t="s">
        <v>128</v>
      </c>
      <c r="R9" s="137"/>
      <c r="S9" s="159" t="s">
        <v>126</v>
      </c>
      <c r="T9" s="160" t="s">
        <v>127</v>
      </c>
      <c r="U9" s="161" t="s">
        <v>128</v>
      </c>
      <c r="V9" s="142"/>
      <c r="W9" s="413" t="s">
        <v>127</v>
      </c>
      <c r="X9" s="142"/>
      <c r="Y9" s="142"/>
      <c r="Z9" s="142"/>
      <c r="AA9" s="142"/>
      <c r="AB9" s="144"/>
      <c r="AD9" s="162" t="s">
        <v>701</v>
      </c>
      <c r="AE9" s="142"/>
      <c r="AF9" s="675" t="s">
        <v>1037</v>
      </c>
      <c r="AG9" s="142" t="s">
        <v>1038</v>
      </c>
      <c r="AH9" s="142" t="s">
        <v>494</v>
      </c>
      <c r="AI9" s="142"/>
      <c r="AJ9" s="142"/>
      <c r="AK9" s="142"/>
      <c r="AL9" s="142"/>
      <c r="AM9" s="142"/>
    </row>
    <row r="10" spans="1:39" ht="17.25" x14ac:dyDescent="0.25">
      <c r="A10" s="142"/>
      <c r="B10" s="636">
        <v>0</v>
      </c>
      <c r="C10" s="642"/>
      <c r="D10" s="1010" t="s">
        <v>489</v>
      </c>
      <c r="E10" s="637" t="s">
        <v>990</v>
      </c>
      <c r="F10" s="163" t="s">
        <v>99</v>
      </c>
      <c r="G10" s="679">
        <f>IFERROR('PIM Ranges'!AL12,0)</f>
        <v>0</v>
      </c>
      <c r="H10" s="680">
        <f>IFERROR('PIM Ranges'!AM12,0)</f>
        <v>0</v>
      </c>
      <c r="I10" s="681">
        <f>IFERROR('PIM Ranges'!AN12,0)</f>
        <v>0</v>
      </c>
      <c r="J10" s="418">
        <f t="shared" ref="J10:J26" si="0">IF($E$3="CIA",IF($D10="%",$P10*$G10,$P10*$I10),IF($D10="%",$K10*$G10,$K10*I10))</f>
        <v>0</v>
      </c>
      <c r="K10" s="867"/>
      <c r="L10" s="731" t="str">
        <f t="shared" ref="L10:L26" si="1">IF($E$3="CIA","",IF(K10="","",IF(K10&lt;O10,"X",IF(K10&gt;Q10,"X",""))))</f>
        <v/>
      </c>
      <c r="M10" s="865">
        <f>'Multi-Customer'!AE14</f>
        <v>0</v>
      </c>
      <c r="N10" s="164"/>
      <c r="O10" s="869" t="e">
        <f>'Multi-Customer'!$I14</f>
        <v>#DIV/0!</v>
      </c>
      <c r="P10" s="869" t="e">
        <f>'Multi-Customer'!$J14</f>
        <v>#DIV/0!</v>
      </c>
      <c r="Q10" s="869" t="e">
        <f>'Multi-Customer'!$K14</f>
        <v>#DIV/0!</v>
      </c>
      <c r="R10" s="534"/>
      <c r="S10" s="869"/>
      <c r="T10" s="869"/>
      <c r="U10" s="869"/>
      <c r="V10" s="142"/>
      <c r="W10" s="165" t="e">
        <f>'Multi-Customer'!AU14</f>
        <v>#DIV/0!</v>
      </c>
      <c r="X10" s="142"/>
      <c r="Y10" s="142"/>
      <c r="Z10" s="142"/>
      <c r="AA10" s="142"/>
      <c r="AB10" s="391" t="str">
        <f t="shared" ref="AB10:AB30" si="2">IF($E$3="CIA","",IF($H10&gt;0,IF(E10="Include",IF($K10&lt;&gt;"","","ERROR"),""),""))</f>
        <v/>
      </c>
      <c r="AC10" s="166">
        <f t="shared" ref="AC10:AC30" si="3">IF($E$3="CIA","N/A for Incentive Only Customer",K10)</f>
        <v>0</v>
      </c>
      <c r="AD10" s="142" t="str">
        <f>IF($K10="","",ROUND(IF($D10="%",AC10*100,K10),4))</f>
        <v/>
      </c>
      <c r="AE10" s="142"/>
      <c r="AF10" s="142" t="str">
        <f>IF(L10="X",IF(K10&lt;O10,"BELOW","ABOVE"),"")</f>
        <v/>
      </c>
      <c r="AG10" s="142" t="str">
        <f>IF($AF10="","",IF($AF10="ABOVE",$Q10,$O10))</f>
        <v/>
      </c>
      <c r="AH10" s="142" t="str">
        <f>IF($AF10="","",$K10)</f>
        <v/>
      </c>
      <c r="AI10" s="142"/>
      <c r="AJ10" s="142"/>
      <c r="AK10" s="142"/>
      <c r="AL10" s="142"/>
      <c r="AM10" s="142"/>
    </row>
    <row r="11" spans="1:39" ht="17.25" x14ac:dyDescent="0.25">
      <c r="A11" s="142"/>
      <c r="B11" s="638">
        <v>0</v>
      </c>
      <c r="C11" s="643"/>
      <c r="D11" s="773" t="s">
        <v>489</v>
      </c>
      <c r="E11" s="639" t="s">
        <v>990</v>
      </c>
      <c r="F11" s="1097" t="s">
        <v>103</v>
      </c>
      <c r="G11" s="682">
        <f>IFERROR('PIM Ranges'!AL13,0)</f>
        <v>0</v>
      </c>
      <c r="H11" s="683">
        <f>IFERROR('PIM Ranges'!AM13,0)</f>
        <v>0</v>
      </c>
      <c r="I11" s="684">
        <f>IFERROR('PIM Ranges'!AN13,0)</f>
        <v>0</v>
      </c>
      <c r="J11" s="418">
        <f t="shared" si="0"/>
        <v>0</v>
      </c>
      <c r="K11" s="867"/>
      <c r="L11" s="731" t="str">
        <f t="shared" si="1"/>
        <v/>
      </c>
      <c r="M11" s="865">
        <f>'Multi-Customer'!AE15</f>
        <v>0</v>
      </c>
      <c r="N11" s="164"/>
      <c r="O11" s="869" t="e">
        <f>'Multi-Customer'!$I15</f>
        <v>#DIV/0!</v>
      </c>
      <c r="P11" s="869" t="e">
        <f>'Multi-Customer'!$J15</f>
        <v>#DIV/0!</v>
      </c>
      <c r="Q11" s="869" t="e">
        <f>'Multi-Customer'!$K15</f>
        <v>#DIV/0!</v>
      </c>
      <c r="R11" s="534"/>
      <c r="S11" s="1174" t="e">
        <f>'Multi-Customer'!$I15*'PIM Ranges'!$AP13</f>
        <v>#DIV/0!</v>
      </c>
      <c r="T11" s="1174" t="e">
        <f>'Multi-Customer'!$J15*'PIM Ranges'!$AP13</f>
        <v>#DIV/0!</v>
      </c>
      <c r="U11" s="1174" t="e">
        <f>'Multi-Customer'!$K15*'PIM Ranges'!$AP13</f>
        <v>#DIV/0!</v>
      </c>
      <c r="V11" s="142"/>
      <c r="W11" s="165" t="e">
        <f>'Multi-Customer'!AU15</f>
        <v>#DIV/0!</v>
      </c>
      <c r="X11" s="142"/>
      <c r="Y11" s="142"/>
      <c r="Z11" s="142"/>
      <c r="AA11" s="142"/>
      <c r="AB11" s="391" t="str">
        <f t="shared" si="2"/>
        <v/>
      </c>
      <c r="AC11" s="166">
        <f t="shared" si="3"/>
        <v>0</v>
      </c>
      <c r="AD11" s="142" t="str">
        <f t="shared" ref="AD11:AD30" si="4">IF($K11="","",ROUND(IF($D11="%",AC11*100,K11),4))</f>
        <v/>
      </c>
      <c r="AE11" s="142"/>
      <c r="AF11" s="142" t="str">
        <f t="shared" ref="AF11:AF30" si="5">IF(L11="X",IF(K11&lt;O11,"BELOW","ABOVE"),"")</f>
        <v/>
      </c>
      <c r="AG11" s="142" t="str">
        <f t="shared" ref="AG11:AG30" si="6">IF($AF11="","",IF($AF11="ABOVE",$Q11,$O11))</f>
        <v/>
      </c>
      <c r="AH11" s="142" t="str">
        <f t="shared" ref="AH11:AH30" si="7">IF($AF11="","",$K11)</f>
        <v/>
      </c>
      <c r="AI11" s="142"/>
      <c r="AJ11" s="142"/>
      <c r="AK11" s="142"/>
      <c r="AL11" s="142"/>
      <c r="AM11" s="142"/>
    </row>
    <row r="12" spans="1:39" ht="17.25" x14ac:dyDescent="0.25">
      <c r="A12" s="142"/>
      <c r="B12" s="638">
        <v>0</v>
      </c>
      <c r="C12" s="643"/>
      <c r="D12" s="773" t="s">
        <v>489</v>
      </c>
      <c r="E12" s="639" t="s">
        <v>990</v>
      </c>
      <c r="F12" s="1097" t="s">
        <v>1445</v>
      </c>
      <c r="G12" s="682">
        <f>IFERROR('PIM Ranges'!AL14,0)</f>
        <v>0</v>
      </c>
      <c r="H12" s="683">
        <f>IFERROR('PIM Ranges'!AM14,0)</f>
        <v>0</v>
      </c>
      <c r="I12" s="684">
        <f>IFERROR('PIM Ranges'!AN14,0)</f>
        <v>0</v>
      </c>
      <c r="J12" s="418">
        <f t="shared" si="0"/>
        <v>0</v>
      </c>
      <c r="K12" s="867"/>
      <c r="L12" s="731" t="str">
        <f t="shared" si="1"/>
        <v/>
      </c>
      <c r="M12" s="865">
        <f>'Multi-Customer'!AE16</f>
        <v>0</v>
      </c>
      <c r="N12" s="164"/>
      <c r="O12" s="869" t="e">
        <f>'Multi-Customer'!$I16</f>
        <v>#DIV/0!</v>
      </c>
      <c r="P12" s="869" t="e">
        <f>'Multi-Customer'!$J16</f>
        <v>#DIV/0!</v>
      </c>
      <c r="Q12" s="869" t="e">
        <f>'Multi-Customer'!$K16</f>
        <v>#DIV/0!</v>
      </c>
      <c r="R12" s="534"/>
      <c r="S12" s="1174" t="e">
        <f>'Multi-Customer'!$I16*'PIM Ranges'!$AP14</f>
        <v>#DIV/0!</v>
      </c>
      <c r="T12" s="1174" t="e">
        <f>'Multi-Customer'!$J16*'PIM Ranges'!$AP14</f>
        <v>#DIV/0!</v>
      </c>
      <c r="U12" s="1174" t="e">
        <f>'Multi-Customer'!$K16*'PIM Ranges'!$AP14</f>
        <v>#DIV/0!</v>
      </c>
      <c r="V12" s="142"/>
      <c r="W12" s="165" t="e">
        <f>'Multi-Customer'!AU16</f>
        <v>#DIV/0!</v>
      </c>
      <c r="X12" s="142"/>
      <c r="Y12" s="142"/>
      <c r="Z12" s="142"/>
      <c r="AA12" s="142"/>
      <c r="AB12" s="391" t="str">
        <f t="shared" si="2"/>
        <v/>
      </c>
      <c r="AC12" s="166">
        <f t="shared" si="3"/>
        <v>0</v>
      </c>
      <c r="AD12" s="142" t="str">
        <f t="shared" si="4"/>
        <v/>
      </c>
      <c r="AE12" s="142"/>
      <c r="AF12" s="142" t="str">
        <f t="shared" si="5"/>
        <v/>
      </c>
      <c r="AG12" s="142" t="str">
        <f t="shared" si="6"/>
        <v/>
      </c>
      <c r="AH12" s="142" t="str">
        <f t="shared" si="7"/>
        <v/>
      </c>
      <c r="AI12" s="142"/>
      <c r="AJ12" s="142"/>
      <c r="AK12" s="142"/>
      <c r="AL12" s="142"/>
      <c r="AM12" s="142"/>
    </row>
    <row r="13" spans="1:39" ht="17.25" x14ac:dyDescent="0.25">
      <c r="A13" s="142"/>
      <c r="B13" s="638">
        <v>0</v>
      </c>
      <c r="C13" s="643"/>
      <c r="D13" s="1011" t="s">
        <v>489</v>
      </c>
      <c r="E13" s="639" t="s">
        <v>990</v>
      </c>
      <c r="F13" s="167" t="s">
        <v>102</v>
      </c>
      <c r="G13" s="682">
        <f>IFERROR('PIM Ranges'!AL15,0)</f>
        <v>0</v>
      </c>
      <c r="H13" s="683">
        <f>IFERROR('PIM Ranges'!AM15,0)</f>
        <v>0</v>
      </c>
      <c r="I13" s="684">
        <f>IFERROR('PIM Ranges'!AN15,0)</f>
        <v>0</v>
      </c>
      <c r="J13" s="418">
        <f t="shared" si="0"/>
        <v>0</v>
      </c>
      <c r="K13" s="867"/>
      <c r="L13" s="731" t="str">
        <f t="shared" si="1"/>
        <v/>
      </c>
      <c r="M13" s="865">
        <f>'Multi-Customer'!AE17</f>
        <v>0</v>
      </c>
      <c r="N13" s="164"/>
      <c r="O13" s="869" t="e">
        <f>'Multi-Customer'!$I17</f>
        <v>#DIV/0!</v>
      </c>
      <c r="P13" s="869" t="e">
        <f>'Multi-Customer'!$J17</f>
        <v>#DIV/0!</v>
      </c>
      <c r="Q13" s="869" t="e">
        <f>'Multi-Customer'!$K17</f>
        <v>#DIV/0!</v>
      </c>
      <c r="R13" s="534"/>
      <c r="S13" s="869"/>
      <c r="T13" s="869"/>
      <c r="U13" s="869"/>
      <c r="V13" s="142"/>
      <c r="W13" s="165" t="e">
        <f>'Multi-Customer'!AU17</f>
        <v>#DIV/0!</v>
      </c>
      <c r="X13" s="142"/>
      <c r="Y13" s="142"/>
      <c r="Z13" s="142"/>
      <c r="AA13" s="142"/>
      <c r="AB13" s="391" t="str">
        <f t="shared" si="2"/>
        <v/>
      </c>
      <c r="AC13" s="166">
        <f t="shared" si="3"/>
        <v>0</v>
      </c>
      <c r="AD13" s="142" t="str">
        <f t="shared" si="4"/>
        <v/>
      </c>
      <c r="AE13" s="142"/>
      <c r="AF13" s="142" t="str">
        <f t="shared" si="5"/>
        <v/>
      </c>
      <c r="AG13" s="142" t="str">
        <f t="shared" si="6"/>
        <v/>
      </c>
      <c r="AH13" s="142" t="str">
        <f t="shared" si="7"/>
        <v/>
      </c>
      <c r="AI13" s="142"/>
      <c r="AJ13" s="142"/>
      <c r="AK13" s="142"/>
      <c r="AL13" s="142"/>
      <c r="AM13" s="142"/>
    </row>
    <row r="14" spans="1:39" ht="17.25" x14ac:dyDescent="0.25">
      <c r="A14" s="142"/>
      <c r="B14" s="638">
        <v>0</v>
      </c>
      <c r="C14" s="643"/>
      <c r="D14" s="1011" t="s">
        <v>489</v>
      </c>
      <c r="E14" s="639" t="s">
        <v>990</v>
      </c>
      <c r="F14" s="167" t="s">
        <v>100</v>
      </c>
      <c r="G14" s="682">
        <f>IFERROR('PIM Ranges'!AL16,0)</f>
        <v>0</v>
      </c>
      <c r="H14" s="683">
        <f>IFERROR('PIM Ranges'!AM16,0)</f>
        <v>0</v>
      </c>
      <c r="I14" s="684">
        <f>IFERROR('PIM Ranges'!AN16,0)</f>
        <v>0</v>
      </c>
      <c r="J14" s="418">
        <f t="shared" si="0"/>
        <v>0</v>
      </c>
      <c r="K14" s="867"/>
      <c r="L14" s="731" t="str">
        <f t="shared" si="1"/>
        <v/>
      </c>
      <c r="M14" s="865">
        <f>'Multi-Customer'!AE18</f>
        <v>0</v>
      </c>
      <c r="N14" s="164"/>
      <c r="O14" s="869" t="e">
        <f>'Multi-Customer'!$I18</f>
        <v>#DIV/0!</v>
      </c>
      <c r="P14" s="869" t="e">
        <f>'Multi-Customer'!$J18</f>
        <v>#DIV/0!</v>
      </c>
      <c r="Q14" s="869" t="e">
        <f>'Multi-Customer'!$K18</f>
        <v>#DIV/0!</v>
      </c>
      <c r="R14" s="534"/>
      <c r="S14" s="869"/>
      <c r="T14" s="869"/>
      <c r="U14" s="869"/>
      <c r="V14" s="142"/>
      <c r="W14" s="165" t="e">
        <f>'Multi-Customer'!AU18</f>
        <v>#DIV/0!</v>
      </c>
      <c r="X14" s="142"/>
      <c r="Y14" s="142"/>
      <c r="Z14" s="142"/>
      <c r="AA14" s="142"/>
      <c r="AB14" s="391" t="str">
        <f t="shared" si="2"/>
        <v/>
      </c>
      <c r="AC14" s="166">
        <f t="shared" si="3"/>
        <v>0</v>
      </c>
      <c r="AD14" s="142" t="str">
        <f t="shared" si="4"/>
        <v/>
      </c>
      <c r="AE14" s="142"/>
      <c r="AF14" s="142" t="str">
        <f t="shared" si="5"/>
        <v/>
      </c>
      <c r="AG14" s="142" t="str">
        <f t="shared" si="6"/>
        <v/>
      </c>
      <c r="AH14" s="142" t="str">
        <f t="shared" si="7"/>
        <v/>
      </c>
      <c r="AI14" s="142"/>
      <c r="AJ14" s="142"/>
      <c r="AK14" s="142"/>
      <c r="AL14" s="142"/>
      <c r="AM14" s="142"/>
    </row>
    <row r="15" spans="1:39" ht="17.25" x14ac:dyDescent="0.25">
      <c r="A15" s="142"/>
      <c r="B15" s="638">
        <v>0</v>
      </c>
      <c r="C15" s="643"/>
      <c r="D15" s="1011" t="s">
        <v>489</v>
      </c>
      <c r="E15" s="639" t="s">
        <v>990</v>
      </c>
      <c r="F15" s="167" t="s">
        <v>104</v>
      </c>
      <c r="G15" s="682">
        <f>IFERROR('PIM Ranges'!AL17,0)</f>
        <v>0</v>
      </c>
      <c r="H15" s="683">
        <f>IFERROR('PIM Ranges'!AM17,0)</f>
        <v>0</v>
      </c>
      <c r="I15" s="684">
        <f>IFERROR('PIM Ranges'!AN17,0)</f>
        <v>0</v>
      </c>
      <c r="J15" s="418">
        <f t="shared" si="0"/>
        <v>0</v>
      </c>
      <c r="K15" s="867"/>
      <c r="L15" s="731" t="str">
        <f t="shared" si="1"/>
        <v/>
      </c>
      <c r="M15" s="865">
        <f>'Multi-Customer'!AE19</f>
        <v>0</v>
      </c>
      <c r="N15" s="164"/>
      <c r="O15" s="869" t="e">
        <f>'Multi-Customer'!$I19</f>
        <v>#DIV/0!</v>
      </c>
      <c r="P15" s="869" t="e">
        <f>'Multi-Customer'!$J19</f>
        <v>#DIV/0!</v>
      </c>
      <c r="Q15" s="869" t="e">
        <f>'Multi-Customer'!$K19</f>
        <v>#DIV/0!</v>
      </c>
      <c r="R15" s="534"/>
      <c r="S15" s="869"/>
      <c r="T15" s="869"/>
      <c r="U15" s="869"/>
      <c r="V15" s="142"/>
      <c r="W15" s="165" t="e">
        <f>'Multi-Customer'!AU19</f>
        <v>#DIV/0!</v>
      </c>
      <c r="X15" s="142"/>
      <c r="Y15" s="142"/>
      <c r="Z15" s="142"/>
      <c r="AA15" s="142"/>
      <c r="AB15" s="391" t="str">
        <f t="shared" si="2"/>
        <v/>
      </c>
      <c r="AC15" s="166">
        <f t="shared" si="3"/>
        <v>0</v>
      </c>
      <c r="AD15" s="142" t="str">
        <f t="shared" si="4"/>
        <v/>
      </c>
      <c r="AE15" s="142"/>
      <c r="AF15" s="142" t="str">
        <f t="shared" si="5"/>
        <v/>
      </c>
      <c r="AG15" s="142" t="str">
        <f t="shared" si="6"/>
        <v/>
      </c>
      <c r="AH15" s="142" t="str">
        <f t="shared" si="7"/>
        <v/>
      </c>
      <c r="AI15" s="142"/>
      <c r="AJ15" s="142"/>
      <c r="AK15" s="142"/>
      <c r="AL15" s="142"/>
      <c r="AM15" s="142"/>
    </row>
    <row r="16" spans="1:39" ht="17.25" x14ac:dyDescent="0.25">
      <c r="A16" s="142"/>
      <c r="B16" s="638">
        <v>0</v>
      </c>
      <c r="C16" s="643"/>
      <c r="D16" s="1011" t="s">
        <v>489</v>
      </c>
      <c r="E16" s="639" t="s">
        <v>990</v>
      </c>
      <c r="F16" s="167" t="s">
        <v>98</v>
      </c>
      <c r="G16" s="682">
        <f>IFERROR('PIM Ranges'!AL18,0)</f>
        <v>0</v>
      </c>
      <c r="H16" s="683">
        <f>IFERROR('PIM Ranges'!AM18,0)</f>
        <v>0</v>
      </c>
      <c r="I16" s="684">
        <f>IFERROR('PIM Ranges'!AN18,0)</f>
        <v>0</v>
      </c>
      <c r="J16" s="418">
        <f t="shared" si="0"/>
        <v>0</v>
      </c>
      <c r="K16" s="867"/>
      <c r="L16" s="731" t="str">
        <f t="shared" si="1"/>
        <v/>
      </c>
      <c r="M16" s="865">
        <f>'Multi-Customer'!AE20</f>
        <v>0</v>
      </c>
      <c r="N16" s="164"/>
      <c r="O16" s="869" t="e">
        <f>'Multi-Customer'!$I20</f>
        <v>#DIV/0!</v>
      </c>
      <c r="P16" s="869" t="e">
        <f>'Multi-Customer'!$J20</f>
        <v>#DIV/0!</v>
      </c>
      <c r="Q16" s="869" t="e">
        <f>'Multi-Customer'!$K20</f>
        <v>#DIV/0!</v>
      </c>
      <c r="R16" s="534"/>
      <c r="S16" s="869"/>
      <c r="T16" s="869"/>
      <c r="U16" s="869"/>
      <c r="V16" s="142"/>
      <c r="W16" s="165" t="e">
        <f>'Multi-Customer'!AU20</f>
        <v>#DIV/0!</v>
      </c>
      <c r="X16" s="142"/>
      <c r="Y16" s="142"/>
      <c r="Z16" s="142"/>
      <c r="AA16" s="142"/>
      <c r="AB16" s="391" t="str">
        <f t="shared" si="2"/>
        <v/>
      </c>
      <c r="AC16" s="166">
        <f t="shared" si="3"/>
        <v>0</v>
      </c>
      <c r="AD16" s="142" t="str">
        <f t="shared" si="4"/>
        <v/>
      </c>
      <c r="AE16" s="142"/>
      <c r="AF16" s="142" t="str">
        <f t="shared" si="5"/>
        <v/>
      </c>
      <c r="AG16" s="142" t="str">
        <f t="shared" si="6"/>
        <v/>
      </c>
      <c r="AH16" s="142" t="str">
        <f t="shared" si="7"/>
        <v/>
      </c>
      <c r="AI16" s="142"/>
      <c r="AJ16" s="142"/>
      <c r="AK16" s="142"/>
      <c r="AL16" s="142"/>
      <c r="AM16" s="142"/>
    </row>
    <row r="17" spans="1:39" ht="17.25" x14ac:dyDescent="0.25">
      <c r="A17" s="142"/>
      <c r="B17" s="638">
        <v>0</v>
      </c>
      <c r="C17" s="643"/>
      <c r="D17" s="1011" t="s">
        <v>489</v>
      </c>
      <c r="E17" s="639" t="s">
        <v>990</v>
      </c>
      <c r="F17" s="167" t="s">
        <v>95</v>
      </c>
      <c r="G17" s="682">
        <f>IFERROR('PIM Ranges'!AL19,0)</f>
        <v>0</v>
      </c>
      <c r="H17" s="683">
        <f>IFERROR('PIM Ranges'!AM19,0)</f>
        <v>0</v>
      </c>
      <c r="I17" s="684">
        <f>IFERROR('PIM Ranges'!AN19,0)</f>
        <v>0</v>
      </c>
      <c r="J17" s="418">
        <f t="shared" si="0"/>
        <v>0</v>
      </c>
      <c r="K17" s="867"/>
      <c r="L17" s="731" t="str">
        <f t="shared" si="1"/>
        <v/>
      </c>
      <c r="M17" s="865">
        <f>'Multi-Customer'!AE21</f>
        <v>0</v>
      </c>
      <c r="N17" s="164"/>
      <c r="O17" s="869" t="e">
        <f>'Multi-Customer'!$I21</f>
        <v>#DIV/0!</v>
      </c>
      <c r="P17" s="869" t="e">
        <f>'Multi-Customer'!$J21</f>
        <v>#DIV/0!</v>
      </c>
      <c r="Q17" s="869" t="e">
        <f>'Multi-Customer'!$K21</f>
        <v>#DIV/0!</v>
      </c>
      <c r="R17" s="534"/>
      <c r="S17" s="869"/>
      <c r="T17" s="869"/>
      <c r="U17" s="869"/>
      <c r="V17" s="142"/>
      <c r="W17" s="165" t="e">
        <f>'Multi-Customer'!AU21</f>
        <v>#DIV/0!</v>
      </c>
      <c r="X17" s="142"/>
      <c r="Y17" s="142"/>
      <c r="Z17" s="142"/>
      <c r="AA17" s="142"/>
      <c r="AB17" s="391" t="str">
        <f t="shared" si="2"/>
        <v/>
      </c>
      <c r="AC17" s="166">
        <f t="shared" si="3"/>
        <v>0</v>
      </c>
      <c r="AD17" s="142" t="str">
        <f t="shared" si="4"/>
        <v/>
      </c>
      <c r="AE17" s="142"/>
      <c r="AF17" s="142" t="str">
        <f t="shared" si="5"/>
        <v/>
      </c>
      <c r="AG17" s="142" t="str">
        <f t="shared" si="6"/>
        <v/>
      </c>
      <c r="AH17" s="142" t="str">
        <f t="shared" si="7"/>
        <v/>
      </c>
      <c r="AI17" s="142"/>
      <c r="AJ17" s="142"/>
      <c r="AK17" s="142"/>
      <c r="AL17" s="142"/>
      <c r="AM17" s="142"/>
    </row>
    <row r="18" spans="1:39" ht="17.25" x14ac:dyDescent="0.25">
      <c r="A18" s="142"/>
      <c r="B18" s="638">
        <v>0</v>
      </c>
      <c r="C18" s="643"/>
      <c r="D18" s="1011" t="s">
        <v>489</v>
      </c>
      <c r="E18" s="639" t="s">
        <v>990</v>
      </c>
      <c r="F18" s="167" t="s">
        <v>96</v>
      </c>
      <c r="G18" s="682">
        <f>IFERROR('PIM Ranges'!AL20,0)</f>
        <v>0</v>
      </c>
      <c r="H18" s="683">
        <f>IFERROR('PIM Ranges'!AM20,0)</f>
        <v>0</v>
      </c>
      <c r="I18" s="684">
        <f>IFERROR('PIM Ranges'!AN20,0)</f>
        <v>0</v>
      </c>
      <c r="J18" s="418">
        <f t="shared" si="0"/>
        <v>0</v>
      </c>
      <c r="K18" s="867"/>
      <c r="L18" s="731" t="str">
        <f t="shared" si="1"/>
        <v/>
      </c>
      <c r="M18" s="865">
        <f>'Multi-Customer'!AE22</f>
        <v>0</v>
      </c>
      <c r="N18" s="164"/>
      <c r="O18" s="869" t="e">
        <f>'Multi-Customer'!$I22</f>
        <v>#DIV/0!</v>
      </c>
      <c r="P18" s="869" t="e">
        <f>'Multi-Customer'!$J22</f>
        <v>#DIV/0!</v>
      </c>
      <c r="Q18" s="869" t="e">
        <f>'Multi-Customer'!$K22</f>
        <v>#DIV/0!</v>
      </c>
      <c r="R18" s="534"/>
      <c r="S18" s="869"/>
      <c r="T18" s="869"/>
      <c r="U18" s="869"/>
      <c r="V18" s="142"/>
      <c r="W18" s="165" t="e">
        <f>'Multi-Customer'!AU22</f>
        <v>#DIV/0!</v>
      </c>
      <c r="X18" s="142"/>
      <c r="Y18" s="142"/>
      <c r="Z18" s="142"/>
      <c r="AA18" s="142"/>
      <c r="AB18" s="391" t="str">
        <f t="shared" si="2"/>
        <v/>
      </c>
      <c r="AC18" s="166">
        <f t="shared" si="3"/>
        <v>0</v>
      </c>
      <c r="AD18" s="142" t="str">
        <f t="shared" si="4"/>
        <v/>
      </c>
      <c r="AE18" s="142"/>
      <c r="AF18" s="142" t="str">
        <f t="shared" si="5"/>
        <v/>
      </c>
      <c r="AG18" s="142" t="str">
        <f t="shared" si="6"/>
        <v/>
      </c>
      <c r="AH18" s="142" t="str">
        <f t="shared" si="7"/>
        <v/>
      </c>
      <c r="AI18" s="142"/>
      <c r="AJ18" s="142"/>
      <c r="AK18" s="142"/>
      <c r="AL18" s="142"/>
      <c r="AM18" s="142"/>
    </row>
    <row r="19" spans="1:39" ht="17.25" x14ac:dyDescent="0.25">
      <c r="A19" s="142"/>
      <c r="B19" s="638">
        <v>0</v>
      </c>
      <c r="C19" s="643"/>
      <c r="D19" s="1011" t="s">
        <v>489</v>
      </c>
      <c r="E19" s="639" t="s">
        <v>990</v>
      </c>
      <c r="F19" s="167" t="s">
        <v>101</v>
      </c>
      <c r="G19" s="682">
        <f>IFERROR('PIM Ranges'!AL21,0)</f>
        <v>0</v>
      </c>
      <c r="H19" s="683">
        <f>IFERROR('PIM Ranges'!AM21,0)</f>
        <v>0</v>
      </c>
      <c r="I19" s="684">
        <f>IFERROR('PIM Ranges'!AN21,0)</f>
        <v>0</v>
      </c>
      <c r="J19" s="418">
        <f t="shared" si="0"/>
        <v>0</v>
      </c>
      <c r="K19" s="867"/>
      <c r="L19" s="731" t="str">
        <f t="shared" si="1"/>
        <v/>
      </c>
      <c r="M19" s="865">
        <f>'Multi-Customer'!AE23</f>
        <v>0</v>
      </c>
      <c r="N19" s="164"/>
      <c r="O19" s="869" t="e">
        <f>'Multi-Customer'!$I23</f>
        <v>#DIV/0!</v>
      </c>
      <c r="P19" s="869" t="e">
        <f>'Multi-Customer'!$J23</f>
        <v>#DIV/0!</v>
      </c>
      <c r="Q19" s="869" t="e">
        <f>'Multi-Customer'!$K23</f>
        <v>#DIV/0!</v>
      </c>
      <c r="R19" s="534"/>
      <c r="S19" s="869"/>
      <c r="T19" s="869"/>
      <c r="U19" s="869"/>
      <c r="V19" s="142"/>
      <c r="W19" s="165" t="e">
        <f>'Multi-Customer'!AU23</f>
        <v>#DIV/0!</v>
      </c>
      <c r="X19" s="142"/>
      <c r="Y19" s="142"/>
      <c r="Z19" s="142"/>
      <c r="AA19" s="142"/>
      <c r="AB19" s="391" t="str">
        <f t="shared" si="2"/>
        <v/>
      </c>
      <c r="AC19" s="166">
        <f t="shared" si="3"/>
        <v>0</v>
      </c>
      <c r="AD19" s="142" t="str">
        <f t="shared" si="4"/>
        <v/>
      </c>
      <c r="AE19" s="142"/>
      <c r="AF19" s="142" t="str">
        <f t="shared" si="5"/>
        <v/>
      </c>
      <c r="AG19" s="142" t="str">
        <f t="shared" si="6"/>
        <v/>
      </c>
      <c r="AH19" s="142" t="str">
        <f t="shared" si="7"/>
        <v/>
      </c>
      <c r="AI19" s="142"/>
      <c r="AJ19" s="142"/>
      <c r="AK19" s="142"/>
      <c r="AL19" s="142"/>
      <c r="AM19" s="142"/>
    </row>
    <row r="20" spans="1:39" ht="17.25" x14ac:dyDescent="0.25">
      <c r="A20" s="142"/>
      <c r="B20" s="638">
        <v>0</v>
      </c>
      <c r="C20" s="643"/>
      <c r="D20" s="1011" t="s">
        <v>489</v>
      </c>
      <c r="E20" s="639" t="s">
        <v>990</v>
      </c>
      <c r="F20" s="167" t="s">
        <v>97</v>
      </c>
      <c r="G20" s="682">
        <f>IFERROR('PIM Ranges'!AL22,0)</f>
        <v>0</v>
      </c>
      <c r="H20" s="683">
        <f>IFERROR('PIM Ranges'!AM22,0)</f>
        <v>0</v>
      </c>
      <c r="I20" s="684">
        <f>IFERROR('PIM Ranges'!AN22,0)</f>
        <v>0</v>
      </c>
      <c r="J20" s="418">
        <f t="shared" si="0"/>
        <v>0</v>
      </c>
      <c r="K20" s="867"/>
      <c r="L20" s="731" t="str">
        <f t="shared" si="1"/>
        <v/>
      </c>
      <c r="M20" s="865">
        <f>'Multi-Customer'!AE24</f>
        <v>0</v>
      </c>
      <c r="N20" s="164"/>
      <c r="O20" s="869" t="e">
        <f>'Multi-Customer'!$I24</f>
        <v>#DIV/0!</v>
      </c>
      <c r="P20" s="869" t="e">
        <f>'Multi-Customer'!$J24</f>
        <v>#DIV/0!</v>
      </c>
      <c r="Q20" s="869" t="e">
        <f>'Multi-Customer'!$K24</f>
        <v>#DIV/0!</v>
      </c>
      <c r="R20" s="534"/>
      <c r="S20" s="869"/>
      <c r="T20" s="869"/>
      <c r="U20" s="869"/>
      <c r="V20" s="142"/>
      <c r="W20" s="165" t="e">
        <f>'Multi-Customer'!AU24</f>
        <v>#DIV/0!</v>
      </c>
      <c r="X20" s="142"/>
      <c r="Y20" s="142"/>
      <c r="Z20" s="142"/>
      <c r="AA20" s="142"/>
      <c r="AB20" s="391" t="str">
        <f t="shared" si="2"/>
        <v/>
      </c>
      <c r="AC20" s="166">
        <f t="shared" si="3"/>
        <v>0</v>
      </c>
      <c r="AD20" s="142" t="str">
        <f t="shared" si="4"/>
        <v/>
      </c>
      <c r="AE20" s="142"/>
      <c r="AF20" s="142" t="str">
        <f t="shared" si="5"/>
        <v/>
      </c>
      <c r="AG20" s="142" t="str">
        <f t="shared" si="6"/>
        <v/>
      </c>
      <c r="AH20" s="142" t="str">
        <f t="shared" si="7"/>
        <v/>
      </c>
      <c r="AI20" s="142"/>
      <c r="AJ20" s="142"/>
      <c r="AK20" s="142"/>
      <c r="AL20" s="142"/>
      <c r="AM20" s="142"/>
    </row>
    <row r="21" spans="1:39" ht="17.25" x14ac:dyDescent="0.25">
      <c r="A21" s="142"/>
      <c r="B21" s="638">
        <v>0</v>
      </c>
      <c r="C21" s="643"/>
      <c r="D21" s="1011" t="s">
        <v>489</v>
      </c>
      <c r="E21" s="639" t="s">
        <v>990</v>
      </c>
      <c r="F21" s="167" t="s">
        <v>93</v>
      </c>
      <c r="G21" s="682">
        <f>IFERROR('PIM Ranges'!AL23,0)</f>
        <v>0</v>
      </c>
      <c r="H21" s="683">
        <f>IFERROR('PIM Ranges'!AM23,0)</f>
        <v>0</v>
      </c>
      <c r="I21" s="684">
        <f>IFERROR('PIM Ranges'!AN23,0)</f>
        <v>0</v>
      </c>
      <c r="J21" s="418">
        <f t="shared" si="0"/>
        <v>0</v>
      </c>
      <c r="K21" s="867"/>
      <c r="L21" s="731" t="str">
        <f t="shared" si="1"/>
        <v/>
      </c>
      <c r="M21" s="865">
        <f>'Multi-Customer'!AE25</f>
        <v>0</v>
      </c>
      <c r="N21" s="164"/>
      <c r="O21" s="869" t="e">
        <f>'Multi-Customer'!$I25</f>
        <v>#DIV/0!</v>
      </c>
      <c r="P21" s="869" t="e">
        <f>'Multi-Customer'!$J25</f>
        <v>#DIV/0!</v>
      </c>
      <c r="Q21" s="869" t="e">
        <f>'Multi-Customer'!$K25</f>
        <v>#DIV/0!</v>
      </c>
      <c r="R21" s="534"/>
      <c r="S21" s="869"/>
      <c r="T21" s="869"/>
      <c r="U21" s="869"/>
      <c r="V21" s="142"/>
      <c r="W21" s="165" t="e">
        <f>'Multi-Customer'!AU25</f>
        <v>#DIV/0!</v>
      </c>
      <c r="X21" s="142"/>
      <c r="Y21" s="142"/>
      <c r="Z21" s="142"/>
      <c r="AA21" s="142"/>
      <c r="AB21" s="391" t="str">
        <f t="shared" si="2"/>
        <v/>
      </c>
      <c r="AC21" s="166">
        <f t="shared" si="3"/>
        <v>0</v>
      </c>
      <c r="AD21" s="142" t="str">
        <f t="shared" si="4"/>
        <v/>
      </c>
      <c r="AE21" s="142"/>
      <c r="AF21" s="142" t="str">
        <f t="shared" si="5"/>
        <v/>
      </c>
      <c r="AG21" s="142" t="str">
        <f t="shared" si="6"/>
        <v/>
      </c>
      <c r="AH21" s="142" t="str">
        <f t="shared" si="7"/>
        <v/>
      </c>
      <c r="AI21" s="142"/>
      <c r="AJ21" s="142"/>
      <c r="AK21" s="142"/>
      <c r="AL21" s="142"/>
      <c r="AM21" s="142"/>
    </row>
    <row r="22" spans="1:39" ht="17.25" x14ac:dyDescent="0.25">
      <c r="A22" s="142"/>
      <c r="B22" s="638">
        <v>0</v>
      </c>
      <c r="C22" s="643"/>
      <c r="D22" s="773" t="s">
        <v>489</v>
      </c>
      <c r="E22" s="639" t="s">
        <v>990</v>
      </c>
      <c r="F22" s="167" t="s">
        <v>105</v>
      </c>
      <c r="G22" s="682">
        <f>IFERROR('PIM Ranges'!AL24,0)</f>
        <v>0</v>
      </c>
      <c r="H22" s="683">
        <f>IFERROR('PIM Ranges'!AM24,0)</f>
        <v>0</v>
      </c>
      <c r="I22" s="684">
        <f>IFERROR('PIM Ranges'!AN24,0)</f>
        <v>0</v>
      </c>
      <c r="J22" s="418">
        <f t="shared" si="0"/>
        <v>0</v>
      </c>
      <c r="K22" s="867"/>
      <c r="L22" s="731" t="str">
        <f t="shared" si="1"/>
        <v/>
      </c>
      <c r="M22" s="865">
        <f>'Multi-Customer'!AE26</f>
        <v>0</v>
      </c>
      <c r="N22" s="164"/>
      <c r="O22" s="869" t="e">
        <f>'Multi-Customer'!$I26</f>
        <v>#DIV/0!</v>
      </c>
      <c r="P22" s="869" t="e">
        <f>'Multi-Customer'!$J26</f>
        <v>#DIV/0!</v>
      </c>
      <c r="Q22" s="869" t="e">
        <f>'Multi-Customer'!$K26</f>
        <v>#DIV/0!</v>
      </c>
      <c r="R22" s="534"/>
      <c r="S22" s="1174" t="e">
        <f>'Multi-Customer'!$I26*'PIM Ranges'!$AP24</f>
        <v>#DIV/0!</v>
      </c>
      <c r="T22" s="1174" t="e">
        <f>'Multi-Customer'!$J26*'PIM Ranges'!$AP24</f>
        <v>#DIV/0!</v>
      </c>
      <c r="U22" s="1174" t="e">
        <f>'Multi-Customer'!$K26*'PIM Ranges'!$AP24</f>
        <v>#DIV/0!</v>
      </c>
      <c r="V22" s="142"/>
      <c r="W22" s="165" t="e">
        <f>'Multi-Customer'!AU26</f>
        <v>#DIV/0!</v>
      </c>
      <c r="X22" s="142"/>
      <c r="Y22" s="142"/>
      <c r="Z22" s="142"/>
      <c r="AA22" s="142"/>
      <c r="AB22" s="391" t="str">
        <f t="shared" si="2"/>
        <v/>
      </c>
      <c r="AC22" s="166">
        <f t="shared" si="3"/>
        <v>0</v>
      </c>
      <c r="AD22" s="142" t="str">
        <f t="shared" si="4"/>
        <v/>
      </c>
      <c r="AE22" s="142"/>
      <c r="AF22" s="142" t="str">
        <f t="shared" si="5"/>
        <v/>
      </c>
      <c r="AG22" s="142" t="str">
        <f t="shared" si="6"/>
        <v/>
      </c>
      <c r="AH22" s="142" t="str">
        <f t="shared" si="7"/>
        <v/>
      </c>
      <c r="AI22" s="142"/>
      <c r="AJ22" s="142"/>
      <c r="AK22" s="142"/>
      <c r="AL22" s="142"/>
      <c r="AM22" s="142"/>
    </row>
    <row r="23" spans="1:39" ht="17.25" x14ac:dyDescent="0.25">
      <c r="A23" s="142"/>
      <c r="B23" s="638">
        <v>0</v>
      </c>
      <c r="C23" s="643"/>
      <c r="D23" s="1011" t="s">
        <v>489</v>
      </c>
      <c r="E23" s="639" t="s">
        <v>990</v>
      </c>
      <c r="F23" s="167" t="s">
        <v>92</v>
      </c>
      <c r="G23" s="682">
        <f>IFERROR('PIM Ranges'!AL25,0)</f>
        <v>0</v>
      </c>
      <c r="H23" s="683">
        <f>IFERROR('PIM Ranges'!AM25,0)</f>
        <v>0</v>
      </c>
      <c r="I23" s="684">
        <f>IFERROR('PIM Ranges'!AN25,0)</f>
        <v>0</v>
      </c>
      <c r="J23" s="418">
        <f t="shared" si="0"/>
        <v>0</v>
      </c>
      <c r="K23" s="867"/>
      <c r="L23" s="731" t="str">
        <f t="shared" si="1"/>
        <v/>
      </c>
      <c r="M23" s="865">
        <f>'Multi-Customer'!AE27</f>
        <v>0</v>
      </c>
      <c r="N23" s="164"/>
      <c r="O23" s="869" t="e">
        <f>'Multi-Customer'!$I27</f>
        <v>#DIV/0!</v>
      </c>
      <c r="P23" s="869" t="e">
        <f>'Multi-Customer'!$J27</f>
        <v>#DIV/0!</v>
      </c>
      <c r="Q23" s="869" t="e">
        <f>'Multi-Customer'!$K27</f>
        <v>#DIV/0!</v>
      </c>
      <c r="R23" s="534"/>
      <c r="S23" s="869"/>
      <c r="T23" s="869"/>
      <c r="U23" s="869"/>
      <c r="V23" s="142"/>
      <c r="W23" s="165" t="e">
        <f>'Multi-Customer'!AU27</f>
        <v>#DIV/0!</v>
      </c>
      <c r="X23" s="142"/>
      <c r="Y23" s="142"/>
      <c r="Z23" s="142"/>
      <c r="AA23" s="142"/>
      <c r="AB23" s="391" t="str">
        <f t="shared" si="2"/>
        <v/>
      </c>
      <c r="AC23" s="166">
        <f t="shared" si="3"/>
        <v>0</v>
      </c>
      <c r="AD23" s="142" t="str">
        <f t="shared" si="4"/>
        <v/>
      </c>
      <c r="AE23" s="142"/>
      <c r="AF23" s="142" t="str">
        <f t="shared" si="5"/>
        <v/>
      </c>
      <c r="AG23" s="142" t="str">
        <f t="shared" si="6"/>
        <v/>
      </c>
      <c r="AH23" s="142" t="str">
        <f t="shared" si="7"/>
        <v/>
      </c>
      <c r="AI23" s="142"/>
      <c r="AJ23" s="142"/>
      <c r="AK23" s="142"/>
      <c r="AL23" s="142"/>
      <c r="AM23" s="142"/>
    </row>
    <row r="24" spans="1:39" ht="17.25" x14ac:dyDescent="0.25">
      <c r="A24" s="142"/>
      <c r="B24" s="638">
        <v>0</v>
      </c>
      <c r="C24" s="643"/>
      <c r="D24" s="773" t="s">
        <v>489</v>
      </c>
      <c r="E24" s="639" t="s">
        <v>990</v>
      </c>
      <c r="F24" s="167" t="s">
        <v>91</v>
      </c>
      <c r="G24" s="682">
        <f>IFERROR('PIM Ranges'!AL26,0)</f>
        <v>0</v>
      </c>
      <c r="H24" s="683">
        <f>IFERROR('PIM Ranges'!AM26,0)</f>
        <v>0</v>
      </c>
      <c r="I24" s="684">
        <f>IFERROR('PIM Ranges'!AN26,0)</f>
        <v>0</v>
      </c>
      <c r="J24" s="418">
        <f t="shared" si="0"/>
        <v>0</v>
      </c>
      <c r="K24" s="867"/>
      <c r="L24" s="731" t="str">
        <f t="shared" si="1"/>
        <v/>
      </c>
      <c r="M24" s="865">
        <f>'Multi-Customer'!AE28</f>
        <v>0</v>
      </c>
      <c r="N24" s="164"/>
      <c r="O24" s="869" t="e">
        <f>'Multi-Customer'!$I28</f>
        <v>#DIV/0!</v>
      </c>
      <c r="P24" s="869" t="e">
        <f>'Multi-Customer'!$J28</f>
        <v>#DIV/0!</v>
      </c>
      <c r="Q24" s="869" t="e">
        <f>'Multi-Customer'!$K28</f>
        <v>#DIV/0!</v>
      </c>
      <c r="R24" s="534"/>
      <c r="S24" s="1174" t="e">
        <f>'Multi-Customer'!$I28*'PIM Ranges'!$AP26</f>
        <v>#DIV/0!</v>
      </c>
      <c r="T24" s="1174" t="e">
        <f>'Multi-Customer'!$J28*'PIM Ranges'!$AP26</f>
        <v>#DIV/0!</v>
      </c>
      <c r="U24" s="1174" t="e">
        <f>'Multi-Customer'!$K28*'PIM Ranges'!$AP26</f>
        <v>#DIV/0!</v>
      </c>
      <c r="V24" s="142"/>
      <c r="W24" s="165" t="e">
        <f>'Multi-Customer'!AU28</f>
        <v>#DIV/0!</v>
      </c>
      <c r="X24" s="142"/>
      <c r="Y24" s="142"/>
      <c r="Z24" s="142"/>
      <c r="AA24" s="142"/>
      <c r="AB24" s="391" t="str">
        <f t="shared" si="2"/>
        <v/>
      </c>
      <c r="AC24" s="166">
        <f t="shared" si="3"/>
        <v>0</v>
      </c>
      <c r="AD24" s="142" t="str">
        <f t="shared" si="4"/>
        <v/>
      </c>
      <c r="AE24" s="142"/>
      <c r="AF24" s="142" t="str">
        <f t="shared" si="5"/>
        <v/>
      </c>
      <c r="AG24" s="142" t="str">
        <f t="shared" si="6"/>
        <v/>
      </c>
      <c r="AH24" s="142" t="str">
        <f t="shared" si="7"/>
        <v/>
      </c>
      <c r="AI24" s="142"/>
      <c r="AJ24" s="142"/>
      <c r="AK24" s="142"/>
      <c r="AL24" s="142"/>
      <c r="AM24" s="142"/>
    </row>
    <row r="25" spans="1:39" ht="17.25" x14ac:dyDescent="0.25">
      <c r="A25" s="142"/>
      <c r="B25" s="638">
        <v>0</v>
      </c>
      <c r="C25" s="643"/>
      <c r="D25" s="773" t="s">
        <v>489</v>
      </c>
      <c r="E25" s="639" t="s">
        <v>990</v>
      </c>
      <c r="F25" s="167" t="s">
        <v>90</v>
      </c>
      <c r="G25" s="682">
        <f>IFERROR('PIM Ranges'!AL27,0)</f>
        <v>0</v>
      </c>
      <c r="H25" s="683">
        <f>IFERROR('PIM Ranges'!AM27,0)</f>
        <v>0</v>
      </c>
      <c r="I25" s="684">
        <f>IFERROR('PIM Ranges'!AN27,0)</f>
        <v>0</v>
      </c>
      <c r="J25" s="418">
        <f t="shared" si="0"/>
        <v>0</v>
      </c>
      <c r="K25" s="867"/>
      <c r="L25" s="731" t="str">
        <f t="shared" si="1"/>
        <v/>
      </c>
      <c r="M25" s="865">
        <f>'Multi-Customer'!AE29</f>
        <v>0</v>
      </c>
      <c r="N25" s="164"/>
      <c r="O25" s="869" t="e">
        <f>'Multi-Customer'!$I29</f>
        <v>#DIV/0!</v>
      </c>
      <c r="P25" s="869" t="e">
        <f>'Multi-Customer'!$J29</f>
        <v>#DIV/0!</v>
      </c>
      <c r="Q25" s="869" t="e">
        <f>'Multi-Customer'!$K29</f>
        <v>#DIV/0!</v>
      </c>
      <c r="R25" s="534"/>
      <c r="S25" s="1174" t="e">
        <f>'Multi-Customer'!$I29*'PIM Ranges'!$AP27</f>
        <v>#DIV/0!</v>
      </c>
      <c r="T25" s="1174" t="e">
        <f>'Multi-Customer'!$J29*'PIM Ranges'!$AP27</f>
        <v>#DIV/0!</v>
      </c>
      <c r="U25" s="1174" t="e">
        <f>'Multi-Customer'!$K29*'PIM Ranges'!$AP27</f>
        <v>#DIV/0!</v>
      </c>
      <c r="V25" s="142"/>
      <c r="W25" s="165" t="e">
        <f>'Multi-Customer'!AU29</f>
        <v>#DIV/0!</v>
      </c>
      <c r="X25" s="142"/>
      <c r="Y25" s="142"/>
      <c r="Z25" s="142"/>
      <c r="AA25" s="142"/>
      <c r="AB25" s="391" t="str">
        <f t="shared" si="2"/>
        <v/>
      </c>
      <c r="AC25" s="166">
        <f t="shared" si="3"/>
        <v>0</v>
      </c>
      <c r="AD25" s="142" t="str">
        <f t="shared" si="4"/>
        <v/>
      </c>
      <c r="AE25" s="142"/>
      <c r="AF25" s="142" t="str">
        <f t="shared" si="5"/>
        <v/>
      </c>
      <c r="AG25" s="142" t="str">
        <f t="shared" si="6"/>
        <v/>
      </c>
      <c r="AH25" s="142" t="str">
        <f t="shared" si="7"/>
        <v/>
      </c>
      <c r="AI25" s="142"/>
      <c r="AJ25" s="142"/>
      <c r="AK25" s="142"/>
      <c r="AL25" s="142"/>
      <c r="AM25" s="142"/>
    </row>
    <row r="26" spans="1:39" ht="17.25" x14ac:dyDescent="0.25">
      <c r="A26" s="142"/>
      <c r="B26" s="638">
        <v>0</v>
      </c>
      <c r="C26" s="643"/>
      <c r="D26" s="773" t="s">
        <v>489</v>
      </c>
      <c r="E26" s="639" t="s">
        <v>990</v>
      </c>
      <c r="F26" s="167" t="s">
        <v>89</v>
      </c>
      <c r="G26" s="682">
        <f>IFERROR('PIM Ranges'!AL28,0)</f>
        <v>0</v>
      </c>
      <c r="H26" s="683">
        <f>IFERROR('PIM Ranges'!AM28,0)</f>
        <v>0</v>
      </c>
      <c r="I26" s="684">
        <f>IFERROR('PIM Ranges'!AN28,0)</f>
        <v>0</v>
      </c>
      <c r="J26" s="418">
        <f t="shared" si="0"/>
        <v>0</v>
      </c>
      <c r="K26" s="867"/>
      <c r="L26" s="731" t="str">
        <f t="shared" si="1"/>
        <v/>
      </c>
      <c r="M26" s="865">
        <f>'Multi-Customer'!AE30</f>
        <v>0</v>
      </c>
      <c r="N26" s="164"/>
      <c r="O26" s="869" t="e">
        <f>'Multi-Customer'!$I30</f>
        <v>#DIV/0!</v>
      </c>
      <c r="P26" s="869" t="e">
        <f>'Multi-Customer'!$J30</f>
        <v>#DIV/0!</v>
      </c>
      <c r="Q26" s="869" t="e">
        <f>'Multi-Customer'!$K30</f>
        <v>#DIV/0!</v>
      </c>
      <c r="R26" s="534"/>
      <c r="S26" s="1174" t="e">
        <f>'Multi-Customer'!$I30*'PIM Ranges'!$AP28</f>
        <v>#DIV/0!</v>
      </c>
      <c r="T26" s="1174" t="e">
        <f>'Multi-Customer'!$J30*'PIM Ranges'!$AP28</f>
        <v>#DIV/0!</v>
      </c>
      <c r="U26" s="1174" t="e">
        <f>'Multi-Customer'!$K30*'PIM Ranges'!$AP28</f>
        <v>#DIV/0!</v>
      </c>
      <c r="V26" s="142"/>
      <c r="W26" s="165" t="e">
        <f>'Multi-Customer'!AU30</f>
        <v>#DIV/0!</v>
      </c>
      <c r="X26" s="142"/>
      <c r="Y26" s="142"/>
      <c r="Z26" s="142"/>
      <c r="AA26" s="142"/>
      <c r="AB26" s="391" t="str">
        <f t="shared" si="2"/>
        <v/>
      </c>
      <c r="AC26" s="166">
        <f t="shared" si="3"/>
        <v>0</v>
      </c>
      <c r="AD26" s="142" t="str">
        <f t="shared" si="4"/>
        <v/>
      </c>
      <c r="AE26" s="142"/>
      <c r="AF26" s="142" t="str">
        <f t="shared" si="5"/>
        <v/>
      </c>
      <c r="AG26" s="142" t="str">
        <f t="shared" si="6"/>
        <v/>
      </c>
      <c r="AH26" s="142" t="str">
        <f t="shared" si="7"/>
        <v/>
      </c>
      <c r="AI26" s="142"/>
      <c r="AJ26" s="142"/>
      <c r="AK26" s="142"/>
      <c r="AL26" s="142"/>
      <c r="AM26" s="142"/>
    </row>
    <row r="27" spans="1:39" ht="17.25" x14ac:dyDescent="0.25">
      <c r="A27" s="142"/>
      <c r="B27" s="638">
        <v>0</v>
      </c>
      <c r="C27" s="643"/>
      <c r="D27" s="773" t="s">
        <v>489</v>
      </c>
      <c r="E27" s="639" t="s">
        <v>990</v>
      </c>
      <c r="F27" s="167" t="s">
        <v>94</v>
      </c>
      <c r="G27" s="682">
        <f>IFERROR('PIM Ranges'!AL29,0)</f>
        <v>0</v>
      </c>
      <c r="H27" s="683">
        <f>IFERROR('PIM Ranges'!AM29,0)</f>
        <v>0</v>
      </c>
      <c r="I27" s="684">
        <f>IFERROR('PIM Ranges'!AN29,0)</f>
        <v>0</v>
      </c>
      <c r="J27" s="418">
        <f>IF($E$3="CIA",IF($D27="%",$P27*$G27,$P27*$H27),IF($D27="%",$K27*$G27,$K27*H27))</f>
        <v>0</v>
      </c>
      <c r="K27" s="867"/>
      <c r="L27" s="731" t="str">
        <f>IF(K27&lt;0,"X",IF($E$3="CIA","",IF(K27="","",IF(K27&lt;O27,"L",IF(K27&gt;Q27,"X","")))))</f>
        <v/>
      </c>
      <c r="M27" s="865">
        <f>'Multi-Customer'!AE31</f>
        <v>0</v>
      </c>
      <c r="N27" s="164"/>
      <c r="O27" s="869" t="e">
        <f>'Multi-Customer'!$I31</f>
        <v>#DIV/0!</v>
      </c>
      <c r="P27" s="869" t="e">
        <f>'Multi-Customer'!$J31</f>
        <v>#DIV/0!</v>
      </c>
      <c r="Q27" s="869" t="e">
        <f>'Multi-Customer'!$K31</f>
        <v>#DIV/0!</v>
      </c>
      <c r="R27" s="534"/>
      <c r="S27" s="1174" t="e">
        <f>'Multi-Customer'!$I31*'PIM Ranges'!$AO29</f>
        <v>#DIV/0!</v>
      </c>
      <c r="T27" s="1174" t="e">
        <f>'Multi-Customer'!$J31*'PIM Ranges'!$AO29</f>
        <v>#DIV/0!</v>
      </c>
      <c r="U27" s="1174" t="e">
        <f>'Multi-Customer'!$K31*'PIM Ranges'!$AO29</f>
        <v>#DIV/0!</v>
      </c>
      <c r="V27" s="142"/>
      <c r="W27" s="165" t="e">
        <f>'Multi-Customer'!AU31</f>
        <v>#DIV/0!</v>
      </c>
      <c r="X27" s="142"/>
      <c r="Y27" s="142"/>
      <c r="Z27" s="142"/>
      <c r="AA27" s="142"/>
      <c r="AB27" s="391" t="str">
        <f t="shared" si="2"/>
        <v/>
      </c>
      <c r="AC27" s="166">
        <f t="shared" si="3"/>
        <v>0</v>
      </c>
      <c r="AD27" s="142" t="str">
        <f t="shared" si="4"/>
        <v/>
      </c>
      <c r="AE27" s="142"/>
      <c r="AF27" s="142" t="str">
        <f t="shared" si="5"/>
        <v/>
      </c>
      <c r="AG27" s="142" t="str">
        <f t="shared" si="6"/>
        <v/>
      </c>
      <c r="AH27" s="142" t="str">
        <f t="shared" si="7"/>
        <v/>
      </c>
      <c r="AI27" s="142"/>
      <c r="AJ27" s="142"/>
      <c r="AK27" s="142"/>
      <c r="AL27" s="142"/>
      <c r="AM27" s="142"/>
    </row>
    <row r="28" spans="1:39" ht="17.25" x14ac:dyDescent="0.25">
      <c r="A28" s="142"/>
      <c r="B28" s="638">
        <v>0</v>
      </c>
      <c r="C28" s="643"/>
      <c r="D28" s="1011" t="s">
        <v>489</v>
      </c>
      <c r="E28" s="639" t="s">
        <v>990</v>
      </c>
      <c r="F28" s="167" t="s">
        <v>86</v>
      </c>
      <c r="G28" s="682">
        <f>IFERROR('PIM Ranges'!AL30,0)</f>
        <v>0</v>
      </c>
      <c r="H28" s="683">
        <f>IFERROR('PIM Ranges'!AM30,0)</f>
        <v>0</v>
      </c>
      <c r="I28" s="684">
        <f>IFERROR('PIM Ranges'!AN30,0)</f>
        <v>0</v>
      </c>
      <c r="J28" s="418">
        <f>IF($E$3="CIA",IF($D28="%",$P28*$G28,$P28*$I28),IF($D28="%",$K28*$G28,$K28*I28))</f>
        <v>0</v>
      </c>
      <c r="K28" s="867"/>
      <c r="L28" s="731" t="str">
        <f>IF($E$3="CIA","",IF(K28="","",IF(K28&lt;O28,"X",IF(K28&gt;Q28,"X",""))))</f>
        <v/>
      </c>
      <c r="M28" s="865">
        <f>'Multi-Customer'!AE32</f>
        <v>0</v>
      </c>
      <c r="N28" s="164"/>
      <c r="O28" s="869" t="e">
        <f>'Multi-Customer'!$I32</f>
        <v>#DIV/0!</v>
      </c>
      <c r="P28" s="869" t="e">
        <f>'Multi-Customer'!$J32</f>
        <v>#DIV/0!</v>
      </c>
      <c r="Q28" s="869" t="e">
        <f>'Multi-Customer'!$K32</f>
        <v>#DIV/0!</v>
      </c>
      <c r="R28" s="534"/>
      <c r="S28" s="869"/>
      <c r="T28" s="869"/>
      <c r="U28" s="869"/>
      <c r="V28" s="142"/>
      <c r="W28" s="165" t="e">
        <f>'Multi-Customer'!AU32</f>
        <v>#DIV/0!</v>
      </c>
      <c r="X28" s="142"/>
      <c r="Y28" s="142"/>
      <c r="Z28" s="142"/>
      <c r="AA28" s="142"/>
      <c r="AB28" s="391" t="str">
        <f t="shared" si="2"/>
        <v/>
      </c>
      <c r="AC28" s="166">
        <f t="shared" si="3"/>
        <v>0</v>
      </c>
      <c r="AD28" s="142" t="str">
        <f t="shared" si="4"/>
        <v/>
      </c>
      <c r="AE28" s="142"/>
      <c r="AF28" s="142" t="str">
        <f t="shared" si="5"/>
        <v/>
      </c>
      <c r="AG28" s="142" t="str">
        <f t="shared" si="6"/>
        <v/>
      </c>
      <c r="AH28" s="142" t="str">
        <f t="shared" si="7"/>
        <v/>
      </c>
      <c r="AI28" s="142"/>
      <c r="AJ28" s="142"/>
      <c r="AK28" s="142"/>
      <c r="AL28" s="142"/>
      <c r="AM28" s="142"/>
    </row>
    <row r="29" spans="1:39" ht="17.25" x14ac:dyDescent="0.25">
      <c r="A29" s="142"/>
      <c r="B29" s="638">
        <v>0</v>
      </c>
      <c r="C29" s="643"/>
      <c r="D29" s="774" t="s">
        <v>489</v>
      </c>
      <c r="E29" s="639" t="s">
        <v>990</v>
      </c>
      <c r="F29" s="167" t="s">
        <v>88</v>
      </c>
      <c r="G29" s="682">
        <f>IFERROR('PIM Ranges'!AL31,0)</f>
        <v>0</v>
      </c>
      <c r="H29" s="683">
        <f>IFERROR('PIM Ranges'!AM31,0)</f>
        <v>0</v>
      </c>
      <c r="I29" s="684">
        <f>IFERROR('PIM Ranges'!AN31,0)</f>
        <v>0</v>
      </c>
      <c r="J29" s="418">
        <f>IF($E$3="CIA",IF($D29="%",$P29*$G29,$P29*$I29),IF($D29="%",$K29*$G29,$K29*I29))</f>
        <v>0</v>
      </c>
      <c r="K29" s="867"/>
      <c r="L29" s="731" t="str">
        <f>IF($E$3="CIA","",IF(K29="","",IF(K29&lt;O29,"X",IF(K29&gt;Q29,"X",""))))</f>
        <v/>
      </c>
      <c r="M29" s="865">
        <f>'Multi-Customer'!AE33</f>
        <v>0</v>
      </c>
      <c r="N29" s="164"/>
      <c r="O29" s="869" t="e">
        <f>'Multi-Customer'!$I33</f>
        <v>#DIV/0!</v>
      </c>
      <c r="P29" s="869" t="e">
        <f>'Multi-Customer'!$J33</f>
        <v>#DIV/0!</v>
      </c>
      <c r="Q29" s="869" t="e">
        <f>'Multi-Customer'!$K33</f>
        <v>#DIV/0!</v>
      </c>
      <c r="R29" s="534"/>
      <c r="S29" s="1174" t="e">
        <f>'Multi-Customer'!$I33*'PIM Ranges'!$AP31</f>
        <v>#DIV/0!</v>
      </c>
      <c r="T29" s="1174" t="e">
        <f>'Multi-Customer'!$J33*'PIM Ranges'!$AP31</f>
        <v>#DIV/0!</v>
      </c>
      <c r="U29" s="1174" t="e">
        <f>'Multi-Customer'!$K33*'PIM Ranges'!$AP31</f>
        <v>#DIV/0!</v>
      </c>
      <c r="V29" s="142"/>
      <c r="W29" s="165" t="e">
        <f>'Multi-Customer'!AU33</f>
        <v>#DIV/0!</v>
      </c>
      <c r="X29" s="142"/>
      <c r="Y29" s="142"/>
      <c r="Z29" s="142"/>
      <c r="AA29" s="142"/>
      <c r="AB29" s="391" t="str">
        <f t="shared" si="2"/>
        <v/>
      </c>
      <c r="AC29" s="166">
        <f t="shared" si="3"/>
        <v>0</v>
      </c>
      <c r="AD29" s="142" t="str">
        <f t="shared" si="4"/>
        <v/>
      </c>
      <c r="AE29" s="142"/>
      <c r="AF29" s="142" t="str">
        <f t="shared" si="5"/>
        <v/>
      </c>
      <c r="AG29" s="142" t="str">
        <f t="shared" si="6"/>
        <v/>
      </c>
      <c r="AH29" s="142" t="str">
        <f t="shared" si="7"/>
        <v/>
      </c>
      <c r="AI29" s="142"/>
      <c r="AJ29" s="142"/>
      <c r="AK29" s="142"/>
      <c r="AL29" s="142"/>
      <c r="AM29" s="142"/>
    </row>
    <row r="30" spans="1:39" ht="18" thickBot="1" x14ac:dyDescent="0.3">
      <c r="A30" s="142"/>
      <c r="B30" s="640">
        <v>0</v>
      </c>
      <c r="C30" s="644"/>
      <c r="D30" s="775" t="s">
        <v>489</v>
      </c>
      <c r="E30" s="641" t="s">
        <v>990</v>
      </c>
      <c r="F30" s="168" t="s">
        <v>87</v>
      </c>
      <c r="G30" s="682">
        <f>IFERROR('PIM Ranges'!AL32,0)</f>
        <v>0</v>
      </c>
      <c r="H30" s="683">
        <f>IFERROR('PIM Ranges'!AM32,0)</f>
        <v>0</v>
      </c>
      <c r="I30" s="685">
        <f>IFERROR('PIM Ranges'!AN32,0)</f>
        <v>0</v>
      </c>
      <c r="J30" s="418">
        <f>IF($E$3="CIA",IF($D30="%",$P30*$G30,$P30*$I30),IF($D30="%",$K30*$G30,$K30*I30))</f>
        <v>0</v>
      </c>
      <c r="K30" s="868"/>
      <c r="L30" s="731" t="str">
        <f>IF($E$3="CIA","",IF(K30="","",IF(K30&lt;O30,"X",IF(K30&gt;Q30,"X",""))))</f>
        <v/>
      </c>
      <c r="M30" s="866">
        <f>'Multi-Customer'!AE34</f>
        <v>0</v>
      </c>
      <c r="N30" s="164"/>
      <c r="O30" s="869" t="e">
        <f>'Multi-Customer'!$I34</f>
        <v>#DIV/0!</v>
      </c>
      <c r="P30" s="869" t="e">
        <f>'Multi-Customer'!$J34</f>
        <v>#DIV/0!</v>
      </c>
      <c r="Q30" s="869" t="e">
        <f>'Multi-Customer'!$K34</f>
        <v>#DIV/0!</v>
      </c>
      <c r="R30" s="534"/>
      <c r="S30" s="1174" t="e">
        <f>'Multi-Customer'!$I34*'PIM Ranges'!$AP32</f>
        <v>#DIV/0!</v>
      </c>
      <c r="T30" s="1174" t="e">
        <f>'Multi-Customer'!$J34*'PIM Ranges'!$AP32</f>
        <v>#DIV/0!</v>
      </c>
      <c r="U30" s="1174" t="e">
        <f>'Multi-Customer'!$K34*'PIM Ranges'!$AP32</f>
        <v>#DIV/0!</v>
      </c>
      <c r="V30" s="142"/>
      <c r="W30" s="165" t="e">
        <f>'Multi-Customer'!AU34</f>
        <v>#DIV/0!</v>
      </c>
      <c r="X30" s="142"/>
      <c r="Y30" s="142"/>
      <c r="Z30" s="142"/>
      <c r="AA30" s="142"/>
      <c r="AB30" s="391" t="str">
        <f t="shared" si="2"/>
        <v/>
      </c>
      <c r="AC30" s="166">
        <f t="shared" si="3"/>
        <v>0</v>
      </c>
      <c r="AD30" s="142" t="str">
        <f t="shared" si="4"/>
        <v/>
      </c>
      <c r="AE30" s="142"/>
      <c r="AF30" s="142" t="str">
        <f t="shared" si="5"/>
        <v/>
      </c>
      <c r="AG30" s="142" t="str">
        <f t="shared" si="6"/>
        <v/>
      </c>
      <c r="AH30" s="142" t="str">
        <f t="shared" si="7"/>
        <v/>
      </c>
      <c r="AI30" s="142"/>
      <c r="AJ30" s="142"/>
      <c r="AK30" s="142"/>
      <c r="AL30" s="142"/>
      <c r="AM30" s="142"/>
    </row>
    <row r="31" spans="1:39" ht="14.45" customHeight="1" thickBot="1" x14ac:dyDescent="0.3">
      <c r="A31" s="142"/>
      <c r="B31" s="142"/>
      <c r="C31" s="142"/>
      <c r="D31" s="142"/>
      <c r="E31" s="142"/>
      <c r="F31" s="169" t="s">
        <v>109</v>
      </c>
      <c r="G31" s="170">
        <f>'Customer Inputs'!$P$17</f>
        <v>0</v>
      </c>
      <c r="H31" s="171">
        <f>SUM(H10:H30)</f>
        <v>0</v>
      </c>
      <c r="I31" s="172">
        <f>SUM(I10:I30)</f>
        <v>0</v>
      </c>
      <c r="J31" s="419">
        <f>SUM(J10:J30)</f>
        <v>0</v>
      </c>
      <c r="K31" s="142"/>
      <c r="L31" s="142"/>
      <c r="M31" s="142"/>
      <c r="N31" s="142"/>
      <c r="O31" s="142"/>
      <c r="P31" s="142"/>
      <c r="Q31" s="142"/>
      <c r="R31" s="137"/>
      <c r="S31" s="142"/>
      <c r="T31" s="142"/>
      <c r="U31" s="142"/>
      <c r="V31" s="142"/>
      <c r="W31" s="142"/>
      <c r="X31" s="142"/>
      <c r="Y31" s="142"/>
      <c r="Z31" s="142"/>
      <c r="AA31" s="142"/>
      <c r="AB31" s="137"/>
      <c r="AC31" s="142"/>
      <c r="AD31" s="142"/>
      <c r="AE31" s="142"/>
      <c r="AF31" s="142"/>
      <c r="AG31" s="142"/>
      <c r="AH31" s="142"/>
      <c r="AI31" s="142"/>
      <c r="AJ31" s="142"/>
      <c r="AK31" s="142"/>
      <c r="AL31" s="142"/>
      <c r="AM31" s="142"/>
    </row>
    <row r="32" spans="1:39" ht="15.75" thickBot="1" x14ac:dyDescent="0.3">
      <c r="A32" s="142"/>
      <c r="B32" s="142"/>
      <c r="C32" s="142"/>
      <c r="D32" s="142"/>
      <c r="E32" s="142"/>
      <c r="F32" s="169"/>
      <c r="G32" s="173">
        <f>IF($H$32=21,$G$31,ROUND(SUMIFS($G$10:$G$30,$D$10:$D$30,"%"),0))</f>
        <v>0</v>
      </c>
      <c r="H32" s="173">
        <f>COUNTIF($D$10:$D$30,"%")</f>
        <v>21</v>
      </c>
      <c r="I32" s="137"/>
      <c r="J32" s="137"/>
      <c r="K32" s="142"/>
      <c r="L32" s="142"/>
      <c r="M32" s="142"/>
      <c r="N32" s="142"/>
      <c r="O32" s="142"/>
      <c r="P32" s="142"/>
      <c r="Q32" s="142"/>
      <c r="R32" s="137"/>
      <c r="S32" s="142"/>
      <c r="T32" s="142"/>
      <c r="U32" s="142"/>
      <c r="V32" s="142"/>
      <c r="W32" s="142"/>
      <c r="X32" s="142"/>
      <c r="Y32" s="142"/>
      <c r="Z32" s="142"/>
      <c r="AA32" s="142"/>
      <c r="AB32" s="137"/>
      <c r="AC32" s="142"/>
      <c r="AD32" s="142"/>
      <c r="AE32" s="142"/>
      <c r="AF32" s="142"/>
      <c r="AG32" s="142"/>
      <c r="AH32" s="142"/>
      <c r="AI32" s="142"/>
      <c r="AJ32" s="142"/>
      <c r="AK32" s="142"/>
      <c r="AL32" s="142"/>
      <c r="AM32" s="142"/>
    </row>
    <row r="33" spans="1:39" ht="22.15" customHeight="1" x14ac:dyDescent="0.3">
      <c r="A33" s="142"/>
      <c r="B33" s="142"/>
      <c r="C33" s="142"/>
      <c r="D33" s="142"/>
      <c r="E33" s="142"/>
      <c r="F33" s="142"/>
      <c r="G33" s="1260" t="s">
        <v>119</v>
      </c>
      <c r="H33" s="1261"/>
      <c r="I33" s="506" t="e">
        <f>IF($E$3="MDA",'PIM Ranges'!$AX$7,'PIM Ranges'!$BJ$7)</f>
        <v>#DIV/0!</v>
      </c>
      <c r="J33" s="137"/>
      <c r="K33" s="1262" t="str">
        <f>IF(COUNTIF($AB$10:$AB$30,"ERROR")&lt;1,"",IF(COUNTIF($AB$10:$AB$30,"ERROR")&lt;2,(COUNTIF($AB$10:$AB$30,"ERROR")&amp;" Margin Missing Above"),(COUNTIF($AB$10:$AB$30,"ERROR")&amp;" Margins Missing Above")))</f>
        <v/>
      </c>
      <c r="L33" s="1262" t="str">
        <f t="shared" ref="L33" si="8">IF(COUNTIF($AB$10:$AB$30,"ERROR")&lt;1,"",IF(COUNTIF($AB$10:$AB$30,"ERROR")&lt;2,(COUNTIF($AB$10:$AB$30,"ERROR")&amp;" Margin Missing Above"),(COUNTIF($AB$10:$AB$30,"ERROR")&amp;" Margins Missing Above")))</f>
        <v/>
      </c>
      <c r="M33" s="142"/>
      <c r="N33" s="142"/>
      <c r="O33" s="142"/>
      <c r="P33" s="142"/>
      <c r="Q33" s="142"/>
      <c r="R33" s="137"/>
      <c r="S33" s="142"/>
      <c r="T33" s="142"/>
      <c r="U33" s="142"/>
      <c r="V33" s="142"/>
      <c r="W33" s="142"/>
      <c r="X33" s="142"/>
      <c r="Y33" s="142"/>
      <c r="Z33" s="142"/>
      <c r="AA33" s="142"/>
      <c r="AB33" s="137"/>
      <c r="AC33" s="142"/>
      <c r="AD33" s="142"/>
      <c r="AE33" s="142"/>
      <c r="AF33" s="142"/>
      <c r="AG33" s="142"/>
      <c r="AH33" s="142"/>
      <c r="AI33" s="142"/>
      <c r="AJ33" s="142"/>
      <c r="AK33" s="142"/>
      <c r="AL33" s="142"/>
      <c r="AM33" s="142"/>
    </row>
    <row r="34" spans="1:39" ht="25.15" customHeight="1" x14ac:dyDescent="0.25">
      <c r="A34" s="142"/>
      <c r="B34" s="142"/>
      <c r="C34" s="142"/>
      <c r="D34" s="142"/>
      <c r="E34" s="142"/>
      <c r="F34" s="142"/>
      <c r="G34" s="1255" t="s">
        <v>498</v>
      </c>
      <c r="H34" s="1256"/>
      <c r="I34" s="502">
        <f>J31</f>
        <v>0</v>
      </c>
      <c r="J34" s="137"/>
      <c r="K34" s="1262" t="str">
        <f>IF(COUNTIFS($L$10:$L$30,"X",$AF$10:$AF$30,"BELOW")&lt;1,"",IF(COUNTIFS($L$10:$L$30,"X",$AF$10:$AF$30,"BELOW")&lt;2,(COUNTIFS($L$10:$L$30,"X",$AF$10:$AF$30,"BELOW")&amp;" Margin Below Minimum"),(COUNTIFS($L$10:$L$30,"X",$AF$10:$AF$30,"BELOW")&amp;" Margins Below Minimum")))</f>
        <v/>
      </c>
      <c r="L34" s="1262"/>
      <c r="M34" s="142"/>
      <c r="N34" s="142"/>
      <c r="O34" s="142"/>
      <c r="P34" s="142"/>
      <c r="Q34" s="142"/>
      <c r="R34" s="137"/>
      <c r="S34" s="142"/>
      <c r="T34" s="142"/>
      <c r="U34" s="142"/>
      <c r="V34" s="142"/>
      <c r="W34" s="142"/>
      <c r="X34" s="142"/>
      <c r="Y34" s="142"/>
      <c r="Z34" s="142"/>
      <c r="AA34" s="142"/>
      <c r="AB34" s="137"/>
      <c r="AC34" s="142"/>
      <c r="AD34" s="142"/>
      <c r="AE34" s="142"/>
      <c r="AF34" s="142"/>
      <c r="AG34" s="142"/>
      <c r="AH34" s="142"/>
      <c r="AI34" s="142"/>
      <c r="AJ34" s="142"/>
      <c r="AK34" s="142"/>
      <c r="AL34" s="142"/>
      <c r="AM34" s="142"/>
    </row>
    <row r="35" spans="1:39" ht="27" customHeight="1" x14ac:dyDescent="0.25">
      <c r="A35" s="142"/>
      <c r="B35" s="142"/>
      <c r="C35" s="142"/>
      <c r="D35" s="142"/>
      <c r="E35" s="142"/>
      <c r="F35" s="142"/>
      <c r="G35" s="1255" t="s">
        <v>1396</v>
      </c>
      <c r="H35" s="1256"/>
      <c r="I35" s="503" t="str">
        <f>IFERROR(I34/G31,"")</f>
        <v/>
      </c>
      <c r="K35" s="1262" t="str">
        <f>IF(COUNTIFS($L$10:$L$30,"X",$AF$10:$AF$30,"ABOVE")&lt;1,"",IF(COUNTIFS($L$10:$L$30,"X",$AF$10:$AF$30,"ABOVE")&lt;2,(COUNTIFS($L$10:$L$30,"X",$AF$10:$AF$30,"ABOVE")&amp;" Margin Above Maximum"),(COUNTIFS($L$10:$L$30,"X",$AF$10:$AF$30,"ABOVE")&amp;" Margins Above Maximum")))</f>
        <v/>
      </c>
      <c r="L35" s="1262"/>
      <c r="M35" s="142"/>
      <c r="N35" s="142"/>
      <c r="O35" s="142"/>
      <c r="P35" s="142"/>
      <c r="Q35" s="142"/>
      <c r="R35" s="137"/>
      <c r="S35" s="142"/>
      <c r="T35" s="142"/>
      <c r="U35" s="142"/>
      <c r="V35" s="142"/>
      <c r="W35" s="142"/>
      <c r="X35" s="142"/>
      <c r="Y35" s="142"/>
      <c r="Z35" s="142"/>
      <c r="AA35" s="142"/>
      <c r="AB35" s="137"/>
      <c r="AC35" s="142"/>
      <c r="AD35" s="142"/>
      <c r="AE35" s="142"/>
      <c r="AF35" s="142"/>
      <c r="AG35" s="142"/>
      <c r="AH35" s="142"/>
      <c r="AI35" s="142"/>
      <c r="AJ35" s="142"/>
      <c r="AK35" s="142"/>
      <c r="AL35" s="142"/>
      <c r="AM35" s="142"/>
    </row>
    <row r="36" spans="1:39" ht="12" customHeight="1" x14ac:dyDescent="0.25">
      <c r="A36" s="142"/>
      <c r="B36" s="142"/>
      <c r="C36" s="142"/>
      <c r="D36" s="142"/>
      <c r="E36" s="142"/>
      <c r="F36" s="142"/>
      <c r="G36" s="1255"/>
      <c r="H36" s="1256"/>
      <c r="I36" s="503"/>
      <c r="J36" s="137"/>
      <c r="K36" s="515">
        <f>COUNTIF('PIM Model'!$AB$10:$AB$30,"ERROR")+COUNTIFS($L$10:$L$30,"X",$AF$10:$AF$30,"BELOW")</f>
        <v>0</v>
      </c>
      <c r="L36" s="174"/>
      <c r="M36" s="174"/>
      <c r="N36" s="174"/>
      <c r="O36" s="142"/>
      <c r="P36" s="142"/>
      <c r="Q36" s="142"/>
      <c r="R36" s="137"/>
      <c r="S36" s="142"/>
      <c r="T36" s="142"/>
      <c r="U36" s="142"/>
      <c r="V36" s="142"/>
      <c r="W36" s="142"/>
      <c r="X36" s="142"/>
      <c r="Y36" s="142"/>
      <c r="Z36" s="142"/>
      <c r="AA36" s="142"/>
      <c r="AB36" s="137"/>
      <c r="AC36" s="142"/>
      <c r="AD36" s="142"/>
      <c r="AE36" s="142"/>
      <c r="AF36" s="142"/>
      <c r="AG36" s="142"/>
      <c r="AH36" s="142"/>
      <c r="AI36" s="142"/>
      <c r="AJ36" s="142"/>
      <c r="AK36" s="142"/>
      <c r="AL36" s="142"/>
      <c r="AM36" s="142"/>
    </row>
    <row r="37" spans="1:39" ht="16.149999999999999" customHeight="1" x14ac:dyDescent="0.25">
      <c r="A37" s="142"/>
      <c r="B37" s="142"/>
      <c r="C37" s="142"/>
      <c r="D37" s="142"/>
      <c r="E37" s="142"/>
      <c r="F37" s="142"/>
      <c r="G37" s="1255" t="str">
        <f>IFERROR(IF(I35&gt;I33,"","Below Recommended TAGP: "),"")</f>
        <v/>
      </c>
      <c r="H37" s="1256"/>
      <c r="I37" s="503" t="str">
        <f>IFERROR(IF(I35&lt;I33,I33-I35,""),"")</f>
        <v/>
      </c>
      <c r="J37" s="137"/>
      <c r="K37" s="142"/>
      <c r="L37" s="174"/>
      <c r="M37" s="174"/>
      <c r="N37" s="174"/>
      <c r="O37" s="142"/>
      <c r="P37" s="142"/>
      <c r="Q37" s="142"/>
      <c r="R37" s="137"/>
      <c r="S37" s="142"/>
      <c r="T37" s="142"/>
      <c r="U37" s="142"/>
      <c r="V37" s="142"/>
      <c r="W37" s="142"/>
      <c r="X37" s="142"/>
      <c r="Y37" s="142"/>
      <c r="Z37" s="142"/>
      <c r="AA37" s="142"/>
      <c r="AB37" s="137"/>
      <c r="AC37" s="142"/>
      <c r="AD37" s="142"/>
      <c r="AE37" s="142"/>
      <c r="AF37" s="142"/>
      <c r="AG37" s="142"/>
      <c r="AH37" s="142"/>
      <c r="AI37" s="142"/>
      <c r="AJ37" s="142"/>
      <c r="AK37" s="142"/>
      <c r="AL37" s="142"/>
      <c r="AM37" s="142"/>
    </row>
    <row r="38" spans="1:39" ht="4.9000000000000004" customHeight="1" x14ac:dyDescent="0.25">
      <c r="A38" s="142"/>
      <c r="B38" s="142"/>
      <c r="C38" s="142"/>
      <c r="D38" s="142"/>
      <c r="E38" s="142"/>
      <c r="F38" s="142"/>
      <c r="G38" s="1255"/>
      <c r="H38" s="1256"/>
      <c r="I38" s="503"/>
      <c r="J38" s="137"/>
      <c r="K38" s="174"/>
      <c r="L38" s="174"/>
      <c r="M38" s="174"/>
      <c r="N38" s="174"/>
      <c r="O38" s="142"/>
      <c r="P38" s="142"/>
      <c r="Q38" s="142"/>
      <c r="R38" s="137"/>
      <c r="S38" s="142"/>
      <c r="T38" s="142"/>
      <c r="U38" s="142"/>
      <c r="V38" s="142"/>
      <c r="W38" s="142"/>
      <c r="X38" s="142"/>
      <c r="Y38" s="142"/>
      <c r="Z38" s="142"/>
      <c r="AA38" s="142"/>
      <c r="AB38" s="137"/>
      <c r="AC38" s="142"/>
      <c r="AD38" s="142"/>
      <c r="AE38" s="142"/>
      <c r="AF38" s="142"/>
      <c r="AG38" s="142"/>
      <c r="AH38" s="142"/>
      <c r="AI38" s="142"/>
      <c r="AJ38" s="142"/>
      <c r="AK38" s="142"/>
      <c r="AL38" s="142"/>
      <c r="AM38" s="142"/>
    </row>
    <row r="39" spans="1:39" ht="16.149999999999999" customHeight="1" x14ac:dyDescent="0.25">
      <c r="A39" s="142"/>
      <c r="B39" s="142"/>
      <c r="C39" s="142"/>
      <c r="D39" s="142"/>
      <c r="E39" s="142"/>
      <c r="F39" s="142"/>
      <c r="G39" s="1255" t="s">
        <v>1397</v>
      </c>
      <c r="H39" s="1256"/>
      <c r="I39" s="504">
        <f>IFERROR(I34/H31,0)</f>
        <v>0</v>
      </c>
      <c r="J39" s="137"/>
      <c r="K39" s="142"/>
      <c r="L39" s="142"/>
      <c r="M39" s="142"/>
      <c r="N39" s="142"/>
      <c r="O39" s="142"/>
      <c r="P39" s="142"/>
      <c r="Q39" s="142"/>
      <c r="R39" s="137"/>
      <c r="S39" s="142"/>
      <c r="T39" s="142"/>
      <c r="U39" s="142"/>
      <c r="V39" s="142"/>
      <c r="W39" s="142"/>
      <c r="X39" s="142"/>
      <c r="Y39" s="142"/>
      <c r="Z39" s="142"/>
      <c r="AA39" s="142"/>
      <c r="AB39" s="137"/>
      <c r="AC39" s="142"/>
      <c r="AD39" s="142"/>
      <c r="AE39" s="142"/>
      <c r="AF39" s="142"/>
      <c r="AG39" s="142"/>
      <c r="AH39" s="142"/>
      <c r="AI39" s="142"/>
      <c r="AJ39" s="142"/>
      <c r="AK39" s="142"/>
      <c r="AL39" s="142"/>
      <c r="AM39" s="142"/>
    </row>
    <row r="40" spans="1:39" ht="21" customHeight="1" thickBot="1" x14ac:dyDescent="0.3">
      <c r="A40" s="142"/>
      <c r="B40" s="142"/>
      <c r="C40" s="142"/>
      <c r="D40" s="142"/>
      <c r="E40" s="142"/>
      <c r="F40" s="142"/>
      <c r="G40" s="1257" t="s">
        <v>499</v>
      </c>
      <c r="H40" s="1258"/>
      <c r="I40" s="505">
        <f>IFERROR($I$34/(52*$E$6*$K$40),0)</f>
        <v>0</v>
      </c>
      <c r="J40" s="137"/>
      <c r="K40" s="606" t="str">
        <f>Welcome!$D$14</f>
        <v>Select # of Locations</v>
      </c>
      <c r="L40" s="142"/>
      <c r="M40" s="142"/>
      <c r="N40" s="142"/>
      <c r="O40" s="142"/>
      <c r="P40" s="142"/>
      <c r="Q40" s="538"/>
      <c r="R40" s="137"/>
      <c r="S40" s="142"/>
      <c r="T40" s="142"/>
      <c r="U40" s="142"/>
      <c r="V40" s="142"/>
      <c r="W40" s="142"/>
      <c r="X40" s="142"/>
      <c r="Y40" s="142"/>
      <c r="Z40" s="142"/>
      <c r="AA40" s="142"/>
      <c r="AB40" s="137"/>
      <c r="AC40" s="142"/>
      <c r="AD40" s="142"/>
      <c r="AE40" s="142"/>
      <c r="AF40" s="142"/>
      <c r="AG40" s="142"/>
      <c r="AH40" s="142"/>
      <c r="AI40" s="142"/>
      <c r="AJ40" s="142"/>
      <c r="AK40" s="142"/>
      <c r="AL40" s="142"/>
      <c r="AM40" s="142"/>
    </row>
    <row r="41" spans="1:39" x14ac:dyDescent="0.25">
      <c r="A41" s="142"/>
      <c r="B41" s="142"/>
      <c r="C41" s="142"/>
      <c r="D41" s="142"/>
      <c r="E41" s="142"/>
      <c r="F41" s="142"/>
      <c r="G41" s="142"/>
      <c r="H41" s="137"/>
      <c r="I41" s="534"/>
      <c r="J41" s="137"/>
      <c r="K41" s="992"/>
      <c r="L41" s="142"/>
      <c r="M41" s="142"/>
      <c r="N41" s="142"/>
      <c r="O41" s="142"/>
      <c r="P41" s="142"/>
      <c r="Q41" s="142"/>
      <c r="R41" s="137"/>
      <c r="S41" s="142"/>
      <c r="T41" s="142"/>
      <c r="U41" s="142"/>
      <c r="V41" s="142"/>
      <c r="W41" s="142"/>
      <c r="X41" s="142"/>
      <c r="Y41" s="142"/>
      <c r="Z41" s="142"/>
      <c r="AA41" s="142"/>
      <c r="AB41" s="137"/>
      <c r="AC41" s="142"/>
      <c r="AD41" s="142"/>
      <c r="AE41" s="142"/>
      <c r="AF41" s="142"/>
      <c r="AG41" s="142"/>
      <c r="AH41" s="142"/>
      <c r="AI41" s="142"/>
      <c r="AJ41" s="142"/>
      <c r="AK41" s="142"/>
      <c r="AL41" s="142"/>
      <c r="AM41" s="142"/>
    </row>
    <row r="42" spans="1:39" x14ac:dyDescent="0.25">
      <c r="A42" s="142"/>
      <c r="B42" s="142"/>
      <c r="C42" s="142"/>
      <c r="D42" s="142"/>
      <c r="E42" s="142"/>
      <c r="F42" s="142"/>
      <c r="G42" s="142"/>
      <c r="H42" s="137"/>
      <c r="I42" s="137"/>
      <c r="J42" s="137"/>
      <c r="K42" s="992"/>
      <c r="L42" s="142"/>
      <c r="M42" s="142"/>
      <c r="N42" s="142"/>
      <c r="O42" s="142"/>
      <c r="P42" s="142"/>
      <c r="Q42" s="142"/>
      <c r="R42" s="137"/>
      <c r="S42" s="142"/>
      <c r="T42" s="142"/>
      <c r="U42" s="142"/>
      <c r="V42" s="142"/>
      <c r="W42" s="142"/>
      <c r="X42" s="142"/>
      <c r="Y42" s="142"/>
      <c r="Z42" s="142"/>
      <c r="AA42" s="142"/>
      <c r="AB42" s="137"/>
      <c r="AC42" s="142"/>
      <c r="AD42" s="142"/>
      <c r="AE42" s="142"/>
      <c r="AF42" s="142"/>
      <c r="AG42" s="142"/>
      <c r="AH42" s="142"/>
      <c r="AI42" s="142"/>
      <c r="AJ42" s="142"/>
      <c r="AK42" s="142"/>
      <c r="AL42" s="142"/>
      <c r="AM42" s="142"/>
    </row>
    <row r="43" spans="1:39" x14ac:dyDescent="0.25">
      <c r="A43" s="142"/>
      <c r="B43" s="142"/>
      <c r="C43" s="142"/>
      <c r="D43" s="142"/>
      <c r="E43" s="142"/>
      <c r="F43" s="142"/>
      <c r="G43" s="142"/>
      <c r="H43" s="137"/>
      <c r="I43" s="137"/>
      <c r="J43" s="137"/>
      <c r="K43" s="142"/>
      <c r="L43" s="142"/>
      <c r="M43" s="142"/>
      <c r="N43" s="142"/>
      <c r="O43" s="142"/>
      <c r="P43" s="142"/>
      <c r="Q43" s="142"/>
      <c r="R43" s="137"/>
      <c r="S43" s="142"/>
      <c r="T43" s="142"/>
      <c r="U43" s="142"/>
      <c r="V43" s="142"/>
      <c r="W43" s="142"/>
      <c r="X43" s="142"/>
      <c r="Y43" s="142"/>
      <c r="Z43" s="142"/>
      <c r="AA43" s="142"/>
      <c r="AB43" s="137"/>
      <c r="AC43" s="142"/>
      <c r="AD43" s="142"/>
      <c r="AE43" s="142"/>
      <c r="AF43" s="142"/>
      <c r="AG43" s="142"/>
      <c r="AH43" s="142"/>
      <c r="AI43" s="142"/>
      <c r="AJ43" s="142"/>
      <c r="AK43" s="142"/>
      <c r="AL43" s="142"/>
      <c r="AM43" s="142"/>
    </row>
    <row r="44" spans="1:39" x14ac:dyDescent="0.25">
      <c r="A44" s="142"/>
      <c r="B44" s="142"/>
      <c r="C44" s="142"/>
      <c r="D44" s="142"/>
      <c r="E44" s="142"/>
      <c r="F44" s="142"/>
      <c r="G44" s="142"/>
      <c r="H44" s="137"/>
      <c r="I44" s="137"/>
      <c r="J44" s="137"/>
      <c r="K44" s="142"/>
      <c r="L44" s="142"/>
      <c r="M44" s="142"/>
      <c r="N44" s="142"/>
      <c r="O44" s="142"/>
      <c r="P44" s="142"/>
      <c r="Q44" s="142"/>
      <c r="R44" s="137"/>
      <c r="S44" s="142"/>
      <c r="T44" s="142"/>
      <c r="U44" s="142"/>
      <c r="V44" s="142"/>
      <c r="W44" s="142"/>
      <c r="X44" s="142"/>
      <c r="Y44" s="142"/>
      <c r="Z44" s="142"/>
      <c r="AA44" s="142"/>
      <c r="AB44" s="137"/>
      <c r="AC44" s="142"/>
      <c r="AD44" s="142"/>
      <c r="AE44" s="142"/>
      <c r="AF44" s="142"/>
      <c r="AG44" s="142"/>
      <c r="AH44" s="142"/>
      <c r="AI44" s="142"/>
      <c r="AJ44" s="142"/>
      <c r="AK44" s="142"/>
      <c r="AL44" s="142"/>
      <c r="AM44" s="142"/>
    </row>
    <row r="45" spans="1:39" x14ac:dyDescent="0.25">
      <c r="A45" s="142"/>
      <c r="B45" s="142"/>
      <c r="C45" s="142"/>
      <c r="D45" s="142"/>
      <c r="E45" s="142"/>
      <c r="F45" s="142"/>
      <c r="G45" s="142"/>
      <c r="H45" s="137"/>
      <c r="I45" s="137"/>
      <c r="J45" s="137"/>
      <c r="K45" s="142"/>
      <c r="L45" s="142"/>
      <c r="M45" s="142"/>
      <c r="N45" s="142"/>
      <c r="O45" s="142"/>
      <c r="P45" s="142"/>
      <c r="Q45" s="142"/>
      <c r="R45" s="137"/>
      <c r="S45" s="142"/>
      <c r="T45" s="142"/>
      <c r="U45" s="142"/>
      <c r="V45" s="142"/>
      <c r="W45" s="142"/>
      <c r="X45" s="142"/>
      <c r="Y45" s="142"/>
      <c r="Z45" s="142"/>
      <c r="AA45" s="142"/>
      <c r="AB45" s="137"/>
      <c r="AC45" s="142"/>
      <c r="AD45" s="142"/>
      <c r="AE45" s="142"/>
      <c r="AF45" s="142"/>
      <c r="AG45" s="142"/>
      <c r="AH45" s="142"/>
      <c r="AI45" s="142"/>
      <c r="AJ45" s="142"/>
      <c r="AK45" s="142"/>
      <c r="AL45" s="142"/>
      <c r="AM45" s="142"/>
    </row>
    <row r="46" spans="1:39" x14ac:dyDescent="0.25">
      <c r="A46" s="142"/>
      <c r="B46" s="142"/>
      <c r="C46" s="142"/>
      <c r="D46" s="142"/>
      <c r="E46" s="142"/>
      <c r="F46" s="142"/>
      <c r="G46" s="142"/>
      <c r="H46" s="137"/>
      <c r="I46" s="137"/>
      <c r="J46" s="137"/>
      <c r="K46" s="142"/>
      <c r="L46" s="142"/>
      <c r="M46" s="142"/>
      <c r="N46" s="142"/>
      <c r="O46" s="142"/>
      <c r="P46" s="142"/>
      <c r="Q46" s="142"/>
      <c r="R46" s="137"/>
      <c r="S46" s="142"/>
      <c r="T46" s="142"/>
      <c r="U46" s="142"/>
      <c r="V46" s="142"/>
      <c r="W46" s="142"/>
      <c r="X46" s="142"/>
      <c r="Y46" s="142"/>
      <c r="Z46" s="142"/>
      <c r="AA46" s="142"/>
      <c r="AB46" s="137"/>
      <c r="AC46" s="142"/>
      <c r="AD46" s="142"/>
      <c r="AE46" s="142"/>
      <c r="AF46" s="142"/>
      <c r="AG46" s="142"/>
      <c r="AH46" s="142"/>
      <c r="AI46" s="142"/>
      <c r="AJ46" s="142"/>
      <c r="AK46" s="142"/>
      <c r="AL46" s="142"/>
      <c r="AM46" s="142"/>
    </row>
    <row r="47" spans="1:39" x14ac:dyDescent="0.25">
      <c r="A47" s="142"/>
      <c r="B47" s="142"/>
      <c r="C47" s="142"/>
      <c r="D47" s="142"/>
      <c r="E47" s="142"/>
      <c r="F47" s="142"/>
      <c r="G47" s="142"/>
      <c r="H47" s="137"/>
      <c r="I47" s="137"/>
      <c r="J47" s="137"/>
      <c r="K47" s="142"/>
      <c r="L47" s="142"/>
      <c r="M47" s="142"/>
      <c r="N47" s="142"/>
      <c r="O47" s="142"/>
      <c r="P47" s="142"/>
      <c r="Q47" s="142"/>
      <c r="R47" s="137"/>
      <c r="S47" s="142"/>
      <c r="T47" s="142"/>
      <c r="U47" s="142"/>
      <c r="V47" s="142"/>
      <c r="W47" s="142"/>
      <c r="X47" s="142"/>
      <c r="Y47" s="142"/>
      <c r="Z47" s="142"/>
      <c r="AA47" s="142"/>
      <c r="AB47" s="137"/>
      <c r="AC47" s="142"/>
      <c r="AD47" s="142"/>
      <c r="AE47" s="142"/>
      <c r="AF47" s="142"/>
      <c r="AG47" s="142"/>
      <c r="AH47" s="142"/>
      <c r="AI47" s="142"/>
      <c r="AJ47" s="142"/>
      <c r="AK47" s="142"/>
      <c r="AL47" s="142"/>
      <c r="AM47" s="142"/>
    </row>
    <row r="48" spans="1:39" x14ac:dyDescent="0.25">
      <c r="A48" s="142"/>
      <c r="B48" s="142"/>
      <c r="C48" s="142"/>
      <c r="D48" s="142"/>
      <c r="E48" s="142"/>
      <c r="F48" s="142"/>
      <c r="G48" s="142"/>
      <c r="H48" s="137"/>
      <c r="I48" s="137"/>
      <c r="J48" s="137"/>
      <c r="K48" s="142"/>
      <c r="L48" s="142"/>
      <c r="M48" s="142"/>
      <c r="N48" s="142"/>
      <c r="O48" s="142"/>
      <c r="P48" s="142"/>
      <c r="Q48" s="142"/>
      <c r="R48" s="137"/>
      <c r="S48" s="142"/>
      <c r="T48" s="142"/>
      <c r="U48" s="142"/>
      <c r="V48" s="142"/>
      <c r="W48" s="142"/>
      <c r="X48" s="142"/>
      <c r="Y48" s="142"/>
      <c r="Z48" s="142"/>
      <c r="AA48" s="142"/>
      <c r="AB48" s="137"/>
      <c r="AC48" s="142"/>
      <c r="AD48" s="142"/>
      <c r="AE48" s="142"/>
      <c r="AF48" s="142"/>
      <c r="AG48" s="142"/>
      <c r="AH48" s="142"/>
      <c r="AI48" s="142"/>
      <c r="AJ48" s="142"/>
      <c r="AK48" s="142"/>
      <c r="AL48" s="142"/>
      <c r="AM48" s="142"/>
    </row>
    <row r="49" spans="1:39" x14ac:dyDescent="0.25">
      <c r="A49" s="142"/>
      <c r="B49" s="142"/>
      <c r="C49" s="142"/>
      <c r="D49" s="142"/>
      <c r="E49" s="142"/>
      <c r="F49" s="142"/>
      <c r="G49" s="142"/>
      <c r="H49" s="137"/>
      <c r="I49" s="137"/>
      <c r="J49" s="137"/>
      <c r="K49" s="142"/>
      <c r="L49" s="142"/>
      <c r="M49" s="142"/>
      <c r="N49" s="142"/>
      <c r="O49" s="142"/>
      <c r="P49" s="142"/>
      <c r="Q49" s="142"/>
      <c r="R49" s="137"/>
      <c r="S49" s="142"/>
      <c r="T49" s="142"/>
      <c r="U49" s="142"/>
      <c r="V49" s="142"/>
      <c r="W49" s="142"/>
      <c r="X49" s="142"/>
      <c r="Y49" s="142"/>
      <c r="Z49" s="142"/>
      <c r="AA49" s="142"/>
      <c r="AB49" s="137"/>
      <c r="AC49" s="142"/>
      <c r="AD49" s="142"/>
      <c r="AE49" s="142"/>
      <c r="AF49" s="142"/>
      <c r="AG49" s="142"/>
      <c r="AH49" s="142"/>
      <c r="AI49" s="142"/>
      <c r="AJ49" s="142"/>
      <c r="AK49" s="142"/>
      <c r="AL49" s="142"/>
      <c r="AM49" s="142"/>
    </row>
    <row r="50" spans="1:39" x14ac:dyDescent="0.25">
      <c r="A50" s="142"/>
      <c r="B50" s="142"/>
      <c r="C50" s="142"/>
      <c r="D50" s="142"/>
      <c r="E50" s="142"/>
      <c r="F50" s="142"/>
      <c r="G50" s="142"/>
      <c r="H50" s="137"/>
      <c r="I50" s="137"/>
      <c r="J50" s="137"/>
      <c r="K50" s="142"/>
      <c r="L50" s="142"/>
      <c r="M50" s="142"/>
      <c r="N50" s="142"/>
      <c r="O50" s="142"/>
      <c r="P50" s="142"/>
      <c r="Q50" s="142"/>
      <c r="R50" s="137"/>
      <c r="S50" s="142"/>
      <c r="T50" s="142"/>
      <c r="U50" s="142"/>
      <c r="V50" s="142"/>
      <c r="W50" s="142"/>
      <c r="X50" s="142"/>
      <c r="Y50" s="142"/>
      <c r="Z50" s="142"/>
      <c r="AA50" s="142"/>
      <c r="AB50" s="137"/>
      <c r="AC50" s="142"/>
      <c r="AD50" s="142"/>
      <c r="AE50" s="142"/>
      <c r="AF50" s="142"/>
      <c r="AG50" s="142"/>
      <c r="AH50" s="142"/>
      <c r="AI50" s="142"/>
      <c r="AJ50" s="142"/>
      <c r="AK50" s="142"/>
      <c r="AL50" s="142"/>
      <c r="AM50" s="142"/>
    </row>
    <row r="51" spans="1:39" x14ac:dyDescent="0.25">
      <c r="A51" s="142"/>
      <c r="B51" s="142"/>
      <c r="C51" s="142"/>
      <c r="D51" s="142"/>
      <c r="E51" s="142"/>
      <c r="F51" s="142"/>
      <c r="G51" s="142"/>
      <c r="H51" s="137"/>
      <c r="I51" s="137"/>
      <c r="J51" s="137"/>
      <c r="K51" s="142"/>
      <c r="L51" s="142"/>
      <c r="M51" s="142"/>
      <c r="N51" s="142"/>
      <c r="O51" s="142"/>
      <c r="P51" s="142"/>
      <c r="Q51" s="142"/>
      <c r="R51" s="137"/>
      <c r="S51" s="142"/>
      <c r="T51" s="142"/>
      <c r="U51" s="142"/>
      <c r="V51" s="142"/>
      <c r="W51" s="142"/>
      <c r="X51" s="142"/>
      <c r="Y51" s="142"/>
      <c r="Z51" s="142"/>
      <c r="AA51" s="142"/>
      <c r="AB51" s="137"/>
      <c r="AC51" s="142"/>
      <c r="AD51" s="142"/>
      <c r="AE51" s="142"/>
      <c r="AF51" s="142"/>
      <c r="AG51" s="142"/>
      <c r="AH51" s="142"/>
      <c r="AI51" s="142"/>
      <c r="AJ51" s="142"/>
      <c r="AK51" s="142"/>
      <c r="AL51" s="142"/>
      <c r="AM51" s="142"/>
    </row>
    <row r="52" spans="1:39" x14ac:dyDescent="0.25">
      <c r="A52" s="142"/>
      <c r="B52" s="142"/>
      <c r="C52" s="142"/>
      <c r="D52" s="142"/>
      <c r="E52" s="142"/>
      <c r="F52" s="1259"/>
      <c r="G52" s="1259"/>
      <c r="H52" s="137"/>
      <c r="I52" s="137"/>
      <c r="J52" s="137"/>
      <c r="K52" s="142"/>
      <c r="L52" s="142"/>
      <c r="M52" s="142"/>
      <c r="N52" s="142"/>
      <c r="O52" s="142"/>
      <c r="P52" s="142"/>
      <c r="Q52" s="142"/>
      <c r="R52" s="137"/>
      <c r="S52" s="142"/>
      <c r="T52" s="142"/>
      <c r="U52" s="142"/>
      <c r="V52" s="142"/>
      <c r="W52" s="142"/>
      <c r="X52" s="142"/>
      <c r="Y52" s="142"/>
      <c r="Z52" s="142"/>
      <c r="AA52" s="142"/>
      <c r="AB52" s="137"/>
      <c r="AC52" s="142"/>
      <c r="AD52" s="142"/>
      <c r="AE52" s="142"/>
      <c r="AF52" s="142"/>
      <c r="AG52" s="142"/>
      <c r="AH52" s="142"/>
      <c r="AI52" s="142"/>
      <c r="AJ52" s="142"/>
      <c r="AK52" s="142"/>
      <c r="AL52" s="142"/>
      <c r="AM52" s="142"/>
    </row>
    <row r="53" spans="1:39" x14ac:dyDescent="0.25">
      <c r="A53" s="142"/>
      <c r="B53" s="142"/>
      <c r="C53" s="142"/>
      <c r="D53" s="142"/>
      <c r="E53" s="142"/>
      <c r="F53" s="1259"/>
      <c r="G53" s="1259"/>
      <c r="H53" s="137"/>
      <c r="I53" s="137"/>
      <c r="J53" s="137"/>
      <c r="K53" s="142"/>
      <c r="L53" s="142"/>
      <c r="M53" s="142"/>
      <c r="N53" s="142"/>
      <c r="O53" s="142"/>
      <c r="P53" s="142"/>
      <c r="Q53" s="142"/>
      <c r="R53" s="137"/>
      <c r="S53" s="142"/>
      <c r="T53" s="142"/>
      <c r="U53" s="142"/>
      <c r="V53" s="142"/>
      <c r="W53" s="142"/>
      <c r="X53" s="142"/>
      <c r="Y53" s="142"/>
      <c r="Z53" s="142"/>
      <c r="AA53" s="142"/>
      <c r="AB53" s="137"/>
      <c r="AC53" s="142"/>
      <c r="AD53" s="142"/>
      <c r="AE53" s="142"/>
      <c r="AF53" s="142"/>
      <c r="AG53" s="142"/>
      <c r="AH53" s="142"/>
      <c r="AI53" s="142"/>
      <c r="AJ53" s="142"/>
      <c r="AK53" s="142"/>
      <c r="AL53" s="142"/>
      <c r="AM53" s="142"/>
    </row>
    <row r="54" spans="1:39" x14ac:dyDescent="0.25">
      <c r="A54" s="142"/>
      <c r="B54" s="142"/>
      <c r="C54" s="142"/>
      <c r="D54" s="142"/>
      <c r="E54" s="142"/>
      <c r="F54" s="1259"/>
      <c r="G54" s="1259"/>
      <c r="H54" s="137"/>
      <c r="I54" s="137"/>
      <c r="J54" s="137"/>
      <c r="K54" s="142"/>
      <c r="L54" s="142"/>
      <c r="M54" s="142"/>
      <c r="N54" s="142"/>
      <c r="O54" s="142"/>
      <c r="P54" s="142"/>
      <c r="Q54" s="142"/>
      <c r="R54" s="137"/>
      <c r="S54" s="142"/>
      <c r="T54" s="142"/>
      <c r="U54" s="142"/>
      <c r="V54" s="142"/>
      <c r="W54" s="142"/>
      <c r="X54" s="142"/>
      <c r="Y54" s="142"/>
      <c r="Z54" s="142"/>
      <c r="AA54" s="142"/>
      <c r="AB54" s="137"/>
      <c r="AC54" s="142"/>
      <c r="AD54" s="142"/>
      <c r="AE54" s="142"/>
      <c r="AF54" s="142"/>
      <c r="AG54" s="142"/>
      <c r="AH54" s="142"/>
      <c r="AI54" s="142"/>
      <c r="AJ54" s="142"/>
      <c r="AK54" s="142"/>
      <c r="AL54" s="142"/>
      <c r="AM54" s="142"/>
    </row>
    <row r="55" spans="1:39" x14ac:dyDescent="0.25">
      <c r="A55" s="142"/>
      <c r="B55" s="142"/>
      <c r="C55" s="142"/>
      <c r="D55" s="142"/>
      <c r="E55" s="142"/>
      <c r="F55" s="142"/>
      <c r="G55" s="142"/>
      <c r="H55" s="137"/>
      <c r="I55" s="137"/>
      <c r="J55" s="137"/>
      <c r="K55" s="142"/>
      <c r="L55" s="142"/>
      <c r="M55" s="142"/>
      <c r="N55" s="142"/>
      <c r="O55" s="142"/>
      <c r="P55" s="142"/>
      <c r="Q55" s="142"/>
      <c r="R55" s="137"/>
      <c r="S55" s="142"/>
      <c r="T55" s="142"/>
      <c r="U55" s="142"/>
      <c r="V55" s="142"/>
      <c r="W55" s="142"/>
      <c r="X55" s="142"/>
      <c r="Y55" s="142"/>
      <c r="Z55" s="142"/>
      <c r="AA55" s="142"/>
      <c r="AB55" s="137"/>
      <c r="AC55" s="142"/>
      <c r="AD55" s="142"/>
      <c r="AE55" s="142"/>
      <c r="AF55" s="142"/>
      <c r="AG55" s="142"/>
      <c r="AH55" s="142"/>
      <c r="AI55" s="142"/>
      <c r="AJ55" s="142"/>
      <c r="AK55" s="142"/>
      <c r="AL55" s="142"/>
      <c r="AM55" s="142"/>
    </row>
    <row r="56" spans="1:39" x14ac:dyDescent="0.25">
      <c r="A56" s="142"/>
      <c r="B56" s="142"/>
      <c r="C56" s="142"/>
      <c r="D56" s="142"/>
      <c r="E56" s="142"/>
      <c r="F56" s="142"/>
      <c r="G56" s="142"/>
      <c r="H56" s="137"/>
      <c r="I56" s="137"/>
      <c r="J56" s="137"/>
      <c r="K56" s="142"/>
      <c r="L56" s="142"/>
      <c r="M56" s="142"/>
      <c r="N56" s="142"/>
      <c r="O56" s="142"/>
      <c r="P56" s="142"/>
      <c r="Q56" s="142"/>
      <c r="R56" s="137"/>
      <c r="S56" s="142"/>
      <c r="T56" s="142"/>
      <c r="U56" s="142"/>
      <c r="V56" s="142"/>
      <c r="W56" s="142"/>
      <c r="X56" s="142"/>
      <c r="Y56" s="142"/>
      <c r="Z56" s="142"/>
      <c r="AA56" s="142"/>
      <c r="AB56" s="137"/>
      <c r="AC56" s="142"/>
      <c r="AD56" s="142"/>
      <c r="AE56" s="142"/>
      <c r="AF56" s="142"/>
      <c r="AG56" s="142"/>
      <c r="AH56" s="142"/>
      <c r="AI56" s="142"/>
      <c r="AJ56" s="142"/>
      <c r="AK56" s="142"/>
      <c r="AL56" s="142"/>
      <c r="AM56" s="142"/>
    </row>
    <row r="57" spans="1:39" x14ac:dyDescent="0.25">
      <c r="A57" s="142"/>
      <c r="B57" s="142"/>
      <c r="C57" s="142"/>
      <c r="D57" s="142"/>
      <c r="E57" s="142"/>
      <c r="F57" s="142"/>
      <c r="G57" s="142"/>
      <c r="H57" s="137"/>
      <c r="I57" s="137"/>
      <c r="J57" s="137"/>
      <c r="K57" s="142"/>
      <c r="L57" s="142"/>
      <c r="M57" s="142"/>
      <c r="N57" s="142"/>
      <c r="O57" s="142"/>
      <c r="P57" s="142"/>
      <c r="Q57" s="142"/>
      <c r="R57" s="137"/>
      <c r="S57" s="142"/>
      <c r="T57" s="142"/>
      <c r="U57" s="142"/>
      <c r="V57" s="142"/>
      <c r="W57" s="142"/>
      <c r="X57" s="142"/>
      <c r="Y57" s="142"/>
      <c r="Z57" s="142"/>
      <c r="AA57" s="142"/>
      <c r="AB57" s="137"/>
      <c r="AC57" s="142"/>
      <c r="AD57" s="142"/>
      <c r="AE57" s="142"/>
      <c r="AF57" s="142"/>
      <c r="AG57" s="142"/>
      <c r="AH57" s="142"/>
      <c r="AI57" s="142"/>
      <c r="AJ57" s="142"/>
      <c r="AK57" s="142"/>
      <c r="AL57" s="142"/>
      <c r="AM57" s="142"/>
    </row>
    <row r="58" spans="1:39" x14ac:dyDescent="0.25">
      <c r="A58" s="142"/>
      <c r="B58" s="142"/>
      <c r="C58" s="142"/>
      <c r="D58" s="142"/>
      <c r="E58" s="142"/>
      <c r="F58" s="142"/>
      <c r="G58" s="142"/>
      <c r="H58" s="137"/>
      <c r="I58" s="137"/>
      <c r="J58" s="137"/>
      <c r="K58" s="142"/>
      <c r="L58" s="142"/>
      <c r="M58" s="142"/>
      <c r="N58" s="142"/>
      <c r="O58" s="142"/>
      <c r="P58" s="142"/>
      <c r="Q58" s="142"/>
      <c r="R58" s="137"/>
      <c r="S58" s="142"/>
      <c r="T58" s="142"/>
      <c r="U58" s="142"/>
      <c r="V58" s="142"/>
      <c r="W58" s="142"/>
      <c r="X58" s="142"/>
      <c r="Y58" s="142"/>
      <c r="Z58" s="142"/>
      <c r="AA58" s="142"/>
      <c r="AB58" s="137"/>
      <c r="AC58" s="142"/>
      <c r="AD58" s="142"/>
      <c r="AE58" s="142"/>
      <c r="AF58" s="142"/>
      <c r="AG58" s="142"/>
      <c r="AH58" s="142"/>
      <c r="AI58" s="142"/>
      <c r="AJ58" s="142"/>
      <c r="AK58" s="142"/>
      <c r="AL58" s="142"/>
      <c r="AM58" s="142"/>
    </row>
    <row r="59" spans="1:39" x14ac:dyDescent="0.25">
      <c r="A59" s="142"/>
      <c r="B59" s="142"/>
      <c r="C59" s="142"/>
      <c r="D59" s="142"/>
      <c r="E59" s="142"/>
      <c r="F59" s="142"/>
      <c r="G59" s="142"/>
      <c r="H59" s="137"/>
      <c r="I59" s="137"/>
      <c r="J59" s="137"/>
      <c r="K59" s="142"/>
      <c r="L59" s="142"/>
      <c r="M59" s="142"/>
      <c r="N59" s="142"/>
      <c r="O59" s="142"/>
      <c r="P59" s="142"/>
      <c r="Q59" s="142"/>
      <c r="R59" s="137"/>
      <c r="S59" s="142"/>
      <c r="T59" s="142"/>
      <c r="U59" s="142"/>
      <c r="V59" s="142"/>
      <c r="W59" s="142"/>
      <c r="X59" s="142"/>
      <c r="Y59" s="142"/>
      <c r="Z59" s="142"/>
      <c r="AA59" s="142"/>
      <c r="AB59" s="137"/>
      <c r="AC59" s="142"/>
      <c r="AD59" s="142"/>
      <c r="AE59" s="142"/>
      <c r="AF59" s="142"/>
      <c r="AG59" s="142"/>
      <c r="AH59" s="142"/>
      <c r="AI59" s="142"/>
      <c r="AJ59" s="142"/>
      <c r="AK59" s="142"/>
      <c r="AL59" s="142"/>
      <c r="AM59" s="142"/>
    </row>
    <row r="60" spans="1:39" x14ac:dyDescent="0.25">
      <c r="A60" s="142"/>
      <c r="B60" s="142"/>
      <c r="C60" s="142"/>
      <c r="D60" s="142"/>
      <c r="E60" s="142"/>
      <c r="F60" s="142"/>
      <c r="G60" s="142"/>
      <c r="H60" s="137"/>
      <c r="I60" s="137"/>
      <c r="J60" s="137"/>
      <c r="K60" s="142"/>
      <c r="L60" s="142"/>
      <c r="M60" s="142"/>
      <c r="N60" s="142"/>
      <c r="O60" s="142"/>
      <c r="P60" s="142"/>
      <c r="Q60" s="142"/>
      <c r="R60" s="137"/>
      <c r="S60" s="142"/>
      <c r="T60" s="142"/>
      <c r="U60" s="142"/>
      <c r="V60" s="142"/>
      <c r="W60" s="142"/>
      <c r="X60" s="142"/>
      <c r="Y60" s="142"/>
      <c r="Z60" s="142"/>
      <c r="AA60" s="142"/>
      <c r="AB60" s="137"/>
      <c r="AC60" s="142"/>
      <c r="AD60" s="142"/>
      <c r="AE60" s="142"/>
      <c r="AF60" s="142"/>
      <c r="AG60" s="142"/>
      <c r="AH60" s="142"/>
      <c r="AI60" s="142"/>
      <c r="AJ60" s="142"/>
      <c r="AK60" s="142"/>
      <c r="AL60" s="142"/>
      <c r="AM60" s="142"/>
    </row>
    <row r="61" spans="1:39" x14ac:dyDescent="0.25">
      <c r="A61" s="142"/>
      <c r="B61" s="142"/>
      <c r="C61" s="142"/>
      <c r="D61" s="142"/>
      <c r="E61" s="142"/>
      <c r="F61" s="142"/>
      <c r="G61" s="142"/>
      <c r="H61" s="137"/>
      <c r="I61" s="137"/>
      <c r="J61" s="137"/>
      <c r="K61" s="142"/>
      <c r="L61" s="142"/>
      <c r="M61" s="142"/>
      <c r="N61" s="142"/>
      <c r="O61" s="142"/>
      <c r="P61" s="142"/>
      <c r="Q61" s="142"/>
      <c r="R61" s="137"/>
      <c r="S61" s="142"/>
      <c r="T61" s="142"/>
      <c r="U61" s="142"/>
      <c r="V61" s="142"/>
      <c r="W61" s="142"/>
      <c r="X61" s="142"/>
      <c r="Y61" s="142"/>
      <c r="Z61" s="142"/>
      <c r="AA61" s="142"/>
      <c r="AB61" s="137"/>
      <c r="AC61" s="142"/>
      <c r="AD61" s="142"/>
      <c r="AE61" s="142"/>
      <c r="AF61" s="142"/>
      <c r="AG61" s="142"/>
      <c r="AH61" s="142"/>
      <c r="AI61" s="142"/>
      <c r="AJ61" s="142"/>
      <c r="AK61" s="142"/>
      <c r="AL61" s="142"/>
      <c r="AM61" s="142"/>
    </row>
    <row r="62" spans="1:39" x14ac:dyDescent="0.25">
      <c r="A62" s="142"/>
      <c r="B62" s="142"/>
      <c r="C62" s="142"/>
      <c r="D62" s="142"/>
      <c r="E62" s="142"/>
      <c r="F62" s="142"/>
      <c r="G62" s="142"/>
      <c r="H62" s="137"/>
      <c r="I62" s="137"/>
      <c r="J62" s="137"/>
      <c r="K62" s="142"/>
      <c r="L62" s="142"/>
      <c r="M62" s="142"/>
      <c r="N62" s="142"/>
      <c r="O62" s="142"/>
      <c r="P62" s="142"/>
      <c r="Q62" s="142"/>
      <c r="R62" s="137"/>
      <c r="S62" s="142"/>
      <c r="T62" s="142"/>
      <c r="U62" s="142"/>
      <c r="V62" s="142"/>
      <c r="W62" s="142"/>
      <c r="X62" s="142"/>
      <c r="Y62" s="142"/>
      <c r="Z62" s="142"/>
      <c r="AA62" s="142"/>
      <c r="AB62" s="137"/>
      <c r="AC62" s="142"/>
      <c r="AD62" s="142"/>
      <c r="AE62" s="142"/>
      <c r="AF62" s="142"/>
      <c r="AG62" s="142"/>
      <c r="AH62" s="142"/>
      <c r="AI62" s="142"/>
      <c r="AJ62" s="142"/>
      <c r="AK62" s="142"/>
      <c r="AL62" s="142"/>
      <c r="AM62" s="142"/>
    </row>
    <row r="63" spans="1:39" x14ac:dyDescent="0.25">
      <c r="A63" s="142"/>
      <c r="B63" s="142"/>
      <c r="C63" s="142"/>
      <c r="D63" s="142"/>
      <c r="E63" s="142"/>
      <c r="F63" s="142"/>
      <c r="G63" s="142"/>
      <c r="H63" s="137"/>
      <c r="I63" s="137"/>
      <c r="J63" s="137"/>
      <c r="K63" s="142"/>
      <c r="L63" s="142"/>
      <c r="M63" s="142"/>
      <c r="N63" s="142"/>
      <c r="O63" s="142"/>
      <c r="P63" s="142"/>
      <c r="Q63" s="142"/>
      <c r="R63" s="137"/>
      <c r="S63" s="142"/>
      <c r="T63" s="142"/>
      <c r="U63" s="142"/>
      <c r="V63" s="142"/>
      <c r="W63" s="142"/>
      <c r="X63" s="142"/>
      <c r="Y63" s="142"/>
      <c r="Z63" s="142"/>
      <c r="AA63" s="142"/>
      <c r="AB63" s="137"/>
      <c r="AC63" s="142"/>
      <c r="AD63" s="142"/>
      <c r="AE63" s="142"/>
      <c r="AF63" s="142"/>
      <c r="AG63" s="142"/>
      <c r="AH63" s="142"/>
      <c r="AI63" s="142"/>
      <c r="AJ63" s="142"/>
      <c r="AK63" s="142"/>
      <c r="AL63" s="142"/>
      <c r="AM63" s="142"/>
    </row>
    <row r="64" spans="1:39" x14ac:dyDescent="0.25">
      <c r="A64" s="142"/>
      <c r="B64" s="142"/>
      <c r="C64" s="142"/>
      <c r="D64" s="142"/>
      <c r="E64" s="142"/>
      <c r="F64" s="142"/>
      <c r="G64" s="142"/>
      <c r="H64" s="137"/>
      <c r="I64" s="137"/>
      <c r="J64" s="137"/>
      <c r="K64" s="142"/>
      <c r="L64" s="142"/>
      <c r="M64" s="142"/>
      <c r="N64" s="142"/>
      <c r="O64" s="142"/>
      <c r="P64" s="142"/>
      <c r="Q64" s="142"/>
      <c r="R64" s="137"/>
      <c r="S64" s="142"/>
      <c r="T64" s="142"/>
      <c r="U64" s="142"/>
      <c r="V64" s="142"/>
      <c r="W64" s="142"/>
      <c r="X64" s="142"/>
      <c r="Y64" s="142"/>
      <c r="Z64" s="142"/>
      <c r="AA64" s="142"/>
      <c r="AB64" s="137"/>
      <c r="AC64" s="142"/>
      <c r="AD64" s="142"/>
      <c r="AE64" s="142"/>
      <c r="AF64" s="142"/>
      <c r="AG64" s="142"/>
      <c r="AH64" s="142"/>
      <c r="AI64" s="142"/>
      <c r="AJ64" s="142"/>
      <c r="AK64" s="142"/>
      <c r="AL64" s="142"/>
      <c r="AM64" s="142"/>
    </row>
    <row r="65" spans="1:39" x14ac:dyDescent="0.25">
      <c r="A65" s="142"/>
      <c r="B65" s="142"/>
      <c r="C65" s="142"/>
      <c r="D65" s="142"/>
      <c r="E65" s="142"/>
      <c r="F65" s="142"/>
      <c r="G65" s="142"/>
      <c r="H65" s="137"/>
      <c r="I65" s="137"/>
      <c r="J65" s="137"/>
      <c r="K65" s="142"/>
      <c r="L65" s="142"/>
      <c r="M65" s="142"/>
      <c r="N65" s="142"/>
      <c r="O65" s="142"/>
      <c r="P65" s="142"/>
      <c r="Q65" s="142"/>
      <c r="R65" s="137"/>
      <c r="S65" s="142"/>
      <c r="T65" s="142"/>
      <c r="U65" s="142"/>
      <c r="V65" s="142"/>
      <c r="W65" s="142"/>
      <c r="X65" s="142"/>
      <c r="Y65" s="142"/>
      <c r="Z65" s="142"/>
      <c r="AA65" s="142"/>
      <c r="AB65" s="137"/>
      <c r="AC65" s="142"/>
      <c r="AD65" s="142"/>
      <c r="AE65" s="142"/>
      <c r="AF65" s="142"/>
      <c r="AG65" s="142"/>
      <c r="AH65" s="142"/>
      <c r="AI65" s="142"/>
      <c r="AJ65" s="142"/>
      <c r="AK65" s="142"/>
      <c r="AL65" s="142"/>
      <c r="AM65" s="142"/>
    </row>
    <row r="66" spans="1:39" x14ac:dyDescent="0.25">
      <c r="A66" s="142"/>
      <c r="B66" s="142"/>
      <c r="C66" s="142"/>
      <c r="D66" s="142"/>
      <c r="E66" s="142"/>
      <c r="F66" s="142"/>
      <c r="G66" s="142"/>
      <c r="H66" s="137"/>
      <c r="I66" s="137"/>
      <c r="J66" s="137"/>
      <c r="K66" s="142"/>
      <c r="L66" s="142"/>
      <c r="M66" s="142"/>
      <c r="N66" s="142"/>
      <c r="O66" s="142"/>
      <c r="P66" s="142"/>
      <c r="Q66" s="142"/>
      <c r="R66" s="137"/>
      <c r="S66" s="142"/>
      <c r="T66" s="142"/>
      <c r="U66" s="142"/>
      <c r="V66" s="142"/>
      <c r="W66" s="142"/>
      <c r="X66" s="142"/>
      <c r="Y66" s="142"/>
      <c r="Z66" s="142"/>
      <c r="AA66" s="142"/>
      <c r="AB66" s="137"/>
      <c r="AC66" s="142"/>
      <c r="AD66" s="142"/>
      <c r="AE66" s="142"/>
      <c r="AF66" s="142"/>
      <c r="AG66" s="142"/>
      <c r="AH66" s="142"/>
      <c r="AI66" s="142"/>
      <c r="AJ66" s="142"/>
      <c r="AK66" s="142"/>
      <c r="AL66" s="142"/>
      <c r="AM66" s="142"/>
    </row>
    <row r="67" spans="1:39" x14ac:dyDescent="0.25">
      <c r="A67" s="142"/>
      <c r="B67" s="142"/>
      <c r="C67" s="142"/>
      <c r="D67" s="142"/>
      <c r="E67" s="142"/>
      <c r="F67" s="142"/>
      <c r="G67" s="142"/>
      <c r="H67" s="137"/>
      <c r="I67" s="137"/>
      <c r="J67" s="137"/>
      <c r="K67" s="142"/>
      <c r="L67" s="142"/>
      <c r="M67" s="142"/>
      <c r="N67" s="142"/>
      <c r="O67" s="142"/>
      <c r="P67" s="142"/>
      <c r="Q67" s="142"/>
      <c r="R67" s="137"/>
      <c r="S67" s="142"/>
      <c r="T67" s="142"/>
      <c r="U67" s="142"/>
      <c r="V67" s="142"/>
      <c r="W67" s="142"/>
      <c r="X67" s="142"/>
      <c r="Y67" s="142"/>
      <c r="Z67" s="142"/>
      <c r="AA67" s="142"/>
      <c r="AB67" s="137"/>
      <c r="AC67" s="142"/>
      <c r="AD67" s="142"/>
      <c r="AE67" s="142"/>
      <c r="AF67" s="142"/>
      <c r="AG67" s="142"/>
      <c r="AH67" s="142"/>
      <c r="AI67" s="142"/>
      <c r="AJ67" s="142"/>
      <c r="AK67" s="142"/>
      <c r="AL67" s="142"/>
      <c r="AM67" s="142"/>
    </row>
  </sheetData>
  <sheetProtection algorithmName="SHA-512" hashValue="LkKrQF5Ik1eaH1s9kGSgjNhOSTyIOJH3eKjw9u539cM6p/icDAuvWvGNSx2CdqTNz001nIs57VgaCDcGoJJ1MQ==" saltValue="xVpPoO3gx8wEERw0KL02A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202" priority="20">
      <formula>$E10="EXCLUDE"</formula>
    </cfRule>
  </conditionalFormatting>
  <conditionalFormatting sqref="O8:O9">
    <cfRule type="expression" dxfId="201" priority="22">
      <formula>$E$3="CIA"</formula>
    </cfRule>
  </conditionalFormatting>
  <conditionalFormatting sqref="Q8:Q9">
    <cfRule type="expression" dxfId="200" priority="21">
      <formula>$E$3="CIA"</formula>
    </cfRule>
  </conditionalFormatting>
  <conditionalFormatting sqref="K9:K30">
    <cfRule type="expression" dxfId="199" priority="11">
      <formula>$E$3="CIA"</formula>
    </cfRule>
  </conditionalFormatting>
  <conditionalFormatting sqref="L10:L30">
    <cfRule type="expression" dxfId="198" priority="12">
      <formula>$AF10="ABOVE"</formula>
    </cfRule>
  </conditionalFormatting>
  <conditionalFormatting sqref="I35">
    <cfRule type="expression" dxfId="197" priority="82">
      <formula>$K$36&gt;0</formula>
    </cfRule>
    <cfRule type="expression" dxfId="196" priority="83">
      <formula>$I$35&lt;$I$33</formula>
    </cfRule>
    <cfRule type="expression" dxfId="195" priority="84">
      <formula>$I$35&gt;$I$33</formula>
    </cfRule>
  </conditionalFormatting>
  <conditionalFormatting sqref="D10:D30">
    <cfRule type="expression" dxfId="194" priority="23">
      <formula>$E$3="CIA"</formula>
    </cfRule>
  </conditionalFormatting>
  <conditionalFormatting sqref="K10:K30">
    <cfRule type="expression" dxfId="193" priority="10">
      <formula>$D10&lt;&gt;"%"</formula>
    </cfRule>
  </conditionalFormatting>
  <conditionalFormatting sqref="K27">
    <cfRule type="expression" dxfId="192" priority="8">
      <formula>$K$27&lt;0</formula>
    </cfRule>
  </conditionalFormatting>
  <conditionalFormatting sqref="O10:Q30">
    <cfRule type="expression" dxfId="191" priority="6">
      <formula>$D10&lt;&gt;"%"</formula>
    </cfRule>
  </conditionalFormatting>
  <conditionalFormatting sqref="O10:O30">
    <cfRule type="expression" dxfId="190" priority="5">
      <formula>$E$3="CIA"</formula>
    </cfRule>
  </conditionalFormatting>
  <conditionalFormatting sqref="Q10:Q30">
    <cfRule type="expression" dxfId="189" priority="4">
      <formula>$E$3="CIA"</formula>
    </cfRule>
  </conditionalFormatting>
  <conditionalFormatting sqref="S10:U30">
    <cfRule type="expression" dxfId="188" priority="3">
      <formula>$D10&lt;&gt;"%"</formula>
    </cfRule>
  </conditionalFormatting>
  <conditionalFormatting sqref="S10:S30">
    <cfRule type="expression" dxfId="187" priority="2">
      <formula>$E$3="CIA"</formula>
    </cfRule>
  </conditionalFormatting>
  <conditionalFormatting sqref="U10:U30">
    <cfRule type="expression" dxfId="186"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zoomScale="80" zoomScaleNormal="80" workbookViewId="0">
      <selection activeCell="G14" sqref="G14"/>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34"/>
      <c r="C2" s="175"/>
      <c r="D2" s="539" t="s">
        <v>981</v>
      </c>
      <c r="E2" s="175"/>
      <c r="F2" s="176"/>
      <c r="G2" s="177"/>
      <c r="H2" s="175"/>
      <c r="I2" s="542"/>
      <c r="J2" s="175"/>
      <c r="K2" s="175"/>
      <c r="L2" s="175"/>
      <c r="M2" s="175"/>
      <c r="N2" s="175"/>
      <c r="O2" s="543"/>
      <c r="Q2" s="179"/>
      <c r="R2" s="180"/>
      <c r="S2" s="180"/>
      <c r="T2" s="180"/>
      <c r="U2" s="180"/>
      <c r="V2" s="180"/>
      <c r="W2" s="180"/>
      <c r="X2" s="180"/>
      <c r="Y2" s="180"/>
      <c r="Z2" s="180"/>
      <c r="AA2" s="180"/>
      <c r="AB2" s="180"/>
      <c r="AC2" s="180"/>
    </row>
    <row r="3" spans="2:29" s="5" customFormat="1" x14ac:dyDescent="0.25">
      <c r="B3" s="181"/>
      <c r="F3" s="512" t="s">
        <v>377</v>
      </c>
      <c r="G3" s="697">
        <f>Welcome!$D$8</f>
        <v>0</v>
      </c>
      <c r="H3" s="142"/>
      <c r="I3" s="85"/>
      <c r="J3"/>
      <c r="K3" s="512" t="s">
        <v>110</v>
      </c>
      <c r="L3" s="1266" t="e">
        <f>VLOOKUP($L$4,'Market Geography'!$D:$G,4,FALSE)</f>
        <v>#N/A</v>
      </c>
      <c r="M3" s="1267" t="e">
        <f>IF(#REF!="New Business",#REF!,#REF!)</f>
        <v>#REF!</v>
      </c>
      <c r="N3" s="1268" t="e">
        <f>VLOOKUP($J$4,'Market Geography'!$D:$G,4,FALSE)</f>
        <v>#N/A</v>
      </c>
      <c r="O3" s="182"/>
      <c r="P3" s="180"/>
      <c r="Q3" s="183"/>
      <c r="R3" s="180"/>
      <c r="S3" s="180"/>
      <c r="T3" s="180"/>
      <c r="U3" s="180"/>
      <c r="V3" s="180"/>
      <c r="W3" s="180"/>
      <c r="X3" s="180"/>
      <c r="Y3" s="180"/>
      <c r="Z3" s="180"/>
      <c r="AA3" s="180"/>
      <c r="AB3" s="180"/>
      <c r="AC3" s="180"/>
    </row>
    <row r="4" spans="2:29" s="5" customFormat="1" x14ac:dyDescent="0.25">
      <c r="B4" s="181"/>
      <c r="F4" s="513" t="s">
        <v>212</v>
      </c>
      <c r="G4" s="389" t="str">
        <f>Welcome!$D$12</f>
        <v>Select Term</v>
      </c>
      <c r="H4" s="142"/>
      <c r="I4" s="184" t="s">
        <v>513</v>
      </c>
      <c r="J4" s="185"/>
      <c r="K4" s="513" t="s">
        <v>120</v>
      </c>
      <c r="L4" s="1263">
        <f>Welcome!$D$4</f>
        <v>0</v>
      </c>
      <c r="M4" s="1264"/>
      <c r="N4" s="1265"/>
      <c r="O4" s="182"/>
      <c r="P4" s="180"/>
      <c r="Q4" s="183"/>
      <c r="R4" s="180"/>
      <c r="S4" s="180"/>
      <c r="T4" s="180"/>
      <c r="U4" s="180"/>
      <c r="V4" s="180"/>
      <c r="W4" s="180"/>
      <c r="X4" s="180"/>
      <c r="Y4" s="180"/>
      <c r="Z4" s="180"/>
      <c r="AA4" s="180"/>
      <c r="AB4" s="180"/>
      <c r="AC4" s="180"/>
    </row>
    <row r="5" spans="2:29" s="5" customFormat="1" x14ac:dyDescent="0.25">
      <c r="B5" s="181"/>
      <c r="F5" s="513" t="s">
        <v>201</v>
      </c>
      <c r="G5" s="390">
        <f>'PIM Model'!$G$31</f>
        <v>0</v>
      </c>
      <c r="H5" s="423"/>
      <c r="I5"/>
      <c r="J5"/>
      <c r="K5" s="513" t="s">
        <v>107</v>
      </c>
      <c r="L5" s="1263" t="str">
        <f>'Multi-Customer'!$S$49</f>
        <v>Enter Customer(s)</v>
      </c>
      <c r="M5" s="1264"/>
      <c r="N5" s="1265"/>
      <c r="O5" s="182"/>
      <c r="P5" s="180"/>
      <c r="Q5" s="183"/>
      <c r="R5" s="180"/>
      <c r="S5" s="180"/>
      <c r="T5" s="180"/>
      <c r="U5" s="180"/>
      <c r="V5" s="180"/>
      <c r="W5" s="180"/>
      <c r="X5" s="180"/>
      <c r="Y5" s="180"/>
      <c r="Z5" s="180"/>
      <c r="AA5" s="180"/>
      <c r="AB5" s="180"/>
      <c r="AC5" s="180"/>
    </row>
    <row r="6" spans="2:29" s="5" customFormat="1" x14ac:dyDescent="0.25">
      <c r="B6" s="181"/>
      <c r="F6" s="513" t="s">
        <v>486</v>
      </c>
      <c r="G6" s="425">
        <f>'Variable Costs (Back)'!$K$26</f>
        <v>0</v>
      </c>
      <c r="H6" s="424"/>
      <c r="I6"/>
      <c r="J6"/>
      <c r="K6" s="513" t="s">
        <v>403</v>
      </c>
      <c r="L6" s="1263" t="str">
        <f>'Multi-Customer'!$AH$40</f>
        <v>MULTIPLE TYPES</v>
      </c>
      <c r="M6" s="1264"/>
      <c r="N6" s="1265"/>
      <c r="O6" s="182"/>
      <c r="P6" s="180"/>
      <c r="Q6" s="183"/>
      <c r="R6" s="180"/>
      <c r="S6" s="180"/>
      <c r="T6" s="180"/>
      <c r="U6" s="180"/>
      <c r="V6" s="180"/>
      <c r="W6" s="180"/>
      <c r="X6" s="180"/>
      <c r="Y6" s="180"/>
      <c r="Z6" s="180"/>
      <c r="AA6" s="180"/>
      <c r="AB6" s="180"/>
      <c r="AC6" s="180"/>
    </row>
    <row r="7" spans="2:29" s="5" customFormat="1" ht="15.75" thickBot="1" x14ac:dyDescent="0.3">
      <c r="B7" s="181"/>
      <c r="F7" s="514" t="s">
        <v>537</v>
      </c>
      <c r="G7" s="426">
        <f>IFERROR('PIM Ranges'!$AU$3,0)</f>
        <v>0</v>
      </c>
      <c r="I7"/>
      <c r="J7"/>
      <c r="K7" s="514" t="s">
        <v>221</v>
      </c>
      <c r="L7" s="1285" t="s">
        <v>207</v>
      </c>
      <c r="M7" s="1286"/>
      <c r="N7" s="1287"/>
      <c r="O7" s="182"/>
      <c r="P7" s="180"/>
      <c r="Q7" s="183"/>
      <c r="R7" s="180"/>
      <c r="S7" s="180"/>
      <c r="T7" s="180"/>
      <c r="U7" s="180"/>
      <c r="V7" s="180"/>
      <c r="W7" s="180"/>
      <c r="X7" s="180"/>
      <c r="Y7" s="180"/>
      <c r="Z7" s="180"/>
      <c r="AA7" s="180"/>
      <c r="AB7" s="180"/>
      <c r="AC7" s="180"/>
    </row>
    <row r="8" spans="2:29" s="5" customFormat="1" ht="12" customHeight="1" thickBot="1" x14ac:dyDescent="0.3">
      <c r="B8" s="181"/>
      <c r="F8" s="139"/>
      <c r="I8" s="180"/>
      <c r="J8" s="180"/>
      <c r="K8" s="180"/>
      <c r="L8" s="180"/>
      <c r="M8" s="180"/>
      <c r="N8" s="180"/>
      <c r="O8" s="186"/>
      <c r="P8" s="180"/>
      <c r="Q8" s="183"/>
      <c r="R8" s="180"/>
      <c r="S8" s="180"/>
      <c r="T8" s="180"/>
      <c r="U8" s="180"/>
      <c r="V8" s="180"/>
      <c r="W8" s="180"/>
      <c r="X8" s="180"/>
      <c r="Y8" s="180"/>
      <c r="Z8" s="180"/>
      <c r="AA8" s="180"/>
      <c r="AB8" s="180"/>
      <c r="AC8" s="180"/>
    </row>
    <row r="9" spans="2:29" s="5" customFormat="1" ht="19.149999999999999" customHeight="1" x14ac:dyDescent="0.25">
      <c r="B9" s="181"/>
      <c r="F9" s="139"/>
      <c r="G9" s="187" t="s">
        <v>920</v>
      </c>
      <c r="H9" s="1288">
        <f>IFERROR('PIM Model'!$G$31,0)</f>
        <v>0</v>
      </c>
      <c r="I9" s="1289"/>
      <c r="L9" s="180"/>
      <c r="M9" s="180"/>
      <c r="N9" s="180"/>
      <c r="O9" s="186"/>
      <c r="P9" s="180"/>
      <c r="Q9" s="183"/>
      <c r="R9" s="180"/>
      <c r="S9" s="180"/>
      <c r="T9" s="180"/>
      <c r="U9" s="180"/>
      <c r="V9" s="180"/>
      <c r="W9" s="180"/>
      <c r="X9" s="180"/>
      <c r="Y9" s="180"/>
      <c r="Z9" s="180"/>
      <c r="AA9" s="180"/>
      <c r="AB9" s="180"/>
      <c r="AC9" s="180"/>
    </row>
    <row r="10" spans="2:29" s="5" customFormat="1" ht="19.149999999999999" customHeight="1" thickBot="1" x14ac:dyDescent="0.3">
      <c r="B10" s="181"/>
      <c r="F10" s="139"/>
      <c r="G10" s="188" t="s">
        <v>921</v>
      </c>
      <c r="H10" s="1296">
        <f>IFERROR('PIM Model'!$G$32,0)</f>
        <v>0</v>
      </c>
      <c r="I10" s="1297"/>
      <c r="L10" s="180"/>
      <c r="M10" s="180"/>
      <c r="N10" s="180"/>
      <c r="O10" s="186"/>
      <c r="P10" s="180"/>
      <c r="Q10" s="183"/>
      <c r="R10" s="180"/>
      <c r="S10" s="180"/>
      <c r="T10" s="180"/>
      <c r="U10" s="180"/>
      <c r="V10" s="180"/>
      <c r="W10" s="180"/>
      <c r="X10" s="180"/>
      <c r="Y10" s="180"/>
      <c r="Z10" s="180"/>
      <c r="AA10" s="180"/>
      <c r="AB10" s="180"/>
      <c r="AC10" s="180"/>
    </row>
    <row r="11" spans="2:29" s="5" customFormat="1" ht="10.15" customHeight="1" x14ac:dyDescent="0.25">
      <c r="B11" s="181"/>
      <c r="F11" s="139"/>
      <c r="I11" s="180"/>
      <c r="J11" s="180"/>
      <c r="K11" s="180"/>
      <c r="L11" s="180"/>
      <c r="M11" s="180"/>
      <c r="N11" s="180"/>
      <c r="O11" s="186"/>
      <c r="P11" s="180"/>
      <c r="Q11" s="183"/>
      <c r="R11" s="180"/>
      <c r="S11" s="180"/>
      <c r="T11" s="180"/>
      <c r="U11" s="180"/>
      <c r="V11" s="180"/>
      <c r="W11" s="180"/>
      <c r="X11" s="180"/>
      <c r="Y11" s="180"/>
      <c r="Z11" s="180"/>
      <c r="AA11" s="180"/>
      <c r="AB11" s="180"/>
      <c r="AC11" s="180"/>
    </row>
    <row r="12" spans="2:29" s="5" customFormat="1" ht="9" customHeight="1" x14ac:dyDescent="0.25">
      <c r="B12" s="181"/>
      <c r="C12" s="189"/>
      <c r="D12" s="190"/>
      <c r="E12" s="191"/>
      <c r="F12" s="192"/>
      <c r="G12" s="1290"/>
      <c r="H12" s="1291"/>
      <c r="I12" s="193"/>
      <c r="J12" s="1295"/>
      <c r="K12" s="1295"/>
      <c r="L12" s="191"/>
      <c r="M12" s="191"/>
      <c r="N12" s="194"/>
      <c r="O12" s="182"/>
      <c r="P12" s="180"/>
      <c r="Q12" s="180"/>
      <c r="R12" s="180"/>
      <c r="S12" s="180"/>
      <c r="T12" s="180"/>
      <c r="U12" s="180"/>
      <c r="V12" s="180"/>
      <c r="W12" s="180"/>
      <c r="X12" s="180"/>
      <c r="Y12" s="180"/>
      <c r="Z12" s="180"/>
      <c r="AA12" s="180"/>
    </row>
    <row r="13" spans="2:29" s="5" customFormat="1" ht="12" customHeight="1" x14ac:dyDescent="0.25">
      <c r="B13" s="181"/>
      <c r="C13" s="195"/>
      <c r="D13" s="197"/>
      <c r="E13" s="148"/>
      <c r="F13" s="376"/>
      <c r="G13" s="255" t="s">
        <v>1211</v>
      </c>
      <c r="H13" s="692"/>
      <c r="I13" s="255" t="s">
        <v>910</v>
      </c>
      <c r="J13" s="41"/>
      <c r="K13" s="255" t="s">
        <v>891</v>
      </c>
      <c r="L13" s="148"/>
      <c r="M13" s="148"/>
      <c r="N13" s="199"/>
      <c r="O13" s="182"/>
      <c r="P13" s="180"/>
      <c r="Q13" s="180"/>
      <c r="R13" s="180"/>
      <c r="S13" s="180"/>
      <c r="T13" s="180"/>
      <c r="U13" s="180"/>
      <c r="V13" s="180"/>
      <c r="W13" s="180"/>
      <c r="X13" s="180"/>
      <c r="Y13" s="180"/>
      <c r="Z13" s="180"/>
      <c r="AA13" s="180"/>
    </row>
    <row r="14" spans="2:29" s="5" customFormat="1" ht="18.75" x14ac:dyDescent="0.25">
      <c r="B14" s="181"/>
      <c r="C14" s="195"/>
      <c r="D14" s="196" t="s">
        <v>922</v>
      </c>
      <c r="E14" s="197"/>
      <c r="F14" s="198"/>
      <c r="G14" s="429" t="s">
        <v>1221</v>
      </c>
      <c r="H14" s="784"/>
      <c r="I14" s="429" t="s">
        <v>1071</v>
      </c>
      <c r="J14" s="148"/>
      <c r="K14" s="430" t="str">
        <f>IF(I14="Credit Memo","Individual Customers",IF(I14="Check","Corp Check | AP number needed",""))</f>
        <v/>
      </c>
      <c r="L14" s="148"/>
      <c r="M14" s="148"/>
      <c r="N14" s="199"/>
      <c r="O14" s="182"/>
      <c r="P14" s="180"/>
      <c r="Q14" s="739"/>
      <c r="R14" s="180"/>
      <c r="S14" s="180"/>
      <c r="T14" s="180"/>
      <c r="U14" s="180"/>
      <c r="V14" s="180"/>
      <c r="W14" s="180"/>
      <c r="X14" s="180"/>
      <c r="Y14" s="180"/>
      <c r="Z14" s="180"/>
      <c r="AA14" s="180"/>
    </row>
    <row r="15" spans="2:29" s="5" customFormat="1" x14ac:dyDescent="0.25">
      <c r="B15" s="181"/>
      <c r="C15" s="195"/>
      <c r="D15" s="200" t="s">
        <v>543</v>
      </c>
      <c r="E15" s="70" t="s">
        <v>546</v>
      </c>
      <c r="F15" s="201"/>
      <c r="G15" s="693"/>
      <c r="H15" s="692"/>
      <c r="I15" s="148"/>
      <c r="J15" s="148"/>
      <c r="K15" s="148"/>
      <c r="L15" s="148"/>
      <c r="M15" s="148"/>
      <c r="N15" s="199"/>
      <c r="O15" s="182"/>
      <c r="P15" s="180"/>
      <c r="Q15" s="739" t="str">
        <f>IF($E15="NO","",IF($I14="Select Payment Method","X",""))</f>
        <v/>
      </c>
      <c r="R15" s="180"/>
      <c r="S15" s="180"/>
      <c r="T15" s="180"/>
      <c r="U15" s="180"/>
      <c r="V15" s="180"/>
      <c r="W15" s="180"/>
      <c r="X15" s="180"/>
      <c r="Y15" s="180"/>
      <c r="Z15" s="180"/>
      <c r="AA15" s="180"/>
    </row>
    <row r="16" spans="2:29" s="5" customFormat="1" ht="15.75" x14ac:dyDescent="0.25">
      <c r="B16" s="181"/>
      <c r="C16" s="195"/>
      <c r="D16" s="197"/>
      <c r="E16" s="148"/>
      <c r="F16" s="202"/>
      <c r="G16" s="203" t="s">
        <v>532</v>
      </c>
      <c r="H16" s="692"/>
      <c r="I16" s="204" t="s">
        <v>533</v>
      </c>
      <c r="J16" s="148"/>
      <c r="K16" s="205"/>
      <c r="L16" s="148"/>
      <c r="M16" s="197"/>
      <c r="N16" s="199"/>
      <c r="O16" s="182"/>
      <c r="P16" s="180"/>
      <c r="Q16" s="739"/>
      <c r="R16" s="180"/>
      <c r="S16" s="180"/>
      <c r="T16" s="180"/>
      <c r="U16" s="180"/>
      <c r="V16" s="180"/>
      <c r="W16" s="180"/>
      <c r="X16" s="180"/>
      <c r="Y16" s="180"/>
      <c r="Z16" s="180"/>
      <c r="AA16" s="180"/>
    </row>
    <row r="17" spans="2:27" s="5" customFormat="1" ht="17.45" customHeight="1" x14ac:dyDescent="0.25">
      <c r="B17" s="181"/>
      <c r="C17" s="195"/>
      <c r="D17" s="206" t="s">
        <v>923</v>
      </c>
      <c r="E17" s="197"/>
      <c r="F17" s="207" t="s">
        <v>517</v>
      </c>
      <c r="G17" s="240">
        <f>$H$9/52</f>
        <v>0</v>
      </c>
      <c r="H17" s="692"/>
      <c r="I17" s="840"/>
      <c r="J17" s="148"/>
      <c r="K17" s="208"/>
      <c r="L17" s="148"/>
      <c r="M17" s="6" t="s">
        <v>500</v>
      </c>
      <c r="N17" s="199"/>
      <c r="O17" s="182"/>
      <c r="P17" s="180"/>
      <c r="Q17" s="739"/>
      <c r="R17" s="180"/>
      <c r="S17" s="180"/>
      <c r="T17" s="180"/>
      <c r="U17" s="180"/>
      <c r="V17" s="180"/>
      <c r="W17" s="180"/>
      <c r="X17" s="180"/>
      <c r="Y17" s="180"/>
      <c r="Z17" s="180"/>
      <c r="AA17" s="180"/>
    </row>
    <row r="18" spans="2:27" s="5" customFormat="1" ht="15.75" x14ac:dyDescent="0.25">
      <c r="B18" s="181"/>
      <c r="C18" s="195"/>
      <c r="D18" s="210" t="s">
        <v>540</v>
      </c>
      <c r="E18" s="540">
        <f>IF(G18="",0,(G18-$G$17)/$G$17)</f>
        <v>0</v>
      </c>
      <c r="F18" s="207" t="s">
        <v>917</v>
      </c>
      <c r="G18" s="544"/>
      <c r="H18" s="692"/>
      <c r="I18" s="841">
        <v>0.01</v>
      </c>
      <c r="J18" s="1292" t="str">
        <f>IF($E$15="YES","**Tier 1 used for modeling purposes**","")</f>
        <v/>
      </c>
      <c r="K18" s="1293"/>
      <c r="L18" s="1294"/>
      <c r="M18" s="209" t="str">
        <f>IF($E$15="YES",$H$10*I18,"")</f>
        <v/>
      </c>
      <c r="N18" s="199"/>
      <c r="O18" s="182"/>
      <c r="P18" s="180"/>
      <c r="Q18" s="739"/>
      <c r="R18" s="180"/>
      <c r="S18" s="180"/>
      <c r="T18" s="180"/>
      <c r="U18" s="180"/>
      <c r="V18" s="180"/>
      <c r="W18" s="180"/>
      <c r="X18" s="180"/>
      <c r="Y18" s="180"/>
      <c r="Z18" s="180"/>
      <c r="AA18" s="180"/>
    </row>
    <row r="19" spans="2:27" s="5" customFormat="1" ht="15.6" customHeight="1" x14ac:dyDescent="0.25">
      <c r="B19" s="181"/>
      <c r="C19" s="195"/>
      <c r="D19" s="210" t="s">
        <v>541</v>
      </c>
      <c r="E19" s="540">
        <f t="shared" ref="E19:E20" si="0">IF(G19="",0,(G19-$G$17)/$G$17)</f>
        <v>0</v>
      </c>
      <c r="F19" s="207" t="s">
        <v>918</v>
      </c>
      <c r="G19" s="544"/>
      <c r="H19" s="692"/>
      <c r="I19" s="841">
        <v>1.4999999999999999E-2</v>
      </c>
      <c r="J19" s="148"/>
      <c r="K19" s="1273" t="str">
        <f>IF($I$21&gt;0,"**Warning: You have entered an incentive payout above the recommended 3%**","")</f>
        <v/>
      </c>
      <c r="L19" s="148"/>
      <c r="M19" s="977"/>
      <c r="N19" s="199"/>
      <c r="O19" s="182"/>
      <c r="P19" s="180"/>
      <c r="Q19" s="739"/>
      <c r="R19" s="180"/>
      <c r="S19" s="180"/>
      <c r="T19" s="180"/>
      <c r="U19" s="180"/>
      <c r="V19" s="180"/>
      <c r="W19" s="180"/>
      <c r="X19" s="180"/>
      <c r="Y19" s="180"/>
      <c r="Z19" s="180"/>
      <c r="AA19" s="180"/>
    </row>
    <row r="20" spans="2:27" s="5" customFormat="1" ht="15.75" x14ac:dyDescent="0.25">
      <c r="B20" s="181"/>
      <c r="C20" s="195"/>
      <c r="D20" s="210" t="s">
        <v>542</v>
      </c>
      <c r="E20" s="540">
        <f t="shared" si="0"/>
        <v>0</v>
      </c>
      <c r="F20" s="207" t="s">
        <v>919</v>
      </c>
      <c r="G20" s="544"/>
      <c r="H20" s="692"/>
      <c r="I20" s="841">
        <v>0.02</v>
      </c>
      <c r="J20" s="148"/>
      <c r="K20" s="1273"/>
      <c r="L20" s="148"/>
      <c r="M20" s="977"/>
      <c r="N20" s="199"/>
      <c r="O20" s="182"/>
      <c r="P20" s="180"/>
      <c r="Q20" s="739"/>
      <c r="R20" s="180"/>
      <c r="S20" s="180"/>
      <c r="T20" s="180"/>
      <c r="U20" s="180"/>
      <c r="V20" s="180"/>
      <c r="W20" s="180"/>
      <c r="X20" s="180"/>
      <c r="Y20" s="180"/>
      <c r="Z20" s="180"/>
      <c r="AA20" s="180"/>
    </row>
    <row r="21" spans="2:27" s="5" customFormat="1" ht="9" customHeight="1" x14ac:dyDescent="0.25">
      <c r="B21" s="181"/>
      <c r="C21" s="211"/>
      <c r="D21" s="212"/>
      <c r="E21" s="213"/>
      <c r="F21" s="214"/>
      <c r="G21" s="215"/>
      <c r="H21" s="216"/>
      <c r="I21" s="771">
        <f>COUNTIF($I$18:$I$20,"&gt;.03")</f>
        <v>0</v>
      </c>
      <c r="J21" s="217"/>
      <c r="K21" s="218"/>
      <c r="L21" s="217"/>
      <c r="M21" s="219"/>
      <c r="N21" s="220"/>
      <c r="O21" s="182"/>
      <c r="P21" s="180"/>
      <c r="Q21" s="739"/>
      <c r="R21" s="180"/>
      <c r="S21" s="180"/>
      <c r="T21" s="180"/>
      <c r="U21" s="180"/>
      <c r="V21" s="180"/>
      <c r="W21" s="180"/>
      <c r="X21" s="180"/>
      <c r="Y21" s="180"/>
      <c r="Z21" s="180"/>
      <c r="AA21" s="180"/>
    </row>
    <row r="22" spans="2:27" s="5" customFormat="1" ht="10.15" customHeight="1" x14ac:dyDescent="0.25">
      <c r="B22" s="181"/>
      <c r="C22" s="183"/>
      <c r="D22" s="221"/>
      <c r="E22" s="222"/>
      <c r="F22" s="223"/>
      <c r="G22" s="224"/>
      <c r="H22" s="225"/>
      <c r="I22" s="226"/>
      <c r="J22" s="183"/>
      <c r="K22" s="227"/>
      <c r="L22" s="183"/>
      <c r="M22" s="228"/>
      <c r="N22" s="180"/>
      <c r="O22" s="182"/>
      <c r="P22" s="180"/>
      <c r="Q22" s="739"/>
      <c r="R22" s="180"/>
      <c r="S22" s="180"/>
      <c r="T22" s="180"/>
      <c r="U22" s="180"/>
      <c r="V22" s="180"/>
      <c r="W22" s="180"/>
      <c r="X22" s="180"/>
      <c r="Y22" s="180"/>
      <c r="Z22" s="180"/>
      <c r="AA22" s="180"/>
    </row>
    <row r="23" spans="2:27" s="5" customFormat="1" ht="9" customHeight="1" x14ac:dyDescent="0.25">
      <c r="B23" s="181"/>
      <c r="C23" s="189"/>
      <c r="D23" s="229"/>
      <c r="E23" s="230"/>
      <c r="F23" s="231"/>
      <c r="G23" s="232"/>
      <c r="H23" s="694"/>
      <c r="I23" s="233"/>
      <c r="J23" s="191"/>
      <c r="K23" s="234"/>
      <c r="L23" s="191"/>
      <c r="M23" s="235"/>
      <c r="N23" s="194"/>
      <c r="O23" s="182"/>
      <c r="P23" s="180"/>
      <c r="Q23" s="739"/>
      <c r="R23" s="180"/>
      <c r="S23" s="180"/>
      <c r="T23" s="180"/>
      <c r="U23" s="180"/>
      <c r="V23" s="180"/>
      <c r="W23" s="180"/>
      <c r="X23" s="180"/>
      <c r="Y23" s="180"/>
      <c r="Z23" s="180"/>
      <c r="AA23" s="180"/>
    </row>
    <row r="24" spans="2:27" s="5" customFormat="1" ht="12" customHeight="1" x14ac:dyDescent="0.25">
      <c r="B24" s="181"/>
      <c r="C24" s="195"/>
      <c r="D24" s="375"/>
      <c r="E24" s="236"/>
      <c r="F24" s="207"/>
      <c r="G24" s="255" t="s">
        <v>1211</v>
      </c>
      <c r="H24" s="692"/>
      <c r="I24" s="255" t="s">
        <v>910</v>
      </c>
      <c r="J24" s="41"/>
      <c r="K24" s="255" t="s">
        <v>891</v>
      </c>
      <c r="L24" s="148"/>
      <c r="M24" s="237"/>
      <c r="N24" s="199"/>
      <c r="O24" s="182"/>
      <c r="P24" s="180"/>
      <c r="Q24" s="739"/>
      <c r="R24" s="180"/>
      <c r="S24" s="180"/>
      <c r="T24" s="180"/>
      <c r="U24" s="180"/>
      <c r="V24" s="180"/>
      <c r="W24" s="180"/>
      <c r="X24" s="180"/>
      <c r="Y24" s="180"/>
      <c r="Z24" s="180"/>
      <c r="AA24" s="180"/>
    </row>
    <row r="25" spans="2:27" s="5" customFormat="1" ht="18.75" x14ac:dyDescent="0.25">
      <c r="B25" s="181"/>
      <c r="C25" s="195"/>
      <c r="D25" s="196" t="s">
        <v>539</v>
      </c>
      <c r="E25" s="236"/>
      <c r="F25" s="198"/>
      <c r="G25" s="429" t="s">
        <v>1221</v>
      </c>
      <c r="H25" s="692"/>
      <c r="I25" s="429" t="s">
        <v>1071</v>
      </c>
      <c r="J25" s="148"/>
      <c r="K25" s="430" t="str">
        <f>IF(I25="Credit Memo","Individual Customers",IF(I25="Check","Corp Check | AP number needed",""))</f>
        <v/>
      </c>
      <c r="L25" s="148"/>
      <c r="M25" s="237"/>
      <c r="N25" s="199"/>
      <c r="O25" s="182"/>
      <c r="P25" s="180"/>
      <c r="Q25" s="739"/>
      <c r="R25" s="180"/>
      <c r="S25" s="180"/>
      <c r="T25" s="180"/>
      <c r="U25" s="180"/>
      <c r="V25" s="180"/>
      <c r="W25" s="180"/>
      <c r="X25" s="180"/>
      <c r="Y25" s="180"/>
      <c r="Z25" s="180"/>
      <c r="AA25" s="180"/>
    </row>
    <row r="26" spans="2:27" s="5" customFormat="1" x14ac:dyDescent="0.25">
      <c r="B26" s="181"/>
      <c r="C26" s="195"/>
      <c r="D26" s="200" t="s">
        <v>543</v>
      </c>
      <c r="E26" s="70" t="s">
        <v>546</v>
      </c>
      <c r="F26" s="238"/>
      <c r="G26" s="692"/>
      <c r="H26" s="692"/>
      <c r="I26" s="239"/>
      <c r="J26" s="148"/>
      <c r="K26" s="148"/>
      <c r="L26" s="148"/>
      <c r="M26" s="148"/>
      <c r="N26" s="199"/>
      <c r="O26" s="182"/>
      <c r="P26" s="180"/>
      <c r="Q26" s="739" t="str">
        <f>IF($E26="NO","",IF($I25="Select Payment Method","X",""))</f>
        <v/>
      </c>
      <c r="R26" s="180"/>
      <c r="S26" s="180"/>
      <c r="T26" s="180"/>
      <c r="U26" s="180"/>
      <c r="V26" s="180"/>
      <c r="W26" s="180"/>
      <c r="X26" s="180"/>
      <c r="Y26" s="180"/>
      <c r="Z26" s="180"/>
      <c r="AA26" s="180"/>
    </row>
    <row r="27" spans="2:27" s="5" customFormat="1" ht="15.75" x14ac:dyDescent="0.25">
      <c r="B27" s="181"/>
      <c r="C27" s="195"/>
      <c r="D27" s="197"/>
      <c r="E27" s="148"/>
      <c r="F27" s="202"/>
      <c r="G27" s="203" t="s">
        <v>742</v>
      </c>
      <c r="H27" s="692"/>
      <c r="I27" s="204" t="s">
        <v>548</v>
      </c>
      <c r="J27" s="148"/>
      <c r="K27" s="205"/>
      <c r="L27" s="148"/>
      <c r="M27" s="197"/>
      <c r="N27" s="199"/>
      <c r="O27" s="182"/>
      <c r="P27" s="180"/>
      <c r="Q27" s="739"/>
      <c r="R27" s="180"/>
      <c r="S27" s="180"/>
      <c r="T27" s="180"/>
      <c r="U27" s="180"/>
      <c r="V27" s="180"/>
      <c r="W27" s="180"/>
      <c r="X27" s="180"/>
      <c r="Y27" s="180"/>
      <c r="Z27" s="180"/>
      <c r="AA27" s="180"/>
    </row>
    <row r="28" spans="2:27" s="5" customFormat="1" ht="15.75" x14ac:dyDescent="0.25">
      <c r="B28" s="181"/>
      <c r="C28" s="195"/>
      <c r="D28" s="206" t="s">
        <v>536</v>
      </c>
      <c r="E28" s="197"/>
      <c r="F28" s="207" t="s">
        <v>741</v>
      </c>
      <c r="G28" s="240">
        <f>IFERROR($G$5/($G$6*52*Welcome!$D$14),0)</f>
        <v>0</v>
      </c>
      <c r="H28" s="692"/>
      <c r="I28" s="840">
        <v>0</v>
      </c>
      <c r="J28" s="148"/>
      <c r="K28" s="208"/>
      <c r="L28" s="148"/>
      <c r="M28" s="6" t="s">
        <v>500</v>
      </c>
      <c r="N28" s="199"/>
      <c r="O28" s="182"/>
      <c r="P28" s="180"/>
      <c r="Q28" s="739"/>
      <c r="R28" s="180"/>
      <c r="S28" s="180"/>
      <c r="T28" s="180"/>
      <c r="U28" s="180"/>
      <c r="V28" s="180"/>
      <c r="W28" s="180"/>
      <c r="X28" s="180"/>
      <c r="Y28" s="180"/>
      <c r="Z28" s="180"/>
      <c r="AA28" s="180"/>
    </row>
    <row r="29" spans="2:27" s="5" customFormat="1" ht="15.75" x14ac:dyDescent="0.25">
      <c r="B29" s="181"/>
      <c r="C29" s="195"/>
      <c r="D29" s="210" t="s">
        <v>540</v>
      </c>
      <c r="E29" s="540">
        <f>IF(G29="",0,(G29-$G$28)/$G$28)</f>
        <v>0</v>
      </c>
      <c r="F29" s="207" t="s">
        <v>514</v>
      </c>
      <c r="G29" s="544"/>
      <c r="H29" s="692"/>
      <c r="I29" s="841">
        <v>0.01</v>
      </c>
      <c r="J29" s="1292" t="str">
        <f>IF($E$26="YES","**Tier 1 used for modeling purposes**","")</f>
        <v/>
      </c>
      <c r="K29" s="1293"/>
      <c r="L29" s="1294"/>
      <c r="M29" s="209" t="str">
        <f>IF($E$26="YES",$H$10*I29,"")</f>
        <v/>
      </c>
      <c r="N29" s="199"/>
      <c r="O29" s="182"/>
      <c r="P29" s="180"/>
      <c r="Q29" s="739"/>
      <c r="R29" s="180"/>
      <c r="S29" s="180"/>
      <c r="T29" s="180"/>
      <c r="U29" s="180"/>
      <c r="V29" s="180"/>
      <c r="W29" s="180"/>
      <c r="X29" s="180"/>
      <c r="Y29" s="180"/>
      <c r="Z29" s="180"/>
      <c r="AA29" s="180"/>
    </row>
    <row r="30" spans="2:27" s="5" customFormat="1" ht="15.6" customHeight="1" x14ac:dyDescent="0.25">
      <c r="B30" s="181"/>
      <c r="C30" s="195"/>
      <c r="D30" s="210" t="s">
        <v>541</v>
      </c>
      <c r="E30" s="540">
        <f>IF(G30="",0,(G30-$G$28)/$G$28)</f>
        <v>0</v>
      </c>
      <c r="F30" s="207" t="s">
        <v>515</v>
      </c>
      <c r="G30" s="544"/>
      <c r="H30" s="692"/>
      <c r="I30" s="841">
        <v>1.4999999999999999E-2</v>
      </c>
      <c r="J30" s="148"/>
      <c r="K30" s="1273" t="str">
        <f>IF($I$32&gt;0,"**Warning: You have entered an incentive payout above the recommended 3%**","")</f>
        <v/>
      </c>
      <c r="L30" s="148"/>
      <c r="M30" s="977"/>
      <c r="N30" s="199"/>
      <c r="O30" s="182"/>
      <c r="P30" s="180"/>
      <c r="Q30" s="739"/>
      <c r="R30" s="180"/>
      <c r="S30" s="180"/>
      <c r="T30" s="180"/>
      <c r="U30" s="180"/>
      <c r="V30" s="180"/>
      <c r="W30" s="180"/>
      <c r="X30" s="180"/>
      <c r="Y30" s="180"/>
      <c r="Z30" s="180"/>
      <c r="AA30" s="180"/>
    </row>
    <row r="31" spans="2:27" ht="15.75" x14ac:dyDescent="0.25">
      <c r="B31" s="140"/>
      <c r="C31" s="241"/>
      <c r="D31" s="210" t="s">
        <v>542</v>
      </c>
      <c r="E31" s="540">
        <f>IF(G31="",0,(G31-$G$28)/$G$28)</f>
        <v>0</v>
      </c>
      <c r="F31" s="207" t="s">
        <v>516</v>
      </c>
      <c r="G31" s="544"/>
      <c r="H31" s="692"/>
      <c r="I31" s="841">
        <v>0.02</v>
      </c>
      <c r="J31" s="41"/>
      <c r="K31" s="1273"/>
      <c r="L31" s="41"/>
      <c r="M31" s="977"/>
      <c r="N31" s="242"/>
      <c r="O31" s="141"/>
      <c r="P31" s="137"/>
      <c r="Q31" s="740"/>
      <c r="R31" s="137"/>
      <c r="S31" s="137"/>
      <c r="T31" s="137"/>
      <c r="U31" s="137"/>
      <c r="V31" s="137"/>
      <c r="W31" s="137"/>
      <c r="X31" s="137"/>
      <c r="Y31" s="137"/>
      <c r="Z31" s="137"/>
      <c r="AA31" s="137"/>
    </row>
    <row r="32" spans="2:27" ht="9" customHeight="1" x14ac:dyDescent="0.25">
      <c r="B32" s="140"/>
      <c r="C32" s="243"/>
      <c r="D32" s="212"/>
      <c r="E32" s="213"/>
      <c r="F32" s="214"/>
      <c r="G32" s="244"/>
      <c r="H32" s="216"/>
      <c r="I32" s="771">
        <f>COUNTIF($I$29:$I$31,"&gt;.03")</f>
        <v>0</v>
      </c>
      <c r="J32" s="245"/>
      <c r="K32" s="218"/>
      <c r="L32" s="245"/>
      <c r="M32" s="219"/>
      <c r="N32" s="246"/>
      <c r="O32" s="141"/>
      <c r="P32" s="137"/>
      <c r="Q32" s="740"/>
      <c r="R32" s="137"/>
      <c r="S32" s="137"/>
      <c r="T32" s="137"/>
      <c r="U32" s="137"/>
      <c r="V32" s="137"/>
      <c r="W32" s="137"/>
      <c r="X32" s="137"/>
      <c r="Y32" s="137"/>
      <c r="Z32" s="137"/>
      <c r="AA32" s="137"/>
    </row>
    <row r="33" spans="2:27" ht="10.15" customHeight="1" x14ac:dyDescent="0.25">
      <c r="B33" s="140"/>
      <c r="C33" s="137"/>
      <c r="D33" s="221"/>
      <c r="E33" s="222"/>
      <c r="F33" s="223"/>
      <c r="G33" s="247"/>
      <c r="H33" s="225"/>
      <c r="I33" s="226"/>
      <c r="J33" s="137"/>
      <c r="K33" s="227"/>
      <c r="L33" s="137"/>
      <c r="M33" s="228"/>
      <c r="N33" s="144"/>
      <c r="O33" s="141"/>
      <c r="P33" s="137"/>
      <c r="Q33" s="740"/>
      <c r="R33" s="137"/>
      <c r="S33" s="137"/>
      <c r="T33" s="137"/>
      <c r="U33" s="137"/>
      <c r="V33" s="137"/>
      <c r="W33" s="137"/>
      <c r="X33" s="137"/>
      <c r="Y33" s="137"/>
      <c r="Z33" s="137"/>
      <c r="AA33" s="137"/>
    </row>
    <row r="34" spans="2:27" ht="9" customHeight="1" x14ac:dyDescent="0.25">
      <c r="B34" s="140"/>
      <c r="C34" s="248"/>
      <c r="D34" s="249"/>
      <c r="E34" s="230"/>
      <c r="F34" s="231"/>
      <c r="G34" s="250"/>
      <c r="H34" s="694"/>
      <c r="I34" s="233"/>
      <c r="J34" s="251"/>
      <c r="K34" s="234"/>
      <c r="L34" s="251"/>
      <c r="M34" s="235"/>
      <c r="N34" s="252"/>
      <c r="O34" s="141"/>
      <c r="P34" s="137"/>
      <c r="Q34" s="740"/>
      <c r="R34" s="137"/>
      <c r="S34" s="137"/>
      <c r="T34" s="137"/>
      <c r="U34" s="137"/>
      <c r="V34" s="137"/>
      <c r="W34" s="137"/>
      <c r="X34" s="137"/>
      <c r="Y34" s="137"/>
      <c r="Z34" s="137"/>
      <c r="AA34" s="137"/>
    </row>
    <row r="35" spans="2:27" ht="12" customHeight="1" x14ac:dyDescent="0.25">
      <c r="B35" s="140"/>
      <c r="C35" s="241"/>
      <c r="D35" s="374"/>
      <c r="E35" s="236"/>
      <c r="F35" s="207"/>
      <c r="G35" s="255" t="s">
        <v>1211</v>
      </c>
      <c r="H35" s="692"/>
      <c r="I35" s="255" t="s">
        <v>910</v>
      </c>
      <c r="J35" s="41"/>
      <c r="K35" s="255" t="s">
        <v>891</v>
      </c>
      <c r="L35" s="41"/>
      <c r="M35" s="237"/>
      <c r="N35" s="242"/>
      <c r="O35" s="141"/>
      <c r="P35" s="137"/>
      <c r="Q35" s="740"/>
      <c r="R35" s="137"/>
      <c r="S35" s="137"/>
      <c r="T35" s="137"/>
      <c r="U35" s="137"/>
      <c r="V35" s="137"/>
      <c r="W35" s="137"/>
      <c r="X35" s="137"/>
      <c r="Y35" s="137"/>
      <c r="Z35" s="137"/>
      <c r="AA35" s="137"/>
    </row>
    <row r="36" spans="2:27" ht="18.75" x14ac:dyDescent="0.25">
      <c r="B36" s="140"/>
      <c r="C36" s="241"/>
      <c r="D36" s="253" t="s">
        <v>545</v>
      </c>
      <c r="E36" s="236"/>
      <c r="F36" s="41"/>
      <c r="G36" s="429" t="s">
        <v>1221</v>
      </c>
      <c r="H36" s="692"/>
      <c r="I36" s="429" t="s">
        <v>1071</v>
      </c>
      <c r="J36" s="148"/>
      <c r="K36" s="430" t="str">
        <f>IF(I36="Credit Memo","Individual Customers",IF(I36="Check","Corp Check | AP number needed",""))</f>
        <v/>
      </c>
      <c r="L36" s="41"/>
      <c r="M36" s="237"/>
      <c r="N36" s="242"/>
      <c r="O36" s="141"/>
      <c r="P36" s="137"/>
      <c r="Q36" s="740"/>
      <c r="R36" s="137"/>
      <c r="S36" s="137"/>
      <c r="T36" s="137"/>
      <c r="U36" s="137"/>
      <c r="V36" s="137"/>
      <c r="W36" s="137"/>
      <c r="X36" s="137"/>
      <c r="Y36" s="137"/>
      <c r="Z36" s="137"/>
      <c r="AA36" s="137"/>
    </row>
    <row r="37" spans="2:27" ht="15" customHeight="1" x14ac:dyDescent="0.25">
      <c r="B37" s="140"/>
      <c r="C37" s="241"/>
      <c r="D37" s="200" t="s">
        <v>543</v>
      </c>
      <c r="E37" s="70" t="s">
        <v>546</v>
      </c>
      <c r="F37" s="41"/>
      <c r="G37" s="41"/>
      <c r="H37" s="41"/>
      <c r="I37" s="254"/>
      <c r="J37" s="41"/>
      <c r="K37" s="41"/>
      <c r="L37" s="41"/>
      <c r="M37" s="41"/>
      <c r="N37" s="242"/>
      <c r="O37" s="141"/>
      <c r="P37" s="137"/>
      <c r="Q37" s="739" t="str">
        <f>IF($E37="NO","",IF($I36="Select Payment Method","X",""))</f>
        <v/>
      </c>
      <c r="R37" s="137"/>
      <c r="S37" s="137"/>
      <c r="T37" s="137"/>
      <c r="U37" s="137"/>
      <c r="V37" s="137"/>
      <c r="W37" s="137"/>
      <c r="X37" s="137"/>
      <c r="Y37" s="137"/>
      <c r="Z37" s="137"/>
      <c r="AA37" s="137"/>
    </row>
    <row r="38" spans="2:27" ht="15" customHeight="1" x14ac:dyDescent="0.25">
      <c r="B38" s="140"/>
      <c r="C38" s="241"/>
      <c r="D38" s="743"/>
      <c r="E38" s="744"/>
      <c r="F38" s="41"/>
      <c r="G38" s="203" t="s">
        <v>1072</v>
      </c>
      <c r="H38" s="41"/>
      <c r="I38" s="204" t="s">
        <v>549</v>
      </c>
      <c r="J38" s="41"/>
      <c r="K38" s="41"/>
      <c r="L38" s="41"/>
      <c r="M38" s="41"/>
      <c r="N38" s="242"/>
      <c r="O38" s="141"/>
      <c r="P38" s="137"/>
      <c r="Q38" s="739"/>
      <c r="R38" s="137"/>
      <c r="S38" s="137"/>
      <c r="T38" s="137"/>
      <c r="U38" s="137"/>
      <c r="V38" s="137"/>
      <c r="W38" s="137"/>
      <c r="X38" s="137"/>
      <c r="Y38" s="137"/>
      <c r="Z38" s="137"/>
      <c r="AA38" s="137"/>
    </row>
    <row r="39" spans="2:27" ht="15.75" x14ac:dyDescent="0.25">
      <c r="B39" s="140"/>
      <c r="C39" s="241"/>
      <c r="D39" s="41"/>
      <c r="E39" s="41"/>
      <c r="F39" s="207" t="s">
        <v>744</v>
      </c>
      <c r="G39" s="71">
        <f>IFERROR('EB_CM (Back)'!$B$7,"")</f>
        <v>0</v>
      </c>
      <c r="H39" s="197"/>
      <c r="I39" s="840">
        <v>0</v>
      </c>
      <c r="J39" s="205"/>
      <c r="K39" s="41"/>
      <c r="L39" s="197"/>
      <c r="M39" s="6" t="s">
        <v>500</v>
      </c>
      <c r="N39" s="242"/>
      <c r="O39" s="141"/>
      <c r="P39" s="137"/>
      <c r="Q39" s="740"/>
      <c r="R39" s="137"/>
      <c r="S39" s="137"/>
      <c r="T39" s="137"/>
      <c r="U39" s="137"/>
      <c r="V39" s="137"/>
      <c r="W39" s="137"/>
      <c r="X39" s="137"/>
      <c r="Y39" s="137"/>
      <c r="Z39" s="137"/>
      <c r="AA39" s="137"/>
    </row>
    <row r="40" spans="2:27" ht="16.899999999999999" customHeight="1" x14ac:dyDescent="0.25">
      <c r="B40" s="140"/>
      <c r="C40" s="241"/>
      <c r="D40" s="377"/>
      <c r="E40" s="541"/>
      <c r="F40" s="207" t="s">
        <v>514</v>
      </c>
      <c r="G40" s="42"/>
      <c r="H40" s="197"/>
      <c r="I40" s="841">
        <v>0.01</v>
      </c>
      <c r="J40" s="1292" t="str">
        <f>IF($E$37="YES","**Tier 1 payout used for modeling purposes**","")</f>
        <v/>
      </c>
      <c r="K40" s="1293"/>
      <c r="L40" s="1294"/>
      <c r="M40" s="209">
        <f>IFERROR(IF($E$37="YES",IF($G$39&gt;$G$40,$H$10*$I$40*$G$39,$H$10*$I$40*$G$40),0),0)</f>
        <v>0</v>
      </c>
      <c r="N40" s="242"/>
      <c r="O40" s="141"/>
      <c r="P40" s="137"/>
      <c r="Q40" s="740"/>
      <c r="R40" s="137"/>
      <c r="S40" s="137"/>
      <c r="T40" s="137"/>
      <c r="U40" s="137"/>
      <c r="V40" s="137"/>
      <c r="W40" s="137"/>
      <c r="X40" s="137"/>
      <c r="Y40" s="137"/>
      <c r="Z40" s="137"/>
      <c r="AA40" s="137"/>
    </row>
    <row r="41" spans="2:27" ht="16.899999999999999" customHeight="1" x14ac:dyDescent="0.25">
      <c r="B41" s="140"/>
      <c r="C41" s="241"/>
      <c r="D41" s="377"/>
      <c r="E41" s="541"/>
      <c r="F41" s="207" t="s">
        <v>515</v>
      </c>
      <c r="G41" s="42"/>
      <c r="H41" s="197"/>
      <c r="I41" s="841">
        <v>1.4999999999999999E-2</v>
      </c>
      <c r="J41" s="256"/>
      <c r="K41" s="41"/>
      <c r="L41" s="197"/>
      <c r="M41" s="977"/>
      <c r="N41" s="242"/>
      <c r="O41" s="141"/>
      <c r="P41" s="137"/>
      <c r="Q41" s="740"/>
      <c r="R41" s="137"/>
      <c r="S41" s="137"/>
      <c r="T41" s="137"/>
      <c r="U41" s="137"/>
      <c r="V41" s="137"/>
      <c r="W41" s="137"/>
      <c r="X41" s="137"/>
      <c r="Y41" s="137"/>
      <c r="Z41" s="137"/>
      <c r="AA41" s="137"/>
    </row>
    <row r="42" spans="2:27" ht="16.899999999999999" customHeight="1" x14ac:dyDescent="0.25">
      <c r="B42" s="140"/>
      <c r="C42" s="241"/>
      <c r="D42" s="377"/>
      <c r="E42" s="541"/>
      <c r="F42" s="207" t="s">
        <v>516</v>
      </c>
      <c r="G42" s="42"/>
      <c r="H42" s="197"/>
      <c r="I42" s="841">
        <v>0.02</v>
      </c>
      <c r="J42" s="256"/>
      <c r="K42" s="41"/>
      <c r="L42" s="197"/>
      <c r="M42" s="977"/>
      <c r="N42" s="242"/>
      <c r="O42" s="141"/>
      <c r="P42" s="137"/>
      <c r="Q42" s="740"/>
      <c r="R42" s="137"/>
      <c r="S42" s="137"/>
      <c r="T42" s="137"/>
      <c r="U42" s="137"/>
      <c r="V42" s="137"/>
      <c r="W42" s="137"/>
      <c r="X42" s="137"/>
      <c r="Y42" s="137"/>
      <c r="Z42" s="137"/>
      <c r="AA42" s="137"/>
    </row>
    <row r="43" spans="2:27" ht="9" customHeight="1" x14ac:dyDescent="0.25">
      <c r="B43" s="140"/>
      <c r="C43" s="243"/>
      <c r="D43" s="245"/>
      <c r="E43" s="245"/>
      <c r="F43" s="217"/>
      <c r="G43" s="257"/>
      <c r="H43" s="258"/>
      <c r="I43" s="259"/>
      <c r="J43" s="218"/>
      <c r="K43" s="219"/>
      <c r="L43" s="258"/>
      <c r="M43" s="219"/>
      <c r="N43" s="246"/>
      <c r="O43" s="141"/>
      <c r="P43" s="137"/>
      <c r="Q43" s="740"/>
      <c r="R43" s="137"/>
      <c r="S43" s="137"/>
      <c r="T43" s="137"/>
      <c r="U43" s="137"/>
      <c r="V43" s="137"/>
      <c r="W43" s="137"/>
      <c r="X43" s="137"/>
      <c r="Y43" s="137"/>
      <c r="Z43" s="137"/>
      <c r="AA43" s="137"/>
    </row>
    <row r="44" spans="2:27" ht="10.15" customHeight="1" x14ac:dyDescent="0.25">
      <c r="B44" s="140"/>
      <c r="C44" s="137"/>
      <c r="D44" s="137"/>
      <c r="E44" s="137"/>
      <c r="F44" s="183"/>
      <c r="G44" s="260"/>
      <c r="H44" s="180"/>
      <c r="I44" s="261"/>
      <c r="J44" s="227"/>
      <c r="K44" s="228"/>
      <c r="L44" s="180"/>
      <c r="M44" s="228"/>
      <c r="N44" s="144"/>
      <c r="O44" s="141"/>
      <c r="P44" s="137"/>
      <c r="Q44" s="740"/>
      <c r="R44" s="137"/>
      <c r="S44" s="137"/>
      <c r="T44" s="137"/>
      <c r="U44" s="137"/>
      <c r="V44" s="137"/>
      <c r="W44" s="137"/>
      <c r="X44" s="137"/>
      <c r="Y44" s="137"/>
      <c r="Z44" s="137"/>
      <c r="AA44" s="137"/>
    </row>
    <row r="45" spans="2:27" s="848" customFormat="1" ht="9" customHeight="1" x14ac:dyDescent="0.25">
      <c r="B45" s="140"/>
      <c r="C45" s="248"/>
      <c r="D45" s="251"/>
      <c r="E45" s="251"/>
      <c r="F45" s="191"/>
      <c r="G45" s="262"/>
      <c r="H45" s="190"/>
      <c r="I45" s="263"/>
      <c r="J45" s="234"/>
      <c r="K45" s="235"/>
      <c r="L45" s="190"/>
      <c r="M45" s="235"/>
      <c r="N45" s="252"/>
      <c r="O45" s="141"/>
      <c r="P45" s="137"/>
      <c r="Q45" s="740"/>
      <c r="R45" s="137"/>
      <c r="S45" s="137"/>
      <c r="T45" s="137"/>
      <c r="U45" s="137"/>
      <c r="V45" s="137"/>
      <c r="W45" s="137"/>
      <c r="X45" s="137"/>
      <c r="Y45" s="137"/>
      <c r="Z45" s="137"/>
      <c r="AA45" s="137"/>
    </row>
    <row r="46" spans="2:27" s="848" customFormat="1" ht="11.45" customHeight="1" x14ac:dyDescent="0.25">
      <c r="B46" s="140"/>
      <c r="C46" s="241"/>
      <c r="D46" s="41"/>
      <c r="E46" s="41"/>
      <c r="F46" s="148"/>
      <c r="G46" s="255" t="s">
        <v>1211</v>
      </c>
      <c r="H46" s="197"/>
      <c r="I46" s="255" t="s">
        <v>910</v>
      </c>
      <c r="J46" s="41"/>
      <c r="K46" s="255" t="s">
        <v>891</v>
      </c>
      <c r="L46" s="197"/>
      <c r="M46" s="237"/>
      <c r="N46" s="242"/>
      <c r="O46" s="141"/>
      <c r="P46" s="137"/>
      <c r="Q46" s="740"/>
      <c r="R46" s="137"/>
      <c r="S46" s="137"/>
      <c r="T46" s="137"/>
      <c r="U46" s="137"/>
      <c r="V46" s="137"/>
      <c r="W46" s="137"/>
      <c r="X46" s="137"/>
      <c r="Y46" s="137"/>
      <c r="Z46" s="137"/>
      <c r="AA46" s="137"/>
    </row>
    <row r="47" spans="2:27" s="848" customFormat="1" ht="18.75" x14ac:dyDescent="0.25">
      <c r="B47" s="140"/>
      <c r="C47" s="241"/>
      <c r="D47" s="253" t="s">
        <v>1212</v>
      </c>
      <c r="E47" s="41"/>
      <c r="F47" s="148"/>
      <c r="G47" s="429" t="s">
        <v>1221</v>
      </c>
      <c r="H47" s="197"/>
      <c r="I47" s="429" t="s">
        <v>1071</v>
      </c>
      <c r="J47" s="148"/>
      <c r="K47" s="430" t="str">
        <f>IF(I47="Credit Memo","Individual Customers",IF(I47="Check","Corp Check | AP number needed",""))</f>
        <v/>
      </c>
      <c r="L47" s="197"/>
      <c r="M47" s="237"/>
      <c r="N47" s="242"/>
      <c r="O47" s="141"/>
      <c r="P47" s="137"/>
      <c r="Q47" s="740"/>
      <c r="R47" s="422"/>
      <c r="S47" s="137"/>
      <c r="T47" s="137"/>
      <c r="U47" s="137"/>
      <c r="V47" s="137"/>
      <c r="W47" s="137"/>
      <c r="X47" s="137"/>
      <c r="Y47" s="137"/>
      <c r="Z47" s="137"/>
      <c r="AA47" s="137"/>
    </row>
    <row r="48" spans="2:27" s="848" customFormat="1" x14ac:dyDescent="0.25">
      <c r="B48" s="140"/>
      <c r="C48" s="241"/>
      <c r="D48" s="200" t="s">
        <v>543</v>
      </c>
      <c r="E48" s="70" t="s">
        <v>546</v>
      </c>
      <c r="F48" s="148"/>
      <c r="G48" s="264"/>
      <c r="H48" s="197"/>
      <c r="I48" s="265"/>
      <c r="J48" s="208"/>
      <c r="K48" s="237"/>
      <c r="L48" s="197"/>
      <c r="M48" s="237"/>
      <c r="N48" s="242"/>
      <c r="O48" s="141"/>
      <c r="P48" s="137"/>
      <c r="Q48" s="739" t="str">
        <f>IF($E48="NO","",IF($I47="Select Payment Method","X",""))</f>
        <v/>
      </c>
      <c r="R48" s="137"/>
      <c r="S48" s="137"/>
      <c r="T48" s="137"/>
      <c r="U48" s="137"/>
      <c r="V48" s="137"/>
      <c r="W48" s="137"/>
      <c r="X48" s="137"/>
      <c r="Y48" s="137"/>
      <c r="Z48" s="137"/>
      <c r="AA48" s="137"/>
    </row>
    <row r="49" spans="2:27" s="848" customFormat="1" ht="15.75" x14ac:dyDescent="0.25">
      <c r="B49" s="140"/>
      <c r="C49" s="241"/>
      <c r="D49" s="41"/>
      <c r="E49" s="41"/>
      <c r="F49" s="266"/>
      <c r="G49" s="255" t="s">
        <v>1213</v>
      </c>
      <c r="H49" s="197"/>
      <c r="I49" s="255" t="s">
        <v>1214</v>
      </c>
      <c r="J49" s="205"/>
      <c r="K49" s="237"/>
      <c r="L49" s="197"/>
      <c r="M49" s="6" t="s">
        <v>500</v>
      </c>
      <c r="N49" s="242"/>
      <c r="O49" s="141"/>
      <c r="P49" s="137"/>
      <c r="Q49" s="740"/>
      <c r="R49" s="137"/>
      <c r="S49" s="137"/>
      <c r="T49" s="137"/>
      <c r="U49" s="137"/>
      <c r="V49" s="137"/>
      <c r="W49" s="137"/>
      <c r="X49" s="137"/>
      <c r="Y49" s="137"/>
      <c r="Z49" s="137"/>
      <c r="AA49" s="137"/>
    </row>
    <row r="50" spans="2:27" s="848" customFormat="1" ht="16.899999999999999" customHeight="1" x14ac:dyDescent="0.25">
      <c r="B50" s="140"/>
      <c r="C50" s="241"/>
      <c r="D50" s="377"/>
      <c r="E50" s="541"/>
      <c r="F50" s="207"/>
      <c r="G50" s="851">
        <v>0</v>
      </c>
      <c r="H50" s="197"/>
      <c r="I50" s="843">
        <v>0</v>
      </c>
      <c r="J50" s="256"/>
      <c r="K50" s="237"/>
      <c r="L50" s="197"/>
      <c r="M50" s="209">
        <f>IF(E48="NO",0,IF(((H10-(G50*52))*I50)&lt;0,0,((H10-(G50*52))*I50)))</f>
        <v>0</v>
      </c>
      <c r="N50" s="242"/>
      <c r="O50" s="141"/>
      <c r="Q50" s="741"/>
    </row>
    <row r="51" spans="2:27" s="848" customFormat="1" ht="24.75" customHeight="1" x14ac:dyDescent="0.25">
      <c r="B51" s="140"/>
      <c r="C51" s="243"/>
      <c r="D51" s="245"/>
      <c r="E51" s="245"/>
      <c r="F51" s="245"/>
      <c r="G51" s="850"/>
      <c r="H51" s="245"/>
      <c r="I51" s="267"/>
      <c r="J51" s="245"/>
      <c r="K51" s="245"/>
      <c r="L51" s="245"/>
      <c r="M51" s="245"/>
      <c r="N51" s="246"/>
      <c r="O51" s="141"/>
      <c r="Q51" s="741"/>
    </row>
    <row r="52" spans="2:27" s="848" customFormat="1" ht="10.15" customHeight="1" x14ac:dyDescent="0.25">
      <c r="B52" s="140"/>
      <c r="C52" s="137"/>
      <c r="D52" s="137"/>
      <c r="E52" s="137"/>
      <c r="F52" s="183"/>
      <c r="G52" s="260"/>
      <c r="H52" s="180"/>
      <c r="I52" s="261"/>
      <c r="J52" s="227"/>
      <c r="K52" s="228"/>
      <c r="L52" s="180"/>
      <c r="M52" s="228"/>
      <c r="N52" s="144"/>
      <c r="O52" s="141"/>
      <c r="P52" s="137"/>
      <c r="Q52" s="740"/>
      <c r="R52" s="137"/>
      <c r="S52" s="137"/>
      <c r="T52" s="137"/>
      <c r="U52" s="137"/>
      <c r="V52" s="137"/>
      <c r="W52" s="137"/>
      <c r="X52" s="137"/>
      <c r="Y52" s="137"/>
      <c r="Z52" s="137"/>
      <c r="AA52" s="137"/>
    </row>
    <row r="53" spans="2:27" ht="9" customHeight="1" x14ac:dyDescent="0.25">
      <c r="B53" s="140"/>
      <c r="C53" s="248"/>
      <c r="D53" s="251"/>
      <c r="E53" s="251"/>
      <c r="F53" s="191"/>
      <c r="G53" s="262"/>
      <c r="H53" s="190"/>
      <c r="I53" s="263"/>
      <c r="J53" s="234"/>
      <c r="K53" s="235"/>
      <c r="L53" s="190"/>
      <c r="M53" s="235"/>
      <c r="N53" s="252"/>
      <c r="O53" s="141"/>
      <c r="P53" s="137"/>
      <c r="Q53" s="740"/>
      <c r="R53" s="137"/>
      <c r="S53" s="137"/>
      <c r="T53" s="137"/>
      <c r="U53" s="137"/>
      <c r="V53" s="137"/>
      <c r="W53" s="137"/>
      <c r="X53" s="137"/>
      <c r="Y53" s="137"/>
      <c r="Z53" s="137"/>
      <c r="AA53" s="137"/>
    </row>
    <row r="54" spans="2:27" ht="11.45" customHeight="1" x14ac:dyDescent="0.25">
      <c r="B54" s="140"/>
      <c r="C54" s="241"/>
      <c r="D54" s="41"/>
      <c r="E54" s="41"/>
      <c r="F54" s="148"/>
      <c r="G54" s="255" t="s">
        <v>1211</v>
      </c>
      <c r="H54" s="197"/>
      <c r="I54" s="255" t="s">
        <v>910</v>
      </c>
      <c r="J54" s="41"/>
      <c r="K54" s="255" t="s">
        <v>891</v>
      </c>
      <c r="L54" s="197"/>
      <c r="M54" s="237"/>
      <c r="N54" s="242"/>
      <c r="O54" s="141"/>
      <c r="P54" s="137"/>
      <c r="Q54" s="740"/>
      <c r="R54" s="137"/>
      <c r="S54" s="137"/>
      <c r="T54" s="137"/>
      <c r="U54" s="137"/>
      <c r="V54" s="137"/>
      <c r="W54" s="137"/>
      <c r="X54" s="137"/>
      <c r="Y54" s="137"/>
      <c r="Z54" s="137"/>
      <c r="AA54" s="137"/>
    </row>
    <row r="55" spans="2:27" ht="18.75" x14ac:dyDescent="0.25">
      <c r="B55" s="140"/>
      <c r="C55" s="241"/>
      <c r="D55" s="253" t="s">
        <v>743</v>
      </c>
      <c r="E55" s="41"/>
      <c r="F55" s="148"/>
      <c r="G55" s="429" t="s">
        <v>1221</v>
      </c>
      <c r="H55" s="197"/>
      <c r="I55" s="429" t="s">
        <v>1071</v>
      </c>
      <c r="J55" s="148"/>
      <c r="K55" s="430" t="str">
        <f>IF(I55="Credit Memo","Individual Customers",IF(I55="Check","Corp Check | AP number needed",""))</f>
        <v/>
      </c>
      <c r="L55" s="197"/>
      <c r="M55" s="237"/>
      <c r="N55" s="242"/>
      <c r="O55" s="141"/>
      <c r="P55" s="137"/>
      <c r="Q55" s="740"/>
      <c r="R55" s="422"/>
      <c r="S55" s="137"/>
      <c r="T55" s="137"/>
      <c r="U55" s="137"/>
      <c r="V55" s="137"/>
      <c r="W55" s="137"/>
      <c r="X55" s="137"/>
      <c r="Y55" s="137"/>
      <c r="Z55" s="137"/>
      <c r="AA55" s="137"/>
    </row>
    <row r="56" spans="2:27" x14ac:dyDescent="0.25">
      <c r="B56" s="140"/>
      <c r="C56" s="241"/>
      <c r="D56" s="200" t="s">
        <v>543</v>
      </c>
      <c r="E56" s="70" t="s">
        <v>546</v>
      </c>
      <c r="F56" s="148"/>
      <c r="G56" s="264"/>
      <c r="H56" s="197"/>
      <c r="I56" s="265"/>
      <c r="J56" s="208"/>
      <c r="K56" s="237"/>
      <c r="L56" s="197"/>
      <c r="M56" s="237"/>
      <c r="N56" s="242"/>
      <c r="O56" s="141"/>
      <c r="P56" s="137"/>
      <c r="Q56" s="739" t="str">
        <f>IF($E56="NO","",IF($I55="Select Payment Method","X",""))</f>
        <v/>
      </c>
      <c r="R56" s="137"/>
      <c r="S56" s="137"/>
      <c r="T56" s="137"/>
      <c r="U56" s="137"/>
      <c r="V56" s="137"/>
      <c r="W56" s="137"/>
      <c r="X56" s="137"/>
      <c r="Y56" s="137"/>
      <c r="Z56" s="137"/>
      <c r="AA56" s="137"/>
    </row>
    <row r="57" spans="2:27" ht="15.75" x14ac:dyDescent="0.25">
      <c r="B57" s="140"/>
      <c r="C57" s="241"/>
      <c r="D57" s="41"/>
      <c r="E57" s="41"/>
      <c r="F57" s="266"/>
      <c r="G57" s="6" t="s">
        <v>1286</v>
      </c>
      <c r="H57" s="197"/>
      <c r="I57" s="518"/>
      <c r="J57" s="205"/>
      <c r="K57" s="255" t="s">
        <v>549</v>
      </c>
      <c r="L57" s="197"/>
      <c r="M57" s="6" t="s">
        <v>500</v>
      </c>
      <c r="N57" s="242"/>
      <c r="O57" s="141"/>
      <c r="P57" s="137"/>
      <c r="Q57" s="740"/>
      <c r="R57" s="137"/>
      <c r="S57" s="137"/>
      <c r="T57" s="137"/>
      <c r="U57" s="137"/>
      <c r="V57" s="137"/>
      <c r="W57" s="137"/>
      <c r="X57" s="137"/>
      <c r="Y57" s="137"/>
      <c r="Z57" s="137"/>
      <c r="AA57" s="137"/>
    </row>
    <row r="58" spans="2:27" ht="16.899999999999999" customHeight="1" x14ac:dyDescent="0.25">
      <c r="B58" s="140"/>
      <c r="C58" s="241"/>
      <c r="D58" s="377"/>
      <c r="E58" s="541"/>
      <c r="F58" s="207" t="s">
        <v>538</v>
      </c>
      <c r="G58" s="920"/>
      <c r="H58" s="197"/>
      <c r="I58" s="676"/>
      <c r="J58" s="256"/>
      <c r="K58" s="920"/>
      <c r="L58" s="197"/>
      <c r="M58" s="209">
        <f>IF($E$56="YES",K58*$H$10,0)</f>
        <v>0</v>
      </c>
      <c r="N58" s="242"/>
      <c r="O58" s="141"/>
      <c r="P58"/>
      <c r="Q58" s="741"/>
    </row>
    <row r="59" spans="2:27" ht="9" customHeight="1" x14ac:dyDescent="0.25">
      <c r="B59" s="140"/>
      <c r="C59" s="243"/>
      <c r="D59" s="245"/>
      <c r="E59" s="245"/>
      <c r="F59" s="245"/>
      <c r="G59" s="245"/>
      <c r="H59" s="245"/>
      <c r="I59" s="267"/>
      <c r="J59" s="245"/>
      <c r="K59" s="245"/>
      <c r="L59" s="245"/>
      <c r="M59" s="245"/>
      <c r="N59" s="246"/>
      <c r="O59" s="141"/>
      <c r="P59"/>
      <c r="Q59" s="741"/>
    </row>
    <row r="60" spans="2:27" ht="10.15" customHeight="1" x14ac:dyDescent="0.25">
      <c r="B60" s="140"/>
      <c r="I60" s="268"/>
      <c r="N60" s="269"/>
      <c r="O60" s="141"/>
      <c r="P60"/>
      <c r="Q60" s="741"/>
    </row>
    <row r="61" spans="2:27" s="878" customFormat="1" ht="9" customHeight="1" x14ac:dyDescent="0.25">
      <c r="B61" s="181"/>
      <c r="C61" s="275"/>
      <c r="D61" s="190"/>
      <c r="E61" s="190"/>
      <c r="F61" s="231"/>
      <c r="G61" s="262"/>
      <c r="H61" s="190"/>
      <c r="I61" s="263"/>
      <c r="J61" s="234"/>
      <c r="K61" s="235"/>
      <c r="L61" s="190"/>
      <c r="M61" s="235"/>
      <c r="N61" s="276"/>
      <c r="O61" s="182"/>
      <c r="Q61" s="742"/>
    </row>
    <row r="62" spans="2:27" s="878" customFormat="1" ht="17.45" customHeight="1" x14ac:dyDescent="0.25">
      <c r="B62" s="181"/>
      <c r="C62" s="270"/>
      <c r="D62" s="197"/>
      <c r="E62" s="197"/>
      <c r="F62" s="207"/>
      <c r="G62" s="6" t="s">
        <v>1256</v>
      </c>
      <c r="H62" s="197"/>
      <c r="I62" s="255" t="s">
        <v>910</v>
      </c>
      <c r="J62" s="41"/>
      <c r="K62" s="255" t="s">
        <v>891</v>
      </c>
      <c r="L62" s="197"/>
      <c r="M62" s="197"/>
      <c r="N62" s="271"/>
      <c r="O62" s="182"/>
      <c r="Q62" s="742"/>
    </row>
    <row r="63" spans="2:27" s="878" customFormat="1" ht="18.75" x14ac:dyDescent="0.25">
      <c r="B63" s="181"/>
      <c r="C63" s="270"/>
      <c r="D63" s="253" t="s">
        <v>1251</v>
      </c>
      <c r="E63" s="197"/>
      <c r="F63" s="207"/>
      <c r="G63" s="917" t="s">
        <v>546</v>
      </c>
      <c r="H63" s="197"/>
      <c r="I63" s="890" t="s">
        <v>1071</v>
      </c>
      <c r="J63" s="148"/>
      <c r="K63" s="430" t="str">
        <f>IF(I63="Credit Memo","Corp Credit Memo",IF(I63="Check","Corp Check | AP number needed",""))</f>
        <v/>
      </c>
      <c r="L63" s="197"/>
      <c r="M63" s="932"/>
      <c r="N63" s="271"/>
      <c r="O63" s="182"/>
      <c r="Q63" s="742"/>
    </row>
    <row r="64" spans="2:27" s="878" customFormat="1" x14ac:dyDescent="0.25">
      <c r="B64" s="181"/>
      <c r="C64" s="270"/>
      <c r="D64" s="200" t="s">
        <v>543</v>
      </c>
      <c r="E64" s="70" t="s">
        <v>546</v>
      </c>
      <c r="F64" s="148"/>
      <c r="G64" s="197"/>
      <c r="H64" s="197"/>
      <c r="I64" s="1276" t="str">
        <f>IF($K$66+$K$71&gt;=10000,"The amount entered is $10,000 or above. This model can be submitted but will require additional approved before the agreement can be generated. Business Context will need to be provided","")</f>
        <v/>
      </c>
      <c r="J64" s="197"/>
      <c r="K64" s="197"/>
      <c r="L64" s="197"/>
      <c r="M64" s="197"/>
      <c r="N64" s="271"/>
      <c r="O64" s="182"/>
      <c r="Q64" s="739" t="str">
        <f>IF($E64="NO","",IF($I63="Select Payment Method","X",""))</f>
        <v/>
      </c>
    </row>
    <row r="65" spans="2:17" s="878" customFormat="1" ht="15.75" customHeight="1" x14ac:dyDescent="0.25">
      <c r="B65" s="181"/>
      <c r="C65" s="270"/>
      <c r="D65" s="197"/>
      <c r="E65" s="148"/>
      <c r="F65" s="891"/>
      <c r="G65" s="894" t="s">
        <v>131</v>
      </c>
      <c r="H65" s="197"/>
      <c r="I65" s="1277"/>
      <c r="J65" s="205"/>
      <c r="K65" s="255" t="s">
        <v>547</v>
      </c>
      <c r="L65" s="197"/>
      <c r="M65" s="6" t="s">
        <v>500</v>
      </c>
      <c r="N65" s="271"/>
      <c r="O65" s="182"/>
      <c r="Q65" s="742"/>
    </row>
    <row r="66" spans="2:17" s="878" customFormat="1" ht="15.75" x14ac:dyDescent="0.25">
      <c r="B66" s="181"/>
      <c r="C66" s="270"/>
      <c r="D66" s="197"/>
      <c r="E66" s="197"/>
      <c r="F66" s="892" t="s">
        <v>949</v>
      </c>
      <c r="G66" s="895" t="str">
        <f>IF($E$64="YES","CASH","")</f>
        <v/>
      </c>
      <c r="H66" s="197"/>
      <c r="I66" s="1277"/>
      <c r="J66" s="208"/>
      <c r="K66" s="919"/>
      <c r="L66" s="197"/>
      <c r="M66" s="209">
        <f>IFERROR(IF($E$64="YES",K66/$G$4,0),0)</f>
        <v>0</v>
      </c>
      <c r="N66" s="271"/>
      <c r="O66" s="182"/>
      <c r="Q66" s="883"/>
    </row>
    <row r="67" spans="2:17" s="179" customFormat="1" ht="11.45" customHeight="1" x14ac:dyDescent="0.25">
      <c r="B67" s="277"/>
      <c r="C67" s="211"/>
      <c r="D67" s="217"/>
      <c r="E67" s="217"/>
      <c r="F67" s="893"/>
      <c r="G67" s="893"/>
      <c r="H67" s="217"/>
      <c r="I67" s="1278"/>
      <c r="J67" s="217"/>
      <c r="K67" s="217"/>
      <c r="L67" s="217"/>
      <c r="M67" s="217"/>
      <c r="N67" s="278"/>
      <c r="O67" s="279"/>
    </row>
    <row r="68" spans="2:17" s="915" customFormat="1" ht="10.15" customHeight="1" x14ac:dyDescent="0.25">
      <c r="B68" s="181"/>
      <c r="C68" s="180"/>
      <c r="D68" s="180"/>
      <c r="E68" s="180"/>
      <c r="F68" s="223"/>
      <c r="G68" s="260"/>
      <c r="H68" s="180"/>
      <c r="I68" s="261"/>
      <c r="J68" s="227"/>
      <c r="K68" s="228"/>
      <c r="L68" s="180"/>
      <c r="M68" s="228"/>
      <c r="N68" s="274"/>
      <c r="O68" s="182"/>
      <c r="Q68" s="742"/>
    </row>
    <row r="69" spans="2:17" s="915" customFormat="1" ht="9" customHeight="1" x14ac:dyDescent="0.25">
      <c r="B69" s="181"/>
      <c r="C69" s="275"/>
      <c r="D69" s="190"/>
      <c r="E69" s="190"/>
      <c r="F69" s="231"/>
      <c r="G69" s="262"/>
      <c r="H69" s="190"/>
      <c r="I69" s="263"/>
      <c r="J69" s="234"/>
      <c r="K69" s="235"/>
      <c r="L69" s="190"/>
      <c r="M69" s="235"/>
      <c r="N69" s="276"/>
      <c r="O69" s="182"/>
      <c r="Q69" s="742"/>
    </row>
    <row r="70" spans="2:17" s="922" customFormat="1" ht="17.45" customHeight="1" x14ac:dyDescent="0.25">
      <c r="B70" s="181"/>
      <c r="C70" s="270"/>
      <c r="D70" s="1279" t="s">
        <v>1258</v>
      </c>
      <c r="E70" s="927"/>
      <c r="F70" s="926"/>
      <c r="G70" s="255" t="s">
        <v>1259</v>
      </c>
      <c r="H70" s="927"/>
      <c r="I70" s="255" t="s">
        <v>910</v>
      </c>
      <c r="J70" s="928"/>
      <c r="K70" s="255" t="s">
        <v>1257</v>
      </c>
      <c r="L70" s="927"/>
      <c r="M70" s="255" t="s">
        <v>1269</v>
      </c>
      <c r="N70" s="271"/>
      <c r="O70" s="182"/>
      <c r="Q70" s="742"/>
    </row>
    <row r="71" spans="2:17" s="922" customFormat="1" ht="17.45" customHeight="1" x14ac:dyDescent="0.25">
      <c r="B71" s="181"/>
      <c r="C71" s="270"/>
      <c r="D71" s="1280"/>
      <c r="E71" s="197"/>
      <c r="F71" s="926"/>
      <c r="G71" s="935"/>
      <c r="H71" s="927"/>
      <c r="I71" s="429" t="s">
        <v>1071</v>
      </c>
      <c r="J71" s="928"/>
      <c r="K71" s="935"/>
      <c r="L71" s="927"/>
      <c r="M71" s="209">
        <f>G71+K71</f>
        <v>0</v>
      </c>
      <c r="N71" s="271"/>
      <c r="O71" s="182"/>
      <c r="Q71" s="742"/>
    </row>
    <row r="72" spans="2:17" s="922" customFormat="1" ht="14.45" customHeight="1" x14ac:dyDescent="0.25">
      <c r="B72" s="181"/>
      <c r="C72" s="270"/>
      <c r="D72" s="200" t="s">
        <v>543</v>
      </c>
      <c r="E72" s="70" t="s">
        <v>546</v>
      </c>
      <c r="F72" s="926"/>
      <c r="G72" s="929"/>
      <c r="H72" s="927"/>
      <c r="I72" s="263"/>
      <c r="J72" s="928"/>
      <c r="K72" s="235"/>
      <c r="L72" s="927"/>
      <c r="M72" s="1283" t="str">
        <f>IF($M$71&gt;=10000,"The amount entered is $10,000 or above. This model can be submitted but will require additional approved before the agreement can be generated. Business Context will need to be provided","")</f>
        <v/>
      </c>
      <c r="N72" s="1284"/>
      <c r="O72" s="182"/>
      <c r="Q72" s="742"/>
    </row>
    <row r="73" spans="2:17" s="915" customFormat="1" ht="34.5" customHeight="1" x14ac:dyDescent="0.25">
      <c r="B73" s="181"/>
      <c r="C73" s="270"/>
      <c r="D73" s="1282" t="s">
        <v>1287</v>
      </c>
      <c r="E73" s="1282"/>
      <c r="F73" s="926"/>
      <c r="G73" s="1281" t="s">
        <v>1288</v>
      </c>
      <c r="H73" s="1281"/>
      <c r="I73" s="1281"/>
      <c r="J73" s="1281"/>
      <c r="K73" s="1281"/>
      <c r="L73" s="197"/>
      <c r="M73" s="1283"/>
      <c r="N73" s="1284"/>
      <c r="O73" s="182"/>
      <c r="Q73" s="742"/>
    </row>
    <row r="74" spans="2:17" s="915" customFormat="1" ht="16.5" customHeight="1" x14ac:dyDescent="0.25">
      <c r="B74" s="181"/>
      <c r="C74" s="270"/>
      <c r="D74" s="197"/>
      <c r="E74" s="148"/>
      <c r="F74" s="891"/>
      <c r="G74" s="925" t="s">
        <v>1254</v>
      </c>
      <c r="H74" s="205"/>
      <c r="I74" s="6" t="s">
        <v>1255</v>
      </c>
      <c r="J74" s="197"/>
      <c r="K74" s="255" t="s">
        <v>1253</v>
      </c>
      <c r="L74" s="197"/>
      <c r="M74" s="6" t="s">
        <v>500</v>
      </c>
      <c r="N74" s="271"/>
      <c r="O74" s="182"/>
      <c r="Q74" s="742"/>
    </row>
    <row r="75" spans="2:17" s="915" customFormat="1" ht="18" customHeight="1" x14ac:dyDescent="0.25">
      <c r="B75" s="181"/>
      <c r="C75" s="270"/>
      <c r="D75" s="197"/>
      <c r="E75" s="197"/>
      <c r="F75" s="892" t="s">
        <v>1187</v>
      </c>
      <c r="G75" s="917"/>
      <c r="H75" s="208"/>
      <c r="I75" s="918"/>
      <c r="J75" s="197"/>
      <c r="K75" s="933"/>
      <c r="L75" s="197"/>
      <c r="M75" s="209">
        <f>IFERROR(IF($E72="YES",M71/$G$4,0),0)</f>
        <v>0</v>
      </c>
      <c r="N75" s="271"/>
      <c r="O75" s="182"/>
    </row>
    <row r="76" spans="2:17" s="179" customFormat="1" ht="11.45" customHeight="1" x14ac:dyDescent="0.25">
      <c r="B76" s="277"/>
      <c r="C76" s="211"/>
      <c r="D76" s="217"/>
      <c r="E76" s="217"/>
      <c r="F76" s="893"/>
      <c r="G76" s="893"/>
      <c r="H76" s="217"/>
      <c r="I76" s="217"/>
      <c r="J76" s="217"/>
      <c r="K76" s="217"/>
      <c r="L76" s="217"/>
      <c r="M76" s="217"/>
      <c r="N76" s="278"/>
      <c r="O76" s="279"/>
    </row>
    <row r="77" spans="2:17" s="5" customFormat="1" ht="10.15" customHeight="1" x14ac:dyDescent="0.25">
      <c r="B77" s="181"/>
      <c r="C77" s="180"/>
      <c r="D77" s="180"/>
      <c r="E77" s="180"/>
      <c r="F77" s="223"/>
      <c r="G77" s="260"/>
      <c r="H77" s="180"/>
      <c r="I77" s="261"/>
      <c r="J77" s="227"/>
      <c r="K77" s="228"/>
      <c r="L77" s="180"/>
      <c r="M77" s="228"/>
      <c r="N77" s="274"/>
      <c r="O77" s="182"/>
      <c r="Q77" s="742"/>
    </row>
    <row r="78" spans="2:17" s="5" customFormat="1" ht="9" customHeight="1" x14ac:dyDescent="0.25">
      <c r="B78" s="181"/>
      <c r="C78" s="275"/>
      <c r="D78" s="190"/>
      <c r="E78" s="190"/>
      <c r="F78" s="231"/>
      <c r="G78" s="262"/>
      <c r="H78" s="190"/>
      <c r="I78" s="263"/>
      <c r="J78" s="234"/>
      <c r="K78" s="235"/>
      <c r="L78" s="190"/>
      <c r="M78" s="235"/>
      <c r="N78" s="276"/>
      <c r="O78" s="182"/>
      <c r="Q78" s="742"/>
    </row>
    <row r="79" spans="2:17" s="5" customFormat="1" ht="17.45" customHeight="1" x14ac:dyDescent="0.25">
      <c r="B79" s="181"/>
      <c r="C79" s="270"/>
      <c r="D79" s="197"/>
      <c r="E79" s="197"/>
      <c r="F79" s="207"/>
      <c r="G79" s="6" t="s">
        <v>1188</v>
      </c>
      <c r="H79" s="197"/>
      <c r="I79" s="255" t="s">
        <v>910</v>
      </c>
      <c r="J79" s="41"/>
      <c r="K79" s="255" t="s">
        <v>891</v>
      </c>
      <c r="L79" s="197"/>
      <c r="M79" s="237"/>
      <c r="N79" s="271"/>
      <c r="O79" s="182"/>
      <c r="Q79" s="742"/>
    </row>
    <row r="80" spans="2:17" s="5" customFormat="1" ht="18.75" x14ac:dyDescent="0.25">
      <c r="B80" s="181"/>
      <c r="C80" s="270"/>
      <c r="D80" s="253" t="s">
        <v>1187</v>
      </c>
      <c r="E80" s="197"/>
      <c r="F80" s="207"/>
      <c r="G80" s="917" t="s">
        <v>1222</v>
      </c>
      <c r="H80" s="197"/>
      <c r="I80" s="429" t="s">
        <v>1071</v>
      </c>
      <c r="J80" s="148"/>
      <c r="K80" s="430" t="str">
        <f>IF(I80="Credit Memo","Individual Customers",IF(I80="Check","Corp Check | AP number needed",""))</f>
        <v/>
      </c>
      <c r="L80" s="197"/>
      <c r="M80" s="237"/>
      <c r="N80" s="271"/>
      <c r="O80" s="182"/>
      <c r="Q80" s="742"/>
    </row>
    <row r="81" spans="2:20" s="5" customFormat="1" x14ac:dyDescent="0.25">
      <c r="B81" s="181"/>
      <c r="C81" s="270"/>
      <c r="D81" s="200" t="s">
        <v>543</v>
      </c>
      <c r="E81" s="70" t="s">
        <v>546</v>
      </c>
      <c r="F81" s="148"/>
      <c r="G81" s="197"/>
      <c r="H81" s="197"/>
      <c r="I81" s="197"/>
      <c r="J81" s="197"/>
      <c r="K81" s="197"/>
      <c r="L81" s="197"/>
      <c r="M81" s="197"/>
      <c r="N81" s="271"/>
      <c r="O81" s="182"/>
      <c r="Q81" s="739" t="str">
        <f>IF($E81="NO","",IF($I80="Select Payment Method","X",""))</f>
        <v/>
      </c>
    </row>
    <row r="82" spans="2:20" s="5" customFormat="1" ht="15.75" x14ac:dyDescent="0.25">
      <c r="B82" s="181"/>
      <c r="C82" s="270"/>
      <c r="D82" s="197"/>
      <c r="E82" s="148"/>
      <c r="F82" s="891"/>
      <c r="G82" s="894" t="s">
        <v>131</v>
      </c>
      <c r="H82" s="197"/>
      <c r="I82" s="518"/>
      <c r="J82" s="205"/>
      <c r="K82" s="255" t="s">
        <v>547</v>
      </c>
      <c r="L82" s="197"/>
      <c r="M82" s="6" t="s">
        <v>500</v>
      </c>
      <c r="N82" s="271"/>
      <c r="O82" s="182"/>
      <c r="Q82" s="742"/>
    </row>
    <row r="83" spans="2:20" s="5" customFormat="1" ht="18" customHeight="1" x14ac:dyDescent="0.25">
      <c r="B83" s="181"/>
      <c r="C83" s="270"/>
      <c r="D83" s="197"/>
      <c r="E83" s="197"/>
      <c r="F83" s="892" t="s">
        <v>1187</v>
      </c>
      <c r="G83" s="895" t="str">
        <f>IF($E$81="YES","CHECK Business Tools","")</f>
        <v/>
      </c>
      <c r="H83" s="197"/>
      <c r="I83" s="265"/>
      <c r="J83" s="208"/>
      <c r="K83" s="919">
        <v>3</v>
      </c>
      <c r="L83" s="197"/>
      <c r="M83" s="209">
        <f>IFERROR(IF($E81="YES",K83/$G$4,0),0)</f>
        <v>0</v>
      </c>
      <c r="N83" s="271"/>
      <c r="O83" s="182"/>
    </row>
    <row r="84" spans="2:20" s="179" customFormat="1" ht="11.45" customHeight="1" x14ac:dyDescent="0.25">
      <c r="B84" s="277"/>
      <c r="C84" s="211"/>
      <c r="D84" s="217"/>
      <c r="E84" s="217"/>
      <c r="F84" s="893"/>
      <c r="G84" s="893"/>
      <c r="H84" s="217"/>
      <c r="I84" s="217"/>
      <c r="J84" s="217"/>
      <c r="K84" s="217"/>
      <c r="L84" s="217"/>
      <c r="M84" s="217"/>
      <c r="N84" s="278"/>
      <c r="O84" s="279"/>
    </row>
    <row r="85" spans="2:20" s="179" customFormat="1" ht="9" customHeight="1" x14ac:dyDescent="0.25">
      <c r="B85" s="277"/>
      <c r="C85" s="183"/>
      <c r="D85" s="183"/>
      <c r="E85" s="183"/>
      <c r="F85" s="183"/>
      <c r="G85" s="183"/>
      <c r="H85" s="183"/>
      <c r="I85" s="183"/>
      <c r="J85" s="183"/>
      <c r="K85" s="183"/>
      <c r="L85" s="183"/>
      <c r="M85" s="183"/>
      <c r="N85" s="767"/>
      <c r="O85" s="279"/>
    </row>
    <row r="86" spans="2:20" s="179" customFormat="1" ht="13.15" customHeight="1" x14ac:dyDescent="0.25">
      <c r="B86" s="277"/>
      <c r="C86" s="189"/>
      <c r="D86" s="191"/>
      <c r="E86" s="191"/>
      <c r="F86" s="191"/>
      <c r="G86" s="191"/>
      <c r="H86" s="191"/>
      <c r="I86" s="191"/>
      <c r="J86" s="191"/>
      <c r="K86" s="191"/>
      <c r="L86" s="191"/>
      <c r="M86" s="191"/>
      <c r="N86" s="768"/>
      <c r="O86" s="279"/>
    </row>
    <row r="87" spans="2:20" s="179" customFormat="1" ht="13.15" customHeight="1" x14ac:dyDescent="0.25">
      <c r="B87" s="277"/>
      <c r="C87" s="195"/>
      <c r="D87" s="148"/>
      <c r="E87" s="148"/>
      <c r="F87" s="1272" t="s">
        <v>1198</v>
      </c>
      <c r="G87" s="1272"/>
      <c r="H87" s="148"/>
      <c r="I87" s="255" t="s">
        <v>910</v>
      </c>
      <c r="J87" s="148"/>
      <c r="K87" s="255" t="s">
        <v>891</v>
      </c>
      <c r="L87" s="148"/>
      <c r="M87" s="148"/>
      <c r="N87" s="769"/>
      <c r="O87" s="279"/>
    </row>
    <row r="88" spans="2:20" s="179" customFormat="1" ht="18" customHeight="1" x14ac:dyDescent="0.25">
      <c r="B88" s="277"/>
      <c r="C88" s="195"/>
      <c r="D88" s="253" t="s">
        <v>1083</v>
      </c>
      <c r="E88" s="148"/>
      <c r="F88" s="1272"/>
      <c r="G88" s="1272"/>
      <c r="H88" s="148"/>
      <c r="I88" s="429" t="s">
        <v>1071</v>
      </c>
      <c r="J88" s="148"/>
      <c r="K88" s="430" t="str">
        <f>IF(I88="Credit Memo","Individual Customers",IF(I88="Check","Corp Check | AP number needed",""))</f>
        <v/>
      </c>
      <c r="L88" s="148"/>
      <c r="M88" s="148"/>
      <c r="N88" s="769"/>
      <c r="O88" s="279"/>
    </row>
    <row r="89" spans="2:20" s="179" customFormat="1" x14ac:dyDescent="0.25">
      <c r="B89" s="277"/>
      <c r="C89" s="195"/>
      <c r="D89" s="200" t="s">
        <v>543</v>
      </c>
      <c r="E89" s="70" t="s">
        <v>546</v>
      </c>
      <c r="F89" s="1272"/>
      <c r="G89" s="1272"/>
      <c r="H89" s="148"/>
      <c r="I89" s="148"/>
      <c r="J89" s="148"/>
      <c r="K89" s="148"/>
      <c r="L89" s="148"/>
      <c r="M89" s="148"/>
      <c r="N89" s="769"/>
      <c r="O89" s="279"/>
      <c r="Q89" s="739" t="str">
        <f>IF($D$94=0,"",IF($E89="NO","",IF($I88="Select Payment Method","X","")))</f>
        <v/>
      </c>
    </row>
    <row r="90" spans="2:20" s="179" customFormat="1" ht="15.75" x14ac:dyDescent="0.25">
      <c r="B90" s="277"/>
      <c r="C90" s="195"/>
      <c r="D90" s="743"/>
      <c r="E90" s="744"/>
      <c r="F90" s="266"/>
      <c r="G90" s="6" t="s">
        <v>1085</v>
      </c>
      <c r="H90" s="148"/>
      <c r="I90" s="148"/>
      <c r="J90" s="148"/>
      <c r="K90" s="518"/>
      <c r="L90" s="197"/>
      <c r="M90" s="6" t="s">
        <v>500</v>
      </c>
      <c r="N90" s="769"/>
      <c r="O90" s="279"/>
    </row>
    <row r="91" spans="2:20" s="179" customFormat="1" ht="18" customHeight="1" x14ac:dyDescent="0.25">
      <c r="B91" s="277"/>
      <c r="C91" s="195"/>
      <c r="D91" s="148"/>
      <c r="E91" s="744"/>
      <c r="F91" s="207" t="s">
        <v>1084</v>
      </c>
      <c r="G91" s="920"/>
      <c r="H91" s="148"/>
      <c r="I91" s="148"/>
      <c r="J91" s="148"/>
      <c r="K91" s="237"/>
      <c r="L91" s="197"/>
      <c r="M91" s="209">
        <f>IFERROR(IF($E89="YES",$G$91*$H$10,0),0)</f>
        <v>0</v>
      </c>
      <c r="N91" s="769"/>
      <c r="O91" s="279"/>
    </row>
    <row r="92" spans="2:20" s="179" customFormat="1" ht="11.45" customHeight="1" x14ac:dyDescent="0.25">
      <c r="B92" s="277"/>
      <c r="C92" s="211"/>
      <c r="D92" s="217"/>
      <c r="E92" s="217"/>
      <c r="F92" s="217"/>
      <c r="G92" s="957" t="str">
        <f>IFERROR(_xlfn.CONCAT("Max ",ROUNDUP((((VLOOKUP('Variable Selling'!$A$2,'CC MARKET EXPENSE'!$A:$D,4,0))*100)*((VLOOKUP(D88,'Incentive Helper'!$A:$B,2,0))/100))/0.25,0)*0.25),"")</f>
        <v/>
      </c>
      <c r="H92" s="217"/>
      <c r="I92" s="217"/>
      <c r="J92" s="217"/>
      <c r="K92" s="217"/>
      <c r="L92" s="217"/>
      <c r="M92" s="217"/>
      <c r="N92" s="278"/>
      <c r="O92" s="279"/>
    </row>
    <row r="93" spans="2:20" s="179" customFormat="1" ht="24" customHeight="1" x14ac:dyDescent="0.25">
      <c r="B93" s="277"/>
      <c r="C93" s="183"/>
      <c r="E93" s="183"/>
      <c r="F93" s="183"/>
      <c r="G93" s="183"/>
      <c r="H93" s="183"/>
      <c r="I93" s="183"/>
      <c r="J93" s="183"/>
      <c r="K93" s="183"/>
      <c r="L93" s="183"/>
      <c r="M93" s="280"/>
      <c r="N93" s="183"/>
      <c r="O93" s="279"/>
      <c r="P93" s="183"/>
      <c r="Q93" s="183"/>
      <c r="R93" s="183"/>
    </row>
    <row r="94" spans="2:20" s="282" customFormat="1" ht="24" customHeight="1" x14ac:dyDescent="0.3">
      <c r="B94" s="281"/>
      <c r="D94" s="770">
        <f>'Customer Inputs'!$K$17</f>
        <v>0</v>
      </c>
      <c r="L94" s="283" t="s">
        <v>229</v>
      </c>
      <c r="M94" s="284">
        <f>SUM($M$17:$M$20)+SUM($M$28:$M$31)+SUM($M$39:$M$42)+$M$58+$M$66+$M$83+$M$91+$M$50+$M$75</f>
        <v>0</v>
      </c>
      <c r="O94" s="285"/>
      <c r="R94" s="431"/>
      <c r="S94" s="431"/>
      <c r="T94" s="432"/>
    </row>
    <row r="95" spans="2:20" s="282" customFormat="1" ht="27.6" customHeight="1" x14ac:dyDescent="0.3">
      <c r="B95" s="281"/>
      <c r="L95" s="283"/>
      <c r="M95" s="737" t="str">
        <f>IF(M97&gt;0,"**Select Payment Method Above**","")</f>
        <v/>
      </c>
      <c r="N95" s="516" t="s">
        <v>203</v>
      </c>
      <c r="O95" s="285"/>
    </row>
    <row r="96" spans="2:20" ht="24" customHeight="1" x14ac:dyDescent="0.25">
      <c r="B96" s="140"/>
      <c r="L96" s="283" t="s">
        <v>230</v>
      </c>
      <c r="M96" s="286">
        <f>IFERROR($M$94/'PIM Model'!$G$31,0)</f>
        <v>0</v>
      </c>
      <c r="N96" s="517">
        <v>0.05</v>
      </c>
      <c r="O96" s="141"/>
      <c r="P96"/>
    </row>
    <row r="97" spans="2:16" ht="24" customHeight="1" thickBot="1" x14ac:dyDescent="0.3">
      <c r="B97" s="287"/>
      <c r="C97" s="288"/>
      <c r="D97" s="288"/>
      <c r="E97" s="288"/>
      <c r="F97" s="288"/>
      <c r="G97" s="288"/>
      <c r="H97" s="288"/>
      <c r="I97" s="288"/>
      <c r="J97" s="288"/>
      <c r="K97" s="288"/>
      <c r="L97" s="705"/>
      <c r="M97" s="738">
        <f>COUNTIF($Q$14:$Q$92,"X")</f>
        <v>0</v>
      </c>
      <c r="N97" s="706"/>
      <c r="O97" s="289"/>
      <c r="P97"/>
    </row>
    <row r="98" spans="2:16" ht="48.6" customHeight="1" x14ac:dyDescent="0.25">
      <c r="C98" s="1274"/>
      <c r="D98" s="1274"/>
      <c r="I98" s="704"/>
      <c r="L98" s="5"/>
      <c r="M98" s="1275"/>
      <c r="N98" s="1275"/>
      <c r="P98"/>
    </row>
  </sheetData>
  <sheetProtection algorithmName="SHA-512" hashValue="GOjPQE/bpgZzdZGxqZZMNCgwW3Fd+MqZ7CViquusZ6VjVplORjPEwvT74OQO8tfHPQ97GC5xS73jDwROX5DQsA==" saltValue="LRDYEKJprr3HXiz7UGBhZQ==" spinCount="100000" sheet="1" objects="1" scenarios="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84" priority="43">
      <formula>$M$97&gt;0</formula>
    </cfRule>
    <cfRule type="cellIs" dxfId="183" priority="65" operator="lessThan">
      <formula>$N$96</formula>
    </cfRule>
    <cfRule type="cellIs" dxfId="182" priority="66" operator="greaterThan">
      <formula>$N$96</formula>
    </cfRule>
  </conditionalFormatting>
  <conditionalFormatting sqref="G18:G20 I18:I20 I14">
    <cfRule type="expression" dxfId="181" priority="56">
      <formula>$E$15="YES"</formula>
    </cfRule>
  </conditionalFormatting>
  <conditionalFormatting sqref="I29:I31 I25 G29:G31">
    <cfRule type="expression" dxfId="180" priority="55">
      <formula>$E$26="YES"</formula>
    </cfRule>
  </conditionalFormatting>
  <conditionalFormatting sqref="K83 I80">
    <cfRule type="expression" dxfId="179" priority="53">
      <formula>$E$81="YES"</formula>
    </cfRule>
  </conditionalFormatting>
  <conditionalFormatting sqref="K58 I55">
    <cfRule type="expression" dxfId="178" priority="51">
      <formula>$E$56="YES"</formula>
    </cfRule>
  </conditionalFormatting>
  <conditionalFormatting sqref="I36 G40:G42 I39:I42">
    <cfRule type="expression" dxfId="177" priority="47">
      <formula>$E$37="YES"</formula>
    </cfRule>
  </conditionalFormatting>
  <conditionalFormatting sqref="G58">
    <cfRule type="expression" dxfId="176" priority="49">
      <formula>$E$56="YES"</formula>
    </cfRule>
  </conditionalFormatting>
  <conditionalFormatting sqref="I88">
    <cfRule type="expression" dxfId="175" priority="40">
      <formula>$E$89="YES"</formula>
    </cfRule>
  </conditionalFormatting>
  <conditionalFormatting sqref="G80">
    <cfRule type="expression" dxfId="174" priority="31">
      <formula>$E$81="YES"</formula>
    </cfRule>
  </conditionalFormatting>
  <conditionalFormatting sqref="G14">
    <cfRule type="expression" dxfId="173" priority="27">
      <formula>$E$15="YES"</formula>
    </cfRule>
  </conditionalFormatting>
  <conditionalFormatting sqref="G47 I47 G50 I50">
    <cfRule type="expression" dxfId="172" priority="24">
      <formula>$E$48="YES"</formula>
    </cfRule>
  </conditionalFormatting>
  <conditionalFormatting sqref="K66 I63">
    <cfRule type="expression" dxfId="171" priority="22">
      <formula>$E$64="YES"</formula>
    </cfRule>
  </conditionalFormatting>
  <conditionalFormatting sqref="G63">
    <cfRule type="expression" dxfId="170" priority="21">
      <formula>$E$64="YES"</formula>
    </cfRule>
  </conditionalFormatting>
  <conditionalFormatting sqref="G25">
    <cfRule type="expression" dxfId="169" priority="18">
      <formula>$E$26="YES"</formula>
    </cfRule>
  </conditionalFormatting>
  <conditionalFormatting sqref="G36">
    <cfRule type="expression" dxfId="168" priority="17">
      <formula>$E$37="YES"</formula>
    </cfRule>
  </conditionalFormatting>
  <conditionalFormatting sqref="G55">
    <cfRule type="expression" dxfId="167" priority="16">
      <formula>$E$56="YES"</formula>
    </cfRule>
  </conditionalFormatting>
  <conditionalFormatting sqref="G91">
    <cfRule type="expression" dxfId="166" priority="11">
      <formula>$E$89="YES"</formula>
    </cfRule>
  </conditionalFormatting>
  <conditionalFormatting sqref="K71 I71 G75 K75 I75">
    <cfRule type="expression" dxfId="165" priority="119">
      <formula>$E$72="YES"</formula>
    </cfRule>
  </conditionalFormatting>
  <conditionalFormatting sqref="G71">
    <cfRule type="expression" dxfId="164" priority="6">
      <formula>$E$72="YES"</formula>
    </cfRule>
  </conditionalFormatting>
  <conditionalFormatting sqref="I64">
    <cfRule type="expression" dxfId="163" priority="120">
      <formula>$K$66+$K$71&gt;=10000</formula>
    </cfRule>
  </conditionalFormatting>
  <conditionalFormatting sqref="M72">
    <cfRule type="expression" dxfId="162"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979" t="s">
        <v>1291</v>
      </c>
      <c r="B1" t="s">
        <v>1289</v>
      </c>
      <c r="C1" t="s">
        <v>131</v>
      </c>
    </row>
    <row r="2" spans="1:3" x14ac:dyDescent="0.25">
      <c r="A2" t="s">
        <v>1083</v>
      </c>
      <c r="B2">
        <v>50</v>
      </c>
      <c r="C2" t="s">
        <v>1290</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34"/>
      <c r="C2" s="1311" t="s">
        <v>211</v>
      </c>
      <c r="D2" s="1311"/>
      <c r="E2" s="1311"/>
      <c r="F2" s="545"/>
      <c r="G2" s="175"/>
      <c r="H2" s="175"/>
      <c r="I2" s="175"/>
      <c r="J2" s="175"/>
      <c r="K2" s="175"/>
      <c r="L2" s="178"/>
    </row>
    <row r="3" spans="2:23" x14ac:dyDescent="0.25">
      <c r="B3" s="181"/>
      <c r="C3" s="1316" t="s">
        <v>1298</v>
      </c>
      <c r="D3" s="1317"/>
      <c r="E3" s="420">
        <f>Welcome!$D$8</f>
        <v>0</v>
      </c>
      <c r="F3" s="424"/>
      <c r="G3" s="512" t="s">
        <v>110</v>
      </c>
      <c r="H3" s="1314" t="str">
        <f>IFERROR(VLOOKUP($H$4,'Market Geography'!$D:$G,4,FALSE),"Select Market")</f>
        <v>Select Market</v>
      </c>
      <c r="I3" s="1314"/>
      <c r="J3" s="1314"/>
      <c r="K3" s="1315"/>
      <c r="L3" s="182"/>
    </row>
    <row r="4" spans="2:23" x14ac:dyDescent="0.25">
      <c r="B4" s="181"/>
      <c r="C4" s="1303" t="s">
        <v>1299</v>
      </c>
      <c r="D4" s="1304"/>
      <c r="E4" s="389" t="str">
        <f>Welcome!$D$12</f>
        <v>Select Term</v>
      </c>
      <c r="F4" s="546"/>
      <c r="G4" s="513" t="s">
        <v>901</v>
      </c>
      <c r="H4" s="1299">
        <f>Welcome!$D$4</f>
        <v>0</v>
      </c>
      <c r="I4" s="1299"/>
      <c r="J4" s="1299"/>
      <c r="K4" s="1300"/>
      <c r="L4" s="182"/>
    </row>
    <row r="5" spans="2:23" x14ac:dyDescent="0.25">
      <c r="B5" s="181"/>
      <c r="C5" s="1303" t="s">
        <v>1306</v>
      </c>
      <c r="D5" s="1304"/>
      <c r="E5" s="146">
        <f>'PIM Model'!$G$31</f>
        <v>0</v>
      </c>
      <c r="F5" s="547"/>
      <c r="G5" s="513" t="s">
        <v>107</v>
      </c>
      <c r="H5" s="1299" t="str">
        <f>'Multi-Customer'!$S$49</f>
        <v>Enter Customer(s)</v>
      </c>
      <c r="I5" s="1299"/>
      <c r="J5" s="1299"/>
      <c r="K5" s="1300"/>
      <c r="L5" s="182"/>
    </row>
    <row r="6" spans="2:23" x14ac:dyDescent="0.25">
      <c r="B6" s="181"/>
      <c r="C6" s="1303" t="s">
        <v>1307</v>
      </c>
      <c r="D6" s="1304"/>
      <c r="E6" s="147">
        <f>'PIM Model'!$E$6</f>
        <v>0</v>
      </c>
      <c r="F6" s="424"/>
      <c r="G6" s="513" t="s">
        <v>1316</v>
      </c>
      <c r="H6" s="1299" t="str">
        <f>IF('Multi-Customer'!$AH$40 = "MULTIPLE MENU TYPES","MULTIPLE TYPES",'Multi-Customer'!$AH$40)</f>
        <v>MULTIPLE TYPES</v>
      </c>
      <c r="I6" s="1299"/>
      <c r="J6" s="1299"/>
      <c r="K6" s="1300"/>
      <c r="L6" s="182"/>
      <c r="R6" s="548"/>
    </row>
    <row r="7" spans="2:23" ht="15.75" thickBot="1" x14ac:dyDescent="0.3">
      <c r="B7" s="181"/>
      <c r="C7" s="1305" t="s">
        <v>1308</v>
      </c>
      <c r="D7" s="1306"/>
      <c r="E7" s="421">
        <f>IFERROR('PIM Ranges'!$AU$3,0)</f>
        <v>0</v>
      </c>
      <c r="F7" s="180"/>
      <c r="G7" s="514" t="s">
        <v>1309</v>
      </c>
      <c r="H7" s="1301" t="s">
        <v>207</v>
      </c>
      <c r="I7" s="1301"/>
      <c r="J7" s="1301"/>
      <c r="K7" s="1302"/>
      <c r="L7" s="182"/>
      <c r="P7" s="180"/>
      <c r="Q7" s="156"/>
      <c r="R7" s="549"/>
      <c r="S7" s="137"/>
      <c r="T7" s="156"/>
      <c r="U7" s="180"/>
      <c r="V7" s="156"/>
      <c r="W7" s="180"/>
    </row>
    <row r="8" spans="2:23" ht="13.9" customHeight="1" x14ac:dyDescent="0.25">
      <c r="B8" s="181"/>
      <c r="D8" s="139"/>
      <c r="E8" s="1259"/>
      <c r="F8" s="1259"/>
      <c r="G8"/>
      <c r="H8"/>
      <c r="I8" s="435"/>
      <c r="J8" s="27"/>
      <c r="K8" s="27"/>
      <c r="L8" s="182"/>
      <c r="P8" s="180"/>
      <c r="Q8" s="139"/>
      <c r="R8" s="550"/>
      <c r="S8" s="137"/>
      <c r="T8" s="227"/>
      <c r="U8" s="180"/>
      <c r="V8" s="228"/>
      <c r="W8" s="180"/>
    </row>
    <row r="9" spans="2:23" ht="13.9" customHeight="1" x14ac:dyDescent="0.25">
      <c r="B9" s="181"/>
      <c r="C9" s="275"/>
      <c r="D9" s="551"/>
      <c r="E9" s="191"/>
      <c r="F9" s="190"/>
      <c r="G9" s="190"/>
      <c r="H9" s="190"/>
      <c r="I9" s="552"/>
      <c r="J9" s="552"/>
      <c r="K9" s="553"/>
      <c r="L9" s="182"/>
      <c r="P9" s="180"/>
      <c r="Q9" s="139"/>
      <c r="R9" s="550"/>
      <c r="S9" s="137"/>
      <c r="T9" s="227"/>
      <c r="U9" s="180"/>
      <c r="V9" s="228"/>
      <c r="W9" s="180"/>
    </row>
    <row r="10" spans="2:23" ht="26.45" customHeight="1" x14ac:dyDescent="0.25">
      <c r="B10" s="181"/>
      <c r="C10" s="270"/>
      <c r="D10" s="6" t="s">
        <v>125</v>
      </c>
      <c r="E10" s="695" t="s">
        <v>1310</v>
      </c>
      <c r="F10" s="197"/>
      <c r="G10" s="695" t="s">
        <v>1311</v>
      </c>
      <c r="H10" s="197"/>
      <c r="I10" s="1307" t="s">
        <v>906</v>
      </c>
      <c r="J10" s="1307"/>
      <c r="K10" s="271"/>
      <c r="L10" s="182"/>
      <c r="P10" s="180"/>
      <c r="Q10" s="180"/>
      <c r="R10" s="554"/>
      <c r="S10" s="180"/>
      <c r="T10" s="180"/>
      <c r="U10" s="180"/>
      <c r="V10" s="180"/>
      <c r="W10" s="180"/>
    </row>
    <row r="11" spans="2:23" ht="23.45" customHeight="1" x14ac:dyDescent="0.25">
      <c r="B11" s="181"/>
      <c r="C11" s="270"/>
      <c r="D11" s="555" t="s">
        <v>1312</v>
      </c>
      <c r="E11" s="556">
        <f>'Variable Costs (Back)'!$AE$25</f>
        <v>0</v>
      </c>
      <c r="F11" s="197"/>
      <c r="G11" s="557">
        <f>IFERROR(E11/'PIM Model'!$H$31,0)</f>
        <v>0</v>
      </c>
      <c r="H11" s="197"/>
      <c r="I11" s="1308" t="str">
        <f>IFERROR($E11/$E$5,"")</f>
        <v/>
      </c>
      <c r="J11" s="1308"/>
      <c r="K11" s="271"/>
      <c r="L11" s="182"/>
      <c r="R11" s="548"/>
    </row>
    <row r="12" spans="2:23" ht="36" customHeight="1" x14ac:dyDescent="0.25">
      <c r="B12" s="181"/>
      <c r="C12" s="270"/>
      <c r="D12" s="1309" t="s">
        <v>702</v>
      </c>
      <c r="E12" s="1309"/>
      <c r="F12" s="558"/>
      <c r="G12" s="559"/>
      <c r="H12" s="197"/>
      <c r="I12" s="560"/>
      <c r="J12" s="561"/>
      <c r="K12" s="271"/>
      <c r="L12" s="182"/>
    </row>
    <row r="13" spans="2:23" s="835" customFormat="1" ht="23.45" customHeight="1" x14ac:dyDescent="0.25">
      <c r="B13" s="181"/>
      <c r="C13" s="270"/>
      <c r="D13" s="555" t="s">
        <v>1314</v>
      </c>
      <c r="E13" s="556">
        <f>'Tracking &amp; Profitability'!E26*-1</f>
        <v>0</v>
      </c>
      <c r="F13" s="197"/>
      <c r="G13" s="557">
        <f>'Tracking &amp; Profitability'!G26*-1</f>
        <v>0</v>
      </c>
      <c r="H13" s="197"/>
      <c r="I13" s="1308" t="str">
        <f>IFERROR(E13/E5,"")</f>
        <v/>
      </c>
      <c r="J13" s="1308"/>
      <c r="K13" s="271"/>
      <c r="L13" s="182"/>
    </row>
    <row r="14" spans="2:23" s="835" customFormat="1" ht="36.6" customHeight="1" x14ac:dyDescent="0.25">
      <c r="B14" s="181"/>
      <c r="C14" s="270"/>
      <c r="D14" s="1309" t="s">
        <v>1199</v>
      </c>
      <c r="E14" s="1309"/>
      <c r="F14" s="558"/>
      <c r="G14" s="559"/>
      <c r="H14" s="197"/>
      <c r="I14" s="560"/>
      <c r="J14" s="561"/>
      <c r="K14" s="271"/>
      <c r="L14" s="182"/>
    </row>
    <row r="15" spans="2:23" ht="23.45" customHeight="1" x14ac:dyDescent="0.25">
      <c r="B15" s="181"/>
      <c r="C15" s="270"/>
      <c r="D15" s="555" t="s">
        <v>1313</v>
      </c>
      <c r="E15" s="556">
        <f>'Variable Costs (Back)'!$AF$25</f>
        <v>0</v>
      </c>
      <c r="F15" s="197"/>
      <c r="G15" s="557">
        <f>IFERROR(E15/'PIM Model'!$H$31,0)</f>
        <v>0</v>
      </c>
      <c r="H15" s="197"/>
      <c r="I15" s="1308" t="str">
        <f>IFERROR($E15/$E$5,"")</f>
        <v/>
      </c>
      <c r="J15" s="1308"/>
      <c r="K15" s="271"/>
      <c r="L15" s="182"/>
    </row>
    <row r="16" spans="2:23" ht="26.45" customHeight="1" x14ac:dyDescent="0.25">
      <c r="B16" s="181"/>
      <c r="C16" s="270"/>
      <c r="D16" s="1298" t="s">
        <v>704</v>
      </c>
      <c r="E16" s="1298"/>
      <c r="F16" s="558"/>
      <c r="G16" s="559"/>
      <c r="H16" s="197"/>
      <c r="I16" s="560"/>
      <c r="J16" s="561"/>
      <c r="K16" s="271"/>
      <c r="L16" s="182"/>
    </row>
    <row r="17" spans="2:12" ht="23.45" customHeight="1" x14ac:dyDescent="0.25">
      <c r="B17" s="181"/>
      <c r="C17" s="270"/>
      <c r="D17" s="555" t="s">
        <v>1315</v>
      </c>
      <c r="E17" s="556">
        <f>'Variable Costs (Back)'!$AD$25</f>
        <v>0</v>
      </c>
      <c r="F17" s="197"/>
      <c r="G17" s="557">
        <f>IFERROR(E17/'PIM Model'!$H$31,0)</f>
        <v>0</v>
      </c>
      <c r="H17" s="197"/>
      <c r="I17" s="1308" t="str">
        <f>IFERROR($E17/$E$5,"")</f>
        <v/>
      </c>
      <c r="J17" s="1308"/>
      <c r="K17" s="271"/>
      <c r="L17" s="182"/>
    </row>
    <row r="18" spans="2:12" ht="25.9" customHeight="1" x14ac:dyDescent="0.25">
      <c r="B18" s="181"/>
      <c r="C18" s="270"/>
      <c r="D18" s="1298" t="s">
        <v>703</v>
      </c>
      <c r="E18" s="1310"/>
      <c r="F18" s="558"/>
      <c r="G18" s="559"/>
      <c r="H18" s="197"/>
      <c r="I18" s="561"/>
      <c r="J18" s="561"/>
      <c r="K18" s="271"/>
      <c r="L18" s="182"/>
    </row>
    <row r="19" spans="2:12" ht="25.15" customHeight="1" x14ac:dyDescent="0.25">
      <c r="B19" s="181"/>
      <c r="C19" s="270"/>
      <c r="D19" s="562" t="s">
        <v>231</v>
      </c>
      <c r="E19" s="563">
        <f>E11+E15+E17+E13</f>
        <v>0</v>
      </c>
      <c r="F19" s="197"/>
      <c r="G19" s="564">
        <f>IFERROR(E19/'PIM Model'!$H$31,0)</f>
        <v>0</v>
      </c>
      <c r="H19" s="565"/>
      <c r="I19" s="1312" t="str">
        <f>IFERROR($E19/$E$5,"")</f>
        <v/>
      </c>
      <c r="J19" s="1312"/>
      <c r="K19" s="271"/>
      <c r="L19" s="182"/>
    </row>
    <row r="20" spans="2:12" ht="13.9" customHeight="1" x14ac:dyDescent="0.25">
      <c r="B20" s="181"/>
      <c r="C20" s="272"/>
      <c r="D20" s="258"/>
      <c r="E20" s="258"/>
      <c r="F20" s="258"/>
      <c r="G20" s="258"/>
      <c r="H20" s="258"/>
      <c r="I20" s="566"/>
      <c r="J20" s="566"/>
      <c r="K20" s="273"/>
      <c r="L20" s="182"/>
    </row>
    <row r="21" spans="2:12" s="180" customFormat="1" ht="13.9" customHeight="1" x14ac:dyDescent="0.25">
      <c r="B21" s="567"/>
      <c r="L21" s="186"/>
    </row>
    <row r="22" spans="2:12" ht="13.9" customHeight="1" x14ac:dyDescent="0.25">
      <c r="B22" s="181"/>
      <c r="C22" s="275"/>
      <c r="D22" s="190"/>
      <c r="E22" s="190"/>
      <c r="F22" s="190"/>
      <c r="G22" s="190"/>
      <c r="H22" s="190"/>
      <c r="I22" s="568"/>
      <c r="J22" s="568"/>
      <c r="K22" s="276"/>
      <c r="L22" s="182"/>
    </row>
    <row r="23" spans="2:12" ht="16.149999999999999" customHeight="1" x14ac:dyDescent="0.25">
      <c r="B23" s="181"/>
      <c r="C23" s="270"/>
      <c r="D23" s="569" t="s">
        <v>970</v>
      </c>
      <c r="E23" s="570">
        <f>IFERROR('EB_CM (Back)'!$G$47,0)</f>
        <v>0</v>
      </c>
      <c r="F23" s="197"/>
      <c r="G23" s="571">
        <f>IFERROR(E23/'PIM Model'!$H$31,0)</f>
        <v>0</v>
      </c>
      <c r="H23" s="197"/>
      <c r="I23" s="1308" t="str">
        <f>IFERROR($E23/$E$5,"")</f>
        <v/>
      </c>
      <c r="J23" s="1308"/>
      <c r="K23" s="271"/>
      <c r="L23" s="182"/>
    </row>
    <row r="24" spans="2:12" ht="16.149999999999999" customHeight="1" x14ac:dyDescent="0.25">
      <c r="B24" s="181"/>
      <c r="C24" s="270"/>
      <c r="D24" s="1313" t="s">
        <v>953</v>
      </c>
      <c r="E24" s="1313"/>
      <c r="F24" s="558"/>
      <c r="G24" s="559"/>
      <c r="H24" s="197"/>
      <c r="I24" s="561"/>
      <c r="J24" s="561"/>
      <c r="K24" s="271"/>
      <c r="L24" s="182"/>
    </row>
    <row r="25" spans="2:12" ht="13.9" customHeight="1" x14ac:dyDescent="0.25">
      <c r="B25" s="181"/>
      <c r="C25" s="272"/>
      <c r="D25" s="572"/>
      <c r="E25" s="573"/>
      <c r="F25" s="258"/>
      <c r="G25" s="574"/>
      <c r="H25" s="258"/>
      <c r="I25" s="566"/>
      <c r="J25" s="566"/>
      <c r="K25" s="273"/>
      <c r="L25" s="182"/>
    </row>
    <row r="26" spans="2:12" ht="13.9" customHeight="1" x14ac:dyDescent="0.25">
      <c r="B26" s="181"/>
      <c r="C26" s="180"/>
      <c r="D26" s="180"/>
      <c r="E26" s="180"/>
      <c r="H26" s="180"/>
      <c r="I26" s="180"/>
      <c r="J26" s="180"/>
      <c r="K26" s="180"/>
      <c r="L26" s="182"/>
    </row>
    <row r="27" spans="2:12" ht="13.9" customHeight="1" x14ac:dyDescent="0.25">
      <c r="B27" s="181"/>
      <c r="C27" s="275"/>
      <c r="D27" s="190"/>
      <c r="E27" s="190"/>
      <c r="F27" s="190"/>
      <c r="G27" s="190"/>
      <c r="H27" s="190"/>
      <c r="I27" s="568"/>
      <c r="J27" s="568"/>
      <c r="K27" s="276"/>
      <c r="L27" s="182"/>
    </row>
    <row r="28" spans="2:12" ht="26.45" customHeight="1" x14ac:dyDescent="0.25">
      <c r="B28" s="181"/>
      <c r="C28" s="270"/>
      <c r="D28" s="6" t="s">
        <v>220</v>
      </c>
      <c r="E28" s="695" t="s">
        <v>1310</v>
      </c>
      <c r="F28" s="197"/>
      <c r="G28" s="695" t="s">
        <v>1311</v>
      </c>
      <c r="H28" s="197"/>
      <c r="I28" s="1307" t="s">
        <v>906</v>
      </c>
      <c r="J28" s="1307"/>
      <c r="K28" s="271"/>
      <c r="L28" s="182"/>
    </row>
    <row r="29" spans="2:12" ht="25.15" customHeight="1" x14ac:dyDescent="0.25">
      <c r="B29" s="181"/>
      <c r="C29" s="270"/>
      <c r="D29" s="569" t="s">
        <v>224</v>
      </c>
      <c r="E29" s="570">
        <f>IFERROR('EB_CM (Back)'!$F$47,0)</f>
        <v>0</v>
      </c>
      <c r="F29" s="197"/>
      <c r="G29" s="557">
        <f>IFERROR(E29/'PIM Model'!$H$31,0)</f>
        <v>0</v>
      </c>
      <c r="H29" s="197"/>
      <c r="I29" s="1308" t="str">
        <f>IFERROR($E29/$E$5,"")</f>
        <v/>
      </c>
      <c r="J29" s="1308"/>
      <c r="K29" s="271"/>
      <c r="L29" s="182"/>
    </row>
    <row r="30" spans="2:12" ht="17.45" customHeight="1" x14ac:dyDescent="0.25">
      <c r="B30" s="181"/>
      <c r="C30" s="270"/>
      <c r="D30" s="569" t="s">
        <v>223</v>
      </c>
      <c r="E30" s="570">
        <f>IFERROR(VLOOKUP($H$4,'Variable Div Avgs'!$D:$L,9,FALSE)*'PIM Model'!$H$31,0)</f>
        <v>0</v>
      </c>
      <c r="F30" s="197"/>
      <c r="G30" s="557">
        <f>IFERROR(E30/'PIM Model'!$H$31,0)</f>
        <v>0</v>
      </c>
      <c r="H30" s="197"/>
      <c r="I30" s="1308" t="str">
        <f>IFERROR($E30/$E$5,"")</f>
        <v/>
      </c>
      <c r="J30" s="1308"/>
      <c r="K30" s="271"/>
      <c r="L30" s="182"/>
    </row>
    <row r="31" spans="2:12" ht="27.6" customHeight="1" x14ac:dyDescent="0.25">
      <c r="B31" s="181"/>
      <c r="C31" s="575"/>
      <c r="D31" s="1298" t="s">
        <v>233</v>
      </c>
      <c r="E31" s="1298"/>
      <c r="F31" s="576"/>
      <c r="G31" s="576"/>
      <c r="H31" s="576"/>
      <c r="I31" s="566"/>
      <c r="J31" s="566"/>
      <c r="K31" s="273"/>
      <c r="L31" s="182"/>
    </row>
    <row r="32" spans="2:12" s="1061" customFormat="1" ht="27.6" customHeight="1" x14ac:dyDescent="0.25">
      <c r="B32" s="181"/>
      <c r="C32" s="180"/>
      <c r="D32" s="180"/>
      <c r="E32" s="180"/>
      <c r="H32" s="180"/>
      <c r="I32" s="180"/>
      <c r="J32" s="180"/>
      <c r="K32" s="180"/>
      <c r="L32" s="182"/>
    </row>
    <row r="33" spans="2:12" s="1061" customFormat="1" ht="27.6" customHeight="1" x14ac:dyDescent="0.25">
      <c r="B33" s="181"/>
      <c r="C33" s="275"/>
      <c r="D33" s="190"/>
      <c r="E33" s="190"/>
      <c r="F33" s="190"/>
      <c r="G33" s="190"/>
      <c r="H33" s="190"/>
      <c r="I33" s="568"/>
      <c r="J33" s="568"/>
      <c r="K33" s="276"/>
      <c r="L33" s="182"/>
    </row>
    <row r="34" spans="2:12" s="1061" customFormat="1" ht="23.25" customHeight="1" x14ac:dyDescent="0.25">
      <c r="B34" s="181"/>
      <c r="C34" s="270"/>
      <c r="D34" s="6" t="s">
        <v>1407</v>
      </c>
      <c r="E34" s="1062" t="s">
        <v>269</v>
      </c>
      <c r="F34" s="197"/>
      <c r="G34" s="1062" t="s">
        <v>1311</v>
      </c>
      <c r="H34" s="197"/>
      <c r="I34" s="1063"/>
      <c r="J34" s="1063"/>
      <c r="K34" s="271"/>
      <c r="L34" s="182"/>
    </row>
    <row r="35" spans="2:12" s="1061" customFormat="1" ht="23.25" customHeight="1" x14ac:dyDescent="0.25">
      <c r="B35" s="181"/>
      <c r="C35" s="270"/>
      <c r="D35" s="569" t="s">
        <v>1408</v>
      </c>
      <c r="E35" s="1073">
        <f>IFERROR('Customer Inputs'!BA16,0)</f>
        <v>0</v>
      </c>
      <c r="F35" s="197"/>
      <c r="G35" s="1063"/>
      <c r="H35" s="197"/>
      <c r="I35" s="1063"/>
      <c r="J35" s="1063"/>
      <c r="K35" s="271"/>
      <c r="L35" s="182"/>
    </row>
    <row r="36" spans="2:12" s="1061" customFormat="1" ht="22.5" customHeight="1" x14ac:dyDescent="0.25">
      <c r="B36" s="181"/>
      <c r="C36" s="270"/>
      <c r="D36" s="569" t="s">
        <v>1409</v>
      </c>
      <c r="E36" s="1073">
        <f>IFERROR('Customer Inputs'!BD16,0)</f>
        <v>0</v>
      </c>
      <c r="F36" s="197"/>
      <c r="G36" s="557">
        <f>IFERROR(E36*'Customer Inputs'!BC16/'PIM Model'!$H$31,0)</f>
        <v>0</v>
      </c>
      <c r="H36" s="197"/>
      <c r="I36" s="1063"/>
      <c r="J36" s="1063"/>
      <c r="K36" s="271"/>
      <c r="L36" s="182"/>
    </row>
    <row r="37" spans="2:12" s="1061" customFormat="1" ht="27.6" customHeight="1" x14ac:dyDescent="0.25">
      <c r="B37" s="181"/>
      <c r="C37" s="575"/>
      <c r="D37" s="1298"/>
      <c r="E37" s="1298"/>
      <c r="F37" s="576"/>
      <c r="G37" s="576"/>
      <c r="H37" s="576"/>
      <c r="I37" s="566"/>
      <c r="J37" s="566"/>
      <c r="K37" s="273"/>
      <c r="L37" s="182"/>
    </row>
    <row r="38" spans="2:12" ht="21.6" customHeight="1" thickBot="1" x14ac:dyDescent="0.3">
      <c r="B38" s="698"/>
      <c r="C38" s="691"/>
      <c r="D38" s="691"/>
      <c r="E38" s="691"/>
      <c r="F38" s="691"/>
      <c r="G38" s="691"/>
      <c r="H38" s="691"/>
      <c r="I38" s="691"/>
      <c r="J38" s="691"/>
      <c r="K38" s="691"/>
      <c r="L38" s="699"/>
    </row>
    <row r="39" spans="2:12" ht="39" customHeight="1" x14ac:dyDescent="0.25"/>
  </sheetData>
  <sheetProtection algorithmName="SHA-512" hashValue="2JlRU5Q//51PJUeXKOSfjeljkASBuivDN8NocpT9qJQvNnWEDI9gRybWiphDsBKhRoAEqV0Hi4gy6V65J3rdFg==" saltValue="9clxfoGeTGz76E6dnB6Muw=="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topLeftCell="A2" zoomScale="80" zoomScaleNormal="80" zoomScaleSheetLayoutView="100" workbookViewId="0">
      <selection activeCell="B2" sqref="B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77" customWidth="1"/>
    <col min="5" max="5" width="24.7109375" style="5" customWidth="1"/>
    <col min="6" max="6" width="2.140625" style="5" customWidth="1"/>
    <col min="7" max="7" width="27.140625" style="179" customWidth="1"/>
    <col min="8" max="8" width="2.85546875" style="179" customWidth="1"/>
    <col min="9" max="9" width="17.7109375" style="179" bestFit="1" customWidth="1"/>
    <col min="10" max="10" width="15.140625" style="179" customWidth="1"/>
    <col min="11" max="11" width="17.7109375" style="179" customWidth="1"/>
    <col min="12" max="12" width="2.5703125" style="179" customWidth="1"/>
    <col min="13" max="13" width="17" style="179" customWidth="1"/>
    <col min="14" max="14" width="18.28515625" style="5" customWidth="1"/>
    <col min="15" max="15" width="3.5703125" style="5" customWidth="1"/>
    <col min="16" max="16" width="2" style="880" customWidth="1"/>
    <col min="17" max="17" width="10.85546875" style="179" customWidth="1"/>
    <col min="18" max="18" width="11.5703125" style="880" bestFit="1" customWidth="1"/>
    <col min="19" max="19" width="2.42578125" style="179" customWidth="1"/>
    <col min="20" max="20" width="13.140625" style="179"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16384" width="8.85546875" style="5"/>
  </cols>
  <sheetData>
    <row r="1" spans="1:31" ht="15" customHeight="1" thickBot="1" x14ac:dyDescent="0.3">
      <c r="A1" s="5" t="s">
        <v>534</v>
      </c>
      <c r="U1" s="742" t="str">
        <f>N22</f>
        <v/>
      </c>
      <c r="X1" s="742" t="str">
        <f>IF(AND(NOT(ISBLANK(Welcome!D8)),Welcome!$D$8 &lt;&gt; "CIA"),IF(COUNTBLANK('PIM Model'!K10:K30)&gt;0,"TRUE","FALSE"),"FALSE")</f>
        <v>FALSE</v>
      </c>
    </row>
    <row r="2" spans="1:31" ht="21" x14ac:dyDescent="0.25">
      <c r="B2" s="734"/>
      <c r="C2" s="578" t="s">
        <v>129</v>
      </c>
      <c r="D2" s="175"/>
      <c r="E2" s="578"/>
      <c r="F2" s="579"/>
      <c r="G2" s="177"/>
      <c r="H2" s="177"/>
      <c r="I2" s="177"/>
      <c r="J2" s="177"/>
      <c r="K2" s="177"/>
      <c r="L2" s="177"/>
      <c r="M2" s="177"/>
      <c r="N2" s="175"/>
      <c r="O2" s="175"/>
      <c r="P2" s="881"/>
      <c r="Q2" s="177"/>
      <c r="R2" s="881"/>
      <c r="S2" s="580"/>
    </row>
    <row r="3" spans="1:31" ht="8.4499999999999993" customHeight="1" thickBot="1" x14ac:dyDescent="0.3">
      <c r="B3" s="181"/>
      <c r="D3" s="5"/>
      <c r="F3" s="180"/>
      <c r="G3" s="5"/>
      <c r="H3" s="5"/>
      <c r="I3" s="5"/>
      <c r="J3" s="1053"/>
      <c r="K3" s="1053"/>
      <c r="L3" s="1053"/>
      <c r="M3" s="1053"/>
      <c r="S3" s="279"/>
    </row>
    <row r="4" spans="1:31" ht="14.45" customHeight="1" x14ac:dyDescent="0.25">
      <c r="B4" s="181"/>
      <c r="C4" s="1316" t="s">
        <v>1298</v>
      </c>
      <c r="D4" s="1317"/>
      <c r="E4" s="697">
        <f>Welcome!$D$8</f>
        <v>0</v>
      </c>
      <c r="F4" s="142"/>
      <c r="G4" s="512" t="s">
        <v>110</v>
      </c>
      <c r="H4" s="1266" t="str">
        <f>IFERROR(VLOOKUP($H$5,'Market Geography'!$D:$G,4,FALSE),"Select Market")</f>
        <v>Select Market</v>
      </c>
      <c r="I4" s="1267"/>
      <c r="J4" s="1268"/>
      <c r="K4" s="1053"/>
      <c r="L4" s="1053"/>
      <c r="M4" s="1053"/>
      <c r="N4" s="1053"/>
      <c r="O4" s="1053"/>
      <c r="P4" s="884"/>
      <c r="Q4" s="886"/>
      <c r="R4" s="791"/>
      <c r="S4" s="581"/>
    </row>
    <row r="5" spans="1:31" x14ac:dyDescent="0.25">
      <c r="B5" s="181"/>
      <c r="C5" s="1303" t="s">
        <v>1299</v>
      </c>
      <c r="D5" s="1304"/>
      <c r="E5" s="389" t="str">
        <f>Welcome!$D$12</f>
        <v>Select Term</v>
      </c>
      <c r="F5" s="142"/>
      <c r="G5" s="513" t="s">
        <v>901</v>
      </c>
      <c r="H5" s="1263">
        <f>Welcome!$D$4</f>
        <v>0</v>
      </c>
      <c r="I5" s="1264"/>
      <c r="J5" s="1265"/>
      <c r="K5" s="1053"/>
      <c r="L5" s="1053"/>
      <c r="M5" s="1053"/>
      <c r="N5" s="1053"/>
      <c r="O5" s="1053"/>
      <c r="P5" s="884"/>
      <c r="Q5" s="886"/>
      <c r="R5" s="791"/>
      <c r="S5" s="581"/>
    </row>
    <row r="6" spans="1:31" x14ac:dyDescent="0.25">
      <c r="B6" s="181"/>
      <c r="C6" s="1303" t="s">
        <v>1306</v>
      </c>
      <c r="D6" s="1304"/>
      <c r="E6" s="390">
        <f>IFERROR('PIM Model'!$G$31,0)</f>
        <v>0</v>
      </c>
      <c r="F6" s="423"/>
      <c r="G6" s="513" t="s">
        <v>107</v>
      </c>
      <c r="H6" s="1263" t="str">
        <f>'Multi-Customer'!$S$49</f>
        <v>Enter Customer(s)</v>
      </c>
      <c r="I6" s="1264"/>
      <c r="J6" s="1265"/>
      <c r="K6" s="1053"/>
      <c r="L6" s="1053"/>
      <c r="M6" s="1053"/>
      <c r="N6" s="1053"/>
      <c r="O6" s="1053"/>
      <c r="P6" s="884"/>
      <c r="Q6" s="886"/>
      <c r="R6" s="791"/>
      <c r="S6" s="581"/>
    </row>
    <row r="7" spans="1:31" x14ac:dyDescent="0.25">
      <c r="B7" s="181"/>
      <c r="C7" s="1303" t="s">
        <v>1307</v>
      </c>
      <c r="D7" s="1304"/>
      <c r="E7" s="582">
        <f>IFERROR('Variable Costs (Back)'!$K$26,0)</f>
        <v>0</v>
      </c>
      <c r="F7" s="180"/>
      <c r="G7" s="513" t="s">
        <v>1316</v>
      </c>
      <c r="H7" s="1263" t="str">
        <f>'Multi-Customer'!$AH$40</f>
        <v>MULTIPLE TYPES</v>
      </c>
      <c r="I7" s="1264"/>
      <c r="J7" s="1265"/>
      <c r="K7" s="1053"/>
      <c r="L7" s="1053"/>
      <c r="M7" s="1053"/>
      <c r="N7" s="1053"/>
      <c r="O7" s="1053"/>
      <c r="P7" s="884"/>
      <c r="Q7" s="886"/>
      <c r="R7" s="791"/>
      <c r="S7" s="581"/>
    </row>
    <row r="8" spans="1:31" ht="15.75" thickBot="1" x14ac:dyDescent="0.3">
      <c r="B8" s="181"/>
      <c r="C8" s="1305" t="s">
        <v>1308</v>
      </c>
      <c r="D8" s="1306"/>
      <c r="E8" s="421">
        <f>IFERROR('PIM Ranges'!$AU$3,0)</f>
        <v>0</v>
      </c>
      <c r="F8" s="424"/>
      <c r="G8" s="514" t="s">
        <v>1309</v>
      </c>
      <c r="H8" s="1285" t="s">
        <v>207</v>
      </c>
      <c r="I8" s="1286"/>
      <c r="J8" s="1287"/>
      <c r="K8" s="1053"/>
      <c r="L8" s="1053"/>
      <c r="M8" s="1053"/>
      <c r="N8" s="1053"/>
      <c r="O8" s="1053"/>
      <c r="P8" s="885"/>
      <c r="Q8" s="886"/>
      <c r="R8" s="791"/>
      <c r="S8" s="583"/>
    </row>
    <row r="9" spans="1:31" ht="8.4499999999999993" customHeight="1" x14ac:dyDescent="0.25">
      <c r="B9" s="181"/>
      <c r="D9" s="139"/>
      <c r="E9" s="696"/>
      <c r="F9" s="696"/>
      <c r="G9" s="696"/>
      <c r="H9" s="696"/>
      <c r="I9" s="696"/>
      <c r="J9" s="1051"/>
      <c r="K9" s="1051"/>
      <c r="L9" s="1051"/>
      <c r="M9" s="1051"/>
      <c r="S9" s="279"/>
    </row>
    <row r="10" spans="1:31" ht="7.9" customHeight="1" x14ac:dyDescent="0.25">
      <c r="B10" s="181"/>
      <c r="C10" s="275"/>
      <c r="D10" s="584"/>
      <c r="E10" s="190"/>
      <c r="F10" s="190"/>
      <c r="G10" s="190"/>
      <c r="H10" s="190"/>
      <c r="I10" s="190"/>
      <c r="J10" s="190"/>
      <c r="K10" s="190"/>
      <c r="L10" s="190"/>
      <c r="M10" s="190"/>
      <c r="N10" s="190"/>
      <c r="O10" s="194"/>
      <c r="P10"/>
      <c r="Q10" s="882"/>
      <c r="R10" s="879"/>
      <c r="S10" s="182"/>
      <c r="T10" s="5"/>
    </row>
    <row r="11" spans="1:31" ht="18.600000000000001" customHeight="1" x14ac:dyDescent="0.25">
      <c r="B11" s="181"/>
      <c r="C11" s="270"/>
      <c r="D11" s="7"/>
      <c r="E11" s="6" t="s">
        <v>1310</v>
      </c>
      <c r="F11" s="35"/>
      <c r="G11" s="203" t="s">
        <v>1311</v>
      </c>
      <c r="H11" s="205"/>
      <c r="I11" s="197"/>
      <c r="J11" s="197"/>
      <c r="K11" s="197"/>
      <c r="L11" s="197"/>
      <c r="M11" s="197"/>
      <c r="N11" s="197"/>
      <c r="O11" s="199"/>
      <c r="P11"/>
      <c r="Q11" s="1323" t="s">
        <v>1249</v>
      </c>
      <c r="R11" s="1323"/>
      <c r="S11" s="182"/>
      <c r="T11" s="5"/>
    </row>
    <row r="12" spans="1:31" ht="21" customHeight="1" x14ac:dyDescent="0.25">
      <c r="B12" s="181"/>
      <c r="C12" s="270"/>
      <c r="D12" s="757" t="s">
        <v>705</v>
      </c>
      <c r="E12" s="758">
        <f>IFERROR('PIM Model'!$G$31,0)</f>
        <v>0</v>
      </c>
      <c r="F12" s="36"/>
      <c r="G12" s="759">
        <f>IFERROR(E12/'PIM Model'!$H$31,0)</f>
        <v>0</v>
      </c>
      <c r="H12" s="586"/>
      <c r="I12" s="587"/>
      <c r="J12" s="587"/>
      <c r="K12" s="587"/>
      <c r="L12" s="587"/>
      <c r="M12" s="587"/>
      <c r="N12" s="588" t="str">
        <f>IF(AND(Welcome!D8="CIA",E12&lt;150000),"Spend",IF(AND(OR(Welcome!D8="MDA",Welcome!D8="PON Only",Welcome!D8="PON with Existing CIA",Welcome!D8="PON with New CIA"),E12&lt;250000),"Spend",IF(E12&gt;2500000,"Spend Maximum Exceeded. Go to Custom","Approve")))</f>
        <v>Approve</v>
      </c>
      <c r="O12" s="589"/>
      <c r="P12"/>
      <c r="Q12" s="974"/>
      <c r="R12" s="975"/>
      <c r="S12" s="182"/>
      <c r="T12" s="5"/>
    </row>
    <row r="13" spans="1:31" ht="21" customHeight="1" x14ac:dyDescent="0.25">
      <c r="B13" s="181"/>
      <c r="C13" s="270"/>
      <c r="D13" s="8" t="s">
        <v>497</v>
      </c>
      <c r="E13" s="12">
        <f>IFERROR('PIM Model'!$I$34,0)</f>
        <v>0</v>
      </c>
      <c r="F13" s="36"/>
      <c r="G13" s="585">
        <f>IFERROR(E13/'PIM Model'!$H$31,0)</f>
        <v>0</v>
      </c>
      <c r="H13" s="586"/>
      <c r="I13" s="587"/>
      <c r="J13" s="593"/>
      <c r="K13" s="587"/>
      <c r="L13" s="587"/>
      <c r="M13" s="587"/>
      <c r="N13" s="590" t="str">
        <f>IF(E13&gt;0,IF(N17=0,IF(X1="FALSE","Approve","Reject"),"Reject"),"")</f>
        <v/>
      </c>
      <c r="O13" s="589"/>
      <c r="P13"/>
      <c r="Q13" s="974"/>
      <c r="R13" s="975"/>
      <c r="S13" s="182"/>
      <c r="T13" s="5"/>
    </row>
    <row r="14" spans="1:31" ht="7.15" customHeight="1" x14ac:dyDescent="0.25">
      <c r="B14" s="181"/>
      <c r="C14" s="270"/>
      <c r="D14" s="760"/>
      <c r="E14" s="761"/>
      <c r="F14" s="761"/>
      <c r="G14" s="754"/>
      <c r="H14" s="754"/>
      <c r="I14" s="755"/>
      <c r="J14" s="593"/>
      <c r="K14" s="587"/>
      <c r="L14" s="587"/>
      <c r="M14" s="587"/>
      <c r="N14" s="756"/>
      <c r="O14" s="589"/>
      <c r="P14"/>
      <c r="Q14" s="882"/>
      <c r="R14" s="879"/>
      <c r="S14" s="182"/>
      <c r="T14" s="5"/>
    </row>
    <row r="15" spans="1:31" ht="21" customHeight="1" x14ac:dyDescent="0.25">
      <c r="B15" s="181"/>
      <c r="C15" s="270"/>
      <c r="D15" s="760"/>
      <c r="E15" s="6" t="s">
        <v>1310</v>
      </c>
      <c r="F15" s="35"/>
      <c r="G15" s="127" t="s">
        <v>1311</v>
      </c>
      <c r="H15" s="591"/>
      <c r="I15" s="203" t="s">
        <v>906</v>
      </c>
      <c r="J15" s="593"/>
      <c r="K15" s="587"/>
      <c r="L15" s="587"/>
      <c r="M15" s="587"/>
      <c r="N15" s="756"/>
      <c r="O15" s="589"/>
      <c r="P15"/>
      <c r="Q15" s="882"/>
      <c r="R15" s="879"/>
      <c r="S15" s="182"/>
      <c r="T15" s="5"/>
      <c r="AE15" s="5" t="e">
        <f>Incentives!G91&gt;ROUNDUP((((VLOOKUP('Variable Selling'!$A$2,'CC MARKET EXPENSE'!$A:$D,4,0))*100)*50/100)/0.25,0)*0.25/100</f>
        <v>#N/A</v>
      </c>
    </row>
    <row r="16" spans="1:31" ht="24" customHeight="1" x14ac:dyDescent="0.25">
      <c r="B16" s="181"/>
      <c r="C16" s="270"/>
      <c r="D16" s="16" t="s">
        <v>1073</v>
      </c>
      <c r="E16" s="762">
        <v>0</v>
      </c>
      <c r="F16" s="126"/>
      <c r="G16" s="755"/>
      <c r="H16" s="754"/>
      <c r="I16" s="755"/>
      <c r="J16" s="593"/>
      <c r="K16" s="587"/>
      <c r="L16" s="587"/>
      <c r="M16" s="587"/>
      <c r="N16" s="756"/>
      <c r="O16" s="589"/>
      <c r="P16"/>
      <c r="Q16" s="882"/>
      <c r="R16" s="879"/>
      <c r="S16" s="182"/>
      <c r="T16" s="5"/>
    </row>
    <row r="17" spans="2:20" ht="24" customHeight="1" x14ac:dyDescent="0.25">
      <c r="B17" s="181"/>
      <c r="C17" s="270"/>
      <c r="D17" s="16" t="s">
        <v>1398</v>
      </c>
      <c r="E17" s="12">
        <f>IFERROR('EB_CM (Back)'!$G$47*-1,0)-E16</f>
        <v>0</v>
      </c>
      <c r="F17" s="36"/>
      <c r="G17" s="585">
        <f>IFERROR(E17/'PIM Model'!$H$31,0)</f>
        <v>0</v>
      </c>
      <c r="H17" s="591"/>
      <c r="I17" s="594">
        <f>IFERROR(E17/E12,0)</f>
        <v>0</v>
      </c>
      <c r="J17" s="593"/>
      <c r="K17" s="587"/>
      <c r="L17" s="587"/>
      <c r="M17" s="587"/>
      <c r="N17" s="976">
        <f>COUNTIF('PIM Model'!$AB$10:$AB$30,"ERROR")+COUNTIFS('PIM Model'!$AF$10:$AJ$30,"BELOW")</f>
        <v>0</v>
      </c>
      <c r="O17" s="592"/>
      <c r="P17"/>
      <c r="Q17" s="882"/>
      <c r="R17" s="879"/>
      <c r="S17" s="182"/>
      <c r="T17" s="5"/>
    </row>
    <row r="18" spans="2:20" ht="13.15" customHeight="1" x14ac:dyDescent="0.25">
      <c r="B18" s="181"/>
      <c r="C18" s="270"/>
      <c r="D18" s="197"/>
      <c r="E18" s="197"/>
      <c r="F18" s="197"/>
      <c r="G18" s="197"/>
      <c r="H18" s="591"/>
      <c r="I18" s="593"/>
      <c r="J18" s="593"/>
      <c r="K18" s="587"/>
      <c r="L18" s="587"/>
      <c r="M18" s="587"/>
      <c r="N18" s="593"/>
      <c r="O18" s="592"/>
      <c r="P18"/>
      <c r="Q18" s="882"/>
      <c r="R18" s="879"/>
      <c r="S18" s="182"/>
      <c r="T18" s="5"/>
    </row>
    <row r="19" spans="2:20" ht="21.6" customHeight="1" x14ac:dyDescent="0.25">
      <c r="B19" s="181"/>
      <c r="C19" s="270"/>
      <c r="D19" s="197"/>
      <c r="E19" s="6" t="s">
        <v>1310</v>
      </c>
      <c r="F19" s="35"/>
      <c r="G19" s="203" t="s">
        <v>1311</v>
      </c>
      <c r="H19" s="591"/>
      <c r="I19" s="203" t="s">
        <v>906</v>
      </c>
      <c r="J19" s="593"/>
      <c r="K19" s="587"/>
      <c r="L19" s="587"/>
      <c r="M19" s="587"/>
      <c r="N19" s="593"/>
      <c r="O19" s="592"/>
      <c r="P19"/>
      <c r="Q19" s="882"/>
      <c r="R19" s="879"/>
      <c r="S19" s="182"/>
      <c r="T19" s="5"/>
    </row>
    <row r="20" spans="2:20" ht="21.6" customHeight="1" x14ac:dyDescent="0.25">
      <c r="B20" s="181"/>
      <c r="C20" s="270"/>
      <c r="D20" s="8" t="s">
        <v>973</v>
      </c>
      <c r="E20" s="12">
        <f>E13+E17</f>
        <v>0</v>
      </c>
      <c r="F20" s="36"/>
      <c r="G20" s="585">
        <f>IFERROR(E20/'PIM Model'!$H$31,0)</f>
        <v>0</v>
      </c>
      <c r="H20" s="591"/>
      <c r="I20" s="594">
        <f>IFERROR(E20/E12,0)</f>
        <v>0</v>
      </c>
      <c r="J20" s="593"/>
      <c r="K20" s="587"/>
      <c r="L20" s="587"/>
      <c r="M20" s="587"/>
      <c r="N20" s="593"/>
      <c r="O20" s="592"/>
      <c r="P20"/>
      <c r="Q20" s="882"/>
      <c r="R20" s="879"/>
      <c r="S20" s="182"/>
      <c r="T20" s="5"/>
    </row>
    <row r="21" spans="2:20" x14ac:dyDescent="0.25">
      <c r="B21" s="181"/>
      <c r="C21" s="270"/>
      <c r="D21" s="7"/>
      <c r="E21" s="591"/>
      <c r="F21" s="591"/>
      <c r="G21" s="591"/>
      <c r="H21" s="591"/>
      <c r="I21" s="593"/>
      <c r="J21" s="593"/>
      <c r="K21" s="587"/>
      <c r="L21" s="587"/>
      <c r="M21" s="587"/>
      <c r="N21" s="593"/>
      <c r="O21" s="592"/>
      <c r="P21"/>
      <c r="Q21" s="1318" t="s">
        <v>1249</v>
      </c>
      <c r="R21" s="1319"/>
      <c r="S21" s="182"/>
      <c r="T21" s="5"/>
    </row>
    <row r="22" spans="2:20" ht="24" customHeight="1" x14ac:dyDescent="0.25">
      <c r="B22" s="181"/>
      <c r="C22" s="270"/>
      <c r="D22" s="16" t="s">
        <v>1399</v>
      </c>
      <c r="E22" s="12">
        <f>IFERROR(Incentives!$M$94*-1,0)</f>
        <v>0</v>
      </c>
      <c r="F22" s="595">
        <f>Incentives!$M$96</f>
        <v>0</v>
      </c>
      <c r="G22" s="585">
        <f>IFERROR(E22/'PIM Model'!$H$31,0)</f>
        <v>0</v>
      </c>
      <c r="H22" s="586"/>
      <c r="I22" s="745" t="str">
        <f>IF(Incentives!$M$97&gt;0,"**Missing Incentive Payment Method**","")</f>
        <v/>
      </c>
      <c r="J22" s="745"/>
      <c r="K22" s="745"/>
      <c r="L22" s="745"/>
      <c r="M22" s="745"/>
      <c r="N22" s="560" t="str">
        <f>IF(M22="Yes","Approve",IF(E22=0,"",IF(AND(Incentives!$E$89="YES",Welcome!D14="NO"),"Reject",IF(F22&gt;0.05,"Reject",IF(Incentives!$G$91&gt;ROUNDUP((((VLOOKUP('Variable Selling'!$A$2,'CC MARKET EXPENSE'!$A:$D,4,0))*100)*50/100)/0.25,0)*0.25/100,"Reject",IF(Incentives!M71&gt;=10000,"Caution",IF(Incentives!K66+O78&gt;=10000,"Caution","Approve")))))))</f>
        <v/>
      </c>
      <c r="O22" s="596"/>
      <c r="P22"/>
      <c r="Q22" s="887"/>
      <c r="R22" s="888"/>
      <c r="S22" s="182"/>
      <c r="T22" s="5"/>
    </row>
    <row r="23" spans="2:20" ht="21.6" customHeight="1" x14ac:dyDescent="0.25">
      <c r="B23" s="181"/>
      <c r="C23" s="270"/>
      <c r="D23" s="8" t="s">
        <v>1400</v>
      </c>
      <c r="E23" s="12">
        <f>E20+E22</f>
        <v>0</v>
      </c>
      <c r="F23" s="36"/>
      <c r="G23" s="585">
        <f>IFERROR(E23/'PIM Model'!$H$31,0)</f>
        <v>0</v>
      </c>
      <c r="H23" s="586"/>
      <c r="I23" s="197"/>
      <c r="J23" s="197"/>
      <c r="K23" s="197"/>
      <c r="L23" s="197"/>
      <c r="M23" s="197"/>
      <c r="N23" s="197"/>
      <c r="O23" s="199"/>
      <c r="P23"/>
      <c r="Q23" s="882"/>
      <c r="R23" s="879"/>
      <c r="S23" s="182"/>
      <c r="T23" s="5"/>
    </row>
    <row r="24" spans="2:20" ht="11.45" customHeight="1" x14ac:dyDescent="0.25">
      <c r="B24" s="181"/>
      <c r="C24" s="270"/>
      <c r="D24" s="7"/>
      <c r="E24" s="591"/>
      <c r="F24" s="591"/>
      <c r="G24" s="597"/>
      <c r="H24" s="597"/>
      <c r="I24" s="197"/>
      <c r="J24" s="197"/>
      <c r="K24" s="197"/>
      <c r="L24" s="197"/>
      <c r="M24" s="197"/>
      <c r="N24" s="197"/>
      <c r="O24" s="199"/>
      <c r="P24"/>
      <c r="Q24" s="882"/>
      <c r="R24" s="879"/>
      <c r="S24" s="182"/>
      <c r="T24" s="5"/>
    </row>
    <row r="25" spans="2:20" ht="21.6" customHeight="1" x14ac:dyDescent="0.25">
      <c r="B25" s="181"/>
      <c r="C25" s="270"/>
      <c r="D25" s="16" t="s">
        <v>1401</v>
      </c>
      <c r="E25" s="13">
        <f>IFERROR('Variable Costs &amp; Income'!$E$11*-1,0)</f>
        <v>0</v>
      </c>
      <c r="F25" s="37"/>
      <c r="G25" s="598">
        <f>IFERROR(E25/'PIM Model'!$H$31,0)</f>
        <v>0</v>
      </c>
      <c r="H25" s="65"/>
      <c r="I25" s="599"/>
      <c r="J25" s="599"/>
      <c r="K25" s="599"/>
      <c r="L25" s="599"/>
      <c r="M25" s="599"/>
      <c r="N25" s="599"/>
      <c r="O25" s="199"/>
      <c r="P25"/>
      <c r="Q25" s="882"/>
      <c r="R25" s="879"/>
      <c r="S25" s="182"/>
      <c r="T25" s="5"/>
    </row>
    <row r="26" spans="2:20" ht="21.6" customHeight="1" x14ac:dyDescent="0.25">
      <c r="B26" s="181"/>
      <c r="C26" s="270"/>
      <c r="D26" s="16" t="s">
        <v>1197</v>
      </c>
      <c r="E26" s="13">
        <f>IF(AND(Welcome!D16="YES",Incentives!E89="YES"),0,IF(AND(Welcome!D16="YES",Incentives!E89="No"),E12*(VLOOKUP('Variable Selling'!$A$2,'CC MARKET EXPENSE'!$A:$D,4,0)),0))*-1</f>
        <v>0</v>
      </c>
      <c r="F26" s="37"/>
      <c r="G26" s="598">
        <f>IFERROR(E26/'PIM Model'!$H$31,0)</f>
        <v>0</v>
      </c>
      <c r="H26" s="65"/>
      <c r="I26" s="599"/>
      <c r="J26" s="599"/>
      <c r="K26" s="599"/>
      <c r="L26" s="599"/>
      <c r="M26" s="599"/>
      <c r="N26" s="599"/>
      <c r="O26" s="199"/>
      <c r="P26"/>
      <c r="Q26" s="882"/>
      <c r="R26" s="879"/>
      <c r="S26" s="182"/>
      <c r="T26" s="5"/>
    </row>
    <row r="27" spans="2:20" ht="21.6" customHeight="1" x14ac:dyDescent="0.25">
      <c r="B27" s="181"/>
      <c r="C27" s="270"/>
      <c r="D27" s="16" t="s">
        <v>1313</v>
      </c>
      <c r="E27" s="13">
        <f>IFERROR('Variable Costs &amp; Income'!$E$15*-1,0)</f>
        <v>0</v>
      </c>
      <c r="F27" s="37"/>
      <c r="G27" s="598">
        <f>IFERROR(E27/'PIM Model'!$H$31,0)</f>
        <v>0</v>
      </c>
      <c r="H27" s="65"/>
      <c r="I27" s="599"/>
      <c r="J27" s="599"/>
      <c r="K27" s="599"/>
      <c r="L27" s="599"/>
      <c r="M27" s="599"/>
      <c r="N27" s="599"/>
      <c r="O27" s="199"/>
      <c r="P27"/>
      <c r="Q27" s="882"/>
      <c r="R27" s="879"/>
      <c r="S27" s="182"/>
      <c r="T27" s="5"/>
    </row>
    <row r="28" spans="2:20" ht="21" customHeight="1" x14ac:dyDescent="0.25">
      <c r="B28" s="181"/>
      <c r="C28" s="270"/>
      <c r="D28" s="16" t="s">
        <v>1315</v>
      </c>
      <c r="E28" s="13">
        <f>IFERROR('Variable Costs &amp; Income'!$E$17*-1,0)</f>
        <v>0</v>
      </c>
      <c r="F28" s="37"/>
      <c r="G28" s="598">
        <f>IFERROR(E28/'PIM Model'!$H$31,0)</f>
        <v>0</v>
      </c>
      <c r="H28" s="65"/>
      <c r="I28" s="599"/>
      <c r="J28" s="599"/>
      <c r="K28" s="599"/>
      <c r="L28" s="599"/>
      <c r="M28" s="599"/>
      <c r="N28" s="599"/>
      <c r="O28" s="199"/>
      <c r="P28"/>
      <c r="Q28" s="882"/>
      <c r="R28" s="879"/>
      <c r="S28" s="182"/>
      <c r="T28" s="5"/>
    </row>
    <row r="29" spans="2:20" ht="23.45" customHeight="1" x14ac:dyDescent="0.25">
      <c r="B29" s="181"/>
      <c r="C29" s="270"/>
      <c r="D29" s="7"/>
      <c r="E29" s="591"/>
      <c r="F29" s="591"/>
      <c r="G29" s="597"/>
      <c r="H29" s="597"/>
      <c r="I29" s="197"/>
      <c r="J29" s="197"/>
      <c r="K29" s="197"/>
      <c r="L29" s="197"/>
      <c r="M29" s="197"/>
      <c r="N29" s="197"/>
      <c r="O29" s="199"/>
      <c r="P29"/>
      <c r="Q29" s="882"/>
      <c r="R29" s="879"/>
      <c r="S29" s="182"/>
      <c r="T29" s="5"/>
    </row>
    <row r="30" spans="2:20" ht="23.45" customHeight="1" x14ac:dyDescent="0.25">
      <c r="B30" s="181"/>
      <c r="C30" s="270"/>
      <c r="D30" s="17" t="s">
        <v>224</v>
      </c>
      <c r="E30" s="12">
        <f>IFERROR('Variable Costs &amp; Income'!$E$29,0)</f>
        <v>0</v>
      </c>
      <c r="F30" s="36"/>
      <c r="G30" s="585">
        <f>IFERROR(E30/'PIM Model'!$H$31,0)</f>
        <v>0</v>
      </c>
      <c r="H30" s="586"/>
      <c r="I30" s="197"/>
      <c r="J30" s="197"/>
      <c r="K30" s="197"/>
      <c r="L30" s="197"/>
      <c r="M30" s="197"/>
      <c r="N30" s="197"/>
      <c r="O30" s="199"/>
      <c r="P30"/>
      <c r="Q30" s="882"/>
      <c r="R30" s="879"/>
      <c r="S30" s="182"/>
      <c r="T30" s="5"/>
    </row>
    <row r="31" spans="2:20" ht="21" customHeight="1" x14ac:dyDescent="0.25">
      <c r="B31" s="181"/>
      <c r="C31" s="270"/>
      <c r="D31" s="17" t="s">
        <v>223</v>
      </c>
      <c r="E31" s="12">
        <f>'Variable Costs &amp; Income'!$E$30</f>
        <v>0</v>
      </c>
      <c r="F31" s="36"/>
      <c r="G31" s="585">
        <f>IFERROR(E31/'PIM Model'!$H$31,0)</f>
        <v>0</v>
      </c>
      <c r="H31" s="586"/>
      <c r="I31" s="197"/>
      <c r="J31" s="197"/>
      <c r="K31" s="197"/>
      <c r="L31" s="197"/>
      <c r="M31" s="197"/>
      <c r="N31" s="197"/>
      <c r="O31" s="199"/>
      <c r="P31"/>
      <c r="Q31" s="882"/>
      <c r="R31" s="879"/>
      <c r="S31" s="182"/>
      <c r="T31" s="5"/>
    </row>
    <row r="32" spans="2:20" ht="30.75" customHeight="1" x14ac:dyDescent="0.25">
      <c r="B32" s="181"/>
      <c r="C32" s="270"/>
      <c r="D32" s="1322" t="s">
        <v>233</v>
      </c>
      <c r="E32" s="1322"/>
      <c r="F32" s="1322"/>
      <c r="G32" s="1322"/>
      <c r="H32" s="600"/>
      <c r="I32" s="1321" t="str">
        <f>IF($I$33=0,IF($N$33=0,"","Customer EB % Missing"),IF($N$33=0,"Customer Drops/Wk Missing","Customer EB % &amp; Drops/Wk Missing"))</f>
        <v>Customer Drops/Wk Missing</v>
      </c>
      <c r="J32" s="1321"/>
      <c r="K32" s="1321"/>
      <c r="L32" s="1321"/>
      <c r="M32" s="1321"/>
      <c r="N32" s="1321"/>
      <c r="O32" s="199"/>
      <c r="P32"/>
      <c r="Q32" s="882"/>
      <c r="R32" s="879"/>
      <c r="S32" s="182"/>
      <c r="T32" s="5"/>
    </row>
    <row r="33" spans="2:20" ht="36.75" customHeight="1" x14ac:dyDescent="0.25">
      <c r="B33" s="181"/>
      <c r="C33" s="270"/>
      <c r="D33" s="7"/>
      <c r="E33" s="1054" t="s">
        <v>1310</v>
      </c>
      <c r="F33" s="591"/>
      <c r="G33" s="1055" t="s">
        <v>1311</v>
      </c>
      <c r="H33" s="766" t="e">
        <f>I33+N33</f>
        <v>#VALUE!</v>
      </c>
      <c r="I33" s="1055" t="s">
        <v>906</v>
      </c>
      <c r="J33" s="197"/>
      <c r="K33" s="1055" t="s">
        <v>1403</v>
      </c>
      <c r="L33" s="197"/>
      <c r="M33" s="1056" t="s">
        <v>1404</v>
      </c>
      <c r="N33" s="561">
        <f>'Customer Inputs'!$AA$16</f>
        <v>0</v>
      </c>
      <c r="O33" s="199"/>
      <c r="P33"/>
      <c r="Q33" s="1075"/>
      <c r="R33" s="1074"/>
      <c r="S33" s="182"/>
      <c r="T33" s="5"/>
    </row>
    <row r="34" spans="2:20" ht="24" customHeight="1" x14ac:dyDescent="0.25">
      <c r="B34" s="181"/>
      <c r="C34" s="270"/>
      <c r="D34" s="8" t="s">
        <v>1402</v>
      </c>
      <c r="E34" s="12">
        <f>IFERROR(E23+E25+E27+E28+E30+E31+E26,"")</f>
        <v>0</v>
      </c>
      <c r="F34" s="36"/>
      <c r="G34" s="585">
        <f>IFERROR(E34/'PIM Model'!$H$31,0)</f>
        <v>0</v>
      </c>
      <c r="H34" s="601">
        <f>'EB_CM (Back)'!$C$26-'EB_CM (Back)'!$C$27</f>
        <v>0.08</v>
      </c>
      <c r="I34" s="594">
        <f>IFERROR($E$34/'PIM Model'!$G$31,0)</f>
        <v>0</v>
      </c>
      <c r="J34" s="197"/>
      <c r="K34" s="1141">
        <f>IFERROR(E34/($E$7*Welcome!$D$14*52),0)</f>
        <v>0</v>
      </c>
      <c r="L34" s="197"/>
      <c r="M34" s="1141">
        <f>IFERROR(E34/(Welcome!$D$14*52),0)</f>
        <v>0</v>
      </c>
      <c r="N34" s="561">
        <f>'Customer Inputs'!$AA$16</f>
        <v>0</v>
      </c>
      <c r="O34" s="199"/>
      <c r="P34"/>
      <c r="Q34" s="1075"/>
      <c r="R34" s="1074"/>
      <c r="S34" s="182"/>
      <c r="T34" s="5"/>
    </row>
    <row r="35" spans="2:20" s="1053" customFormat="1" ht="24" customHeight="1" x14ac:dyDescent="0.25">
      <c r="B35" s="181"/>
      <c r="C35" s="270"/>
      <c r="D35" s="7"/>
      <c r="E35" s="591"/>
      <c r="F35" s="591"/>
      <c r="G35" s="597"/>
      <c r="H35" s="597"/>
      <c r="I35" s="197"/>
      <c r="J35" s="197"/>
      <c r="K35" s="197"/>
      <c r="L35" s="197"/>
      <c r="M35" s="197"/>
      <c r="N35" s="197"/>
      <c r="O35" s="199"/>
      <c r="P35" s="1052"/>
      <c r="Q35" s="1058"/>
      <c r="R35" s="1058"/>
      <c r="S35" s="182"/>
    </row>
    <row r="36" spans="2:20" s="1053" customFormat="1" ht="24" customHeight="1" x14ac:dyDescent="0.25">
      <c r="B36" s="181"/>
      <c r="C36" s="270"/>
      <c r="D36" s="8" t="s">
        <v>1405</v>
      </c>
      <c r="E36" s="12">
        <f>IFERROR('Customer Inputs'!BC16,0)</f>
        <v>0</v>
      </c>
      <c r="F36" s="1057"/>
      <c r="G36" s="585">
        <f>IFERROR(E36/'PIM Model'!$H$31,0)</f>
        <v>0</v>
      </c>
      <c r="H36" s="601"/>
      <c r="I36" s="197"/>
      <c r="J36" s="197"/>
      <c r="K36" s="197"/>
      <c r="L36" s="197"/>
      <c r="M36" s="197"/>
      <c r="N36" s="197"/>
      <c r="O36" s="199"/>
      <c r="P36" s="1052"/>
      <c r="Q36" s="1058"/>
      <c r="R36" s="1058"/>
      <c r="S36" s="182"/>
    </row>
    <row r="37" spans="2:20" s="1053" customFormat="1" ht="24" customHeight="1" x14ac:dyDescent="0.25">
      <c r="B37" s="181"/>
      <c r="C37" s="270"/>
      <c r="D37" s="7"/>
      <c r="E37" s="591"/>
      <c r="F37" s="591"/>
      <c r="G37" s="597"/>
      <c r="H37" s="597"/>
      <c r="I37" s="197"/>
      <c r="J37" s="197"/>
      <c r="K37" s="197"/>
      <c r="L37" s="197"/>
      <c r="M37" s="197"/>
      <c r="N37" s="197"/>
      <c r="O37" s="199"/>
      <c r="P37" s="1052"/>
      <c r="Q37" s="1318" t="s">
        <v>1249</v>
      </c>
      <c r="R37" s="1319"/>
      <c r="S37" s="182"/>
    </row>
    <row r="38" spans="2:20" s="1053" customFormat="1" ht="24" customHeight="1" x14ac:dyDescent="0.25">
      <c r="B38" s="181"/>
      <c r="C38" s="270"/>
      <c r="D38" s="8" t="s">
        <v>1406</v>
      </c>
      <c r="E38" s="12">
        <f>IFERROR(E34-E36,0)</f>
        <v>0</v>
      </c>
      <c r="F38" s="1057"/>
      <c r="G38" s="585">
        <f>IFERROR(E38/'PIM Model'!$H$31,0)</f>
        <v>0</v>
      </c>
      <c r="H38" s="601">
        <f>'EB_CM (Back)'!$C$26-'EB_CM (Back)'!$C$27</f>
        <v>0.08</v>
      </c>
      <c r="I38" s="594">
        <f>IFERROR($E$38/'PIM Model'!$G$31,0)</f>
        <v>0</v>
      </c>
      <c r="J38" s="197"/>
      <c r="K38" s="1141">
        <f>IFERROR(E38/($E$7*Welcome!$D$14*52),0)</f>
        <v>0</v>
      </c>
      <c r="L38" s="197"/>
      <c r="M38" s="1141">
        <f>IFERROR(E38/(Welcome!$D$14*52),0)</f>
        <v>0</v>
      </c>
      <c r="N38" s="602" t="str">
        <f>IFERROR(IF($Q$38="Yes","Approve",IF(H38&gt;0,"Reject","Approve")),"Reject")</f>
        <v>Reject</v>
      </c>
      <c r="O38" s="199"/>
      <c r="P38" s="1052"/>
      <c r="Q38" s="887"/>
      <c r="R38" s="888"/>
      <c r="S38" s="182"/>
    </row>
    <row r="39" spans="2:20" ht="24.6" customHeight="1" x14ac:dyDescent="0.25">
      <c r="B39" s="181"/>
      <c r="C39" s="272"/>
      <c r="D39" s="603"/>
      <c r="E39" s="604"/>
      <c r="F39" s="604"/>
      <c r="G39" s="217"/>
      <c r="H39" s="604"/>
      <c r="I39" s="258"/>
      <c r="J39" s="258"/>
      <c r="K39" s="258"/>
      <c r="L39" s="258"/>
      <c r="M39" s="258"/>
      <c r="N39" s="258"/>
      <c r="O39" s="220"/>
      <c r="P39"/>
      <c r="Q39" s="882"/>
      <c r="R39" s="879"/>
      <c r="S39" s="182"/>
      <c r="T39" s="5"/>
    </row>
    <row r="40" spans="2:20" ht="41.25" customHeight="1" thickBot="1" x14ac:dyDescent="0.3">
      <c r="B40" s="698"/>
      <c r="C40" s="707"/>
      <c r="D40" s="708"/>
      <c r="E40" s="709"/>
      <c r="F40" s="709"/>
      <c r="G40" s="710"/>
      <c r="H40" s="709"/>
      <c r="I40" s="707"/>
      <c r="J40" s="707"/>
      <c r="K40" s="707"/>
      <c r="L40" s="707"/>
      <c r="M40" s="707"/>
      <c r="N40" s="707"/>
      <c r="O40" s="707"/>
      <c r="P40" s="707"/>
      <c r="Q40" s="710"/>
      <c r="R40" s="707"/>
      <c r="S40" s="699"/>
    </row>
    <row r="41" spans="2:20" ht="40.5" customHeight="1" x14ac:dyDescent="0.25">
      <c r="B41" s="1320"/>
      <c r="C41" s="1320"/>
      <c r="D41" s="1320"/>
      <c r="N41" s="1275"/>
      <c r="O41" s="1275"/>
      <c r="P41" s="1275"/>
      <c r="Q41" s="1275"/>
      <c r="R41" s="1275"/>
      <c r="S41" s="1275"/>
    </row>
    <row r="42" spans="2:20" x14ac:dyDescent="0.25">
      <c r="S42" s="607"/>
    </row>
  </sheetData>
  <sheetProtection algorithmName="SHA-512" hashValue="NkTE8tYFdlJVEvbWAaKxJXVJsAMV0KW0ak9BxmnfwSsnnIMSMLWTHsVJTmsT/jVgS7VX8D5a75AOMET+o6gmkA==" saltValue="JAxudWtiU2MQ5xHgZ4SL+w==" spinCount="100000" sheet="1" selectLockedCell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158" priority="74" operator="containsText" text="Below Average">
      <formula>NOT(ISERROR(SEARCH("Below Average",I25)))</formula>
    </cfRule>
  </conditionalFormatting>
  <conditionalFormatting sqref="N12">
    <cfRule type="expression" dxfId="157" priority="49">
      <formula>$Q$12="yes"</formula>
    </cfRule>
    <cfRule type="containsText" dxfId="156" priority="65" operator="containsText" text="Spend">
      <formula>NOT(ISERROR(SEARCH("Spend",N12)))</formula>
    </cfRule>
    <cfRule type="containsText" dxfId="155" priority="69" operator="containsText" text="Approve">
      <formula>NOT(ISERROR(SEARCH("Approve",N12)))</formula>
    </cfRule>
  </conditionalFormatting>
  <conditionalFormatting sqref="N13:N16">
    <cfRule type="containsText" dxfId="154" priority="64" operator="containsText" text="Reject">
      <formula>NOT(ISERROR(SEARCH("Reject",N13)))</formula>
    </cfRule>
    <cfRule type="containsText" dxfId="153" priority="68" operator="containsText" text="Approve">
      <formula>NOT(ISERROR(SEARCH("Approve",N13)))</formula>
    </cfRule>
  </conditionalFormatting>
  <conditionalFormatting sqref="H34 H36 H38">
    <cfRule type="expression" dxfId="152" priority="130">
      <formula>#REF!="Approve"</formula>
    </cfRule>
  </conditionalFormatting>
  <conditionalFormatting sqref="E16">
    <cfRule type="cellIs" dxfId="151" priority="61" operator="notEqual">
      <formula>0</formula>
    </cfRule>
  </conditionalFormatting>
  <conditionalFormatting sqref="Q37:R38">
    <cfRule type="expression" dxfId="150" priority="55">
      <formula>H40&lt;0</formula>
    </cfRule>
  </conditionalFormatting>
  <conditionalFormatting sqref="N13">
    <cfRule type="expression" dxfId="149" priority="46">
      <formula>$Q$13="Yes"</formula>
    </cfRule>
  </conditionalFormatting>
  <conditionalFormatting sqref="Q11:R11">
    <cfRule type="expression" dxfId="148" priority="40">
      <formula>OR($N$13="Reject",$N$13="")</formula>
    </cfRule>
    <cfRule type="expression" dxfId="147" priority="43">
      <formula>$N$12="Spend"</formula>
    </cfRule>
  </conditionalFormatting>
  <conditionalFormatting sqref="Q12:R12">
    <cfRule type="expression" dxfId="146" priority="42">
      <formula>$N$12="spend"</formula>
    </cfRule>
  </conditionalFormatting>
  <conditionalFormatting sqref="Q13:R13">
    <cfRule type="expression" dxfId="145" priority="41">
      <formula>OR($N$13="Reject",$N$13="")</formula>
    </cfRule>
  </conditionalFormatting>
  <conditionalFormatting sqref="R22">
    <cfRule type="containsText" dxfId="144" priority="35" operator="containsText" text="Caution">
      <formula>NOT(ISERROR(SEARCH("Caution",R22)))</formula>
    </cfRule>
  </conditionalFormatting>
  <conditionalFormatting sqref="N22">
    <cfRule type="expression" dxfId="143" priority="24" stopIfTrue="1">
      <formula>$Q$22="Yes"</formula>
    </cfRule>
    <cfRule type="expression" dxfId="142" priority="26">
      <formula>$I$22="**Missing Incentive Payment Method**"</formula>
    </cfRule>
    <cfRule type="containsText" dxfId="141" priority="27" operator="containsText" text="Reject">
      <formula>NOT(ISERROR(SEARCH("Reject",N22)))</formula>
    </cfRule>
    <cfRule type="containsText" dxfId="140" priority="28" operator="containsText" text="Caution">
      <formula>NOT(ISERROR(SEARCH("Caution",N22)))</formula>
    </cfRule>
    <cfRule type="expression" dxfId="139" priority="29">
      <formula>$N$22="Approve"</formula>
    </cfRule>
  </conditionalFormatting>
  <conditionalFormatting sqref="Q21:R21">
    <cfRule type="expression" dxfId="138" priority="10">
      <formula>$U$1=""</formula>
    </cfRule>
    <cfRule type="expression" dxfId="137" priority="11">
      <formula>$U$1="Caution"</formula>
    </cfRule>
    <cfRule type="expression" dxfId="136" priority="12">
      <formula>$U$1="Reject"</formula>
    </cfRule>
    <cfRule type="expression" dxfId="135" priority="13">
      <formula>AND($Q$22&lt;&gt;"Yes",$U$1="Approve")</formula>
    </cfRule>
    <cfRule type="expression" dxfId="134" priority="14">
      <formula>AND($Q$22="Yes",$U$1="Approve")</formula>
    </cfRule>
  </conditionalFormatting>
  <conditionalFormatting sqref="Q22:R22">
    <cfRule type="expression" dxfId="133" priority="5">
      <formula>$U$1=""</formula>
    </cfRule>
    <cfRule type="expression" dxfId="132" priority="6">
      <formula>$U$1="Caution"</formula>
    </cfRule>
    <cfRule type="expression" dxfId="131" priority="7">
      <formula>$U$1="Reject"</formula>
    </cfRule>
    <cfRule type="expression" dxfId="130" priority="8">
      <formula>AND($Q$22&lt;&gt;"Yes",$U$1="Approve")</formula>
    </cfRule>
    <cfRule type="expression" dxfId="129" priority="9">
      <formula>AND($Q$22="Yes",$U$1="Approve")</formula>
    </cfRule>
  </conditionalFormatting>
  <conditionalFormatting sqref="N38">
    <cfRule type="expression" dxfId="128" priority="1">
      <formula>$H$38&gt;0</formula>
    </cfRule>
    <cfRule type="containsText" dxfId="127" priority="2" operator="containsText" text="Reject">
      <formula>NOT(ISERROR(SEARCH("Reject",N38)))</formula>
    </cfRule>
    <cfRule type="expression" dxfId="126" priority="3">
      <formula>$Q$38="Yes"</formula>
    </cfRule>
    <cfRule type="expression" dxfId="125"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0" id="{0991CCE1-8916-4103-ABCA-1CD8AE3CEB8D}">
            <xm:f>Incentives!$K$66+Incentives!$M$71&lt;10000</xm:f>
            <x14:dxf/>
          </x14:cfRule>
          <x14:cfRule type="expression" priority="21"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35"/>
  <sheetViews>
    <sheetView showGridLines="0" topLeftCell="B1" zoomScale="80" zoomScaleNormal="80" zoomScaleSheetLayoutView="70" workbookViewId="0">
      <selection activeCell="F11" sqref="F11:G1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1012" customWidth="1"/>
    <col min="13" max="13" width="26.42578125" style="1012" customWidth="1"/>
    <col min="14" max="14" width="20.42578125" style="1012" hidden="1" customWidth="1"/>
    <col min="15" max="15" width="20.42578125" style="107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90" t="s">
        <v>664</v>
      </c>
      <c r="S1" s="290" t="s">
        <v>665</v>
      </c>
      <c r="T1" s="290" t="s">
        <v>666</v>
      </c>
      <c r="U1" s="137"/>
      <c r="W1" s="433" t="s">
        <v>955</v>
      </c>
    </row>
    <row r="2" spans="3:23" s="5" customFormat="1" ht="22.5" customHeight="1" x14ac:dyDescent="0.25">
      <c r="C2" s="1326" t="s">
        <v>667</v>
      </c>
      <c r="D2" s="1327"/>
      <c r="E2" s="1327"/>
      <c r="F2" s="1327"/>
      <c r="G2" s="1327"/>
      <c r="H2" s="1327"/>
      <c r="I2" s="1327"/>
      <c r="J2" s="1327"/>
      <c r="K2" s="1327"/>
      <c r="L2" s="1327"/>
      <c r="M2" s="1327"/>
      <c r="N2" s="1327"/>
      <c r="O2" s="1327"/>
      <c r="P2" s="1328"/>
      <c r="R2" s="291" t="s">
        <v>668</v>
      </c>
      <c r="S2" s="291" t="s">
        <v>669</v>
      </c>
      <c r="T2" s="291" t="s">
        <v>492</v>
      </c>
      <c r="V2" s="5" t="s">
        <v>956</v>
      </c>
      <c r="W2" s="5">
        <f>IF(Welcome!D14=W3,0,Welcome!D14)</f>
        <v>0</v>
      </c>
    </row>
    <row r="3" spans="3:23" x14ac:dyDescent="0.25">
      <c r="C3" s="656"/>
      <c r="D3" s="292"/>
      <c r="E3" s="292"/>
      <c r="F3" s="292"/>
      <c r="G3" s="292"/>
      <c r="H3" s="292"/>
      <c r="I3" s="292"/>
      <c r="J3" s="292"/>
      <c r="K3" s="292"/>
      <c r="L3" s="292"/>
      <c r="M3" s="292"/>
      <c r="N3" s="292"/>
      <c r="O3" s="292"/>
      <c r="P3" s="657"/>
      <c r="R3" s="1" t="s">
        <v>670</v>
      </c>
      <c r="S3" s="1" t="s">
        <v>671</v>
      </c>
      <c r="T3" s="1" t="s">
        <v>491</v>
      </c>
      <c r="W3" t="s">
        <v>463</v>
      </c>
    </row>
    <row r="4" spans="3:23" x14ac:dyDescent="0.25">
      <c r="C4" s="140"/>
      <c r="E4" s="435" t="s">
        <v>907</v>
      </c>
      <c r="F4" s="1329"/>
      <c r="G4" s="1329"/>
      <c r="P4" s="658"/>
      <c r="T4" s="1" t="s">
        <v>490</v>
      </c>
    </row>
    <row r="5" spans="3:23" x14ac:dyDescent="0.25">
      <c r="C5" s="140"/>
      <c r="E5" s="435"/>
      <c r="P5" s="141"/>
    </row>
    <row r="6" spans="3:23" x14ac:dyDescent="0.25">
      <c r="C6" s="140"/>
      <c r="E6" s="139" t="s">
        <v>1317</v>
      </c>
      <c r="F6" s="1329"/>
      <c r="G6" s="1329"/>
      <c r="P6" s="141"/>
    </row>
    <row r="7" spans="3:23" x14ac:dyDescent="0.25">
      <c r="C7" s="140"/>
      <c r="E7" s="139"/>
      <c r="P7" s="141"/>
    </row>
    <row r="8" spans="3:23" x14ac:dyDescent="0.25">
      <c r="C8" s="140"/>
      <c r="E8" s="139" t="s">
        <v>1318</v>
      </c>
      <c r="F8" s="1329"/>
      <c r="G8" s="1329"/>
      <c r="P8" s="141"/>
    </row>
    <row r="9" spans="3:23" x14ac:dyDescent="0.25">
      <c r="C9" s="140"/>
      <c r="E9" s="139" t="s">
        <v>1319</v>
      </c>
      <c r="F9" s="1329"/>
      <c r="G9" s="1329"/>
      <c r="P9" s="141"/>
    </row>
    <row r="10" spans="3:23" x14ac:dyDescent="0.25">
      <c r="C10" s="140"/>
      <c r="E10" s="139" t="s">
        <v>897</v>
      </c>
      <c r="F10" s="1329"/>
      <c r="G10" s="1329"/>
      <c r="P10" s="141"/>
    </row>
    <row r="11" spans="3:23" x14ac:dyDescent="0.25">
      <c r="C11" s="140"/>
      <c r="E11" s="139" t="s">
        <v>850</v>
      </c>
      <c r="F11" s="1329"/>
      <c r="G11" s="1329"/>
      <c r="P11" s="141"/>
    </row>
    <row r="12" spans="3:23" x14ac:dyDescent="0.25">
      <c r="C12" s="140"/>
      <c r="E12" s="139" t="s">
        <v>1320</v>
      </c>
      <c r="F12" s="1329"/>
      <c r="G12" s="1329"/>
      <c r="P12" s="141"/>
    </row>
    <row r="13" spans="3:23" x14ac:dyDescent="0.25">
      <c r="C13" s="140"/>
      <c r="E13" s="139"/>
      <c r="F13" s="1331"/>
      <c r="G13" s="1331"/>
      <c r="P13" s="141"/>
    </row>
    <row r="14" spans="3:23" x14ac:dyDescent="0.25">
      <c r="C14" s="140"/>
      <c r="E14" s="139" t="s">
        <v>1321</v>
      </c>
      <c r="F14" s="1330"/>
      <c r="G14" s="1330"/>
      <c r="H14" s="671"/>
      <c r="P14" s="141"/>
      <c r="Q14" s="845">
        <f>WEEKDAY(F14,2)</f>
        <v>6</v>
      </c>
    </row>
    <row r="15" spans="3:23" s="1012" customFormat="1" ht="13.5" customHeight="1" x14ac:dyDescent="0.25">
      <c r="C15" s="140"/>
      <c r="F15" s="55" t="s">
        <v>1032</v>
      </c>
      <c r="G15" s="55" t="str">
        <f>IF(F14="","",TEXT(F14,"dddd"))</f>
        <v/>
      </c>
      <c r="O15" s="1074"/>
      <c r="P15" s="141"/>
    </row>
    <row r="16" spans="3:23" s="1012" customFormat="1" ht="13.5" customHeight="1" x14ac:dyDescent="0.25">
      <c r="C16" s="140"/>
      <c r="O16" s="1074"/>
      <c r="P16" s="141"/>
    </row>
    <row r="17" spans="1:17" s="1012" customFormat="1" ht="13.5" customHeight="1" x14ac:dyDescent="0.25">
      <c r="C17" s="140"/>
      <c r="E17" s="139" t="s">
        <v>1322</v>
      </c>
      <c r="F17" s="1332" t="str">
        <f>IF(F14="","",F14+(363*IF(OR(Welcome!D12="Select Term",Welcome!D12=""),0,Welcome!D12))+6)</f>
        <v/>
      </c>
      <c r="G17" s="1332"/>
      <c r="O17" s="1074"/>
      <c r="P17" s="141"/>
    </row>
    <row r="18" spans="1:17" ht="13.5" customHeight="1" x14ac:dyDescent="0.25">
      <c r="C18" s="140"/>
      <c r="P18" s="141"/>
    </row>
    <row r="19" spans="1:17" s="839" customFormat="1" ht="14.25" customHeight="1" x14ac:dyDescent="0.25">
      <c r="C19" s="140"/>
      <c r="E19" s="139" t="s">
        <v>1323</v>
      </c>
      <c r="F19" s="1324">
        <f>Welcome!D8</f>
        <v>0</v>
      </c>
      <c r="G19" s="1325"/>
      <c r="K19" s="1012"/>
      <c r="L19" s="1012"/>
      <c r="M19" s="1012"/>
      <c r="N19" s="1012"/>
      <c r="O19" s="1074"/>
      <c r="P19" s="141"/>
    </row>
    <row r="20" spans="1:17" s="839" customFormat="1" ht="26.45" customHeight="1" x14ac:dyDescent="0.25">
      <c r="C20" s="140"/>
      <c r="K20" s="1012"/>
      <c r="L20" s="1012"/>
      <c r="M20" s="1012"/>
      <c r="N20" s="1012"/>
      <c r="O20" s="1074"/>
      <c r="P20" s="141"/>
    </row>
    <row r="21" spans="1:17" ht="24.6" customHeight="1" x14ac:dyDescent="0.25">
      <c r="C21" s="140"/>
      <c r="E21" s="434" t="s">
        <v>1152</v>
      </c>
      <c r="P21" s="141"/>
    </row>
    <row r="22" spans="1:17" ht="44.25" customHeight="1" thickBot="1" x14ac:dyDescent="0.3">
      <c r="C22" s="140"/>
      <c r="E22" s="1013" t="s">
        <v>1324</v>
      </c>
      <c r="F22" s="436" t="s">
        <v>814</v>
      </c>
      <c r="G22" s="436" t="s">
        <v>815</v>
      </c>
      <c r="H22" s="436" t="s">
        <v>820</v>
      </c>
      <c r="I22" s="436" t="s">
        <v>821</v>
      </c>
      <c r="J22" s="436" t="s">
        <v>205</v>
      </c>
      <c r="K22" s="436" t="s">
        <v>813</v>
      </c>
      <c r="L22" s="436" t="s">
        <v>1325</v>
      </c>
      <c r="M22" s="1013" t="s">
        <v>1326</v>
      </c>
      <c r="N22" s="1013" t="s">
        <v>1327</v>
      </c>
      <c r="O22" s="1013" t="s">
        <v>1446</v>
      </c>
      <c r="P22" s="141"/>
      <c r="Q22" s="711"/>
    </row>
    <row r="23" spans="1:17" x14ac:dyDescent="0.25">
      <c r="A23">
        <v>1</v>
      </c>
      <c r="C23" s="140"/>
      <c r="D23" s="686" t="str">
        <f t="shared" ref="D23:D32" si="0">IF($A23&lt;=$W$2,A23,"")</f>
        <v/>
      </c>
      <c r="E23" s="687">
        <f>'Customer Inputs'!G6</f>
        <v>0</v>
      </c>
      <c r="F23" s="776" t="str">
        <f>IFERROR(IFERROR(VLOOKUP(E23,'Customer Info'!A:B,2,0),VLOOKUP(""&amp;E23,'Customer Info'!A:B,2,0)),"")</f>
        <v/>
      </c>
      <c r="G23" s="777" t="str">
        <f>IFERROR(IFERROR(VLOOKUP(E23,'Customer Info'!A:C,3,0),VLOOKUP(""&amp;E23,'Customer Info'!A:C,3,0)),"")</f>
        <v/>
      </c>
      <c r="H23" s="777" t="str">
        <f>IFERROR(IFERROR(VLOOKUP(E23,'Customer Info'!A:D,4,0),VLOOKUP(""&amp;E23,'Customer Info'!A:D,4,0)),"")</f>
        <v/>
      </c>
      <c r="I23" s="778" t="str">
        <f>IFERROR(IFERROR(VLOOKUP(E23,'Customer Info'!A:E,5,0),VLOOKUP(""&amp;E23,'Customer Info'!A:E,5,0)),"")</f>
        <v/>
      </c>
      <c r="J23" s="778" t="str">
        <f>IFERROR(IFERROR(VLOOKUP(E23,'Customer Info'!A:F,6,0),VLOOKUP(""&amp;E23,'Customer Info'!A:F,6,0)),"")</f>
        <v/>
      </c>
      <c r="K23" s="1014" t="str">
        <f>IF($F$14 = "","",$F$14)</f>
        <v/>
      </c>
      <c r="L23" s="1014" t="str">
        <f t="shared" ref="L23:L31" si="1">IF($F$17 = "","",$F$17)</f>
        <v/>
      </c>
      <c r="M23" s="778"/>
      <c r="N23" s="778" t="s">
        <v>669</v>
      </c>
      <c r="O23" s="778" t="s">
        <v>669</v>
      </c>
      <c r="P23" s="141"/>
    </row>
    <row r="24" spans="1:17" x14ac:dyDescent="0.25">
      <c r="A24">
        <v>2</v>
      </c>
      <c r="C24" s="140"/>
      <c r="D24" s="686" t="str">
        <f t="shared" si="0"/>
        <v/>
      </c>
      <c r="E24" s="687">
        <f>'Customer Inputs'!G7</f>
        <v>0</v>
      </c>
      <c r="F24" s="776" t="str">
        <f>IFERROR(IFERROR(VLOOKUP(E24,'Customer Info'!A:B,2,0),VLOOKUP(""&amp;E24,'Customer Info'!A:B,2,0)),"")</f>
        <v/>
      </c>
      <c r="G24" s="777" t="str">
        <f>IFERROR(IFERROR(VLOOKUP(E24,'Customer Info'!A:C,3,0),VLOOKUP(""&amp;E24,'Customer Info'!A:C,3,0)),"")</f>
        <v/>
      </c>
      <c r="H24" s="777" t="str">
        <f>IFERROR(IFERROR(VLOOKUP(E24,'Customer Info'!A:D,4,0),VLOOKUP(""&amp;E24,'Customer Info'!A:D,4,0)),"")</f>
        <v/>
      </c>
      <c r="I24" s="778" t="str">
        <f>IFERROR(IFERROR(VLOOKUP(E24,'Customer Info'!A:E,5,0),VLOOKUP(""&amp;E24,'Customer Info'!A:E,5,0)),"")</f>
        <v/>
      </c>
      <c r="J24" s="778" t="str">
        <f>IFERROR(IFERROR(VLOOKUP(E24,'Customer Info'!A:F,6,0),VLOOKUP(""&amp;E24,'Customer Info'!A:F,6,0)),"")</f>
        <v/>
      </c>
      <c r="K24" s="1015" t="str">
        <f t="shared" ref="K24:K32" si="2">IF($F$14 = "","",$F$14)</f>
        <v/>
      </c>
      <c r="L24" s="1015" t="str">
        <f t="shared" si="1"/>
        <v/>
      </c>
      <c r="M24" s="778"/>
      <c r="N24" s="778" t="s">
        <v>669</v>
      </c>
      <c r="O24" s="1116" t="s">
        <v>669</v>
      </c>
      <c r="P24" s="141"/>
    </row>
    <row r="25" spans="1:17" x14ac:dyDescent="0.25">
      <c r="A25">
        <v>3</v>
      </c>
      <c r="C25" s="140"/>
      <c r="D25" s="686" t="str">
        <f t="shared" si="0"/>
        <v/>
      </c>
      <c r="E25" s="687">
        <f>'Customer Inputs'!G8</f>
        <v>0</v>
      </c>
      <c r="F25" s="776" t="str">
        <f>IFERROR(IFERROR(VLOOKUP(E25,'Customer Info'!A:B,2,0),VLOOKUP(""&amp;E25,'Customer Info'!A:B,2,0)),"")</f>
        <v/>
      </c>
      <c r="G25" s="777" t="str">
        <f>IFERROR(IFERROR(VLOOKUP(E25,'Customer Info'!A:C,3,0),VLOOKUP(""&amp;E25,'Customer Info'!A:C,3,0)),"")</f>
        <v/>
      </c>
      <c r="H25" s="777" t="str">
        <f>IFERROR(IFERROR(VLOOKUP(E25,'Customer Info'!A:D,4,0),VLOOKUP(""&amp;E25,'Customer Info'!A:D,4,0)),"")</f>
        <v/>
      </c>
      <c r="I25" s="778" t="str">
        <f>IFERROR(IFERROR(VLOOKUP(E25,'Customer Info'!A:E,5,0),VLOOKUP(""&amp;E25,'Customer Info'!A:E,5,0)),"")</f>
        <v/>
      </c>
      <c r="J25" s="778" t="str">
        <f>IFERROR(IFERROR(VLOOKUP(E25,'Customer Info'!A:F,6,0),VLOOKUP(""&amp;E25,'Customer Info'!A:F,6,0)),"")</f>
        <v/>
      </c>
      <c r="K25" s="1015" t="str">
        <f t="shared" si="2"/>
        <v/>
      </c>
      <c r="L25" s="1015" t="str">
        <f t="shared" si="1"/>
        <v/>
      </c>
      <c r="M25" s="778"/>
      <c r="N25" s="778" t="s">
        <v>669</v>
      </c>
      <c r="O25" s="1116" t="s">
        <v>669</v>
      </c>
      <c r="P25" s="141"/>
    </row>
    <row r="26" spans="1:17" x14ac:dyDescent="0.25">
      <c r="A26">
        <v>4</v>
      </c>
      <c r="C26" s="140"/>
      <c r="D26" s="686" t="str">
        <f t="shared" si="0"/>
        <v/>
      </c>
      <c r="E26" s="687">
        <f>'Customer Inputs'!G9</f>
        <v>0</v>
      </c>
      <c r="F26" s="776" t="str">
        <f>IFERROR(IFERROR(VLOOKUP(E26,'Customer Info'!A:B,2,0),VLOOKUP(""&amp;E26,'Customer Info'!A:B,2,0)),"")</f>
        <v/>
      </c>
      <c r="G26" s="777" t="str">
        <f>IFERROR(IFERROR(VLOOKUP(E26,'Customer Info'!A:C,3,0),VLOOKUP(""&amp;E26,'Customer Info'!A:C,3,0)),"")</f>
        <v/>
      </c>
      <c r="H26" s="777" t="str">
        <f>IFERROR(IFERROR(VLOOKUP(E26,'Customer Info'!A:D,4,0),VLOOKUP(""&amp;E26,'Customer Info'!A:D,4,0)),"")</f>
        <v/>
      </c>
      <c r="I26" s="778" t="str">
        <f>IFERROR(IFERROR(VLOOKUP(E26,'Customer Info'!A:E,5,0),VLOOKUP(""&amp;E26,'Customer Info'!A:E,5,0)),"")</f>
        <v/>
      </c>
      <c r="J26" s="778" t="str">
        <f>IFERROR(IFERROR(VLOOKUP(E26,'Customer Info'!A:F,6,0),VLOOKUP(""&amp;E26,'Customer Info'!A:F,6,0)),"")</f>
        <v/>
      </c>
      <c r="K26" s="1015" t="str">
        <f t="shared" si="2"/>
        <v/>
      </c>
      <c r="L26" s="1015" t="str">
        <f t="shared" si="1"/>
        <v/>
      </c>
      <c r="M26" s="778"/>
      <c r="N26" s="778" t="s">
        <v>669</v>
      </c>
      <c r="O26" s="1116" t="s">
        <v>669</v>
      </c>
      <c r="P26" s="141"/>
    </row>
    <row r="27" spans="1:17" x14ac:dyDescent="0.25">
      <c r="A27">
        <v>5</v>
      </c>
      <c r="C27" s="140"/>
      <c r="D27" s="686" t="str">
        <f t="shared" si="0"/>
        <v/>
      </c>
      <c r="E27" s="687">
        <f>'Customer Inputs'!G10</f>
        <v>0</v>
      </c>
      <c r="F27" s="776" t="str">
        <f>IFERROR(IFERROR(VLOOKUP(E27,'Customer Info'!A:B,2,0),VLOOKUP(""&amp;E27,'Customer Info'!A:B,2,0)),"")</f>
        <v/>
      </c>
      <c r="G27" s="777" t="str">
        <f>IFERROR(IFERROR(VLOOKUP(E27,'Customer Info'!A:C,3,0),VLOOKUP(""&amp;E27,'Customer Info'!A:C,3,0)),"")</f>
        <v/>
      </c>
      <c r="H27" s="777" t="str">
        <f>IFERROR(IFERROR(VLOOKUP(E27,'Customer Info'!A:D,4,0),VLOOKUP(""&amp;E27,'Customer Info'!A:D,4,0)),"")</f>
        <v/>
      </c>
      <c r="I27" s="778" t="str">
        <f>IFERROR(IFERROR(VLOOKUP(E27,'Customer Info'!A:E,5,0),VLOOKUP(""&amp;E27,'Customer Info'!A:E,5,0)),"")</f>
        <v/>
      </c>
      <c r="J27" s="778" t="str">
        <f>IFERROR(IFERROR(VLOOKUP(E27,'Customer Info'!A:F,6,0),VLOOKUP(""&amp;E27,'Customer Info'!A:F,6,0)),"")</f>
        <v/>
      </c>
      <c r="K27" s="1015" t="str">
        <f t="shared" si="2"/>
        <v/>
      </c>
      <c r="L27" s="1015" t="str">
        <f t="shared" si="1"/>
        <v/>
      </c>
      <c r="M27" s="778"/>
      <c r="N27" s="778" t="s">
        <v>669</v>
      </c>
      <c r="O27" s="1116" t="s">
        <v>669</v>
      </c>
      <c r="P27" s="141"/>
    </row>
    <row r="28" spans="1:17" x14ac:dyDescent="0.25">
      <c r="A28">
        <v>6</v>
      </c>
      <c r="C28" s="140"/>
      <c r="D28" s="686" t="str">
        <f t="shared" si="0"/>
        <v/>
      </c>
      <c r="E28" s="687">
        <f>'Customer Inputs'!G11</f>
        <v>0</v>
      </c>
      <c r="F28" s="776" t="str">
        <f>IFERROR(IFERROR(VLOOKUP(E28,'Customer Info'!A:B,2,0),VLOOKUP(""&amp;E28,'Customer Info'!A:B,2,0)),"")</f>
        <v/>
      </c>
      <c r="G28" s="777" t="str">
        <f>IFERROR(IFERROR(VLOOKUP(E28,'Customer Info'!A:C,3,0),VLOOKUP(""&amp;E28,'Customer Info'!A:C,3,0)),"")</f>
        <v/>
      </c>
      <c r="H28" s="777" t="str">
        <f>IFERROR(IFERROR(VLOOKUP(E28,'Customer Info'!A:D,4,0),VLOOKUP(""&amp;E28,'Customer Info'!A:D,4,0)),"")</f>
        <v/>
      </c>
      <c r="I28" s="778" t="str">
        <f>IFERROR(IFERROR(VLOOKUP(E28,'Customer Info'!A:E,5,0),VLOOKUP(""&amp;E28,'Customer Info'!A:E,5,0)),"")</f>
        <v/>
      </c>
      <c r="J28" s="778" t="str">
        <f>IFERROR(IFERROR(VLOOKUP(E28,'Customer Info'!A:F,6,0),VLOOKUP(""&amp;E28,'Customer Info'!A:F,6,0)),"")</f>
        <v/>
      </c>
      <c r="K28" s="1015" t="str">
        <f t="shared" si="2"/>
        <v/>
      </c>
      <c r="L28" s="1015" t="str">
        <f t="shared" si="1"/>
        <v/>
      </c>
      <c r="M28" s="778"/>
      <c r="N28" s="778" t="s">
        <v>669</v>
      </c>
      <c r="O28" s="1116" t="s">
        <v>669</v>
      </c>
      <c r="P28" s="141"/>
    </row>
    <row r="29" spans="1:17" x14ac:dyDescent="0.25">
      <c r="A29">
        <v>7</v>
      </c>
      <c r="C29" s="140"/>
      <c r="D29" s="686" t="str">
        <f t="shared" si="0"/>
        <v/>
      </c>
      <c r="E29" s="687">
        <f>'Customer Inputs'!G12</f>
        <v>0</v>
      </c>
      <c r="F29" s="776" t="str">
        <f>IFERROR(IFERROR(VLOOKUP(E29,'Customer Info'!A:B,2,0),VLOOKUP(""&amp;E29,'Customer Info'!A:B,2,0)),"")</f>
        <v/>
      </c>
      <c r="G29" s="777" t="str">
        <f>IFERROR(IFERROR(VLOOKUP(E29,'Customer Info'!A:C,3,0),VLOOKUP(""&amp;E29,'Customer Info'!A:C,3,0)),"")</f>
        <v/>
      </c>
      <c r="H29" s="777" t="str">
        <f>IFERROR(IFERROR(VLOOKUP(E29,'Customer Info'!A:D,4,0),VLOOKUP(""&amp;E29,'Customer Info'!A:D,4,0)),"")</f>
        <v/>
      </c>
      <c r="I29" s="778" t="str">
        <f>IFERROR(IFERROR(VLOOKUP(E29,'Customer Info'!A:E,5,0),VLOOKUP(""&amp;E29,'Customer Info'!A:E,5,0)),"")</f>
        <v/>
      </c>
      <c r="J29" s="778" t="str">
        <f>IFERROR(IFERROR(VLOOKUP(E29,'Customer Info'!A:F,6,0),VLOOKUP(""&amp;E29,'Customer Info'!A:F,6,0)),"")</f>
        <v/>
      </c>
      <c r="K29" s="1015" t="str">
        <f t="shared" si="2"/>
        <v/>
      </c>
      <c r="L29" s="1015" t="str">
        <f t="shared" si="1"/>
        <v/>
      </c>
      <c r="M29" s="778"/>
      <c r="N29" s="778" t="s">
        <v>669</v>
      </c>
      <c r="O29" s="1116" t="s">
        <v>669</v>
      </c>
      <c r="P29" s="141"/>
    </row>
    <row r="30" spans="1:17" x14ac:dyDescent="0.25">
      <c r="A30">
        <v>8</v>
      </c>
      <c r="C30" s="140"/>
      <c r="D30" s="686" t="str">
        <f t="shared" si="0"/>
        <v/>
      </c>
      <c r="E30" s="687">
        <f>'Customer Inputs'!G13</f>
        <v>0</v>
      </c>
      <c r="F30" s="776" t="str">
        <f>IFERROR(IFERROR(VLOOKUP(E30,'Customer Info'!A:B,2,0),VLOOKUP(""&amp;E30,'Customer Info'!A:B,2,0)),"")</f>
        <v/>
      </c>
      <c r="G30" s="777" t="str">
        <f>IFERROR(IFERROR(VLOOKUP(E30,'Customer Info'!A:C,3,0),VLOOKUP(""&amp;E30,'Customer Info'!A:C,3,0)),"")</f>
        <v/>
      </c>
      <c r="H30" s="777" t="str">
        <f>IFERROR(IFERROR(VLOOKUP(E30,'Customer Info'!A:D,4,0),VLOOKUP(""&amp;E30,'Customer Info'!A:D,4,0)),"")</f>
        <v/>
      </c>
      <c r="I30" s="778" t="str">
        <f>IFERROR(IFERROR(VLOOKUP(E30,'Customer Info'!A:E,5,0),VLOOKUP(""&amp;E30,'Customer Info'!A:E,5,0)),"")</f>
        <v/>
      </c>
      <c r="J30" s="778" t="str">
        <f>IFERROR(IFERROR(VLOOKUP(E30,'Customer Info'!A:F,6,0),VLOOKUP(""&amp;E30,'Customer Info'!A:F,6,0)),"")</f>
        <v/>
      </c>
      <c r="K30" s="1015" t="str">
        <f t="shared" si="2"/>
        <v/>
      </c>
      <c r="L30" s="1015" t="str">
        <f t="shared" si="1"/>
        <v/>
      </c>
      <c r="M30" s="778"/>
      <c r="N30" s="778" t="s">
        <v>669</v>
      </c>
      <c r="O30" s="1116" t="s">
        <v>669</v>
      </c>
      <c r="P30" s="141"/>
    </row>
    <row r="31" spans="1:17" x14ac:dyDescent="0.25">
      <c r="A31">
        <v>9</v>
      </c>
      <c r="C31" s="140"/>
      <c r="D31" s="686" t="str">
        <f t="shared" si="0"/>
        <v/>
      </c>
      <c r="E31" s="687">
        <f>'Customer Inputs'!G14</f>
        <v>0</v>
      </c>
      <c r="F31" s="776" t="str">
        <f>IFERROR(IFERROR(VLOOKUP(E31,'Customer Info'!A:B,2,0),VLOOKUP(""&amp;E31,'Customer Info'!A:B,2,0)),"")</f>
        <v/>
      </c>
      <c r="G31" s="777" t="str">
        <f>IFERROR(IFERROR(VLOOKUP(E31,'Customer Info'!A:C,3,0),VLOOKUP(""&amp;E31,'Customer Info'!A:C,3,0)),"")</f>
        <v/>
      </c>
      <c r="H31" s="777" t="str">
        <f>IFERROR(IFERROR(VLOOKUP(E31,'Customer Info'!A:D,4,0),VLOOKUP(""&amp;E31,'Customer Info'!A:D,4,0)),"")</f>
        <v/>
      </c>
      <c r="I31" s="778" t="str">
        <f>IFERROR(IFERROR(VLOOKUP(E31,'Customer Info'!A:E,5,0),VLOOKUP(""&amp;E31,'Customer Info'!A:E,5,0)),"")</f>
        <v/>
      </c>
      <c r="J31" s="778" t="str">
        <f>IFERROR(IFERROR(VLOOKUP(E31,'Customer Info'!A:F,6,0),VLOOKUP(""&amp;E31,'Customer Info'!A:F,6,0)),"")</f>
        <v/>
      </c>
      <c r="K31" s="1015" t="str">
        <f t="shared" si="2"/>
        <v/>
      </c>
      <c r="L31" s="1015" t="str">
        <f t="shared" si="1"/>
        <v/>
      </c>
      <c r="M31" s="778"/>
      <c r="N31" s="778" t="s">
        <v>669</v>
      </c>
      <c r="O31" s="1116" t="s">
        <v>669</v>
      </c>
      <c r="P31" s="141"/>
    </row>
    <row r="32" spans="1:17" x14ac:dyDescent="0.25">
      <c r="A32">
        <v>10</v>
      </c>
      <c r="C32" s="140"/>
      <c r="D32" s="686" t="str">
        <f t="shared" si="0"/>
        <v/>
      </c>
      <c r="E32" s="687">
        <f>'Customer Inputs'!G15</f>
        <v>0</v>
      </c>
      <c r="F32" s="776" t="str">
        <f>IFERROR(IFERROR(VLOOKUP(E32,'Customer Info'!A:B,2,0),VLOOKUP(""&amp;E32,'Customer Info'!A:B,2,0)),"")</f>
        <v/>
      </c>
      <c r="G32" s="777" t="str">
        <f>IFERROR(IFERROR(VLOOKUP(E32,'Customer Info'!A:C,3,0),VLOOKUP(""&amp;E32,'Customer Info'!A:C,3,0)),"")</f>
        <v/>
      </c>
      <c r="H32" s="777" t="str">
        <f>IFERROR(IFERROR(VLOOKUP(E32,'Customer Info'!A:D,4,0),VLOOKUP(""&amp;E32,'Customer Info'!A:D,4,0)),"")</f>
        <v/>
      </c>
      <c r="I32" s="778" t="str">
        <f>IFERROR(IFERROR(VLOOKUP(E32,'Customer Info'!A:E,5,0),VLOOKUP(""&amp;E32,'Customer Info'!A:E,5,0)),"")</f>
        <v/>
      </c>
      <c r="J32" s="778" t="str">
        <f>IFERROR(IFERROR(VLOOKUP(E32,'Customer Info'!A:F,6,0),VLOOKUP(""&amp;E32,'Customer Info'!A:F,6,0)),"")</f>
        <v/>
      </c>
      <c r="K32" s="1015" t="str">
        <f t="shared" si="2"/>
        <v/>
      </c>
      <c r="L32" s="1015" t="str">
        <f>IF($F$17 = "","",$F$17)</f>
        <v/>
      </c>
      <c r="M32" s="778"/>
      <c r="N32" s="778" t="s">
        <v>669</v>
      </c>
      <c r="O32" s="1116" t="s">
        <v>669</v>
      </c>
      <c r="P32" s="141"/>
    </row>
    <row r="33" spans="3:16" ht="15.75" thickBot="1" x14ac:dyDescent="0.3">
      <c r="C33" s="287"/>
      <c r="D33" s="712"/>
      <c r="E33" s="713"/>
      <c r="F33" s="714"/>
      <c r="G33" s="715"/>
      <c r="H33" s="715"/>
      <c r="I33" s="715"/>
      <c r="J33" s="715"/>
      <c r="K33" s="715"/>
      <c r="L33" s="715"/>
      <c r="M33" s="715"/>
      <c r="N33" s="715"/>
      <c r="O33" s="715"/>
      <c r="P33" s="667"/>
    </row>
    <row r="35" spans="3:16" ht="19.899999999999999" customHeight="1" x14ac:dyDescent="0.25"/>
  </sheetData>
  <sheetProtection algorithmName="SHA-512" hashValue="/M1dk9X7olWa8eIUXFC+Kp1OH4X7+zdTOjIt4rYpn2wOWDg1iyO0F5FE9/k6sxHORig0BAw3L186KSotv5dJnQ==" saltValue="C5hIobNtLrfqtxiQElu4EA==" spinCount="100000" sheet="1" objects="1" scenarios="1" selectLockedCells="1"/>
  <mergeCells count="12">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18" priority="13">
      <formula>$A23&gt;$W$2</formula>
    </cfRule>
  </conditionalFormatting>
  <conditionalFormatting sqref="E23:O32">
    <cfRule type="expression" dxfId="117" priority="9">
      <formula>$D23=$W$2</formula>
    </cfRule>
  </conditionalFormatting>
  <conditionalFormatting sqref="E21:O21 F22:L22">
    <cfRule type="expression" dxfId="116" priority="10">
      <formula>$W$2=0</formula>
    </cfRule>
  </conditionalFormatting>
  <conditionalFormatting sqref="F14:G14">
    <cfRule type="expression" dxfId="115" priority="6">
      <formula>$F$14&lt;NOW()</formula>
    </cfRule>
    <cfRule type="expression" dxfId="114" priority="7">
      <formula>$Q$14&lt;&gt;7</formula>
    </cfRule>
  </conditionalFormatting>
  <conditionalFormatting sqref="E22">
    <cfRule type="expression" dxfId="113" priority="5">
      <formula>$W$2=0</formula>
    </cfRule>
  </conditionalFormatting>
  <conditionalFormatting sqref="M22">
    <cfRule type="expression" dxfId="112" priority="4">
      <formula>$W$2=0</formula>
    </cfRule>
  </conditionalFormatting>
  <conditionalFormatting sqref="N22:O22">
    <cfRule type="expression" dxfId="111" priority="3">
      <formula>$W$2=0</formula>
    </cfRule>
  </conditionalFormatting>
  <conditionalFormatting sqref="M23:M32">
    <cfRule type="expression" dxfId="110" priority="2">
      <formula>$A23&gt;$W$2</formula>
    </cfRule>
  </conditionalFormatting>
  <conditionalFormatting sqref="M23:M32">
    <cfRule type="expression" dxfId="109" priority="1">
      <formula>$D23=$W$2</formula>
    </cfRule>
  </conditionalFormatting>
  <conditionalFormatting sqref="F23:J32 M23:O32">
    <cfRule type="containsBlanks" dxfId="108" priority="14" stopIfTrue="1">
      <formula>LEN(TRIM(F23))=0</formula>
    </cfRule>
    <cfRule type="notContainsBlanks" dxfId="107"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1AA61-26DA-4EC7-8CDC-0E93794914A0}">
  <sheetPr codeName="Sheet20"/>
  <dimension ref="A1:N38"/>
  <sheetViews>
    <sheetView showGridLines="0" workbookViewId="0">
      <selection activeCell="F12" sqref="F12"/>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s>
  <sheetData>
    <row r="1" spans="1:14" ht="18.75" x14ac:dyDescent="0.3">
      <c r="A1" s="1333" t="s">
        <v>1503</v>
      </c>
      <c r="B1" s="1333"/>
      <c r="C1" s="1333"/>
      <c r="D1" s="1333"/>
      <c r="E1" s="1333"/>
      <c r="F1" s="1333" t="s">
        <v>1504</v>
      </c>
      <c r="G1" s="1333"/>
      <c r="H1" s="1333"/>
      <c r="I1" s="1333" t="s">
        <v>1505</v>
      </c>
      <c r="J1" s="1333"/>
      <c r="K1" s="1333"/>
      <c r="L1" s="1333" t="s">
        <v>1506</v>
      </c>
      <c r="M1" s="1333"/>
      <c r="N1" s="1333"/>
    </row>
    <row r="2" spans="1:14" x14ac:dyDescent="0.25">
      <c r="A2" s="1175" t="s">
        <v>1507</v>
      </c>
      <c r="B2" s="1175" t="s">
        <v>1508</v>
      </c>
      <c r="C2" s="1175" t="s">
        <v>1509</v>
      </c>
      <c r="D2" s="1175" t="s">
        <v>131</v>
      </c>
      <c r="E2" s="1175" t="s">
        <v>1510</v>
      </c>
      <c r="F2" s="1175" t="s">
        <v>1507</v>
      </c>
      <c r="G2" s="1175" t="s">
        <v>1511</v>
      </c>
      <c r="H2" s="1175" t="s">
        <v>1510</v>
      </c>
      <c r="I2" s="1176" t="s">
        <v>1507</v>
      </c>
      <c r="J2" s="1176" t="s">
        <v>1511</v>
      </c>
      <c r="K2" s="1176" t="s">
        <v>1510</v>
      </c>
      <c r="L2" s="1176" t="s">
        <v>1507</v>
      </c>
      <c r="M2" s="1176" t="s">
        <v>1511</v>
      </c>
      <c r="N2" s="1176" t="s">
        <v>1510</v>
      </c>
    </row>
    <row r="3" spans="1:14" x14ac:dyDescent="0.25">
      <c r="A3" s="1177" t="s">
        <v>381</v>
      </c>
      <c r="B3" s="1177" t="s">
        <v>1512</v>
      </c>
      <c r="C3" s="1177" t="s">
        <v>1513</v>
      </c>
      <c r="D3" s="1177" t="s">
        <v>1514</v>
      </c>
      <c r="E3" s="1177" t="s">
        <v>1515</v>
      </c>
      <c r="F3" s="1177" t="s">
        <v>1516</v>
      </c>
      <c r="G3" s="1177" t="s">
        <v>1517</v>
      </c>
      <c r="H3" s="1177" t="s">
        <v>1518</v>
      </c>
      <c r="I3" s="1182"/>
      <c r="J3" s="1182"/>
      <c r="K3" s="1182"/>
      <c r="L3" s="1182"/>
      <c r="M3" s="1182"/>
      <c r="N3" s="1182"/>
    </row>
    <row r="4" spans="1:14" x14ac:dyDescent="0.25">
      <c r="A4" s="1177" t="s">
        <v>1346</v>
      </c>
      <c r="B4" s="1177" t="s">
        <v>1062</v>
      </c>
      <c r="C4" s="1177" t="s">
        <v>1063</v>
      </c>
      <c r="D4" s="1177" t="s">
        <v>1514</v>
      </c>
      <c r="E4" s="1177" t="s">
        <v>1515</v>
      </c>
      <c r="F4" s="1178" t="s">
        <v>1346</v>
      </c>
      <c r="G4" s="1177" t="s">
        <v>1519</v>
      </c>
      <c r="H4" s="1177" t="s">
        <v>1518</v>
      </c>
      <c r="I4" s="1182"/>
      <c r="J4" s="1182"/>
      <c r="K4" s="1182"/>
      <c r="L4" s="1182"/>
      <c r="M4" s="1182"/>
      <c r="N4" s="1182"/>
    </row>
    <row r="5" spans="1:14" x14ac:dyDescent="0.25">
      <c r="A5" s="1179" t="s">
        <v>1324</v>
      </c>
      <c r="B5" s="1177" t="s">
        <v>1520</v>
      </c>
      <c r="C5" s="1177" t="s">
        <v>1521</v>
      </c>
      <c r="D5" s="1177" t="s">
        <v>1522</v>
      </c>
      <c r="E5" s="1177" t="s">
        <v>1523</v>
      </c>
      <c r="F5" s="1179" t="s">
        <v>1324</v>
      </c>
      <c r="G5" s="1177" t="s">
        <v>1521</v>
      </c>
      <c r="H5" s="1177" t="s">
        <v>1524</v>
      </c>
      <c r="I5" s="1182"/>
      <c r="J5" s="1182"/>
      <c r="K5" s="1182"/>
      <c r="L5" s="1182"/>
      <c r="M5" s="1182"/>
      <c r="N5" s="1182"/>
    </row>
    <row r="6" spans="1:14" x14ac:dyDescent="0.25">
      <c r="A6" s="1179" t="s">
        <v>813</v>
      </c>
      <c r="B6" s="1177" t="s">
        <v>1525</v>
      </c>
      <c r="C6" s="1177" t="s">
        <v>1526</v>
      </c>
      <c r="D6" s="1177" t="s">
        <v>1522</v>
      </c>
      <c r="E6" s="1177" t="s">
        <v>1523</v>
      </c>
      <c r="F6" s="1179" t="s">
        <v>813</v>
      </c>
      <c r="G6" s="1177" t="s">
        <v>1527</v>
      </c>
      <c r="H6" s="1177" t="s">
        <v>1524</v>
      </c>
      <c r="I6" s="1182"/>
      <c r="J6" s="1182"/>
      <c r="K6" s="1182"/>
      <c r="L6" s="1182"/>
      <c r="M6" s="1182"/>
      <c r="N6" s="1182"/>
    </row>
    <row r="7" spans="1:14" x14ac:dyDescent="0.25">
      <c r="A7" s="1179" t="s">
        <v>1325</v>
      </c>
      <c r="B7" s="1177" t="s">
        <v>1528</v>
      </c>
      <c r="C7" s="1177" t="s">
        <v>134</v>
      </c>
      <c r="D7" s="1177" t="s">
        <v>1522</v>
      </c>
      <c r="E7" s="1177" t="s">
        <v>1523</v>
      </c>
      <c r="F7" s="1179" t="s">
        <v>1325</v>
      </c>
      <c r="G7" s="1177" t="s">
        <v>1529</v>
      </c>
      <c r="H7" s="1177" t="s">
        <v>1524</v>
      </c>
      <c r="I7" s="1182"/>
      <c r="J7" s="1182"/>
      <c r="K7" s="1182"/>
      <c r="L7" s="1182"/>
      <c r="M7" s="1182"/>
      <c r="N7" s="1182"/>
    </row>
    <row r="8" spans="1:14" x14ac:dyDescent="0.25">
      <c r="A8" s="1179" t="s">
        <v>1326</v>
      </c>
      <c r="B8" s="1177" t="s">
        <v>1530</v>
      </c>
      <c r="C8" s="1177" t="s">
        <v>681</v>
      </c>
      <c r="D8" s="1177" t="s">
        <v>1522</v>
      </c>
      <c r="E8" s="1177" t="s">
        <v>1523</v>
      </c>
      <c r="F8" s="1179" t="s">
        <v>1326</v>
      </c>
      <c r="G8" s="1177" t="s">
        <v>1531</v>
      </c>
      <c r="H8" s="1177" t="s">
        <v>1524</v>
      </c>
      <c r="I8" s="1182"/>
      <c r="J8" s="1182"/>
      <c r="K8" s="1182"/>
      <c r="L8" s="1182"/>
      <c r="M8" s="1182"/>
      <c r="N8" s="1182"/>
    </row>
    <row r="9" spans="1:14" x14ac:dyDescent="0.25">
      <c r="A9" s="1179" t="s">
        <v>1413</v>
      </c>
      <c r="B9" s="1177" t="s">
        <v>1512</v>
      </c>
      <c r="C9" s="1177" t="s">
        <v>1513</v>
      </c>
      <c r="D9" s="1177" t="s">
        <v>1514</v>
      </c>
      <c r="E9" s="1177" t="s">
        <v>1428</v>
      </c>
      <c r="F9" s="1179" t="s">
        <v>1413</v>
      </c>
      <c r="G9" s="1177" t="s">
        <v>1532</v>
      </c>
      <c r="H9" s="1177" t="s">
        <v>1524</v>
      </c>
      <c r="I9" s="1182"/>
      <c r="J9" s="1182"/>
      <c r="K9" s="1182"/>
      <c r="L9" s="1182"/>
      <c r="M9" s="1182"/>
      <c r="N9" s="1182"/>
    </row>
    <row r="10" spans="1:14" x14ac:dyDescent="0.25">
      <c r="A10" s="1179" t="s">
        <v>1446</v>
      </c>
      <c r="B10" s="1177" t="s">
        <v>1533</v>
      </c>
      <c r="C10" s="1177" t="s">
        <v>1534</v>
      </c>
      <c r="D10" s="1177" t="s">
        <v>1522</v>
      </c>
      <c r="E10" s="1177" t="s">
        <v>1523</v>
      </c>
      <c r="F10" s="1179" t="s">
        <v>1446</v>
      </c>
      <c r="G10" s="1177" t="s">
        <v>1535</v>
      </c>
      <c r="H10" s="1177" t="s">
        <v>1524</v>
      </c>
      <c r="I10" s="1182"/>
      <c r="J10" s="1182"/>
      <c r="K10" s="1182"/>
      <c r="L10" s="1182"/>
      <c r="M10" s="1182"/>
      <c r="N10" s="1182"/>
    </row>
    <row r="11" spans="1:14" x14ac:dyDescent="0.25">
      <c r="A11" s="1179" t="s">
        <v>1536</v>
      </c>
      <c r="B11" s="1177" t="s">
        <v>1537</v>
      </c>
      <c r="C11" s="1177" t="s">
        <v>245</v>
      </c>
      <c r="D11" s="1177" t="s">
        <v>1522</v>
      </c>
      <c r="E11" s="1177" t="s">
        <v>1523</v>
      </c>
      <c r="F11" s="1179" t="s">
        <v>1536</v>
      </c>
      <c r="G11" s="1177" t="s">
        <v>1526</v>
      </c>
      <c r="H11" s="1177" t="s">
        <v>1524</v>
      </c>
      <c r="I11" s="1182"/>
      <c r="J11" s="1182"/>
      <c r="K11" s="1182"/>
      <c r="L11" s="1182"/>
      <c r="M11" s="1182"/>
      <c r="N11" s="1182"/>
    </row>
    <row r="12" spans="1:14" ht="30" x14ac:dyDescent="0.25">
      <c r="A12" s="1180" t="s">
        <v>1360</v>
      </c>
      <c r="B12" s="1180" t="s">
        <v>1538</v>
      </c>
      <c r="C12" s="1180" t="s">
        <v>1539</v>
      </c>
      <c r="D12" s="1180" t="s">
        <v>1514</v>
      </c>
      <c r="E12" s="1180" t="s">
        <v>1515</v>
      </c>
      <c r="F12" s="1180" t="s">
        <v>1360</v>
      </c>
      <c r="G12" s="1180" t="s">
        <v>1517</v>
      </c>
      <c r="H12" s="1180" t="s">
        <v>1540</v>
      </c>
      <c r="I12" s="1182"/>
      <c r="J12" s="1182"/>
      <c r="K12" s="1182"/>
      <c r="L12" s="1182"/>
      <c r="M12" s="1182"/>
      <c r="N12" s="1182"/>
    </row>
    <row r="13" spans="1:14" x14ac:dyDescent="0.25">
      <c r="A13" s="1180" t="s">
        <v>1334</v>
      </c>
      <c r="B13" s="1180" t="s">
        <v>1541</v>
      </c>
      <c r="C13" s="1180" t="s">
        <v>1542</v>
      </c>
      <c r="D13" s="1180" t="s">
        <v>1514</v>
      </c>
      <c r="E13" s="1180" t="s">
        <v>129</v>
      </c>
      <c r="F13" s="1180" t="s">
        <v>1543</v>
      </c>
      <c r="G13" s="1180" t="s">
        <v>1519</v>
      </c>
      <c r="H13" s="1180" t="s">
        <v>1540</v>
      </c>
      <c r="I13" s="1182"/>
      <c r="J13" s="1182"/>
      <c r="K13" s="1182"/>
      <c r="L13" s="1182"/>
      <c r="M13" s="1182"/>
      <c r="N13" s="1182"/>
    </row>
    <row r="14" spans="1:14" x14ac:dyDescent="0.25">
      <c r="A14" s="1180" t="s">
        <v>1350</v>
      </c>
      <c r="B14" s="1180" t="s">
        <v>1544</v>
      </c>
      <c r="C14" s="1180" t="s">
        <v>1545</v>
      </c>
      <c r="D14" s="1180" t="s">
        <v>1514</v>
      </c>
      <c r="E14" s="1180" t="s">
        <v>1515</v>
      </c>
      <c r="F14" s="1180" t="s">
        <v>1350</v>
      </c>
      <c r="G14" s="1180" t="s">
        <v>1546</v>
      </c>
      <c r="H14" s="1180" t="s">
        <v>1540</v>
      </c>
      <c r="I14" s="1182"/>
      <c r="J14" s="1182"/>
      <c r="K14" s="1182"/>
      <c r="L14" s="1182"/>
      <c r="M14" s="1182"/>
      <c r="N14" s="1182"/>
    </row>
    <row r="15" spans="1:14" x14ac:dyDescent="0.25">
      <c r="A15" s="1180" t="s">
        <v>1351</v>
      </c>
      <c r="B15" s="1180" t="s">
        <v>1547</v>
      </c>
      <c r="C15" s="1180" t="s">
        <v>1548</v>
      </c>
      <c r="D15" s="1180" t="s">
        <v>1514</v>
      </c>
      <c r="E15" s="1180" t="s">
        <v>1515</v>
      </c>
      <c r="F15" s="1180" t="s">
        <v>1351</v>
      </c>
      <c r="G15" s="1181" t="s">
        <v>680</v>
      </c>
      <c r="H15" s="1180" t="s">
        <v>1540</v>
      </c>
      <c r="I15" s="1182"/>
      <c r="J15" s="1182"/>
      <c r="K15" s="1182"/>
      <c r="L15" s="1182"/>
      <c r="M15" s="1182"/>
      <c r="N15" s="1182"/>
    </row>
    <row r="16" spans="1:14" x14ac:dyDescent="0.25">
      <c r="A16" s="1180" t="s">
        <v>1352</v>
      </c>
      <c r="B16" s="1180" t="s">
        <v>1549</v>
      </c>
      <c r="C16" s="1180" t="s">
        <v>1550</v>
      </c>
      <c r="D16" s="1180" t="s">
        <v>1514</v>
      </c>
      <c r="E16" s="1180" t="s">
        <v>1515</v>
      </c>
      <c r="F16" s="1180" t="s">
        <v>1352</v>
      </c>
      <c r="G16" s="1180" t="s">
        <v>1521</v>
      </c>
      <c r="H16" s="1180" t="s">
        <v>1540</v>
      </c>
      <c r="I16" s="1182"/>
      <c r="J16" s="1182"/>
      <c r="K16" s="1182"/>
      <c r="L16" s="1182"/>
      <c r="M16" s="1182"/>
      <c r="N16" s="1182"/>
    </row>
    <row r="17" spans="1:14" x14ac:dyDescent="0.25">
      <c r="A17" s="1180" t="s">
        <v>1332</v>
      </c>
      <c r="B17" s="1180" t="s">
        <v>1551</v>
      </c>
      <c r="C17" s="1180" t="s">
        <v>1552</v>
      </c>
      <c r="D17" s="1180" t="s">
        <v>1514</v>
      </c>
      <c r="E17" s="1180" t="s">
        <v>129</v>
      </c>
      <c r="F17" s="1180" t="s">
        <v>1332</v>
      </c>
      <c r="G17" s="1180" t="s">
        <v>1527</v>
      </c>
      <c r="H17" s="1180" t="s">
        <v>1540</v>
      </c>
      <c r="I17" s="1182"/>
      <c r="J17" s="1182"/>
      <c r="K17" s="1182"/>
      <c r="L17" s="1182"/>
      <c r="M17" s="1182"/>
      <c r="N17" s="1182"/>
    </row>
    <row r="18" spans="1:14" ht="30" x14ac:dyDescent="0.25">
      <c r="A18" s="1180" t="s">
        <v>1361</v>
      </c>
      <c r="B18" s="1180" t="s">
        <v>1553</v>
      </c>
      <c r="C18" s="1180" t="s">
        <v>1554</v>
      </c>
      <c r="D18" s="1180" t="s">
        <v>1514</v>
      </c>
      <c r="E18" s="1180" t="s">
        <v>1515</v>
      </c>
      <c r="F18" s="1180" t="s">
        <v>1361</v>
      </c>
      <c r="G18" s="1180" t="s">
        <v>1529</v>
      </c>
      <c r="H18" s="1180" t="s">
        <v>1540</v>
      </c>
      <c r="I18" s="1182"/>
      <c r="J18" s="1182"/>
      <c r="K18" s="1182"/>
      <c r="L18" s="1182"/>
      <c r="M18" s="1182"/>
      <c r="N18" s="1182"/>
    </row>
    <row r="19" spans="1:14" x14ac:dyDescent="0.25">
      <c r="A19" s="1180" t="s">
        <v>1363</v>
      </c>
      <c r="B19" s="1180" t="s">
        <v>1555</v>
      </c>
      <c r="C19" s="1180" t="s">
        <v>1556</v>
      </c>
      <c r="D19" s="1180" t="s">
        <v>1514</v>
      </c>
      <c r="E19" s="1180" t="s">
        <v>1515</v>
      </c>
      <c r="F19" s="1180" t="s">
        <v>1363</v>
      </c>
      <c r="G19" s="1180" t="s">
        <v>1531</v>
      </c>
      <c r="H19" s="1180" t="s">
        <v>1540</v>
      </c>
      <c r="I19" s="1182"/>
      <c r="J19" s="1182"/>
      <c r="K19" s="1182"/>
      <c r="L19" s="1182"/>
      <c r="M19" s="1182"/>
      <c r="N19" s="1182"/>
    </row>
    <row r="20" spans="1:14" x14ac:dyDescent="0.25">
      <c r="A20" s="1180" t="s">
        <v>1364</v>
      </c>
      <c r="B20" s="1180" t="s">
        <v>1557</v>
      </c>
      <c r="C20" s="1180" t="s">
        <v>1558</v>
      </c>
      <c r="D20" s="1180" t="s">
        <v>1514</v>
      </c>
      <c r="E20" s="1180" t="s">
        <v>1515</v>
      </c>
      <c r="F20" s="1180" t="s">
        <v>1364</v>
      </c>
      <c r="G20" s="1180" t="s">
        <v>1532</v>
      </c>
      <c r="H20" s="1180" t="s">
        <v>1540</v>
      </c>
      <c r="I20" s="1182"/>
      <c r="J20" s="1182"/>
      <c r="K20" s="1182"/>
      <c r="L20" s="1182"/>
      <c r="M20" s="1182"/>
      <c r="N20" s="1182"/>
    </row>
    <row r="21" spans="1:14" x14ac:dyDescent="0.25">
      <c r="A21" s="1180" t="s">
        <v>1373</v>
      </c>
      <c r="B21" s="1180" t="s">
        <v>1559</v>
      </c>
      <c r="C21" s="1180" t="s">
        <v>1560</v>
      </c>
      <c r="D21" s="1180" t="s">
        <v>1514</v>
      </c>
      <c r="E21" s="1180" t="s">
        <v>1515</v>
      </c>
      <c r="F21" s="1180" t="s">
        <v>1373</v>
      </c>
      <c r="G21" s="1180" t="s">
        <v>1535</v>
      </c>
      <c r="H21" s="1180" t="s">
        <v>1540</v>
      </c>
      <c r="I21" s="1182"/>
      <c r="J21" s="1182"/>
      <c r="K21" s="1182"/>
      <c r="L21" s="1182"/>
      <c r="M21" s="1182"/>
      <c r="N21" s="1182"/>
    </row>
    <row r="22" spans="1:14" x14ac:dyDescent="0.25">
      <c r="A22" s="1180" t="s">
        <v>1374</v>
      </c>
      <c r="B22" s="1180" t="s">
        <v>1561</v>
      </c>
      <c r="C22" s="1180" t="s">
        <v>1562</v>
      </c>
      <c r="D22" s="1180" t="s">
        <v>1514</v>
      </c>
      <c r="E22" s="1180" t="s">
        <v>1515</v>
      </c>
      <c r="F22" s="1180" t="s">
        <v>1374</v>
      </c>
      <c r="G22" s="1180" t="s">
        <v>1526</v>
      </c>
      <c r="H22" s="1180" t="s">
        <v>1540</v>
      </c>
      <c r="I22" s="1182"/>
      <c r="J22" s="1182"/>
      <c r="K22" s="1182"/>
      <c r="L22" s="1182"/>
      <c r="M22" s="1182"/>
      <c r="N22" s="1182"/>
    </row>
    <row r="23" spans="1:14" x14ac:dyDescent="0.25">
      <c r="A23" s="1180" t="s">
        <v>1563</v>
      </c>
      <c r="B23" s="1180" t="s">
        <v>1564</v>
      </c>
      <c r="C23" s="1180" t="s">
        <v>1565</v>
      </c>
      <c r="D23" s="1180" t="s">
        <v>1514</v>
      </c>
      <c r="E23" s="1180" t="s">
        <v>1515</v>
      </c>
      <c r="F23" s="1180" t="s">
        <v>1563</v>
      </c>
      <c r="G23" s="1180" t="s">
        <v>134</v>
      </c>
      <c r="H23" s="1180" t="s">
        <v>1540</v>
      </c>
      <c r="I23" s="1182"/>
      <c r="J23" s="1182"/>
      <c r="K23" s="1182"/>
      <c r="L23" s="1182"/>
      <c r="M23" s="1182"/>
      <c r="N23" s="1182"/>
    </row>
    <row r="24" spans="1:14" ht="30" x14ac:dyDescent="0.25">
      <c r="A24" s="1180" t="s">
        <v>1566</v>
      </c>
      <c r="B24" s="1180" t="s">
        <v>1567</v>
      </c>
      <c r="C24" s="1180" t="s">
        <v>1568</v>
      </c>
      <c r="D24" s="1180" t="s">
        <v>1514</v>
      </c>
      <c r="E24" s="1180" t="s">
        <v>1515</v>
      </c>
      <c r="F24" s="1180" t="s">
        <v>1569</v>
      </c>
      <c r="G24" s="1180" t="s">
        <v>681</v>
      </c>
      <c r="H24" s="1180" t="s">
        <v>1540</v>
      </c>
      <c r="I24" s="1182"/>
      <c r="J24" s="1182"/>
      <c r="K24" s="1182"/>
      <c r="L24" s="1182"/>
      <c r="M24" s="1182"/>
      <c r="N24" s="1182"/>
    </row>
    <row r="25" spans="1:14" ht="30" x14ac:dyDescent="0.25">
      <c r="A25" s="1180" t="s">
        <v>1378</v>
      </c>
      <c r="B25" s="1180" t="s">
        <v>1570</v>
      </c>
      <c r="C25" s="1180" t="s">
        <v>1570</v>
      </c>
      <c r="D25" s="1180" t="s">
        <v>1514</v>
      </c>
      <c r="E25" s="1180" t="s">
        <v>1515</v>
      </c>
      <c r="F25" s="1180" t="s">
        <v>1378</v>
      </c>
      <c r="G25" s="1180" t="s">
        <v>245</v>
      </c>
      <c r="H25" s="1180" t="s">
        <v>1540</v>
      </c>
      <c r="I25" s="1182"/>
      <c r="J25" s="1182"/>
      <c r="K25" s="1182"/>
      <c r="L25" s="1182"/>
      <c r="M25" s="1182"/>
      <c r="N25" s="1182"/>
    </row>
    <row r="26" spans="1:14" x14ac:dyDescent="0.25">
      <c r="A26" s="1180" t="s">
        <v>1365</v>
      </c>
      <c r="B26" s="1180" t="s">
        <v>1571</v>
      </c>
      <c r="C26" s="1180" t="s">
        <v>1572</v>
      </c>
      <c r="D26" s="1180" t="s">
        <v>1514</v>
      </c>
      <c r="E26" s="1180" t="s">
        <v>1515</v>
      </c>
      <c r="F26" s="1180" t="s">
        <v>1365</v>
      </c>
      <c r="G26" s="1180" t="s">
        <v>1534</v>
      </c>
      <c r="H26" s="1180" t="s">
        <v>1540</v>
      </c>
      <c r="I26" s="1182"/>
      <c r="J26" s="1182"/>
      <c r="K26" s="1182"/>
      <c r="L26" s="1182"/>
      <c r="M26" s="1182"/>
      <c r="N26" s="1182"/>
    </row>
    <row r="27" spans="1:14" x14ac:dyDescent="0.25">
      <c r="A27" s="1180" t="s">
        <v>1379</v>
      </c>
      <c r="B27" s="1180" t="s">
        <v>1573</v>
      </c>
      <c r="C27" s="1180" t="s">
        <v>1574</v>
      </c>
      <c r="D27" s="1180" t="s">
        <v>1514</v>
      </c>
      <c r="E27" s="1180" t="s">
        <v>1515</v>
      </c>
      <c r="F27" s="1180" t="s">
        <v>1379</v>
      </c>
      <c r="G27" s="1180" t="s">
        <v>1575</v>
      </c>
      <c r="H27" s="1180" t="s">
        <v>1540</v>
      </c>
      <c r="I27" s="1182"/>
      <c r="J27" s="1182"/>
      <c r="K27" s="1182"/>
      <c r="L27" s="1182"/>
      <c r="M27" s="1182"/>
      <c r="N27" s="1182"/>
    </row>
    <row r="28" spans="1:14" x14ac:dyDescent="0.25">
      <c r="A28" s="1180" t="s">
        <v>1576</v>
      </c>
      <c r="B28" s="1180" t="s">
        <v>1577</v>
      </c>
      <c r="C28" s="1180" t="s">
        <v>1578</v>
      </c>
      <c r="D28" s="1180" t="s">
        <v>1514</v>
      </c>
      <c r="E28" s="1180" t="s">
        <v>1579</v>
      </c>
      <c r="F28" s="1180" t="s">
        <v>1580</v>
      </c>
      <c r="G28" s="1180" t="s">
        <v>1581</v>
      </c>
      <c r="H28" s="1180" t="s">
        <v>1540</v>
      </c>
      <c r="I28" s="1182"/>
      <c r="J28" s="1182"/>
      <c r="K28" s="1182"/>
      <c r="L28" s="1182"/>
      <c r="M28" s="1182"/>
      <c r="N28" s="1182"/>
    </row>
    <row r="29" spans="1:14" x14ac:dyDescent="0.25">
      <c r="A29" s="1180" t="s">
        <v>248</v>
      </c>
      <c r="B29" s="1180" t="s">
        <v>1582</v>
      </c>
      <c r="C29" s="1180" t="s">
        <v>1583</v>
      </c>
      <c r="D29" s="1180" t="s">
        <v>1514</v>
      </c>
      <c r="E29" s="1180" t="s">
        <v>1579</v>
      </c>
      <c r="F29" s="1180" t="s">
        <v>84</v>
      </c>
      <c r="G29" s="1180" t="s">
        <v>1517</v>
      </c>
      <c r="H29" s="1180" t="s">
        <v>1584</v>
      </c>
      <c r="I29" s="1182"/>
      <c r="J29" s="1182"/>
      <c r="K29" s="1182"/>
      <c r="L29" s="1182"/>
      <c r="M29" s="1182"/>
      <c r="N29" s="1182"/>
    </row>
    <row r="30" spans="1:14" x14ac:dyDescent="0.25">
      <c r="A30" s="1180" t="s">
        <v>269</v>
      </c>
      <c r="B30" s="1180" t="s">
        <v>1585</v>
      </c>
      <c r="C30" s="1180" t="s">
        <v>1586</v>
      </c>
      <c r="D30" s="1180" t="s">
        <v>1514</v>
      </c>
      <c r="E30" s="1180" t="s">
        <v>1579</v>
      </c>
      <c r="F30" s="1180" t="s">
        <v>269</v>
      </c>
      <c r="G30" s="1180" t="s">
        <v>1519</v>
      </c>
      <c r="H30" s="1180" t="s">
        <v>1584</v>
      </c>
      <c r="I30" s="1182"/>
      <c r="J30" s="1182"/>
      <c r="K30" s="1182"/>
      <c r="L30" s="1182"/>
      <c r="M30" s="1182"/>
      <c r="N30" s="1182"/>
    </row>
    <row r="31" spans="1:14" x14ac:dyDescent="0.25">
      <c r="A31" s="1180" t="s">
        <v>675</v>
      </c>
      <c r="B31" s="1180" t="s">
        <v>1587</v>
      </c>
      <c r="C31" s="1180" t="s">
        <v>1588</v>
      </c>
      <c r="D31" s="1180" t="s">
        <v>1514</v>
      </c>
      <c r="E31" s="1180" t="s">
        <v>1579</v>
      </c>
      <c r="F31" s="1180" t="s">
        <v>675</v>
      </c>
      <c r="G31" s="1180" t="s">
        <v>1546</v>
      </c>
      <c r="H31" s="1180" t="s">
        <v>1584</v>
      </c>
      <c r="I31" s="1182"/>
      <c r="J31" s="1182"/>
      <c r="K31" s="1182"/>
      <c r="L31" s="1182"/>
      <c r="M31" s="1182"/>
      <c r="N31" s="1182"/>
    </row>
    <row r="32" spans="1:14" x14ac:dyDescent="0.25">
      <c r="A32" s="1180" t="s">
        <v>1302</v>
      </c>
      <c r="B32" s="1180" t="s">
        <v>1589</v>
      </c>
      <c r="C32" s="1180" t="s">
        <v>1590</v>
      </c>
      <c r="D32" s="1180" t="s">
        <v>1514</v>
      </c>
      <c r="E32" s="1180" t="s">
        <v>1579</v>
      </c>
      <c r="F32" s="1180" t="s">
        <v>1302</v>
      </c>
      <c r="G32" s="1180" t="s">
        <v>680</v>
      </c>
      <c r="H32" s="1180" t="s">
        <v>1584</v>
      </c>
      <c r="I32" s="1182"/>
      <c r="J32" s="1182"/>
      <c r="K32" s="1182"/>
      <c r="L32" s="1182"/>
      <c r="M32" s="1182"/>
      <c r="N32" s="1182"/>
    </row>
    <row r="33" spans="1:14" x14ac:dyDescent="0.25">
      <c r="A33" s="1180" t="s">
        <v>1303</v>
      </c>
      <c r="B33" s="1180" t="s">
        <v>1591</v>
      </c>
      <c r="C33" s="1180" t="s">
        <v>1592</v>
      </c>
      <c r="D33" s="1180" t="s">
        <v>1514</v>
      </c>
      <c r="E33" s="1180" t="s">
        <v>1579</v>
      </c>
      <c r="F33" s="1180" t="s">
        <v>1303</v>
      </c>
      <c r="G33" s="1180" t="s">
        <v>1521</v>
      </c>
      <c r="H33" s="1180" t="s">
        <v>1584</v>
      </c>
      <c r="I33" s="1182"/>
      <c r="J33" s="1182"/>
      <c r="K33" s="1182"/>
      <c r="L33" s="1182"/>
      <c r="M33" s="1182"/>
      <c r="N33" s="1182"/>
    </row>
    <row r="34" spans="1:14" x14ac:dyDescent="0.25">
      <c r="A34" s="1180" t="s">
        <v>1304</v>
      </c>
      <c r="B34" s="1180" t="s">
        <v>1593</v>
      </c>
      <c r="C34" s="1180" t="s">
        <v>1594</v>
      </c>
      <c r="D34" s="1180" t="s">
        <v>1514</v>
      </c>
      <c r="E34" s="1180" t="s">
        <v>1579</v>
      </c>
      <c r="F34" s="1180" t="s">
        <v>1304</v>
      </c>
      <c r="G34" s="1180" t="s">
        <v>1527</v>
      </c>
      <c r="H34" s="1180" t="s">
        <v>1584</v>
      </c>
      <c r="I34" s="1182"/>
      <c r="J34" s="1182"/>
      <c r="K34" s="1182"/>
      <c r="L34" s="1182"/>
      <c r="M34" s="1182"/>
      <c r="N34" s="1182"/>
    </row>
    <row r="35" spans="1:14" x14ac:dyDescent="0.25">
      <c r="A35" s="1180" t="s">
        <v>1414</v>
      </c>
      <c r="B35" s="1180" t="s">
        <v>1062</v>
      </c>
      <c r="C35" s="1180" t="s">
        <v>1063</v>
      </c>
      <c r="D35" s="1180" t="s">
        <v>1514</v>
      </c>
      <c r="E35" s="1180" t="s">
        <v>1428</v>
      </c>
      <c r="F35" s="1180" t="s">
        <v>1414</v>
      </c>
      <c r="G35" s="1180" t="s">
        <v>1517</v>
      </c>
      <c r="H35" s="1180" t="s">
        <v>1412</v>
      </c>
      <c r="I35" s="1182"/>
      <c r="J35" s="1182"/>
      <c r="K35" s="1182"/>
      <c r="L35" s="1182"/>
      <c r="M35" s="1182"/>
      <c r="N35" s="1182"/>
    </row>
    <row r="36" spans="1:14" x14ac:dyDescent="0.25">
      <c r="A36" s="1180" t="s">
        <v>1595</v>
      </c>
      <c r="B36" s="1180" t="s">
        <v>1596</v>
      </c>
      <c r="C36" s="1180" t="s">
        <v>1597</v>
      </c>
      <c r="D36" s="1180" t="s">
        <v>1514</v>
      </c>
      <c r="E36" s="1180" t="s">
        <v>1428</v>
      </c>
      <c r="F36" s="1180" t="s">
        <v>1595</v>
      </c>
      <c r="G36" s="1180" t="s">
        <v>1519</v>
      </c>
      <c r="H36" s="1180" t="s">
        <v>1412</v>
      </c>
      <c r="I36" s="1182"/>
      <c r="J36" s="1182"/>
      <c r="K36" s="1182"/>
      <c r="L36" s="1182"/>
      <c r="M36" s="1182"/>
      <c r="N36" s="1182"/>
    </row>
    <row r="37" spans="1:14" x14ac:dyDescent="0.25">
      <c r="A37" s="1180" t="s">
        <v>1416</v>
      </c>
      <c r="B37" s="1177" t="s">
        <v>1598</v>
      </c>
      <c r="C37" s="1177" t="s">
        <v>1599</v>
      </c>
      <c r="D37" s="1180" t="s">
        <v>1514</v>
      </c>
      <c r="E37" s="1180" t="s">
        <v>1428</v>
      </c>
      <c r="F37" s="1180" t="s">
        <v>1416</v>
      </c>
      <c r="G37" s="1180" t="s">
        <v>1546</v>
      </c>
      <c r="H37" s="1180" t="s">
        <v>1412</v>
      </c>
      <c r="I37" s="1182"/>
      <c r="J37" s="1182"/>
      <c r="K37" s="1182"/>
      <c r="L37" s="1182"/>
      <c r="M37" s="1182"/>
      <c r="N37" s="1182"/>
    </row>
    <row r="38" spans="1:14" x14ac:dyDescent="0.25">
      <c r="A38" s="993"/>
      <c r="B38" s="993"/>
      <c r="C38" s="993"/>
      <c r="D38" s="993"/>
      <c r="E38" s="993"/>
      <c r="F38" s="993"/>
      <c r="G38" s="993"/>
      <c r="H38" s="993"/>
      <c r="I38" s="993"/>
      <c r="J38" s="993"/>
      <c r="K38" s="993"/>
      <c r="L38" s="993"/>
      <c r="M38" s="993"/>
      <c r="N38" s="993"/>
    </row>
  </sheetData>
  <mergeCells count="4">
    <mergeCell ref="A1:E1"/>
    <mergeCell ref="F1:H1"/>
    <mergeCell ref="I1:K1"/>
    <mergeCell ref="L1:N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CF531-FA1F-4A54-8391-2481CA142EA7}">
  <sheetPr codeName="Sheet24"/>
  <dimension ref="A1"/>
  <sheetViews>
    <sheetView showGridLines="0" workbookViewId="0">
      <selection activeCell="M14" sqref="M14"/>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704"/>
      <c r="B1" s="704"/>
      <c r="C1" s="704"/>
      <c r="D1" s="704"/>
      <c r="E1" s="704"/>
      <c r="F1" s="704"/>
      <c r="G1" s="704"/>
      <c r="H1" s="704"/>
      <c r="I1" s="704"/>
      <c r="J1" s="1036"/>
      <c r="K1" s="1036"/>
      <c r="L1" s="1036"/>
      <c r="M1" s="1036"/>
      <c r="N1" s="1036"/>
      <c r="O1" s="1036"/>
      <c r="P1" s="1036"/>
      <c r="Q1" s="1036"/>
      <c r="R1" s="1036"/>
      <c r="S1" s="1028"/>
    </row>
    <row r="2" spans="1:19" ht="15.75" thickBot="1" x14ac:dyDescent="0.3">
      <c r="A2" s="1036"/>
      <c r="B2" s="1334" t="s">
        <v>1343</v>
      </c>
      <c r="C2" s="1335"/>
      <c r="D2" s="1335"/>
      <c r="E2" s="1335"/>
      <c r="F2" s="1335"/>
      <c r="G2" s="1335"/>
      <c r="H2" s="1335"/>
      <c r="I2" s="1336"/>
      <c r="J2" s="1036"/>
      <c r="K2" s="1036"/>
      <c r="L2" s="1036"/>
      <c r="M2" s="1337" t="s">
        <v>1344</v>
      </c>
      <c r="N2" s="1337"/>
      <c r="O2" s="1337"/>
      <c r="P2" s="1036"/>
      <c r="Q2" s="1036"/>
      <c r="R2" s="1036"/>
      <c r="S2" s="1028"/>
    </row>
    <row r="3" spans="1:19" x14ac:dyDescent="0.25">
      <c r="A3" s="1036"/>
      <c r="B3" s="1117"/>
      <c r="C3" s="1076"/>
      <c r="D3" s="1076"/>
      <c r="E3" s="1076"/>
      <c r="F3" s="1076"/>
      <c r="G3" s="1076"/>
      <c r="H3" s="1076"/>
      <c r="I3" s="1118"/>
      <c r="J3" s="1036"/>
      <c r="K3" s="1036"/>
      <c r="L3" s="1036"/>
      <c r="M3" s="1037" t="s">
        <v>1345</v>
      </c>
      <c r="N3" s="1037">
        <v>500</v>
      </c>
      <c r="O3" s="1037">
        <v>25</v>
      </c>
      <c r="P3" s="1036"/>
      <c r="Q3" s="1036" t="s">
        <v>1345</v>
      </c>
      <c r="R3" s="1036"/>
      <c r="S3" s="1028"/>
    </row>
    <row r="4" spans="1:19" ht="25.5" x14ac:dyDescent="0.25">
      <c r="A4" s="1036"/>
      <c r="B4" s="1119" t="s">
        <v>381</v>
      </c>
      <c r="C4" s="1120" t="s">
        <v>1346</v>
      </c>
      <c r="D4" s="1120" t="s">
        <v>1347</v>
      </c>
      <c r="E4" s="1120" t="s">
        <v>1348</v>
      </c>
      <c r="F4" s="1120" t="s">
        <v>1349</v>
      </c>
      <c r="G4" s="1121" t="s">
        <v>1350</v>
      </c>
      <c r="H4" s="1121" t="s">
        <v>1351</v>
      </c>
      <c r="I4" s="1122" t="s">
        <v>1352</v>
      </c>
      <c r="J4" s="1036"/>
      <c r="K4" s="1036"/>
      <c r="L4" s="1036"/>
      <c r="M4" s="1037" t="s">
        <v>1353</v>
      </c>
      <c r="N4" s="1037">
        <v>500</v>
      </c>
      <c r="O4" s="1037">
        <v>35</v>
      </c>
      <c r="P4" s="1036"/>
      <c r="Q4" s="1036" t="s">
        <v>1353</v>
      </c>
      <c r="R4" s="1036"/>
      <c r="S4" s="1028"/>
    </row>
    <row r="5" spans="1:19" ht="15.75" thickBot="1" x14ac:dyDescent="0.3">
      <c r="A5" s="1036"/>
      <c r="B5" s="1038">
        <f>'Existing Customers'!$AB$2</f>
        <v>0</v>
      </c>
      <c r="C5" s="1030" t="s">
        <v>669</v>
      </c>
      <c r="D5" s="1030" t="s">
        <v>1354</v>
      </c>
      <c r="E5" s="1030" t="s">
        <v>671</v>
      </c>
      <c r="F5" s="1030" t="s">
        <v>669</v>
      </c>
      <c r="G5" s="1039" t="str">
        <f>IFERROR('PIM Model'!H31/('PIM Model'!E6*52*Welcome!D14),"")</f>
        <v/>
      </c>
      <c r="H5" s="1039" t="str">
        <f>IFERROR('PIM Model'!G31/('PIM Model'!E6*52*Welcome!D14),"")</f>
        <v/>
      </c>
      <c r="I5" s="1040" t="str">
        <f>IFERROR('PIM Model'!G31/'PIM Model'!H31,"")</f>
        <v/>
      </c>
      <c r="J5" s="1036"/>
      <c r="K5" s="1036"/>
      <c r="L5" s="1036"/>
      <c r="M5" s="1037" t="s">
        <v>1355</v>
      </c>
      <c r="N5" s="1037">
        <v>500</v>
      </c>
      <c r="O5" s="1037">
        <v>50</v>
      </c>
      <c r="P5" s="1036"/>
      <c r="Q5" s="1036" t="s">
        <v>1355</v>
      </c>
      <c r="R5" s="1036"/>
      <c r="S5" s="1028"/>
    </row>
    <row r="6" spans="1:19" ht="15.75" thickBot="1" x14ac:dyDescent="0.3">
      <c r="A6" s="1036"/>
      <c r="B6" s="704"/>
      <c r="C6" s="704"/>
      <c r="D6" s="704"/>
      <c r="E6" s="704"/>
      <c r="F6" s="704"/>
      <c r="G6" s="704"/>
      <c r="H6" s="704"/>
      <c r="I6" s="704"/>
      <c r="J6" s="1036"/>
      <c r="K6" s="1036"/>
      <c r="L6" s="1036"/>
      <c r="M6" s="1037"/>
      <c r="N6" s="1037"/>
      <c r="O6" s="1037"/>
      <c r="P6" s="1036"/>
      <c r="Q6" s="1036" t="s">
        <v>1356</v>
      </c>
      <c r="R6" s="1036"/>
      <c r="S6" s="1028"/>
    </row>
    <row r="7" spans="1:19" ht="15.75" thickBot="1" x14ac:dyDescent="0.3">
      <c r="A7" s="1036"/>
      <c r="B7" s="1334" t="s">
        <v>1357</v>
      </c>
      <c r="C7" s="1335"/>
      <c r="D7" s="1335"/>
      <c r="E7" s="1335"/>
      <c r="F7" s="1335"/>
      <c r="G7" s="1335"/>
      <c r="H7" s="1335"/>
      <c r="I7" s="1336"/>
      <c r="J7" s="1036"/>
      <c r="K7" s="1036"/>
      <c r="L7" s="1036"/>
      <c r="M7" s="1037" t="s">
        <v>1356</v>
      </c>
      <c r="N7" s="1037">
        <v>600</v>
      </c>
      <c r="O7" s="1037">
        <v>35</v>
      </c>
      <c r="P7" s="1036"/>
      <c r="Q7" s="1036" t="s">
        <v>1358</v>
      </c>
      <c r="R7" s="1036"/>
      <c r="S7" s="1028"/>
    </row>
    <row r="8" spans="1:19" x14ac:dyDescent="0.25">
      <c r="A8" s="1036"/>
      <c r="B8" s="1123"/>
      <c r="C8" s="1124"/>
      <c r="D8" s="1124"/>
      <c r="E8" s="1124"/>
      <c r="F8" s="1124"/>
      <c r="G8" s="1124"/>
      <c r="H8" s="1124"/>
      <c r="I8" s="1125"/>
      <c r="J8" s="1036"/>
      <c r="K8" s="1036"/>
      <c r="L8" s="1036"/>
      <c r="M8" s="1037" t="s">
        <v>1358</v>
      </c>
      <c r="N8" s="1037">
        <v>600</v>
      </c>
      <c r="O8" s="1037">
        <v>50</v>
      </c>
      <c r="P8" s="1036"/>
      <c r="Q8" s="1036" t="s">
        <v>1359</v>
      </c>
      <c r="R8" s="1036"/>
      <c r="S8" s="1028"/>
    </row>
    <row r="9" spans="1:19" ht="65.25" customHeight="1" x14ac:dyDescent="0.25">
      <c r="A9" s="1036"/>
      <c r="B9" s="1126" t="s">
        <v>1360</v>
      </c>
      <c r="C9" s="1120" t="s">
        <v>1361</v>
      </c>
      <c r="D9" s="1120" t="s">
        <v>1362</v>
      </c>
      <c r="E9" s="1120" t="s">
        <v>1363</v>
      </c>
      <c r="F9" s="1120" t="s">
        <v>1364</v>
      </c>
      <c r="G9" s="1120" t="s">
        <v>1365</v>
      </c>
      <c r="H9" s="1120" t="s">
        <v>1366</v>
      </c>
      <c r="I9" s="1127" t="s">
        <v>1367</v>
      </c>
      <c r="J9" s="1036"/>
      <c r="K9" s="1036"/>
      <c r="L9" s="1036"/>
      <c r="M9" s="1037" t="s">
        <v>1359</v>
      </c>
      <c r="N9" s="1037">
        <v>750</v>
      </c>
      <c r="O9" s="1037">
        <v>35</v>
      </c>
      <c r="P9" s="1036"/>
      <c r="Q9" s="1036" t="s">
        <v>1359</v>
      </c>
      <c r="R9" s="1036"/>
      <c r="S9" s="1028"/>
    </row>
    <row r="10" spans="1:19" x14ac:dyDescent="0.25">
      <c r="A10" s="1036"/>
      <c r="B10" s="1043">
        <v>85</v>
      </c>
      <c r="C10" s="1044">
        <v>500</v>
      </c>
      <c r="D10" s="1045" t="s">
        <v>1353</v>
      </c>
      <c r="E10" s="1041">
        <f>VLOOKUP($D$10,$M$3:$O$17,2,FALSE)</f>
        <v>500</v>
      </c>
      <c r="F10" s="1041">
        <f>VLOOKUP($D$10,$M$3:$O$17,3,FALSE)</f>
        <v>35</v>
      </c>
      <c r="G10" s="1045"/>
      <c r="H10" s="1045" t="s">
        <v>669</v>
      </c>
      <c r="I10" s="1046" t="s">
        <v>1368</v>
      </c>
      <c r="J10" s="1036"/>
      <c r="K10" s="1036"/>
      <c r="L10" s="1036"/>
      <c r="M10" s="1037" t="s">
        <v>1369</v>
      </c>
      <c r="N10" s="1037">
        <v>750</v>
      </c>
      <c r="O10" s="1037">
        <v>50</v>
      </c>
      <c r="P10" s="1036"/>
      <c r="Q10" s="1036" t="s">
        <v>1370</v>
      </c>
      <c r="R10" s="1036"/>
      <c r="S10" s="1028"/>
    </row>
    <row r="11" spans="1:19" x14ac:dyDescent="0.25">
      <c r="A11" s="1036"/>
      <c r="B11" s="1128"/>
      <c r="C11" s="1076"/>
      <c r="D11" s="1076"/>
      <c r="E11" s="1129"/>
      <c r="F11" s="1129"/>
      <c r="G11" s="1076"/>
      <c r="H11" s="1129"/>
      <c r="I11" s="1118"/>
      <c r="J11" s="1036"/>
      <c r="K11" s="1036"/>
      <c r="L11" s="1036"/>
      <c r="M11" s="1037"/>
      <c r="N11" s="1037"/>
      <c r="O11" s="1037"/>
      <c r="P11" s="1036"/>
      <c r="Q11" s="1036" t="s">
        <v>1371</v>
      </c>
      <c r="R11" s="1036"/>
      <c r="S11" s="1028"/>
    </row>
    <row r="12" spans="1:19" ht="48.75" customHeight="1" x14ac:dyDescent="0.25">
      <c r="A12" s="1036"/>
      <c r="B12" s="1126" t="s">
        <v>1372</v>
      </c>
      <c r="C12" s="1120" t="s">
        <v>1373</v>
      </c>
      <c r="D12" s="1120" t="s">
        <v>1374</v>
      </c>
      <c r="E12" s="1120" t="s">
        <v>1375</v>
      </c>
      <c r="F12" s="1120" t="s">
        <v>1376</v>
      </c>
      <c r="G12" s="1120" t="s">
        <v>1377</v>
      </c>
      <c r="H12" s="1120" t="s">
        <v>1378</v>
      </c>
      <c r="I12" s="1127" t="s">
        <v>1379</v>
      </c>
      <c r="J12" s="1036"/>
      <c r="K12" s="1036"/>
      <c r="L12" s="1036"/>
      <c r="M12" s="1037" t="s">
        <v>1370</v>
      </c>
      <c r="N12" s="1037">
        <v>1000</v>
      </c>
      <c r="O12" s="1037">
        <v>35</v>
      </c>
      <c r="P12" s="1036"/>
      <c r="Q12" s="1036" t="s">
        <v>1380</v>
      </c>
      <c r="R12" s="1036"/>
      <c r="S12" s="1028"/>
    </row>
    <row r="13" spans="1:19" ht="51" customHeight="1" thickBot="1" x14ac:dyDescent="0.3">
      <c r="A13" s="1036"/>
      <c r="B13" s="1038" t="s">
        <v>669</v>
      </c>
      <c r="C13" s="1031">
        <v>30</v>
      </c>
      <c r="D13" s="1030" t="s">
        <v>489</v>
      </c>
      <c r="E13" s="1042" t="s">
        <v>669</v>
      </c>
      <c r="F13" s="1031">
        <v>2.25</v>
      </c>
      <c r="G13" s="1031">
        <v>30</v>
      </c>
      <c r="H13" s="1030" t="s">
        <v>489</v>
      </c>
      <c r="I13" s="1047" t="s">
        <v>1381</v>
      </c>
      <c r="J13" s="1036"/>
      <c r="K13" s="1036"/>
      <c r="L13" s="1036"/>
      <c r="M13" s="1037" t="s">
        <v>1371</v>
      </c>
      <c r="N13" s="1037">
        <v>1000</v>
      </c>
      <c r="O13" s="1037">
        <v>50</v>
      </c>
      <c r="P13" s="1036"/>
      <c r="Q13" s="1036" t="s">
        <v>1382</v>
      </c>
      <c r="R13" s="1036"/>
      <c r="S13" s="1028"/>
    </row>
    <row r="14" spans="1:19" ht="15.75" thickBot="1" x14ac:dyDescent="0.3">
      <c r="A14" s="1036"/>
      <c r="B14" s="704"/>
      <c r="C14" s="704"/>
      <c r="D14" s="704"/>
      <c r="E14" s="704"/>
      <c r="F14" s="704"/>
      <c r="G14" s="704"/>
      <c r="H14" s="704"/>
      <c r="I14" s="704"/>
      <c r="J14" s="1036"/>
      <c r="K14" s="1036"/>
      <c r="L14" s="1036"/>
      <c r="M14" s="1037"/>
      <c r="N14" s="1037"/>
      <c r="O14" s="1037"/>
      <c r="P14" s="1036"/>
      <c r="Q14" s="1036" t="s">
        <v>1383</v>
      </c>
      <c r="R14" s="1036"/>
      <c r="S14" s="1028"/>
    </row>
    <row r="15" spans="1:19" ht="15.75" thickBot="1" x14ac:dyDescent="0.3">
      <c r="A15" s="1036"/>
      <c r="B15" s="1338" t="s">
        <v>1384</v>
      </c>
      <c r="C15" s="1339"/>
      <c r="D15" s="1339"/>
      <c r="E15" s="1339"/>
      <c r="F15" s="1339"/>
      <c r="G15" s="1340"/>
      <c r="H15" s="704"/>
      <c r="I15" s="704"/>
      <c r="J15" s="1036"/>
      <c r="K15" s="1036"/>
      <c r="L15" s="1036"/>
      <c r="M15" s="1037" t="s">
        <v>1385</v>
      </c>
      <c r="N15" s="1037">
        <v>1500</v>
      </c>
      <c r="O15" s="1037">
        <v>35</v>
      </c>
      <c r="P15" s="1036"/>
      <c r="Q15" s="1036"/>
      <c r="R15" s="1036"/>
      <c r="S15" s="1028"/>
    </row>
    <row r="16" spans="1:19" x14ac:dyDescent="0.25">
      <c r="A16" s="1036"/>
      <c r="B16" s="1117"/>
      <c r="C16" s="1076"/>
      <c r="D16" s="1076"/>
      <c r="E16" s="1076"/>
      <c r="F16" s="1076"/>
      <c r="G16" s="1118"/>
      <c r="H16" s="704"/>
      <c r="I16" s="704"/>
      <c r="J16" s="1036"/>
      <c r="K16" s="1036"/>
      <c r="L16" s="1036"/>
      <c r="M16" s="1037" t="s">
        <v>1382</v>
      </c>
      <c r="N16" s="1037">
        <v>1500</v>
      </c>
      <c r="O16" s="1037">
        <v>50</v>
      </c>
      <c r="P16" s="1036"/>
      <c r="Q16" s="1036"/>
      <c r="R16" s="1036"/>
      <c r="S16" s="1028"/>
    </row>
    <row r="17" spans="1:19" ht="51" customHeight="1" x14ac:dyDescent="0.25">
      <c r="A17" s="1036"/>
      <c r="B17" s="1130" t="s">
        <v>1390</v>
      </c>
      <c r="C17" s="1131" t="s">
        <v>1386</v>
      </c>
      <c r="D17" s="1131" t="s">
        <v>1387</v>
      </c>
      <c r="E17" s="1131" t="s">
        <v>1391</v>
      </c>
      <c r="F17" s="1132" t="s">
        <v>1388</v>
      </c>
      <c r="G17" s="1122" t="s">
        <v>1392</v>
      </c>
      <c r="H17" s="704"/>
      <c r="I17" s="704"/>
      <c r="J17" s="1036"/>
      <c r="K17" s="1036"/>
      <c r="L17" s="1036"/>
      <c r="M17" s="1037" t="s">
        <v>1383</v>
      </c>
      <c r="N17" s="1037">
        <v>5000</v>
      </c>
      <c r="O17" s="1037">
        <v>100</v>
      </c>
      <c r="P17" s="1036"/>
      <c r="Q17" s="1036"/>
      <c r="R17" s="1036"/>
      <c r="S17" s="1028"/>
    </row>
    <row r="18" spans="1:19" ht="19.5" customHeight="1" thickBot="1" x14ac:dyDescent="0.3">
      <c r="A18" s="1036"/>
      <c r="B18" s="1033">
        <v>13</v>
      </c>
      <c r="C18" s="1032" t="s">
        <v>685</v>
      </c>
      <c r="D18" s="1034">
        <v>25</v>
      </c>
      <c r="E18" s="1032" t="s">
        <v>1389</v>
      </c>
      <c r="F18" s="1035">
        <v>2</v>
      </c>
      <c r="G18" s="1050" t="str">
        <f>IF('Pricing Schedule'!E5="PB","before","after")</f>
        <v>before</v>
      </c>
      <c r="H18" s="704"/>
      <c r="I18" s="704"/>
      <c r="J18" s="1036"/>
      <c r="K18" s="1036"/>
      <c r="L18" s="1036"/>
      <c r="M18" s="1036"/>
      <c r="N18" s="1036"/>
      <c r="O18" s="1036"/>
      <c r="P18" s="1036"/>
      <c r="Q18" s="1036"/>
      <c r="R18" s="1036"/>
      <c r="S18" s="1028"/>
    </row>
    <row r="19" spans="1:19" x14ac:dyDescent="0.25">
      <c r="A19" s="1036"/>
      <c r="B19" s="1076"/>
      <c r="C19" s="1076"/>
      <c r="D19" s="1076"/>
      <c r="E19" s="1076"/>
      <c r="F19" s="1076"/>
      <c r="G19" s="1076"/>
      <c r="H19" s="704"/>
      <c r="I19" s="704"/>
      <c r="J19" s="1036"/>
      <c r="K19" s="1036"/>
      <c r="L19" s="1036"/>
      <c r="M19" s="1036"/>
      <c r="N19" s="1036"/>
      <c r="O19" s="1036"/>
      <c r="P19" s="1036"/>
      <c r="Q19" s="1036"/>
      <c r="R19" s="1036"/>
      <c r="S19" s="1028"/>
    </row>
    <row r="20" spans="1:19" x14ac:dyDescent="0.25">
      <c r="A20" s="1036"/>
      <c r="B20" s="704"/>
      <c r="C20" s="704"/>
      <c r="D20" s="704"/>
      <c r="E20" s="704"/>
      <c r="F20" s="704"/>
      <c r="G20" s="704"/>
      <c r="H20" s="704"/>
      <c r="I20" s="704"/>
      <c r="J20" s="1036"/>
      <c r="K20" s="1036"/>
      <c r="L20" s="1036"/>
      <c r="M20" s="1036"/>
      <c r="N20" s="1036"/>
      <c r="O20" s="1036"/>
      <c r="P20" s="1036"/>
      <c r="Q20" s="1036"/>
      <c r="R20" s="1036"/>
      <c r="S20" s="1028"/>
    </row>
    <row r="21" spans="1:19" x14ac:dyDescent="0.25">
      <c r="A21" s="1036"/>
      <c r="B21" s="1036"/>
      <c r="C21" s="1036"/>
      <c r="D21" s="1036"/>
      <c r="E21" s="1036"/>
      <c r="F21" s="1036"/>
      <c r="G21" s="1036"/>
      <c r="H21" s="1036"/>
      <c r="I21" s="1036"/>
      <c r="J21" s="1036"/>
      <c r="K21" s="1036"/>
      <c r="L21" s="1036"/>
      <c r="M21" s="1036"/>
      <c r="N21" s="1036"/>
      <c r="O21" s="1036"/>
      <c r="P21" s="1036"/>
      <c r="Q21" s="1036"/>
      <c r="R21" s="1036"/>
      <c r="S21" s="1028"/>
    </row>
    <row r="22" spans="1:19" x14ac:dyDescent="0.25">
      <c r="A22" s="1028"/>
      <c r="B22" s="1028"/>
      <c r="C22" s="1028"/>
      <c r="D22" s="1028"/>
      <c r="E22" s="1028"/>
      <c r="F22" s="1028"/>
      <c r="G22" s="1028"/>
      <c r="H22" s="1028"/>
      <c r="I22" s="1028"/>
      <c r="J22" s="1028"/>
      <c r="K22" s="1028"/>
      <c r="L22" s="1028"/>
      <c r="M22" s="1028"/>
      <c r="N22" s="1028"/>
      <c r="O22" s="1028"/>
      <c r="P22" s="1028"/>
      <c r="Q22" s="1028"/>
      <c r="R22" s="1028"/>
      <c r="S22" s="1028"/>
    </row>
    <row r="23" spans="1:19" x14ac:dyDescent="0.25">
      <c r="A23" s="1028"/>
      <c r="B23" s="1028"/>
      <c r="C23" s="1028"/>
      <c r="D23" s="1028"/>
      <c r="E23" s="1028"/>
      <c r="F23" s="1028"/>
      <c r="G23" s="1028"/>
      <c r="H23" s="1028"/>
      <c r="I23" s="1028"/>
      <c r="J23" s="1028"/>
      <c r="K23" s="1028"/>
      <c r="L23" s="1028"/>
      <c r="M23" s="1028"/>
      <c r="N23" s="1028"/>
      <c r="O23" s="1028"/>
      <c r="P23" s="1028"/>
      <c r="Q23" s="1028"/>
      <c r="R23" s="1028"/>
      <c r="S23" s="1028"/>
    </row>
    <row r="24" spans="1:19" x14ac:dyDescent="0.25">
      <c r="A24" s="1028"/>
      <c r="B24" s="1028"/>
      <c r="C24" s="1028"/>
      <c r="D24" s="1028"/>
      <c r="E24" s="1028"/>
      <c r="F24" s="1028"/>
      <c r="G24" s="1028"/>
      <c r="H24" s="1028"/>
      <c r="I24" s="1028"/>
      <c r="J24" s="1028"/>
      <c r="K24" s="1028"/>
      <c r="L24" s="1028"/>
      <c r="M24" s="1028"/>
      <c r="N24" s="1028"/>
      <c r="O24" s="1028"/>
      <c r="P24" s="1028"/>
      <c r="Q24" s="1028"/>
      <c r="R24" s="1028"/>
      <c r="S24" s="1028"/>
    </row>
    <row r="25" spans="1:19" x14ac:dyDescent="0.25">
      <c r="A25" s="1028"/>
      <c r="B25" s="1028"/>
      <c r="C25" s="1028"/>
      <c r="D25" s="1028"/>
      <c r="E25" s="1028"/>
      <c r="F25" s="1028"/>
      <c r="G25" s="1028"/>
      <c r="H25" s="1028"/>
      <c r="I25" s="1028"/>
      <c r="J25" s="1028"/>
      <c r="K25" s="1028"/>
      <c r="L25" s="1028"/>
      <c r="M25" s="1028"/>
      <c r="N25" s="1028"/>
      <c r="O25" s="1028"/>
      <c r="P25" s="1028"/>
      <c r="Q25" s="1028"/>
      <c r="R25" s="1028"/>
      <c r="S25" s="1028"/>
    </row>
    <row r="26" spans="1:19" x14ac:dyDescent="0.25">
      <c r="A26" s="1028"/>
      <c r="B26" s="1028"/>
      <c r="C26" s="1028"/>
      <c r="D26" s="1028"/>
      <c r="E26" s="1028"/>
      <c r="F26" s="1028"/>
      <c r="G26" s="1028"/>
      <c r="H26" s="1028"/>
      <c r="I26" s="1028"/>
      <c r="J26" s="1028"/>
      <c r="K26" s="1028"/>
      <c r="L26" s="1028"/>
      <c r="M26" s="1028"/>
      <c r="N26" s="1028"/>
      <c r="O26" s="1028"/>
      <c r="P26" s="1028"/>
      <c r="Q26" s="1028"/>
      <c r="R26" s="1028"/>
      <c r="S26" s="1028"/>
    </row>
    <row r="27" spans="1:19" x14ac:dyDescent="0.25">
      <c r="A27" s="1028"/>
      <c r="B27" s="1028"/>
      <c r="C27" s="1028"/>
      <c r="D27" s="1028"/>
      <c r="E27" s="1028"/>
      <c r="F27" s="1028"/>
      <c r="G27" s="1028"/>
      <c r="H27" s="1028"/>
      <c r="I27" s="1028"/>
      <c r="J27" s="1028"/>
      <c r="K27" s="1028"/>
      <c r="L27" s="1028"/>
      <c r="M27" s="1028"/>
      <c r="N27" s="1028"/>
      <c r="O27" s="1028"/>
      <c r="P27" s="1028"/>
      <c r="Q27" s="1028"/>
      <c r="R27" s="1028"/>
      <c r="S27" s="1028"/>
    </row>
    <row r="28" spans="1:19" x14ac:dyDescent="0.25">
      <c r="A28" s="1028"/>
      <c r="B28" s="1028"/>
      <c r="C28" s="1028"/>
      <c r="D28" s="1028"/>
      <c r="E28" s="1028"/>
      <c r="F28" s="1028"/>
      <c r="G28" s="1028"/>
      <c r="H28" s="1028"/>
      <c r="I28" s="1028"/>
      <c r="J28" s="1028"/>
      <c r="K28" s="1028"/>
      <c r="L28" s="1028"/>
      <c r="M28" s="1028"/>
      <c r="N28" s="1028"/>
      <c r="O28" s="1028"/>
      <c r="P28" s="1028"/>
      <c r="Q28" s="1028"/>
      <c r="R28" s="1028"/>
      <c r="S28" s="1028"/>
    </row>
    <row r="29" spans="1:19" x14ac:dyDescent="0.25">
      <c r="A29" s="1028"/>
      <c r="B29" s="1028"/>
      <c r="C29" s="1028"/>
      <c r="D29" s="1028"/>
      <c r="E29" s="1028"/>
      <c r="F29" s="1028"/>
      <c r="G29" s="1028"/>
      <c r="H29" s="1028"/>
      <c r="I29" s="1028"/>
      <c r="J29" s="1028"/>
      <c r="K29" s="1028"/>
      <c r="L29" s="1028"/>
      <c r="M29" s="1028"/>
      <c r="N29" s="1028"/>
      <c r="O29" s="1028"/>
      <c r="P29" s="1028"/>
      <c r="Q29" s="1028"/>
      <c r="R29" s="1028"/>
      <c r="S29" s="1028"/>
    </row>
    <row r="30" spans="1:19" x14ac:dyDescent="0.25">
      <c r="A30" s="1028"/>
      <c r="B30" s="1028"/>
      <c r="C30" s="1028"/>
      <c r="D30" s="1028"/>
      <c r="E30" s="1028"/>
      <c r="F30" s="1028"/>
      <c r="G30" s="1028"/>
      <c r="H30" s="1028"/>
      <c r="I30" s="1028"/>
      <c r="J30" s="1028"/>
      <c r="K30" s="1028"/>
      <c r="L30" s="1028"/>
      <c r="M30" s="1028"/>
      <c r="N30" s="1028"/>
      <c r="O30" s="1028"/>
      <c r="P30" s="1028"/>
      <c r="Q30" s="1028"/>
      <c r="R30" s="1028"/>
      <c r="S30" s="1028"/>
    </row>
    <row r="31" spans="1:19" x14ac:dyDescent="0.25">
      <c r="A31" s="1028"/>
      <c r="B31" s="1028"/>
      <c r="C31" s="1028"/>
      <c r="D31" s="1028"/>
      <c r="E31" s="1028"/>
      <c r="F31" s="1028"/>
      <c r="G31" s="1028"/>
      <c r="H31" s="1028"/>
      <c r="I31" s="1028"/>
      <c r="J31" s="1028"/>
      <c r="K31" s="1028"/>
      <c r="L31" s="1028"/>
      <c r="M31" s="1028"/>
      <c r="N31" s="1028"/>
      <c r="O31" s="1028"/>
      <c r="P31" s="1028"/>
      <c r="Q31" s="1028"/>
      <c r="R31" s="1028"/>
      <c r="S31" s="1028"/>
    </row>
    <row r="32" spans="1:19" x14ac:dyDescent="0.25">
      <c r="A32" s="1028"/>
      <c r="B32" s="1028"/>
      <c r="C32" s="1028"/>
      <c r="D32" s="1028"/>
      <c r="E32" s="1028"/>
      <c r="F32" s="1028"/>
      <c r="G32" s="1028"/>
      <c r="H32" s="1028"/>
      <c r="I32" s="1028"/>
      <c r="J32" s="1028"/>
      <c r="K32" s="1028"/>
      <c r="L32" s="1028"/>
      <c r="M32" s="1028"/>
      <c r="N32" s="1028"/>
      <c r="O32" s="1028"/>
      <c r="P32" s="1028"/>
      <c r="Q32" s="1028"/>
      <c r="R32" s="1028"/>
      <c r="S32" s="1028"/>
    </row>
    <row r="33" spans="1:19" x14ac:dyDescent="0.25">
      <c r="A33" s="1028"/>
      <c r="B33" s="1028"/>
      <c r="C33" s="1028"/>
      <c r="D33" s="1028"/>
      <c r="E33" s="1028"/>
      <c r="F33" s="1028"/>
      <c r="G33" s="1028"/>
      <c r="H33" s="1028"/>
      <c r="I33" s="1028"/>
      <c r="J33" s="1028"/>
      <c r="K33" s="1028"/>
      <c r="L33" s="1028"/>
      <c r="M33" s="1028"/>
      <c r="N33" s="1028"/>
      <c r="O33" s="1028"/>
      <c r="P33" s="1028"/>
      <c r="Q33" s="1028"/>
      <c r="R33" s="1028"/>
      <c r="S33" s="1028"/>
    </row>
    <row r="34" spans="1:19" x14ac:dyDescent="0.25">
      <c r="A34" s="1028"/>
      <c r="B34" s="1028"/>
      <c r="C34" s="1028"/>
      <c r="D34" s="1028"/>
      <c r="E34" s="1028"/>
      <c r="F34" s="1028"/>
      <c r="G34" s="1028"/>
      <c r="H34" s="1028"/>
      <c r="I34" s="1028"/>
      <c r="J34" s="1028"/>
      <c r="K34" s="1028"/>
      <c r="L34" s="1028"/>
      <c r="M34" s="1028"/>
      <c r="N34" s="1028"/>
      <c r="O34" s="1028"/>
      <c r="P34" s="1028"/>
      <c r="Q34" s="1028"/>
      <c r="R34" s="1028"/>
      <c r="S34" s="1028"/>
    </row>
    <row r="35" spans="1:19" x14ac:dyDescent="0.25">
      <c r="A35" s="1028"/>
      <c r="B35" s="1028"/>
      <c r="C35" s="1028"/>
      <c r="D35" s="1028"/>
      <c r="E35" s="1028"/>
      <c r="F35" s="1028"/>
      <c r="G35" s="1028"/>
      <c r="H35" s="1028"/>
      <c r="I35" s="1028"/>
      <c r="J35" s="1028"/>
      <c r="K35" s="1028"/>
      <c r="L35" s="1028"/>
      <c r="M35" s="1028"/>
      <c r="N35" s="1028"/>
      <c r="O35" s="1028"/>
      <c r="P35" s="1028"/>
      <c r="Q35" s="1028"/>
      <c r="R35" s="1028"/>
      <c r="S35" s="1028"/>
    </row>
    <row r="36" spans="1:19" x14ac:dyDescent="0.25">
      <c r="A36" s="1028"/>
      <c r="B36" s="1028"/>
      <c r="C36" s="1028"/>
      <c r="D36" s="1028"/>
      <c r="E36" s="1028"/>
      <c r="F36" s="1028"/>
      <c r="G36" s="1028"/>
      <c r="H36" s="1028"/>
      <c r="I36" s="1028"/>
      <c r="J36" s="1028"/>
      <c r="K36" s="1028"/>
      <c r="L36" s="1028"/>
      <c r="M36" s="1028"/>
      <c r="N36" s="1028"/>
      <c r="O36" s="1028"/>
      <c r="P36" s="1028"/>
      <c r="Q36" s="1028"/>
      <c r="R36" s="1028"/>
      <c r="S36" s="1028"/>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06" priority="2" operator="equal">
      <formula>"No"</formula>
    </cfRule>
  </conditionalFormatting>
  <conditionalFormatting sqref="E13">
    <cfRule type="cellIs" dxfId="105"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704"/>
      <c r="B1" s="704"/>
      <c r="C1" s="704"/>
      <c r="D1" s="704"/>
      <c r="E1" s="704"/>
      <c r="F1" s="704"/>
      <c r="G1" s="704"/>
      <c r="H1" s="704"/>
      <c r="I1" s="704"/>
      <c r="J1" s="704"/>
      <c r="K1" s="704"/>
      <c r="L1" s="704"/>
      <c r="M1" s="704"/>
      <c r="N1" s="704"/>
      <c r="O1" s="704"/>
    </row>
    <row r="2" spans="1:21" ht="15.75" thickBot="1" x14ac:dyDescent="0.3">
      <c r="A2" s="704"/>
      <c r="B2" s="1341" t="s">
        <v>1412</v>
      </c>
      <c r="C2" s="1335"/>
      <c r="D2" s="1335"/>
      <c r="E2" s="1335"/>
      <c r="F2" s="1335"/>
      <c r="G2" s="1335"/>
      <c r="H2" s="1335"/>
      <c r="I2" s="1335"/>
      <c r="J2" s="1335"/>
      <c r="K2" s="1335"/>
      <c r="L2" s="1335"/>
      <c r="M2" s="1335"/>
      <c r="N2" s="1336"/>
      <c r="O2" s="704"/>
      <c r="U2" s="1109">
        <f>IF(ISNA(U4),0,1)</f>
        <v>0</v>
      </c>
    </row>
    <row r="3" spans="1:21" ht="15.75" thickBot="1" x14ac:dyDescent="0.3">
      <c r="A3" s="704"/>
      <c r="B3" s="1076"/>
      <c r="C3" s="1076"/>
      <c r="D3" s="1076"/>
      <c r="E3" s="1076"/>
      <c r="F3" s="1076"/>
      <c r="G3" s="1076"/>
      <c r="H3" s="1076"/>
      <c r="I3" s="1076"/>
      <c r="J3" s="1076"/>
      <c r="K3" s="1076"/>
      <c r="L3" s="1076"/>
      <c r="M3" s="1076"/>
      <c r="N3" s="1076"/>
      <c r="O3" s="704"/>
      <c r="U3" s="1109">
        <f>IF(ISNA(U5),0,1)</f>
        <v>0</v>
      </c>
    </row>
    <row r="4" spans="1:21" ht="54" customHeight="1" x14ac:dyDescent="0.25">
      <c r="A4" s="704"/>
      <c r="B4" s="1077" t="s">
        <v>1413</v>
      </c>
      <c r="C4" s="1078" t="s">
        <v>1414</v>
      </c>
      <c r="D4" s="1078" t="s">
        <v>1415</v>
      </c>
      <c r="E4" s="1078" t="s">
        <v>1416</v>
      </c>
      <c r="F4" s="1078" t="s">
        <v>1417</v>
      </c>
      <c r="G4" s="1078" t="s">
        <v>1418</v>
      </c>
      <c r="H4" s="1078" t="s">
        <v>1419</v>
      </c>
      <c r="I4" s="1078" t="s">
        <v>1420</v>
      </c>
      <c r="J4" s="1078" t="s">
        <v>1421</v>
      </c>
      <c r="K4" s="1078" t="s">
        <v>1422</v>
      </c>
      <c r="L4" s="1078" t="s">
        <v>1423</v>
      </c>
      <c r="M4" s="1079" t="s">
        <v>1424</v>
      </c>
      <c r="N4" s="1080" t="s">
        <v>1425</v>
      </c>
      <c r="O4" s="704"/>
      <c r="U4" s="1109" t="e">
        <f>MATCH("Yes",K11:K30,0)</f>
        <v>#N/A</v>
      </c>
    </row>
    <row r="5" spans="1:21" ht="15.75" thickBot="1" x14ac:dyDescent="0.3">
      <c r="A5" s="704"/>
      <c r="B5" s="1038">
        <v>1</v>
      </c>
      <c r="C5" s="1030"/>
      <c r="D5" s="1030" t="s">
        <v>685</v>
      </c>
      <c r="E5" s="1030" t="s">
        <v>1426</v>
      </c>
      <c r="F5" s="1030" t="s">
        <v>1427</v>
      </c>
      <c r="G5" s="1030" t="s">
        <v>669</v>
      </c>
      <c r="H5" s="1030" t="s">
        <v>671</v>
      </c>
      <c r="I5" s="1030" t="s">
        <v>671</v>
      </c>
      <c r="J5" s="1030" t="s">
        <v>669</v>
      </c>
      <c r="K5" s="1030" t="s">
        <v>671</v>
      </c>
      <c r="L5" s="1030" t="s">
        <v>671</v>
      </c>
      <c r="M5" s="1082" t="str">
        <f>'Required Info to Submit'!F17</f>
        <v/>
      </c>
      <c r="N5" s="1081" t="s">
        <v>671</v>
      </c>
      <c r="O5" s="704"/>
      <c r="U5" s="1110" t="e">
        <f>MATCH("Yes",I11:I30,0)</f>
        <v>#N/A</v>
      </c>
    </row>
    <row r="6" spans="1:21" x14ac:dyDescent="0.25">
      <c r="A6" s="704"/>
      <c r="B6" s="1076"/>
      <c r="C6" s="1076"/>
      <c r="D6" s="1076"/>
      <c r="E6" s="1076"/>
      <c r="F6" s="1076"/>
      <c r="G6" s="1076"/>
      <c r="H6" s="1076"/>
      <c r="I6" s="1076"/>
      <c r="J6" s="1076"/>
      <c r="K6" s="1076"/>
      <c r="L6" s="1076"/>
      <c r="M6" s="1076"/>
      <c r="N6" s="1076"/>
      <c r="O6" s="704"/>
    </row>
    <row r="7" spans="1:21" ht="15.75" thickBot="1" x14ac:dyDescent="0.3">
      <c r="A7" s="704"/>
      <c r="B7" s="704"/>
      <c r="C7" s="704"/>
      <c r="D7" s="704"/>
      <c r="E7" s="704"/>
      <c r="F7" s="704"/>
      <c r="G7" s="704"/>
      <c r="H7" s="704"/>
      <c r="I7" s="704"/>
      <c r="J7" s="704"/>
      <c r="K7" s="704"/>
      <c r="L7" s="704"/>
      <c r="M7" s="704"/>
      <c r="N7" s="704"/>
      <c r="O7" s="704"/>
    </row>
    <row r="8" spans="1:21" ht="15.75" thickBot="1" x14ac:dyDescent="0.3">
      <c r="A8" s="704"/>
      <c r="B8" s="1342" t="s">
        <v>1428</v>
      </c>
      <c r="C8" s="1335"/>
      <c r="D8" s="1335"/>
      <c r="E8" s="1335"/>
      <c r="F8" s="1335"/>
      <c r="G8" s="1335"/>
      <c r="H8" s="1335"/>
      <c r="I8" s="1335"/>
      <c r="J8" s="1335"/>
      <c r="K8" s="1335"/>
      <c r="L8" s="1335"/>
      <c r="M8" s="1335"/>
      <c r="N8" s="1336"/>
      <c r="O8" s="704"/>
    </row>
    <row r="9" spans="1:21" ht="15.75" thickBot="1" x14ac:dyDescent="0.3">
      <c r="A9" s="704"/>
      <c r="B9" s="1076"/>
      <c r="C9" s="1076"/>
      <c r="D9" s="1076"/>
      <c r="E9" s="1076"/>
      <c r="F9" s="1076"/>
      <c r="G9" s="1076"/>
      <c r="H9" s="1076"/>
      <c r="I9" s="1076"/>
      <c r="J9" s="1076"/>
      <c r="K9" s="1076"/>
      <c r="L9" s="1076"/>
      <c r="M9" s="1076"/>
      <c r="N9" s="1076"/>
      <c r="O9" s="704"/>
    </row>
    <row r="10" spans="1:21" ht="33" customHeight="1" x14ac:dyDescent="0.25">
      <c r="A10" s="704"/>
      <c r="B10" s="1085" t="s">
        <v>1413</v>
      </c>
      <c r="C10" s="1079" t="s">
        <v>1429</v>
      </c>
      <c r="D10" s="1079" t="s">
        <v>1430</v>
      </c>
      <c r="E10" s="1079" t="s">
        <v>1431</v>
      </c>
      <c r="F10" s="1086" t="s">
        <v>1432</v>
      </c>
      <c r="G10" s="1086" t="s">
        <v>1433</v>
      </c>
      <c r="H10" s="1079" t="s">
        <v>1393</v>
      </c>
      <c r="I10" s="1079" t="s">
        <v>1434</v>
      </c>
      <c r="J10" s="1079" t="s">
        <v>1435</v>
      </c>
      <c r="K10" s="1079" t="s">
        <v>1436</v>
      </c>
      <c r="L10" s="1079" t="s">
        <v>1437</v>
      </c>
      <c r="M10" s="1079" t="s">
        <v>1374</v>
      </c>
      <c r="N10" s="1080" t="s">
        <v>1438</v>
      </c>
      <c r="O10" s="704"/>
    </row>
    <row r="11" spans="1:21" x14ac:dyDescent="0.25">
      <c r="A11" s="704"/>
      <c r="B11" s="1087">
        <v>1</v>
      </c>
      <c r="C11" s="1088">
        <v>15</v>
      </c>
      <c r="D11" s="1089"/>
      <c r="E11" s="1045"/>
      <c r="F11" s="1098"/>
      <c r="G11" s="1045"/>
      <c r="H11" s="1089" t="s">
        <v>489</v>
      </c>
      <c r="I11" s="1135" t="s">
        <v>671</v>
      </c>
      <c r="J11" s="1099">
        <v>2.25</v>
      </c>
      <c r="K11" s="1045" t="s">
        <v>671</v>
      </c>
      <c r="L11" s="1099">
        <v>30</v>
      </c>
      <c r="M11" s="1101" t="s">
        <v>489</v>
      </c>
      <c r="N11" s="1103" t="s">
        <v>103</v>
      </c>
      <c r="O11" s="704"/>
      <c r="P11">
        <f>'Agreement Worksheet'!$F$13</f>
        <v>2.25</v>
      </c>
    </row>
    <row r="12" spans="1:21" x14ac:dyDescent="0.25">
      <c r="A12" s="704"/>
      <c r="B12" s="1090">
        <v>1</v>
      </c>
      <c r="C12" s="1088">
        <v>16</v>
      </c>
      <c r="D12" s="1091"/>
      <c r="E12" s="1045"/>
      <c r="F12" s="1095"/>
      <c r="G12" s="1045"/>
      <c r="H12" s="1089" t="s">
        <v>489</v>
      </c>
      <c r="I12" s="1135" t="s">
        <v>671</v>
      </c>
      <c r="J12" s="1099">
        <v>2.25</v>
      </c>
      <c r="K12" s="1045" t="s">
        <v>671</v>
      </c>
      <c r="L12" s="1099">
        <v>30</v>
      </c>
      <c r="M12" s="1101" t="s">
        <v>489</v>
      </c>
      <c r="N12" s="1104" t="s">
        <v>102</v>
      </c>
      <c r="O12" s="704"/>
      <c r="P12" s="1074">
        <f>'Agreement Worksheet'!$C$13</f>
        <v>30</v>
      </c>
    </row>
    <row r="13" spans="1:21" ht="26.25" x14ac:dyDescent="0.25">
      <c r="A13" s="704"/>
      <c r="B13" s="1087">
        <v>1</v>
      </c>
      <c r="C13" s="1088">
        <v>17</v>
      </c>
      <c r="D13" s="1089"/>
      <c r="E13" s="1045"/>
      <c r="F13" s="1095"/>
      <c r="G13" s="1045"/>
      <c r="H13" s="1089" t="s">
        <v>489</v>
      </c>
      <c r="I13" s="1135" t="s">
        <v>671</v>
      </c>
      <c r="J13" s="1099">
        <v>2.25</v>
      </c>
      <c r="K13" s="1045" t="s">
        <v>671</v>
      </c>
      <c r="L13" s="1099">
        <v>30</v>
      </c>
      <c r="M13" s="1101" t="s">
        <v>489</v>
      </c>
      <c r="N13" s="1104" t="s">
        <v>101</v>
      </c>
      <c r="O13" s="704"/>
      <c r="P13" s="1074" t="str">
        <f>'Agreement Worksheet'!$D$13</f>
        <v>%</v>
      </c>
    </row>
    <row r="14" spans="1:21" x14ac:dyDescent="0.25">
      <c r="A14" s="704"/>
      <c r="B14" s="1087">
        <v>1</v>
      </c>
      <c r="C14" s="1088">
        <v>18</v>
      </c>
      <c r="D14" s="1092"/>
      <c r="E14" s="1045"/>
      <c r="F14" s="1095"/>
      <c r="G14" s="1083"/>
      <c r="H14" s="1089" t="s">
        <v>489</v>
      </c>
      <c r="I14" s="1135" t="s">
        <v>671</v>
      </c>
      <c r="J14" s="1099">
        <v>2.25</v>
      </c>
      <c r="K14" s="1045" t="s">
        <v>671</v>
      </c>
      <c r="L14" s="1099">
        <v>30</v>
      </c>
      <c r="M14" s="1101" t="s">
        <v>489</v>
      </c>
      <c r="N14" s="1104" t="s">
        <v>100</v>
      </c>
      <c r="O14" s="704"/>
    </row>
    <row r="15" spans="1:21" ht="26.25" x14ac:dyDescent="0.25">
      <c r="A15" s="704"/>
      <c r="B15" s="1087">
        <v>1</v>
      </c>
      <c r="C15" s="1088">
        <v>19</v>
      </c>
      <c r="D15" s="1092"/>
      <c r="E15" s="1045"/>
      <c r="F15" s="1095"/>
      <c r="G15" s="1083"/>
      <c r="H15" s="1089" t="s">
        <v>489</v>
      </c>
      <c r="I15" s="1135" t="s">
        <v>671</v>
      </c>
      <c r="J15" s="1099">
        <v>2.25</v>
      </c>
      <c r="K15" s="1045" t="s">
        <v>671</v>
      </c>
      <c r="L15" s="1099">
        <v>30</v>
      </c>
      <c r="M15" s="1101" t="s">
        <v>489</v>
      </c>
      <c r="N15" s="1104" t="s">
        <v>104</v>
      </c>
      <c r="O15" s="704"/>
    </row>
    <row r="16" spans="1:21" ht="26.25" x14ac:dyDescent="0.25">
      <c r="A16" s="704"/>
      <c r="B16" s="1087">
        <v>1</v>
      </c>
      <c r="C16" s="1088">
        <v>20</v>
      </c>
      <c r="D16" s="1092"/>
      <c r="E16" s="1045"/>
      <c r="F16" s="1095"/>
      <c r="G16" s="1083"/>
      <c r="H16" s="1089" t="s">
        <v>489</v>
      </c>
      <c r="I16" s="1135" t="s">
        <v>671</v>
      </c>
      <c r="J16" s="1099">
        <v>2.25</v>
      </c>
      <c r="K16" s="1045" t="s">
        <v>671</v>
      </c>
      <c r="L16" s="1099">
        <v>30</v>
      </c>
      <c r="M16" s="1101" t="s">
        <v>489</v>
      </c>
      <c r="N16" s="1104" t="s">
        <v>99</v>
      </c>
      <c r="O16" s="704"/>
    </row>
    <row r="17" spans="1:15" x14ac:dyDescent="0.25">
      <c r="A17" s="704"/>
      <c r="B17" s="1087">
        <v>1</v>
      </c>
      <c r="C17" s="1088">
        <v>21</v>
      </c>
      <c r="D17" s="1092"/>
      <c r="E17" s="1045"/>
      <c r="F17" s="1095"/>
      <c r="G17" s="1083"/>
      <c r="H17" s="1089" t="s">
        <v>489</v>
      </c>
      <c r="I17" s="1135" t="s">
        <v>671</v>
      </c>
      <c r="J17" s="1099">
        <v>2.25</v>
      </c>
      <c r="K17" s="1045" t="s">
        <v>671</v>
      </c>
      <c r="L17" s="1099">
        <v>30</v>
      </c>
      <c r="M17" s="1101" t="s">
        <v>489</v>
      </c>
      <c r="N17" s="1104" t="s">
        <v>98</v>
      </c>
      <c r="O17" s="704"/>
    </row>
    <row r="18" spans="1:15" x14ac:dyDescent="0.25">
      <c r="A18" s="704"/>
      <c r="B18" s="1087">
        <v>1</v>
      </c>
      <c r="C18" s="1088">
        <v>22</v>
      </c>
      <c r="D18" s="1092"/>
      <c r="E18" s="1045"/>
      <c r="F18" s="1095"/>
      <c r="G18" s="1083"/>
      <c r="H18" s="1089" t="s">
        <v>489</v>
      </c>
      <c r="I18" s="1135" t="s">
        <v>671</v>
      </c>
      <c r="J18" s="1099">
        <v>2.25</v>
      </c>
      <c r="K18" s="1045" t="s">
        <v>671</v>
      </c>
      <c r="L18" s="1099">
        <v>30</v>
      </c>
      <c r="M18" s="1101" t="s">
        <v>489</v>
      </c>
      <c r="N18" s="1104" t="s">
        <v>97</v>
      </c>
      <c r="O18" s="704"/>
    </row>
    <row r="19" spans="1:15" x14ac:dyDescent="0.25">
      <c r="A19" s="704"/>
      <c r="B19" s="1087">
        <v>1</v>
      </c>
      <c r="C19" s="1088">
        <v>23</v>
      </c>
      <c r="D19" s="1092"/>
      <c r="E19" s="1045"/>
      <c r="F19" s="1095"/>
      <c r="G19" s="1083"/>
      <c r="H19" s="1089" t="s">
        <v>489</v>
      </c>
      <c r="I19" s="1135" t="s">
        <v>671</v>
      </c>
      <c r="J19" s="1099">
        <v>2.25</v>
      </c>
      <c r="K19" s="1045" t="s">
        <v>671</v>
      </c>
      <c r="L19" s="1099">
        <v>30</v>
      </c>
      <c r="M19" s="1101" t="s">
        <v>489</v>
      </c>
      <c r="N19" s="1104" t="s">
        <v>96</v>
      </c>
      <c r="O19" s="704"/>
    </row>
    <row r="20" spans="1:15" x14ac:dyDescent="0.25">
      <c r="A20" s="704"/>
      <c r="B20" s="1087">
        <v>1</v>
      </c>
      <c r="C20" s="1088">
        <v>24</v>
      </c>
      <c r="D20" s="1092"/>
      <c r="E20" s="1045"/>
      <c r="F20" s="1095"/>
      <c r="G20" s="1083"/>
      <c r="H20" s="1089" t="s">
        <v>489</v>
      </c>
      <c r="I20" s="1135" t="s">
        <v>671</v>
      </c>
      <c r="J20" s="1099">
        <v>2.25</v>
      </c>
      <c r="K20" s="1045" t="s">
        <v>671</v>
      </c>
      <c r="L20" s="1099">
        <v>30</v>
      </c>
      <c r="M20" s="1101" t="s">
        <v>489</v>
      </c>
      <c r="N20" s="1104" t="s">
        <v>95</v>
      </c>
      <c r="O20" s="704"/>
    </row>
    <row r="21" spans="1:15" x14ac:dyDescent="0.25">
      <c r="A21" s="704"/>
      <c r="B21" s="1087">
        <v>1</v>
      </c>
      <c r="C21" s="1088">
        <v>25</v>
      </c>
      <c r="D21" s="1092"/>
      <c r="E21" s="1045" t="s">
        <v>1439</v>
      </c>
      <c r="F21" s="1095"/>
      <c r="G21" s="1083"/>
      <c r="H21" s="1089" t="s">
        <v>489</v>
      </c>
      <c r="I21" s="1135" t="s">
        <v>671</v>
      </c>
      <c r="J21" s="1099">
        <v>2.25</v>
      </c>
      <c r="K21" s="1045" t="s">
        <v>671</v>
      </c>
      <c r="L21" s="1099">
        <v>30</v>
      </c>
      <c r="M21" s="1101" t="s">
        <v>489</v>
      </c>
      <c r="N21" s="1104" t="s">
        <v>94</v>
      </c>
      <c r="O21" s="704"/>
    </row>
    <row r="22" spans="1:15" x14ac:dyDescent="0.25">
      <c r="A22" s="704"/>
      <c r="B22" s="1087">
        <v>1</v>
      </c>
      <c r="C22" s="1088">
        <v>26</v>
      </c>
      <c r="D22" s="1092"/>
      <c r="E22" s="1045"/>
      <c r="F22" s="1095"/>
      <c r="G22" s="1083"/>
      <c r="H22" s="1089" t="s">
        <v>489</v>
      </c>
      <c r="I22" s="1135" t="s">
        <v>671</v>
      </c>
      <c r="J22" s="1099">
        <v>2.25</v>
      </c>
      <c r="K22" s="1045" t="s">
        <v>671</v>
      </c>
      <c r="L22" s="1099">
        <v>30</v>
      </c>
      <c r="M22" s="1101" t="s">
        <v>489</v>
      </c>
      <c r="N22" s="1104" t="s">
        <v>93</v>
      </c>
      <c r="O22" s="704"/>
    </row>
    <row r="23" spans="1:15" x14ac:dyDescent="0.25">
      <c r="A23" s="704"/>
      <c r="B23" s="1087">
        <v>1</v>
      </c>
      <c r="C23" s="1088">
        <v>29</v>
      </c>
      <c r="D23" s="1092"/>
      <c r="E23" s="1045"/>
      <c r="F23" s="1095"/>
      <c r="G23" s="1083"/>
      <c r="H23" s="1089" t="s">
        <v>489</v>
      </c>
      <c r="I23" s="1135" t="s">
        <v>671</v>
      </c>
      <c r="J23" s="1099">
        <v>2.25</v>
      </c>
      <c r="K23" s="1045" t="s">
        <v>671</v>
      </c>
      <c r="L23" s="1099">
        <v>30</v>
      </c>
      <c r="M23" s="1101" t="s">
        <v>489</v>
      </c>
      <c r="N23" s="1104" t="s">
        <v>92</v>
      </c>
      <c r="O23" s="704"/>
    </row>
    <row r="24" spans="1:15" x14ac:dyDescent="0.25">
      <c r="A24" s="704"/>
      <c r="B24" s="1087">
        <v>1</v>
      </c>
      <c r="C24" s="1088">
        <v>30</v>
      </c>
      <c r="D24" s="1092"/>
      <c r="E24" s="1045"/>
      <c r="F24" s="1095"/>
      <c r="G24" s="1083"/>
      <c r="H24" s="1089" t="s">
        <v>489</v>
      </c>
      <c r="I24" s="1135" t="s">
        <v>671</v>
      </c>
      <c r="J24" s="1099">
        <v>2.25</v>
      </c>
      <c r="K24" s="1045" t="s">
        <v>671</v>
      </c>
      <c r="L24" s="1099">
        <v>30</v>
      </c>
      <c r="M24" s="1101" t="s">
        <v>489</v>
      </c>
      <c r="N24" s="1104" t="s">
        <v>91</v>
      </c>
      <c r="O24" s="704"/>
    </row>
    <row r="25" spans="1:15" x14ac:dyDescent="0.25">
      <c r="A25" s="704"/>
      <c r="B25" s="1087">
        <v>1</v>
      </c>
      <c r="C25" s="1088">
        <v>31</v>
      </c>
      <c r="D25" s="1092"/>
      <c r="E25" s="1045"/>
      <c r="F25" s="1095"/>
      <c r="G25" s="1083"/>
      <c r="H25" s="1089" t="s">
        <v>489</v>
      </c>
      <c r="I25" s="1135" t="s">
        <v>671</v>
      </c>
      <c r="J25" s="1099">
        <v>2.25</v>
      </c>
      <c r="K25" s="1045" t="s">
        <v>671</v>
      </c>
      <c r="L25" s="1099">
        <v>30</v>
      </c>
      <c r="M25" s="1101" t="s">
        <v>489</v>
      </c>
      <c r="N25" s="1104" t="s">
        <v>90</v>
      </c>
      <c r="O25" s="704"/>
    </row>
    <row r="26" spans="1:15" x14ac:dyDescent="0.25">
      <c r="A26" s="704"/>
      <c r="B26" s="1087">
        <v>1</v>
      </c>
      <c r="C26" s="1088">
        <v>32</v>
      </c>
      <c r="D26" s="1092"/>
      <c r="E26" s="1045"/>
      <c r="F26" s="1095"/>
      <c r="G26" s="1083"/>
      <c r="H26" s="1089" t="s">
        <v>489</v>
      </c>
      <c r="I26" s="1135" t="s">
        <v>671</v>
      </c>
      <c r="J26" s="1099">
        <v>2.25</v>
      </c>
      <c r="K26" s="1045" t="s">
        <v>671</v>
      </c>
      <c r="L26" s="1099">
        <v>30</v>
      </c>
      <c r="M26" s="1101" t="s">
        <v>489</v>
      </c>
      <c r="N26" s="1104" t="s">
        <v>89</v>
      </c>
      <c r="O26" s="704"/>
    </row>
    <row r="27" spans="1:15" x14ac:dyDescent="0.25">
      <c r="A27" s="704"/>
      <c r="B27" s="1087">
        <v>1</v>
      </c>
      <c r="C27" s="1088">
        <v>33</v>
      </c>
      <c r="D27" s="1092"/>
      <c r="E27" s="1045"/>
      <c r="F27" s="1095"/>
      <c r="G27" s="1083"/>
      <c r="H27" s="1089" t="s">
        <v>489</v>
      </c>
      <c r="I27" s="1135" t="s">
        <v>671</v>
      </c>
      <c r="J27" s="1099">
        <v>2.25</v>
      </c>
      <c r="K27" s="1045" t="s">
        <v>671</v>
      </c>
      <c r="L27" s="1099">
        <v>30</v>
      </c>
      <c r="M27" s="1101" t="s">
        <v>489</v>
      </c>
      <c r="N27" s="1104" t="s">
        <v>88</v>
      </c>
      <c r="O27" s="704"/>
    </row>
    <row r="28" spans="1:15" x14ac:dyDescent="0.25">
      <c r="A28" s="704"/>
      <c r="B28" s="1087">
        <v>1</v>
      </c>
      <c r="C28" s="1088">
        <v>34</v>
      </c>
      <c r="D28" s="1092"/>
      <c r="E28" s="1045"/>
      <c r="F28" s="1095"/>
      <c r="G28" s="1083"/>
      <c r="H28" s="1089" t="s">
        <v>489</v>
      </c>
      <c r="I28" s="1135" t="s">
        <v>671</v>
      </c>
      <c r="J28" s="1099">
        <v>2.25</v>
      </c>
      <c r="K28" s="1045" t="s">
        <v>671</v>
      </c>
      <c r="L28" s="1099">
        <v>30</v>
      </c>
      <c r="M28" s="1101" t="s">
        <v>489</v>
      </c>
      <c r="N28" s="1104" t="s">
        <v>87</v>
      </c>
      <c r="O28" s="704"/>
    </row>
    <row r="29" spans="1:15" x14ac:dyDescent="0.25">
      <c r="A29" s="704"/>
      <c r="B29" s="1087">
        <v>1</v>
      </c>
      <c r="C29" s="1088">
        <v>35</v>
      </c>
      <c r="D29" s="1092"/>
      <c r="E29" s="1045"/>
      <c r="F29" s="1095"/>
      <c r="G29" s="1083"/>
      <c r="H29" s="1089" t="s">
        <v>489</v>
      </c>
      <c r="I29" s="1135" t="s">
        <v>671</v>
      </c>
      <c r="J29" s="1099">
        <v>2.25</v>
      </c>
      <c r="K29" s="1045" t="s">
        <v>671</v>
      </c>
      <c r="L29" s="1099">
        <v>30</v>
      </c>
      <c r="M29" s="1101" t="s">
        <v>489</v>
      </c>
      <c r="N29" s="1104" t="s">
        <v>86</v>
      </c>
      <c r="O29" s="704"/>
    </row>
    <row r="30" spans="1:15" ht="15.75" thickBot="1" x14ac:dyDescent="0.3">
      <c r="A30" s="704"/>
      <c r="B30" s="1038">
        <v>1</v>
      </c>
      <c r="C30" s="1093">
        <v>37</v>
      </c>
      <c r="D30" s="1094"/>
      <c r="E30" s="1030"/>
      <c r="F30" s="1096"/>
      <c r="G30" s="1084"/>
      <c r="H30" s="1042" t="s">
        <v>489</v>
      </c>
      <c r="I30" s="1136" t="s">
        <v>671</v>
      </c>
      <c r="J30" s="1100">
        <v>2.25</v>
      </c>
      <c r="K30" s="1030" t="s">
        <v>671</v>
      </c>
      <c r="L30" s="1100">
        <v>30</v>
      </c>
      <c r="M30" s="1102" t="s">
        <v>489</v>
      </c>
      <c r="N30" s="1105" t="s">
        <v>105</v>
      </c>
      <c r="O30" s="704"/>
    </row>
    <row r="31" spans="1:15" ht="15.75" hidden="1" thickBot="1" x14ac:dyDescent="0.3">
      <c r="A31" s="704"/>
      <c r="B31" s="1076"/>
      <c r="C31" s="1076"/>
      <c r="D31" s="1076"/>
      <c r="E31" s="1076"/>
      <c r="F31" s="1076"/>
      <c r="G31" s="1076"/>
      <c r="H31" s="1076"/>
      <c r="I31" s="1076"/>
      <c r="J31" s="1076"/>
      <c r="K31" s="1076"/>
      <c r="L31" s="1076"/>
      <c r="M31" s="1076"/>
      <c r="N31" s="1076"/>
      <c r="O31" s="704"/>
    </row>
    <row r="32" spans="1:15" ht="15.75" hidden="1" thickBot="1" x14ac:dyDescent="0.3">
      <c r="A32" s="704"/>
      <c r="B32" s="1342" t="s">
        <v>1440</v>
      </c>
      <c r="C32" s="1343"/>
      <c r="D32" s="1343"/>
      <c r="E32" s="1343"/>
      <c r="F32" s="1343"/>
      <c r="G32" s="1343"/>
      <c r="H32" s="1343"/>
      <c r="I32" s="1343"/>
      <c r="J32" s="1343"/>
      <c r="K32" s="1343"/>
      <c r="L32" s="1343"/>
      <c r="M32" s="1343"/>
      <c r="N32" s="1344"/>
      <c r="O32" s="704"/>
    </row>
    <row r="33" spans="1:15" ht="15.75" hidden="1" thickBot="1" x14ac:dyDescent="0.3">
      <c r="A33" s="704"/>
      <c r="B33" s="1076"/>
      <c r="C33" s="1076"/>
      <c r="D33" s="1076"/>
      <c r="E33" s="1076"/>
      <c r="F33" s="1076"/>
      <c r="G33" s="1076"/>
      <c r="H33" s="1076"/>
      <c r="I33" s="1076"/>
      <c r="J33" s="1076"/>
      <c r="K33" s="1076"/>
      <c r="L33" s="1076"/>
      <c r="M33" s="1076"/>
      <c r="N33" s="1076"/>
      <c r="O33" s="704"/>
    </row>
    <row r="34" spans="1:15" ht="36.75" hidden="1" customHeight="1" x14ac:dyDescent="0.25">
      <c r="A34" s="704"/>
      <c r="B34" s="1085" t="s">
        <v>1413</v>
      </c>
      <c r="C34" s="1079" t="s">
        <v>1429</v>
      </c>
      <c r="D34" s="1079" t="s">
        <v>1430</v>
      </c>
      <c r="E34" s="1079" t="s">
        <v>1431</v>
      </c>
      <c r="F34" s="1086" t="s">
        <v>1432</v>
      </c>
      <c r="G34" s="1086" t="s">
        <v>1433</v>
      </c>
      <c r="H34" s="1079" t="s">
        <v>1393</v>
      </c>
      <c r="I34" s="1079" t="s">
        <v>1434</v>
      </c>
      <c r="J34" s="1079" t="s">
        <v>1435</v>
      </c>
      <c r="K34" s="1079" t="s">
        <v>1436</v>
      </c>
      <c r="L34" s="1079" t="s">
        <v>1437</v>
      </c>
      <c r="M34" s="1079" t="s">
        <v>1374</v>
      </c>
      <c r="N34" s="1080" t="s">
        <v>1438</v>
      </c>
      <c r="O34" s="704"/>
    </row>
    <row r="35" spans="1:15" hidden="1" x14ac:dyDescent="0.25">
      <c r="A35" s="704"/>
      <c r="B35" s="1090">
        <v>1</v>
      </c>
      <c r="C35" s="1088">
        <v>15</v>
      </c>
      <c r="D35" s="1089"/>
      <c r="E35" s="1045"/>
      <c r="F35" s="1095"/>
      <c r="G35" s="1045"/>
      <c r="H35" s="1089" t="s">
        <v>489</v>
      </c>
      <c r="I35" s="1045" t="s">
        <v>671</v>
      </c>
      <c r="J35" s="1089">
        <v>2.25</v>
      </c>
      <c r="K35" s="1045" t="s">
        <v>671</v>
      </c>
      <c r="L35" s="1089">
        <v>30</v>
      </c>
      <c r="M35" s="1089" t="s">
        <v>489</v>
      </c>
      <c r="N35" s="1111" t="s">
        <v>103</v>
      </c>
      <c r="O35" s="704"/>
    </row>
    <row r="36" spans="1:15" hidden="1" x14ac:dyDescent="0.25">
      <c r="A36" s="704"/>
      <c r="B36" s="1090">
        <v>1</v>
      </c>
      <c r="C36" s="1088">
        <v>15</v>
      </c>
      <c r="D36" s="1106">
        <v>131</v>
      </c>
      <c r="E36" s="1045"/>
      <c r="F36" s="1095"/>
      <c r="G36" s="1045"/>
      <c r="H36" s="1089" t="s">
        <v>489</v>
      </c>
      <c r="I36" s="1045" t="s">
        <v>671</v>
      </c>
      <c r="J36" s="1089">
        <v>2.25</v>
      </c>
      <c r="K36" s="1045" t="s">
        <v>671</v>
      </c>
      <c r="L36" s="1089">
        <v>30</v>
      </c>
      <c r="M36" s="1089" t="s">
        <v>489</v>
      </c>
      <c r="N36" s="1103" t="s">
        <v>1445</v>
      </c>
      <c r="O36" s="704"/>
    </row>
    <row r="37" spans="1:15" hidden="1" x14ac:dyDescent="0.25">
      <c r="A37" s="704"/>
      <c r="B37" s="1090">
        <v>1</v>
      </c>
      <c r="C37" s="1088">
        <v>15</v>
      </c>
      <c r="D37" s="1106">
        <v>254</v>
      </c>
      <c r="E37" s="1045"/>
      <c r="F37" s="1095"/>
      <c r="G37" s="1045"/>
      <c r="H37" s="1089" t="s">
        <v>489</v>
      </c>
      <c r="I37" s="1045" t="s">
        <v>671</v>
      </c>
      <c r="J37" s="1089">
        <v>2.25</v>
      </c>
      <c r="K37" s="1045" t="s">
        <v>671</v>
      </c>
      <c r="L37" s="1089">
        <v>30</v>
      </c>
      <c r="M37" s="1089" t="s">
        <v>489</v>
      </c>
      <c r="N37" s="1103" t="s">
        <v>1445</v>
      </c>
      <c r="O37" s="704"/>
    </row>
    <row r="38" spans="1:15" hidden="1" x14ac:dyDescent="0.25">
      <c r="A38" s="704"/>
      <c r="B38" s="1090">
        <v>1</v>
      </c>
      <c r="C38" s="1088">
        <v>15</v>
      </c>
      <c r="D38" s="1106">
        <v>373</v>
      </c>
      <c r="E38" s="1045"/>
      <c r="F38" s="1095"/>
      <c r="G38" s="1045"/>
      <c r="H38" s="1089" t="s">
        <v>489</v>
      </c>
      <c r="I38" s="1045" t="s">
        <v>671</v>
      </c>
      <c r="J38" s="1089">
        <v>2.25</v>
      </c>
      <c r="K38" s="1045" t="s">
        <v>671</v>
      </c>
      <c r="L38" s="1089">
        <v>30</v>
      </c>
      <c r="M38" s="1089" t="s">
        <v>489</v>
      </c>
      <c r="N38" s="1103" t="s">
        <v>1445</v>
      </c>
      <c r="O38" s="704"/>
    </row>
    <row r="39" spans="1:15" hidden="1" x14ac:dyDescent="0.25">
      <c r="A39" s="704"/>
      <c r="B39" s="1090">
        <v>1</v>
      </c>
      <c r="C39" s="1088">
        <v>15</v>
      </c>
      <c r="D39" s="1106">
        <v>132</v>
      </c>
      <c r="E39" s="1045"/>
      <c r="F39" s="1095"/>
      <c r="G39" s="1045"/>
      <c r="H39" s="1089" t="s">
        <v>489</v>
      </c>
      <c r="I39" s="1045" t="s">
        <v>671</v>
      </c>
      <c r="J39" s="1089">
        <v>2.25</v>
      </c>
      <c r="K39" s="1045" t="s">
        <v>671</v>
      </c>
      <c r="L39" s="1089">
        <v>30</v>
      </c>
      <c r="M39" s="1089" t="s">
        <v>489</v>
      </c>
      <c r="N39" s="1103" t="s">
        <v>1445</v>
      </c>
      <c r="O39" s="704"/>
    </row>
    <row r="40" spans="1:15" hidden="1" x14ac:dyDescent="0.25">
      <c r="A40" s="704"/>
      <c r="B40" s="1090">
        <v>1</v>
      </c>
      <c r="C40" s="1088">
        <v>15</v>
      </c>
      <c r="D40" s="1106">
        <v>368</v>
      </c>
      <c r="E40" s="1045"/>
      <c r="F40" s="1095"/>
      <c r="G40" s="1045"/>
      <c r="H40" s="1089" t="s">
        <v>489</v>
      </c>
      <c r="I40" s="1045" t="s">
        <v>671</v>
      </c>
      <c r="J40" s="1089">
        <v>2.25</v>
      </c>
      <c r="K40" s="1045" t="s">
        <v>671</v>
      </c>
      <c r="L40" s="1089">
        <v>30</v>
      </c>
      <c r="M40" s="1089" t="s">
        <v>489</v>
      </c>
      <c r="N40" s="1103" t="s">
        <v>1445</v>
      </c>
      <c r="O40" s="704"/>
    </row>
    <row r="41" spans="1:15" hidden="1" x14ac:dyDescent="0.25">
      <c r="A41" s="704"/>
      <c r="B41" s="1090">
        <v>1</v>
      </c>
      <c r="C41" s="1088">
        <v>15</v>
      </c>
      <c r="D41" s="1106">
        <v>369</v>
      </c>
      <c r="E41" s="1045"/>
      <c r="F41" s="1095"/>
      <c r="G41" s="1045"/>
      <c r="H41" s="1089" t="s">
        <v>489</v>
      </c>
      <c r="I41" s="1045" t="s">
        <v>671</v>
      </c>
      <c r="J41" s="1089">
        <v>2.25</v>
      </c>
      <c r="K41" s="1045" t="s">
        <v>671</v>
      </c>
      <c r="L41" s="1089">
        <v>30</v>
      </c>
      <c r="M41" s="1089" t="s">
        <v>489</v>
      </c>
      <c r="N41" s="1103" t="s">
        <v>1445</v>
      </c>
      <c r="O41" s="704"/>
    </row>
    <row r="42" spans="1:15" hidden="1" x14ac:dyDescent="0.25">
      <c r="A42" s="704"/>
      <c r="B42" s="1090">
        <v>1</v>
      </c>
      <c r="C42" s="1088">
        <v>15</v>
      </c>
      <c r="D42" s="1106">
        <v>384</v>
      </c>
      <c r="E42" s="1045"/>
      <c r="F42" s="1095"/>
      <c r="G42" s="1045"/>
      <c r="H42" s="1089" t="s">
        <v>489</v>
      </c>
      <c r="I42" s="1045" t="s">
        <v>671</v>
      </c>
      <c r="J42" s="1089">
        <v>2.25</v>
      </c>
      <c r="K42" s="1045" t="s">
        <v>671</v>
      </c>
      <c r="L42" s="1089">
        <v>30</v>
      </c>
      <c r="M42" s="1089" t="s">
        <v>489</v>
      </c>
      <c r="N42" s="1103" t="s">
        <v>1445</v>
      </c>
      <c r="O42" s="704"/>
    </row>
    <row r="43" spans="1:15" hidden="1" x14ac:dyDescent="0.25">
      <c r="A43" s="704"/>
      <c r="B43" s="1090">
        <v>1</v>
      </c>
      <c r="C43" s="1088">
        <v>15</v>
      </c>
      <c r="D43" s="1106">
        <v>381</v>
      </c>
      <c r="E43" s="1045"/>
      <c r="F43" s="1095"/>
      <c r="G43" s="1045"/>
      <c r="H43" s="1089" t="s">
        <v>489</v>
      </c>
      <c r="I43" s="1045" t="s">
        <v>671</v>
      </c>
      <c r="J43" s="1089">
        <v>2.25</v>
      </c>
      <c r="K43" s="1045" t="s">
        <v>671</v>
      </c>
      <c r="L43" s="1089">
        <v>30</v>
      </c>
      <c r="M43" s="1089" t="s">
        <v>489</v>
      </c>
      <c r="N43" s="1103" t="s">
        <v>1445</v>
      </c>
      <c r="O43" s="704"/>
    </row>
    <row r="44" spans="1:15" hidden="1" x14ac:dyDescent="0.25">
      <c r="A44" s="704"/>
      <c r="B44" s="1090">
        <v>1</v>
      </c>
      <c r="C44" s="1088">
        <v>15</v>
      </c>
      <c r="D44" s="1106">
        <v>377</v>
      </c>
      <c r="E44" s="1045"/>
      <c r="F44" s="1095"/>
      <c r="G44" s="1045"/>
      <c r="H44" s="1089" t="s">
        <v>489</v>
      </c>
      <c r="I44" s="1045" t="s">
        <v>671</v>
      </c>
      <c r="J44" s="1089">
        <v>2.25</v>
      </c>
      <c r="K44" s="1045" t="s">
        <v>671</v>
      </c>
      <c r="L44" s="1089">
        <v>30</v>
      </c>
      <c r="M44" s="1089" t="s">
        <v>489</v>
      </c>
      <c r="N44" s="1103" t="s">
        <v>1445</v>
      </c>
      <c r="O44" s="704"/>
    </row>
    <row r="45" spans="1:15" hidden="1" x14ac:dyDescent="0.25">
      <c r="A45" s="704"/>
      <c r="B45" s="1090">
        <v>1</v>
      </c>
      <c r="C45" s="1088">
        <v>15</v>
      </c>
      <c r="D45" s="1106">
        <v>388</v>
      </c>
      <c r="E45" s="1045"/>
      <c r="F45" s="1095"/>
      <c r="G45" s="1045"/>
      <c r="H45" s="1089" t="s">
        <v>489</v>
      </c>
      <c r="I45" s="1045" t="s">
        <v>671</v>
      </c>
      <c r="J45" s="1089">
        <v>2.25</v>
      </c>
      <c r="K45" s="1045" t="s">
        <v>671</v>
      </c>
      <c r="L45" s="1089">
        <v>30</v>
      </c>
      <c r="M45" s="1089" t="s">
        <v>489</v>
      </c>
      <c r="N45" s="1103" t="s">
        <v>1445</v>
      </c>
      <c r="O45" s="704"/>
    </row>
    <row r="46" spans="1:15" hidden="1" x14ac:dyDescent="0.25">
      <c r="A46" s="704"/>
      <c r="B46" s="1090">
        <v>1</v>
      </c>
      <c r="C46" s="1088">
        <v>16</v>
      </c>
      <c r="D46" s="1091"/>
      <c r="E46" s="1045"/>
      <c r="F46" s="1095"/>
      <c r="G46" s="1045"/>
      <c r="H46" s="1089" t="s">
        <v>489</v>
      </c>
      <c r="I46" s="1045" t="s">
        <v>671</v>
      </c>
      <c r="J46" s="1089">
        <v>2.25</v>
      </c>
      <c r="K46" s="1045" t="s">
        <v>671</v>
      </c>
      <c r="L46" s="1089">
        <v>30</v>
      </c>
      <c r="M46" s="1089" t="s">
        <v>489</v>
      </c>
      <c r="N46" s="1104" t="s">
        <v>102</v>
      </c>
      <c r="O46" s="704"/>
    </row>
    <row r="47" spans="1:15" ht="26.25" hidden="1" x14ac:dyDescent="0.25">
      <c r="A47" s="704"/>
      <c r="B47" s="1087">
        <v>1</v>
      </c>
      <c r="C47" s="1088">
        <v>17</v>
      </c>
      <c r="D47" s="1089"/>
      <c r="E47" s="1045"/>
      <c r="F47" s="1095"/>
      <c r="G47" s="1045"/>
      <c r="H47" s="1089" t="s">
        <v>489</v>
      </c>
      <c r="I47" s="1045" t="s">
        <v>671</v>
      </c>
      <c r="J47" s="1089">
        <v>2.25</v>
      </c>
      <c r="K47" s="1045" t="s">
        <v>671</v>
      </c>
      <c r="L47" s="1089">
        <v>30</v>
      </c>
      <c r="M47" s="1089" t="s">
        <v>489</v>
      </c>
      <c r="N47" s="1104" t="s">
        <v>101</v>
      </c>
      <c r="O47" s="704"/>
    </row>
    <row r="48" spans="1:15" hidden="1" x14ac:dyDescent="0.25">
      <c r="A48" s="704"/>
      <c r="B48" s="1087">
        <v>1</v>
      </c>
      <c r="C48" s="1088">
        <v>18</v>
      </c>
      <c r="D48" s="1092"/>
      <c r="E48" s="1045"/>
      <c r="F48" s="1095"/>
      <c r="G48" s="1083"/>
      <c r="H48" s="1089" t="s">
        <v>489</v>
      </c>
      <c r="I48" s="1045" t="s">
        <v>671</v>
      </c>
      <c r="J48" s="1089">
        <v>2.25</v>
      </c>
      <c r="K48" s="1045" t="s">
        <v>671</v>
      </c>
      <c r="L48" s="1089">
        <v>30</v>
      </c>
      <c r="M48" s="1089" t="s">
        <v>489</v>
      </c>
      <c r="N48" s="1104" t="s">
        <v>100</v>
      </c>
      <c r="O48" s="704"/>
    </row>
    <row r="49" spans="1:15" ht="26.25" hidden="1" x14ac:dyDescent="0.25">
      <c r="A49" s="704"/>
      <c r="B49" s="1087">
        <v>1</v>
      </c>
      <c r="C49" s="1088">
        <v>19</v>
      </c>
      <c r="D49" s="1092"/>
      <c r="E49" s="1045"/>
      <c r="F49" s="1095"/>
      <c r="G49" s="1083"/>
      <c r="H49" s="1089" t="s">
        <v>489</v>
      </c>
      <c r="I49" s="1045" t="s">
        <v>671</v>
      </c>
      <c r="J49" s="1089">
        <v>2.25</v>
      </c>
      <c r="K49" s="1045" t="s">
        <v>671</v>
      </c>
      <c r="L49" s="1089">
        <v>30</v>
      </c>
      <c r="M49" s="1089" t="s">
        <v>489</v>
      </c>
      <c r="N49" s="1104" t="s">
        <v>104</v>
      </c>
      <c r="O49" s="704"/>
    </row>
    <row r="50" spans="1:15" ht="26.25" hidden="1" x14ac:dyDescent="0.25">
      <c r="A50" s="704"/>
      <c r="B50" s="1087">
        <v>1</v>
      </c>
      <c r="C50" s="1088">
        <v>20</v>
      </c>
      <c r="D50" s="1092"/>
      <c r="E50" s="1045"/>
      <c r="F50" s="1095"/>
      <c r="G50" s="1083"/>
      <c r="H50" s="1089" t="s">
        <v>489</v>
      </c>
      <c r="I50" s="1045" t="s">
        <v>671</v>
      </c>
      <c r="J50" s="1089">
        <v>2.25</v>
      </c>
      <c r="K50" s="1045" t="s">
        <v>671</v>
      </c>
      <c r="L50" s="1089">
        <v>30</v>
      </c>
      <c r="M50" s="1089" t="s">
        <v>489</v>
      </c>
      <c r="N50" s="1104" t="s">
        <v>99</v>
      </c>
      <c r="O50" s="704"/>
    </row>
    <row r="51" spans="1:15" hidden="1" x14ac:dyDescent="0.25">
      <c r="A51" s="704"/>
      <c r="B51" s="1087">
        <v>1</v>
      </c>
      <c r="C51" s="1088">
        <v>21</v>
      </c>
      <c r="D51" s="1092"/>
      <c r="E51" s="1045"/>
      <c r="F51" s="1095"/>
      <c r="G51" s="1083"/>
      <c r="H51" s="1089" t="s">
        <v>489</v>
      </c>
      <c r="I51" s="1045" t="s">
        <v>671</v>
      </c>
      <c r="J51" s="1089">
        <v>2.25</v>
      </c>
      <c r="K51" s="1045" t="s">
        <v>671</v>
      </c>
      <c r="L51" s="1089">
        <v>30</v>
      </c>
      <c r="M51" s="1089" t="s">
        <v>489</v>
      </c>
      <c r="N51" s="1104" t="s">
        <v>98</v>
      </c>
      <c r="O51" s="704"/>
    </row>
    <row r="52" spans="1:15" hidden="1" x14ac:dyDescent="0.25">
      <c r="A52" s="704"/>
      <c r="B52" s="1087">
        <v>1</v>
      </c>
      <c r="C52" s="1088">
        <v>22</v>
      </c>
      <c r="D52" s="1092"/>
      <c r="E52" s="1045"/>
      <c r="F52" s="1095"/>
      <c r="G52" s="1083"/>
      <c r="H52" s="1089" t="s">
        <v>489</v>
      </c>
      <c r="I52" s="1045" t="s">
        <v>671</v>
      </c>
      <c r="J52" s="1089">
        <v>2.25</v>
      </c>
      <c r="K52" s="1045" t="s">
        <v>671</v>
      </c>
      <c r="L52" s="1089">
        <v>30</v>
      </c>
      <c r="M52" s="1089" t="s">
        <v>489</v>
      </c>
      <c r="N52" s="1104" t="s">
        <v>97</v>
      </c>
      <c r="O52" s="704"/>
    </row>
    <row r="53" spans="1:15" hidden="1" x14ac:dyDescent="0.25">
      <c r="A53" s="704"/>
      <c r="B53" s="1087">
        <v>1</v>
      </c>
      <c r="C53" s="1088">
        <v>23</v>
      </c>
      <c r="D53" s="1092"/>
      <c r="E53" s="1045"/>
      <c r="F53" s="1095"/>
      <c r="G53" s="1083"/>
      <c r="H53" s="1089" t="s">
        <v>489</v>
      </c>
      <c r="I53" s="1045" t="s">
        <v>671</v>
      </c>
      <c r="J53" s="1089">
        <v>2.25</v>
      </c>
      <c r="K53" s="1045" t="s">
        <v>671</v>
      </c>
      <c r="L53" s="1089">
        <v>30</v>
      </c>
      <c r="M53" s="1089" t="s">
        <v>489</v>
      </c>
      <c r="N53" s="1104" t="s">
        <v>96</v>
      </c>
      <c r="O53" s="704"/>
    </row>
    <row r="54" spans="1:15" hidden="1" x14ac:dyDescent="0.25">
      <c r="A54" s="704"/>
      <c r="B54" s="1087">
        <v>1</v>
      </c>
      <c r="C54" s="1088">
        <v>24</v>
      </c>
      <c r="D54" s="1092"/>
      <c r="E54" s="1045"/>
      <c r="F54" s="1095"/>
      <c r="G54" s="1083"/>
      <c r="H54" s="1089" t="s">
        <v>489</v>
      </c>
      <c r="I54" s="1045" t="s">
        <v>671</v>
      </c>
      <c r="J54" s="1089">
        <v>2.25</v>
      </c>
      <c r="K54" s="1045" t="s">
        <v>671</v>
      </c>
      <c r="L54" s="1089">
        <v>30</v>
      </c>
      <c r="M54" s="1089" t="s">
        <v>489</v>
      </c>
      <c r="N54" s="1104" t="s">
        <v>95</v>
      </c>
      <c r="O54" s="704"/>
    </row>
    <row r="55" spans="1:15" hidden="1" x14ac:dyDescent="0.25">
      <c r="A55" s="704"/>
      <c r="B55" s="1087">
        <v>1</v>
      </c>
      <c r="C55" s="1088">
        <v>25</v>
      </c>
      <c r="D55" s="1092"/>
      <c r="E55" s="1045" t="s">
        <v>1439</v>
      </c>
      <c r="F55" s="1095"/>
      <c r="G55" s="1083"/>
      <c r="H55" s="1089" t="s">
        <v>489</v>
      </c>
      <c r="I55" s="1045" t="s">
        <v>669</v>
      </c>
      <c r="J55" s="1112">
        <v>2.25</v>
      </c>
      <c r="K55" s="1045" t="s">
        <v>671</v>
      </c>
      <c r="L55" s="1089">
        <v>30</v>
      </c>
      <c r="M55" s="1089" t="s">
        <v>489</v>
      </c>
      <c r="N55" s="1104" t="s">
        <v>94</v>
      </c>
      <c r="O55" s="704"/>
    </row>
    <row r="56" spans="1:15" hidden="1" x14ac:dyDescent="0.25">
      <c r="A56" s="704"/>
      <c r="B56" s="1087">
        <v>1</v>
      </c>
      <c r="C56" s="1088">
        <v>26</v>
      </c>
      <c r="D56" s="1092"/>
      <c r="E56" s="1045"/>
      <c r="F56" s="1095"/>
      <c r="G56" s="1083"/>
      <c r="H56" s="1089" t="s">
        <v>489</v>
      </c>
      <c r="I56" s="1045" t="s">
        <v>671</v>
      </c>
      <c r="J56" s="1089">
        <v>2.25</v>
      </c>
      <c r="K56" s="1045" t="s">
        <v>671</v>
      </c>
      <c r="L56" s="1089">
        <v>30</v>
      </c>
      <c r="M56" s="1089" t="s">
        <v>489</v>
      </c>
      <c r="N56" s="1104" t="s">
        <v>93</v>
      </c>
      <c r="O56" s="704"/>
    </row>
    <row r="57" spans="1:15" hidden="1" x14ac:dyDescent="0.25">
      <c r="A57" s="704"/>
      <c r="B57" s="1087">
        <v>1</v>
      </c>
      <c r="C57" s="1088">
        <v>29</v>
      </c>
      <c r="D57" s="1092"/>
      <c r="E57" s="1045"/>
      <c r="F57" s="1095"/>
      <c r="G57" s="1083"/>
      <c r="H57" s="1089" t="s">
        <v>489</v>
      </c>
      <c r="I57" s="1045" t="s">
        <v>671</v>
      </c>
      <c r="J57" s="1089">
        <v>2.25</v>
      </c>
      <c r="K57" s="1045" t="s">
        <v>671</v>
      </c>
      <c r="L57" s="1089">
        <v>30</v>
      </c>
      <c r="M57" s="1089" t="s">
        <v>489</v>
      </c>
      <c r="N57" s="1104" t="s">
        <v>92</v>
      </c>
      <c r="O57" s="704"/>
    </row>
    <row r="58" spans="1:15" hidden="1" x14ac:dyDescent="0.25">
      <c r="A58" s="704"/>
      <c r="B58" s="1087">
        <v>1</v>
      </c>
      <c r="C58" s="1088">
        <v>30</v>
      </c>
      <c r="D58" s="1092"/>
      <c r="E58" s="1045"/>
      <c r="F58" s="1095"/>
      <c r="G58" s="1083"/>
      <c r="H58" s="1089" t="s">
        <v>489</v>
      </c>
      <c r="I58" s="1045" t="s">
        <v>671</v>
      </c>
      <c r="J58" s="1089">
        <v>2.25</v>
      </c>
      <c r="K58" s="1045" t="s">
        <v>671</v>
      </c>
      <c r="L58" s="1089">
        <v>30</v>
      </c>
      <c r="M58" s="1089" t="s">
        <v>489</v>
      </c>
      <c r="N58" s="1104" t="s">
        <v>91</v>
      </c>
      <c r="O58" s="704"/>
    </row>
    <row r="59" spans="1:15" hidden="1" x14ac:dyDescent="0.25">
      <c r="A59" s="704"/>
      <c r="B59" s="1087">
        <v>1</v>
      </c>
      <c r="C59" s="1088">
        <v>31</v>
      </c>
      <c r="D59" s="1092"/>
      <c r="E59" s="1045"/>
      <c r="F59" s="1095"/>
      <c r="G59" s="1083"/>
      <c r="H59" s="1089" t="s">
        <v>489</v>
      </c>
      <c r="I59" s="1045" t="s">
        <v>671</v>
      </c>
      <c r="J59" s="1089">
        <v>2.25</v>
      </c>
      <c r="K59" s="1045" t="s">
        <v>671</v>
      </c>
      <c r="L59" s="1089">
        <v>30</v>
      </c>
      <c r="M59" s="1089" t="s">
        <v>489</v>
      </c>
      <c r="N59" s="1104" t="s">
        <v>90</v>
      </c>
      <c r="O59" s="704"/>
    </row>
    <row r="60" spans="1:15" hidden="1" x14ac:dyDescent="0.25">
      <c r="A60" s="704"/>
      <c r="B60" s="1087">
        <v>1</v>
      </c>
      <c r="C60" s="1088">
        <v>32</v>
      </c>
      <c r="D60" s="1092"/>
      <c r="E60" s="1045"/>
      <c r="F60" s="1095"/>
      <c r="G60" s="1083"/>
      <c r="H60" s="1089" t="s">
        <v>489</v>
      </c>
      <c r="I60" s="1045" t="s">
        <v>671</v>
      </c>
      <c r="J60" s="1089">
        <v>2.25</v>
      </c>
      <c r="K60" s="1045" t="s">
        <v>671</v>
      </c>
      <c r="L60" s="1089">
        <v>30</v>
      </c>
      <c r="M60" s="1089" t="s">
        <v>489</v>
      </c>
      <c r="N60" s="1104" t="s">
        <v>89</v>
      </c>
      <c r="O60" s="704"/>
    </row>
    <row r="61" spans="1:15" hidden="1" x14ac:dyDescent="0.25">
      <c r="A61" s="704"/>
      <c r="B61" s="1087">
        <v>1</v>
      </c>
      <c r="C61" s="1088">
        <v>33</v>
      </c>
      <c r="D61" s="1092"/>
      <c r="E61" s="1045"/>
      <c r="F61" s="1095"/>
      <c r="G61" s="1083"/>
      <c r="H61" s="1089" t="s">
        <v>489</v>
      </c>
      <c r="I61" s="1045" t="s">
        <v>671</v>
      </c>
      <c r="J61" s="1089">
        <v>2.25</v>
      </c>
      <c r="K61" s="1045" t="s">
        <v>671</v>
      </c>
      <c r="L61" s="1089">
        <v>30</v>
      </c>
      <c r="M61" s="1089" t="s">
        <v>489</v>
      </c>
      <c r="N61" s="1104" t="s">
        <v>88</v>
      </c>
      <c r="O61" s="704"/>
    </row>
    <row r="62" spans="1:15" hidden="1" x14ac:dyDescent="0.25">
      <c r="A62" s="704"/>
      <c r="B62" s="1087">
        <v>1</v>
      </c>
      <c r="C62" s="1088">
        <v>34</v>
      </c>
      <c r="D62" s="1092"/>
      <c r="E62" s="1045"/>
      <c r="F62" s="1095"/>
      <c r="G62" s="1083"/>
      <c r="H62" s="1089" t="s">
        <v>489</v>
      </c>
      <c r="I62" s="1045" t="s">
        <v>671</v>
      </c>
      <c r="J62" s="1089">
        <v>2.25</v>
      </c>
      <c r="K62" s="1045" t="s">
        <v>671</v>
      </c>
      <c r="L62" s="1089">
        <v>30</v>
      </c>
      <c r="M62" s="1089" t="s">
        <v>489</v>
      </c>
      <c r="N62" s="1104" t="s">
        <v>87</v>
      </c>
      <c r="O62" s="704"/>
    </row>
    <row r="63" spans="1:15" hidden="1" x14ac:dyDescent="0.25">
      <c r="A63" s="704"/>
      <c r="B63" s="1087">
        <v>1</v>
      </c>
      <c r="C63" s="1088">
        <v>35</v>
      </c>
      <c r="D63" s="1092"/>
      <c r="E63" s="1045"/>
      <c r="F63" s="1095"/>
      <c r="G63" s="1083"/>
      <c r="H63" s="1089" t="s">
        <v>489</v>
      </c>
      <c r="I63" s="1045" t="s">
        <v>671</v>
      </c>
      <c r="J63" s="1089">
        <v>2.25</v>
      </c>
      <c r="K63" s="1045" t="s">
        <v>671</v>
      </c>
      <c r="L63" s="1089">
        <v>30</v>
      </c>
      <c r="M63" s="1089" t="s">
        <v>489</v>
      </c>
      <c r="N63" s="1104" t="s">
        <v>86</v>
      </c>
      <c r="O63" s="704"/>
    </row>
    <row r="64" spans="1:15" ht="15.75" hidden="1" thickBot="1" x14ac:dyDescent="0.3">
      <c r="A64" s="704"/>
      <c r="B64" s="1038">
        <v>1</v>
      </c>
      <c r="C64" s="1093">
        <v>37</v>
      </c>
      <c r="D64" s="1094"/>
      <c r="E64" s="1030"/>
      <c r="F64" s="1096"/>
      <c r="G64" s="1084"/>
      <c r="H64" s="1042" t="s">
        <v>489</v>
      </c>
      <c r="I64" s="1030" t="s">
        <v>671</v>
      </c>
      <c r="J64" s="1042">
        <v>2.25</v>
      </c>
      <c r="K64" s="1030" t="s">
        <v>671</v>
      </c>
      <c r="L64" s="1042">
        <v>30</v>
      </c>
      <c r="M64" s="1042" t="s">
        <v>489</v>
      </c>
      <c r="N64" s="1105" t="s">
        <v>105</v>
      </c>
      <c r="O64" s="704"/>
    </row>
    <row r="65" spans="1:15" hidden="1" x14ac:dyDescent="0.25">
      <c r="A65" s="704"/>
      <c r="B65" s="1076"/>
      <c r="C65" s="1076"/>
      <c r="D65" s="1076"/>
      <c r="E65" s="1076"/>
      <c r="F65" s="1076"/>
      <c r="G65" s="1076"/>
      <c r="H65" s="1076"/>
      <c r="I65" s="1076"/>
      <c r="J65" s="1076"/>
      <c r="K65" s="1076"/>
      <c r="L65" s="1076"/>
      <c r="M65" s="1076"/>
      <c r="N65" s="1076"/>
      <c r="O65" s="704"/>
    </row>
    <row r="66" spans="1:15" x14ac:dyDescent="0.25">
      <c r="A66" s="704"/>
      <c r="B66" s="704"/>
      <c r="C66" s="704"/>
      <c r="D66" s="704"/>
      <c r="E66" s="704"/>
      <c r="F66" s="704"/>
      <c r="G66" s="704"/>
      <c r="H66" s="704"/>
      <c r="I66" s="704"/>
      <c r="J66" s="704"/>
      <c r="K66" s="704"/>
      <c r="L66" s="704"/>
      <c r="M66" s="704"/>
      <c r="N66" s="704"/>
      <c r="O66" s="704"/>
    </row>
    <row r="67" spans="1:15" x14ac:dyDescent="0.25">
      <c r="A67" s="704"/>
      <c r="B67" s="704"/>
      <c r="C67" s="704"/>
      <c r="D67" s="704"/>
      <c r="E67" s="704"/>
      <c r="F67" s="704"/>
      <c r="G67" s="704"/>
      <c r="H67" s="704"/>
      <c r="I67" s="704"/>
      <c r="J67" s="704"/>
      <c r="K67" s="704"/>
      <c r="L67" s="704"/>
      <c r="M67" s="704"/>
      <c r="N67" s="704"/>
      <c r="O67" s="704"/>
    </row>
    <row r="68" spans="1:15" x14ac:dyDescent="0.25">
      <c r="A68" s="704"/>
      <c r="B68" s="704"/>
      <c r="C68" s="704"/>
      <c r="D68" s="704"/>
      <c r="E68" s="704"/>
      <c r="F68" s="704"/>
      <c r="G68" s="704"/>
      <c r="H68" s="704"/>
      <c r="I68" s="704"/>
      <c r="J68" s="704"/>
      <c r="K68" s="704"/>
      <c r="L68" s="704"/>
      <c r="M68" s="704"/>
      <c r="N68" s="704"/>
      <c r="O68" s="704"/>
    </row>
    <row r="69" spans="1:15" x14ac:dyDescent="0.25">
      <c r="A69" s="704"/>
      <c r="B69" s="704"/>
      <c r="C69" s="704"/>
      <c r="D69" s="704"/>
      <c r="E69" s="704"/>
      <c r="F69" s="704"/>
      <c r="G69" s="704"/>
      <c r="H69" s="704"/>
      <c r="I69" s="704"/>
      <c r="J69" s="704"/>
      <c r="K69" s="704"/>
      <c r="L69" s="704"/>
      <c r="M69" s="704"/>
      <c r="N69" s="704"/>
      <c r="O69" s="704"/>
    </row>
    <row r="70" spans="1:15" x14ac:dyDescent="0.25">
      <c r="A70" s="704"/>
      <c r="B70" s="704"/>
      <c r="C70" s="704"/>
      <c r="D70" s="704"/>
      <c r="E70" s="704"/>
      <c r="F70" s="704"/>
      <c r="G70" s="704"/>
      <c r="H70" s="704"/>
      <c r="I70" s="704"/>
      <c r="J70" s="704"/>
      <c r="K70" s="704"/>
      <c r="L70" s="704"/>
      <c r="M70" s="704"/>
      <c r="N70" s="704"/>
      <c r="O70" s="704"/>
    </row>
    <row r="71" spans="1:15" x14ac:dyDescent="0.25">
      <c r="A71" s="704"/>
      <c r="B71" s="704"/>
      <c r="C71" s="704"/>
      <c r="D71" s="704"/>
      <c r="E71" s="704"/>
      <c r="F71" s="704"/>
      <c r="G71" s="704"/>
      <c r="H71" s="704"/>
      <c r="I71" s="704"/>
      <c r="J71" s="704"/>
      <c r="K71" s="704"/>
      <c r="L71" s="704"/>
      <c r="M71" s="704"/>
      <c r="N71" s="704"/>
      <c r="O71" s="704"/>
    </row>
    <row r="72" spans="1:15" x14ac:dyDescent="0.25">
      <c r="A72" s="704"/>
      <c r="B72" s="704"/>
      <c r="C72" s="704"/>
      <c r="D72" s="704"/>
      <c r="E72" s="704"/>
      <c r="F72" s="704"/>
      <c r="G72" s="704"/>
      <c r="H72" s="704"/>
      <c r="I72" s="704"/>
      <c r="J72" s="704"/>
      <c r="K72" s="704"/>
      <c r="L72" s="704"/>
      <c r="M72" s="704"/>
      <c r="N72" s="704"/>
      <c r="O72" s="704"/>
    </row>
    <row r="73" spans="1:15" x14ac:dyDescent="0.25">
      <c r="A73" s="704"/>
      <c r="B73" s="704"/>
      <c r="C73" s="704"/>
      <c r="D73" s="704"/>
      <c r="E73" s="704"/>
      <c r="F73" s="704"/>
      <c r="G73" s="704"/>
      <c r="H73" s="704"/>
      <c r="I73" s="704"/>
      <c r="J73" s="704"/>
      <c r="K73" s="704"/>
      <c r="L73" s="704"/>
      <c r="M73" s="704"/>
      <c r="N73" s="704"/>
      <c r="O73" s="704"/>
    </row>
    <row r="74" spans="1:15" x14ac:dyDescent="0.25">
      <c r="A74" s="704"/>
      <c r="B74" s="704"/>
      <c r="C74" s="704"/>
      <c r="D74" s="704"/>
      <c r="E74" s="704"/>
      <c r="F74" s="704"/>
      <c r="G74" s="704"/>
      <c r="H74" s="704"/>
      <c r="I74" s="704"/>
      <c r="J74" s="704"/>
      <c r="K74" s="704"/>
      <c r="L74" s="704"/>
      <c r="M74" s="704"/>
      <c r="N74" s="704"/>
      <c r="O74" s="704"/>
    </row>
    <row r="75" spans="1:15" x14ac:dyDescent="0.25">
      <c r="A75" s="704"/>
      <c r="B75" s="704"/>
      <c r="C75" s="704"/>
      <c r="D75" s="704"/>
      <c r="E75" s="704"/>
      <c r="F75" s="704"/>
      <c r="G75" s="704"/>
      <c r="H75" s="704"/>
      <c r="I75" s="704"/>
      <c r="J75" s="704"/>
      <c r="K75" s="704"/>
      <c r="L75" s="704"/>
      <c r="M75" s="704"/>
      <c r="N75" s="704"/>
      <c r="O75" s="704"/>
    </row>
    <row r="76" spans="1:15" x14ac:dyDescent="0.25">
      <c r="A76" s="704"/>
      <c r="B76" s="704"/>
      <c r="C76" s="704"/>
      <c r="D76" s="704"/>
      <c r="E76" s="704"/>
      <c r="F76" s="704"/>
      <c r="G76" s="704"/>
      <c r="H76" s="704"/>
      <c r="I76" s="704"/>
      <c r="J76" s="704"/>
      <c r="K76" s="704"/>
      <c r="L76" s="704"/>
      <c r="M76" s="704"/>
      <c r="N76" s="704"/>
      <c r="O76" s="704"/>
    </row>
    <row r="77" spans="1:15" x14ac:dyDescent="0.25">
      <c r="A77" s="704"/>
      <c r="B77" s="704"/>
      <c r="C77" s="704"/>
      <c r="D77" s="704"/>
      <c r="E77" s="704"/>
      <c r="F77" s="704"/>
      <c r="G77" s="704"/>
      <c r="H77" s="704"/>
      <c r="I77" s="704"/>
      <c r="J77" s="704"/>
      <c r="K77" s="704"/>
      <c r="L77" s="704"/>
      <c r="M77" s="704"/>
      <c r="N77" s="704"/>
      <c r="O77" s="704"/>
    </row>
    <row r="78" spans="1:15" x14ac:dyDescent="0.25">
      <c r="A78" s="704"/>
      <c r="B78" s="704"/>
      <c r="C78" s="704"/>
      <c r="D78" s="704"/>
      <c r="E78" s="704"/>
      <c r="F78" s="704"/>
      <c r="G78" s="704"/>
      <c r="H78" s="704"/>
      <c r="I78" s="704"/>
      <c r="J78" s="704"/>
      <c r="K78" s="704"/>
      <c r="L78" s="704"/>
      <c r="M78" s="704"/>
      <c r="N78" s="704"/>
      <c r="O78" s="704"/>
    </row>
    <row r="79" spans="1:15" x14ac:dyDescent="0.25">
      <c r="A79" s="704"/>
      <c r="B79" s="704"/>
      <c r="C79" s="704"/>
      <c r="D79" s="704"/>
      <c r="E79" s="704"/>
      <c r="F79" s="704"/>
      <c r="G79" s="704"/>
      <c r="H79" s="704"/>
      <c r="I79" s="704"/>
      <c r="J79" s="704"/>
      <c r="K79" s="704"/>
      <c r="L79" s="704"/>
      <c r="M79" s="704"/>
      <c r="N79" s="704"/>
      <c r="O79" s="704"/>
    </row>
    <row r="80" spans="1:15" x14ac:dyDescent="0.25">
      <c r="A80" s="704"/>
      <c r="B80" s="704"/>
      <c r="C80" s="704"/>
      <c r="D80" s="704"/>
      <c r="E80" s="704"/>
      <c r="F80" s="704"/>
      <c r="G80" s="704"/>
      <c r="H80" s="704"/>
      <c r="I80" s="704"/>
      <c r="J80" s="704"/>
      <c r="K80" s="704"/>
      <c r="L80" s="704"/>
      <c r="M80" s="704"/>
      <c r="N80" s="704"/>
      <c r="O80" s="704"/>
    </row>
    <row r="81" spans="1:15" x14ac:dyDescent="0.25">
      <c r="A81" s="704"/>
      <c r="B81" s="704"/>
      <c r="C81" s="704"/>
      <c r="D81" s="704"/>
      <c r="E81" s="704"/>
      <c r="F81" s="704"/>
      <c r="G81" s="704"/>
      <c r="H81" s="704"/>
      <c r="I81" s="704"/>
      <c r="J81" s="704"/>
      <c r="K81" s="704"/>
      <c r="L81" s="704"/>
      <c r="M81" s="704"/>
      <c r="N81" s="704"/>
      <c r="O81" s="704"/>
    </row>
    <row r="82" spans="1:15" x14ac:dyDescent="0.25">
      <c r="A82" s="704"/>
      <c r="B82" s="704"/>
      <c r="C82" s="704"/>
      <c r="D82" s="704"/>
      <c r="E82" s="704"/>
      <c r="F82" s="704"/>
      <c r="G82" s="704"/>
      <c r="H82" s="704"/>
      <c r="I82" s="704"/>
      <c r="J82" s="704"/>
      <c r="K82" s="704"/>
      <c r="L82" s="704"/>
      <c r="M82" s="704"/>
      <c r="N82" s="704"/>
      <c r="O82" s="704"/>
    </row>
    <row r="83" spans="1:15" x14ac:dyDescent="0.25">
      <c r="A83" s="704"/>
      <c r="B83" s="704"/>
      <c r="C83" s="704"/>
      <c r="D83" s="704"/>
      <c r="E83" s="704"/>
      <c r="F83" s="704"/>
      <c r="G83" s="704"/>
      <c r="H83" s="704"/>
      <c r="I83" s="704"/>
      <c r="J83" s="704"/>
      <c r="K83" s="704"/>
      <c r="L83" s="704"/>
      <c r="M83" s="704"/>
      <c r="N83" s="704"/>
      <c r="O83" s="704"/>
    </row>
    <row r="84" spans="1:15" x14ac:dyDescent="0.25">
      <c r="A84" s="704"/>
      <c r="B84" s="704"/>
      <c r="C84" s="704"/>
      <c r="D84" s="704"/>
      <c r="E84" s="704"/>
      <c r="F84" s="704"/>
      <c r="G84" s="704"/>
      <c r="H84" s="704"/>
      <c r="I84" s="704"/>
      <c r="J84" s="704"/>
      <c r="K84" s="704"/>
      <c r="L84" s="704"/>
      <c r="M84" s="704"/>
      <c r="N84" s="704"/>
      <c r="O84" s="704"/>
    </row>
    <row r="85" spans="1:15" x14ac:dyDescent="0.25">
      <c r="A85" s="704"/>
      <c r="B85" s="704"/>
      <c r="C85" s="704"/>
      <c r="D85" s="704"/>
      <c r="E85" s="704"/>
      <c r="F85" s="704"/>
      <c r="G85" s="704"/>
      <c r="H85" s="704"/>
      <c r="I85" s="704"/>
      <c r="J85" s="704"/>
      <c r="K85" s="704"/>
      <c r="L85" s="704"/>
      <c r="M85" s="704"/>
      <c r="N85" s="704"/>
      <c r="O85" s="704"/>
    </row>
    <row r="86" spans="1:15" x14ac:dyDescent="0.25">
      <c r="A86" s="704"/>
      <c r="B86" s="704"/>
      <c r="C86" s="704"/>
      <c r="D86" s="704"/>
      <c r="E86" s="704"/>
      <c r="F86" s="704"/>
      <c r="G86" s="704"/>
      <c r="H86" s="704"/>
      <c r="I86" s="704"/>
      <c r="J86" s="704"/>
      <c r="K86" s="704"/>
      <c r="L86" s="704"/>
      <c r="M86" s="704"/>
      <c r="N86" s="704"/>
      <c r="O86" s="704"/>
    </row>
    <row r="87" spans="1:15" x14ac:dyDescent="0.25">
      <c r="A87" s="704"/>
      <c r="B87" s="704"/>
      <c r="C87" s="704"/>
      <c r="D87" s="704"/>
      <c r="E87" s="704"/>
      <c r="F87" s="704"/>
      <c r="G87" s="704"/>
      <c r="H87" s="704"/>
      <c r="I87" s="704"/>
      <c r="J87" s="704"/>
      <c r="K87" s="704"/>
      <c r="L87" s="704"/>
      <c r="M87" s="704"/>
      <c r="N87" s="704"/>
      <c r="O87" s="704"/>
    </row>
    <row r="88" spans="1:15" x14ac:dyDescent="0.25">
      <c r="A88" s="704"/>
      <c r="B88" s="704"/>
      <c r="C88" s="704"/>
      <c r="D88" s="704"/>
      <c r="E88" s="704"/>
      <c r="F88" s="704"/>
      <c r="G88" s="704"/>
      <c r="H88" s="704"/>
      <c r="I88" s="704"/>
      <c r="J88" s="704"/>
      <c r="K88" s="704"/>
      <c r="L88" s="704"/>
      <c r="M88" s="704"/>
      <c r="N88" s="704"/>
      <c r="O88" s="704"/>
    </row>
    <row r="89" spans="1:15" x14ac:dyDescent="0.25">
      <c r="A89" s="704"/>
      <c r="B89" s="704"/>
      <c r="C89" s="704"/>
      <c r="D89" s="704"/>
      <c r="E89" s="704"/>
      <c r="F89" s="704"/>
      <c r="G89" s="704"/>
      <c r="H89" s="704"/>
      <c r="I89" s="704"/>
      <c r="J89" s="704"/>
      <c r="K89" s="704"/>
      <c r="L89" s="704"/>
      <c r="M89" s="704"/>
      <c r="N89" s="704"/>
      <c r="O89" s="704"/>
    </row>
    <row r="90" spans="1:15" x14ac:dyDescent="0.25">
      <c r="A90" s="704"/>
      <c r="B90" s="704"/>
      <c r="C90" s="704"/>
      <c r="D90" s="704"/>
      <c r="E90" s="704"/>
      <c r="F90" s="704"/>
      <c r="G90" s="704"/>
      <c r="H90" s="704"/>
      <c r="I90" s="704"/>
      <c r="J90" s="704"/>
      <c r="K90" s="704"/>
      <c r="L90" s="704"/>
      <c r="M90" s="704"/>
      <c r="N90" s="704"/>
    </row>
    <row r="91" spans="1:15" x14ac:dyDescent="0.25">
      <c r="A91" s="704"/>
      <c r="B91" s="704"/>
      <c r="C91" s="704"/>
      <c r="D91" s="704"/>
      <c r="E91" s="704"/>
      <c r="F91" s="704"/>
      <c r="G91" s="704"/>
      <c r="H91" s="704"/>
      <c r="I91" s="704"/>
      <c r="J91" s="704"/>
      <c r="K91" s="704"/>
      <c r="L91" s="704"/>
      <c r="M91" s="704"/>
      <c r="N91" s="704"/>
    </row>
    <row r="92" spans="1:15" x14ac:dyDescent="0.25">
      <c r="A92" s="704"/>
      <c r="B92" s="704"/>
      <c r="C92" s="704"/>
      <c r="D92" s="704"/>
      <c r="E92" s="704"/>
      <c r="F92" s="704"/>
      <c r="G92" s="704"/>
      <c r="H92" s="704"/>
      <c r="I92" s="704"/>
      <c r="J92" s="704"/>
      <c r="K92" s="704"/>
      <c r="L92" s="704"/>
      <c r="M92" s="704"/>
      <c r="N92" s="704"/>
    </row>
    <row r="93" spans="1:15" x14ac:dyDescent="0.25">
      <c r="A93" s="704"/>
      <c r="B93" s="704"/>
      <c r="C93" s="704"/>
      <c r="D93" s="704"/>
      <c r="E93" s="704"/>
      <c r="F93" s="704"/>
      <c r="G93" s="704"/>
      <c r="H93" s="704"/>
      <c r="I93" s="704"/>
      <c r="J93" s="704"/>
      <c r="K93" s="704"/>
      <c r="L93" s="704"/>
      <c r="M93" s="704"/>
      <c r="N93" s="704"/>
    </row>
    <row r="94" spans="1:15" x14ac:dyDescent="0.25">
      <c r="A94" s="704"/>
      <c r="B94" s="704"/>
      <c r="C94" s="704"/>
      <c r="D94" s="704"/>
      <c r="E94" s="704"/>
      <c r="F94" s="704"/>
      <c r="G94" s="704"/>
      <c r="H94" s="704"/>
      <c r="I94" s="704"/>
      <c r="J94" s="704"/>
      <c r="K94" s="704"/>
      <c r="L94" s="704"/>
      <c r="M94" s="704"/>
      <c r="N94" s="704"/>
    </row>
    <row r="95" spans="1:15" x14ac:dyDescent="0.25">
      <c r="A95" s="704"/>
      <c r="B95" s="704"/>
      <c r="C95" s="704"/>
      <c r="D95" s="704"/>
      <c r="E95" s="704"/>
      <c r="F95" s="704"/>
      <c r="G95" s="704"/>
      <c r="H95" s="704"/>
      <c r="I95" s="704"/>
      <c r="J95" s="704"/>
      <c r="K95" s="704"/>
      <c r="L95" s="704"/>
      <c r="M95" s="704"/>
      <c r="N95" s="704"/>
    </row>
    <row r="96" spans="1:15" x14ac:dyDescent="0.25">
      <c r="A96" s="704"/>
      <c r="B96" s="704"/>
      <c r="C96" s="704"/>
      <c r="D96" s="704"/>
      <c r="E96" s="704"/>
      <c r="F96" s="704"/>
      <c r="G96" s="704"/>
      <c r="H96" s="704"/>
      <c r="I96" s="704"/>
      <c r="J96" s="704"/>
      <c r="K96" s="704"/>
      <c r="L96" s="704"/>
      <c r="M96" s="704"/>
      <c r="N96" s="704"/>
    </row>
    <row r="97" spans="1:14" x14ac:dyDescent="0.25">
      <c r="A97" s="704"/>
      <c r="B97" s="704"/>
      <c r="C97" s="704"/>
      <c r="D97" s="704"/>
      <c r="E97" s="704"/>
      <c r="F97" s="704"/>
      <c r="G97" s="704"/>
      <c r="H97" s="704"/>
      <c r="I97" s="704"/>
      <c r="J97" s="704"/>
      <c r="K97" s="704"/>
      <c r="L97" s="704"/>
      <c r="M97" s="704"/>
      <c r="N97" s="704"/>
    </row>
    <row r="98" spans="1:14" x14ac:dyDescent="0.25">
      <c r="A98" s="704"/>
      <c r="B98" s="704"/>
      <c r="C98" s="704"/>
      <c r="D98" s="704"/>
      <c r="E98" s="704"/>
      <c r="F98" s="704"/>
      <c r="G98" s="704"/>
      <c r="H98" s="704"/>
      <c r="I98" s="704"/>
      <c r="J98" s="704"/>
      <c r="K98" s="704"/>
      <c r="L98" s="704"/>
      <c r="M98" s="704"/>
      <c r="N98" s="704"/>
    </row>
    <row r="99" spans="1:14" x14ac:dyDescent="0.25">
      <c r="A99" s="704"/>
      <c r="B99" s="704"/>
      <c r="C99" s="704"/>
      <c r="D99" s="704"/>
      <c r="E99" s="704"/>
      <c r="F99" s="704"/>
      <c r="G99" s="704"/>
      <c r="H99" s="704"/>
      <c r="I99" s="704"/>
      <c r="J99" s="704"/>
      <c r="K99" s="704"/>
      <c r="L99" s="704"/>
      <c r="M99" s="704"/>
      <c r="N99" s="704"/>
    </row>
    <row r="100" spans="1:14" x14ac:dyDescent="0.25">
      <c r="A100" s="704"/>
      <c r="B100" s="704"/>
      <c r="C100" s="704"/>
      <c r="D100" s="704"/>
      <c r="E100" s="704"/>
      <c r="F100" s="704"/>
      <c r="G100" s="704"/>
      <c r="H100" s="704"/>
      <c r="I100" s="704"/>
      <c r="J100" s="704"/>
      <c r="K100" s="704"/>
      <c r="L100" s="704"/>
      <c r="M100" s="704"/>
      <c r="N100" s="704"/>
    </row>
    <row r="101" spans="1:14" x14ac:dyDescent="0.25">
      <c r="A101" s="704"/>
      <c r="B101" s="704"/>
      <c r="C101" s="704"/>
      <c r="D101" s="704"/>
      <c r="E101" s="704"/>
      <c r="F101" s="704"/>
      <c r="G101" s="704"/>
      <c r="H101" s="704"/>
      <c r="I101" s="704"/>
      <c r="J101" s="704"/>
      <c r="K101" s="704"/>
      <c r="L101" s="704"/>
      <c r="M101" s="704"/>
      <c r="N101" s="704"/>
    </row>
    <row r="102" spans="1:14" x14ac:dyDescent="0.25">
      <c r="A102" s="704"/>
      <c r="B102" s="704"/>
      <c r="C102" s="704"/>
      <c r="D102" s="704"/>
      <c r="E102" s="704"/>
      <c r="F102" s="704"/>
      <c r="G102" s="704"/>
      <c r="H102" s="704"/>
      <c r="I102" s="704"/>
      <c r="J102" s="704"/>
      <c r="K102" s="704"/>
      <c r="L102" s="704"/>
      <c r="M102" s="704"/>
      <c r="N102" s="704"/>
    </row>
    <row r="103" spans="1:14" x14ac:dyDescent="0.25">
      <c r="A103" s="704"/>
      <c r="B103" s="704"/>
      <c r="C103" s="704"/>
      <c r="D103" s="704"/>
      <c r="E103" s="704"/>
      <c r="F103" s="704"/>
      <c r="G103" s="704"/>
      <c r="H103" s="704"/>
      <c r="I103" s="704"/>
      <c r="J103" s="704"/>
      <c r="K103" s="704"/>
      <c r="L103" s="704"/>
      <c r="M103" s="704"/>
      <c r="N103" s="704"/>
    </row>
    <row r="104" spans="1:14" x14ac:dyDescent="0.25">
      <c r="A104" s="704"/>
      <c r="B104" s="704"/>
      <c r="C104" s="704"/>
      <c r="D104" s="704"/>
      <c r="E104" s="704"/>
      <c r="F104" s="704"/>
      <c r="G104" s="704"/>
      <c r="H104" s="704"/>
      <c r="I104" s="704"/>
      <c r="J104" s="704"/>
      <c r="K104" s="704"/>
      <c r="L104" s="704"/>
      <c r="M104" s="704"/>
      <c r="N104" s="704"/>
    </row>
    <row r="105" spans="1:14" x14ac:dyDescent="0.25">
      <c r="A105" s="704"/>
      <c r="B105" s="704"/>
      <c r="C105" s="704"/>
      <c r="D105" s="704"/>
      <c r="E105" s="704"/>
      <c r="F105" s="704"/>
      <c r="G105" s="704"/>
      <c r="H105" s="704"/>
      <c r="I105" s="704"/>
      <c r="J105" s="704"/>
      <c r="K105" s="704"/>
      <c r="L105" s="704"/>
      <c r="M105" s="704"/>
      <c r="N105" s="704"/>
    </row>
    <row r="106" spans="1:14" x14ac:dyDescent="0.25">
      <c r="A106" s="704"/>
      <c r="B106" s="704"/>
      <c r="C106" s="704"/>
      <c r="D106" s="704"/>
      <c r="E106" s="704"/>
      <c r="F106" s="704"/>
      <c r="G106" s="704"/>
      <c r="H106" s="704"/>
      <c r="I106" s="704"/>
      <c r="J106" s="704"/>
      <c r="K106" s="704"/>
      <c r="L106" s="704"/>
      <c r="M106" s="704"/>
      <c r="N106" s="704"/>
    </row>
    <row r="107" spans="1:14" x14ac:dyDescent="0.25">
      <c r="A107" s="704"/>
      <c r="B107" s="704"/>
      <c r="C107" s="704"/>
      <c r="D107" s="704"/>
      <c r="E107" s="704"/>
      <c r="F107" s="704"/>
      <c r="G107" s="704"/>
      <c r="H107" s="704"/>
      <c r="I107" s="704"/>
      <c r="J107" s="704"/>
      <c r="K107" s="704"/>
      <c r="L107" s="704"/>
      <c r="M107" s="704"/>
      <c r="N107" s="704"/>
    </row>
    <row r="108" spans="1:14" x14ac:dyDescent="0.25">
      <c r="A108" s="704"/>
      <c r="B108" s="704"/>
      <c r="C108" s="704"/>
      <c r="D108" s="704"/>
      <c r="E108" s="704"/>
      <c r="F108" s="704"/>
      <c r="G108" s="704"/>
      <c r="H108" s="704"/>
      <c r="I108" s="704"/>
      <c r="J108" s="704"/>
      <c r="K108" s="704"/>
      <c r="L108" s="704"/>
      <c r="M108" s="704"/>
      <c r="N108" s="704"/>
    </row>
    <row r="109" spans="1:14" x14ac:dyDescent="0.25">
      <c r="A109" s="704"/>
      <c r="B109" s="704"/>
      <c r="C109" s="704"/>
      <c r="D109" s="704"/>
      <c r="E109" s="704"/>
      <c r="F109" s="704"/>
      <c r="G109" s="704"/>
      <c r="H109" s="704"/>
      <c r="I109" s="704"/>
      <c r="J109" s="704"/>
      <c r="K109" s="704"/>
      <c r="L109" s="704"/>
      <c r="M109" s="704"/>
      <c r="N109" s="704"/>
    </row>
    <row r="110" spans="1:14" x14ac:dyDescent="0.25">
      <c r="A110" s="704"/>
      <c r="B110" s="704"/>
      <c r="C110" s="704"/>
      <c r="D110" s="704"/>
      <c r="E110" s="704"/>
      <c r="F110" s="704"/>
      <c r="G110" s="704"/>
      <c r="H110" s="704"/>
      <c r="I110" s="704"/>
      <c r="J110" s="704"/>
      <c r="K110" s="704"/>
      <c r="L110" s="704"/>
      <c r="M110" s="704"/>
      <c r="N110" s="704"/>
    </row>
    <row r="111" spans="1:14" x14ac:dyDescent="0.25">
      <c r="A111" s="704"/>
      <c r="B111" s="704"/>
      <c r="C111" s="704"/>
      <c r="D111" s="704"/>
      <c r="E111" s="704"/>
      <c r="F111" s="704"/>
      <c r="G111" s="704"/>
      <c r="H111" s="704"/>
      <c r="I111" s="704"/>
      <c r="J111" s="704"/>
      <c r="K111" s="704"/>
      <c r="L111" s="704"/>
      <c r="M111" s="704"/>
      <c r="N111" s="704"/>
    </row>
    <row r="112" spans="1:14" x14ac:dyDescent="0.25">
      <c r="A112" s="704"/>
      <c r="B112" s="704"/>
      <c r="C112" s="704"/>
      <c r="D112" s="704"/>
      <c r="E112" s="704"/>
      <c r="F112" s="704"/>
      <c r="G112" s="704"/>
      <c r="H112" s="704"/>
      <c r="I112" s="704"/>
      <c r="J112" s="704"/>
      <c r="K112" s="704"/>
      <c r="L112" s="704"/>
      <c r="M112" s="704"/>
      <c r="N112" s="704"/>
    </row>
    <row r="113" spans="1:14" x14ac:dyDescent="0.25">
      <c r="A113" s="704"/>
      <c r="B113" s="704"/>
      <c r="C113" s="704"/>
      <c r="D113" s="704"/>
      <c r="E113" s="704"/>
      <c r="F113" s="704"/>
      <c r="G113" s="704"/>
      <c r="H113" s="704"/>
      <c r="I113" s="704"/>
      <c r="J113" s="704"/>
      <c r="K113" s="704"/>
      <c r="L113" s="704"/>
      <c r="M113" s="704"/>
      <c r="N113" s="704"/>
    </row>
    <row r="114" spans="1:14" x14ac:dyDescent="0.25">
      <c r="A114" s="704"/>
      <c r="B114" s="704"/>
      <c r="C114" s="704"/>
      <c r="D114" s="704"/>
      <c r="E114" s="704"/>
      <c r="F114" s="704"/>
      <c r="G114" s="704"/>
      <c r="H114" s="704"/>
      <c r="I114" s="704"/>
      <c r="J114" s="704"/>
      <c r="K114" s="704"/>
      <c r="L114" s="704"/>
      <c r="M114" s="704"/>
      <c r="N114" s="704"/>
    </row>
    <row r="115" spans="1:14" x14ac:dyDescent="0.25">
      <c r="A115" s="704"/>
      <c r="B115" s="704"/>
      <c r="C115" s="704"/>
      <c r="D115" s="704"/>
      <c r="E115" s="704"/>
      <c r="F115" s="704"/>
      <c r="G115" s="704"/>
      <c r="H115" s="704"/>
      <c r="I115" s="704"/>
      <c r="J115" s="704"/>
      <c r="K115" s="704"/>
      <c r="L115" s="704"/>
      <c r="M115" s="704"/>
      <c r="N115" s="704"/>
    </row>
    <row r="116" spans="1:14" x14ac:dyDescent="0.25">
      <c r="A116" s="704"/>
      <c r="B116" s="704"/>
      <c r="C116" s="704"/>
      <c r="D116" s="704"/>
      <c r="E116" s="704"/>
      <c r="F116" s="704"/>
      <c r="G116" s="704"/>
      <c r="H116" s="704"/>
      <c r="I116" s="704"/>
      <c r="J116" s="704"/>
      <c r="K116" s="704"/>
      <c r="L116" s="704"/>
      <c r="M116" s="704"/>
      <c r="N116" s="704"/>
    </row>
    <row r="117" spans="1:14" x14ac:dyDescent="0.25">
      <c r="A117" s="704"/>
      <c r="B117" s="704"/>
      <c r="C117" s="704"/>
      <c r="D117" s="704"/>
      <c r="E117" s="704"/>
      <c r="F117" s="704"/>
      <c r="G117" s="704"/>
      <c r="H117" s="704"/>
      <c r="I117" s="704"/>
      <c r="J117" s="704"/>
      <c r="K117" s="704"/>
      <c r="L117" s="704"/>
      <c r="M117" s="704"/>
      <c r="N117" s="704"/>
    </row>
    <row r="118" spans="1:14" x14ac:dyDescent="0.25">
      <c r="A118" s="704"/>
      <c r="B118" s="704"/>
      <c r="C118" s="704"/>
      <c r="D118" s="704"/>
      <c r="E118" s="704"/>
      <c r="F118" s="704"/>
      <c r="G118" s="704"/>
      <c r="H118" s="704"/>
      <c r="I118" s="704"/>
      <c r="J118" s="704"/>
      <c r="K118" s="704"/>
      <c r="L118" s="704"/>
      <c r="M118" s="704"/>
      <c r="N118" s="704"/>
    </row>
    <row r="119" spans="1:14" x14ac:dyDescent="0.25">
      <c r="A119" s="704"/>
      <c r="B119" s="704"/>
      <c r="C119" s="704"/>
      <c r="D119" s="704"/>
      <c r="E119" s="704"/>
      <c r="F119" s="704"/>
      <c r="G119" s="704"/>
      <c r="H119" s="704"/>
      <c r="I119" s="704"/>
      <c r="J119" s="704"/>
      <c r="K119" s="704"/>
      <c r="L119" s="704"/>
      <c r="M119" s="704"/>
      <c r="N119" s="704"/>
    </row>
    <row r="120" spans="1:14" x14ac:dyDescent="0.25">
      <c r="A120" s="704"/>
      <c r="B120" s="704"/>
      <c r="C120" s="704"/>
      <c r="D120" s="704"/>
      <c r="E120" s="704"/>
      <c r="F120" s="704"/>
      <c r="G120" s="704"/>
      <c r="H120" s="704"/>
      <c r="I120" s="704"/>
      <c r="J120" s="704"/>
      <c r="K120" s="704"/>
      <c r="L120" s="704"/>
      <c r="M120" s="704"/>
      <c r="N120" s="704"/>
    </row>
    <row r="121" spans="1:14" x14ac:dyDescent="0.25">
      <c r="A121" s="704"/>
      <c r="B121" s="704"/>
      <c r="C121" s="704"/>
      <c r="D121" s="704"/>
      <c r="E121" s="704"/>
      <c r="F121" s="704"/>
      <c r="G121" s="704"/>
      <c r="H121" s="704"/>
      <c r="I121" s="704"/>
      <c r="J121" s="704"/>
      <c r="K121" s="704"/>
      <c r="L121" s="704"/>
      <c r="M121" s="704"/>
      <c r="N121" s="704"/>
    </row>
    <row r="122" spans="1:14" x14ac:dyDescent="0.25">
      <c r="A122" s="704"/>
      <c r="B122" s="704"/>
      <c r="C122" s="704"/>
      <c r="D122" s="704"/>
      <c r="E122" s="704"/>
      <c r="F122" s="704"/>
      <c r="G122" s="704"/>
      <c r="H122" s="704"/>
      <c r="I122" s="704"/>
      <c r="J122" s="704"/>
      <c r="K122" s="704"/>
      <c r="L122" s="704"/>
      <c r="M122" s="704"/>
      <c r="N122" s="704"/>
    </row>
    <row r="123" spans="1:14" x14ac:dyDescent="0.25">
      <c r="A123" s="704"/>
      <c r="B123" s="704"/>
      <c r="C123" s="704"/>
      <c r="D123" s="704"/>
      <c r="E123" s="704"/>
      <c r="F123" s="704"/>
      <c r="G123" s="704"/>
      <c r="H123" s="704"/>
      <c r="I123" s="704"/>
      <c r="J123" s="704"/>
      <c r="K123" s="704"/>
      <c r="L123" s="704"/>
      <c r="M123" s="704"/>
      <c r="N123" s="704"/>
    </row>
    <row r="124" spans="1:14" x14ac:dyDescent="0.25">
      <c r="A124" s="704"/>
      <c r="B124" s="704"/>
      <c r="C124" s="704"/>
      <c r="D124" s="704"/>
      <c r="E124" s="704"/>
      <c r="F124" s="704"/>
      <c r="G124" s="704"/>
      <c r="H124" s="704"/>
      <c r="I124" s="704"/>
      <c r="J124" s="704"/>
      <c r="K124" s="704"/>
      <c r="L124" s="704"/>
      <c r="M124" s="704"/>
      <c r="N124" s="704"/>
    </row>
    <row r="125" spans="1:14" x14ac:dyDescent="0.25">
      <c r="A125" s="704"/>
      <c r="B125" s="704"/>
      <c r="C125" s="704"/>
      <c r="D125" s="704"/>
      <c r="E125" s="704"/>
      <c r="F125" s="704"/>
      <c r="G125" s="704"/>
      <c r="H125" s="704"/>
      <c r="I125" s="704"/>
      <c r="J125" s="704"/>
      <c r="K125" s="704"/>
      <c r="L125" s="704"/>
      <c r="M125" s="704"/>
      <c r="N125" s="704"/>
    </row>
    <row r="126" spans="1:14" x14ac:dyDescent="0.25">
      <c r="A126" s="704"/>
      <c r="B126" s="704"/>
      <c r="C126" s="704"/>
      <c r="D126" s="704"/>
      <c r="E126" s="704"/>
      <c r="F126" s="704"/>
      <c r="G126" s="704"/>
      <c r="H126" s="704"/>
      <c r="I126" s="704"/>
      <c r="J126" s="704"/>
      <c r="K126" s="704"/>
      <c r="L126" s="704"/>
      <c r="M126" s="704"/>
      <c r="N126" s="704"/>
    </row>
    <row r="127" spans="1:14" x14ac:dyDescent="0.25">
      <c r="A127" s="704"/>
      <c r="B127" s="704"/>
      <c r="C127" s="704"/>
      <c r="D127" s="704"/>
      <c r="E127" s="704"/>
      <c r="F127" s="704"/>
      <c r="G127" s="704"/>
      <c r="H127" s="704"/>
      <c r="I127" s="704"/>
      <c r="J127" s="704"/>
      <c r="K127" s="704"/>
      <c r="L127" s="704"/>
      <c r="M127" s="704"/>
      <c r="N127" s="704"/>
    </row>
    <row r="128" spans="1:14" x14ac:dyDescent="0.25">
      <c r="A128" s="704"/>
      <c r="B128" s="704"/>
      <c r="C128" s="704"/>
      <c r="D128" s="704"/>
      <c r="E128" s="704"/>
      <c r="F128" s="704"/>
      <c r="G128" s="704"/>
      <c r="H128" s="704"/>
      <c r="I128" s="704"/>
      <c r="J128" s="704"/>
      <c r="K128" s="704"/>
      <c r="L128" s="704"/>
      <c r="M128" s="704"/>
      <c r="N128" s="704"/>
    </row>
    <row r="129" spans="1:14" x14ac:dyDescent="0.25">
      <c r="A129" s="704"/>
      <c r="B129" s="704"/>
      <c r="C129" s="704"/>
      <c r="D129" s="704"/>
      <c r="E129" s="704"/>
      <c r="F129" s="704"/>
      <c r="G129" s="704"/>
      <c r="H129" s="704"/>
      <c r="I129" s="704"/>
      <c r="J129" s="704"/>
      <c r="K129" s="704"/>
      <c r="L129" s="704"/>
      <c r="M129" s="704"/>
      <c r="N129" s="704"/>
    </row>
    <row r="130" spans="1:14" x14ac:dyDescent="0.25">
      <c r="A130" s="704"/>
      <c r="B130" s="704"/>
      <c r="C130" s="704"/>
      <c r="D130" s="704"/>
      <c r="E130" s="704"/>
      <c r="F130" s="704"/>
      <c r="G130" s="704"/>
      <c r="H130" s="704"/>
      <c r="I130" s="704"/>
      <c r="J130" s="704"/>
      <c r="K130" s="704"/>
      <c r="L130" s="704"/>
      <c r="M130" s="704"/>
      <c r="N130" s="704"/>
    </row>
    <row r="131" spans="1:14" x14ac:dyDescent="0.25">
      <c r="A131" s="704"/>
      <c r="B131" s="704"/>
      <c r="C131" s="704"/>
      <c r="D131" s="704"/>
      <c r="E131" s="704"/>
      <c r="F131" s="704"/>
      <c r="G131" s="704"/>
      <c r="H131" s="704"/>
      <c r="I131" s="704"/>
      <c r="J131" s="704"/>
      <c r="K131" s="704"/>
      <c r="L131" s="704"/>
      <c r="M131" s="704"/>
      <c r="N131" s="704"/>
    </row>
    <row r="132" spans="1:14" x14ac:dyDescent="0.25">
      <c r="A132" s="704"/>
      <c r="B132" s="704"/>
      <c r="C132" s="704"/>
      <c r="D132" s="704"/>
      <c r="E132" s="704"/>
      <c r="F132" s="704"/>
      <c r="G132" s="704"/>
      <c r="H132" s="704"/>
      <c r="I132" s="704"/>
      <c r="J132" s="704"/>
      <c r="K132" s="704"/>
      <c r="L132" s="704"/>
      <c r="M132" s="704"/>
      <c r="N132" s="704"/>
    </row>
    <row r="133" spans="1:14" x14ac:dyDescent="0.25">
      <c r="A133" s="704"/>
      <c r="B133" s="704"/>
      <c r="C133" s="704"/>
      <c r="D133" s="704"/>
      <c r="E133" s="704"/>
      <c r="F133" s="704"/>
      <c r="G133" s="704"/>
      <c r="H133" s="704"/>
      <c r="I133" s="704"/>
      <c r="J133" s="704"/>
      <c r="K133" s="704"/>
      <c r="L133" s="704"/>
      <c r="M133" s="704"/>
      <c r="N133" s="704"/>
    </row>
    <row r="134" spans="1:14" x14ac:dyDescent="0.25">
      <c r="A134" s="704"/>
      <c r="B134" s="704"/>
      <c r="C134" s="704"/>
      <c r="D134" s="704"/>
      <c r="E134" s="704"/>
      <c r="F134" s="704"/>
      <c r="G134" s="704"/>
      <c r="H134" s="704"/>
      <c r="I134" s="704"/>
      <c r="J134" s="704"/>
      <c r="K134" s="704"/>
      <c r="L134" s="704"/>
      <c r="M134" s="704"/>
      <c r="N134" s="704"/>
    </row>
    <row r="135" spans="1:14" x14ac:dyDescent="0.25">
      <c r="A135" s="704"/>
      <c r="B135" s="704"/>
      <c r="C135" s="704"/>
      <c r="D135" s="704"/>
      <c r="E135" s="704"/>
      <c r="F135" s="704"/>
      <c r="G135" s="704"/>
      <c r="H135" s="704"/>
      <c r="I135" s="704"/>
      <c r="J135" s="704"/>
      <c r="K135" s="704"/>
      <c r="L135" s="704"/>
      <c r="M135" s="704"/>
      <c r="N135" s="704"/>
    </row>
    <row r="136" spans="1:14" x14ac:dyDescent="0.25">
      <c r="A136" s="704"/>
      <c r="B136" s="704"/>
      <c r="C136" s="704"/>
      <c r="D136" s="704"/>
      <c r="E136" s="704"/>
      <c r="F136" s="704"/>
      <c r="G136" s="704"/>
      <c r="H136" s="704"/>
      <c r="I136" s="704"/>
      <c r="J136" s="704"/>
      <c r="K136" s="704"/>
      <c r="L136" s="704"/>
      <c r="M136" s="704"/>
      <c r="N136" s="704"/>
    </row>
    <row r="137" spans="1:14" x14ac:dyDescent="0.25">
      <c r="A137" s="704"/>
      <c r="B137" s="704"/>
      <c r="C137" s="704"/>
      <c r="D137" s="704"/>
      <c r="E137" s="704"/>
      <c r="F137" s="704"/>
      <c r="G137" s="704"/>
      <c r="H137" s="704"/>
      <c r="I137" s="704"/>
      <c r="J137" s="704"/>
      <c r="K137" s="704"/>
      <c r="L137" s="704"/>
      <c r="M137" s="704"/>
      <c r="N137" s="704"/>
    </row>
    <row r="138" spans="1:14" x14ac:dyDescent="0.25">
      <c r="A138" s="704"/>
      <c r="B138" s="704"/>
      <c r="C138" s="704"/>
      <c r="D138" s="704"/>
      <c r="E138" s="704"/>
      <c r="F138" s="704"/>
      <c r="G138" s="704"/>
      <c r="H138" s="704"/>
      <c r="I138" s="704"/>
      <c r="J138" s="704"/>
      <c r="K138" s="704"/>
      <c r="L138" s="704"/>
      <c r="M138" s="704"/>
      <c r="N138" s="704"/>
    </row>
    <row r="139" spans="1:14" x14ac:dyDescent="0.25">
      <c r="A139" s="704"/>
      <c r="B139" s="704"/>
      <c r="C139" s="704"/>
      <c r="D139" s="704"/>
      <c r="E139" s="704"/>
      <c r="F139" s="704"/>
      <c r="G139" s="704"/>
      <c r="H139" s="704"/>
      <c r="I139" s="704"/>
      <c r="J139" s="704"/>
      <c r="K139" s="704"/>
      <c r="L139" s="704"/>
      <c r="M139" s="704"/>
      <c r="N139" s="704"/>
    </row>
    <row r="140" spans="1:14" x14ac:dyDescent="0.25">
      <c r="A140" s="704"/>
      <c r="B140" s="704"/>
      <c r="C140" s="704"/>
      <c r="D140" s="704"/>
      <c r="E140" s="704"/>
      <c r="F140" s="704"/>
      <c r="G140" s="704"/>
      <c r="H140" s="704"/>
      <c r="I140" s="704"/>
      <c r="J140" s="704"/>
      <c r="K140" s="704"/>
      <c r="L140" s="704"/>
      <c r="M140" s="704"/>
      <c r="N140" s="704"/>
    </row>
    <row r="141" spans="1:14" x14ac:dyDescent="0.25">
      <c r="A141" s="704"/>
      <c r="B141" s="704"/>
      <c r="C141" s="704"/>
      <c r="D141" s="704"/>
      <c r="E141" s="704"/>
      <c r="F141" s="704"/>
      <c r="G141" s="704"/>
      <c r="H141" s="704"/>
      <c r="I141" s="704"/>
      <c r="J141" s="704"/>
      <c r="K141" s="704"/>
      <c r="L141" s="704"/>
      <c r="M141" s="704"/>
      <c r="N141" s="704"/>
    </row>
    <row r="142" spans="1:14" x14ac:dyDescent="0.25">
      <c r="A142" s="704"/>
      <c r="B142" s="704"/>
      <c r="C142" s="704"/>
      <c r="D142" s="704"/>
      <c r="E142" s="704"/>
      <c r="F142" s="704"/>
      <c r="G142" s="704"/>
      <c r="H142" s="704"/>
      <c r="I142" s="704"/>
      <c r="J142" s="704"/>
      <c r="K142" s="704"/>
      <c r="L142" s="704"/>
      <c r="M142" s="704"/>
      <c r="N142" s="704"/>
    </row>
    <row r="143" spans="1:14" x14ac:dyDescent="0.25">
      <c r="A143" s="704"/>
      <c r="B143" s="704"/>
      <c r="C143" s="704"/>
      <c r="D143" s="704"/>
      <c r="E143" s="704"/>
      <c r="F143" s="704"/>
      <c r="G143" s="704"/>
      <c r="H143" s="704"/>
      <c r="I143" s="704"/>
      <c r="J143" s="704"/>
      <c r="K143" s="704"/>
      <c r="L143" s="704"/>
      <c r="M143" s="704"/>
      <c r="N143" s="704"/>
    </row>
    <row r="144" spans="1:14" x14ac:dyDescent="0.25">
      <c r="A144" s="704"/>
      <c r="B144" s="704"/>
      <c r="C144" s="704"/>
      <c r="D144" s="704"/>
      <c r="E144" s="704"/>
      <c r="F144" s="704"/>
      <c r="G144" s="704"/>
      <c r="H144" s="704"/>
      <c r="I144" s="704"/>
      <c r="J144" s="704"/>
      <c r="K144" s="704"/>
      <c r="L144" s="704"/>
      <c r="M144" s="704"/>
      <c r="N144" s="704"/>
    </row>
    <row r="145" spans="1:14" x14ac:dyDescent="0.25">
      <c r="A145" s="704"/>
      <c r="B145" s="704"/>
      <c r="C145" s="704"/>
      <c r="D145" s="704"/>
      <c r="E145" s="704"/>
      <c r="F145" s="704"/>
      <c r="G145" s="704"/>
      <c r="H145" s="704"/>
      <c r="I145" s="704"/>
      <c r="J145" s="704"/>
      <c r="K145" s="704"/>
      <c r="L145" s="704"/>
      <c r="M145" s="704"/>
      <c r="N145" s="704"/>
    </row>
    <row r="146" spans="1:14" x14ac:dyDescent="0.25">
      <c r="A146" s="704"/>
      <c r="B146" s="704"/>
      <c r="C146" s="704"/>
      <c r="D146" s="704"/>
      <c r="E146" s="704"/>
      <c r="F146" s="704"/>
      <c r="G146" s="704"/>
      <c r="H146" s="704"/>
      <c r="I146" s="704"/>
      <c r="J146" s="704"/>
      <c r="K146" s="704"/>
      <c r="L146" s="704"/>
      <c r="M146" s="704"/>
      <c r="N146" s="704"/>
    </row>
    <row r="147" spans="1:14" x14ac:dyDescent="0.25">
      <c r="A147" s="704"/>
      <c r="B147" s="704"/>
      <c r="C147" s="704"/>
      <c r="D147" s="704"/>
      <c r="E147" s="704"/>
      <c r="F147" s="704"/>
      <c r="G147" s="704"/>
      <c r="H147" s="704"/>
      <c r="I147" s="704"/>
      <c r="J147" s="704"/>
      <c r="K147" s="704"/>
      <c r="L147" s="704"/>
      <c r="M147" s="704"/>
      <c r="N147" s="704"/>
    </row>
    <row r="148" spans="1:14" x14ac:dyDescent="0.25">
      <c r="A148" s="704"/>
      <c r="B148" s="704"/>
      <c r="C148" s="704"/>
      <c r="D148" s="704"/>
      <c r="E148" s="704"/>
      <c r="F148" s="704"/>
      <c r="G148" s="704"/>
      <c r="H148" s="704"/>
      <c r="I148" s="704"/>
      <c r="J148" s="704"/>
      <c r="K148" s="704"/>
      <c r="L148" s="704"/>
      <c r="M148" s="704"/>
      <c r="N148" s="704"/>
    </row>
    <row r="149" spans="1:14" x14ac:dyDescent="0.25">
      <c r="A149" s="704"/>
      <c r="B149" s="704"/>
      <c r="C149" s="704"/>
      <c r="D149" s="704"/>
      <c r="E149" s="704"/>
      <c r="F149" s="704"/>
      <c r="G149" s="704"/>
      <c r="H149" s="704"/>
      <c r="I149" s="704"/>
      <c r="J149" s="704"/>
      <c r="K149" s="704"/>
      <c r="L149" s="704"/>
      <c r="M149" s="704"/>
      <c r="N149" s="704"/>
    </row>
    <row r="150" spans="1:14" x14ac:dyDescent="0.25">
      <c r="A150" s="704"/>
      <c r="B150" s="704"/>
      <c r="C150" s="704"/>
      <c r="D150" s="704"/>
      <c r="E150" s="704"/>
      <c r="F150" s="704"/>
      <c r="G150" s="704"/>
      <c r="H150" s="704"/>
      <c r="I150" s="704"/>
      <c r="J150" s="704"/>
      <c r="K150" s="704"/>
      <c r="L150" s="704"/>
      <c r="M150" s="704"/>
      <c r="N150" s="704"/>
    </row>
    <row r="151" spans="1:14" x14ac:dyDescent="0.25">
      <c r="A151" s="704"/>
      <c r="B151" s="704"/>
      <c r="C151" s="704"/>
      <c r="D151" s="704"/>
      <c r="E151" s="704"/>
      <c r="F151" s="704"/>
      <c r="G151" s="704"/>
      <c r="H151" s="704"/>
      <c r="I151" s="704"/>
      <c r="J151" s="704"/>
      <c r="K151" s="704"/>
      <c r="L151" s="704"/>
      <c r="M151" s="704"/>
      <c r="N151" s="704"/>
    </row>
  </sheetData>
  <mergeCells count="3">
    <mergeCell ref="B2:N2"/>
    <mergeCell ref="B8:N8"/>
    <mergeCell ref="B32:N32"/>
  </mergeCells>
  <conditionalFormatting sqref="N16">
    <cfRule type="expression" dxfId="104" priority="14">
      <formula>$E11="EXCLUDE"</formula>
    </cfRule>
  </conditionalFormatting>
  <conditionalFormatting sqref="N24:N26">
    <cfRule type="expression" dxfId="103" priority="15">
      <formula>$E25="EXCLUDE"</formula>
    </cfRule>
  </conditionalFormatting>
  <conditionalFormatting sqref="N11 N14:N15 N23">
    <cfRule type="expression" dxfId="102" priority="16">
      <formula>$E12="EXCLUDE"</formula>
    </cfRule>
  </conditionalFormatting>
  <conditionalFormatting sqref="N12">
    <cfRule type="expression" dxfId="101" priority="17">
      <formula>$E14="EXCLUDE"</formula>
    </cfRule>
  </conditionalFormatting>
  <conditionalFormatting sqref="N13 N21">
    <cfRule type="expression" dxfId="100" priority="18">
      <formula>$E20="EXCLUDE"</formula>
    </cfRule>
  </conditionalFormatting>
  <conditionalFormatting sqref="N27:N28 N18">
    <cfRule type="expression" dxfId="99" priority="19">
      <formula>$E21="EXCLUDE"</formula>
    </cfRule>
  </conditionalFormatting>
  <conditionalFormatting sqref="N30">
    <cfRule type="expression" dxfId="98" priority="20">
      <formula>$E23="EXCLUDE"</formula>
    </cfRule>
  </conditionalFormatting>
  <conditionalFormatting sqref="N17 N29 N19 N22">
    <cfRule type="expression" dxfId="97" priority="21">
      <formula>$E17="EXCLUDE"</formula>
    </cfRule>
  </conditionalFormatting>
  <conditionalFormatting sqref="N20">
    <cfRule type="expression" dxfId="96" priority="22">
      <formula>$E18="EXCLUDE"</formula>
    </cfRule>
  </conditionalFormatting>
  <conditionalFormatting sqref="N50">
    <cfRule type="expression" dxfId="95" priority="5">
      <formula>$E45="EXCLUDE"</formula>
    </cfRule>
  </conditionalFormatting>
  <conditionalFormatting sqref="N58:N60">
    <cfRule type="expression" dxfId="94" priority="6">
      <formula>$E59="EXCLUDE"</formula>
    </cfRule>
  </conditionalFormatting>
  <conditionalFormatting sqref="N48:N49 N57">
    <cfRule type="expression" dxfId="93" priority="7">
      <formula>$E49="EXCLUDE"</formula>
    </cfRule>
  </conditionalFormatting>
  <conditionalFormatting sqref="N46">
    <cfRule type="expression" dxfId="92" priority="8">
      <formula>$E48="EXCLUDE"</formula>
    </cfRule>
  </conditionalFormatting>
  <conditionalFormatting sqref="N47 N55">
    <cfRule type="expression" dxfId="91" priority="9">
      <formula>$E54="EXCLUDE"</formula>
    </cfRule>
  </conditionalFormatting>
  <conditionalFormatting sqref="N61:N62 N52">
    <cfRule type="expression" dxfId="90" priority="10">
      <formula>$E55="EXCLUDE"</formula>
    </cfRule>
  </conditionalFormatting>
  <conditionalFormatting sqref="N64">
    <cfRule type="expression" dxfId="89" priority="11">
      <formula>$E57="EXCLUDE"</formula>
    </cfRule>
  </conditionalFormatting>
  <conditionalFormatting sqref="N51 N63 N53 N56">
    <cfRule type="expression" dxfId="88" priority="12">
      <formula>$E51="EXCLUDE"</formula>
    </cfRule>
  </conditionalFormatting>
  <conditionalFormatting sqref="N54">
    <cfRule type="expression" dxfId="87" priority="13">
      <formula>$E52="EXCLUDE"</formula>
    </cfRule>
  </conditionalFormatting>
  <conditionalFormatting sqref="N36:N45">
    <cfRule type="expression" dxfId="86"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X14" workbookViewId="0">
      <selection activeCell="AA18" sqref="AA18"/>
    </sheetView>
  </sheetViews>
  <sheetFormatPr defaultColWidth="8.85546875" defaultRowHeight="12.75" x14ac:dyDescent="0.2"/>
  <cols>
    <col min="1" max="1" width="18.140625" style="143" bestFit="1" customWidth="1"/>
    <col min="2" max="2" width="35.85546875" style="143" bestFit="1" customWidth="1"/>
    <col min="3" max="3" width="25.7109375" style="143" bestFit="1" customWidth="1"/>
    <col min="4" max="4" width="9.28515625" style="143" bestFit="1" customWidth="1"/>
    <col min="5" max="5" width="9.5703125" style="143" bestFit="1" customWidth="1"/>
    <col min="6" max="6" width="15.28515625" style="143" bestFit="1" customWidth="1"/>
    <col min="7" max="8" width="8.85546875" style="143"/>
    <col min="9" max="9" width="17.28515625" style="143" bestFit="1" customWidth="1"/>
    <col min="10" max="10" width="13.7109375" style="143" bestFit="1" customWidth="1"/>
    <col min="11" max="11" width="12.5703125" style="143" bestFit="1" customWidth="1"/>
    <col min="12" max="12" width="17.7109375" style="143" bestFit="1" customWidth="1"/>
    <col min="13" max="13" width="17.7109375" style="143" customWidth="1"/>
    <col min="14" max="16" width="14.7109375" style="143" bestFit="1" customWidth="1"/>
    <col min="17" max="17" width="12.42578125" style="143" bestFit="1" customWidth="1"/>
    <col min="18" max="18" width="10" style="143" bestFit="1" customWidth="1"/>
    <col min="19" max="19" width="14" style="143" customWidth="1"/>
    <col min="20" max="22" width="10.85546875" style="143" bestFit="1" customWidth="1"/>
    <col min="23" max="23" width="13.85546875" style="143" customWidth="1"/>
    <col min="24" max="24" width="13.140625" style="143" customWidth="1"/>
    <col min="25" max="25" width="15.7109375" style="143" customWidth="1"/>
    <col min="26" max="27" width="10.85546875" style="143" customWidth="1"/>
    <col min="28" max="28" width="12" style="143" bestFit="1" customWidth="1"/>
    <col min="29" max="29" width="11.42578125" style="143" customWidth="1"/>
    <col min="30" max="32" width="10.140625" style="143" customWidth="1"/>
    <col min="33" max="33" width="9.5703125" style="143" bestFit="1" customWidth="1"/>
    <col min="34" max="34" width="49.7109375" style="143" bestFit="1" customWidth="1"/>
    <col min="35" max="35" width="27.85546875" style="143" bestFit="1" customWidth="1"/>
    <col min="36" max="36" width="46.5703125" style="143" bestFit="1" customWidth="1"/>
    <col min="37" max="37" width="25" style="143" bestFit="1" customWidth="1"/>
    <col min="38" max="16384" width="8.85546875" style="143"/>
  </cols>
  <sheetData>
    <row r="1" spans="1:37" x14ac:dyDescent="0.2">
      <c r="AH1" s="143" t="s">
        <v>14</v>
      </c>
      <c r="AI1" s="143" t="s">
        <v>1</v>
      </c>
      <c r="AJ1" s="143" t="s">
        <v>14</v>
      </c>
      <c r="AK1" s="782" t="s">
        <v>113</v>
      </c>
    </row>
    <row r="2" spans="1:37" x14ac:dyDescent="0.2">
      <c r="I2" s="620"/>
      <c r="J2" s="1348"/>
      <c r="K2" s="1348"/>
      <c r="O2" s="620"/>
      <c r="P2" s="620"/>
      <c r="Q2" s="620"/>
      <c r="R2" s="620"/>
      <c r="S2" s="620"/>
      <c r="T2" s="620"/>
      <c r="U2" s="620"/>
      <c r="V2" s="620"/>
      <c r="W2" s="620"/>
      <c r="X2" s="620"/>
      <c r="Y2" s="620"/>
      <c r="Z2" s="620"/>
      <c r="AA2" s="620"/>
      <c r="AH2" s="143" t="s">
        <v>62</v>
      </c>
      <c r="AI2" s="143" t="s">
        <v>1</v>
      </c>
      <c r="AJ2" s="143" t="s">
        <v>62</v>
      </c>
      <c r="AK2" s="782" t="s">
        <v>113</v>
      </c>
    </row>
    <row r="3" spans="1:37" x14ac:dyDescent="0.2">
      <c r="I3" s="621" t="s">
        <v>944</v>
      </c>
      <c r="J3" s="1299" t="e">
        <f>VLOOKUP($J$4,'Market Geography'!$D:$G,4,FALSE)</f>
        <v>#N/A</v>
      </c>
      <c r="K3" s="1299"/>
      <c r="O3" s="620"/>
      <c r="P3" s="620"/>
      <c r="Q3" s="620"/>
      <c r="R3" s="620"/>
      <c r="S3" s="620"/>
      <c r="T3" s="620"/>
      <c r="U3" s="620"/>
      <c r="V3" s="620"/>
      <c r="W3" s="620"/>
      <c r="X3" s="620"/>
      <c r="Y3" s="620"/>
      <c r="Z3" s="620"/>
      <c r="AA3" s="620"/>
      <c r="AH3" s="143" t="s">
        <v>74</v>
      </c>
      <c r="AI3" s="143" t="s">
        <v>1</v>
      </c>
      <c r="AJ3" s="143" t="s">
        <v>74</v>
      </c>
      <c r="AK3" s="782" t="s">
        <v>113</v>
      </c>
    </row>
    <row r="4" spans="1:37" x14ac:dyDescent="0.2">
      <c r="I4" s="621" t="s">
        <v>945</v>
      </c>
      <c r="J4" s="1299">
        <f>Welcome!$D$4</f>
        <v>0</v>
      </c>
      <c r="K4" s="1299"/>
      <c r="L4" s="622"/>
      <c r="M4" s="622"/>
      <c r="O4" s="620"/>
      <c r="P4" s="620"/>
      <c r="Q4" s="620"/>
      <c r="R4" s="620"/>
      <c r="S4" s="620"/>
      <c r="T4" s="620"/>
      <c r="U4" s="620"/>
      <c r="V4" s="620"/>
      <c r="W4" s="620"/>
      <c r="X4" s="620"/>
      <c r="Y4" s="620"/>
      <c r="Z4" s="620"/>
      <c r="AA4" s="620"/>
      <c r="AC4" s="27"/>
      <c r="AH4" s="143" t="s">
        <v>34</v>
      </c>
      <c r="AI4" s="143" t="s">
        <v>1</v>
      </c>
      <c r="AJ4" s="143" t="s">
        <v>34</v>
      </c>
      <c r="AK4" s="782" t="s">
        <v>113</v>
      </c>
    </row>
    <row r="5" spans="1:37" x14ac:dyDescent="0.2">
      <c r="I5" s="621" t="s">
        <v>946</v>
      </c>
      <c r="J5" s="1349" t="e">
        <f>VLOOKUP($J$4,'Market Geography'!$D:$F,3,FALSE)</f>
        <v>#N/A</v>
      </c>
      <c r="K5" s="1349"/>
      <c r="O5" s="620"/>
      <c r="P5" s="620"/>
      <c r="Q5" s="620"/>
      <c r="R5" s="620"/>
      <c r="S5" s="620"/>
      <c r="T5" s="620"/>
      <c r="U5" s="620"/>
      <c r="V5" s="620"/>
      <c r="W5" s="620"/>
      <c r="X5" s="620"/>
      <c r="Y5" s="620"/>
      <c r="Z5" s="620"/>
      <c r="AA5" s="620"/>
      <c r="AH5" s="143" t="s">
        <v>0</v>
      </c>
      <c r="AI5" s="143" t="s">
        <v>1</v>
      </c>
      <c r="AJ5" s="143" t="s">
        <v>0</v>
      </c>
      <c r="AK5" s="782" t="s">
        <v>113</v>
      </c>
    </row>
    <row r="6" spans="1:37" x14ac:dyDescent="0.2">
      <c r="I6" s="623" t="s">
        <v>947</v>
      </c>
      <c r="J6" s="1299" t="s">
        <v>134</v>
      </c>
      <c r="K6" s="1299" t="s">
        <v>207</v>
      </c>
      <c r="O6" s="620"/>
      <c r="P6" s="620"/>
      <c r="Q6" s="620"/>
      <c r="R6" s="620"/>
      <c r="S6" s="620"/>
      <c r="T6" s="620"/>
      <c r="U6" s="620"/>
      <c r="V6" s="620"/>
      <c r="W6" s="620"/>
      <c r="X6" s="620"/>
      <c r="Y6" s="620"/>
      <c r="Z6" s="620"/>
      <c r="AA6" s="620"/>
      <c r="AH6" s="143" t="s">
        <v>69</v>
      </c>
      <c r="AI6" s="143" t="s">
        <v>1</v>
      </c>
      <c r="AJ6" s="143" t="s">
        <v>69</v>
      </c>
      <c r="AK6" s="782" t="s">
        <v>113</v>
      </c>
    </row>
    <row r="7" spans="1:37" x14ac:dyDescent="0.2">
      <c r="I7" s="623" t="s">
        <v>948</v>
      </c>
      <c r="J7" s="1299" t="str">
        <f>IF(Welcome!$D$8="MDA","C","N")</f>
        <v>N</v>
      </c>
      <c r="K7" s="1299" t="e">
        <f>IF(#REF!="MDA","C","N")</f>
        <v>#REF!</v>
      </c>
      <c r="O7" s="620"/>
      <c r="P7" s="620"/>
      <c r="Q7" s="620"/>
      <c r="R7" s="620"/>
      <c r="S7" s="620"/>
      <c r="T7" s="620"/>
      <c r="U7" s="620"/>
      <c r="V7" s="620"/>
      <c r="W7" s="620"/>
      <c r="X7" s="620"/>
      <c r="Y7" s="620"/>
      <c r="Z7" s="620"/>
      <c r="AA7" s="620"/>
      <c r="AB7" s="27"/>
      <c r="AC7" s="27"/>
      <c r="AH7" s="143" t="s">
        <v>4</v>
      </c>
      <c r="AI7" s="143" t="s">
        <v>1</v>
      </c>
      <c r="AJ7" s="143" t="s">
        <v>4</v>
      </c>
      <c r="AK7" s="782" t="s">
        <v>113</v>
      </c>
    </row>
    <row r="8" spans="1:37" x14ac:dyDescent="0.2">
      <c r="AH8" s="143" t="s">
        <v>35</v>
      </c>
      <c r="AI8" s="143" t="s">
        <v>1</v>
      </c>
      <c r="AJ8" s="143" t="s">
        <v>35</v>
      </c>
      <c r="AK8" s="782" t="s">
        <v>113</v>
      </c>
    </row>
    <row r="9" spans="1:37" x14ac:dyDescent="0.2">
      <c r="I9" s="624"/>
      <c r="AH9" s="143" t="s">
        <v>6</v>
      </c>
      <c r="AI9" s="143" t="s">
        <v>1</v>
      </c>
      <c r="AJ9" s="143" t="s">
        <v>6</v>
      </c>
      <c r="AK9" s="782" t="s">
        <v>113</v>
      </c>
    </row>
    <row r="10" spans="1:37" x14ac:dyDescent="0.2">
      <c r="I10" s="624"/>
      <c r="J10" s="624"/>
      <c r="N10" s="610"/>
      <c r="O10" s="610"/>
      <c r="P10" s="610"/>
      <c r="Q10" s="610"/>
      <c r="R10" s="610"/>
      <c r="S10" s="610"/>
      <c r="T10" s="610"/>
      <c r="U10" s="610"/>
      <c r="V10" s="610"/>
      <c r="W10" s="610"/>
      <c r="X10" s="610"/>
      <c r="Y10" s="610"/>
      <c r="Z10" s="610"/>
      <c r="AA10" s="610"/>
      <c r="AB10" s="610"/>
      <c r="AC10" s="625"/>
      <c r="AH10" s="143" t="s">
        <v>15</v>
      </c>
      <c r="AI10" s="143" t="s">
        <v>1</v>
      </c>
      <c r="AJ10" s="143" t="s">
        <v>15</v>
      </c>
      <c r="AK10" s="782" t="s">
        <v>113</v>
      </c>
    </row>
    <row r="11" spans="1:37" x14ac:dyDescent="0.2">
      <c r="I11" s="608"/>
      <c r="N11" s="610"/>
      <c r="O11" s="610"/>
      <c r="P11" s="610"/>
      <c r="Q11" s="610"/>
      <c r="R11" s="610"/>
      <c r="S11" s="610"/>
      <c r="T11" s="610"/>
      <c r="U11" s="610"/>
      <c r="V11" s="610"/>
      <c r="W11" s="610"/>
      <c r="X11" s="610"/>
      <c r="Y11" s="610"/>
      <c r="Z11" s="610"/>
      <c r="AA11" s="610"/>
      <c r="AB11" s="610"/>
      <c r="AC11" s="625"/>
      <c r="AH11" s="143" t="s">
        <v>45</v>
      </c>
      <c r="AI11" s="143" t="s">
        <v>1</v>
      </c>
      <c r="AJ11" s="143" t="s">
        <v>45</v>
      </c>
      <c r="AK11" s="782" t="s">
        <v>113</v>
      </c>
    </row>
    <row r="12" spans="1:37" x14ac:dyDescent="0.2">
      <c r="I12" s="608"/>
      <c r="N12" s="610"/>
      <c r="O12" s="610"/>
      <c r="P12" s="610"/>
      <c r="Q12" s="610"/>
      <c r="R12" s="610"/>
      <c r="S12" s="610"/>
      <c r="T12" s="610"/>
      <c r="U12" s="610"/>
      <c r="V12" s="610"/>
      <c r="W12" s="610"/>
      <c r="X12" s="610"/>
      <c r="Y12" s="610"/>
      <c r="Z12" s="610"/>
      <c r="AA12" s="610"/>
      <c r="AB12" s="610"/>
      <c r="AH12" s="143" t="s">
        <v>48</v>
      </c>
      <c r="AI12" s="143" t="s">
        <v>1</v>
      </c>
      <c r="AJ12" s="143" t="s">
        <v>48</v>
      </c>
      <c r="AK12" s="782" t="s">
        <v>113</v>
      </c>
    </row>
    <row r="13" spans="1:37" x14ac:dyDescent="0.2">
      <c r="J13" s="609"/>
      <c r="N13" s="610"/>
      <c r="AD13" s="1345" t="s">
        <v>1001</v>
      </c>
      <c r="AE13" s="1346"/>
      <c r="AF13" s="1347"/>
      <c r="AH13" s="143" t="s">
        <v>60</v>
      </c>
      <c r="AI13" s="143" t="s">
        <v>1</v>
      </c>
      <c r="AJ13" s="143" t="s">
        <v>60</v>
      </c>
      <c r="AK13" s="782" t="s">
        <v>113</v>
      </c>
    </row>
    <row r="14" spans="1:37" ht="38.25" x14ac:dyDescent="0.2">
      <c r="A14" s="143" t="s">
        <v>1066</v>
      </c>
      <c r="B14" s="615" t="s">
        <v>925</v>
      </c>
      <c r="C14" s="615" t="s">
        <v>943</v>
      </c>
      <c r="D14" s="616" t="s">
        <v>992</v>
      </c>
      <c r="E14" s="616" t="s">
        <v>1000</v>
      </c>
      <c r="F14" s="618" t="s">
        <v>1007</v>
      </c>
      <c r="G14" s="617" t="s">
        <v>1002</v>
      </c>
      <c r="H14" s="617" t="s">
        <v>1003</v>
      </c>
      <c r="I14" s="617" t="s">
        <v>205</v>
      </c>
      <c r="J14" s="617" t="s">
        <v>402</v>
      </c>
      <c r="K14" s="617" t="s">
        <v>206</v>
      </c>
      <c r="L14" s="617" t="s">
        <v>1004</v>
      </c>
      <c r="M14" s="617" t="s">
        <v>1065</v>
      </c>
      <c r="N14" s="619" t="s">
        <v>1010</v>
      </c>
      <c r="O14" s="618" t="s">
        <v>1011</v>
      </c>
      <c r="P14" s="618" t="s">
        <v>1012</v>
      </c>
      <c r="Q14" s="616" t="s">
        <v>1005</v>
      </c>
      <c r="R14" s="616" t="s">
        <v>1006</v>
      </c>
      <c r="S14" s="616" t="s">
        <v>1015</v>
      </c>
      <c r="T14" s="616" t="s">
        <v>993</v>
      </c>
      <c r="U14" s="616" t="s">
        <v>994</v>
      </c>
      <c r="V14" s="616" t="s">
        <v>995</v>
      </c>
      <c r="W14" s="627" t="s">
        <v>1013</v>
      </c>
      <c r="X14" s="627" t="s">
        <v>1014</v>
      </c>
      <c r="Y14" s="627" t="s">
        <v>1016</v>
      </c>
      <c r="Z14" s="617" t="s">
        <v>1008</v>
      </c>
      <c r="AA14" s="617" t="s">
        <v>1009</v>
      </c>
      <c r="AB14" s="617"/>
      <c r="AC14" s="629" t="s">
        <v>851</v>
      </c>
      <c r="AD14" s="630" t="s">
        <v>852</v>
      </c>
      <c r="AE14" s="630" t="s">
        <v>853</v>
      </c>
      <c r="AF14" s="630" t="s">
        <v>854</v>
      </c>
      <c r="AG14" s="630" t="s">
        <v>1040</v>
      </c>
      <c r="AH14" s="143" t="s">
        <v>20</v>
      </c>
      <c r="AI14" s="143" t="s">
        <v>1</v>
      </c>
      <c r="AJ14" s="143" t="s">
        <v>20</v>
      </c>
      <c r="AK14" s="782" t="s">
        <v>113</v>
      </c>
    </row>
    <row r="15" spans="1:37" x14ac:dyDescent="0.2">
      <c r="A15" s="143" t="str">
        <f>IF('Customer Inputs'!$S6="","",IF('Variable Costs (Back)'!$M15="Zip Code Not Serviced","Zip Code Not Serviced",""))</f>
        <v/>
      </c>
      <c r="B15" s="143" t="str">
        <f>'Customer Inputs'!Y6</f>
        <v/>
      </c>
      <c r="C15" s="143" t="str">
        <f>IF('Customer Inputs'!H6="HOSPITALITY",IFERROR(VLOOKUP(B15,$AJ:$AK,2,FALSE),""),IFERROR(VLOOKUP(B15,$AH:$AI,2,FALSE),""))</f>
        <v/>
      </c>
      <c r="D15" s="608">
        <f>ROUND('Multi-Customer'!$BB$51,0)</f>
        <v>0</v>
      </c>
      <c r="E15" s="608">
        <f>ROUND('Multi-Customer'!$BB$52,0)</f>
        <v>0</v>
      </c>
      <c r="F15" s="608">
        <f>ROUND('Multi-Customer'!$BC$35,0)</f>
        <v>0</v>
      </c>
      <c r="G15" s="608" t="str">
        <f>LEFT($I15,3)</f>
        <v/>
      </c>
      <c r="H15" s="608" t="str">
        <f>LEFT($I15,4)</f>
        <v/>
      </c>
      <c r="I15" s="608" t="str">
        <f>IF('Customer Inputs'!Z6="","",'Customer Inputs'!Z6)</f>
        <v/>
      </c>
      <c r="J15" s="626" t="str">
        <f>IF('Customer Inputs'!$F6="","",'Customer Inputs'!$P6)</f>
        <v/>
      </c>
      <c r="K15" s="143" t="str">
        <f>'Customer Inputs'!X6</f>
        <v/>
      </c>
      <c r="L15" s="609">
        <f>IFERROR(IFERROR(IFERROR(VLOOKUP($J$5&amp;$I15,'5zip'!$A:$F,6,FALSE),VLOOKUP($J$5&amp;$H15,'4zip'!$A:$F,6,FALSE)),VLOOKUP($J$5&amp;$G15,'3zip'!$A:$F,6,FALSE)),0)</f>
        <v>0</v>
      </c>
      <c r="M15" s="609" t="str">
        <f>IFERROR(IFERROR(IFERROR(VLOOKUP($J$5&amp;$I15,'5zip'!$A:$F,6,FALSE),VLOOKUP($J$5&amp;$H15,'4zip'!$A:$F,6,FALSE)),VLOOKUP($J$5&amp;$G15,'3zip'!$A:$F,6,FALSE)),"Zip Code Not Serviced")</f>
        <v>Zip Code Not Serviced</v>
      </c>
      <c r="N15" s="610">
        <f>IFERROR(52*K15*L15,0)</f>
        <v>0</v>
      </c>
      <c r="O15" s="611">
        <f>IFERROR((VLOOKUP($J$4&amp;$C15&amp;$J$6&amp;$J$7,'Variable Selling'!$B:$O,11,FALSE))*F15,0)</f>
        <v>0</v>
      </c>
      <c r="P15" s="611">
        <f>IFERROR(VLOOKUP($J$4,'Variable Div Avgs'!$D:$I,6,FALSE)*'Variable Costs (Back)'!$F15,0)</f>
        <v>0</v>
      </c>
      <c r="Q15" s="611">
        <f t="shared" ref="Q15:Q24" si="0">IFERROR(T15/E15,0)</f>
        <v>0</v>
      </c>
      <c r="R15" s="611">
        <f t="shared" ref="R15:R24" si="1">IFERROR(U15/D15,0)</f>
        <v>0</v>
      </c>
      <c r="S15" s="611">
        <f>IFERROR(V15/D15,0)</f>
        <v>0</v>
      </c>
      <c r="T15" s="611">
        <f>IFERROR(VLOOKUP($AC15,'Existing Customer Variable Exp'!$B:$E,2,FALSE),0)</f>
        <v>0</v>
      </c>
      <c r="U15" s="611">
        <f>IFERROR(VLOOKUP($AC15,'Existing Customer Variable Exp'!$B:$E,3,FALSE),0)</f>
        <v>0</v>
      </c>
      <c r="V15" s="611">
        <f>IFERROR(VLOOKUP($AC15,'Existing Customer Variable Exp'!$B:$E,4,FALSE),0)</f>
        <v>0</v>
      </c>
      <c r="W15" s="610">
        <f>IFERROR(Q15*K15*52,0)</f>
        <v>0</v>
      </c>
      <c r="X15" s="611">
        <f>R15*F15</f>
        <v>0</v>
      </c>
      <c r="Y15" s="611">
        <f>S15*F15</f>
        <v>0</v>
      </c>
      <c r="Z15" s="611" t="str">
        <f>IF('Customer Inputs'!L6&lt;&gt;'Customer Inputs'!X6,"Modelled",IF(D15=F15,"BASE","Modelled"))</f>
        <v>BASE</v>
      </c>
      <c r="AA15" s="611" t="str">
        <f>IF(AND(SUMIF('Existing Customers'!$A:$A,'Variable Costs (Back)'!$AC15,'Existing Customers'!$Q:$Q)&gt;0,'Customer Inputs'!$U6&lt;&gt;"Prospect"),IF('Customer Inputs'!$V6&lt;&gt;"Yes","Existing","New"),"New")</f>
        <v>New</v>
      </c>
      <c r="AB15" s="628" t="s">
        <v>832</v>
      </c>
      <c r="AC15" s="612" t="str">
        <f>IF('Customer Inputs'!$F6="","",'Customer Inputs'!$G6)</f>
        <v/>
      </c>
      <c r="AD15" s="631">
        <f>IF($AA15="Existing",IF($Z15="BASE",$T15,$W15),$N15)</f>
        <v>0</v>
      </c>
      <c r="AE15" s="631">
        <f>IF($AA15="Existing",IF($Z15="BASE",$U15,$X15),$O15)</f>
        <v>0</v>
      </c>
      <c r="AF15" s="631">
        <f>IF($AA15="Existing",IF($Z15="BASE",$V15,$Y15),$P15)</f>
        <v>0</v>
      </c>
      <c r="AG15" s="729">
        <f>SUM(AD15:AF15)</f>
        <v>0</v>
      </c>
      <c r="AH15" s="143" t="s">
        <v>36</v>
      </c>
      <c r="AI15" s="143" t="s">
        <v>1</v>
      </c>
      <c r="AJ15" s="143" t="s">
        <v>36</v>
      </c>
      <c r="AK15" s="782" t="s">
        <v>113</v>
      </c>
    </row>
    <row r="16" spans="1:37" x14ac:dyDescent="0.2">
      <c r="A16" s="143" t="str">
        <f>IF('Customer Inputs'!$S7="","",IF('Variable Costs (Back)'!$M16="Zip Code Not Serviced","Zip Code Not Serviced",""))</f>
        <v/>
      </c>
      <c r="B16" s="143" t="str">
        <f>'Customer Inputs'!Y7</f>
        <v/>
      </c>
      <c r="C16" s="143" t="str">
        <f>IF('Customer Inputs'!H7="HOSPITALITY",IFERROR(VLOOKUP(B16,$AJ:$AK,2,FALSE),""),IFERROR(VLOOKUP(B16,$AH:$AI,2,FALSE),""))</f>
        <v/>
      </c>
      <c r="D16" s="608">
        <f>ROUND('Multi-Customer'!$BY$51,0)</f>
        <v>0</v>
      </c>
      <c r="E16" s="608">
        <f>ROUND('Multi-Customer'!$BY$52,0)</f>
        <v>0</v>
      </c>
      <c r="F16" s="608">
        <f>ROUND('Multi-Customer'!$BZ$35,0)</f>
        <v>0</v>
      </c>
      <c r="G16" s="608" t="str">
        <f t="shared" ref="G16:G24" si="2">LEFT($I16,3)</f>
        <v/>
      </c>
      <c r="H16" s="608" t="str">
        <f t="shared" ref="H16:H24" si="3">LEFT($I16,4)</f>
        <v/>
      </c>
      <c r="I16" s="608" t="str">
        <f>IF('Customer Inputs'!Z7="","",'Customer Inputs'!Z7)</f>
        <v/>
      </c>
      <c r="J16" s="626" t="str">
        <f>IF('Customer Inputs'!$F7="","",'Customer Inputs'!$P7)</f>
        <v/>
      </c>
      <c r="K16" s="143" t="str">
        <f>'Customer Inputs'!X7</f>
        <v/>
      </c>
      <c r="L16" s="609">
        <f>IFERROR(IFERROR(IFERROR(VLOOKUP($J$5&amp;$I16,'5zip'!$A:$F,6,FALSE),VLOOKUP($J$5&amp;$H16,'4zip'!$A:$F,6,FALSE)),VLOOKUP($J$5&amp;$G16,'3zip'!$A:$F,6,FALSE)),0)</f>
        <v>0</v>
      </c>
      <c r="M16" s="609" t="str">
        <f>IFERROR(IFERROR(IFERROR(VLOOKUP($J$5&amp;$I16,'5zip'!$A:$F,6,FALSE),VLOOKUP($J$5&amp;$H16,'4zip'!$A:$F,6,FALSE)),VLOOKUP($J$5&amp;$G16,'3zip'!$A:$F,6,FALSE)),"Zip Code Not Serviced")</f>
        <v>Zip Code Not Serviced</v>
      </c>
      <c r="N16" s="610">
        <f t="shared" ref="N16:N24" si="4">IFERROR(52*K16*L16,0)</f>
        <v>0</v>
      </c>
      <c r="O16" s="611">
        <f>IFERROR((VLOOKUP($J$4&amp;$C16&amp;$J$6&amp;$J$7,'Variable Selling'!$B:$O,11,FALSE))*F16,0)</f>
        <v>0</v>
      </c>
      <c r="P16" s="611">
        <f>IFERROR(VLOOKUP($J$4,'Variable Div Avgs'!$D:$I,6,FALSE)*'Variable Costs (Back)'!$F16,0)</f>
        <v>0</v>
      </c>
      <c r="Q16" s="611">
        <f t="shared" si="0"/>
        <v>0</v>
      </c>
      <c r="R16" s="611">
        <f t="shared" si="1"/>
        <v>0</v>
      </c>
      <c r="S16" s="611">
        <f t="shared" ref="S16:S24" si="5">IFERROR(V16/D16,0)</f>
        <v>0</v>
      </c>
      <c r="T16" s="611">
        <f>IFERROR(VLOOKUP($AC16,'Existing Customer Variable Exp'!$B:$E,2,FALSE),0)</f>
        <v>0</v>
      </c>
      <c r="U16" s="611">
        <f>IFERROR(VLOOKUP($AC16,'Existing Customer Variable Exp'!$B:$E,3,FALSE),0)</f>
        <v>0</v>
      </c>
      <c r="V16" s="611">
        <f>IFERROR(VLOOKUP($AC16,'Existing Customer Variable Exp'!$B:$E,4,FALSE),0)</f>
        <v>0</v>
      </c>
      <c r="W16" s="610">
        <f t="shared" ref="W16:W24" si="6">IFERROR(Q16*K16*52,0)</f>
        <v>0</v>
      </c>
      <c r="X16" s="611">
        <f t="shared" ref="X16:X24" si="7">R16*F16</f>
        <v>0</v>
      </c>
      <c r="Y16" s="611">
        <f t="shared" ref="Y16:Y24" si="8">S16*F16</f>
        <v>0</v>
      </c>
      <c r="Z16" s="611" t="str">
        <f>IF('Customer Inputs'!L7&lt;&gt;'Customer Inputs'!X7,"Modelled",IF(D16=F16,"BASE","Modelled"))</f>
        <v>BASE</v>
      </c>
      <c r="AA16" s="611" t="str">
        <f>IF(AND(SUMIF('Existing Customers'!$A:$A,'Variable Costs (Back)'!$AC16,'Existing Customers'!$Q:$Q)&gt;0,'Customer Inputs'!$U7&lt;&gt;"Prospect"),IF('Customer Inputs'!$V7&lt;&gt;"Yes","Existing","New"),"New")</f>
        <v>New</v>
      </c>
      <c r="AB16" s="628" t="s">
        <v>833</v>
      </c>
      <c r="AC16" s="612" t="str">
        <f>IF('Customer Inputs'!$F7="","",'Customer Inputs'!$G7)</f>
        <v/>
      </c>
      <c r="AD16" s="631">
        <f t="shared" ref="AD16:AD22" si="9">IF($AA16="Existing",IF($Z16="BASE",$T16,$W16),$N16)</f>
        <v>0</v>
      </c>
      <c r="AE16" s="631">
        <f t="shared" ref="AE16:AE22" si="10">IF($AA16="Existing",IF($Z16="BASE",$U16,$X16),$O16)</f>
        <v>0</v>
      </c>
      <c r="AF16" s="631">
        <f t="shared" ref="AF16:AF24" si="11">IF($AA16="Existing",IF($Z16="BASE",$V16,$Y16),$P16)</f>
        <v>0</v>
      </c>
      <c r="AG16" s="729">
        <f t="shared" ref="AG16:AG24" si="12">SUM(AD16:AF16)</f>
        <v>0</v>
      </c>
      <c r="AH16" s="143" t="s">
        <v>71</v>
      </c>
      <c r="AI16" s="143" t="s">
        <v>1</v>
      </c>
      <c r="AJ16" s="143" t="s">
        <v>71</v>
      </c>
      <c r="AK16" s="782" t="s">
        <v>113</v>
      </c>
    </row>
    <row r="17" spans="1:37" x14ac:dyDescent="0.2">
      <c r="A17" s="143" t="str">
        <f>IF('Customer Inputs'!$S8="","",IF('Variable Costs (Back)'!$M17="Zip Code Not Serviced","Zip Code Not Serviced",""))</f>
        <v/>
      </c>
      <c r="B17" s="143" t="str">
        <f>'Customer Inputs'!Y8</f>
        <v/>
      </c>
      <c r="C17" s="143" t="str">
        <f>IF('Customer Inputs'!H8="HOSPITALITY",IFERROR(VLOOKUP(B17,$AJ:$AK,2,FALSE),""),IFERROR(VLOOKUP(B17,$AH:$AI,2,FALSE),""))</f>
        <v/>
      </c>
      <c r="D17" s="608">
        <f>ROUND('Multi-Customer'!$CV$51,0)</f>
        <v>0</v>
      </c>
      <c r="E17" s="608">
        <f>ROUND('Multi-Customer'!$CV$52,0)</f>
        <v>0</v>
      </c>
      <c r="F17" s="608">
        <f>ROUND('Multi-Customer'!$CW$35,0)</f>
        <v>0</v>
      </c>
      <c r="G17" s="608" t="str">
        <f t="shared" si="2"/>
        <v/>
      </c>
      <c r="H17" s="608" t="str">
        <f t="shared" si="3"/>
        <v/>
      </c>
      <c r="I17" s="608" t="str">
        <f>IF('Customer Inputs'!Z8="","",'Customer Inputs'!Z8)</f>
        <v/>
      </c>
      <c r="J17" s="626" t="str">
        <f>IF('Customer Inputs'!$F8="","",'Customer Inputs'!$P8)</f>
        <v/>
      </c>
      <c r="K17" s="143" t="str">
        <f>'Customer Inputs'!X8</f>
        <v/>
      </c>
      <c r="L17" s="609">
        <f>IFERROR(IFERROR(IFERROR(VLOOKUP($J$5&amp;$I17,'5zip'!$A:$F,6,FALSE),VLOOKUP($J$5&amp;$H17,'4zip'!$A:$F,6,FALSE)),VLOOKUP($J$5&amp;$G17,'3zip'!$A:$F,6,FALSE)),0)</f>
        <v>0</v>
      </c>
      <c r="M17" s="609" t="str">
        <f>IFERROR(IFERROR(IFERROR(VLOOKUP($J$5&amp;$I17,'5zip'!$A:$F,6,FALSE),VLOOKUP($J$5&amp;$H17,'4zip'!$A:$F,6,FALSE)),VLOOKUP($J$5&amp;$G17,'3zip'!$A:$F,6,FALSE)),"Zip Code Not Serviced")</f>
        <v>Zip Code Not Serviced</v>
      </c>
      <c r="N17" s="610">
        <f t="shared" si="4"/>
        <v>0</v>
      </c>
      <c r="O17" s="611">
        <f>IFERROR((VLOOKUP($J$4&amp;$C17&amp;$J$6&amp;$J$7,'Variable Selling'!$B:$O,11,FALSE))*F17,0)</f>
        <v>0</v>
      </c>
      <c r="P17" s="611">
        <f>IFERROR(VLOOKUP($J$4,'Variable Div Avgs'!$D:$I,6,FALSE)*'Variable Costs (Back)'!$F17,0)</f>
        <v>0</v>
      </c>
      <c r="Q17" s="611">
        <f t="shared" si="0"/>
        <v>0</v>
      </c>
      <c r="R17" s="611">
        <f t="shared" si="1"/>
        <v>0</v>
      </c>
      <c r="S17" s="611">
        <f t="shared" si="5"/>
        <v>0</v>
      </c>
      <c r="T17" s="611">
        <f>IFERROR(VLOOKUP($AC17,'Existing Customer Variable Exp'!$B:$E,2,FALSE),0)</f>
        <v>0</v>
      </c>
      <c r="U17" s="611">
        <f>IFERROR(VLOOKUP($AC17,'Existing Customer Variable Exp'!$B:$E,3,FALSE),0)</f>
        <v>0</v>
      </c>
      <c r="V17" s="611">
        <f>IFERROR(VLOOKUP($AC17,'Existing Customer Variable Exp'!$B:$E,4,FALSE),0)</f>
        <v>0</v>
      </c>
      <c r="W17" s="610">
        <f t="shared" si="6"/>
        <v>0</v>
      </c>
      <c r="X17" s="611">
        <f t="shared" si="7"/>
        <v>0</v>
      </c>
      <c r="Y17" s="611">
        <f t="shared" si="8"/>
        <v>0</v>
      </c>
      <c r="Z17" s="611" t="str">
        <f>IF('Customer Inputs'!L8&lt;&gt;'Customer Inputs'!X8,"Modelled",IF(D17=F17,"BASE","Modelled"))</f>
        <v>BASE</v>
      </c>
      <c r="AA17" s="611" t="str">
        <f>IF(AND(SUMIF('Existing Customers'!$A:$A,'Variable Costs (Back)'!$AC17,'Existing Customers'!$Q:$Q)&gt;0,'Customer Inputs'!$U8&lt;&gt;"Prospect"),IF('Customer Inputs'!$V8&lt;&gt;"Yes","Existing","New"),"New")</f>
        <v>New</v>
      </c>
      <c r="AB17" s="628" t="s">
        <v>834</v>
      </c>
      <c r="AC17" s="612" t="str">
        <f>IF('Customer Inputs'!$F8="","",'Customer Inputs'!$G8)</f>
        <v/>
      </c>
      <c r="AD17" s="631">
        <f t="shared" si="9"/>
        <v>0</v>
      </c>
      <c r="AE17" s="631">
        <f t="shared" si="10"/>
        <v>0</v>
      </c>
      <c r="AF17" s="631">
        <f t="shared" si="11"/>
        <v>0</v>
      </c>
      <c r="AG17" s="729">
        <f t="shared" si="12"/>
        <v>0</v>
      </c>
      <c r="AH17" s="143" t="s">
        <v>11</v>
      </c>
      <c r="AI17" s="143" t="s">
        <v>1</v>
      </c>
      <c r="AJ17" s="143" t="s">
        <v>11</v>
      </c>
      <c r="AK17" s="782" t="s">
        <v>113</v>
      </c>
    </row>
    <row r="18" spans="1:37" x14ac:dyDescent="0.2">
      <c r="A18" s="143" t="str">
        <f>IF('Customer Inputs'!$S9="","",IF('Variable Costs (Back)'!$M18="Zip Code Not Serviced","Zip Code Not Serviced",""))</f>
        <v/>
      </c>
      <c r="B18" s="143" t="str">
        <f>'Customer Inputs'!Y9</f>
        <v/>
      </c>
      <c r="C18" s="143" t="str">
        <f>IF('Customer Inputs'!H9="HOSPITALITY",IFERROR(VLOOKUP(B18,$AJ:$AK,2,FALSE),""),IFERROR(VLOOKUP(B18,$AH:$AI,2,FALSE),""))</f>
        <v/>
      </c>
      <c r="D18" s="608">
        <f>ROUND('Multi-Customer'!$DS$51,0)</f>
        <v>0</v>
      </c>
      <c r="E18" s="608">
        <f>ROUND('Multi-Customer'!$DS$52,0)</f>
        <v>0</v>
      </c>
      <c r="F18" s="608">
        <f>ROUND('Multi-Customer'!$DT$35,0)</f>
        <v>0</v>
      </c>
      <c r="G18" s="608" t="str">
        <f t="shared" si="2"/>
        <v/>
      </c>
      <c r="H18" s="608" t="str">
        <f t="shared" si="3"/>
        <v/>
      </c>
      <c r="I18" s="608" t="str">
        <f>IF('Customer Inputs'!Z9="","",'Customer Inputs'!Z9)</f>
        <v/>
      </c>
      <c r="J18" s="626" t="str">
        <f>IF('Customer Inputs'!$F9="","",'Customer Inputs'!$P9)</f>
        <v/>
      </c>
      <c r="K18" s="143" t="str">
        <f>'Customer Inputs'!X9</f>
        <v/>
      </c>
      <c r="L18" s="609">
        <f>IFERROR(IFERROR(IFERROR(VLOOKUP($J$5&amp;$I18,'5zip'!$A:$F,6,FALSE),VLOOKUP($J$5&amp;$H18,'4zip'!$A:$F,6,FALSE)),VLOOKUP($J$5&amp;$G18,'3zip'!$A:$F,6,FALSE)),0)</f>
        <v>0</v>
      </c>
      <c r="M18" s="609" t="str">
        <f>IFERROR(IFERROR(IFERROR(VLOOKUP($J$5&amp;$I18,'5zip'!$A:$F,6,FALSE),VLOOKUP($J$5&amp;$H18,'4zip'!$A:$F,6,FALSE)),VLOOKUP($J$5&amp;$G18,'3zip'!$A:$F,6,FALSE)),"Zip Code Not Serviced")</f>
        <v>Zip Code Not Serviced</v>
      </c>
      <c r="N18" s="610">
        <f t="shared" si="4"/>
        <v>0</v>
      </c>
      <c r="O18" s="611">
        <f>IFERROR((VLOOKUP($J$4&amp;$C18&amp;$J$6&amp;$J$7,'Variable Selling'!$B:$O,11,FALSE))*F18,0)</f>
        <v>0</v>
      </c>
      <c r="P18" s="611">
        <f>IFERROR(VLOOKUP($J$4,'Variable Div Avgs'!$D:$I,6,FALSE)*'Variable Costs (Back)'!$F18,0)</f>
        <v>0</v>
      </c>
      <c r="Q18" s="611">
        <f t="shared" si="0"/>
        <v>0</v>
      </c>
      <c r="R18" s="611">
        <f t="shared" si="1"/>
        <v>0</v>
      </c>
      <c r="S18" s="611">
        <f t="shared" si="5"/>
        <v>0</v>
      </c>
      <c r="T18" s="611">
        <f>IFERROR(VLOOKUP($AC18,'Existing Customer Variable Exp'!$B:$E,2,FALSE),0)</f>
        <v>0</v>
      </c>
      <c r="U18" s="611">
        <f>IFERROR(VLOOKUP($AC18,'Existing Customer Variable Exp'!$B:$E,3,FALSE),0)</f>
        <v>0</v>
      </c>
      <c r="V18" s="611">
        <f>IFERROR(VLOOKUP($AC18,'Existing Customer Variable Exp'!$B:$E,4,FALSE),0)</f>
        <v>0</v>
      </c>
      <c r="W18" s="610">
        <f t="shared" si="6"/>
        <v>0</v>
      </c>
      <c r="X18" s="611">
        <f t="shared" si="7"/>
        <v>0</v>
      </c>
      <c r="Y18" s="611">
        <f t="shared" si="8"/>
        <v>0</v>
      </c>
      <c r="Z18" s="611" t="str">
        <f>IF('Customer Inputs'!L9&lt;&gt;'Customer Inputs'!X9,"Modelled",IF(D18=F18,"BASE","Modelled"))</f>
        <v>BASE</v>
      </c>
      <c r="AA18" s="611" t="str">
        <f>IF(AND(SUMIF('Existing Customers'!$A:$A,'Variable Costs (Back)'!$AC18,'Existing Customers'!$Q:$Q)&gt;0,'Customer Inputs'!$U9&lt;&gt;"Prospect"),IF('Customer Inputs'!$V9&lt;&gt;"Yes","Existing","New"),"New")</f>
        <v>New</v>
      </c>
      <c r="AB18" s="628" t="s">
        <v>835</v>
      </c>
      <c r="AC18" s="612" t="str">
        <f>IF('Customer Inputs'!$F9="","",'Customer Inputs'!$G9)</f>
        <v/>
      </c>
      <c r="AD18" s="631">
        <f t="shared" si="9"/>
        <v>0</v>
      </c>
      <c r="AE18" s="631">
        <f t="shared" si="10"/>
        <v>0</v>
      </c>
      <c r="AF18" s="631">
        <f t="shared" si="11"/>
        <v>0</v>
      </c>
      <c r="AG18" s="729">
        <f t="shared" si="12"/>
        <v>0</v>
      </c>
      <c r="AH18" s="143" t="s">
        <v>9</v>
      </c>
      <c r="AI18" s="143" t="s">
        <v>1</v>
      </c>
      <c r="AJ18" s="143" t="s">
        <v>9</v>
      </c>
      <c r="AK18" s="782" t="s">
        <v>113</v>
      </c>
    </row>
    <row r="19" spans="1:37" x14ac:dyDescent="0.2">
      <c r="A19" s="143" t="str">
        <f>IF('Customer Inputs'!$S10="","",IF('Variable Costs (Back)'!$M19="Zip Code Not Serviced","Zip Code Not Serviced",""))</f>
        <v/>
      </c>
      <c r="B19" s="143" t="str">
        <f>'Customer Inputs'!Y10</f>
        <v/>
      </c>
      <c r="C19" s="143" t="str">
        <f>IF('Customer Inputs'!H10="HOSPITALITY",IFERROR(VLOOKUP(B19,$AJ:$AK,2,FALSE),""),IFERROR(VLOOKUP(B19,$AH:$AI,2,FALSE),""))</f>
        <v/>
      </c>
      <c r="D19" s="608">
        <f>ROUND('Multi-Customer'!$EP$51,0)</f>
        <v>0</v>
      </c>
      <c r="E19" s="608">
        <f>ROUND('Multi-Customer'!$EP$52,0)</f>
        <v>0</v>
      </c>
      <c r="F19" s="608">
        <f>ROUND('Multi-Customer'!$EQ$35,0)</f>
        <v>0</v>
      </c>
      <c r="G19" s="608" t="str">
        <f t="shared" si="2"/>
        <v/>
      </c>
      <c r="H19" s="608" t="str">
        <f t="shared" si="3"/>
        <v/>
      </c>
      <c r="I19" s="608" t="str">
        <f>IF('Customer Inputs'!Z10="","",'Customer Inputs'!Z10)</f>
        <v/>
      </c>
      <c r="J19" s="626" t="str">
        <f>IF('Customer Inputs'!$F10="","",'Customer Inputs'!$P10)</f>
        <v/>
      </c>
      <c r="K19" s="143" t="str">
        <f>'Customer Inputs'!X10</f>
        <v/>
      </c>
      <c r="L19" s="609">
        <f>IFERROR(IFERROR(IFERROR(VLOOKUP($J$5&amp;$I19,'5zip'!$A:$F,6,FALSE),VLOOKUP($J$5&amp;$H19,'4zip'!$A:$F,6,FALSE)),VLOOKUP($J$5&amp;$G19,'3zip'!$A:$F,6,FALSE)),0)</f>
        <v>0</v>
      </c>
      <c r="M19" s="609" t="str">
        <f>IFERROR(IFERROR(IFERROR(VLOOKUP($J$5&amp;$I19,'5zip'!$A:$F,6,FALSE),VLOOKUP($J$5&amp;$H19,'4zip'!$A:$F,6,FALSE)),VLOOKUP($J$5&amp;$G19,'3zip'!$A:$F,6,FALSE)),"Zip Code Not Serviced")</f>
        <v>Zip Code Not Serviced</v>
      </c>
      <c r="N19" s="610">
        <f t="shared" si="4"/>
        <v>0</v>
      </c>
      <c r="O19" s="611">
        <f>IFERROR((VLOOKUP($J$4&amp;$C19&amp;$J$6&amp;$J$7,'Variable Selling'!$B:$O,11,FALSE))*F19,0)</f>
        <v>0</v>
      </c>
      <c r="P19" s="611">
        <f>IFERROR(VLOOKUP($J$4,'Variable Div Avgs'!$D:$I,6,FALSE)*'Variable Costs (Back)'!$F19,0)</f>
        <v>0</v>
      </c>
      <c r="Q19" s="611">
        <f t="shared" si="0"/>
        <v>0</v>
      </c>
      <c r="R19" s="611">
        <f t="shared" si="1"/>
        <v>0</v>
      </c>
      <c r="S19" s="611">
        <f t="shared" si="5"/>
        <v>0</v>
      </c>
      <c r="T19" s="611">
        <f>IFERROR(VLOOKUP($AC19,'Existing Customer Variable Exp'!$B:$E,2,FALSE),0)</f>
        <v>0</v>
      </c>
      <c r="U19" s="611">
        <f>IFERROR(VLOOKUP($AC19,'Existing Customer Variable Exp'!$B:$E,3,FALSE),0)</f>
        <v>0</v>
      </c>
      <c r="V19" s="611">
        <f>IFERROR(VLOOKUP($AC19,'Existing Customer Variable Exp'!$B:$E,4,FALSE),0)</f>
        <v>0</v>
      </c>
      <c r="W19" s="610">
        <f t="shared" si="6"/>
        <v>0</v>
      </c>
      <c r="X19" s="611">
        <f t="shared" si="7"/>
        <v>0</v>
      </c>
      <c r="Y19" s="611">
        <f t="shared" si="8"/>
        <v>0</v>
      </c>
      <c r="Z19" s="611" t="str">
        <f>IF('Customer Inputs'!L10&lt;&gt;'Customer Inputs'!X10,"Modelled",IF(D19=F19,"BASE","Modelled"))</f>
        <v>BASE</v>
      </c>
      <c r="AA19" s="611" t="str">
        <f>IF(AND(SUMIF('Existing Customers'!$A:$A,'Variable Costs (Back)'!$AC19,'Existing Customers'!$Q:$Q)&gt;0,'Customer Inputs'!$U10&lt;&gt;"Prospect"),IF('Customer Inputs'!$V10&lt;&gt;"Yes","Existing","New"),"New")</f>
        <v>New</v>
      </c>
      <c r="AB19" s="628" t="s">
        <v>836</v>
      </c>
      <c r="AC19" s="612" t="str">
        <f>IF('Customer Inputs'!$F10="","",'Customer Inputs'!$G10)</f>
        <v/>
      </c>
      <c r="AD19" s="631">
        <f t="shared" si="9"/>
        <v>0</v>
      </c>
      <c r="AE19" s="631">
        <f t="shared" si="10"/>
        <v>0</v>
      </c>
      <c r="AF19" s="631">
        <f t="shared" si="11"/>
        <v>0</v>
      </c>
      <c r="AG19" s="729">
        <f t="shared" si="12"/>
        <v>0</v>
      </c>
      <c r="AH19" s="143" t="s">
        <v>38</v>
      </c>
      <c r="AI19" s="143" t="s">
        <v>1</v>
      </c>
      <c r="AJ19" s="143" t="s">
        <v>38</v>
      </c>
      <c r="AK19" s="782" t="s">
        <v>113</v>
      </c>
    </row>
    <row r="20" spans="1:37" x14ac:dyDescent="0.2">
      <c r="A20" s="143" t="str">
        <f>IF('Customer Inputs'!$S11="","",IF('Variable Costs (Back)'!$M20="Zip Code Not Serviced","Zip Code Not Serviced",""))</f>
        <v/>
      </c>
      <c r="B20" s="143" t="str">
        <f>'Customer Inputs'!Y11</f>
        <v/>
      </c>
      <c r="C20" s="143" t="str">
        <f>IF('Customer Inputs'!H11="HOSPITALITY",IFERROR(VLOOKUP(B20,$AJ:$AK,2,FALSE),""),IFERROR(VLOOKUP(B20,$AH:$AI,2,FALSE),""))</f>
        <v/>
      </c>
      <c r="D20" s="608">
        <f>ROUND('Multi-Customer'!$FM$51,0)</f>
        <v>0</v>
      </c>
      <c r="E20" s="608">
        <f>ROUND('Multi-Customer'!$FM$52,0)</f>
        <v>0</v>
      </c>
      <c r="F20" s="608">
        <f>ROUND('Multi-Customer'!$FN$35,0)</f>
        <v>0</v>
      </c>
      <c r="G20" s="608" t="str">
        <f t="shared" si="2"/>
        <v/>
      </c>
      <c r="H20" s="608" t="str">
        <f t="shared" si="3"/>
        <v/>
      </c>
      <c r="I20" s="608" t="str">
        <f>IF('Customer Inputs'!Z11="","",'Customer Inputs'!Z11)</f>
        <v/>
      </c>
      <c r="J20" s="626" t="str">
        <f>IF('Customer Inputs'!$F11="","",'Customer Inputs'!$P11)</f>
        <v/>
      </c>
      <c r="K20" s="143" t="str">
        <f>'Customer Inputs'!X11</f>
        <v/>
      </c>
      <c r="L20" s="609">
        <f>IFERROR(IFERROR(IFERROR(VLOOKUP($J$5&amp;$I20,'5zip'!$A:$F,6,FALSE),VLOOKUP($J$5&amp;$H20,'4zip'!$A:$F,6,FALSE)),VLOOKUP($J$5&amp;$G20,'3zip'!$A:$F,6,FALSE)),0)</f>
        <v>0</v>
      </c>
      <c r="M20" s="609" t="str">
        <f>IFERROR(IFERROR(IFERROR(VLOOKUP($J$5&amp;$I20,'5zip'!$A:$F,6,FALSE),VLOOKUP($J$5&amp;$H20,'4zip'!$A:$F,6,FALSE)),VLOOKUP($J$5&amp;$G20,'3zip'!$A:$F,6,FALSE)),"Zip Code Not Serviced")</f>
        <v>Zip Code Not Serviced</v>
      </c>
      <c r="N20" s="610">
        <f t="shared" si="4"/>
        <v>0</v>
      </c>
      <c r="O20" s="611">
        <f>IFERROR((VLOOKUP($J$4&amp;$C20&amp;$J$6&amp;$J$7,'Variable Selling'!$B:$O,11,FALSE))*F20,0)</f>
        <v>0</v>
      </c>
      <c r="P20" s="611">
        <f>IFERROR(VLOOKUP($J$4,'Variable Div Avgs'!$D:$I,6,FALSE)*'Variable Costs (Back)'!$F20,0)</f>
        <v>0</v>
      </c>
      <c r="Q20" s="611">
        <f t="shared" si="0"/>
        <v>0</v>
      </c>
      <c r="R20" s="611">
        <f t="shared" si="1"/>
        <v>0</v>
      </c>
      <c r="S20" s="611">
        <f t="shared" si="5"/>
        <v>0</v>
      </c>
      <c r="T20" s="611">
        <f>IFERROR(VLOOKUP($AC20,'Existing Customer Variable Exp'!$B:$E,2,FALSE),0)</f>
        <v>0</v>
      </c>
      <c r="U20" s="611">
        <f>IFERROR(VLOOKUP($AC20,'Existing Customer Variable Exp'!$B:$E,3,FALSE),0)</f>
        <v>0</v>
      </c>
      <c r="V20" s="611">
        <f>IFERROR(VLOOKUP($AC20,'Existing Customer Variable Exp'!$B:$E,4,FALSE),0)</f>
        <v>0</v>
      </c>
      <c r="W20" s="610">
        <f t="shared" si="6"/>
        <v>0</v>
      </c>
      <c r="X20" s="611">
        <f t="shared" si="7"/>
        <v>0</v>
      </c>
      <c r="Y20" s="611">
        <f t="shared" si="8"/>
        <v>0</v>
      </c>
      <c r="Z20" s="611" t="str">
        <f>IF('Customer Inputs'!L11&lt;&gt;'Customer Inputs'!X11,"Modelled",IF(D20=F20,"BASE","Modelled"))</f>
        <v>BASE</v>
      </c>
      <c r="AA20" s="611" t="str">
        <f>IF(AND(SUMIF('Existing Customers'!$A:$A,'Variable Costs (Back)'!$AC20,'Existing Customers'!$Q:$Q)&gt;0,'Customer Inputs'!$U11&lt;&gt;"Prospect"),IF('Customer Inputs'!$V11&lt;&gt;"Yes","Existing","New"),"New")</f>
        <v>New</v>
      </c>
      <c r="AB20" s="628" t="s">
        <v>837</v>
      </c>
      <c r="AC20" s="612" t="str">
        <f>IF('Customer Inputs'!$F11="","",'Customer Inputs'!$G11)</f>
        <v/>
      </c>
      <c r="AD20" s="631">
        <f t="shared" si="9"/>
        <v>0</v>
      </c>
      <c r="AE20" s="631">
        <f t="shared" si="10"/>
        <v>0</v>
      </c>
      <c r="AF20" s="631">
        <f t="shared" si="11"/>
        <v>0</v>
      </c>
      <c r="AG20" s="729">
        <f t="shared" si="12"/>
        <v>0</v>
      </c>
      <c r="AH20" s="143" t="s">
        <v>264</v>
      </c>
      <c r="AI20" s="143" t="s">
        <v>1</v>
      </c>
      <c r="AJ20" s="143" t="s">
        <v>264</v>
      </c>
      <c r="AK20" s="782" t="s">
        <v>113</v>
      </c>
    </row>
    <row r="21" spans="1:37" x14ac:dyDescent="0.2">
      <c r="A21" s="143" t="str">
        <f>IF('Customer Inputs'!$S12="","",IF('Variable Costs (Back)'!$M21="Zip Code Not Serviced","Zip Code Not Serviced",""))</f>
        <v/>
      </c>
      <c r="B21" s="143" t="str">
        <f>'Customer Inputs'!Y12</f>
        <v/>
      </c>
      <c r="C21" s="143" t="str">
        <f>IF('Customer Inputs'!H12="HOSPITALITY",IFERROR(VLOOKUP(B21,$AJ:$AK,2,FALSE),""),IFERROR(VLOOKUP(B21,$AH:$AI,2,FALSE),""))</f>
        <v/>
      </c>
      <c r="D21" s="608">
        <f>ROUND('Multi-Customer'!$GJ$51,0)</f>
        <v>0</v>
      </c>
      <c r="E21" s="608">
        <f>ROUND('Multi-Customer'!$GJ$52,0)</f>
        <v>0</v>
      </c>
      <c r="F21" s="608">
        <f>ROUND('Multi-Customer'!$GK$35,0)</f>
        <v>0</v>
      </c>
      <c r="G21" s="608" t="str">
        <f t="shared" si="2"/>
        <v/>
      </c>
      <c r="H21" s="608" t="str">
        <f t="shared" si="3"/>
        <v/>
      </c>
      <c r="I21" s="608" t="str">
        <f>IF('Customer Inputs'!Z12="","",'Customer Inputs'!Z12)</f>
        <v/>
      </c>
      <c r="J21" s="626" t="str">
        <f>IF('Customer Inputs'!$F12="","",'Customer Inputs'!$P12)</f>
        <v/>
      </c>
      <c r="K21" s="143" t="str">
        <f>'Customer Inputs'!X12</f>
        <v/>
      </c>
      <c r="L21" s="609">
        <f>IFERROR(IFERROR(IFERROR(VLOOKUP($J$5&amp;$I21,'5zip'!$A:$F,6,FALSE),VLOOKUP($J$5&amp;$H21,'4zip'!$A:$F,6,FALSE)),VLOOKUP($J$5&amp;$G21,'3zip'!$A:$F,6,FALSE)),0)</f>
        <v>0</v>
      </c>
      <c r="M21" s="609" t="str">
        <f>IFERROR(IFERROR(IFERROR(VLOOKUP($J$5&amp;$I21,'5zip'!$A:$F,6,FALSE),VLOOKUP($J$5&amp;$H21,'4zip'!$A:$F,6,FALSE)),VLOOKUP($J$5&amp;$G21,'3zip'!$A:$F,6,FALSE)),"Zip Code Not Serviced")</f>
        <v>Zip Code Not Serviced</v>
      </c>
      <c r="N21" s="610">
        <f t="shared" si="4"/>
        <v>0</v>
      </c>
      <c r="O21" s="611">
        <f>IFERROR((VLOOKUP($J$4&amp;$C21&amp;$J$6&amp;$J$7,'Variable Selling'!$B:$O,11,FALSE))*F21,0)</f>
        <v>0</v>
      </c>
      <c r="P21" s="611">
        <f>IFERROR(VLOOKUP($J$4,'Variable Div Avgs'!$D:$I,6,FALSE)*'Variable Costs (Back)'!$F21,0)</f>
        <v>0</v>
      </c>
      <c r="Q21" s="611">
        <f t="shared" si="0"/>
        <v>0</v>
      </c>
      <c r="R21" s="611">
        <f t="shared" si="1"/>
        <v>0</v>
      </c>
      <c r="S21" s="611">
        <f t="shared" si="5"/>
        <v>0</v>
      </c>
      <c r="T21" s="611">
        <f>IFERROR(VLOOKUP($AC21,'Existing Customer Variable Exp'!$B:$E,2,FALSE),0)</f>
        <v>0</v>
      </c>
      <c r="U21" s="611">
        <f>IFERROR(VLOOKUP($AC21,'Existing Customer Variable Exp'!$B:$E,3,FALSE),0)</f>
        <v>0</v>
      </c>
      <c r="V21" s="611">
        <f>IFERROR(VLOOKUP($AC21,'Existing Customer Variable Exp'!$B:$E,4,FALSE),0)</f>
        <v>0</v>
      </c>
      <c r="W21" s="610">
        <f t="shared" si="6"/>
        <v>0</v>
      </c>
      <c r="X21" s="611">
        <f t="shared" si="7"/>
        <v>0</v>
      </c>
      <c r="Y21" s="611">
        <f t="shared" si="8"/>
        <v>0</v>
      </c>
      <c r="Z21" s="611" t="str">
        <f>IF('Customer Inputs'!L12&lt;&gt;'Customer Inputs'!X12,"Modelled",IF(D21=F21,"BASE","Modelled"))</f>
        <v>BASE</v>
      </c>
      <c r="AA21" s="611" t="str">
        <f>IF(AND(SUMIF('Existing Customers'!$A:$A,'Variable Costs (Back)'!$AC21,'Existing Customers'!$Q:$Q)&gt;0,'Customer Inputs'!$U12&lt;&gt;"Prospect"),IF('Customer Inputs'!$V12&lt;&gt;"Yes","Existing","New"),"New")</f>
        <v>New</v>
      </c>
      <c r="AB21" s="628" t="s">
        <v>838</v>
      </c>
      <c r="AC21" s="612" t="str">
        <f>IF('Customer Inputs'!$F12="","",'Customer Inputs'!$G12)</f>
        <v/>
      </c>
      <c r="AD21" s="631">
        <f t="shared" si="9"/>
        <v>0</v>
      </c>
      <c r="AE21" s="631">
        <f t="shared" si="10"/>
        <v>0</v>
      </c>
      <c r="AF21" s="631">
        <f t="shared" si="11"/>
        <v>0</v>
      </c>
      <c r="AG21" s="729">
        <f t="shared" si="12"/>
        <v>0</v>
      </c>
      <c r="AH21" s="143" t="s">
        <v>260</v>
      </c>
      <c r="AI21" s="143" t="s">
        <v>114</v>
      </c>
      <c r="AJ21" s="143" t="s">
        <v>260</v>
      </c>
      <c r="AK21" s="143" t="s">
        <v>114</v>
      </c>
    </row>
    <row r="22" spans="1:37" x14ac:dyDescent="0.2">
      <c r="A22" s="143" t="str">
        <f>IF('Customer Inputs'!$S13="","",IF('Variable Costs (Back)'!$M22="Zip Code Not Serviced","Zip Code Not Serviced",""))</f>
        <v/>
      </c>
      <c r="B22" s="143" t="str">
        <f>'Customer Inputs'!Y13</f>
        <v/>
      </c>
      <c r="C22" s="143" t="str">
        <f>IF('Customer Inputs'!H13="HOSPITALITY",IFERROR(VLOOKUP(B22,$AJ:$AK,2,FALSE),""),IFERROR(VLOOKUP(B22,$AH:$AI,2,FALSE),""))</f>
        <v/>
      </c>
      <c r="D22" s="608">
        <f>ROUND('Multi-Customer'!$HG$51,0)</f>
        <v>0</v>
      </c>
      <c r="E22" s="608">
        <f>ROUND('Multi-Customer'!$HG$52,0)</f>
        <v>0</v>
      </c>
      <c r="F22" s="608">
        <f>ROUND('Multi-Customer'!$HH$35,0)</f>
        <v>0</v>
      </c>
      <c r="G22" s="608" t="str">
        <f t="shared" si="2"/>
        <v/>
      </c>
      <c r="H22" s="608" t="str">
        <f t="shared" si="3"/>
        <v/>
      </c>
      <c r="I22" s="608" t="str">
        <f>IF('Customer Inputs'!Z13="","",'Customer Inputs'!Z13)</f>
        <v/>
      </c>
      <c r="J22" s="626" t="str">
        <f>IF('Customer Inputs'!$F13="","",'Customer Inputs'!$P13)</f>
        <v/>
      </c>
      <c r="K22" s="143" t="str">
        <f>'Customer Inputs'!X13</f>
        <v/>
      </c>
      <c r="L22" s="609">
        <f>IFERROR(IFERROR(IFERROR(VLOOKUP($J$5&amp;$I22,'5zip'!$A:$F,6,FALSE),VLOOKUP($J$5&amp;$H22,'4zip'!$A:$F,6,FALSE)),VLOOKUP($J$5&amp;$G22,'3zip'!$A:$F,6,FALSE)),0)</f>
        <v>0</v>
      </c>
      <c r="M22" s="609" t="str">
        <f>IFERROR(IFERROR(IFERROR(VLOOKUP($J$5&amp;$I22,'5zip'!$A:$F,6,FALSE),VLOOKUP($J$5&amp;$H22,'4zip'!$A:$F,6,FALSE)),VLOOKUP($J$5&amp;$G22,'3zip'!$A:$F,6,FALSE)),"Zip Code Not Serviced")</f>
        <v>Zip Code Not Serviced</v>
      </c>
      <c r="N22" s="610">
        <f t="shared" si="4"/>
        <v>0</v>
      </c>
      <c r="O22" s="611">
        <f>IFERROR((VLOOKUP($J$4&amp;$C22&amp;$J$6&amp;$J$7,'Variable Selling'!$B:$O,11,FALSE))*F22,0)</f>
        <v>0</v>
      </c>
      <c r="P22" s="611">
        <f>IFERROR(VLOOKUP($J$4,'Variable Div Avgs'!$D:$I,6,FALSE)*'Variable Costs (Back)'!$F22,0)</f>
        <v>0</v>
      </c>
      <c r="Q22" s="611">
        <f t="shared" si="0"/>
        <v>0</v>
      </c>
      <c r="R22" s="611">
        <f t="shared" si="1"/>
        <v>0</v>
      </c>
      <c r="S22" s="611">
        <f t="shared" si="5"/>
        <v>0</v>
      </c>
      <c r="T22" s="611">
        <f>IFERROR(VLOOKUP($AC22,'Existing Customer Variable Exp'!$B:$E,2,FALSE),0)</f>
        <v>0</v>
      </c>
      <c r="U22" s="611">
        <f>IFERROR(VLOOKUP($AC22,'Existing Customer Variable Exp'!$B:$E,3,FALSE),0)</f>
        <v>0</v>
      </c>
      <c r="V22" s="611">
        <f>IFERROR(VLOOKUP($AC22,'Existing Customer Variable Exp'!$B:$E,4,FALSE),0)</f>
        <v>0</v>
      </c>
      <c r="W22" s="610">
        <f t="shared" si="6"/>
        <v>0</v>
      </c>
      <c r="X22" s="611">
        <f t="shared" si="7"/>
        <v>0</v>
      </c>
      <c r="Y22" s="611">
        <f t="shared" si="8"/>
        <v>0</v>
      </c>
      <c r="Z22" s="611" t="str">
        <f>IF('Customer Inputs'!L13&lt;&gt;'Customer Inputs'!X13,"Modelled",IF(D22=F22,"BASE","Modelled"))</f>
        <v>BASE</v>
      </c>
      <c r="AA22" s="611" t="str">
        <f>IF(AND(SUMIF('Existing Customers'!$A:$A,'Variable Costs (Back)'!$AC22,'Existing Customers'!$Q:$Q)&gt;0,'Customer Inputs'!$U13&lt;&gt;"Prospect"),IF('Customer Inputs'!$V13&lt;&gt;"Yes","Existing","New"),"New")</f>
        <v>New</v>
      </c>
      <c r="AB22" s="628" t="s">
        <v>839</v>
      </c>
      <c r="AC22" s="612" t="str">
        <f>IF('Customer Inputs'!$F13="","",'Customer Inputs'!$G13)</f>
        <v/>
      </c>
      <c r="AD22" s="631">
        <f t="shared" si="9"/>
        <v>0</v>
      </c>
      <c r="AE22" s="631">
        <f t="shared" si="10"/>
        <v>0</v>
      </c>
      <c r="AF22" s="631">
        <f t="shared" si="11"/>
        <v>0</v>
      </c>
      <c r="AG22" s="729">
        <f t="shared" si="12"/>
        <v>0</v>
      </c>
      <c r="AH22" s="143" t="s">
        <v>261</v>
      </c>
      <c r="AI22" s="143" t="s">
        <v>116</v>
      </c>
      <c r="AJ22" s="143" t="s">
        <v>261</v>
      </c>
      <c r="AK22" s="143" t="s">
        <v>116</v>
      </c>
    </row>
    <row r="23" spans="1:37" x14ac:dyDescent="0.2">
      <c r="A23" s="143" t="str">
        <f>IF('Customer Inputs'!$S14="","",IF('Variable Costs (Back)'!$M23="Zip Code Not Serviced","Zip Code Not Serviced",""))</f>
        <v/>
      </c>
      <c r="B23" s="143" t="str">
        <f>'Customer Inputs'!Y14</f>
        <v/>
      </c>
      <c r="C23" s="143" t="str">
        <f>IF('Customer Inputs'!H14="HOSPITALITY",IFERROR(VLOOKUP(B23,$AJ:$AK,2,FALSE),""),IFERROR(VLOOKUP(B23,$AH:$AI,2,FALSE),""))</f>
        <v/>
      </c>
      <c r="D23" s="608">
        <f>ROUND('Multi-Customer'!$ID$51,0)</f>
        <v>0</v>
      </c>
      <c r="E23" s="608">
        <f>ROUND('Multi-Customer'!$ID$52,0)</f>
        <v>0</v>
      </c>
      <c r="F23" s="608">
        <f>ROUND('Multi-Customer'!$IE$35,0)</f>
        <v>0</v>
      </c>
      <c r="G23" s="608" t="str">
        <f t="shared" si="2"/>
        <v/>
      </c>
      <c r="H23" s="608" t="str">
        <f t="shared" si="3"/>
        <v/>
      </c>
      <c r="I23" s="608" t="str">
        <f>IF('Customer Inputs'!Z14="","",'Customer Inputs'!Z14)</f>
        <v/>
      </c>
      <c r="J23" s="626" t="str">
        <f>IF('Customer Inputs'!$F14="","",'Customer Inputs'!$P14)</f>
        <v/>
      </c>
      <c r="K23" s="143" t="str">
        <f>'Customer Inputs'!X14</f>
        <v/>
      </c>
      <c r="L23" s="609">
        <f>IFERROR(IFERROR(IFERROR(VLOOKUP($J$5&amp;$I23,'5zip'!$A:$F,6,FALSE),VLOOKUP($J$5&amp;$H23,'4zip'!$A:$F,6,FALSE)),VLOOKUP($J$5&amp;$G23,'3zip'!$A:$F,6,FALSE)),0)</f>
        <v>0</v>
      </c>
      <c r="M23" s="609" t="str">
        <f>IFERROR(IFERROR(IFERROR(VLOOKUP($J$5&amp;$I23,'5zip'!$A:$F,6,FALSE),VLOOKUP($J$5&amp;$H23,'4zip'!$A:$F,6,FALSE)),VLOOKUP($J$5&amp;$G23,'3zip'!$A:$F,6,FALSE)),"Zip Code Not Serviced")</f>
        <v>Zip Code Not Serviced</v>
      </c>
      <c r="N23" s="610">
        <f t="shared" si="4"/>
        <v>0</v>
      </c>
      <c r="O23" s="611">
        <f>IFERROR((VLOOKUP($J$4&amp;$C23&amp;$J$6&amp;$J$7,'Variable Selling'!$B:$O,11,FALSE))*F23,0)</f>
        <v>0</v>
      </c>
      <c r="P23" s="611">
        <f>IFERROR(VLOOKUP($J$4,'Variable Div Avgs'!$D:$I,6,FALSE)*'Variable Costs (Back)'!$F23,0)</f>
        <v>0</v>
      </c>
      <c r="Q23" s="611">
        <f t="shared" si="0"/>
        <v>0</v>
      </c>
      <c r="R23" s="611">
        <f t="shared" si="1"/>
        <v>0</v>
      </c>
      <c r="S23" s="611">
        <f t="shared" si="5"/>
        <v>0</v>
      </c>
      <c r="T23" s="611">
        <f>IFERROR(VLOOKUP($AC23,'Existing Customer Variable Exp'!$B:$E,2,FALSE),0)</f>
        <v>0</v>
      </c>
      <c r="U23" s="611">
        <f>IFERROR(VLOOKUP($AC23,'Existing Customer Variable Exp'!$B:$E,3,FALSE),0)</f>
        <v>0</v>
      </c>
      <c r="V23" s="611">
        <f>IFERROR(VLOOKUP($AC23,'Existing Customer Variable Exp'!$B:$E,4,FALSE),0)</f>
        <v>0</v>
      </c>
      <c r="W23" s="610">
        <f t="shared" si="6"/>
        <v>0</v>
      </c>
      <c r="X23" s="611">
        <f t="shared" si="7"/>
        <v>0</v>
      </c>
      <c r="Y23" s="611">
        <f t="shared" si="8"/>
        <v>0</v>
      </c>
      <c r="Z23" s="611" t="str">
        <f>IF('Customer Inputs'!L14&lt;&gt;'Customer Inputs'!X14,"Modelled",IF(D23=F23,"BASE","Modelled"))</f>
        <v>BASE</v>
      </c>
      <c r="AA23" s="611" t="str">
        <f>IF(AND(SUMIF('Existing Customers'!$A:$A,'Variable Costs (Back)'!$AC23,'Existing Customers'!$Q:$Q)&gt;0,'Customer Inputs'!$U14&lt;&gt;"Prospect"),IF('Customer Inputs'!$V14&lt;&gt;"Yes","Existing","New"),"New")</f>
        <v>New</v>
      </c>
      <c r="AB23" s="628" t="s">
        <v>840</v>
      </c>
      <c r="AC23" s="612" t="str">
        <f>IF('Customer Inputs'!$F14="","",'Customer Inputs'!$G14)</f>
        <v/>
      </c>
      <c r="AD23" s="631">
        <f>IF($AA23="Existing",IF($Z23="BASE",$T23,$W23),$N23)</f>
        <v>0</v>
      </c>
      <c r="AE23" s="631">
        <f>IF($AA23="Existing",IF($Z23="BASE",$U23,$X23),$O23)</f>
        <v>0</v>
      </c>
      <c r="AF23" s="631">
        <f t="shared" si="11"/>
        <v>0</v>
      </c>
      <c r="AG23" s="729">
        <f t="shared" si="12"/>
        <v>0</v>
      </c>
      <c r="AH23" s="143" t="s">
        <v>262</v>
      </c>
      <c r="AI23" s="143" t="s">
        <v>112</v>
      </c>
      <c r="AJ23" s="143" t="s">
        <v>262</v>
      </c>
      <c r="AK23" s="143" t="s">
        <v>112</v>
      </c>
    </row>
    <row r="24" spans="1:37" ht="13.5" thickBot="1" x14ac:dyDescent="0.25">
      <c r="A24" s="143" t="str">
        <f>IF('Customer Inputs'!$S15="","",IF('Variable Costs (Back)'!$M24="Zip Code Not Serviced","Zip Code Not Serviced",""))</f>
        <v/>
      </c>
      <c r="B24" s="143" t="str">
        <f>'Customer Inputs'!Y15</f>
        <v/>
      </c>
      <c r="C24" s="143" t="str">
        <f>IF('Customer Inputs'!H15="HOSPITALITY",IFERROR(VLOOKUP(B24,$AJ:$AK,2,FALSE),""),IFERROR(VLOOKUP(B24,$AH:$AI,2,FALSE),""))</f>
        <v/>
      </c>
      <c r="D24" s="608">
        <f>ROUND('Multi-Customer'!$JA$51,0)</f>
        <v>0</v>
      </c>
      <c r="E24" s="608">
        <f>ROUND('Multi-Customer'!$JA$52,0)</f>
        <v>0</v>
      </c>
      <c r="F24" s="608">
        <f>ROUND('Multi-Customer'!$JB$35,0)</f>
        <v>0</v>
      </c>
      <c r="G24" s="608" t="str">
        <f t="shared" si="2"/>
        <v/>
      </c>
      <c r="H24" s="608" t="str">
        <f t="shared" si="3"/>
        <v/>
      </c>
      <c r="I24" s="608" t="str">
        <f>IF('Customer Inputs'!Z15="","",'Customer Inputs'!Z15)</f>
        <v/>
      </c>
      <c r="J24" s="626" t="str">
        <f>IF('Customer Inputs'!$F15="","",'Customer Inputs'!$P15)</f>
        <v/>
      </c>
      <c r="K24" s="143" t="str">
        <f>'Customer Inputs'!X15</f>
        <v/>
      </c>
      <c r="L24" s="609">
        <f>IFERROR(IFERROR(IFERROR(VLOOKUP($J$5&amp;$I24,'5zip'!$A:$F,6,FALSE),VLOOKUP($J$5&amp;$H24,'4zip'!$A:$F,6,FALSE)),VLOOKUP($J$5&amp;$G24,'3zip'!$A:$F,6,FALSE)),0)</f>
        <v>0</v>
      </c>
      <c r="M24" s="609" t="str">
        <f>IFERROR(IFERROR(IFERROR(VLOOKUP($J$5&amp;$I24,'5zip'!$A:$F,6,FALSE),VLOOKUP($J$5&amp;$H24,'4zip'!$A:$F,6,FALSE)),VLOOKUP($J$5&amp;$G24,'3zip'!$A:$F,6,FALSE)),"Zip Code Not Serviced")</f>
        <v>Zip Code Not Serviced</v>
      </c>
      <c r="N24" s="610">
        <f t="shared" si="4"/>
        <v>0</v>
      </c>
      <c r="O24" s="611">
        <f>IFERROR((VLOOKUP($J$4&amp;$C24&amp;$J$6&amp;$J$7,'Variable Selling'!$B:$O,11,FALSE))*F24,0)</f>
        <v>0</v>
      </c>
      <c r="P24" s="611">
        <f>IFERROR(VLOOKUP($J$4,'Variable Div Avgs'!$D:$I,6,FALSE)*'Variable Costs (Back)'!$F24,0)</f>
        <v>0</v>
      </c>
      <c r="Q24" s="611">
        <f t="shared" si="0"/>
        <v>0</v>
      </c>
      <c r="R24" s="611">
        <f t="shared" si="1"/>
        <v>0</v>
      </c>
      <c r="S24" s="611">
        <f t="shared" si="5"/>
        <v>0</v>
      </c>
      <c r="T24" s="611">
        <f>IFERROR(VLOOKUP($AC24,'Existing Customer Variable Exp'!$B:$E,2,FALSE),0)</f>
        <v>0</v>
      </c>
      <c r="U24" s="611">
        <f>IFERROR(VLOOKUP($AC24,'Existing Customer Variable Exp'!$B:$E,3,FALSE),0)</f>
        <v>0</v>
      </c>
      <c r="V24" s="611">
        <f>IFERROR(VLOOKUP($AC24,'Existing Customer Variable Exp'!$B:$E,4,FALSE),0)</f>
        <v>0</v>
      </c>
      <c r="W24" s="610">
        <f t="shared" si="6"/>
        <v>0</v>
      </c>
      <c r="X24" s="611">
        <f t="shared" si="7"/>
        <v>0</v>
      </c>
      <c r="Y24" s="611">
        <f t="shared" si="8"/>
        <v>0</v>
      </c>
      <c r="Z24" s="611" t="str">
        <f>IF('Customer Inputs'!L15&lt;&gt;'Customer Inputs'!X15,"Modelled",IF(D24=F24,"BASE","Modelled"))</f>
        <v>BASE</v>
      </c>
      <c r="AA24" s="611" t="str">
        <f>IF(AND(SUMIF('Existing Customers'!$A:$A,'Variable Costs (Back)'!$AC24,'Existing Customers'!$Q:$Q)&gt;0,'Customer Inputs'!$U15&lt;&gt;"Prospect"),IF('Customer Inputs'!$V15&lt;&gt;"Yes","Existing","New"),"New")</f>
        <v>New</v>
      </c>
      <c r="AB24" s="628" t="s">
        <v>841</v>
      </c>
      <c r="AC24" s="635" t="str">
        <f>IF('Customer Inputs'!$F15="","",'Customer Inputs'!$G15)</f>
        <v/>
      </c>
      <c r="AD24" s="633">
        <f>IF($AA24="Existing",IF($Z24="BASE",$T24,$W24),$N24)</f>
        <v>0</v>
      </c>
      <c r="AE24" s="633">
        <f>IF($AA24="Existing",IF($Z24="BASE",$U24,$X24),$O24)</f>
        <v>0</v>
      </c>
      <c r="AF24" s="633">
        <f t="shared" si="11"/>
        <v>0</v>
      </c>
      <c r="AG24" s="730">
        <f t="shared" si="12"/>
        <v>0</v>
      </c>
      <c r="AH24" s="143" t="s">
        <v>263</v>
      </c>
      <c r="AI24" s="143" t="s">
        <v>113</v>
      </c>
      <c r="AJ24" s="143" t="s">
        <v>263</v>
      </c>
      <c r="AK24" s="143" t="s">
        <v>113</v>
      </c>
    </row>
    <row r="25" spans="1:37" ht="13.5" thickTop="1" x14ac:dyDescent="0.2">
      <c r="K25" s="613">
        <f>SUM(K15:K24)</f>
        <v>0</v>
      </c>
      <c r="W25" s="611"/>
      <c r="Y25" s="611"/>
      <c r="Z25" s="611"/>
      <c r="AA25" s="611"/>
      <c r="AC25" s="634" t="s">
        <v>974</v>
      </c>
      <c r="AD25" s="632">
        <f>SUM(AD15:AD24)</f>
        <v>0</v>
      </c>
      <c r="AE25" s="632">
        <f>SUM(AE15:AE24)</f>
        <v>0</v>
      </c>
      <c r="AF25" s="632">
        <f>SUM(AF15:AF24)</f>
        <v>0</v>
      </c>
      <c r="AG25" s="632">
        <f>SUM(AD25:AF25)</f>
        <v>0</v>
      </c>
      <c r="AH25" s="143" t="s">
        <v>265</v>
      </c>
      <c r="AI25" s="143" t="s">
        <v>111</v>
      </c>
      <c r="AJ25" s="143" t="s">
        <v>265</v>
      </c>
      <c r="AK25" s="143" t="s">
        <v>111</v>
      </c>
    </row>
    <row r="26" spans="1:37" x14ac:dyDescent="0.2">
      <c r="J26" s="614" t="s">
        <v>937</v>
      </c>
      <c r="K26" s="613">
        <f>IFERROR(SUM($K$15:$K$24)/COUNTIF($K$15:$K$24,"&gt;0"),0)</f>
        <v>0</v>
      </c>
      <c r="AB26" s="614"/>
      <c r="AH26" s="143" t="s">
        <v>266</v>
      </c>
      <c r="AI26" s="143" t="s">
        <v>118</v>
      </c>
      <c r="AJ26" s="143" t="s">
        <v>266</v>
      </c>
      <c r="AK26" s="143" t="s">
        <v>118</v>
      </c>
    </row>
    <row r="27" spans="1:37" x14ac:dyDescent="0.2">
      <c r="AB27" s="614"/>
      <c r="AH27" s="143" t="s">
        <v>267</v>
      </c>
      <c r="AI27" s="143" t="s">
        <v>115</v>
      </c>
      <c r="AJ27" s="143" t="s">
        <v>267</v>
      </c>
      <c r="AK27" s="143" t="s">
        <v>115</v>
      </c>
    </row>
    <row r="28" spans="1:37" x14ac:dyDescent="0.2">
      <c r="AH28" s="143" t="s">
        <v>268</v>
      </c>
      <c r="AI28" s="143" t="s">
        <v>117</v>
      </c>
      <c r="AJ28" s="143" t="s">
        <v>268</v>
      </c>
      <c r="AK28" s="143"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351" t="s">
        <v>1046</v>
      </c>
      <c r="F1" s="1352"/>
      <c r="G1" s="1352"/>
      <c r="H1" s="1352"/>
      <c r="I1" s="1352"/>
      <c r="J1" s="1353"/>
      <c r="L1" s="1351" t="s">
        <v>1045</v>
      </c>
      <c r="M1" s="1353"/>
      <c r="Q1" s="1" t="s">
        <v>551</v>
      </c>
      <c r="R1" s="1" t="s">
        <v>550</v>
      </c>
    </row>
    <row r="2" spans="1:18" x14ac:dyDescent="0.25">
      <c r="E2" s="1">
        <v>0.1</v>
      </c>
      <c r="F2" s="51">
        <v>1.0999999999999999E-2</v>
      </c>
      <c r="G2" s="51">
        <v>2.7E-2</v>
      </c>
      <c r="H2" s="51">
        <v>3.2000000000000001E-2</v>
      </c>
      <c r="I2" s="51">
        <v>4.9000000000000002E-2</v>
      </c>
      <c r="J2" s="51">
        <v>6.4000000000000001E-2</v>
      </c>
      <c r="L2" s="837" t="s">
        <v>1166</v>
      </c>
      <c r="M2" s="46">
        <v>5.0000000000000001E-4</v>
      </c>
      <c r="O2" s="1" t="s">
        <v>552</v>
      </c>
      <c r="P2" s="1" t="s">
        <v>214</v>
      </c>
      <c r="Q2" s="1" t="s">
        <v>14</v>
      </c>
      <c r="R2" s="51">
        <v>6.0999999999999999E-2</v>
      </c>
    </row>
    <row r="3" spans="1:18" x14ac:dyDescent="0.25">
      <c r="E3" s="1">
        <v>0.15</v>
      </c>
      <c r="F3" s="51">
        <v>5.0000000000000001E-3</v>
      </c>
      <c r="G3" s="51">
        <v>3.9E-2</v>
      </c>
      <c r="H3" s="51">
        <v>0.05</v>
      </c>
      <c r="I3" s="51">
        <v>6.5000000000000002E-2</v>
      </c>
      <c r="J3" s="51">
        <v>8.5999999999999993E-2</v>
      </c>
      <c r="L3" s="837" t="s">
        <v>1167</v>
      </c>
      <c r="M3" s="46">
        <v>1E-3</v>
      </c>
      <c r="O3" s="1" t="s">
        <v>553</v>
      </c>
      <c r="P3" s="1" t="s">
        <v>215</v>
      </c>
      <c r="Q3" s="1" t="s">
        <v>14</v>
      </c>
      <c r="R3" s="51">
        <v>9.8000000000000004E-2</v>
      </c>
    </row>
    <row r="4" spans="1:18" x14ac:dyDescent="0.25">
      <c r="B4" t="str">
        <f>'Multi-Customer'!$AH$39</f>
        <v>Enter Customer(s)</v>
      </c>
      <c r="E4" s="1">
        <v>0.2</v>
      </c>
      <c r="F4" s="51">
        <v>3.2000000000000001E-2</v>
      </c>
      <c r="G4" s="51">
        <v>5.2999999999999999E-2</v>
      </c>
      <c r="H4" s="51">
        <v>6.5000000000000002E-2</v>
      </c>
      <c r="I4" s="51">
        <v>7.6999999999999999E-2</v>
      </c>
      <c r="J4" s="51">
        <v>0.11</v>
      </c>
      <c r="L4" s="837" t="s">
        <v>1168</v>
      </c>
      <c r="M4" s="46">
        <v>1.5E-3</v>
      </c>
      <c r="O4" s="1" t="s">
        <v>554</v>
      </c>
      <c r="P4" s="1" t="s">
        <v>216</v>
      </c>
      <c r="Q4" s="1" t="s">
        <v>14</v>
      </c>
      <c r="R4" s="51">
        <v>0.122</v>
      </c>
    </row>
    <row r="5" spans="1:18" x14ac:dyDescent="0.25">
      <c r="B5" t="str">
        <f>'Multi-Customer'!$AH$39</f>
        <v>Enter Customer(s)</v>
      </c>
      <c r="E5" s="1">
        <v>0.25</v>
      </c>
      <c r="F5" s="51">
        <v>4.2000000000000003E-2</v>
      </c>
      <c r="G5" s="51">
        <v>5.8999999999999997E-2</v>
      </c>
      <c r="H5" s="51">
        <v>7.0999999999999994E-2</v>
      </c>
      <c r="I5" s="51">
        <v>9.2999999999999999E-2</v>
      </c>
      <c r="J5" s="51">
        <v>0.122</v>
      </c>
      <c r="L5" s="837" t="s">
        <v>1169</v>
      </c>
      <c r="M5" s="46">
        <v>2E-3</v>
      </c>
      <c r="O5" s="1" t="s">
        <v>555</v>
      </c>
      <c r="P5" s="1" t="s">
        <v>270</v>
      </c>
      <c r="Q5" s="1" t="s">
        <v>14</v>
      </c>
      <c r="R5" s="51">
        <v>0.14499999999999999</v>
      </c>
    </row>
    <row r="6" spans="1:18" x14ac:dyDescent="0.25">
      <c r="A6" s="85" t="s">
        <v>962</v>
      </c>
      <c r="B6" t="str">
        <f>IF(B7&lt;0.25,"Q1",IF(B7&lt;0.5,"Q2",IF(B7&lt;0.75,"Q3","Q4")))</f>
        <v>Q1</v>
      </c>
      <c r="E6" s="1">
        <v>0.3</v>
      </c>
      <c r="F6" s="51">
        <v>3.2000000000000001E-2</v>
      </c>
      <c r="G6" s="51">
        <v>6.5000000000000002E-2</v>
      </c>
      <c r="H6" s="51">
        <v>7.6999999999999999E-2</v>
      </c>
      <c r="I6" s="51">
        <v>9.5000000000000001E-2</v>
      </c>
      <c r="J6" s="51">
        <v>0.12</v>
      </c>
      <c r="L6" s="837" t="s">
        <v>1170</v>
      </c>
      <c r="M6" s="46">
        <v>2.5000000000000001E-3</v>
      </c>
      <c r="O6" s="1" t="s">
        <v>556</v>
      </c>
      <c r="P6" s="1" t="s">
        <v>214</v>
      </c>
      <c r="Q6" s="1" t="s">
        <v>62</v>
      </c>
      <c r="R6" s="51">
        <v>4.5999999999999999E-2</v>
      </c>
    </row>
    <row r="7" spans="1:18" x14ac:dyDescent="0.25">
      <c r="A7" s="85" t="s">
        <v>473</v>
      </c>
      <c r="B7">
        <f>'PIM Ranges'!$AU$3</f>
        <v>0</v>
      </c>
      <c r="E7" s="1">
        <v>0.35</v>
      </c>
      <c r="F7" s="51">
        <v>4.8000000000000001E-2</v>
      </c>
      <c r="G7" s="51">
        <v>7.9000000000000001E-2</v>
      </c>
      <c r="H7" s="51">
        <v>9.4E-2</v>
      </c>
      <c r="I7" s="51">
        <v>0.11</v>
      </c>
      <c r="J7" s="51">
        <v>0.14499999999999999</v>
      </c>
      <c r="L7" s="837" t="s">
        <v>1171</v>
      </c>
      <c r="M7" s="46">
        <v>3.0000000000000001E-3</v>
      </c>
      <c r="O7" s="1" t="s">
        <v>557</v>
      </c>
      <c r="P7" s="1" t="s">
        <v>215</v>
      </c>
      <c r="Q7" s="1" t="s">
        <v>62</v>
      </c>
      <c r="R7" s="51">
        <v>8.5000000000000006E-2</v>
      </c>
    </row>
    <row r="8" spans="1:18" x14ac:dyDescent="0.25">
      <c r="A8" s="85" t="s">
        <v>475</v>
      </c>
      <c r="B8">
        <f>IF($B$7&lt;$E$2,$G$2,IF($B$7&lt;$E$3,$G$3,IF($B$7&lt;$E$4,$G$4,IF($B$7&lt;$E$5,$G$5,IF($B$7&lt;$E$6,$G$6,IF($B$7&lt;$E$7,$G$7,IF($B$7&lt;$E$8,$G$8,IF($B$7&lt;$E$9,$G$9,IF($B$7&lt;$E$10,$G$10,IF($B$7&lt;$E$11,$G$11,IF($B$7&lt;$E$12,$G$12,IF($B$7&lt;$E$13,$G$13,IF($B$7&lt;$E$14,$G$14,IF($B$7&lt;$E$15,$G$15,IF($B$7&lt;$E$16,$G$16,$G$17)))))))))))))))</f>
        <v>2.7E-2</v>
      </c>
      <c r="E8" s="1">
        <v>0.4</v>
      </c>
      <c r="F8" s="51">
        <v>5.7000000000000002E-2</v>
      </c>
      <c r="G8" s="51">
        <v>8.5000000000000006E-2</v>
      </c>
      <c r="H8" s="51">
        <v>9.7000000000000003E-2</v>
      </c>
      <c r="I8" s="51">
        <v>0.109</v>
      </c>
      <c r="J8" s="51">
        <v>0.128</v>
      </c>
      <c r="L8" s="837" t="s">
        <v>1172</v>
      </c>
      <c r="M8" s="46">
        <v>3.5000000000000001E-3</v>
      </c>
      <c r="O8" s="1" t="s">
        <v>558</v>
      </c>
      <c r="P8" s="1" t="s">
        <v>216</v>
      </c>
      <c r="Q8" s="1" t="s">
        <v>62</v>
      </c>
      <c r="R8" s="51">
        <v>0.106</v>
      </c>
    </row>
    <row r="9" spans="1:18" x14ac:dyDescent="0.25">
      <c r="A9" s="85" t="s">
        <v>963</v>
      </c>
      <c r="B9" t="str">
        <f>IF($B$4="Multiple Menu Types",B6&amp;B5,B6&amp;B4)</f>
        <v>Q1Enter Customer(s)</v>
      </c>
      <c r="E9" s="1">
        <v>0.45</v>
      </c>
      <c r="F9" s="51">
        <v>5.6000000000000001E-2</v>
      </c>
      <c r="G9" s="51">
        <v>8.6999999999999994E-2</v>
      </c>
      <c r="H9" s="51">
        <v>0.10100000000000001</v>
      </c>
      <c r="I9" s="51">
        <v>0.12</v>
      </c>
      <c r="J9" s="51">
        <v>0.16700000000000001</v>
      </c>
      <c r="L9" s="837" t="s">
        <v>1173</v>
      </c>
      <c r="M9" s="46">
        <v>4.0000000000000001E-3</v>
      </c>
      <c r="O9" s="1" t="s">
        <v>559</v>
      </c>
      <c r="P9" s="1" t="s">
        <v>270</v>
      </c>
      <c r="Q9" s="1" t="s">
        <v>62</v>
      </c>
      <c r="R9" s="51">
        <v>0.106</v>
      </c>
    </row>
    <row r="10" spans="1:18" x14ac:dyDescent="0.25">
      <c r="A10" s="85"/>
      <c r="E10" s="1">
        <v>0.5</v>
      </c>
      <c r="F10" s="51">
        <v>0.05</v>
      </c>
      <c r="G10" s="51">
        <v>9.1999999999999998E-2</v>
      </c>
      <c r="H10" s="51">
        <v>0.108</v>
      </c>
      <c r="I10" s="51">
        <v>0.124</v>
      </c>
      <c r="J10" s="51">
        <v>0.16600000000000001</v>
      </c>
      <c r="L10" s="837" t="s">
        <v>1174</v>
      </c>
      <c r="M10" s="46">
        <v>4.4999999999999997E-3</v>
      </c>
      <c r="O10" s="1" t="s">
        <v>560</v>
      </c>
      <c r="P10" s="1" t="s">
        <v>214</v>
      </c>
      <c r="Q10" s="1" t="s">
        <v>74</v>
      </c>
      <c r="R10" s="51">
        <v>7.1999999999999995E-2</v>
      </c>
    </row>
    <row r="11" spans="1:18" x14ac:dyDescent="0.25">
      <c r="A11" s="85" t="s">
        <v>964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1">
        <v>5.8000000000000003E-2</v>
      </c>
      <c r="G11" s="51">
        <v>9.7000000000000003E-2</v>
      </c>
      <c r="H11" s="51">
        <v>0.111</v>
      </c>
      <c r="I11" s="51">
        <v>0.124</v>
      </c>
      <c r="J11" s="51">
        <v>0.158</v>
      </c>
      <c r="L11" s="837" t="s">
        <v>1175</v>
      </c>
      <c r="M11" s="46">
        <v>5.0000000000000001E-3</v>
      </c>
      <c r="O11" s="1" t="s">
        <v>561</v>
      </c>
      <c r="P11" s="1" t="s">
        <v>215</v>
      </c>
      <c r="Q11" s="1" t="s">
        <v>74</v>
      </c>
      <c r="R11" s="51">
        <v>0.109</v>
      </c>
    </row>
    <row r="12" spans="1:18" x14ac:dyDescent="0.25">
      <c r="A12" s="85" t="s">
        <v>965</v>
      </c>
      <c r="B12">
        <f>IFERROR(VLOOKUP($B$9,$O:$R,4,FALSE),0)</f>
        <v>0</v>
      </c>
      <c r="E12" s="1">
        <v>0.6</v>
      </c>
      <c r="F12" s="51">
        <v>6.6000000000000003E-2</v>
      </c>
      <c r="G12" s="51">
        <v>0.10299999999999999</v>
      </c>
      <c r="H12" s="51">
        <v>0.11899999999999999</v>
      </c>
      <c r="I12" s="51">
        <v>0.13700000000000001</v>
      </c>
      <c r="J12" s="51">
        <v>0.184</v>
      </c>
      <c r="L12" s="837" t="s">
        <v>1176</v>
      </c>
      <c r="M12" s="46">
        <v>5.4999999999999997E-3</v>
      </c>
      <c r="O12" s="1" t="s">
        <v>562</v>
      </c>
      <c r="P12" s="1" t="s">
        <v>216</v>
      </c>
      <c r="Q12" s="1" t="s">
        <v>74</v>
      </c>
      <c r="R12" s="51">
        <v>0.14299999999999999</v>
      </c>
    </row>
    <row r="13" spans="1:18" x14ac:dyDescent="0.25">
      <c r="A13" s="85"/>
      <c r="E13" s="1">
        <v>0.65</v>
      </c>
      <c r="F13" s="51">
        <v>7.4999999999999997E-2</v>
      </c>
      <c r="G13" s="51">
        <v>0.111</v>
      </c>
      <c r="H13" s="51">
        <v>0.123</v>
      </c>
      <c r="I13" s="51">
        <v>0.13600000000000001</v>
      </c>
      <c r="J13" s="51">
        <v>0.17299999999999999</v>
      </c>
      <c r="L13" s="837" t="s">
        <v>1177</v>
      </c>
      <c r="M13" s="46">
        <v>6.0000000000000001E-3</v>
      </c>
      <c r="O13" s="1" t="s">
        <v>563</v>
      </c>
      <c r="P13" s="1" t="s">
        <v>270</v>
      </c>
      <c r="Q13" s="1" t="s">
        <v>74</v>
      </c>
      <c r="R13" s="51">
        <v>0.14299999999999999</v>
      </c>
    </row>
    <row r="14" spans="1:18" x14ac:dyDescent="0.25">
      <c r="A14" s="85" t="s">
        <v>926</v>
      </c>
      <c r="B14" s="38">
        <f>'PIM Model'!$G$31</f>
        <v>0</v>
      </c>
      <c r="E14" s="1">
        <v>0.7</v>
      </c>
      <c r="F14" s="51">
        <v>0.08</v>
      </c>
      <c r="G14" s="51">
        <v>0.113</v>
      </c>
      <c r="H14" s="51">
        <v>0.126</v>
      </c>
      <c r="I14" s="51">
        <v>0.15</v>
      </c>
      <c r="J14" s="51">
        <v>0.20200000000000001</v>
      </c>
      <c r="L14" s="837" t="s">
        <v>1178</v>
      </c>
      <c r="M14" s="46">
        <v>6.4999999999999997E-3</v>
      </c>
      <c r="O14" s="1" t="s">
        <v>564</v>
      </c>
      <c r="P14" s="1" t="s">
        <v>214</v>
      </c>
      <c r="Q14" s="1" t="s">
        <v>34</v>
      </c>
      <c r="R14" s="51">
        <v>6.2E-2</v>
      </c>
    </row>
    <row r="15" spans="1:18" x14ac:dyDescent="0.25">
      <c r="A15" s="85" t="s">
        <v>966</v>
      </c>
      <c r="B15" s="38">
        <f>B12*B14</f>
        <v>0</v>
      </c>
      <c r="E15" s="1">
        <v>0.75</v>
      </c>
      <c r="F15" s="51">
        <v>7.8E-2</v>
      </c>
      <c r="G15" s="51">
        <v>0.108</v>
      </c>
      <c r="H15" s="51">
        <v>0.128</v>
      </c>
      <c r="I15" s="51">
        <v>0.154</v>
      </c>
      <c r="J15" s="51">
        <v>0.21</v>
      </c>
      <c r="L15" s="837" t="s">
        <v>1179</v>
      </c>
      <c r="M15" s="46">
        <v>7.0000000000000001E-3</v>
      </c>
      <c r="O15" s="1" t="s">
        <v>565</v>
      </c>
      <c r="P15" s="1" t="s">
        <v>215</v>
      </c>
      <c r="Q15" s="1" t="s">
        <v>34</v>
      </c>
      <c r="R15" s="51">
        <v>0.10199999999999999</v>
      </c>
    </row>
    <row r="16" spans="1:18" x14ac:dyDescent="0.25">
      <c r="A16" s="85" t="s">
        <v>964</v>
      </c>
      <c r="B16">
        <f>B14*B11</f>
        <v>0</v>
      </c>
      <c r="E16" s="1">
        <v>0.8</v>
      </c>
      <c r="F16" s="51">
        <v>9.7000000000000003E-2</v>
      </c>
      <c r="G16" s="51">
        <v>0.13200000000000001</v>
      </c>
      <c r="H16" s="51">
        <v>0.129</v>
      </c>
      <c r="I16" s="51">
        <v>0.156</v>
      </c>
      <c r="J16" s="51">
        <v>0.17</v>
      </c>
      <c r="L16" s="837" t="s">
        <v>1180</v>
      </c>
      <c r="M16" s="46">
        <v>7.4999999999999997E-3</v>
      </c>
      <c r="O16" s="1" t="s">
        <v>566</v>
      </c>
      <c r="P16" s="1" t="s">
        <v>216</v>
      </c>
      <c r="Q16" s="1" t="s">
        <v>34</v>
      </c>
      <c r="R16" s="51">
        <v>0.11700000000000001</v>
      </c>
    </row>
    <row r="17" spans="2:18" x14ac:dyDescent="0.25">
      <c r="E17" s="1" t="s">
        <v>474</v>
      </c>
      <c r="F17" s="51">
        <v>9.9000000000000005E-2</v>
      </c>
      <c r="G17" s="51">
        <v>0.10800000000000001</v>
      </c>
      <c r="H17" s="51">
        <v>0.129</v>
      </c>
      <c r="I17" s="51">
        <v>0.151</v>
      </c>
      <c r="J17" s="51">
        <v>0.155</v>
      </c>
      <c r="L17" s="838" t="s">
        <v>1181</v>
      </c>
      <c r="M17" s="46">
        <v>8.0000000000000002E-3</v>
      </c>
      <c r="O17" s="1" t="s">
        <v>567</v>
      </c>
      <c r="P17" s="1" t="s">
        <v>270</v>
      </c>
      <c r="Q17" s="1" t="s">
        <v>34</v>
      </c>
      <c r="R17" s="51">
        <v>0.11700000000000001</v>
      </c>
    </row>
    <row r="18" spans="2:18" x14ac:dyDescent="0.25">
      <c r="L18" s="837" t="s">
        <v>1182</v>
      </c>
      <c r="M18" s="46">
        <v>8.5000000000000006E-3</v>
      </c>
      <c r="O18" s="1" t="s">
        <v>568</v>
      </c>
      <c r="P18" s="1" t="s">
        <v>214</v>
      </c>
      <c r="Q18" s="1" t="s">
        <v>0</v>
      </c>
      <c r="R18" s="51">
        <v>5.3999999999999999E-2</v>
      </c>
    </row>
    <row r="19" spans="2:18" x14ac:dyDescent="0.25">
      <c r="B19" t="s">
        <v>1052</v>
      </c>
      <c r="C19">
        <f>IF(Welcome!$D$14="Select # of Locations",0,Welcome!$D$14)</f>
        <v>0</v>
      </c>
      <c r="L19" s="837" t="s">
        <v>1183</v>
      </c>
      <c r="M19" s="46">
        <v>8.9999999999999993E-3</v>
      </c>
      <c r="O19" s="1" t="s">
        <v>569</v>
      </c>
      <c r="P19" s="1" t="s">
        <v>215</v>
      </c>
      <c r="Q19" s="1" t="s">
        <v>0</v>
      </c>
      <c r="R19" s="51">
        <v>8.7999999999999995E-2</v>
      </c>
    </row>
    <row r="20" spans="2:18" x14ac:dyDescent="0.25">
      <c r="B20">
        <f>'PIM Model'!$E$3</f>
        <v>0</v>
      </c>
      <c r="E20" s="1351" t="s">
        <v>1047</v>
      </c>
      <c r="F20" s="1352"/>
      <c r="G20" s="1353"/>
      <c r="L20" s="1"/>
      <c r="M20" s="46">
        <v>9.4999999999999998E-3</v>
      </c>
      <c r="O20" s="1" t="s">
        <v>570</v>
      </c>
      <c r="P20" s="1" t="s">
        <v>216</v>
      </c>
      <c r="Q20" s="1" t="s">
        <v>0</v>
      </c>
      <c r="R20" s="51">
        <v>0.112</v>
      </c>
    </row>
    <row r="21" spans="2:18" x14ac:dyDescent="0.25">
      <c r="B21" t="s">
        <v>495</v>
      </c>
      <c r="C21" s="38">
        <f>'PIM Model'!$G$31</f>
        <v>0</v>
      </c>
      <c r="E21" s="87" t="s">
        <v>1054</v>
      </c>
      <c r="F21" s="702">
        <v>2600</v>
      </c>
      <c r="G21" s="51">
        <v>5.6000000000000001E-2</v>
      </c>
      <c r="H21" s="24"/>
      <c r="O21" s="1" t="s">
        <v>571</v>
      </c>
      <c r="P21" s="1" t="s">
        <v>270</v>
      </c>
      <c r="Q21" s="1" t="s">
        <v>0</v>
      </c>
      <c r="R21" s="51">
        <v>0.112</v>
      </c>
    </row>
    <row r="22" spans="2:18" x14ac:dyDescent="0.25">
      <c r="B22" t="s">
        <v>496</v>
      </c>
      <c r="C22" s="38">
        <f>$C$21/52</f>
        <v>0</v>
      </c>
      <c r="D22" t="s">
        <v>1069</v>
      </c>
      <c r="E22" s="87" t="s">
        <v>1055</v>
      </c>
      <c r="F22" s="702">
        <v>4600</v>
      </c>
      <c r="G22" s="51">
        <v>6.3E-2</v>
      </c>
      <c r="H22" s="24"/>
      <c r="L22" s="1350" t="s">
        <v>113</v>
      </c>
      <c r="M22" s="1350"/>
      <c r="O22" s="1" t="s">
        <v>572</v>
      </c>
      <c r="P22" s="1" t="s">
        <v>214</v>
      </c>
      <c r="Q22" s="1" t="s">
        <v>69</v>
      </c>
      <c r="R22" s="51">
        <v>7.6999999999999999E-2</v>
      </c>
    </row>
    <row r="23" spans="2:18" x14ac:dyDescent="0.25">
      <c r="B23" t="s">
        <v>1053</v>
      </c>
      <c r="C23" s="38" t="e">
        <f>$C$22/C19</f>
        <v>#DIV/0!</v>
      </c>
      <c r="E23" s="87" t="s">
        <v>1056</v>
      </c>
      <c r="F23" s="702">
        <v>8300</v>
      </c>
      <c r="G23" s="51">
        <v>5.2999999999999999E-2</v>
      </c>
      <c r="H23" s="24"/>
      <c r="L23" s="1351" t="s">
        <v>1045</v>
      </c>
      <c r="M23" s="1353"/>
      <c r="O23" s="1" t="s">
        <v>573</v>
      </c>
      <c r="P23" s="1" t="s">
        <v>215</v>
      </c>
      <c r="Q23" s="1" t="s">
        <v>69</v>
      </c>
      <c r="R23" s="51">
        <v>0.122</v>
      </c>
    </row>
    <row r="24" spans="2:18" x14ac:dyDescent="0.25">
      <c r="B24" t="s">
        <v>1049</v>
      </c>
      <c r="C24" s="24">
        <v>0.08</v>
      </c>
      <c r="D24" s="24" t="e">
        <f>IF($C$23&lt;$F$21,$G$21,IF($C$23&lt;$F$22,$G$22,IF($C$23&lt;$F$23,$G$23,IF($C$23&lt;$F$24,$G$24,$G$25))))</f>
        <v>#DIV/0!</v>
      </c>
      <c r="E24" s="87" t="s">
        <v>1057</v>
      </c>
      <c r="F24" s="702">
        <v>17000</v>
      </c>
      <c r="G24" s="51">
        <v>7.2999999999999995E-2</v>
      </c>
      <c r="H24" s="24"/>
      <c r="L24" s="427" t="s">
        <v>1166</v>
      </c>
      <c r="M24" s="46">
        <f t="shared" ref="M24:M29" si="0">M25-0.0005</f>
        <v>4.9999999999999975E-3</v>
      </c>
      <c r="O24" s="1" t="s">
        <v>574</v>
      </c>
      <c r="P24" s="1" t="s">
        <v>216</v>
      </c>
      <c r="Q24" s="1" t="s">
        <v>69</v>
      </c>
      <c r="R24" s="51">
        <v>0.151</v>
      </c>
    </row>
    <row r="25" spans="2:18" x14ac:dyDescent="0.25">
      <c r="B25" t="s">
        <v>1050</v>
      </c>
      <c r="C25" s="24">
        <v>0.08</v>
      </c>
      <c r="D25" s="24" t="e">
        <f>IF($C$23&lt;$F$29,$G$29,IF($C$23&lt;$F$30,$G$30,IF($C$23&lt;$F$31,$G$31,IF($C$23&lt;$F$32,$G$32,$G$33))))</f>
        <v>#DIV/0!</v>
      </c>
      <c r="E25" s="87" t="s">
        <v>1058</v>
      </c>
      <c r="F25" s="702"/>
      <c r="G25" s="51">
        <v>6.0999999999999999E-2</v>
      </c>
      <c r="H25" s="24"/>
      <c r="K25" s="796"/>
      <c r="L25" s="427" t="s">
        <v>1167</v>
      </c>
      <c r="M25" s="46">
        <f t="shared" si="0"/>
        <v>5.4999999999999979E-3</v>
      </c>
      <c r="O25" s="1" t="s">
        <v>575</v>
      </c>
      <c r="P25" s="1" t="s">
        <v>270</v>
      </c>
      <c r="Q25" s="1" t="s">
        <v>69</v>
      </c>
      <c r="R25" s="51">
        <v>0.151</v>
      </c>
    </row>
    <row r="26" spans="2:18" x14ac:dyDescent="0.25">
      <c r="B26" t="s">
        <v>1051</v>
      </c>
      <c r="C26" s="24">
        <f>IF($B$20="MDA",$C$24,$C$25)</f>
        <v>0.08</v>
      </c>
      <c r="E26" s="85"/>
      <c r="G26" s="24"/>
      <c r="H26" s="24"/>
      <c r="K26" s="796"/>
      <c r="L26" s="427" t="s">
        <v>1168</v>
      </c>
      <c r="M26" s="46">
        <f t="shared" si="0"/>
        <v>5.9999999999999984E-3</v>
      </c>
      <c r="O26" s="1" t="s">
        <v>576</v>
      </c>
      <c r="P26" s="1" t="s">
        <v>214</v>
      </c>
      <c r="Q26" s="1" t="s">
        <v>4</v>
      </c>
      <c r="R26" s="51">
        <v>6.5000000000000002E-2</v>
      </c>
    </row>
    <row r="27" spans="2:18" x14ac:dyDescent="0.25">
      <c r="B27" t="s">
        <v>494</v>
      </c>
      <c r="C27" s="24">
        <f>'Tracking &amp; Profitability'!$I$34</f>
        <v>0</v>
      </c>
      <c r="E27" s="85"/>
      <c r="K27" s="796"/>
      <c r="L27" s="427" t="s">
        <v>1169</v>
      </c>
      <c r="M27" s="46">
        <f t="shared" si="0"/>
        <v>6.4999999999999988E-3</v>
      </c>
      <c r="O27" s="1" t="s">
        <v>577</v>
      </c>
      <c r="P27" s="1" t="s">
        <v>215</v>
      </c>
      <c r="Q27" s="1" t="s">
        <v>4</v>
      </c>
      <c r="R27" s="51">
        <v>9.2999999999999999E-2</v>
      </c>
    </row>
    <row r="28" spans="2:18" x14ac:dyDescent="0.25">
      <c r="C28" s="24">
        <f>IFERROR(IF($C$27&gt;$C$26,"Approved",C26-C27),0)</f>
        <v>0.08</v>
      </c>
      <c r="E28" s="1350" t="s">
        <v>1048</v>
      </c>
      <c r="F28" s="1350"/>
      <c r="G28" s="1350"/>
      <c r="K28" s="796"/>
      <c r="L28" s="427" t="s">
        <v>1170</v>
      </c>
      <c r="M28" s="46">
        <f t="shared" si="0"/>
        <v>6.9999999999999993E-3</v>
      </c>
      <c r="O28" s="1" t="s">
        <v>578</v>
      </c>
      <c r="P28" s="1" t="s">
        <v>216</v>
      </c>
      <c r="Q28" s="1" t="s">
        <v>4</v>
      </c>
      <c r="R28" s="51">
        <v>0.11600000000000001</v>
      </c>
    </row>
    <row r="29" spans="2:18" x14ac:dyDescent="0.25">
      <c r="E29" s="87" t="s">
        <v>1059</v>
      </c>
      <c r="F29" s="702">
        <v>1500</v>
      </c>
      <c r="G29" s="51">
        <v>8.3000000000000004E-2</v>
      </c>
      <c r="H29" s="24"/>
      <c r="K29" s="796"/>
      <c r="L29" s="427" t="s">
        <v>1171</v>
      </c>
      <c r="M29" s="46">
        <f t="shared" si="0"/>
        <v>7.4999999999999997E-3</v>
      </c>
      <c r="O29" s="1" t="s">
        <v>579</v>
      </c>
      <c r="P29" s="1" t="s">
        <v>270</v>
      </c>
      <c r="Q29" s="1" t="s">
        <v>4</v>
      </c>
      <c r="R29" s="51">
        <v>0.11600000000000001</v>
      </c>
    </row>
    <row r="30" spans="2:18" x14ac:dyDescent="0.25">
      <c r="E30" s="87" t="s">
        <v>1060</v>
      </c>
      <c r="F30" s="702">
        <v>2400</v>
      </c>
      <c r="G30" s="51">
        <v>8.3000000000000004E-2</v>
      </c>
      <c r="H30" s="24"/>
      <c r="K30" s="796"/>
      <c r="L30" s="812" t="s">
        <v>1172</v>
      </c>
      <c r="M30" s="813">
        <v>8.0000000000000002E-3</v>
      </c>
      <c r="O30" s="1" t="s">
        <v>580</v>
      </c>
      <c r="P30" s="1" t="s">
        <v>214</v>
      </c>
      <c r="Q30" s="1" t="s">
        <v>35</v>
      </c>
      <c r="R30" s="51">
        <v>8.6999999999999994E-2</v>
      </c>
    </row>
    <row r="31" spans="2:18" x14ac:dyDescent="0.25">
      <c r="E31" s="87" t="s">
        <v>1061</v>
      </c>
      <c r="F31" s="702">
        <v>4100</v>
      </c>
      <c r="G31" s="51">
        <v>8.3000000000000004E-2</v>
      </c>
      <c r="H31" s="24"/>
      <c r="K31" s="796"/>
      <c r="L31" s="427" t="s">
        <v>1173</v>
      </c>
      <c r="M31" s="46">
        <f>M30+0.0005</f>
        <v>8.5000000000000006E-3</v>
      </c>
      <c r="O31" s="1" t="s">
        <v>581</v>
      </c>
      <c r="P31" s="1" t="s">
        <v>215</v>
      </c>
      <c r="Q31" s="1" t="s">
        <v>35</v>
      </c>
      <c r="R31" s="51">
        <v>8.6999999999999994E-2</v>
      </c>
    </row>
    <row r="32" spans="2:18" x14ac:dyDescent="0.25">
      <c r="E32" s="87" t="s">
        <v>1062</v>
      </c>
      <c r="F32" s="702">
        <v>8000</v>
      </c>
      <c r="G32" s="51">
        <v>8.2000000000000003E-2</v>
      </c>
      <c r="H32" s="24"/>
      <c r="K32" s="796"/>
      <c r="L32" s="427" t="s">
        <v>1174</v>
      </c>
      <c r="M32" s="46">
        <f>M31+0.0005</f>
        <v>9.0000000000000011E-3</v>
      </c>
      <c r="O32" s="1" t="s">
        <v>582</v>
      </c>
      <c r="P32" s="1" t="s">
        <v>216</v>
      </c>
      <c r="Q32" s="1" t="s">
        <v>35</v>
      </c>
      <c r="R32" s="51">
        <v>0.11700000000000001</v>
      </c>
    </row>
    <row r="33" spans="1:18" x14ac:dyDescent="0.25">
      <c r="E33" s="87" t="s">
        <v>1063</v>
      </c>
      <c r="F33" s="702"/>
      <c r="G33" s="51">
        <v>7.9000000000000001E-2</v>
      </c>
      <c r="H33" s="24"/>
      <c r="K33" s="796"/>
      <c r="L33" s="427" t="s">
        <v>1175</v>
      </c>
      <c r="M33" s="46">
        <f t="shared" ref="J33:M42" si="1">M32+0.0005</f>
        <v>9.5000000000000015E-3</v>
      </c>
      <c r="O33" s="1" t="s">
        <v>583</v>
      </c>
      <c r="P33" s="1" t="s">
        <v>270</v>
      </c>
      <c r="Q33" s="1" t="s">
        <v>35</v>
      </c>
      <c r="R33" s="51">
        <v>0.11700000000000001</v>
      </c>
    </row>
    <row r="34" spans="1:18" ht="15.75" thickBot="1" x14ac:dyDescent="0.3">
      <c r="G34" s="24"/>
      <c r="H34" s="24"/>
      <c r="K34" s="796"/>
      <c r="L34" s="427" t="s">
        <v>1176</v>
      </c>
      <c r="M34" s="46">
        <f t="shared" si="1"/>
        <v>1.0000000000000002E-2</v>
      </c>
      <c r="O34" s="1" t="s">
        <v>584</v>
      </c>
      <c r="P34" s="1" t="s">
        <v>214</v>
      </c>
      <c r="Q34" s="1" t="s">
        <v>6</v>
      </c>
      <c r="R34" s="51">
        <v>0.06</v>
      </c>
    </row>
    <row r="35" spans="1:18" ht="15.75" thickBot="1" x14ac:dyDescent="0.3">
      <c r="A35" s="456" t="s">
        <v>969</v>
      </c>
      <c r="K35" s="796"/>
      <c r="L35" s="427" t="s">
        <v>1177</v>
      </c>
      <c r="M35" s="46">
        <f t="shared" si="1"/>
        <v>1.0500000000000002E-2</v>
      </c>
      <c r="O35" s="1" t="s">
        <v>585</v>
      </c>
      <c r="P35" s="1" t="s">
        <v>215</v>
      </c>
      <c r="Q35" s="1" t="s">
        <v>6</v>
      </c>
      <c r="R35" s="51">
        <v>0.106</v>
      </c>
    </row>
    <row r="36" spans="1:18" ht="15.75" thickBot="1" x14ac:dyDescent="0.3">
      <c r="A36" s="452" t="s">
        <v>959</v>
      </c>
      <c r="B36" s="449" t="s">
        <v>925</v>
      </c>
      <c r="C36" s="446" t="s">
        <v>466</v>
      </c>
      <c r="D36" s="446" t="s">
        <v>961</v>
      </c>
      <c r="E36" s="447" t="s">
        <v>967</v>
      </c>
      <c r="F36" s="448" t="s">
        <v>960</v>
      </c>
      <c r="G36" s="447" t="s">
        <v>968</v>
      </c>
      <c r="H36" s="796"/>
      <c r="I36" s="427" t="s">
        <v>1178</v>
      </c>
      <c r="J36" s="46">
        <f>M35+0.0005</f>
        <v>1.1000000000000003E-2</v>
      </c>
      <c r="L36" s="1" t="s">
        <v>586</v>
      </c>
      <c r="M36" s="1" t="s">
        <v>216</v>
      </c>
      <c r="N36" s="1" t="s">
        <v>6</v>
      </c>
      <c r="O36" s="51">
        <v>0.12</v>
      </c>
    </row>
    <row r="37" spans="1:18" x14ac:dyDescent="0.25">
      <c r="A37" s="453">
        <v>1</v>
      </c>
      <c r="B37" s="450" t="str">
        <f>'Customer Inputs'!Y6</f>
        <v/>
      </c>
      <c r="C37" s="30">
        <f>'Customer Inputs'!P6</f>
        <v>0</v>
      </c>
      <c r="D37" s="443">
        <f>'Multi-Customer'!$BB$9</f>
        <v>0</v>
      </c>
      <c r="E37" s="1170">
        <f>'Multi-Customer'!$BB$10</f>
        <v>0</v>
      </c>
      <c r="F37" s="444">
        <f t="shared" ref="F37:F46" si="2">D37*C37</f>
        <v>0</v>
      </c>
      <c r="G37" s="445">
        <f t="shared" ref="G37:G46" si="3">E37*C37</f>
        <v>0</v>
      </c>
      <c r="H37" s="796"/>
      <c r="I37" s="427" t="s">
        <v>1179</v>
      </c>
      <c r="J37" s="46">
        <f t="shared" si="1"/>
        <v>1.1500000000000003E-2</v>
      </c>
      <c r="L37" s="1" t="s">
        <v>587</v>
      </c>
      <c r="M37" s="1" t="s">
        <v>270</v>
      </c>
      <c r="N37" s="1" t="s">
        <v>6</v>
      </c>
      <c r="O37" s="51">
        <v>0.17</v>
      </c>
    </row>
    <row r="38" spans="1:18" x14ac:dyDescent="0.25">
      <c r="A38" s="454">
        <v>2</v>
      </c>
      <c r="B38" s="314" t="str">
        <f>'Customer Inputs'!Y7</f>
        <v/>
      </c>
      <c r="C38" s="1">
        <f>'Customer Inputs'!P7</f>
        <v>0</v>
      </c>
      <c r="D38" s="438">
        <f>'Multi-Customer'!$BY$9</f>
        <v>0</v>
      </c>
      <c r="E38" s="438">
        <f>'Multi-Customer'!$BY$10</f>
        <v>0</v>
      </c>
      <c r="F38" s="439">
        <f t="shared" si="2"/>
        <v>0</v>
      </c>
      <c r="G38" s="440">
        <f t="shared" si="3"/>
        <v>0</v>
      </c>
      <c r="H38" s="796"/>
      <c r="I38" s="427" t="s">
        <v>1180</v>
      </c>
      <c r="J38" s="46">
        <f t="shared" si="1"/>
        <v>1.2000000000000004E-2</v>
      </c>
      <c r="L38" s="1" t="s">
        <v>588</v>
      </c>
      <c r="M38" s="1" t="s">
        <v>214</v>
      </c>
      <c r="N38" s="1" t="s">
        <v>260</v>
      </c>
      <c r="O38" s="51">
        <v>5.9000000000000004E-2</v>
      </c>
    </row>
    <row r="39" spans="1:18" x14ac:dyDescent="0.25">
      <c r="A39" s="454">
        <v>3</v>
      </c>
      <c r="B39" s="314" t="str">
        <f>'Customer Inputs'!Y8</f>
        <v/>
      </c>
      <c r="C39" s="1">
        <f>'Customer Inputs'!P8</f>
        <v>0</v>
      </c>
      <c r="D39" s="438">
        <f>'Multi-Customer'!$CV$9</f>
        <v>0</v>
      </c>
      <c r="E39" s="1170">
        <f>'Multi-Customer'!$CV$10</f>
        <v>0</v>
      </c>
      <c r="F39" s="439">
        <f t="shared" si="2"/>
        <v>0</v>
      </c>
      <c r="G39" s="440">
        <f t="shared" si="3"/>
        <v>0</v>
      </c>
      <c r="H39" s="796"/>
      <c r="I39" s="428" t="s">
        <v>1181</v>
      </c>
      <c r="J39" s="46">
        <f t="shared" si="1"/>
        <v>1.2500000000000004E-2</v>
      </c>
      <c r="L39" s="1" t="s">
        <v>589</v>
      </c>
      <c r="M39" s="1" t="s">
        <v>215</v>
      </c>
      <c r="N39" s="1" t="s">
        <v>260</v>
      </c>
      <c r="O39" s="51">
        <v>9.9000000000000005E-2</v>
      </c>
    </row>
    <row r="40" spans="1:18" x14ac:dyDescent="0.25">
      <c r="A40" s="454">
        <v>4</v>
      </c>
      <c r="B40" s="314" t="str">
        <f>'Customer Inputs'!Y9</f>
        <v/>
      </c>
      <c r="C40" s="1">
        <f>'Customer Inputs'!P9</f>
        <v>0</v>
      </c>
      <c r="D40" s="438">
        <f>'Multi-Customer'!$DS$9</f>
        <v>0</v>
      </c>
      <c r="E40" s="1170">
        <f>'Multi-Customer'!$DS$10</f>
        <v>0</v>
      </c>
      <c r="F40" s="439">
        <f t="shared" si="2"/>
        <v>0</v>
      </c>
      <c r="G40" s="440">
        <f t="shared" si="3"/>
        <v>0</v>
      </c>
      <c r="H40" s="796"/>
      <c r="I40" s="427" t="s">
        <v>1182</v>
      </c>
      <c r="J40" s="46">
        <f t="shared" si="1"/>
        <v>1.3000000000000005E-2</v>
      </c>
      <c r="L40" s="1" t="s">
        <v>590</v>
      </c>
      <c r="M40" s="1" t="s">
        <v>216</v>
      </c>
      <c r="N40" s="1" t="s">
        <v>260</v>
      </c>
      <c r="O40" s="51">
        <v>0.11900000000000001</v>
      </c>
    </row>
    <row r="41" spans="1:18" x14ac:dyDescent="0.25">
      <c r="A41" s="454">
        <v>5</v>
      </c>
      <c r="B41" s="314" t="str">
        <f>'Customer Inputs'!Y10</f>
        <v/>
      </c>
      <c r="C41" s="1">
        <f>'Customer Inputs'!P10</f>
        <v>0</v>
      </c>
      <c r="D41" s="438">
        <f>'Multi-Customer'!$EP$9</f>
        <v>0</v>
      </c>
      <c r="E41" s="1170">
        <f>'Multi-Customer'!$EP$10</f>
        <v>0</v>
      </c>
      <c r="F41" s="439">
        <f t="shared" si="2"/>
        <v>0</v>
      </c>
      <c r="G41" s="440">
        <f t="shared" si="3"/>
        <v>0</v>
      </c>
      <c r="H41" s="796"/>
      <c r="I41" s="427" t="s">
        <v>1183</v>
      </c>
      <c r="J41" s="46">
        <f t="shared" si="1"/>
        <v>1.3500000000000005E-2</v>
      </c>
      <c r="L41" s="1" t="s">
        <v>591</v>
      </c>
      <c r="M41" s="1" t="s">
        <v>270</v>
      </c>
      <c r="N41" s="1" t="s">
        <v>260</v>
      </c>
      <c r="O41" s="51">
        <v>0.15</v>
      </c>
    </row>
    <row r="42" spans="1:18" x14ac:dyDescent="0.25">
      <c r="A42" s="454">
        <v>6</v>
      </c>
      <c r="B42" s="314" t="str">
        <f>'Customer Inputs'!Y11</f>
        <v/>
      </c>
      <c r="C42" s="1">
        <f>'Customer Inputs'!P11</f>
        <v>0</v>
      </c>
      <c r="D42" s="438">
        <f>'Multi-Customer'!$FM$9</f>
        <v>0</v>
      </c>
      <c r="E42" s="1170">
        <f>'Multi-Customer'!$FM$10</f>
        <v>0</v>
      </c>
      <c r="F42" s="439">
        <f t="shared" si="2"/>
        <v>0</v>
      </c>
      <c r="G42" s="440">
        <f t="shared" si="3"/>
        <v>0</v>
      </c>
      <c r="H42" s="796"/>
      <c r="I42" s="797" t="s">
        <v>1184</v>
      </c>
      <c r="J42" s="46">
        <f t="shared" si="1"/>
        <v>1.4000000000000005E-2</v>
      </c>
      <c r="L42" s="1" t="s">
        <v>592</v>
      </c>
      <c r="M42" s="1" t="s">
        <v>214</v>
      </c>
      <c r="N42" s="1" t="s">
        <v>15</v>
      </c>
      <c r="O42" s="51">
        <v>4.5999999999999999E-2</v>
      </c>
    </row>
    <row r="43" spans="1:18" x14ac:dyDescent="0.25">
      <c r="A43" s="454">
        <v>7</v>
      </c>
      <c r="B43" s="314" t="str">
        <f>'Customer Inputs'!Y12</f>
        <v/>
      </c>
      <c r="C43" s="1">
        <f>'Customer Inputs'!P12</f>
        <v>0</v>
      </c>
      <c r="D43" s="438">
        <f>'Multi-Customer'!$GJ$9</f>
        <v>0</v>
      </c>
      <c r="E43" s="1170">
        <f>'Multi-Customer'!$GJ$10</f>
        <v>0</v>
      </c>
      <c r="F43" s="439">
        <f t="shared" si="2"/>
        <v>0</v>
      </c>
      <c r="G43" s="440">
        <f t="shared" si="3"/>
        <v>0</v>
      </c>
      <c r="L43" s="1" t="s">
        <v>593</v>
      </c>
      <c r="M43" s="1" t="s">
        <v>215</v>
      </c>
      <c r="N43" s="1" t="s">
        <v>15</v>
      </c>
      <c r="O43" s="51">
        <v>0.109</v>
      </c>
    </row>
    <row r="44" spans="1:18" x14ac:dyDescent="0.25">
      <c r="A44" s="454">
        <v>8</v>
      </c>
      <c r="B44" s="314" t="str">
        <f>'Customer Inputs'!Y13</f>
        <v/>
      </c>
      <c r="C44" s="1">
        <f>'Customer Inputs'!P13</f>
        <v>0</v>
      </c>
      <c r="D44" s="438">
        <f>'Multi-Customer'!$HG$9</f>
        <v>0</v>
      </c>
      <c r="E44" s="1170">
        <f>'Multi-Customer'!$HG$10</f>
        <v>0</v>
      </c>
      <c r="F44" s="439">
        <f t="shared" si="2"/>
        <v>0</v>
      </c>
      <c r="G44" s="440">
        <f t="shared" si="3"/>
        <v>0</v>
      </c>
      <c r="L44" s="1" t="s">
        <v>594</v>
      </c>
      <c r="M44" s="1" t="s">
        <v>216</v>
      </c>
      <c r="N44" s="1" t="s">
        <v>15</v>
      </c>
      <c r="O44" s="51">
        <v>0.11600000000000001</v>
      </c>
    </row>
    <row r="45" spans="1:18" x14ac:dyDescent="0.25">
      <c r="A45" s="454">
        <v>9</v>
      </c>
      <c r="B45" s="314" t="str">
        <f>'Customer Inputs'!Y14</f>
        <v/>
      </c>
      <c r="C45" s="1">
        <f>'Customer Inputs'!P14</f>
        <v>0</v>
      </c>
      <c r="D45" s="438">
        <f>'Multi-Customer'!$ID$9</f>
        <v>0</v>
      </c>
      <c r="E45" s="1170">
        <f>'Multi-Customer'!$ID$10</f>
        <v>0</v>
      </c>
      <c r="F45" s="439">
        <f t="shared" si="2"/>
        <v>0</v>
      </c>
      <c r="G45" s="440">
        <f t="shared" si="3"/>
        <v>0</v>
      </c>
      <c r="L45" s="1" t="s">
        <v>595</v>
      </c>
      <c r="M45" s="1" t="s">
        <v>270</v>
      </c>
      <c r="N45" s="1" t="s">
        <v>15</v>
      </c>
      <c r="O45" s="51">
        <v>0.11600000000000001</v>
      </c>
    </row>
    <row r="46" spans="1:18" ht="15.75" thickBot="1" x14ac:dyDescent="0.3">
      <c r="A46" s="455">
        <v>10</v>
      </c>
      <c r="B46" s="451" t="str">
        <f>'Customer Inputs'!Y15</f>
        <v/>
      </c>
      <c r="C46" s="33">
        <f>'Customer Inputs'!P15</f>
        <v>0</v>
      </c>
      <c r="D46" s="352">
        <f>'Multi-Customer'!$JA$9</f>
        <v>0</v>
      </c>
      <c r="E46" s="1170">
        <f>'Multi-Customer'!$JA$10</f>
        <v>0</v>
      </c>
      <c r="F46" s="441">
        <f t="shared" si="2"/>
        <v>0</v>
      </c>
      <c r="G46" s="442">
        <f t="shared" si="3"/>
        <v>0</v>
      </c>
      <c r="L46" s="1" t="s">
        <v>596</v>
      </c>
      <c r="M46" s="1" t="s">
        <v>214</v>
      </c>
      <c r="N46" s="1" t="s">
        <v>45</v>
      </c>
      <c r="O46" s="51">
        <v>5.1999999999999998E-2</v>
      </c>
    </row>
    <row r="47" spans="1:18" ht="15.75" thickBot="1" x14ac:dyDescent="0.3">
      <c r="F47" s="457">
        <f>SUM(F37:F46)</f>
        <v>0</v>
      </c>
      <c r="G47" s="458">
        <f>SUM(G37:G46)</f>
        <v>0</v>
      </c>
      <c r="O47" s="1" t="s">
        <v>597</v>
      </c>
      <c r="P47" s="1" t="s">
        <v>215</v>
      </c>
      <c r="Q47" s="1" t="s">
        <v>45</v>
      </c>
      <c r="R47" s="51">
        <v>6.3E-2</v>
      </c>
    </row>
    <row r="48" spans="1:18" x14ac:dyDescent="0.25">
      <c r="O48" s="1" t="s">
        <v>598</v>
      </c>
      <c r="P48" s="1" t="s">
        <v>216</v>
      </c>
      <c r="Q48" s="1" t="s">
        <v>45</v>
      </c>
      <c r="R48" s="51">
        <v>0.115</v>
      </c>
    </row>
    <row r="49" spans="4:18" x14ac:dyDescent="0.25">
      <c r="O49" s="1" t="s">
        <v>599</v>
      </c>
      <c r="P49" s="1" t="s">
        <v>270</v>
      </c>
      <c r="Q49" s="1" t="s">
        <v>45</v>
      </c>
      <c r="R49" s="51">
        <v>0.115</v>
      </c>
    </row>
    <row r="50" spans="4:18" x14ac:dyDescent="0.25">
      <c r="O50" s="1" t="s">
        <v>600</v>
      </c>
      <c r="P50" s="1" t="s">
        <v>214</v>
      </c>
      <c r="Q50" s="1" t="s">
        <v>261</v>
      </c>
      <c r="R50" s="51">
        <v>5.9000000000000004E-2</v>
      </c>
    </row>
    <row r="51" spans="4:18" x14ac:dyDescent="0.25">
      <c r="O51" s="1" t="s">
        <v>601</v>
      </c>
      <c r="P51" s="1" t="s">
        <v>215</v>
      </c>
      <c r="Q51" s="1" t="s">
        <v>261</v>
      </c>
      <c r="R51" s="51">
        <v>9.9000000000000005E-2</v>
      </c>
    </row>
    <row r="52" spans="4:18" x14ac:dyDescent="0.25">
      <c r="O52" s="1" t="s">
        <v>602</v>
      </c>
      <c r="P52" s="1" t="s">
        <v>216</v>
      </c>
      <c r="Q52" s="1" t="s">
        <v>261</v>
      </c>
      <c r="R52" s="51">
        <v>0.11900000000000001</v>
      </c>
    </row>
    <row r="53" spans="4:18" x14ac:dyDescent="0.25">
      <c r="O53" s="1" t="s">
        <v>603</v>
      </c>
      <c r="P53" s="1" t="s">
        <v>270</v>
      </c>
      <c r="Q53" s="1" t="s">
        <v>261</v>
      </c>
      <c r="R53" s="51">
        <v>0.15</v>
      </c>
    </row>
    <row r="54" spans="4:18" x14ac:dyDescent="0.25">
      <c r="D54" s="59"/>
      <c r="H54" s="811"/>
      <c r="O54" s="1" t="s">
        <v>604</v>
      </c>
      <c r="P54" s="1" t="s">
        <v>214</v>
      </c>
      <c r="Q54" s="1" t="s">
        <v>48</v>
      </c>
      <c r="R54" s="51">
        <v>5.8999999999999997E-2</v>
      </c>
    </row>
    <row r="55" spans="4:18" x14ac:dyDescent="0.25">
      <c r="E55" s="39"/>
      <c r="G55" s="59"/>
      <c r="O55" s="1" t="s">
        <v>605</v>
      </c>
      <c r="P55" s="1" t="s">
        <v>215</v>
      </c>
      <c r="Q55" s="1" t="s">
        <v>48</v>
      </c>
      <c r="R55" s="51">
        <v>9.9000000000000005E-2</v>
      </c>
    </row>
    <row r="56" spans="4:18" x14ac:dyDescent="0.25">
      <c r="D56" s="39"/>
      <c r="O56" s="1" t="s">
        <v>606</v>
      </c>
      <c r="P56" s="1" t="s">
        <v>216</v>
      </c>
      <c r="Q56" s="1" t="s">
        <v>48</v>
      </c>
      <c r="R56" s="51">
        <v>0.13900000000000001</v>
      </c>
    </row>
    <row r="57" spans="4:18" x14ac:dyDescent="0.25">
      <c r="O57" s="1" t="s">
        <v>607</v>
      </c>
      <c r="P57" s="1" t="s">
        <v>270</v>
      </c>
      <c r="Q57" s="1" t="s">
        <v>48</v>
      </c>
      <c r="R57" s="51">
        <v>0.13900000000000001</v>
      </c>
    </row>
    <row r="58" spans="4:18" x14ac:dyDescent="0.25">
      <c r="O58" s="1" t="s">
        <v>608</v>
      </c>
      <c r="P58" s="1" t="s">
        <v>214</v>
      </c>
      <c r="Q58" s="1" t="s">
        <v>262</v>
      </c>
      <c r="R58" s="51">
        <v>5.9000000000000004E-2</v>
      </c>
    </row>
    <row r="59" spans="4:18" x14ac:dyDescent="0.25">
      <c r="O59" s="1" t="s">
        <v>609</v>
      </c>
      <c r="P59" s="1" t="s">
        <v>215</v>
      </c>
      <c r="Q59" s="1" t="s">
        <v>262</v>
      </c>
      <c r="R59" s="51">
        <v>9.9000000000000005E-2</v>
      </c>
    </row>
    <row r="60" spans="4:18" x14ac:dyDescent="0.25">
      <c r="O60" s="1" t="s">
        <v>610</v>
      </c>
      <c r="P60" s="1" t="s">
        <v>216</v>
      </c>
      <c r="Q60" s="1" t="s">
        <v>262</v>
      </c>
      <c r="R60" s="51">
        <v>0.11900000000000001</v>
      </c>
    </row>
    <row r="61" spans="4:18" x14ac:dyDescent="0.25">
      <c r="O61" s="1" t="s">
        <v>611</v>
      </c>
      <c r="P61" s="1" t="s">
        <v>270</v>
      </c>
      <c r="Q61" s="1" t="s">
        <v>262</v>
      </c>
      <c r="R61" s="51">
        <v>0.15</v>
      </c>
    </row>
    <row r="62" spans="4:18" x14ac:dyDescent="0.25">
      <c r="O62" s="1" t="s">
        <v>612</v>
      </c>
      <c r="P62" s="1" t="s">
        <v>214</v>
      </c>
      <c r="Q62" s="1" t="s">
        <v>263</v>
      </c>
      <c r="R62" s="51">
        <v>5.9000000000000004E-2</v>
      </c>
    </row>
    <row r="63" spans="4:18" x14ac:dyDescent="0.25">
      <c r="O63" s="1" t="s">
        <v>613</v>
      </c>
      <c r="P63" s="1" t="s">
        <v>215</v>
      </c>
      <c r="Q63" s="1" t="s">
        <v>263</v>
      </c>
      <c r="R63" s="51">
        <v>9.9000000000000005E-2</v>
      </c>
    </row>
    <row r="64" spans="4:18" x14ac:dyDescent="0.25">
      <c r="O64" s="1" t="s">
        <v>614</v>
      </c>
      <c r="P64" s="1" t="s">
        <v>216</v>
      </c>
      <c r="Q64" s="1" t="s">
        <v>263</v>
      </c>
      <c r="R64" s="51">
        <v>0.11900000000000001</v>
      </c>
    </row>
    <row r="65" spans="15:18" x14ac:dyDescent="0.25">
      <c r="O65" s="1" t="s">
        <v>615</v>
      </c>
      <c r="P65" s="1" t="s">
        <v>270</v>
      </c>
      <c r="Q65" s="1" t="s">
        <v>263</v>
      </c>
      <c r="R65" s="51">
        <v>0.15</v>
      </c>
    </row>
    <row r="66" spans="15:18" x14ac:dyDescent="0.25">
      <c r="O66" s="1" t="s">
        <v>616</v>
      </c>
      <c r="P66" s="1" t="s">
        <v>214</v>
      </c>
      <c r="Q66" s="1" t="s">
        <v>264</v>
      </c>
      <c r="R66" s="51">
        <v>5.0999999999999997E-2</v>
      </c>
    </row>
    <row r="67" spans="15:18" x14ac:dyDescent="0.25">
      <c r="O67" s="1" t="s">
        <v>617</v>
      </c>
      <c r="P67" s="1" t="s">
        <v>215</v>
      </c>
      <c r="Q67" s="1" t="s">
        <v>264</v>
      </c>
      <c r="R67" s="51">
        <v>0.108</v>
      </c>
    </row>
    <row r="68" spans="15:18" x14ac:dyDescent="0.25">
      <c r="O68" s="1" t="s">
        <v>618</v>
      </c>
      <c r="P68" s="1" t="s">
        <v>216</v>
      </c>
      <c r="Q68" s="1" t="s">
        <v>264</v>
      </c>
      <c r="R68" s="51">
        <v>0.121</v>
      </c>
    </row>
    <row r="69" spans="15:18" x14ac:dyDescent="0.25">
      <c r="O69" s="1" t="s">
        <v>619</v>
      </c>
      <c r="P69" s="1" t="s">
        <v>270</v>
      </c>
      <c r="Q69" s="1" t="s">
        <v>264</v>
      </c>
      <c r="R69" s="51">
        <v>0.155</v>
      </c>
    </row>
    <row r="70" spans="15:18" x14ac:dyDescent="0.25">
      <c r="O70" s="1" t="s">
        <v>620</v>
      </c>
      <c r="P70" s="1" t="s">
        <v>214</v>
      </c>
      <c r="Q70" s="1" t="s">
        <v>60</v>
      </c>
      <c r="R70" s="51">
        <v>5.0999999999999997E-2</v>
      </c>
    </row>
    <row r="71" spans="15:18" x14ac:dyDescent="0.25">
      <c r="O71" s="1" t="s">
        <v>621</v>
      </c>
      <c r="P71" s="1" t="s">
        <v>215</v>
      </c>
      <c r="Q71" s="1" t="s">
        <v>60</v>
      </c>
      <c r="R71" s="51">
        <v>0.108</v>
      </c>
    </row>
    <row r="72" spans="15:18" x14ac:dyDescent="0.25">
      <c r="O72" s="1" t="s">
        <v>622</v>
      </c>
      <c r="P72" s="1" t="s">
        <v>216</v>
      </c>
      <c r="Q72" s="1" t="s">
        <v>60</v>
      </c>
      <c r="R72" s="51">
        <v>0.121</v>
      </c>
    </row>
    <row r="73" spans="15:18" x14ac:dyDescent="0.25">
      <c r="O73" s="1" t="s">
        <v>623</v>
      </c>
      <c r="P73" s="1" t="s">
        <v>270</v>
      </c>
      <c r="Q73" s="1" t="s">
        <v>60</v>
      </c>
      <c r="R73" s="51">
        <v>0.155</v>
      </c>
    </row>
    <row r="74" spans="15:18" x14ac:dyDescent="0.25">
      <c r="O74" s="1" t="s">
        <v>624</v>
      </c>
      <c r="P74" s="1" t="s">
        <v>214</v>
      </c>
      <c r="Q74" s="1" t="s">
        <v>20</v>
      </c>
      <c r="R74" s="51">
        <v>7.0999999999999994E-2</v>
      </c>
    </row>
    <row r="75" spans="15:18" x14ac:dyDescent="0.25">
      <c r="O75" s="1" t="s">
        <v>625</v>
      </c>
      <c r="P75" s="1" t="s">
        <v>215</v>
      </c>
      <c r="Q75" s="1" t="s">
        <v>20</v>
      </c>
      <c r="R75" s="51">
        <v>8.7999999999999995E-2</v>
      </c>
    </row>
    <row r="76" spans="15:18" x14ac:dyDescent="0.25">
      <c r="O76" s="1" t="s">
        <v>626</v>
      </c>
      <c r="P76" s="1" t="s">
        <v>216</v>
      </c>
      <c r="Q76" s="1" t="s">
        <v>20</v>
      </c>
      <c r="R76" s="51">
        <v>0.107</v>
      </c>
    </row>
    <row r="77" spans="15:18" x14ac:dyDescent="0.25">
      <c r="O77" s="1" t="s">
        <v>627</v>
      </c>
      <c r="P77" s="1" t="s">
        <v>270</v>
      </c>
      <c r="Q77" s="1" t="s">
        <v>20</v>
      </c>
      <c r="R77" s="51">
        <v>0.107</v>
      </c>
    </row>
    <row r="78" spans="15:18" x14ac:dyDescent="0.25">
      <c r="O78" s="1" t="s">
        <v>628</v>
      </c>
      <c r="P78" s="1" t="s">
        <v>214</v>
      </c>
      <c r="Q78" s="1" t="s">
        <v>265</v>
      </c>
      <c r="R78" s="51">
        <v>5.9000000000000004E-2</v>
      </c>
    </row>
    <row r="79" spans="15:18" x14ac:dyDescent="0.25">
      <c r="O79" s="1" t="s">
        <v>629</v>
      </c>
      <c r="P79" s="1" t="s">
        <v>215</v>
      </c>
      <c r="Q79" s="1" t="s">
        <v>265</v>
      </c>
      <c r="R79" s="51">
        <v>9.9000000000000005E-2</v>
      </c>
    </row>
    <row r="80" spans="15:18" x14ac:dyDescent="0.25">
      <c r="O80" s="1" t="s">
        <v>630</v>
      </c>
      <c r="P80" s="1" t="s">
        <v>216</v>
      </c>
      <c r="Q80" s="1" t="s">
        <v>265</v>
      </c>
      <c r="R80" s="51">
        <v>0.11900000000000001</v>
      </c>
    </row>
    <row r="81" spans="15:18" x14ac:dyDescent="0.25">
      <c r="O81" s="1" t="s">
        <v>631</v>
      </c>
      <c r="P81" s="1" t="s">
        <v>270</v>
      </c>
      <c r="Q81" s="1" t="s">
        <v>265</v>
      </c>
      <c r="R81" s="51">
        <v>0.15</v>
      </c>
    </row>
    <row r="82" spans="15:18" x14ac:dyDescent="0.25">
      <c r="O82" s="1" t="s">
        <v>632</v>
      </c>
      <c r="P82" s="1" t="s">
        <v>214</v>
      </c>
      <c r="Q82" s="1" t="s">
        <v>266</v>
      </c>
      <c r="R82" s="51">
        <v>5.9000000000000004E-2</v>
      </c>
    </row>
    <row r="83" spans="15:18" x14ac:dyDescent="0.25">
      <c r="O83" s="1" t="s">
        <v>633</v>
      </c>
      <c r="P83" s="1" t="s">
        <v>215</v>
      </c>
      <c r="Q83" s="1" t="s">
        <v>266</v>
      </c>
      <c r="R83" s="51">
        <v>9.9000000000000005E-2</v>
      </c>
    </row>
    <row r="84" spans="15:18" x14ac:dyDescent="0.25">
      <c r="O84" s="1" t="s">
        <v>634</v>
      </c>
      <c r="P84" s="1" t="s">
        <v>216</v>
      </c>
      <c r="Q84" s="1" t="s">
        <v>266</v>
      </c>
      <c r="R84" s="51">
        <v>0.11900000000000001</v>
      </c>
    </row>
    <row r="85" spans="15:18" x14ac:dyDescent="0.25">
      <c r="O85" s="1" t="s">
        <v>635</v>
      </c>
      <c r="P85" s="1" t="s">
        <v>270</v>
      </c>
      <c r="Q85" s="1" t="s">
        <v>266</v>
      </c>
      <c r="R85" s="51">
        <v>0.15</v>
      </c>
    </row>
    <row r="86" spans="15:18" x14ac:dyDescent="0.25">
      <c r="O86" s="1" t="s">
        <v>636</v>
      </c>
      <c r="P86" s="1" t="s">
        <v>214</v>
      </c>
      <c r="Q86" s="1" t="s">
        <v>36</v>
      </c>
      <c r="R86" s="51">
        <v>4.3999999999999997E-2</v>
      </c>
    </row>
    <row r="87" spans="15:18" x14ac:dyDescent="0.25">
      <c r="O87" s="1" t="s">
        <v>637</v>
      </c>
      <c r="P87" s="1" t="s">
        <v>215</v>
      </c>
      <c r="Q87" s="1" t="s">
        <v>36</v>
      </c>
      <c r="R87" s="51">
        <v>8.6999999999999994E-2</v>
      </c>
    </row>
    <row r="88" spans="15:18" x14ac:dyDescent="0.25">
      <c r="O88" s="1" t="s">
        <v>638</v>
      </c>
      <c r="P88" s="1" t="s">
        <v>216</v>
      </c>
      <c r="Q88" s="1" t="s">
        <v>36</v>
      </c>
      <c r="R88" s="51">
        <v>9.2999999999999999E-2</v>
      </c>
    </row>
    <row r="89" spans="15:18" x14ac:dyDescent="0.25">
      <c r="O89" s="1" t="s">
        <v>639</v>
      </c>
      <c r="P89" s="1" t="s">
        <v>270</v>
      </c>
      <c r="Q89" s="1" t="s">
        <v>36</v>
      </c>
      <c r="R89" s="51">
        <v>0.14899999999999999</v>
      </c>
    </row>
    <row r="90" spans="15:18" x14ac:dyDescent="0.25">
      <c r="O90" s="1" t="s">
        <v>640</v>
      </c>
      <c r="P90" s="1" t="s">
        <v>214</v>
      </c>
      <c r="Q90" s="1" t="s">
        <v>71</v>
      </c>
      <c r="R90" s="51">
        <v>5.9000000000000004E-2</v>
      </c>
    </row>
    <row r="91" spans="15:18" x14ac:dyDescent="0.25">
      <c r="O91" s="1" t="s">
        <v>641</v>
      </c>
      <c r="P91" s="1" t="s">
        <v>215</v>
      </c>
      <c r="Q91" s="1" t="s">
        <v>71</v>
      </c>
      <c r="R91" s="51">
        <v>9.9000000000000005E-2</v>
      </c>
    </row>
    <row r="92" spans="15:18" x14ac:dyDescent="0.25">
      <c r="O92" s="1" t="s">
        <v>642</v>
      </c>
      <c r="P92" s="1" t="s">
        <v>216</v>
      </c>
      <c r="Q92" s="1" t="s">
        <v>71</v>
      </c>
      <c r="R92" s="51">
        <v>0.11900000000000001</v>
      </c>
    </row>
    <row r="93" spans="15:18" x14ac:dyDescent="0.25">
      <c r="O93" s="1" t="s">
        <v>643</v>
      </c>
      <c r="P93" s="1" t="s">
        <v>270</v>
      </c>
      <c r="Q93" s="1" t="s">
        <v>71</v>
      </c>
      <c r="R93" s="51">
        <v>0.15</v>
      </c>
    </row>
    <row r="94" spans="15:18" x14ac:dyDescent="0.25">
      <c r="O94" s="1" t="s">
        <v>644</v>
      </c>
      <c r="P94" s="1" t="s">
        <v>214</v>
      </c>
      <c r="Q94" s="1" t="s">
        <v>11</v>
      </c>
      <c r="R94" s="51">
        <v>6.2E-2</v>
      </c>
    </row>
    <row r="95" spans="15:18" x14ac:dyDescent="0.25">
      <c r="O95" s="1" t="s">
        <v>645</v>
      </c>
      <c r="P95" s="1" t="s">
        <v>215</v>
      </c>
      <c r="Q95" s="1" t="s">
        <v>11</v>
      </c>
      <c r="R95" s="51">
        <v>9.4E-2</v>
      </c>
    </row>
    <row r="96" spans="15:18" x14ac:dyDescent="0.25">
      <c r="O96" s="1" t="s">
        <v>646</v>
      </c>
      <c r="P96" s="1" t="s">
        <v>216</v>
      </c>
      <c r="Q96" s="1" t="s">
        <v>11</v>
      </c>
      <c r="R96" s="51">
        <v>0.112</v>
      </c>
    </row>
    <row r="97" spans="15:18" x14ac:dyDescent="0.25">
      <c r="O97" s="1" t="s">
        <v>647</v>
      </c>
      <c r="P97" s="1" t="s">
        <v>270</v>
      </c>
      <c r="Q97" s="1" t="s">
        <v>11</v>
      </c>
      <c r="R97" s="51">
        <v>0.112</v>
      </c>
    </row>
    <row r="98" spans="15:18" x14ac:dyDescent="0.25">
      <c r="O98" s="1" t="s">
        <v>648</v>
      </c>
      <c r="P98" s="1" t="s">
        <v>214</v>
      </c>
      <c r="Q98" s="1" t="s">
        <v>267</v>
      </c>
      <c r="R98" s="51">
        <v>5.9000000000000004E-2</v>
      </c>
    </row>
    <row r="99" spans="15:18" x14ac:dyDescent="0.25">
      <c r="O99" s="1" t="s">
        <v>649</v>
      </c>
      <c r="P99" s="1" t="s">
        <v>215</v>
      </c>
      <c r="Q99" s="1" t="s">
        <v>267</v>
      </c>
      <c r="R99" s="51">
        <v>9.9000000000000005E-2</v>
      </c>
    </row>
    <row r="100" spans="15:18" x14ac:dyDescent="0.25">
      <c r="O100" s="1" t="s">
        <v>650</v>
      </c>
      <c r="P100" s="1" t="s">
        <v>216</v>
      </c>
      <c r="Q100" s="1" t="s">
        <v>267</v>
      </c>
      <c r="R100" s="51">
        <v>0.11900000000000001</v>
      </c>
    </row>
    <row r="101" spans="15:18" x14ac:dyDescent="0.25">
      <c r="O101" s="1" t="s">
        <v>651</v>
      </c>
      <c r="P101" s="1" t="s">
        <v>270</v>
      </c>
      <c r="Q101" s="1" t="s">
        <v>267</v>
      </c>
      <c r="R101" s="51">
        <v>0.15</v>
      </c>
    </row>
    <row r="102" spans="15:18" x14ac:dyDescent="0.25">
      <c r="O102" s="1" t="s">
        <v>652</v>
      </c>
      <c r="P102" s="1" t="s">
        <v>214</v>
      </c>
      <c r="Q102" s="1" t="s">
        <v>268</v>
      </c>
      <c r="R102" s="51">
        <v>5.9000000000000004E-2</v>
      </c>
    </row>
    <row r="103" spans="15:18" x14ac:dyDescent="0.25">
      <c r="O103" s="1" t="s">
        <v>653</v>
      </c>
      <c r="P103" s="1" t="s">
        <v>215</v>
      </c>
      <c r="Q103" s="1" t="s">
        <v>268</v>
      </c>
      <c r="R103" s="51">
        <v>9.9000000000000005E-2</v>
      </c>
    </row>
    <row r="104" spans="15:18" x14ac:dyDescent="0.25">
      <c r="O104" s="1" t="s">
        <v>654</v>
      </c>
      <c r="P104" s="1" t="s">
        <v>216</v>
      </c>
      <c r="Q104" s="1" t="s">
        <v>268</v>
      </c>
      <c r="R104" s="51">
        <v>0.11900000000000001</v>
      </c>
    </row>
    <row r="105" spans="15:18" x14ac:dyDescent="0.25">
      <c r="O105" s="1" t="s">
        <v>655</v>
      </c>
      <c r="P105" s="1" t="s">
        <v>270</v>
      </c>
      <c r="Q105" s="1" t="s">
        <v>268</v>
      </c>
      <c r="R105" s="51">
        <v>0.15</v>
      </c>
    </row>
    <row r="106" spans="15:18" x14ac:dyDescent="0.25">
      <c r="O106" s="1" t="s">
        <v>656</v>
      </c>
      <c r="P106" s="1" t="s">
        <v>214</v>
      </c>
      <c r="Q106" s="1" t="s">
        <v>9</v>
      </c>
      <c r="R106" s="51">
        <v>5.0999999999999997E-2</v>
      </c>
    </row>
    <row r="107" spans="15:18" x14ac:dyDescent="0.25">
      <c r="O107" s="1" t="s">
        <v>657</v>
      </c>
      <c r="P107" s="1" t="s">
        <v>215</v>
      </c>
      <c r="Q107" s="1" t="s">
        <v>9</v>
      </c>
      <c r="R107" s="51">
        <v>0.10100000000000001</v>
      </c>
    </row>
    <row r="108" spans="15:18" x14ac:dyDescent="0.25">
      <c r="O108" s="1" t="s">
        <v>658</v>
      </c>
      <c r="P108" s="1" t="s">
        <v>216</v>
      </c>
      <c r="Q108" s="1" t="s">
        <v>9</v>
      </c>
      <c r="R108" s="51">
        <v>0.14199999999999999</v>
      </c>
    </row>
    <row r="109" spans="15:18" x14ac:dyDescent="0.25">
      <c r="O109" s="1" t="s">
        <v>659</v>
      </c>
      <c r="P109" s="1" t="s">
        <v>270</v>
      </c>
      <c r="Q109" s="1" t="s">
        <v>9</v>
      </c>
      <c r="R109" s="51">
        <v>0.14199999999999999</v>
      </c>
    </row>
    <row r="110" spans="15:18" x14ac:dyDescent="0.25">
      <c r="O110" s="1" t="s">
        <v>660</v>
      </c>
      <c r="P110" s="1" t="s">
        <v>214</v>
      </c>
      <c r="Q110" s="1" t="s">
        <v>38</v>
      </c>
      <c r="R110" s="51">
        <v>6.5000000000000002E-2</v>
      </c>
    </row>
    <row r="111" spans="15:18" x14ac:dyDescent="0.25">
      <c r="O111" s="1" t="s">
        <v>661</v>
      </c>
      <c r="P111" s="1" t="s">
        <v>215</v>
      </c>
      <c r="Q111" s="1" t="s">
        <v>38</v>
      </c>
      <c r="R111" s="51">
        <v>0.09</v>
      </c>
    </row>
    <row r="112" spans="15:18" x14ac:dyDescent="0.25">
      <c r="O112" s="1" t="s">
        <v>662</v>
      </c>
      <c r="P112" s="1" t="s">
        <v>216</v>
      </c>
      <c r="Q112" s="1" t="s">
        <v>38</v>
      </c>
      <c r="R112" s="51">
        <v>0.09</v>
      </c>
    </row>
    <row r="113" spans="15:18" x14ac:dyDescent="0.25">
      <c r="O113" s="1" t="s">
        <v>663</v>
      </c>
      <c r="P113" s="1" t="s">
        <v>270</v>
      </c>
      <c r="Q113" s="1" t="s">
        <v>38</v>
      </c>
      <c r="R113" s="51">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KJ87"/>
  <sheetViews>
    <sheetView topLeftCell="AN1" zoomScale="90" zoomScaleNormal="90" workbookViewId="0">
      <selection activeCell="AY14" sqref="AY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149" customWidth="1"/>
    <col min="9" max="11" width="9.140625" style="1149"/>
    <col min="12" max="12" width="12.85546875" style="1149" customWidth="1"/>
    <col min="13" max="13" width="17.42578125" style="1149" customWidth="1"/>
    <col min="14" max="14" width="11.7109375" style="1149"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18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149" customWidth="1"/>
    <col min="61" max="61" width="11.85546875" style="1149" customWidth="1"/>
    <col min="62" max="62" width="21" style="1149" customWidth="1"/>
    <col min="63" max="63" width="11.140625" style="1149" customWidth="1"/>
    <col min="64" max="64" width="11.28515625" style="1149" customWidth="1"/>
    <col min="65" max="65" width="12.140625" style="1149" customWidth="1"/>
    <col min="66" max="66" width="10.28515625" style="1149" customWidth="1"/>
    <col min="67" max="69" width="8.5703125" style="1149" customWidth="1"/>
    <col min="70" max="70" width="10.28515625" style="1149" customWidth="1"/>
    <col min="71" max="71" width="10.85546875" style="1149" customWidth="1"/>
    <col min="72" max="72" width="10.7109375" style="1149" customWidth="1"/>
    <col min="75" max="75" width="10.5703125" style="1185" customWidth="1"/>
    <col min="76" max="76" width="28.28515625" bestFit="1" customWidth="1"/>
    <col min="77" max="77" width="17.5703125" bestFit="1" customWidth="1"/>
    <col min="79" max="79" width="12.140625" customWidth="1"/>
    <col min="80" max="80" width="11.7109375" customWidth="1"/>
    <col min="83" max="85" width="9.140625" style="1149"/>
    <col min="86" max="86" width="11.85546875" style="1149" customWidth="1"/>
    <col min="87" max="87" width="11.7109375" style="1149" customWidth="1"/>
    <col min="88" max="88" width="10.140625" style="1149" customWidth="1"/>
    <col min="89" max="89" width="9.85546875" style="1149" customWidth="1"/>
    <col min="90" max="92" width="9.140625" style="1149"/>
    <col min="93" max="93" width="10.28515625" style="1149" customWidth="1"/>
    <col min="94" max="94" width="10.140625" style="1149" customWidth="1"/>
    <col min="95" max="95" width="10" style="1149" customWidth="1"/>
    <col min="98" max="98" width="10.42578125" style="1185" customWidth="1"/>
    <col min="99" max="99" width="28.28515625" bestFit="1" customWidth="1"/>
    <col min="100" max="100" width="17.5703125" bestFit="1" customWidth="1"/>
    <col min="102" max="102" width="11.140625" customWidth="1"/>
    <col min="103" max="103" width="10.42578125" customWidth="1"/>
    <col min="106" max="109" width="9.140625" style="1149"/>
    <col min="110" max="110" width="11" style="1149" customWidth="1"/>
    <col min="111" max="111" width="9" style="1149" customWidth="1"/>
    <col min="112" max="112" width="9.42578125" style="1149" customWidth="1"/>
    <col min="113" max="115" width="9.140625" style="1149"/>
    <col min="116" max="116" width="9.28515625" style="1149" customWidth="1"/>
    <col min="117" max="117" width="10.5703125" style="1149" customWidth="1"/>
    <col min="118" max="118" width="9.42578125" style="1149" customWidth="1"/>
    <col min="121" max="121" width="10.85546875" style="1185" customWidth="1"/>
    <col min="122" max="122" width="28.28515625" bestFit="1" customWidth="1"/>
    <col min="123" max="123" width="17.5703125" bestFit="1" customWidth="1"/>
    <col min="125" max="125" width="11.7109375" customWidth="1"/>
    <col min="126" max="126" width="10.28515625" customWidth="1"/>
    <col min="129" max="131" width="9.140625" style="1149"/>
    <col min="132" max="132" width="10.140625" style="1149" customWidth="1"/>
    <col min="133" max="133" width="10.7109375" style="1149" customWidth="1"/>
    <col min="134" max="134" width="10" style="1149" customWidth="1"/>
    <col min="135" max="135" width="10.140625" style="1149" customWidth="1"/>
    <col min="136" max="138" width="9.140625" style="1149"/>
    <col min="139" max="139" width="10" style="1149" customWidth="1"/>
    <col min="140" max="141" width="9.140625" style="1149"/>
    <col min="144" max="144" width="10.5703125" style="1185" customWidth="1"/>
    <col min="145" max="145" width="28.28515625" bestFit="1" customWidth="1"/>
    <col min="146" max="146" width="17.5703125" bestFit="1" customWidth="1"/>
    <col min="148" max="148" width="10.140625" customWidth="1"/>
    <col min="149" max="149" width="10.28515625" customWidth="1"/>
    <col min="152" max="155" width="9.140625" style="1149"/>
    <col min="156" max="156" width="11.7109375" style="1149" customWidth="1"/>
    <col min="157" max="164" width="9.140625" style="1149"/>
    <col min="167" max="167" width="10.140625" style="1185" customWidth="1"/>
    <col min="168" max="168" width="28.28515625" bestFit="1" customWidth="1"/>
    <col min="169" max="169" width="17.5703125" bestFit="1" customWidth="1"/>
    <col min="171" max="171" width="10.140625" customWidth="1"/>
    <col min="175" max="177" width="9.140625" style="1149"/>
    <col min="178" max="178" width="10.7109375" style="1149" customWidth="1"/>
    <col min="179" max="179" width="11.5703125" style="1149" customWidth="1"/>
    <col min="180" max="187" width="9.140625" style="1149"/>
    <col min="190" max="190" width="11.7109375" style="1185" customWidth="1"/>
    <col min="191" max="191" width="28.28515625" bestFit="1" customWidth="1"/>
    <col min="192" max="192" width="17.5703125" bestFit="1" customWidth="1"/>
    <col min="194" max="194" width="10.140625" customWidth="1"/>
    <col min="195" max="195" width="10.85546875" customWidth="1"/>
    <col min="198" max="201" width="9.140625" style="1149"/>
    <col min="202" max="202" width="11.5703125" style="1149" customWidth="1"/>
    <col min="203" max="210" width="9.140625" style="1149"/>
    <col min="213" max="213" width="11.5703125" style="1185" customWidth="1"/>
    <col min="214" max="214" width="28.28515625" bestFit="1" customWidth="1"/>
    <col min="215" max="215" width="17.5703125" bestFit="1" customWidth="1"/>
    <col min="217" max="217" width="11.5703125" customWidth="1"/>
    <col min="218" max="218" width="10.42578125" customWidth="1"/>
    <col min="221" max="224" width="9.140625" style="1149"/>
    <col min="225" max="225" width="11.42578125" style="1149" customWidth="1"/>
    <col min="226" max="233" width="9.140625" style="1149"/>
    <col min="236" max="236" width="10.85546875" style="1185" customWidth="1"/>
    <col min="237" max="237" width="28.28515625" bestFit="1" customWidth="1"/>
    <col min="238" max="238" width="17.5703125" bestFit="1" customWidth="1"/>
    <col min="240" max="241" width="10.42578125" customWidth="1"/>
    <col min="244" max="247" width="9.140625" style="1149"/>
    <col min="248" max="248" width="11.42578125" style="1149" customWidth="1"/>
    <col min="249" max="256" width="9.140625" style="1149"/>
    <col min="258" max="258" width="15" customWidth="1"/>
    <col min="259" max="259" width="10.5703125" style="118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149" customWidth="1"/>
    <col min="268" max="268" width="9.42578125" style="1149" customWidth="1"/>
    <col min="269" max="270" width="7.7109375" style="1149" customWidth="1"/>
    <col min="271" max="271" width="12.5703125" style="1149" customWidth="1"/>
    <col min="272" max="272" width="10.85546875" style="1149" customWidth="1"/>
    <col min="273" max="273" width="10.42578125" style="1149" customWidth="1"/>
    <col min="274" max="276" width="7.7109375" style="1149" customWidth="1"/>
    <col min="277" max="277" width="8.5703125" style="1149" customWidth="1"/>
    <col min="278" max="278" width="9.28515625" style="1149" customWidth="1"/>
    <col min="279" max="279" width="11" style="1149"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354" t="s">
        <v>857</v>
      </c>
      <c r="U1" s="1354"/>
      <c r="V1">
        <f>COUNTIF($BA$1:$JA$1,"New Location")</f>
        <v>0</v>
      </c>
      <c r="AW1" s="741" t="e">
        <f>VLOOKUP('Existing Customers'!AB2,'Market Geography'!A:B,2,0)</f>
        <v>#N/A</v>
      </c>
      <c r="BA1" s="87" t="s">
        <v>822</v>
      </c>
      <c r="BB1" s="88">
        <f>'Customer Inputs'!$G$6</f>
        <v>0</v>
      </c>
      <c r="BC1" s="741"/>
      <c r="BX1" s="87" t="s">
        <v>823</v>
      </c>
      <c r="BY1" s="88">
        <f>'Customer Inputs'!$G$7</f>
        <v>0</v>
      </c>
      <c r="BZ1" s="741"/>
      <c r="CU1" s="87" t="s">
        <v>824</v>
      </c>
      <c r="CV1" s="88">
        <f>'Customer Inputs'!$G$8</f>
        <v>0</v>
      </c>
      <c r="CW1" s="741"/>
      <c r="DR1" s="87" t="s">
        <v>825</v>
      </c>
      <c r="DS1" s="392">
        <f>'Customer Inputs'!$G$9</f>
        <v>0</v>
      </c>
      <c r="DT1" s="741"/>
      <c r="EO1" s="87" t="s">
        <v>826</v>
      </c>
      <c r="EP1" s="88">
        <f>'Customer Inputs'!$G$10</f>
        <v>0</v>
      </c>
      <c r="EQ1" s="741"/>
      <c r="FL1" s="87" t="s">
        <v>827</v>
      </c>
      <c r="FM1" s="88">
        <f>'Customer Inputs'!$G$11</f>
        <v>0</v>
      </c>
      <c r="FN1" s="741"/>
      <c r="GI1" s="87" t="s">
        <v>828</v>
      </c>
      <c r="GJ1" s="88">
        <f>'Customer Inputs'!$G$12</f>
        <v>0</v>
      </c>
      <c r="GK1" s="741"/>
      <c r="HF1" s="87" t="s">
        <v>829</v>
      </c>
      <c r="HG1" s="88">
        <f>'Customer Inputs'!$G$13</f>
        <v>0</v>
      </c>
      <c r="HH1" s="741"/>
      <c r="IC1" s="87" t="s">
        <v>830</v>
      </c>
      <c r="ID1" s="88">
        <f>'Customer Inputs'!$G$14</f>
        <v>0</v>
      </c>
      <c r="IE1" s="741"/>
      <c r="IZ1" s="87" t="s">
        <v>831</v>
      </c>
      <c r="JA1" s="88">
        <f>'Customer Inputs'!$G$15</f>
        <v>0</v>
      </c>
      <c r="JB1" s="741"/>
    </row>
    <row r="2" spans="2:296" x14ac:dyDescent="0.25">
      <c r="T2" s="85"/>
      <c r="U2" s="85"/>
      <c r="BA2" s="85" t="s">
        <v>927</v>
      </c>
      <c r="BB2" s="88" t="str">
        <f>'Customer Inputs'!$K$6</f>
        <v/>
      </c>
      <c r="BC2" s="1183">
        <f>'Customer Inputs'!$U$6</f>
        <v>0</v>
      </c>
      <c r="BX2" s="85" t="s">
        <v>927</v>
      </c>
      <c r="BY2" s="88" t="str">
        <f>'Customer Inputs'!$K$7</f>
        <v/>
      </c>
      <c r="BZ2" s="1184">
        <f>'Customer Inputs'!$U$7</f>
        <v>0</v>
      </c>
      <c r="CU2" s="85" t="s">
        <v>927</v>
      </c>
      <c r="CV2" s="88" t="str">
        <f>'Customer Inputs'!$K$8</f>
        <v/>
      </c>
      <c r="CW2" s="1184">
        <f>'Customer Inputs'!$U$8</f>
        <v>0</v>
      </c>
      <c r="DR2" s="85" t="s">
        <v>927</v>
      </c>
      <c r="DS2" s="88" t="str">
        <f>'Customer Inputs'!$K$9</f>
        <v/>
      </c>
      <c r="DT2" s="1184">
        <f>'Customer Inputs'!$U$9</f>
        <v>0</v>
      </c>
      <c r="EO2" s="85" t="s">
        <v>927</v>
      </c>
      <c r="EP2" s="88" t="str">
        <f>'Customer Inputs'!$K$10</f>
        <v/>
      </c>
      <c r="EQ2" s="1184">
        <f>'Customer Inputs'!$U$10</f>
        <v>0</v>
      </c>
      <c r="FL2" s="85" t="s">
        <v>927</v>
      </c>
      <c r="FM2" s="88" t="str">
        <f>'Customer Inputs'!$K$11</f>
        <v/>
      </c>
      <c r="FN2" s="1184">
        <f>'Customer Inputs'!$U$11</f>
        <v>0</v>
      </c>
      <c r="GI2" s="85" t="s">
        <v>927</v>
      </c>
      <c r="GJ2" s="88" t="str">
        <f>'Customer Inputs'!$K$12</f>
        <v/>
      </c>
      <c r="GK2" s="1184">
        <f>'Customer Inputs'!$U$12</f>
        <v>0</v>
      </c>
      <c r="HF2" s="85" t="s">
        <v>927</v>
      </c>
      <c r="HG2" s="88" t="str">
        <f>'Customer Inputs'!$K$13</f>
        <v/>
      </c>
      <c r="HH2" s="1184">
        <f>'Customer Inputs'!$U$13</f>
        <v>0</v>
      </c>
      <c r="IC2" s="85" t="s">
        <v>927</v>
      </c>
      <c r="ID2" s="88" t="str">
        <f>'Customer Inputs'!$K$14</f>
        <v/>
      </c>
      <c r="IE2" s="1184">
        <f>'Customer Inputs'!$U$14</f>
        <v>0</v>
      </c>
      <c r="IZ2" s="85" t="s">
        <v>927</v>
      </c>
      <c r="JA2" s="88" t="str">
        <f>'Customer Inputs'!$K$15</f>
        <v/>
      </c>
      <c r="JB2" s="1183">
        <f>'Customer Inputs'!$U$15</f>
        <v>0</v>
      </c>
    </row>
    <row r="3" spans="2:296" x14ac:dyDescent="0.25">
      <c r="T3" s="85"/>
      <c r="U3" s="85"/>
      <c r="BA3" s="85" t="s">
        <v>928</v>
      </c>
      <c r="BB3" s="88">
        <f>'Customer Inputs'!$P$6</f>
        <v>0</v>
      </c>
      <c r="BX3" s="85" t="s">
        <v>928</v>
      </c>
      <c r="BY3" s="88">
        <f>'Customer Inputs'!$P$7</f>
        <v>0</v>
      </c>
      <c r="CU3" s="85" t="s">
        <v>928</v>
      </c>
      <c r="CV3" s="88">
        <f>'Customer Inputs'!$P$8</f>
        <v>0</v>
      </c>
      <c r="DR3" s="85" t="s">
        <v>928</v>
      </c>
      <c r="DS3" s="88">
        <f>'Customer Inputs'!$P$9</f>
        <v>0</v>
      </c>
      <c r="EO3" s="85" t="s">
        <v>928</v>
      </c>
      <c r="EP3" s="88">
        <f>'Customer Inputs'!$P$10</f>
        <v>0</v>
      </c>
      <c r="FL3" s="85" t="s">
        <v>928</v>
      </c>
      <c r="FM3" s="88">
        <f>'Customer Inputs'!$P$11</f>
        <v>0</v>
      </c>
      <c r="GI3" s="85" t="s">
        <v>928</v>
      </c>
      <c r="GJ3" s="88">
        <f>'Customer Inputs'!$P$12</f>
        <v>0</v>
      </c>
      <c r="HF3" s="85" t="s">
        <v>928</v>
      </c>
      <c r="HG3" s="88">
        <f>'Customer Inputs'!$P$13</f>
        <v>0</v>
      </c>
      <c r="IC3" s="85" t="s">
        <v>928</v>
      </c>
      <c r="ID3" s="88">
        <f>'Customer Inputs'!$P$14</f>
        <v>0</v>
      </c>
      <c r="IZ3" s="85" t="s">
        <v>928</v>
      </c>
      <c r="JA3" s="88">
        <f>'Customer Inputs'!$P$15</f>
        <v>0</v>
      </c>
    </row>
    <row r="4" spans="2:296" x14ac:dyDescent="0.25">
      <c r="T4" s="85"/>
      <c r="U4" s="85"/>
      <c r="BA4" s="85" t="s">
        <v>931</v>
      </c>
      <c r="BB4" s="393" t="e">
        <f>BB3/BB2</f>
        <v>#VALUE!</v>
      </c>
      <c r="BX4" s="85" t="s">
        <v>931</v>
      </c>
      <c r="BY4" s="393" t="e">
        <f>BY3/BY2</f>
        <v>#VALUE!</v>
      </c>
      <c r="CU4" s="85" t="s">
        <v>931</v>
      </c>
      <c r="CV4" s="393" t="e">
        <f>CV3/CV2</f>
        <v>#VALUE!</v>
      </c>
      <c r="DR4" s="85" t="s">
        <v>931</v>
      </c>
      <c r="DS4" s="393" t="e">
        <f>DS3/DS2</f>
        <v>#VALUE!</v>
      </c>
      <c r="EO4" s="85" t="s">
        <v>931</v>
      </c>
      <c r="EP4" s="393" t="e">
        <f>EP3/EP2</f>
        <v>#VALUE!</v>
      </c>
      <c r="FL4" s="85" t="s">
        <v>931</v>
      </c>
      <c r="FM4" s="393" t="e">
        <f>FM3/FM2</f>
        <v>#VALUE!</v>
      </c>
      <c r="GI4" s="85" t="s">
        <v>931</v>
      </c>
      <c r="GJ4" s="393" t="e">
        <f>GJ3/GJ2</f>
        <v>#VALUE!</v>
      </c>
      <c r="HF4" s="85" t="s">
        <v>931</v>
      </c>
      <c r="HG4" s="393" t="e">
        <f>HG3/HG2</f>
        <v>#VALUE!</v>
      </c>
      <c r="IC4" s="85" t="s">
        <v>931</v>
      </c>
      <c r="ID4" s="393" t="e">
        <f>ID3/ID2</f>
        <v>#VALUE!</v>
      </c>
      <c r="IZ4" s="85" t="s">
        <v>931</v>
      </c>
      <c r="JA4" s="393" t="e">
        <f>JA3/JA2</f>
        <v>#VALUE!</v>
      </c>
    </row>
    <row r="5" spans="2:296" x14ac:dyDescent="0.25">
      <c r="T5" s="1354" t="s">
        <v>858</v>
      </c>
      <c r="U5" s="1354"/>
      <c r="V5">
        <f>COUNT(BB1,BY1,CV1,DS1,EP1,FM1,GJ1,HG1,ID1,JA1)</f>
        <v>10</v>
      </c>
      <c r="BA5" s="85" t="s">
        <v>958</v>
      </c>
      <c r="BB5">
        <f>IFERROR(VLOOKUP(BB$1,'Existing Customers'!$A:$AD,30,FALSE),BB6)</f>
        <v>0</v>
      </c>
      <c r="BX5" s="85" t="s">
        <v>958</v>
      </c>
      <c r="BY5">
        <f>IFERROR(VLOOKUP(BY$1,'Existing Customers'!$A:$AD,30,FALSE),BY6)</f>
        <v>0</v>
      </c>
      <c r="CU5" s="85" t="s">
        <v>958</v>
      </c>
      <c r="CV5">
        <f>IFERROR(VLOOKUP(CV$1,'Existing Customers'!$A:$AD,30,FALSE),CV6)</f>
        <v>0</v>
      </c>
      <c r="DR5" s="85" t="s">
        <v>958</v>
      </c>
      <c r="DS5">
        <f>IFERROR(VLOOKUP(DS$1,'Existing Customers'!$A:$AD,30,FALSE),DS6)</f>
        <v>0</v>
      </c>
      <c r="EO5" s="85" t="s">
        <v>958</v>
      </c>
      <c r="EP5">
        <f>IFERROR(VLOOKUP(EP$1,'Existing Customers'!$A:$AD,30,FALSE),EP6)</f>
        <v>0</v>
      </c>
      <c r="FL5" s="85" t="s">
        <v>958</v>
      </c>
      <c r="FM5">
        <f>IFERROR(VLOOKUP(FM$1,'Existing Customers'!$A:$AD,30,FALSE),FM6)</f>
        <v>0</v>
      </c>
      <c r="GI5" s="85" t="s">
        <v>958</v>
      </c>
      <c r="GJ5">
        <f>IFERROR(VLOOKUP(GJ$1,'Existing Customers'!$A:$AD,30,FALSE),GJ6)</f>
        <v>0</v>
      </c>
      <c r="HF5" s="85" t="s">
        <v>958</v>
      </c>
      <c r="HG5">
        <f>IFERROR(VLOOKUP(HG$1,'Existing Customers'!$A:$AD,30,FALSE),HG6)</f>
        <v>0</v>
      </c>
      <c r="IC5" s="85" t="s">
        <v>958</v>
      </c>
      <c r="ID5">
        <f>IFERROR(VLOOKUP(ID$1,'Existing Customers'!$A:$AD,30,FALSE),ID6)</f>
        <v>0</v>
      </c>
      <c r="IZ5" s="85" t="s">
        <v>958</v>
      </c>
      <c r="JA5">
        <f>IFERROR(VLOOKUP(JA$1,'Existing Customers'!$A:$AD,30,FALSE),JA6)</f>
        <v>0</v>
      </c>
    </row>
    <row r="6" spans="2:296" x14ac:dyDescent="0.25">
      <c r="T6" s="1354"/>
      <c r="U6" s="1354"/>
      <c r="BA6" s="85" t="s">
        <v>929</v>
      </c>
      <c r="BB6" s="437">
        <f>'Customer Inputs'!$R$6</f>
        <v>0</v>
      </c>
      <c r="BX6" s="85" t="s">
        <v>929</v>
      </c>
      <c r="BY6" s="88">
        <f>'Customer Inputs'!$R$7</f>
        <v>0</v>
      </c>
      <c r="CU6" s="85" t="s">
        <v>929</v>
      </c>
      <c r="CV6" s="88">
        <f>'Customer Inputs'!$R$8</f>
        <v>0</v>
      </c>
      <c r="DR6" s="85" t="s">
        <v>929</v>
      </c>
      <c r="DS6" s="88">
        <f>'Customer Inputs'!$R$9</f>
        <v>0</v>
      </c>
      <c r="EO6" s="85" t="s">
        <v>929</v>
      </c>
      <c r="EP6" s="88">
        <f>'Customer Inputs'!$R$10</f>
        <v>0</v>
      </c>
      <c r="FL6" s="85" t="s">
        <v>929</v>
      </c>
      <c r="FM6" s="88">
        <f>'Customer Inputs'!$R$11</f>
        <v>0</v>
      </c>
      <c r="GI6" s="85" t="s">
        <v>929</v>
      </c>
      <c r="GJ6" s="88">
        <f>'Customer Inputs'!$R$12</f>
        <v>0</v>
      </c>
      <c r="HF6" s="85" t="s">
        <v>929</v>
      </c>
      <c r="HG6" s="88">
        <f>'Customer Inputs'!$R$13</f>
        <v>0</v>
      </c>
      <c r="IC6" s="85" t="s">
        <v>929</v>
      </c>
      <c r="ID6" s="88">
        <f>'Customer Inputs'!$R$14</f>
        <v>0</v>
      </c>
      <c r="IZ6" s="85" t="s">
        <v>929</v>
      </c>
      <c r="JA6" s="88">
        <f>'Customer Inputs'!$R$15</f>
        <v>0</v>
      </c>
    </row>
    <row r="7" spans="2:296" x14ac:dyDescent="0.25">
      <c r="T7" s="85"/>
      <c r="U7" s="85"/>
      <c r="BA7" s="85" t="s">
        <v>939</v>
      </c>
      <c r="BB7" s="415">
        <f>IFERROR(SUMIFS('Existing Customers'!$AC:$AC,'Existing Customers'!$A:$A,'Multi-Customer'!BB$1)/SUMIFS('Existing Customers'!$Q:$Q,'Existing Customers'!$A:$A,'Multi-Customer'!BB$1),0)</f>
        <v>0</v>
      </c>
      <c r="BX7" s="85" t="s">
        <v>939</v>
      </c>
      <c r="BY7" s="415">
        <f>IFERROR(SUMIFS('Existing Customers'!$AC:$AC,'Existing Customers'!$A:$A,'Multi-Customer'!BY$1)/SUMIFS('Existing Customers'!$Q:$Q,'Existing Customers'!$A:$A,'Multi-Customer'!BY$1),0)</f>
        <v>0</v>
      </c>
      <c r="CU7" s="85" t="s">
        <v>939</v>
      </c>
      <c r="CV7" s="415">
        <f>IFERROR(SUMIFS('Existing Customers'!$AC:$AC,'Existing Customers'!$A:$A,'Multi-Customer'!CV$1)/SUMIFS('Existing Customers'!$Q:$Q,'Existing Customers'!$A:$A,'Multi-Customer'!CV$1),0)</f>
        <v>0</v>
      </c>
      <c r="DR7" s="85" t="s">
        <v>939</v>
      </c>
      <c r="DS7" s="415">
        <f>IFERROR(SUMIFS('Existing Customers'!$AC:$AC,'Existing Customers'!$A:$A,'Multi-Customer'!DS$1)/SUMIFS('Existing Customers'!$Q:$Q,'Existing Customers'!$A:$A,'Multi-Customer'!DS$1),0)</f>
        <v>0</v>
      </c>
      <c r="EO7" s="85" t="s">
        <v>939</v>
      </c>
      <c r="EP7" s="415">
        <f>IFERROR(SUMIFS('Existing Customers'!$AC:$AC,'Existing Customers'!$A:$A,'Multi-Customer'!EP$1)/SUMIFS('Existing Customers'!$Q:$Q,'Existing Customers'!$A:$A,'Multi-Customer'!EP$1),0)</f>
        <v>0</v>
      </c>
      <c r="FL7" s="85" t="s">
        <v>939</v>
      </c>
      <c r="FM7" s="415">
        <f>IFERROR(SUMIFS('Existing Customers'!$AC:$AC,'Existing Customers'!$A:$A,'Multi-Customer'!FM$1)/SUMIFS('Existing Customers'!$Q:$Q,'Existing Customers'!$A:$A,'Multi-Customer'!FM$1),0)</f>
        <v>0</v>
      </c>
      <c r="GI7" s="85" t="s">
        <v>939</v>
      </c>
      <c r="GJ7" s="415">
        <f>IFERROR(SUMIFS('Existing Customers'!$AC:$AC,'Existing Customers'!$A:$A,'Multi-Customer'!GJ$1)/SUMIFS('Existing Customers'!$Q:$Q,'Existing Customers'!$A:$A,'Multi-Customer'!GJ$1),0)</f>
        <v>0</v>
      </c>
      <c r="HF7" s="85" t="s">
        <v>939</v>
      </c>
      <c r="HG7" s="415">
        <f>IFERROR(SUMIFS('Existing Customers'!$AC:$AC,'Existing Customers'!$A:$A,'Multi-Customer'!HG$1)/SUMIFS('Existing Customers'!$Q:$Q,'Existing Customers'!$A:$A,'Multi-Customer'!HG$1),0)</f>
        <v>0</v>
      </c>
      <c r="IC7" s="85" t="s">
        <v>939</v>
      </c>
      <c r="ID7" s="415">
        <f>IFERROR(SUMIFS('Existing Customers'!$AC:$AC,'Existing Customers'!$A:$A,'Multi-Customer'!ID$1)/SUMIFS('Existing Customers'!$Q:$Q,'Existing Customers'!$A:$A,'Multi-Customer'!ID$1),0)</f>
        <v>0</v>
      </c>
      <c r="IZ7" s="85" t="s">
        <v>939</v>
      </c>
      <c r="JA7" s="415">
        <f>IFERROR(SUMIFS('Existing Customers'!$AC:$AC,'Existing Customers'!$A:$A,'Multi-Customer'!JA$1)/SUMIFS('Existing Customers'!$Q:$Q,'Existing Customers'!$A:$A,'Multi-Customer'!JA$1),0)</f>
        <v>0</v>
      </c>
    </row>
    <row r="8" spans="2:296" x14ac:dyDescent="0.25">
      <c r="BA8" s="85" t="s">
        <v>932</v>
      </c>
      <c r="BB8" s="395">
        <f>'Customer Inputs'!$T$6</f>
        <v>0</v>
      </c>
      <c r="BX8" s="85" t="s">
        <v>932</v>
      </c>
      <c r="BY8" s="395">
        <f>'Customer Inputs'!$T$7</f>
        <v>0</v>
      </c>
      <c r="CU8" s="85" t="s">
        <v>932</v>
      </c>
      <c r="CV8" s="395">
        <f>'Customer Inputs'!$T$8</f>
        <v>0</v>
      </c>
      <c r="DR8" s="85" t="s">
        <v>932</v>
      </c>
      <c r="DS8" s="395">
        <f>'Customer Inputs'!$T$9</f>
        <v>0</v>
      </c>
      <c r="EO8" s="85" t="s">
        <v>932</v>
      </c>
      <c r="EP8" s="395">
        <f>'Customer Inputs'!$T$10</f>
        <v>0</v>
      </c>
      <c r="FL8" s="85" t="s">
        <v>932</v>
      </c>
      <c r="FM8" s="395">
        <f>'Customer Inputs'!$T$11</f>
        <v>0</v>
      </c>
      <c r="GI8" s="85" t="s">
        <v>932</v>
      </c>
      <c r="GJ8" s="395">
        <f>'Customer Inputs'!$T$12</f>
        <v>0</v>
      </c>
      <c r="HF8" s="85" t="s">
        <v>932</v>
      </c>
      <c r="HG8" s="395">
        <f>'Customer Inputs'!$T$13</f>
        <v>0</v>
      </c>
      <c r="IC8" s="85" t="s">
        <v>932</v>
      </c>
      <c r="ID8" s="395">
        <f>'Customer Inputs'!$T$14</f>
        <v>0</v>
      </c>
      <c r="IZ8" s="85" t="s">
        <v>932</v>
      </c>
      <c r="JA8" s="395">
        <f>'Customer Inputs'!$T$15</f>
        <v>0</v>
      </c>
    </row>
    <row r="9" spans="2:296" s="1149" customFormat="1" x14ac:dyDescent="0.25">
      <c r="AZ9" s="1185"/>
      <c r="BA9" s="1151" t="s">
        <v>550</v>
      </c>
      <c r="BB9" s="395">
        <f>IFERROR($BH$35/$BB$35,0)</f>
        <v>0</v>
      </c>
      <c r="BW9" s="1185"/>
      <c r="BX9" s="1151" t="s">
        <v>550</v>
      </c>
      <c r="BY9" s="395">
        <f>IFERROR($CE$35/$BY$35,0)</f>
        <v>0</v>
      </c>
      <c r="CT9" s="1185"/>
      <c r="CU9" s="1151" t="s">
        <v>550</v>
      </c>
      <c r="CV9" s="395">
        <f>IFERROR($DB$35/$CV$35,0)</f>
        <v>0</v>
      </c>
      <c r="DQ9" s="1185"/>
      <c r="DR9" s="1151" t="s">
        <v>550</v>
      </c>
      <c r="DS9" s="395">
        <f>IFERROR($DY$35/$DS$35,0)</f>
        <v>0</v>
      </c>
      <c r="EN9" s="1185"/>
      <c r="EO9" s="1151" t="s">
        <v>550</v>
      </c>
      <c r="EP9" s="395">
        <f>IFERROR($EV$35/$EP$35,0)</f>
        <v>0</v>
      </c>
      <c r="FK9" s="1185"/>
      <c r="FL9" s="1151" t="s">
        <v>550</v>
      </c>
      <c r="FM9" s="395">
        <f>IFERROR($FS$35/$FM$35,0)</f>
        <v>0</v>
      </c>
      <c r="GH9" s="1185"/>
      <c r="GI9" s="1151" t="s">
        <v>550</v>
      </c>
      <c r="GJ9" s="395">
        <f>IFERROR($GP$35/$GJ$35,0)</f>
        <v>0</v>
      </c>
      <c r="HE9" s="1185"/>
      <c r="HF9" s="1151" t="s">
        <v>550</v>
      </c>
      <c r="HG9" s="395">
        <f>IFERROR($HM$35/$HG$35,0)</f>
        <v>0</v>
      </c>
      <c r="IB9" s="1185"/>
      <c r="IC9" s="1151" t="s">
        <v>550</v>
      </c>
      <c r="ID9" s="395">
        <f>IFERROR($IJ$35/$ID$35,0)</f>
        <v>0</v>
      </c>
      <c r="IY9" s="1185"/>
      <c r="IZ9" s="1151" t="s">
        <v>550</v>
      </c>
      <c r="JA9" s="395">
        <f>IFERROR($JG$35/$JA$35,0)</f>
        <v>0</v>
      </c>
    </row>
    <row r="10" spans="2:296" s="1149" customFormat="1" x14ac:dyDescent="0.25">
      <c r="AZ10" s="1185"/>
      <c r="BA10" s="1151" t="s">
        <v>1481</v>
      </c>
      <c r="BB10" s="395">
        <f>IFERROR($BI$35/$BB$35,0)</f>
        <v>0</v>
      </c>
      <c r="BW10" s="1185"/>
      <c r="BX10" s="1151" t="s">
        <v>1481</v>
      </c>
      <c r="BY10" s="395">
        <f>IFERROR($CF$35/$BY$35,0)</f>
        <v>0</v>
      </c>
      <c r="CT10" s="1185"/>
      <c r="CU10" s="1151" t="s">
        <v>1481</v>
      </c>
      <c r="CV10" s="395">
        <f>IFERROR($DC$35/$CV$35,0)</f>
        <v>0</v>
      </c>
      <c r="DQ10" s="1185"/>
      <c r="DR10" s="1151" t="s">
        <v>1481</v>
      </c>
      <c r="DS10" s="395">
        <f>IFERROR($DZ$35/$DS$35,0)</f>
        <v>0</v>
      </c>
      <c r="EN10" s="1185"/>
      <c r="EO10" s="1151" t="s">
        <v>1481</v>
      </c>
      <c r="EP10" s="395">
        <f>IFERROR($EW$35/$EP$35,0)</f>
        <v>0</v>
      </c>
      <c r="FK10" s="1185"/>
      <c r="FL10" s="1151" t="s">
        <v>1481</v>
      </c>
      <c r="FM10" s="395">
        <f>IFERROR($FT$35/$FM$35,0)</f>
        <v>0</v>
      </c>
      <c r="GH10" s="1185"/>
      <c r="GI10" s="1151" t="s">
        <v>1481</v>
      </c>
      <c r="GJ10" s="395">
        <f>IFERROR($GQ$35/$GJ$35,0)</f>
        <v>0</v>
      </c>
      <c r="HE10" s="1185"/>
      <c r="HF10" s="1151" t="s">
        <v>1481</v>
      </c>
      <c r="HG10" s="395">
        <f>IFERROR($HN$35/$HG$35,0)</f>
        <v>0</v>
      </c>
      <c r="IB10" s="1185"/>
      <c r="IC10" s="1151" t="s">
        <v>1481</v>
      </c>
      <c r="ID10" s="395">
        <f>IFERROR($IK$35/$ID$35,0)</f>
        <v>0</v>
      </c>
      <c r="IY10" s="1185"/>
      <c r="IZ10" s="1151" t="s">
        <v>1481</v>
      </c>
      <c r="JA10" s="395">
        <f>IFERROR($JH$35/$JA$35,0)</f>
        <v>0</v>
      </c>
    </row>
    <row r="11" spans="2:296" ht="15.75" thickBot="1" x14ac:dyDescent="0.3">
      <c r="S11" s="85" t="s">
        <v>842</v>
      </c>
      <c r="U11" t="s">
        <v>972</v>
      </c>
      <c r="V11" s="24">
        <f>IFERROR(V35/U35,0)</f>
        <v>0</v>
      </c>
      <c r="AC11" t="s">
        <v>975</v>
      </c>
      <c r="AH11" t="s">
        <v>1029</v>
      </c>
      <c r="AU11" s="1355" t="s">
        <v>1030</v>
      </c>
      <c r="JU11" t="s">
        <v>1026</v>
      </c>
      <c r="KD11" t="s">
        <v>1027</v>
      </c>
    </row>
    <row r="12" spans="2:296" ht="13.9" customHeight="1" thickBot="1" x14ac:dyDescent="0.3">
      <c r="C12" t="s">
        <v>976</v>
      </c>
      <c r="S12" s="85"/>
      <c r="AB12" s="473" t="s">
        <v>934</v>
      </c>
      <c r="AC12" s="474" t="s">
        <v>935</v>
      </c>
      <c r="AD12" s="475" t="s">
        <v>936</v>
      </c>
      <c r="AE12" s="476"/>
      <c r="AF12" s="476"/>
      <c r="AI12" s="473" t="s">
        <v>1028</v>
      </c>
      <c r="AJ12" s="476"/>
      <c r="AK12" s="476"/>
      <c r="AU12" s="1355"/>
      <c r="BA12" s="85"/>
      <c r="BB12" s="1166" t="str">
        <f>IF(AND($BB$2="Enter Spend&gt;&gt;&gt;",BC2="PROSPECT"),"Spec"&amp;"Sales","Exist"&amp;"Sales")</f>
        <v>ExistSales</v>
      </c>
      <c r="BC12" s="410" t="str">
        <f>IF(AND($BB$2="Enter Spend&gt;&gt;&gt;",BC2="PROSPECT"),"Spec"&amp;"Cases","Exist"&amp;"Cases")</f>
        <v>ExistCases</v>
      </c>
      <c r="BD12" s="410" t="str">
        <f>IF(AND($BB$2="Enter Spend&gt;&gt;&gt;",BC2="PROSPECT"),"Spec"&amp;"Ebcases","Exist"&amp;"Ebcases")</f>
        <v>ExistEbcases</v>
      </c>
      <c r="BE12" s="410" t="str">
        <f>IF(AND($BB$2="Enter Spend&gt;&gt;&gt;",BC2="PROSPECT"),"Spec"&amp;"Weight","Exist"&amp;"Weight")</f>
        <v>ExistWeight</v>
      </c>
      <c r="BF12" s="410" t="str">
        <f>IF(AND($BB$2="Enter Spend&gt;&gt;&gt;",BC2="PROSPECT"),"Spec"&amp;"TAGP","Exist"&amp;"TAGP")</f>
        <v>ExistTAGP</v>
      </c>
      <c r="BG12" s="411" t="str">
        <f>IF(AND($BB$2="Enter Spend&gt;&gt;&gt;",BC2="PROSPECT"),"Spec"&amp;"TGP","Exist"&amp;"TGP")</f>
        <v>ExistTGP</v>
      </c>
      <c r="BH12" s="411" t="str">
        <f>IF(AND($BB$2="Enter Spend&gt;&gt;&gt;",BC2="PROSPECT"),"Spec"&amp;"PA $","Exist"&amp;"PA $")</f>
        <v>ExistPA $</v>
      </c>
      <c r="BI12" s="411" t="str">
        <f>IF(AND($BB$2="Enter Spend&gt;&gt;&gt;",BC2="PROSPECT"),"Spec"&amp;"SFD $","Exist"&amp;"SFD $")</f>
        <v>ExistSFD $</v>
      </c>
      <c r="BJ12" s="404"/>
      <c r="BK12" s="404"/>
      <c r="BL12" s="404"/>
      <c r="BM12" s="404"/>
      <c r="BN12" s="404"/>
      <c r="BO12" s="404"/>
      <c r="BP12" s="404"/>
      <c r="BQ12" s="404"/>
      <c r="BR12" s="404"/>
      <c r="BS12" s="404"/>
      <c r="BT12" s="404"/>
      <c r="BU12" s="404"/>
      <c r="BV12" s="404"/>
      <c r="BW12" s="404"/>
      <c r="BX12" s="404"/>
      <c r="BY12" s="410" t="str">
        <f>IF(AND($BY$2="Enter Spend&gt;&gt;&gt;",BZ2="PROSPECT"),"Spec"&amp;"Sales","Exist"&amp;"Sales")</f>
        <v>ExistSales</v>
      </c>
      <c r="BZ12" s="410" t="str">
        <f>IF(AND($BY$2="Enter Spend&gt;&gt;&gt;",BZ2="PROSPECT"),"Spec"&amp;"Cases","Exist"&amp;"Cases")</f>
        <v>ExistCases</v>
      </c>
      <c r="CA12" s="410" t="str">
        <f>IF(AND($BY$2="Enter Spend&gt;&gt;&gt;",BZ2="PROSPECT"),"Spec"&amp;"Ebcases","Exist"&amp;"Ebcases")</f>
        <v>ExistEbcases</v>
      </c>
      <c r="CB12" s="410" t="str">
        <f>IF(AND($BY$2="Enter Spend&gt;&gt;&gt;",BZ2="PROSPECT"),"Spec"&amp;"Weight","Exist"&amp;"Weight")</f>
        <v>ExistWeight</v>
      </c>
      <c r="CC12" s="410" t="str">
        <f>IF(AND($BY$2="Enter Spend&gt;&gt;&gt;",BZ2="PROSPECT"),"Spec"&amp;"TAGP","Exist"&amp;"TAGP")</f>
        <v>ExistTAGP</v>
      </c>
      <c r="CD12" s="410" t="str">
        <f>IF(AND($BY$2="Enter Spend&gt;&gt;&gt;",BZ2="PROSPECT"),"Spec"&amp;"TGP","Exist"&amp;"TGP")</f>
        <v>ExistTGP</v>
      </c>
      <c r="CE12" s="410" t="str">
        <f>IF(AND($BY$2="Enter Spend&gt;&gt;&gt;",BZ2="PROSPECT"),"Spec"&amp;"PA $","Exist"&amp;"PA $")</f>
        <v>ExistPA $</v>
      </c>
      <c r="CF12" s="410" t="str">
        <f>IF(AND($BY$2="Enter Spend&gt;&gt;&gt;",BZ2="PROSPECT"),"Spec"&amp;"SFD $","Exist"&amp;"SFD $")</f>
        <v>ExistSFD $</v>
      </c>
      <c r="CG12" s="404"/>
      <c r="CH12" s="404"/>
      <c r="CI12" s="404"/>
      <c r="CJ12" s="404"/>
      <c r="CK12" s="404"/>
      <c r="CL12" s="404"/>
      <c r="CM12" s="404"/>
      <c r="CN12" s="404"/>
      <c r="CO12" s="404"/>
      <c r="CP12" s="404"/>
      <c r="CQ12" s="404"/>
      <c r="CR12" s="404"/>
      <c r="CS12" s="404"/>
      <c r="CT12" s="404"/>
      <c r="CU12" s="404"/>
      <c r="CV12" s="409" t="str">
        <f>IF(AND($CV$2="Enter Spend&gt;&gt;&gt;",CW2="PROSPECT"),"Spec"&amp;"Sales","Exist"&amp;"Sales")</f>
        <v>ExistSales</v>
      </c>
      <c r="CW12" s="410" t="str">
        <f>IF(AND($CV$2="Enter Spend&gt;&gt;&gt;",CW2="PROSPECT"),"Spec"&amp;"Cases","Exist"&amp;"Cases")</f>
        <v>ExistCases</v>
      </c>
      <c r="CX12" s="410" t="str">
        <f>IF(AND($CV$2="Enter Spend&gt;&gt;&gt;",CW2="PROSPECT"),"Spec"&amp;"Ebcases","Exist"&amp;"Ebcases")</f>
        <v>ExistEbcases</v>
      </c>
      <c r="CY12" s="410" t="str">
        <f>IF(AND($CV$2="Enter Spend&gt;&gt;&gt;",CW2="PROSPECT"),"Spec"&amp;"Weight","Exist"&amp;"Weight")</f>
        <v>ExistWeight</v>
      </c>
      <c r="CZ12" s="410" t="str">
        <f>IF(AND($CV$2="Enter Spend&gt;&gt;&gt;",CW2="PROSPECT"),"Spec"&amp;"TAGP","Exist"&amp;"TAGP")</f>
        <v>ExistTAGP</v>
      </c>
      <c r="DA12" s="411" t="str">
        <f>IF(AND($CV$2="Enter Spend&gt;&gt;&gt;",CW2="PROSPECT"),"Spec"&amp;"TGP","Exist"&amp;"TGP")</f>
        <v>ExistTGP</v>
      </c>
      <c r="DB12" s="411" t="str">
        <f>IF(AND($CV$2="Enter Spend&gt;&gt;&gt;",CW2="PROSPECT"),"Spec"&amp;"PA $","Exist"&amp;"PA $")</f>
        <v>ExistPA $</v>
      </c>
      <c r="DC12" s="411" t="str">
        <f>IF(AND($CV$2="Enter Spend&gt;&gt;&gt;",CW2="PROSPECT"),"Spec"&amp;"SFD $","Exist"&amp;"SFD $")</f>
        <v>ExistSFD $</v>
      </c>
      <c r="DD12" s="404"/>
      <c r="DE12" s="404"/>
      <c r="DF12" s="404"/>
      <c r="DG12" s="404"/>
      <c r="DH12" s="404"/>
      <c r="DI12" s="404"/>
      <c r="DJ12" s="404"/>
      <c r="DK12" s="404"/>
      <c r="DL12" s="404"/>
      <c r="DM12" s="404"/>
      <c r="DN12" s="404"/>
      <c r="DO12" s="404"/>
      <c r="DP12" s="404"/>
      <c r="DQ12" s="404"/>
      <c r="DR12" s="404"/>
      <c r="DS12" s="409" t="str">
        <f>IF(AND($DS$2="Enter Spend&gt;&gt;&gt;",DT2="PROSPECT"),"Spec"&amp;"Sales","Exist"&amp;"Sales")</f>
        <v>ExistSales</v>
      </c>
      <c r="DT12" s="410" t="str">
        <f>IF(AND($DS$2="Enter Spend&gt;&gt;&gt;",DT2="PROSPECT"),"Spec"&amp;"Cases","Exist"&amp;"Cases")</f>
        <v>ExistCases</v>
      </c>
      <c r="DU12" s="410" t="str">
        <f>IF(AND($DS$2="Enter Spend&gt;&gt;&gt;",DT2="PROSPECT"),"Spec"&amp;"Ebcases","Exist"&amp;"Ebcases")</f>
        <v>ExistEbcases</v>
      </c>
      <c r="DV12" s="410" t="str">
        <f>IF(AND($DS$2="Enter Spend&gt;&gt;&gt;",DT2="PROSPECT"),"Spec"&amp;"Weight","Exist"&amp;"Weight")</f>
        <v>ExistWeight</v>
      </c>
      <c r="DW12" s="410" t="str">
        <f>IF(AND($DS$2="Enter Spend&gt;&gt;&gt;",DT2="PROSPECT"),"Spec"&amp;"TAGP","Exist"&amp;"TAGP")</f>
        <v>ExistTAGP</v>
      </c>
      <c r="DX12" s="411" t="str">
        <f>IF(AND($DS$2="Enter Spend&gt;&gt;&gt;",DT2="PROSPECT"),"Spec"&amp;"TGP","Exist"&amp;"TGP")</f>
        <v>ExistTGP</v>
      </c>
      <c r="DY12" s="411" t="str">
        <f>IF(AND($DS$2="Enter Spend&gt;&gt;&gt;",DT2="PROSPECT"),"Spec"&amp;"PA $","Exist"&amp;"PA $")</f>
        <v>ExistPA $</v>
      </c>
      <c r="DZ12" s="411" t="str">
        <f>IF(AND($DS$2="Enter Spend&gt;&gt;&gt;",DT2="PROSPECT"),"Spec"&amp;"SFD $","Exist"&amp;"SFD $")</f>
        <v>ExistSFD $</v>
      </c>
      <c r="EA12" s="404"/>
      <c r="EB12" s="404"/>
      <c r="EC12" s="404"/>
      <c r="ED12" s="404"/>
      <c r="EE12" s="404"/>
      <c r="EF12" s="404"/>
      <c r="EG12" s="404"/>
      <c r="EH12" s="404"/>
      <c r="EI12" s="404"/>
      <c r="EJ12" s="404"/>
      <c r="EK12" s="404"/>
      <c r="EL12" s="404"/>
      <c r="EM12" s="404"/>
      <c r="EN12" s="404"/>
      <c r="EO12" s="404"/>
      <c r="EP12" s="409" t="str">
        <f>IF(AND($EP$2="Enter Spend&gt;&gt;&gt;",EQ2="PROSPECT"),"Spec"&amp;"Sales","Exist"&amp;"Sales")</f>
        <v>ExistSales</v>
      </c>
      <c r="EQ12" s="410" t="str">
        <f>IF(AND($EP$2="Enter Spend&gt;&gt;&gt;",EQ2="PROSPECT"),"Spec"&amp;"Cases","Exist"&amp;"Cases")</f>
        <v>ExistCases</v>
      </c>
      <c r="ER12" s="410" t="str">
        <f>IF(AND($EP$2="Enter Spend&gt;&gt;&gt;",EQ2="PROSPECT"),"Spec"&amp;"Ebcases","Exist"&amp;"Ebcases")</f>
        <v>ExistEbcases</v>
      </c>
      <c r="ES12" s="410" t="str">
        <f>IF(AND($EP$2="Enter Spend&gt;&gt;&gt;",EQ2="PROSPECT"),"Spec"&amp;"Weight","Exist"&amp;"Weight")</f>
        <v>ExistWeight</v>
      </c>
      <c r="ET12" s="410" t="str">
        <f>IF(AND($EP$2="Enter Spend&gt;&gt;&gt;",EQ2="PROSPECT"),"Spec"&amp;"TAGP","Exist"&amp;"TAGP")</f>
        <v>ExistTAGP</v>
      </c>
      <c r="EU12" s="411" t="str">
        <f>IF(AND($EP$2="Enter Spend&gt;&gt;&gt;",EQ2="PROSPECT"),"Spec"&amp;"TGP","Exist"&amp;"TGP")</f>
        <v>ExistTGP</v>
      </c>
      <c r="EV12" s="411" t="str">
        <f>IF(AND($EP$2="Enter Spend&gt;&gt;&gt;",EQ2="PROSPECT"),"Spec"&amp;"PA $","Exist"&amp;"PA $")</f>
        <v>ExistPA $</v>
      </c>
      <c r="EW12" s="411" t="str">
        <f>IF(AND($EP$2="Enter Spend&gt;&gt;&gt;",EQ2="PROSPECT"),"Spec"&amp;"SFD $","Exist"&amp;"SFD $")</f>
        <v>ExistSFD $</v>
      </c>
      <c r="EX12" s="404"/>
      <c r="EY12" s="404"/>
      <c r="EZ12" s="404"/>
      <c r="FA12" s="404"/>
      <c r="FB12" s="404"/>
      <c r="FC12" s="404"/>
      <c r="FD12" s="404"/>
      <c r="FE12" s="404"/>
      <c r="FF12" s="404"/>
      <c r="FG12" s="404"/>
      <c r="FH12" s="404"/>
      <c r="FI12" s="404"/>
      <c r="FJ12" s="404"/>
      <c r="FK12" s="404"/>
      <c r="FL12" s="404"/>
      <c r="FM12" s="409" t="str">
        <f>IF(AND($FM$2="Enter Spend&gt;&gt;&gt;",FN2="PROSPECT"),"Spec"&amp;"Sales","Exist"&amp;"Sales")</f>
        <v>ExistSales</v>
      </c>
      <c r="FN12" s="410" t="str">
        <f>IF(AND($FM$2="Enter Spend&gt;&gt;&gt;",FN2="PROSPECT"),"Spec"&amp;"Cases","Exist"&amp;"Cases")</f>
        <v>ExistCases</v>
      </c>
      <c r="FO12" s="410" t="str">
        <f>IF(AND($FM$2="Enter Spend&gt;&gt;&gt;",FN2="PROSPECT"),"Spec"&amp;"Ebcases","Exist"&amp;"Ebcases")</f>
        <v>ExistEbcases</v>
      </c>
      <c r="FP12" s="410" t="str">
        <f>IF(AND($FM$2="Enter Spend&gt;&gt;&gt;",FN2="PROSPECT"),"Spec"&amp;"Weight","Exist"&amp;"Weight")</f>
        <v>ExistWeight</v>
      </c>
      <c r="FQ12" s="410" t="str">
        <f>IF(AND($FM$2="Enter Spend&gt;&gt;&gt;",FN2="PROSPECT"),"Spec"&amp;"TAGP","Exist"&amp;"TAGP")</f>
        <v>ExistTAGP</v>
      </c>
      <c r="FR12" s="411" t="str">
        <f>IF(AND($FM$2="Enter Spend&gt;&gt;&gt;",FN2="PROSPECT"),"Spec"&amp;"TGP","Exist"&amp;"TGP")</f>
        <v>ExistTGP</v>
      </c>
      <c r="FS12" s="411" t="str">
        <f>IF(AND($FM$2="Enter Spend&gt;&gt;&gt;",FN2="PROSPECT"),"Spec"&amp;"PA $","Exist"&amp;"PA $")</f>
        <v>ExistPA $</v>
      </c>
      <c r="FT12" s="411" t="str">
        <f>IF(AND($FM$2="Enter Spend&gt;&gt;&gt;",FN2="PROSPECT"),"Spec"&amp;"SFD $","Exist"&amp;"SFD $")</f>
        <v>ExistSFD $</v>
      </c>
      <c r="FU12" s="404"/>
      <c r="FV12" s="404"/>
      <c r="FW12" s="404"/>
      <c r="FX12" s="404"/>
      <c r="FY12" s="404"/>
      <c r="FZ12" s="404"/>
      <c r="GA12" s="404"/>
      <c r="GB12" s="404"/>
      <c r="GC12" s="404"/>
      <c r="GD12" s="404"/>
      <c r="GE12" s="404"/>
      <c r="GF12" s="404"/>
      <c r="GG12" s="404"/>
      <c r="GH12" s="404"/>
      <c r="GI12" s="404"/>
      <c r="GJ12" s="409" t="str">
        <f>IF(AND($GJ$2="Enter Spend&gt;&gt;&gt;",GK2="PROSPECT"),"Spec"&amp;"Sales","Exist"&amp;"Sales")</f>
        <v>ExistSales</v>
      </c>
      <c r="GK12" s="410" t="str">
        <f>IF(AND($GJ$2="Enter Spend&gt;&gt;&gt;",GK2="PROSPECT"),"Spec"&amp;"Cases","Exist"&amp;"Cases")</f>
        <v>ExistCases</v>
      </c>
      <c r="GL12" s="410" t="str">
        <f>IF(AND($GJ$2="Enter Spend&gt;&gt;&gt;",GK2="PROSPECT"),"Spec"&amp;"Ebcases","Exist"&amp;"Ebcases")</f>
        <v>ExistEbcases</v>
      </c>
      <c r="GM12" s="410" t="str">
        <f>IF(AND($GJ$2="Enter Spend&gt;&gt;&gt;",GK2="PROSPECT"),"Spec"&amp;"Weight","Exist"&amp;"Weight")</f>
        <v>ExistWeight</v>
      </c>
      <c r="GN12" s="410" t="str">
        <f>IF(AND($GJ$2="Enter Spend&gt;&gt;&gt;",GK2="PROSPECT"),"Spec"&amp;"TAGP","Exist"&amp;"TAGP")</f>
        <v>ExistTAGP</v>
      </c>
      <c r="GO12" s="411" t="str">
        <f>IF(AND($GJ$2="Enter Spend&gt;&gt;&gt;",GK2="PROSPECT"),"Spec"&amp;"TGP","Exist"&amp;"TGP")</f>
        <v>ExistTGP</v>
      </c>
      <c r="GP12" s="411" t="str">
        <f>IF(AND($GJ$2="Enter Spend&gt;&gt;&gt;",GK2="PROSPECT"),"Spec"&amp;"PA $","Exist"&amp;"PA $")</f>
        <v>ExistPA $</v>
      </c>
      <c r="GQ12" s="411" t="str">
        <f>IF(AND($GJ$2="Enter Spend&gt;&gt;&gt;",GK2="PROSPECT"),"Spec"&amp;"SFD $","Exist"&amp;"SFD $")</f>
        <v>ExistSFD $</v>
      </c>
      <c r="GR12" s="404"/>
      <c r="GS12" s="404"/>
      <c r="GT12" s="404"/>
      <c r="GU12" s="404"/>
      <c r="GV12" s="404"/>
      <c r="GW12" s="404"/>
      <c r="GX12" s="404"/>
      <c r="GY12" s="404"/>
      <c r="GZ12" s="404"/>
      <c r="HA12" s="404"/>
      <c r="HB12" s="404"/>
      <c r="HC12" s="404"/>
      <c r="HD12" s="404"/>
      <c r="HE12" s="404"/>
      <c r="HF12" s="404"/>
      <c r="HG12" s="409" t="str">
        <f>IF(AND($HG$2="Enter Spend&gt;&gt;&gt;",HH2="PROSPECT"),"Spec"&amp;"Sales","Exist"&amp;"Sales")</f>
        <v>ExistSales</v>
      </c>
      <c r="HH12" s="410" t="str">
        <f>IF(AND($HG$2="Enter Spend&gt;&gt;&gt;",HH2="PROSPECT"),"Spec"&amp;"Cases","Exist"&amp;"Cases")</f>
        <v>ExistCases</v>
      </c>
      <c r="HI12" s="410" t="str">
        <f>IF(AND($HG$2="Enter Spend&gt;&gt;&gt;",HH2="PROSPECT"),"Spec"&amp;"Ebcases","Exist"&amp;"Ebcases")</f>
        <v>ExistEbcases</v>
      </c>
      <c r="HJ12" s="410" t="str">
        <f>IF(AND($HG$2="Enter Spend&gt;&gt;&gt;",HH2="PROSPECT"),"Spec"&amp;"Weight","Exist"&amp;"Weight")</f>
        <v>ExistWeight</v>
      </c>
      <c r="HK12" s="410" t="str">
        <f>IF(AND($HG$2="Enter Spend&gt;&gt;&gt;",HH2="PROSPECT"),"Spec"&amp;"TAGP","Exist"&amp;"TAGP")</f>
        <v>ExistTAGP</v>
      </c>
      <c r="HL12" s="411" t="str">
        <f>IF(AND($HG$2="Enter Spend&gt;&gt;&gt;",HH2="PROSPECT"),"Spec"&amp;"TGP","Exist"&amp;"TGP")</f>
        <v>ExistTGP</v>
      </c>
      <c r="HM12" s="411" t="str">
        <f>IF(AND($HG$2="Enter Spend&gt;&gt;&gt;",HH2="PROSPECT"),"Spec"&amp;"PA $","Exist"&amp;"PA $")</f>
        <v>ExistPA $</v>
      </c>
      <c r="HN12" s="411" t="str">
        <f>IF(AND($HG$2="Enter Spend&gt;&gt;&gt;",HH2="PROSPECT"),"Spec"&amp;"SFD $","Exist"&amp;"SFD $")</f>
        <v>ExistSFD $</v>
      </c>
      <c r="HO12" s="404"/>
      <c r="HP12" s="404"/>
      <c r="HQ12" s="404"/>
      <c r="HR12" s="404"/>
      <c r="HS12" s="404"/>
      <c r="HT12" s="404"/>
      <c r="HU12" s="404"/>
      <c r="HV12" s="404"/>
      <c r="HW12" s="404"/>
      <c r="HX12" s="404"/>
      <c r="HY12" s="404"/>
      <c r="HZ12" s="404"/>
      <c r="IA12" s="404"/>
      <c r="IB12" s="404"/>
      <c r="IC12" s="404"/>
      <c r="ID12" s="409" t="str">
        <f>IF(AND($ID$2="Enter Spend&gt;&gt;&gt;",IE2="PROSPECT"),"Spec"&amp;"Sales","Exist"&amp;"Sales")</f>
        <v>ExistSales</v>
      </c>
      <c r="IE12" s="410" t="str">
        <f>IF(AND($ID$2="Enter Spend&gt;&gt;&gt;",IE2="PROSPECT"),"Spec"&amp;"Cases","Exist"&amp;"Cases")</f>
        <v>ExistCases</v>
      </c>
      <c r="IF12" s="410" t="str">
        <f>IF(AND($ID$2="Enter Spend&gt;&gt;&gt;",IE2="PROSPECT"),"Spec"&amp;"Ebcases","Exist"&amp;"Ebcases")</f>
        <v>ExistEbcases</v>
      </c>
      <c r="IG12" s="410" t="str">
        <f>IF(AND($ID$2="Enter Spend&gt;&gt;&gt;",IE2="PROSPECT"),"Spec"&amp;"Weight","Exist"&amp;"Weight")</f>
        <v>ExistWeight</v>
      </c>
      <c r="IH12" s="410" t="str">
        <f>IF(AND($ID$2="Enter Spend&gt;&gt;&gt;",IE2="PROSPECT"),"Spec"&amp;"TAGP","Exist"&amp;"TAGP")</f>
        <v>ExistTAGP</v>
      </c>
      <c r="II12" s="411" t="str">
        <f>IF(AND($ID$2="Enter Spend&gt;&gt;&gt;",IE2="PROSPECT"),"Spec"&amp;"TGP","Exist"&amp;"TGP")</f>
        <v>ExistTGP</v>
      </c>
      <c r="IJ12" s="411" t="str">
        <f>IF(AND($ID$2="Enter Spend&gt;&gt;&gt;",IE2="PROSPECT"),"Spec"&amp;"PA $","Exist"&amp;"PA $")</f>
        <v>ExistPA $</v>
      </c>
      <c r="IK12" s="411" t="str">
        <f>IF(AND($ID$2="Enter Spend&gt;&gt;&gt;",IE2="PROSPECT"),"Spec"&amp;"SFD $","Exist"&amp;"SFD $")</f>
        <v>ExistSFD $</v>
      </c>
      <c r="IL12" s="404"/>
      <c r="IM12" s="404"/>
      <c r="IN12" s="404"/>
      <c r="IO12" s="404"/>
      <c r="IP12" s="404"/>
      <c r="IQ12" s="404"/>
      <c r="IR12" s="404"/>
      <c r="IS12" s="404"/>
      <c r="IT12" s="404"/>
      <c r="IU12" s="404"/>
      <c r="IV12" s="404"/>
      <c r="IW12" s="404"/>
      <c r="IX12" s="404"/>
      <c r="IY12" s="404"/>
      <c r="IZ12" s="404"/>
      <c r="JA12" s="409" t="str">
        <f>IF(AND($JA$2="Enter Spend&gt;&gt;&gt;",JB2="PROSPECT"),"Spec"&amp;"Sales","Exist"&amp;"Sales")</f>
        <v>ExistSales</v>
      </c>
      <c r="JB12" s="410" t="str">
        <f>IF(AND($JA$2="Enter Spend&gt;&gt;&gt;",JB2="PROSPECT"),"Spec"&amp;"Cases","Exist"&amp;"Cases")</f>
        <v>ExistCases</v>
      </c>
      <c r="JC12" s="410" t="str">
        <f>IF(AND($JA$2="Enter Spend&gt;&gt;&gt;",JB2="PROSPECT"),"Spec"&amp;"Ebcases","Exist"&amp;"Ebcases")</f>
        <v>ExistEbcases</v>
      </c>
      <c r="JD12" s="410" t="str">
        <f>IF(AND($JA$2="Enter Spend&gt;&gt;&gt;",JB2="PROSPECT"),"Spec"&amp;"Weight","Exist"&amp;"Weight")</f>
        <v>ExistWeight</v>
      </c>
      <c r="JE12" s="410" t="str">
        <f>IF(AND($JA$2="Enter Spend&gt;&gt;&gt;",JB2="PROSPECT"),"Spec"&amp;"TAGP","Exist"&amp;"TAGP")</f>
        <v>ExistTAGP</v>
      </c>
      <c r="JF12" s="411" t="str">
        <f>IF(AND($JA$2="Enter Spend&gt;&gt;&gt;",JB2="PROSPECT"),"Spec"&amp;"TGP","Exist"&amp;"TGP")</f>
        <v>ExistTGP</v>
      </c>
      <c r="JG12" s="411" t="str">
        <f>IF(AND($JA$2="Enter Spend&gt;&gt;&gt;",JB2="PROSPECT"),"Spec"&amp;"PA $","Exist"&amp;"PA $")</f>
        <v>ExistPA $</v>
      </c>
      <c r="JH12" s="411" t="str">
        <f>IF(AND($JA$2="Enter Spend&gt;&gt;&gt;",JB2="PROSPECT"),"Spec"&amp;"SFD $","Exist"&amp;"SFD $")</f>
        <v>ExistSFD $</v>
      </c>
      <c r="JI12" s="404"/>
      <c r="JJ12" s="404"/>
      <c r="JK12" s="404"/>
      <c r="JL12" s="404"/>
      <c r="JM12" s="404"/>
      <c r="JN12" s="404"/>
      <c r="JO12" s="404"/>
      <c r="JP12" s="404"/>
      <c r="JQ12" s="404"/>
      <c r="JR12" s="404"/>
      <c r="JS12" s="404"/>
      <c r="JU12" s="404"/>
      <c r="JV12" s="409" t="str">
        <f>IF(JV2="Enter Spend&gt;&gt;&gt;","Spec"&amp;"Sales","Exist"&amp;"Sales")</f>
        <v>ExistSales</v>
      </c>
      <c r="JW12" s="410" t="str">
        <f>IF(JV2="Enter Spend&gt;&gt;&gt;","Spec"&amp;"Cases","Exist"&amp;"Cases")</f>
        <v>ExistCases</v>
      </c>
      <c r="JX12" s="410" t="str">
        <f>IF(JV2="Enter Spend&gt;&gt;&gt;","Spec"&amp;"Ebcases","Exist"&amp;"Ebcases")</f>
        <v>ExistEbcases</v>
      </c>
      <c r="JY12" s="410" t="str">
        <f>IF(JV2="Enter Spend&gt;&gt;&gt;","Spec"&amp;"Weight","Exist"&amp;"Weight")</f>
        <v>ExistWeight</v>
      </c>
      <c r="JZ12" s="410" t="str">
        <f>IF(JV2="Enter Spend&gt;&gt;&gt;","Spec"&amp;"TAGP","Exist"&amp;"TAGP")</f>
        <v>ExistTAGP</v>
      </c>
      <c r="KA12" s="411" t="str">
        <f>IF(JV2="Enter Spend&gt;&gt;&gt;","Spec"&amp;"TGP","Exist"&amp;"TGP")</f>
        <v>ExistTGP</v>
      </c>
      <c r="KB12" s="404"/>
      <c r="KC12" s="404"/>
      <c r="KD12" s="404"/>
      <c r="KE12" s="409" t="str">
        <f>IF(KE2="Enter Spend&gt;&gt;&gt;","Spec"&amp;"Sales","Exist"&amp;"Sales")</f>
        <v>ExistSales</v>
      </c>
      <c r="KF12" s="410" t="str">
        <f>IF(KE2="Enter Spend&gt;&gt;&gt;","Spec"&amp;"Cases","Exist"&amp;"Cases")</f>
        <v>ExistCases</v>
      </c>
      <c r="KG12" s="410" t="str">
        <f>IF(KE2="Enter Spend&gt;&gt;&gt;","Spec"&amp;"Ebcases","Exist"&amp;"Ebcases")</f>
        <v>ExistEbcases</v>
      </c>
      <c r="KH12" s="410" t="str">
        <f>IF(KE2="Enter Spend&gt;&gt;&gt;","Spec"&amp;"Weight","Exist"&amp;"Weight")</f>
        <v>ExistWeight</v>
      </c>
      <c r="KI12" s="410" t="str">
        <f>IF(KE2="Enter Spend&gt;&gt;&gt;","Spec"&amp;"TAGP","Exist"&amp;"TAGP")</f>
        <v>ExistTAGP</v>
      </c>
      <c r="KJ12" s="411" t="str">
        <f>IF(KE2="Enter Spend&gt;&gt;&gt;","Spec"&amp;"TGP","Exist"&amp;"TGP")</f>
        <v>ExistTGP</v>
      </c>
    </row>
    <row r="13" spans="2:296" ht="34.5" thickBot="1" x14ac:dyDescent="0.3">
      <c r="B13" s="90" t="s">
        <v>108</v>
      </c>
      <c r="C13" s="477" t="s">
        <v>82</v>
      </c>
      <c r="D13" s="478" t="s">
        <v>83</v>
      </c>
      <c r="E13" s="478" t="s">
        <v>404</v>
      </c>
      <c r="F13" s="478" t="s">
        <v>508</v>
      </c>
      <c r="G13" s="479" t="s">
        <v>405</v>
      </c>
      <c r="H13" s="479" t="s">
        <v>200</v>
      </c>
      <c r="I13" s="477" t="s">
        <v>218</v>
      </c>
      <c r="J13" s="477" t="s">
        <v>1469</v>
      </c>
      <c r="K13" s="477" t="s">
        <v>203</v>
      </c>
      <c r="L13" s="477" t="s">
        <v>1470</v>
      </c>
      <c r="M13" s="477" t="s">
        <v>1471</v>
      </c>
      <c r="N13" s="1156" t="s">
        <v>1472</v>
      </c>
      <c r="S13" s="90" t="s">
        <v>108</v>
      </c>
      <c r="T13" s="112" t="s">
        <v>82</v>
      </c>
      <c r="U13" s="92" t="s">
        <v>83</v>
      </c>
      <c r="V13" s="92" t="s">
        <v>404</v>
      </c>
      <c r="W13" s="92" t="s">
        <v>508</v>
      </c>
      <c r="X13" s="93" t="s">
        <v>405</v>
      </c>
      <c r="Y13" s="109" t="s">
        <v>535</v>
      </c>
      <c r="Z13" s="394"/>
      <c r="AA13" s="394"/>
      <c r="AB13" s="477" t="s">
        <v>402</v>
      </c>
      <c r="AC13" s="478" t="s">
        <v>405</v>
      </c>
      <c r="AD13" s="478" t="s">
        <v>200</v>
      </c>
      <c r="AE13" s="478" t="s">
        <v>535</v>
      </c>
      <c r="AF13" s="479" t="s">
        <v>933</v>
      </c>
      <c r="AG13" s="394"/>
      <c r="AH13" s="394"/>
      <c r="AI13" s="477" t="s">
        <v>402</v>
      </c>
      <c r="AJ13" s="478" t="s">
        <v>405</v>
      </c>
      <c r="AK13" s="479" t="s">
        <v>933</v>
      </c>
      <c r="AL13" s="394"/>
      <c r="AM13" s="394"/>
      <c r="AN13" s="394"/>
      <c r="AO13" s="394"/>
      <c r="AP13" s="511" t="s">
        <v>1017</v>
      </c>
      <c r="AQ13" s="511"/>
      <c r="AR13" s="511" t="s">
        <v>1068</v>
      </c>
      <c r="AS13" s="394"/>
      <c r="AT13" s="394"/>
      <c r="AU13" s="1355"/>
      <c r="AV13" s="394"/>
      <c r="AW13" s="394"/>
      <c r="AX13" s="394"/>
      <c r="AY13" s="64" t="s">
        <v>930</v>
      </c>
      <c r="AZ13" s="1522" t="s">
        <v>1600</v>
      </c>
      <c r="BA13" s="90" t="s">
        <v>108</v>
      </c>
      <c r="BB13" s="91" t="s">
        <v>82</v>
      </c>
      <c r="BC13" s="92" t="s">
        <v>83</v>
      </c>
      <c r="BD13" s="92" t="s">
        <v>404</v>
      </c>
      <c r="BE13" s="92" t="s">
        <v>508</v>
      </c>
      <c r="BF13" s="401" t="s">
        <v>405</v>
      </c>
      <c r="BG13" s="93" t="s">
        <v>200</v>
      </c>
      <c r="BH13" s="93" t="s">
        <v>960</v>
      </c>
      <c r="BI13" s="1162" t="s">
        <v>1473</v>
      </c>
      <c r="BJ13" s="93" t="s">
        <v>1474</v>
      </c>
      <c r="BK13" s="93" t="s">
        <v>1475</v>
      </c>
      <c r="BL13" s="93" t="s">
        <v>1476</v>
      </c>
      <c r="BM13" s="93" t="s">
        <v>1477</v>
      </c>
      <c r="BN13" s="1167" t="s">
        <v>1478</v>
      </c>
      <c r="BO13" s="1167" t="s">
        <v>218</v>
      </c>
      <c r="BP13" s="93" t="s">
        <v>1469</v>
      </c>
      <c r="BQ13" s="93" t="s">
        <v>203</v>
      </c>
      <c r="BR13" s="1167" t="s">
        <v>1479</v>
      </c>
      <c r="BS13" s="1167" t="s">
        <v>1480</v>
      </c>
      <c r="BT13" s="1167" t="s">
        <v>1472</v>
      </c>
      <c r="BU13" s="394"/>
      <c r="BV13" s="64" t="s">
        <v>930</v>
      </c>
      <c r="BW13" s="1522" t="s">
        <v>1600</v>
      </c>
      <c r="BX13" s="90" t="s">
        <v>108</v>
      </c>
      <c r="BY13" s="91" t="s">
        <v>82</v>
      </c>
      <c r="BZ13" s="92" t="s">
        <v>83</v>
      </c>
      <c r="CA13" s="92" t="s">
        <v>404</v>
      </c>
      <c r="CB13" s="92" t="s">
        <v>508</v>
      </c>
      <c r="CC13" s="93" t="s">
        <v>405</v>
      </c>
      <c r="CD13" s="93" t="s">
        <v>200</v>
      </c>
      <c r="CE13" s="93" t="s">
        <v>960</v>
      </c>
      <c r="CF13" s="1162" t="s">
        <v>1473</v>
      </c>
      <c r="CG13" s="93" t="s">
        <v>1474</v>
      </c>
      <c r="CH13" s="93" t="s">
        <v>1475</v>
      </c>
      <c r="CI13" s="93" t="s">
        <v>1476</v>
      </c>
      <c r="CJ13" s="1167" t="s">
        <v>1477</v>
      </c>
      <c r="CK13" s="1167" t="s">
        <v>1478</v>
      </c>
      <c r="CL13" s="93" t="s">
        <v>218</v>
      </c>
      <c r="CM13" s="93" t="s">
        <v>1469</v>
      </c>
      <c r="CN13" s="93" t="s">
        <v>203</v>
      </c>
      <c r="CO13" s="1167" t="s">
        <v>1479</v>
      </c>
      <c r="CP13" s="1167" t="s">
        <v>1480</v>
      </c>
      <c r="CQ13" s="1167" t="s">
        <v>1472</v>
      </c>
      <c r="CR13" s="394"/>
      <c r="CS13" s="64" t="s">
        <v>930</v>
      </c>
      <c r="CT13" s="1522" t="s">
        <v>1600</v>
      </c>
      <c r="CU13" s="90" t="s">
        <v>108</v>
      </c>
      <c r="CV13" s="91" t="s">
        <v>82</v>
      </c>
      <c r="CW13" s="92" t="s">
        <v>83</v>
      </c>
      <c r="CX13" s="92" t="s">
        <v>404</v>
      </c>
      <c r="CY13" s="92" t="s">
        <v>508</v>
      </c>
      <c r="CZ13" s="93" t="s">
        <v>405</v>
      </c>
      <c r="DA13" s="93" t="s">
        <v>200</v>
      </c>
      <c r="DB13" s="93" t="s">
        <v>960</v>
      </c>
      <c r="DC13" s="93" t="s">
        <v>1473</v>
      </c>
      <c r="DD13" s="93" t="s">
        <v>1474</v>
      </c>
      <c r="DE13" s="93" t="s">
        <v>1475</v>
      </c>
      <c r="DF13" s="93" t="s">
        <v>1476</v>
      </c>
      <c r="DG13" s="1167" t="s">
        <v>1477</v>
      </c>
      <c r="DH13" s="1167" t="s">
        <v>1478</v>
      </c>
      <c r="DI13" s="93" t="s">
        <v>218</v>
      </c>
      <c r="DJ13" s="93" t="s">
        <v>1469</v>
      </c>
      <c r="DK13" s="93" t="s">
        <v>203</v>
      </c>
      <c r="DL13" s="1167" t="s">
        <v>1479</v>
      </c>
      <c r="DM13" s="1167" t="s">
        <v>1480</v>
      </c>
      <c r="DN13" s="1167" t="s">
        <v>1472</v>
      </c>
      <c r="DO13" s="394"/>
      <c r="DP13" s="64" t="s">
        <v>930</v>
      </c>
      <c r="DQ13" s="1522" t="s">
        <v>1600</v>
      </c>
      <c r="DR13" s="90" t="s">
        <v>108</v>
      </c>
      <c r="DS13" s="91" t="s">
        <v>82</v>
      </c>
      <c r="DT13" s="92" t="s">
        <v>83</v>
      </c>
      <c r="DU13" s="92" t="s">
        <v>404</v>
      </c>
      <c r="DV13" s="92" t="s">
        <v>508</v>
      </c>
      <c r="DW13" s="93" t="s">
        <v>405</v>
      </c>
      <c r="DX13" s="93" t="s">
        <v>200</v>
      </c>
      <c r="DY13" s="93" t="s">
        <v>960</v>
      </c>
      <c r="DZ13" s="93" t="s">
        <v>1473</v>
      </c>
      <c r="EA13" s="93" t="s">
        <v>1474</v>
      </c>
      <c r="EB13" s="93" t="s">
        <v>1475</v>
      </c>
      <c r="EC13" s="93" t="s">
        <v>1476</v>
      </c>
      <c r="ED13" s="1167" t="s">
        <v>1477</v>
      </c>
      <c r="EE13" s="1167" t="s">
        <v>1478</v>
      </c>
      <c r="EF13" s="93" t="s">
        <v>218</v>
      </c>
      <c r="EG13" s="93" t="s">
        <v>1469</v>
      </c>
      <c r="EH13" s="93" t="s">
        <v>203</v>
      </c>
      <c r="EI13" s="1167" t="s">
        <v>1479</v>
      </c>
      <c r="EJ13" s="1167" t="s">
        <v>1480</v>
      </c>
      <c r="EK13" s="1167" t="s">
        <v>1472</v>
      </c>
      <c r="EL13" s="394"/>
      <c r="EM13" s="64" t="s">
        <v>930</v>
      </c>
      <c r="EN13" s="1522" t="s">
        <v>1600</v>
      </c>
      <c r="EO13" s="90" t="s">
        <v>108</v>
      </c>
      <c r="EP13" s="91" t="s">
        <v>82</v>
      </c>
      <c r="EQ13" s="92" t="s">
        <v>83</v>
      </c>
      <c r="ER13" s="92" t="s">
        <v>404</v>
      </c>
      <c r="ES13" s="92" t="s">
        <v>508</v>
      </c>
      <c r="ET13" s="93" t="s">
        <v>405</v>
      </c>
      <c r="EU13" s="93" t="s">
        <v>200</v>
      </c>
      <c r="EV13" s="93" t="s">
        <v>960</v>
      </c>
      <c r="EW13" s="93" t="s">
        <v>1473</v>
      </c>
      <c r="EX13" s="93" t="s">
        <v>1474</v>
      </c>
      <c r="EY13" s="93" t="s">
        <v>1475</v>
      </c>
      <c r="EZ13" s="93" t="s">
        <v>1476</v>
      </c>
      <c r="FA13" s="1167" t="s">
        <v>1477</v>
      </c>
      <c r="FB13" s="1167" t="s">
        <v>1478</v>
      </c>
      <c r="FC13" s="93" t="s">
        <v>218</v>
      </c>
      <c r="FD13" s="93" t="s">
        <v>1469</v>
      </c>
      <c r="FE13" s="93" t="s">
        <v>203</v>
      </c>
      <c r="FF13" s="1167" t="s">
        <v>1479</v>
      </c>
      <c r="FG13" s="1167" t="s">
        <v>1480</v>
      </c>
      <c r="FH13" s="1167" t="s">
        <v>1472</v>
      </c>
      <c r="FI13" s="394"/>
      <c r="FJ13" s="64" t="s">
        <v>930</v>
      </c>
      <c r="FK13" s="1522" t="s">
        <v>1600</v>
      </c>
      <c r="FL13" s="90" t="s">
        <v>108</v>
      </c>
      <c r="FM13" s="91" t="s">
        <v>82</v>
      </c>
      <c r="FN13" s="92" t="s">
        <v>83</v>
      </c>
      <c r="FO13" s="92" t="s">
        <v>404</v>
      </c>
      <c r="FP13" s="92" t="s">
        <v>508</v>
      </c>
      <c r="FQ13" s="93" t="s">
        <v>405</v>
      </c>
      <c r="FR13" s="93" t="s">
        <v>200</v>
      </c>
      <c r="FS13" s="93" t="s">
        <v>960</v>
      </c>
      <c r="FT13" s="93" t="s">
        <v>1473</v>
      </c>
      <c r="FU13" s="93" t="s">
        <v>1474</v>
      </c>
      <c r="FV13" s="93" t="s">
        <v>1475</v>
      </c>
      <c r="FW13" s="93" t="s">
        <v>1476</v>
      </c>
      <c r="FX13" s="1167" t="s">
        <v>1477</v>
      </c>
      <c r="FY13" s="1167" t="s">
        <v>1478</v>
      </c>
      <c r="FZ13" s="93" t="s">
        <v>218</v>
      </c>
      <c r="GA13" s="93" t="s">
        <v>1469</v>
      </c>
      <c r="GB13" s="93" t="s">
        <v>203</v>
      </c>
      <c r="GC13" s="1167" t="s">
        <v>1479</v>
      </c>
      <c r="GD13" s="1167" t="s">
        <v>1480</v>
      </c>
      <c r="GE13" s="1167" t="s">
        <v>1472</v>
      </c>
      <c r="GF13" s="394"/>
      <c r="GG13" s="64" t="s">
        <v>930</v>
      </c>
      <c r="GH13" s="1522" t="s">
        <v>1600</v>
      </c>
      <c r="GI13" s="90" t="s">
        <v>108</v>
      </c>
      <c r="GJ13" s="91" t="s">
        <v>82</v>
      </c>
      <c r="GK13" s="92" t="s">
        <v>83</v>
      </c>
      <c r="GL13" s="92" t="s">
        <v>404</v>
      </c>
      <c r="GM13" s="92" t="s">
        <v>508</v>
      </c>
      <c r="GN13" s="93" t="s">
        <v>405</v>
      </c>
      <c r="GO13" s="93" t="s">
        <v>200</v>
      </c>
      <c r="GP13" s="93" t="s">
        <v>960</v>
      </c>
      <c r="GQ13" s="93" t="s">
        <v>1473</v>
      </c>
      <c r="GR13" s="93" t="s">
        <v>1474</v>
      </c>
      <c r="GS13" s="93" t="s">
        <v>1475</v>
      </c>
      <c r="GT13" s="93" t="s">
        <v>1476</v>
      </c>
      <c r="GU13" s="1167" t="s">
        <v>1477</v>
      </c>
      <c r="GV13" s="1167" t="s">
        <v>1478</v>
      </c>
      <c r="GW13" s="93" t="s">
        <v>218</v>
      </c>
      <c r="GX13" s="93" t="s">
        <v>1469</v>
      </c>
      <c r="GY13" s="93" t="s">
        <v>203</v>
      </c>
      <c r="GZ13" s="1167" t="s">
        <v>1479</v>
      </c>
      <c r="HA13" s="1167" t="s">
        <v>1480</v>
      </c>
      <c r="HB13" s="1167" t="s">
        <v>1472</v>
      </c>
      <c r="HC13" s="394"/>
      <c r="HD13" s="64" t="s">
        <v>930</v>
      </c>
      <c r="HE13" s="1522" t="s">
        <v>1600</v>
      </c>
      <c r="HF13" s="90" t="s">
        <v>108</v>
      </c>
      <c r="HG13" s="91" t="s">
        <v>82</v>
      </c>
      <c r="HH13" s="92" t="s">
        <v>83</v>
      </c>
      <c r="HI13" s="92" t="s">
        <v>404</v>
      </c>
      <c r="HJ13" s="92" t="s">
        <v>508</v>
      </c>
      <c r="HK13" s="93" t="s">
        <v>405</v>
      </c>
      <c r="HL13" s="93" t="s">
        <v>200</v>
      </c>
      <c r="HM13" s="93" t="s">
        <v>960</v>
      </c>
      <c r="HN13" s="93" t="s">
        <v>1473</v>
      </c>
      <c r="HO13" s="93" t="s">
        <v>1474</v>
      </c>
      <c r="HP13" s="93" t="s">
        <v>1475</v>
      </c>
      <c r="HQ13" s="93" t="s">
        <v>1476</v>
      </c>
      <c r="HR13" s="1167" t="s">
        <v>1477</v>
      </c>
      <c r="HS13" s="1167" t="s">
        <v>1478</v>
      </c>
      <c r="HT13" s="93" t="s">
        <v>218</v>
      </c>
      <c r="HU13" s="93" t="s">
        <v>1469</v>
      </c>
      <c r="HV13" s="93" t="s">
        <v>203</v>
      </c>
      <c r="HW13" s="1167" t="s">
        <v>1479</v>
      </c>
      <c r="HX13" s="1167" t="s">
        <v>1480</v>
      </c>
      <c r="HY13" s="1167" t="s">
        <v>1472</v>
      </c>
      <c r="HZ13" s="394"/>
      <c r="IA13" s="64" t="s">
        <v>930</v>
      </c>
      <c r="IB13" s="1522" t="s">
        <v>1600</v>
      </c>
      <c r="IC13" s="90" t="s">
        <v>108</v>
      </c>
      <c r="ID13" s="91" t="s">
        <v>82</v>
      </c>
      <c r="IE13" s="92" t="s">
        <v>83</v>
      </c>
      <c r="IF13" s="92" t="s">
        <v>404</v>
      </c>
      <c r="IG13" s="92" t="s">
        <v>508</v>
      </c>
      <c r="IH13" s="401" t="s">
        <v>405</v>
      </c>
      <c r="II13" s="93" t="s">
        <v>200</v>
      </c>
      <c r="IJ13" s="93" t="s">
        <v>960</v>
      </c>
      <c r="IK13" s="93" t="s">
        <v>1473</v>
      </c>
      <c r="IL13" s="93" t="s">
        <v>1474</v>
      </c>
      <c r="IM13" s="93" t="s">
        <v>1475</v>
      </c>
      <c r="IN13" s="93" t="s">
        <v>1476</v>
      </c>
      <c r="IO13" s="1167" t="s">
        <v>1477</v>
      </c>
      <c r="IP13" s="1167" t="s">
        <v>1478</v>
      </c>
      <c r="IQ13" s="93" t="s">
        <v>218</v>
      </c>
      <c r="IR13" s="93" t="s">
        <v>1469</v>
      </c>
      <c r="IS13" s="93" t="s">
        <v>203</v>
      </c>
      <c r="IT13" s="1167" t="s">
        <v>1479</v>
      </c>
      <c r="IU13" s="1167" t="s">
        <v>1480</v>
      </c>
      <c r="IV13" s="1167" t="s">
        <v>1472</v>
      </c>
      <c r="IW13" s="394"/>
      <c r="IX13" s="64" t="s">
        <v>930</v>
      </c>
      <c r="IY13" s="1522" t="s">
        <v>1600</v>
      </c>
      <c r="IZ13" s="90" t="s">
        <v>108</v>
      </c>
      <c r="JA13" s="405" t="s">
        <v>82</v>
      </c>
      <c r="JB13" s="406" t="s">
        <v>83</v>
      </c>
      <c r="JC13" s="406" t="s">
        <v>404</v>
      </c>
      <c r="JD13" s="406" t="s">
        <v>508</v>
      </c>
      <c r="JE13" s="407" t="s">
        <v>405</v>
      </c>
      <c r="JF13" s="408" t="s">
        <v>200</v>
      </c>
      <c r="JG13" s="93" t="s">
        <v>960</v>
      </c>
      <c r="JH13" s="93" t="s">
        <v>1473</v>
      </c>
      <c r="JI13" s="93" t="s">
        <v>1474</v>
      </c>
      <c r="JJ13" s="93" t="s">
        <v>1475</v>
      </c>
      <c r="JK13" s="93" t="s">
        <v>1476</v>
      </c>
      <c r="JL13" s="1167" t="s">
        <v>1477</v>
      </c>
      <c r="JM13" s="1167" t="s">
        <v>1478</v>
      </c>
      <c r="JN13" s="93" t="s">
        <v>218</v>
      </c>
      <c r="JO13" s="93" t="s">
        <v>1469</v>
      </c>
      <c r="JP13" s="93" t="s">
        <v>203</v>
      </c>
      <c r="JQ13" s="1167" t="s">
        <v>1479</v>
      </c>
      <c r="JR13" s="1167" t="s">
        <v>1480</v>
      </c>
      <c r="JS13" s="1167" t="s">
        <v>1472</v>
      </c>
      <c r="JU13" s="90" t="s">
        <v>108</v>
      </c>
      <c r="JV13" s="91" t="s">
        <v>82</v>
      </c>
      <c r="JW13" s="92" t="s">
        <v>83</v>
      </c>
      <c r="JX13" s="92" t="s">
        <v>404</v>
      </c>
      <c r="JY13" s="92" t="s">
        <v>508</v>
      </c>
      <c r="JZ13" s="401" t="s">
        <v>405</v>
      </c>
      <c r="KA13" s="93" t="s">
        <v>200</v>
      </c>
      <c r="KB13" s="394"/>
      <c r="KC13" s="64" t="s">
        <v>930</v>
      </c>
      <c r="KD13" s="90" t="s">
        <v>108</v>
      </c>
      <c r="KE13" s="405" t="s">
        <v>82</v>
      </c>
      <c r="KF13" s="406" t="s">
        <v>83</v>
      </c>
      <c r="KG13" s="406" t="s">
        <v>404</v>
      </c>
      <c r="KH13" s="406" t="s">
        <v>508</v>
      </c>
      <c r="KI13" s="407" t="s">
        <v>405</v>
      </c>
      <c r="KJ13" s="408" t="s">
        <v>200</v>
      </c>
    </row>
    <row r="14" spans="2:296" ht="15.75" thickBot="1" x14ac:dyDescent="0.3">
      <c r="B14" s="102" t="s">
        <v>99</v>
      </c>
      <c r="C14" s="480">
        <f>(BB14+BY14+CV14+DS14+EP14+FM14+GJ14+HG14+ID14+JA14)</f>
        <v>0</v>
      </c>
      <c r="D14" s="496">
        <f>($BC14+$BZ14+$CW14+$DT14+$EQ14+$FN14+$GK14+$HH14+$IE14+$JB14)</f>
        <v>0</v>
      </c>
      <c r="E14" s="496">
        <f>($BD14+$CA14+$CX14+$DU14+$ER14+$FO14+$GL14+$HI14+$IF14+$JC14)</f>
        <v>0</v>
      </c>
      <c r="F14" s="496">
        <f>($BE14+$CB14+$CY14+$DV14+$ES14+$FP14+$GM14+$HJ14+$IG14+$JD14)</f>
        <v>0</v>
      </c>
      <c r="G14" s="497">
        <f>($BF14+$CC14+$CZ14+$DW14+$ET14+$FQ14+$GN14+$HK14+$IH14+$JE14)</f>
        <v>0</v>
      </c>
      <c r="H14" s="496">
        <f>($BG14+$CD14+$DA14+$DX14+$EU14+$FR14+$GO14+$HL14+$II14+$JF14)</f>
        <v>0</v>
      </c>
      <c r="I14" s="1157" t="e">
        <f>ROUND(SUM($BB14*BO14+$BY14*CL14+$CV14*DI14+$DS14*EF14+$EP14*FC14+$FM14*FZ14+$GJ14*GW14+$HG14*HT14+$ID14*IQ14+$JA14*JN14)/$C14,2)</f>
        <v>#DIV/0!</v>
      </c>
      <c r="J14" s="1157" t="e">
        <f>ROUND(SUM($BB14*BP14+$BY14*CM14+$CV14*DJ14+$DS14*EG14+$EP14*FD14+$FM14*GA14+$GJ14*GX14+$HG14*HU14+$ID14*IR14+$JA14*JO14)/$C14,2)</f>
        <v>#DIV/0!</v>
      </c>
      <c r="K14" s="1157" t="e">
        <f>ROUND(SUM($BB14*BQ14+$BY14*CN14+$CV14*DK14+$DS14*EH14+$EP14*FE14+$FM14*GB14+$GJ14*GY14+$HG14*HV14+$ID14*IS14+$JA14*JP14)/$C14,2)</f>
        <v>#DIV/0!</v>
      </c>
      <c r="L14" s="496" t="e">
        <f t="shared" ref="L14:L34" si="0">SUM(AY14*BB14,BV14*BY14,CS14*CV14,DP14*DS14,EM14*EP14,FJ14*FM14,GG14*GJ14,HD14*HG14,IA14*ID14,IX14*JA14)/C14</f>
        <v>#DIV/0!</v>
      </c>
      <c r="M14" s="496" t="e">
        <f>L14/$L$35</f>
        <v>#DIV/0!</v>
      </c>
      <c r="N14" s="1158" t="e">
        <f t="shared" ref="N14:N35" si="1">ROUND(SUM($BB14*BT14+$BY14*CQ14+$CV14*DN14+$DS14*EK14+$EP14*FH14+$FM14*GE14+$GJ14*HB14+$HG14*HY14+$ID14*IV14+$JA14*JS14)/$C14,2)</f>
        <v>#DIV/0!</v>
      </c>
      <c r="P14" t="str">
        <f>'PIM Model'!E10</f>
        <v>INCLUDE</v>
      </c>
      <c r="Q14">
        <f>IFERROR(T14/$T$35,0)</f>
        <v>0</v>
      </c>
      <c r="R14">
        <f>IF(P14="Include",Q14,0)</f>
        <v>0</v>
      </c>
      <c r="S14" s="102" t="s">
        <v>99</v>
      </c>
      <c r="T14" s="110">
        <f>($BB14+$BY14+$CV14+$DS14+$EP14+$FM14+$GJ14+$HG14+$ID14+$JA14)*(1+($V$1/$V$5))</f>
        <v>0</v>
      </c>
      <c r="U14" s="111">
        <f t="shared" ref="U14:U34" si="2">(BC14+BZ14+CW14+DT14+EQ14+FN14+GK14+HH14+IE14+JB14)*(1+($V$1/$V$5))</f>
        <v>0</v>
      </c>
      <c r="V14" s="111">
        <f t="shared" ref="V14:V34" si="3">(BD14+CA14+CX14+DU14+ER14+FO14+GL14+HI14+IF14+JC14)*(1+($V$1/$V$5))</f>
        <v>0</v>
      </c>
      <c r="W14" s="111">
        <f t="shared" ref="W14:W34" si="4">(BE14+CB14+CY14+DV14+ES14+FP14+GM14+HJ14+IG14+JD14)*(1+($V$1/$V$5))</f>
        <v>0</v>
      </c>
      <c r="X14" s="113">
        <f t="shared" ref="X14:X34" si="5">(BF14+CC14+CZ14+DW14+ET14+FQ14+GN14+HK14+IH14+JE14)*(1+($V$1/$V$5))</f>
        <v>0</v>
      </c>
      <c r="Y14" s="116">
        <f>IFERROR(X14/T14,0)</f>
        <v>0</v>
      </c>
      <c r="Z14" s="400"/>
      <c r="AA14" s="102" t="s">
        <v>99</v>
      </c>
      <c r="AB14" s="480">
        <f>SUMIFS($BB14:$JF14,$BB$12:$JF$12,AB$12)</f>
        <v>0</v>
      </c>
      <c r="AC14" s="481">
        <f>SUMIFS($BB14:$JF14,$BB$12:$JF$12,AC$12)</f>
        <v>0</v>
      </c>
      <c r="AD14" s="481">
        <f>SUMIFS($BB14:$JF14,$BB$12:$JF$12,AD$12)</f>
        <v>0</v>
      </c>
      <c r="AE14" s="482">
        <f>IFERROR(AC14/AB14,0)</f>
        <v>0</v>
      </c>
      <c r="AF14" s="483">
        <f>IFERROR(AD14/AB14,0)</f>
        <v>0</v>
      </c>
      <c r="AG14" s="400"/>
      <c r="AH14" s="102" t="s">
        <v>99</v>
      </c>
      <c r="AI14" s="480">
        <f t="shared" ref="AI14:AI34" si="6">SUMIFS($BB14:$JF14,$BB$12:$JF$12,AI$12)</f>
        <v>0</v>
      </c>
      <c r="AJ14" s="481">
        <f>AN14*AI14</f>
        <v>0</v>
      </c>
      <c r="AK14" s="483"/>
      <c r="AL14" s="400"/>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400">
        <f>VLOOKUP($AH14&amp;$AM14,'IMargin Quartiles'!$A:$F,6,FALSE)</f>
        <v>0.14000000000000001</v>
      </c>
      <c r="AO14" s="400"/>
      <c r="AP14"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Q14" s="400" t="e">
        <f>$N14</f>
        <v>#DIV/0!</v>
      </c>
      <c r="AR14">
        <f>'PIM Model'!C10</f>
        <v>0</v>
      </c>
      <c r="AS14" s="400"/>
      <c r="AT14" s="400"/>
      <c r="AU14" s="400" t="e">
        <f>IF($AR14="AVG",IFERROR((AC14+AJ14)/(AB14+AI14),AQ14),(AC14+AJ14)/(AB14+AI14))</f>
        <v>#DIV/0!</v>
      </c>
      <c r="AV14" s="400"/>
      <c r="AW14" s="400"/>
      <c r="AX14" s="108">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96" t="e">
        <f>AY14/$AY$35</f>
        <v>#DIV/0!</v>
      </c>
      <c r="BA14" s="102" t="s">
        <v>99</v>
      </c>
      <c r="BB14" s="94">
        <f>IFERROR(IF(AND($BB$2&lt;&gt;"Enter Spend&gt;&gt;&gt;",BC2="EXISTING"),SUMIFS('Existing Customers'!$Q:$Q,'Existing Customers'!$A:$A,$BB$1,'Existing Customers'!$H:$H,$BA14)*$BB$4,$BB$3*$AZ14),0)</f>
        <v>0</v>
      </c>
      <c r="BC14" s="95">
        <f>IFERROR(IF(AND($BB$2&lt;&gt;"Enter Spend&gt;&gt;&gt;",BC2="EXISTING"),SUMIFS('Existing Customers'!$N:$N,'Existing Customers'!$A:$A,$BB$1,'Existing Customers'!$H:$H,$BA14)*$BB$4,$BB14/$BM14),0)</f>
        <v>0</v>
      </c>
      <c r="BD14" s="95">
        <f>IFERROR(IF(AND($BB$2&lt;&gt;"Enter Spend&gt;&gt;&gt;",BC2="EXISTING"),SUMIFS('Existing Customers'!$O:$O,'Existing Customers'!$H:$H,$BA14,'Existing Customers'!$A:$A,$BB$1)*$BB$4,$BC14*$BB$8),0)</f>
        <v>0</v>
      </c>
      <c r="BE14" s="95">
        <f>IFERROR(IF(AND($BB$2&lt;&gt;"Enter Spend&gt;&gt;&gt;",BC2="EXISTING"),SUMIFS('Existing Customers'!$P:$P,'Existing Customers'!$A:$A,$BB$1,'Existing Customers'!$H:$H,$BA14)*$BB$4,$BB14/$BN14),0)</f>
        <v>0</v>
      </c>
      <c r="BF14" s="402">
        <f>IFERROR(IF(AND($BB$2&lt;&gt;"Enter Spend&gt;&gt;&gt;",BC2="EXISTING"),SUMIFS('Existing Customers'!$V:$V,'Existing Customers'!$H:$H,$BA14,'Existing Customers'!$A:$A,$BB$1)*$BB$4,0),0)</f>
        <v>0</v>
      </c>
      <c r="BG14" s="96">
        <f>IFERROR(IF(AND($BB$2&lt;&gt;"Enter Spend&gt;&gt;&gt;",BC2="EXISTING"),SUMIFS('Existing Customers'!$R:$R,'Existing Customers'!$H:$H,$BA14,'Existing Customers'!$A:$A,$BB$1)*$BB$4,0),0)</f>
        <v>0</v>
      </c>
      <c r="BH14" s="96">
        <f>IFERROR(IF(AND($BB$2&lt;&gt;"Enter Spend&gt;&gt;&gt;",BC2="EXISTING"),SUMIFS('Existing Customers'!$S:$S,'Existing Customers'!$H:$H,$BA14,'Existing Customers'!$A:$A,$BB$1),BR14*BB14),0)</f>
        <v>0</v>
      </c>
      <c r="BI14" s="96">
        <f>IFERROR(IF(AND($BB$2&lt;&gt;"Enter Spend&gt;&gt;&gt;",BC2="EXISTING"),SUMIFS('Existing Customers'!$U:$U,'Existing Customers'!$H:$H,$BA14,'Existing Customers'!$A:$A,$BB$1),BS14*BB14),0)</f>
        <v>0</v>
      </c>
      <c r="BJ14" s="1163" t="e">
        <f>_xlfn.CONCAT('Customer Inputs'!$AG$6,"_",BA14)</f>
        <v>#N/A</v>
      </c>
      <c r="BK14" s="1164">
        <f t="array" ref="BK14">IFERROR(INDEX('Margin Guidence Table'!$A$1:$AD$30000,MATCH(1,('Margin Guidence Table'!$A$1:$A$10000=$BJ14)*('Margin Guidence Table'!$I$1:$I$10000&lt;=ROUND($BB$3,0))*('Margin Guidence Table'!$J$1:$J$10000&gt;=ROUND($BB$3,0)),0),MATCH("DATA_POINTS",'Margin Guidence Table'!$A$1:$AG$1,0)),0)</f>
        <v>0</v>
      </c>
      <c r="BL14" s="1161" t="str">
        <f>IF(BK14&gt;15,"SEGMENT","DEFAULT")</f>
        <v>DEFAULT</v>
      </c>
      <c r="BM14" s="1161">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161">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165">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165">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165">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165">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165">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165">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9"/>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96" t="e">
        <f>BV14/$BV$35</f>
        <v>#DIV/0!</v>
      </c>
      <c r="BX14" s="102" t="s">
        <v>99</v>
      </c>
      <c r="BY14" s="94">
        <f>IFERROR(IF(AND($BY$2&lt;&gt;"Enter Spend&gt;&gt;&gt;",BZ2="EXISTING"),SUMIFS('Existing Customers'!$Q:$Q,'Existing Customers'!$A:$A,$BY$1,'Existing Customers'!$H:$H,$BX14)*$BY$4,$BY$3*$BW14),0)</f>
        <v>0</v>
      </c>
      <c r="BZ14" s="89">
        <f>IFERROR(IF(AND($BY$2&lt;&gt;"Enter Spend&gt;&gt;&gt;",BZ2="EXISTING"),SUMIFS('Existing Customers'!$N:$N,'Existing Customers'!$A:$A,$BY$1,'Existing Customers'!$H:$H,$BX14)*$BY$4,$BY14/$CJ14),0)</f>
        <v>0</v>
      </c>
      <c r="CA14" s="95">
        <f>IFERROR(IF(AND($BY$2&lt;&gt;"Enter Spend&gt;&gt;&gt;",BZ2="EXISTING"),SUMIFS('Existing Customers'!$O:$O,'Existing Customers'!$H:$H,$BX14,'Existing Customers'!$A:$A,$BY$1)*$BY$4,$BZ14*$BY$8),0)</f>
        <v>0</v>
      </c>
      <c r="CB14" s="95">
        <f>IFERROR(IF(AND($BY$2&lt;&gt;"Enter Spend&gt;&gt;&gt;",BZ2="EXISTING"),SUMIFS('Existing Customers'!$P:$P,'Existing Customers'!$A:$A,$BY$1,'Existing Customers'!$H:$H,$BX14)*$BY$4,$BY14/$CK14),0)</f>
        <v>0</v>
      </c>
      <c r="CC14" s="96">
        <f>IFERROR(IF(AND($BY$2&lt;&gt;"Enter Spend&gt;&gt;&gt;",BZ2="EXISTING"),SUMIFS('Existing Customers'!$V:$V,'Existing Customers'!$H:$H,$BX14,'Existing Customers'!$A:$A,$BY$1)*$BY$4,0),0)</f>
        <v>0</v>
      </c>
      <c r="CD14" s="96">
        <f>IFERROR(IF(AND($BY$2&lt;&gt;"Enter Spend&gt;&gt;&gt;",BZ2="EXISTING"),SUMIFS('Existing Customers'!$R:$R,'Existing Customers'!$H:$H,$BX14,'Existing Customers'!$A:$A,$BY$1)*$BY$4,0),0)</f>
        <v>0</v>
      </c>
      <c r="CE14" s="1161">
        <f>IFERROR(IF(AND($BY$2&lt;&gt;"Enter Spend&gt;&gt;&gt;",BZ2="EXISTING"),SUMIFS('Existing Customers'!$S:$S,'Existing Customers'!$H:$H,$BX14,'Existing Customers'!$A:$A,$BY$1),CO14*BY14),0)</f>
        <v>0</v>
      </c>
      <c r="CF14" s="1161">
        <f>IFERROR(IF(AND($BY$2&lt;&gt;"Enter Spend&gt;&gt;&gt;",BZ2="EXISTING"),SUMIFS('Existing Customers'!$U:$U,'Existing Customers'!$H:$H,$BX14,'Existing Customers'!$A:$A,$BY$1),CP14*BY14),0)</f>
        <v>0</v>
      </c>
      <c r="CG14" s="1164" t="e">
        <f>_xlfn.CONCAT('Customer Inputs'!$AG$7,"_",BX14)</f>
        <v>#N/A</v>
      </c>
      <c r="CH14" s="1164">
        <f t="array" ref="CH14">IFERROR(INDEX('Margin Guidence Table'!$A$1:$AD$30000,MATCH(1,('Margin Guidence Table'!$A$1:$A$10000=$CG14)*('Margin Guidence Table'!$I$1:$I$10000&lt;=ROUND($BY$3,0))*('Margin Guidence Table'!$J$1:$J$10000&gt;=ROUND($BY$3,0)),0),MATCH("DATA_POINTS",'Margin Guidence Table'!$A$1:$AG$1,0)),0)</f>
        <v>0</v>
      </c>
      <c r="CI14" s="1161" t="str">
        <f>IF(CH14&gt;15,"SEGMENT","DEFAULT")</f>
        <v>DEFAULT</v>
      </c>
      <c r="CJ14" s="1161">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161">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165">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165">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165">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165">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165">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165">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9"/>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96" t="e">
        <f>CS14/$CS$35</f>
        <v>#DIV/0!</v>
      </c>
      <c r="CU14" s="102" t="s">
        <v>99</v>
      </c>
      <c r="CV14" s="94">
        <f>IFERROR(IF(AND($CV$2&lt;&gt;"Enter Spend&gt;&gt;&gt;",CW2="EXISTING"),SUMIFS('Existing Customers'!$Q:$Q,'Existing Customers'!$A:$A,$CV$1,'Existing Customers'!$H:$H,$CU14)*$CV$4,$CV$3*$CT14),0)</f>
        <v>0</v>
      </c>
      <c r="CW14" s="89">
        <f>IFERROR(IF(AND($CV$2&lt;&gt;"Enter Spend&gt;&gt;&gt;",CW2="EXISTING"),SUMIFS('Existing Customers'!$N:$N,'Existing Customers'!$A:$A,$CV$1,'Existing Customers'!$H:$H,$CU14)*$CV$4,$CV14/$DG14),0)</f>
        <v>0</v>
      </c>
      <c r="CX14" s="95">
        <f>IFERROR(IF(AND($CV$2&lt;&gt;"Enter Spend&gt;&gt;&gt;",BC28="EXISTING"),SUMIFS('Existing Customers'!$O:$O,'Existing Customers'!$H:$H,$CU14,'Existing Customers'!$A:$A,$CV$1)*$CV$4,$CW14*$CV$8),0)</f>
        <v>0</v>
      </c>
      <c r="CY14" s="95">
        <f>IFERROR(IF(AND($CV$2&lt;&gt;"Enter Spend&gt;&gt;&gt;",CW2="EXISTING"),SUMIFS('Existing Customers'!$P:$P,'Existing Customers'!$A:$A,$CV$1,'Existing Customers'!$H:$H,$CU14)*$CV$4,$CV14/$DH14),0)</f>
        <v>0</v>
      </c>
      <c r="CZ14" s="96">
        <f>IFERROR(IF(AND($CV$2&lt;&gt;"Enter Spend&gt;&gt;&gt;",CW2="EXISTING"),SUMIFS('Existing Customers'!$V:$V,'Existing Customers'!$H:$H,$CU14,'Existing Customers'!$A:$A,$CV$1)*$CV$4,0),0)</f>
        <v>0</v>
      </c>
      <c r="DA14" s="96">
        <f>IFERROR(IF(AND($CV$2&lt;&gt;"Enter Spend&gt;&gt;&gt;",CW2="EXISTING"),SUMIFS('Existing Customers'!$R:$R,'Existing Customers'!$H:$H,$CU14,'Existing Customers'!$A:$A,$CV$1)*$CV$4,0),0)</f>
        <v>0</v>
      </c>
      <c r="DB14" s="1161">
        <f>IFERROR(IF(AND($CV$2&lt;&gt;"Enter Spend&gt;&gt;&gt;",CW2="EXISTING"),SUMIFS('Existing Customers'!$S:$S,'Existing Customers'!$H:$H,$CU14,'Existing Customers'!$A:$A,$CV$1),DL14*CV14),0)</f>
        <v>0</v>
      </c>
      <c r="DC14" s="1161">
        <f>IFERROR(IF(AND($CV$2&lt;&gt;"Enter Spend&gt;&gt;&gt;",CW2="EXISTING"),SUMIFS('Existing Customers'!$U:$U,'Existing Customers'!$H:$H,$CU14,'Existing Customers'!$A:$A,$CV$1),DM14*CV14),0)</f>
        <v>0</v>
      </c>
      <c r="DD14" s="1164" t="e">
        <f>_xlfn.CONCAT('Customer Inputs'!$AG$8,"_",CU14)</f>
        <v>#N/A</v>
      </c>
      <c r="DE14" s="1164">
        <f t="array" ref="DE14">IFERROR(INDEX('Margin Guidence Table'!$A$1:$AD$30000,MATCH(1,('Margin Guidence Table'!$A$1:$A$10000=DD14)*('Margin Guidence Table'!$I$1:$I$10000&lt;=ROUND($CV$3,0))*('Margin Guidence Table'!$J$1:$J$10000&gt;=ROUND($CV$3,0)),0),MATCH("DATA_POINTS",'Margin Guidence Table'!$A$1:$AG$1,0)),0)</f>
        <v>0</v>
      </c>
      <c r="DF14" s="1161" t="str">
        <f>IF(DE14&gt;15,"SEGMENT","DEFAULT")</f>
        <v>DEFAULT</v>
      </c>
      <c r="DG14" s="1161">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161">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165">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165">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165">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165">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165">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165">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9"/>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96" t="e">
        <f>DP14/$DP$35</f>
        <v>#DIV/0!</v>
      </c>
      <c r="DR14" s="102" t="s">
        <v>99</v>
      </c>
      <c r="DS14" s="94">
        <f>IFERROR(IF(AND($DS$2&lt;&gt;"Enter Spend&gt;&gt;&gt;",DT2="EXISTING"),SUMIFS('Existing Customers'!$Q:$Q,'Existing Customers'!$A:$A,$DS$1,'Existing Customers'!$H:$H,$DR14)*$DS$4,$DS$3*$DQ14),0)</f>
        <v>0</v>
      </c>
      <c r="DT14" s="89">
        <f>IFERROR(IF(AND($DS$2&lt;&gt;"Enter Spend&gt;&gt;&gt;",DT2="EXISTING"),SUMIFS('Existing Customers'!$N:$N,'Existing Customers'!$A:$A,$DS$1,'Existing Customers'!$H:$H,$DR14)*$DS$4,$DS14/$ED14),0)</f>
        <v>0</v>
      </c>
      <c r="DU14" s="95">
        <f>IFERROR(IF(AND($DS$2&lt;&gt;"Enter Spend&gt;&gt;&gt;",DT2="EXISTING"),SUMIFS('Existing Customers'!$O:$O,'Existing Customers'!$H:$H,$DR14,'Existing Customers'!$A:$A,$DS$1)*$DS$4,$DT14*$DS$8),0)</f>
        <v>0</v>
      </c>
      <c r="DV14" s="95">
        <f>IFERROR(IF(AND($DS$2&lt;&gt;"Enter Spend&gt;&gt;&gt;",DT2="EXISTING"),SUMIFS('Existing Customers'!$P:$P,'Existing Customers'!$A:$A,$DS$1,'Existing Customers'!$H:$H,$DR14)*$DS$4,$DS14/$EE14),0)</f>
        <v>0</v>
      </c>
      <c r="DW14" s="96">
        <f>IFERROR(IF(AND($DS$2&lt;&gt;"Enter Spend&gt;&gt;&gt;",EQ2="EXISTING"),SUMIFS('Existing Customers'!$V:$V,'Existing Customers'!$H:$H,$DR14,'Existing Customers'!$A:$A,$DS$1)*$DS$4,0),0)</f>
        <v>0</v>
      </c>
      <c r="DX14" s="96">
        <f>IFERROR(IF(AND($DS$2&lt;&gt;"Enter Spend&gt;&gt;&gt;",DT2="EXISTING"),SUMIFS('Existing Customers'!$R:$R,'Existing Customers'!$H:$H,$DR14,'Existing Customers'!$A:$A,$DS$1)*$DS$4,0),0)</f>
        <v>0</v>
      </c>
      <c r="DY14" s="1161">
        <f>IFERROR(IF(AND($DS$2&lt;&gt;"Enter Spend&gt;&gt;&gt;",DT2="EXISTING"),SUMIFS('Existing Customers'!$S:$S,'Existing Customers'!$H:$H,$DT14,'Existing Customers'!$A:$A,$DS$1),EI14*DS14),0)</f>
        <v>0</v>
      </c>
      <c r="DZ14" s="1161">
        <f>IFERROR(IF(AND($DS$2&lt;&gt;"Enter Spend&gt;&gt;&gt;",DT2="EXISTING"),SUMIFS('Existing Customers'!$U:$U,'Existing Customers'!$H:$H,$DR14,'Existing Customers'!$A:$A,$DS$1),EJ14*DS14),0)</f>
        <v>0</v>
      </c>
      <c r="EA14" s="1164" t="e">
        <f>_xlfn.CONCAT('Customer Inputs'!$AG$9,"_",DR14)</f>
        <v>#N/A</v>
      </c>
      <c r="EB14" s="1164">
        <f t="array" ref="EB14">IFERROR(INDEX('Margin Guidence Table'!$A$1:$AD$30000,MATCH(1,('Margin Guidence Table'!$A$1:$A$10000=EA14)*('Margin Guidence Table'!$I$1:$I$10000&lt;=ROUND($DS$3,0))*('Margin Guidence Table'!$J$1:$J$10000&gt;=ROUND($DS$3,0)),0),MATCH("DATA_POINTS",'Margin Guidence Table'!$A$1:$AG$1,0)),0)</f>
        <v>0</v>
      </c>
      <c r="EC14" s="1161" t="str">
        <f>IF(EB14&gt;15,"SEGMENT","DEFAULT")</f>
        <v>DEFAULT</v>
      </c>
      <c r="ED14" s="1161">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161">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165">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165">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165">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165">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165">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165">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9"/>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96" t="e">
        <f>EM14/$EM$35</f>
        <v>#DIV/0!</v>
      </c>
      <c r="EO14" s="102" t="s">
        <v>99</v>
      </c>
      <c r="EP14" s="94">
        <f>IFERROR(IF(AND($EP$2&lt;&gt;"Enter Spend&gt;&gt;&gt;",EQ2="EXISTING"),SUMIFS('Existing Customers'!$Q:$Q,'Existing Customers'!$A:$A,$EP$1,'Existing Customers'!$H:$H,$EO14)*$EP$4,$EP$3*$EN14),0)</f>
        <v>0</v>
      </c>
      <c r="EQ14" s="89">
        <f>IFERROR(IF(AND($EP$2&lt;&gt;"Enter Spend&gt;&gt;&gt;",EQ2="EXISTING"),SUMIFS('Existing Customers'!$N:$N,'Existing Customers'!$A:$A,$EP$1,'Existing Customers'!$H:$H,$EO14)*$EP$4,$EP14/$FA14),0)</f>
        <v>0</v>
      </c>
      <c r="ER14" s="95">
        <f>IFERROR(IF(AND($EP$2&lt;&gt;"Enter Spend&gt;&gt;&gt;",EQ2="EXISTING"),SUMIFS('Existing Customers'!$O:$O,'Existing Customers'!$H:$H,$EO14,'Existing Customers'!$A:$A,$EP$1)*$EP$4,$EQ14*$EP$8),0)</f>
        <v>0</v>
      </c>
      <c r="ES14" s="95">
        <f>IFERROR(IF(AND($EP$2&lt;&gt;"Enter Spend&gt;&gt;&gt;",EQ2="EXISTING"),SUMIFS('Existing Customers'!$P:$P,'Existing Customers'!$A:$A,$EP$1,'Existing Customers'!$H:$H,$EO14)*$EP$4,$EP14/$FB14),0)</f>
        <v>0</v>
      </c>
      <c r="ET14" s="96">
        <f>IFERROR(IF(AND($EP$2&lt;&gt;"Enter Spend&gt;&gt;&gt;",EQ2="EXISTING"),SUMIFS('Existing Customers'!$V:$V,'Existing Customers'!$H:$H,$EO14,'Existing Customers'!$A:$A,$EP$1)*$EP$4,0),0)</f>
        <v>0</v>
      </c>
      <c r="EU14" s="96">
        <f>IFERROR(IF(AND($EP$2&lt;&gt;"Enter Spend&gt;&gt;&gt;",EQ2="EXISTING"),SUMIFS('Existing Customers'!$R:$R,'Existing Customers'!$H:$H,$EO14,'Existing Customers'!$A:$A,$EP$1)*$EP$4,0),0)</f>
        <v>0</v>
      </c>
      <c r="EV14" s="1161">
        <f>IFERROR(IF(AND($EP$2&lt;&gt;"Enter Spend&gt;&gt;&gt;",EQ2="EXISTING"),SUMIFS('Existing Customers'!$S:$S,'Existing Customers'!$H:$H,$EO14,'Existing Customers'!$A:$A,$EP$1),FF14*EP14),0)</f>
        <v>0</v>
      </c>
      <c r="EW14" s="1161">
        <f>IFERROR(IF(AND($EP$2&lt;&gt;"Enter Spend&gt;&gt;&gt;",EQ2="EXISTING"),SUMIFS('Existing Customers'!$U:$U,'Existing Customers'!$H:$H,$EO14,'Existing Customers'!$A:$A,$EP$1),FG14*EP14),0)</f>
        <v>0</v>
      </c>
      <c r="EX14" s="1164" t="e">
        <f>_xlfn.CONCAT('Customer Inputs'!$AG$10,"_",EO14)</f>
        <v>#N/A</v>
      </c>
      <c r="EY14" s="1164">
        <f t="array" ref="EY14">IFERROR(INDEX('Margin Guidence Table'!$A$1:$AD$30000,MATCH(1,('Margin Guidence Table'!$A$1:$A$10000=EX14)*('Margin Guidence Table'!$I$1:$I$10000&lt;=ROUND($EP$3,0))*('Margin Guidence Table'!$J$1:$J$10000&gt;=ROUND($EP$3,0)),0),MATCH("DATA_POINTS",'Margin Guidence Table'!$A$1:$AG$1,0)),0)</f>
        <v>0</v>
      </c>
      <c r="EZ14" s="1161" t="str">
        <f>IF(EY14&gt;15,"SEGMENT","DEFAULT")</f>
        <v>DEFAULT</v>
      </c>
      <c r="FA14" s="1161">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161"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165">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165">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165">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165">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165">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165">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9"/>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96" t="e">
        <f>FJ14/$FJ$35</f>
        <v>#DIV/0!</v>
      </c>
      <c r="FL14" s="102" t="s">
        <v>99</v>
      </c>
      <c r="FM14" s="94">
        <f>IFERROR(IF(AND($FM$2&lt;&gt;"Enter Spend&gt;&gt;&gt;",FN2="EXISTING"),SUMIFS('Existing Customers'!$Q:$Q,'Existing Customers'!$A:$A,$FM$1,'Existing Customers'!$H:$H,$FL14)*$FM$4,$FM$3*$FK14),0)</f>
        <v>0</v>
      </c>
      <c r="FN14" s="89">
        <f>IFERROR(IF(AND($FM$2&lt;&gt;"Enter Spend&gt;&gt;&gt;",FN2="EXISTING"),SUMIFS('Existing Customers'!$N:$N,'Existing Customers'!$A:$A,$FM$1,'Existing Customers'!$H:$H,$FL14)*$FM$4,$FM14/$FX14),0)</f>
        <v>0</v>
      </c>
      <c r="FO14" s="95">
        <f>IFERROR(IF(AND($FM$2&lt;&gt;"Enter Spend&gt;&gt;&gt;",FN2="EXISTING"),SUMIFS('Existing Customers'!$O:$O,'Existing Customers'!$H:$H,$FL14,'Existing Customers'!$A:$A,$FM$1)*$FM$4,$FN14*$FM$8),0)</f>
        <v>0</v>
      </c>
      <c r="FP14" s="95">
        <f>IFERROR(IF(AND($FM$2&lt;&gt;"Enter Spend&gt;&gt;&gt;",FN2="EXISTING"),SUMIFS('Existing Customers'!$P:$P,'Existing Customers'!$A:$A,$FM$1,'Existing Customers'!$H:$H,$FL14)*$FM$4,$FM14/$FY14),0)</f>
        <v>0</v>
      </c>
      <c r="FQ14" s="96">
        <f>IFERROR(IF(AND($FM$2&lt;&gt;"Enter Spend&gt;&gt;&gt;",FN2="EXISTING"),SUMIFS('Existing Customers'!$V:$V,'Existing Customers'!$H:$H,$FL14,'Existing Customers'!$A:$A,$FM$1)*$FM$4,0),0)</f>
        <v>0</v>
      </c>
      <c r="FR14" s="96">
        <f>IFERROR(IF(AND($FM$2&lt;&gt;"Enter Spend&gt;&gt;&gt;",FN2="EXISTING"),SUMIFS('Existing Customers'!$R:$R,'Existing Customers'!$H:$H,$FL14,'Existing Customers'!$A:$A,$FM$1)*$FM$4,0),0)</f>
        <v>0</v>
      </c>
      <c r="FS14" s="1161">
        <f>IFERROR(IF(AND($FM$2&lt;&gt;"Enter Spend&gt;&gt;&gt;",FN2="EXISTING"),SUMIFS('Existing Customers'!$S:$S,'Existing Customers'!$H:$H,$FL14,'Existing Customers'!$A:$A,$FM$1),GC14*FM14),0)</f>
        <v>0</v>
      </c>
      <c r="FT14" s="1161">
        <f>IFERROR(IF(AND($FM$2&lt;&gt;"Enter Spend&gt;&gt;&gt;",FN2="EXISTING"),SUMIFS('Existing Customers'!$U:$U,'Existing Customers'!$H:$H,$FL14,'Existing Customers'!$A:$A,$FM$1),GD14*FM14),0)</f>
        <v>0</v>
      </c>
      <c r="FU14" s="1164" t="e">
        <f>_xlfn.CONCAT('Customer Inputs'!$AG$11,"_",FL14)</f>
        <v>#N/A</v>
      </c>
      <c r="FV14" s="1164">
        <f t="array" ref="FV14">IFERROR(INDEX('Margin Guidence Table'!$A$1:$AD$30000,MATCH(1,('Margin Guidence Table'!$A$1:$A$10000=FU14)*('Margin Guidence Table'!$I$1:$I$10000&lt;=ROUND($FM$3,0))*('Margin Guidence Table'!$J$1:$J$10000&gt;=ROUND($FM$3,0)),0),MATCH("DATA_POINTS",'Margin Guidence Table'!$A$1:$AG$1,0)),0)</f>
        <v>0</v>
      </c>
      <c r="FW14" s="1161" t="str">
        <f>IF(FV14&gt;15,"SEGMENT","DEFAULT")</f>
        <v>DEFAULT</v>
      </c>
      <c r="FX14" s="1161">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161">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165">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165">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165">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165">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165">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165">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9"/>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96" t="e">
        <f>GG14/$GG$35</f>
        <v>#DIV/0!</v>
      </c>
      <c r="GI14" s="102" t="s">
        <v>99</v>
      </c>
      <c r="GJ14" s="94">
        <f>IFERROR(IF(AND($GJ$2&lt;&gt;"Enter Spend&gt;&gt;&gt;",GK2="EXISTING"),SUMIFS('Existing Customers'!$Q:$Q,'Existing Customers'!$A:$A,$GJ$1,'Existing Customers'!$H:$H,$GI14)*$GJ$4,$GJ$3*$GH14),0)</f>
        <v>0</v>
      </c>
      <c r="GK14" s="89">
        <f>IFERROR(IF(AND($GJ$2&lt;&gt;"Enter Spend&gt;&gt;&gt;",GK2="EXISTING"),SUMIFS('Existing Customers'!$N:$N,'Existing Customers'!$A:$A,$GJ$1,'Existing Customers'!$H:$H,$GI14)*$GJ$4,$GJ14/$GU14),0)</f>
        <v>0</v>
      </c>
      <c r="GL14" s="95">
        <f>IFERROR(IF(AND($GJ$2&lt;&gt;"Enter Spend&gt;&gt;&gt;",GK2="EXISTING"),SUMIFS('Existing Customers'!$O:$O,'Existing Customers'!$H:$H,$GI14,'Existing Customers'!$A:$A,$GJ$1)*$GJ$4,$GK14*$GJ$8),0)</f>
        <v>0</v>
      </c>
      <c r="GM14" s="95">
        <f>IFERROR(IF(AND($GJ$2&lt;&gt;"Enter Spend&gt;&gt;&gt;",GK2="EXISTING"),SUMIFS('Existing Customers'!$P:$P,'Existing Customers'!$A:$A,$GJ$1,'Existing Customers'!$H:$H,$GI14)*$GJ$4,$GJ14/$GV14),0)</f>
        <v>0</v>
      </c>
      <c r="GN14" s="96">
        <f>IFERROR(IF(AND($GJ$2&lt;&gt;"Enter Spend&gt;&gt;&gt;",GK2="EXISTING"),SUMIFS('Existing Customers'!$V:$V,'Existing Customers'!$H:$H,$GI14,'Existing Customers'!$A:$A,$GJ$1)*$GJ$4,0),0)</f>
        <v>0</v>
      </c>
      <c r="GO14" s="96">
        <f>IFERROR(IF(AND($GJ$2&lt;&gt;"Enter Spend&gt;&gt;&gt;",GK2="EXISTING"),SUMIFS('Existing Customers'!$R:$R,'Existing Customers'!$H:$H,$GI14,'Existing Customers'!$A:$A,$GJ$1)*$GJ$4,0),0)</f>
        <v>0</v>
      </c>
      <c r="GP14" s="1161">
        <f>IFERROR(IF(AND($GJ$2&lt;&gt;"Enter Spend&gt;&gt;&gt;",GK2="EXISTING"),SUMIFS('Existing Customers'!$S:$S,'Existing Customers'!$H:$H,$GI14,'Existing Customers'!$A:$A,$GJ$1),GZ14*GJ14),0)</f>
        <v>0</v>
      </c>
      <c r="GQ14" s="1161">
        <f>IFERROR(IF(AND($GJ$2&lt;&gt;"Enter Spend&gt;&gt;&gt;",GK2="EXISTING"),SUMIFS('Existing Customers'!$U:$U,'Existing Customers'!$H:$H,$GI14,'Existing Customers'!$A:$A,$GJ$1),HA14*GJ14),0)</f>
        <v>0</v>
      </c>
      <c r="GR14" s="1164" t="e">
        <f>_xlfn.CONCAT('Customer Inputs'!$AG$12,"_",GI14)</f>
        <v>#N/A</v>
      </c>
      <c r="GS14" s="1164">
        <f t="array" ref="GS14">IFERROR(INDEX('Margin Guidence Table'!$A$1:$AD$30000,MATCH(1,('Margin Guidence Table'!$A$1:$A$10000=GR14)*('Margin Guidence Table'!$I$1:$I$10000&lt;=ROUND($GJ$3,0))*('Margin Guidence Table'!$J$1:$J$10000&gt;=ROUND($GJ$3,0)),0),MATCH("DATA_POINTS",'Margin Guidence Table'!$A$1:$AG$1,0)),0)</f>
        <v>0</v>
      </c>
      <c r="GT14" s="1161" t="str">
        <f>IF(GS14&gt;15,"SEGMENT","DEFAULT")</f>
        <v>DEFAULT</v>
      </c>
      <c r="GU14" s="1161">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161">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165">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165">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165">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165">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165">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165">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9"/>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96" t="e">
        <f>HD14/$HD$35</f>
        <v>#DIV/0!</v>
      </c>
      <c r="HF14" s="102" t="s">
        <v>99</v>
      </c>
      <c r="HG14" s="94">
        <f>IFERROR(IF(AND($HG$2&lt;&gt;"Enter Spend&gt;&gt;&gt;",HH2="EXISTING"),SUMIFS('Existing Customers'!$Q:$Q,'Existing Customers'!$A:$A,$HG$1,'Existing Customers'!$H:$H,$HF14)*$HG$4,$HG$3*$HE14),0)</f>
        <v>0</v>
      </c>
      <c r="HH14" s="89">
        <f>IFERROR(IF(AND($HG$2&lt;&gt;"Enter Spend&gt;&gt;&gt;",HH2="EXISTING"),SUMIFS('Existing Customers'!$N:$N,'Existing Customers'!$A:$A,$HG$1,'Existing Customers'!$H:$H,$HF14)*$HG$4,$HG14/$HR14),0)</f>
        <v>0</v>
      </c>
      <c r="HI14" s="95">
        <f>IFERROR(IF(AND($HG$2&lt;&gt;"Enter Spend&gt;&gt;&gt;",HH2="EXISTING"),SUMIFS('Existing Customers'!$O:$O,'Existing Customers'!$H:$H,$HF14,'Existing Customers'!$A:$A,$HG$1)*$HG$4,$HH14*$HG$8),0)</f>
        <v>0</v>
      </c>
      <c r="HJ14" s="95">
        <f>IFERROR(IF(AND($HG$2&lt;&gt;"Enter Spend&gt;&gt;&gt;",HH2="EXISTING"),SUMIFS('Existing Customers'!$P:$P,'Existing Customers'!$A:$A,$HG$1,'Existing Customers'!$H:$H,$HF14)*$HG$4,$HG14/$HS14),0)</f>
        <v>0</v>
      </c>
      <c r="HK14" s="96">
        <f>IFERROR(IF(AND($HG$2&lt;&gt;"Enter Spend&gt;&gt;&gt;",HH2="EXISTING"),SUMIFS('Existing Customers'!$V:$V,'Existing Customers'!$H:$H,$HF14,'Existing Customers'!$A:$A,$HG$1)*$HG$4,0),0)</f>
        <v>0</v>
      </c>
      <c r="HL14" s="96">
        <f>IFERROR(IF(AND($HG$2&lt;&gt;"Enter Spend&gt;&gt;&gt;",HH2="EXISTING"),SUMIFS('Existing Customers'!$R:$R,'Existing Customers'!$H:$H,$HF14,'Existing Customers'!$A:$A,$HG$1)*$HG$4,0),0)</f>
        <v>0</v>
      </c>
      <c r="HM14" s="1161">
        <f>IFERROR(IF(AND($HG$2&lt;&gt;"Enter Spend&gt;&gt;&gt;",HH2="EXISTING"),SUMIFS('Existing Customers'!$S:$S,'Existing Customers'!$H:$H,$HF14,'Existing Customers'!$A:$A,$HG$1),HW14*HG14),0)</f>
        <v>0</v>
      </c>
      <c r="HN14" s="1161">
        <f>IFERROR(IF(AND($HG$2&lt;&gt;"Enter Spend&gt;&gt;&gt;",HH2="EXISTING"),SUMIFS('Existing Customers'!$U:$U,'Existing Customers'!$H:$H,$HF14,'Existing Customers'!$A:$A,$HG$1),HX14*HG14),0)</f>
        <v>0</v>
      </c>
      <c r="HO14" s="1164" t="e">
        <f>_xlfn.CONCAT('Customer Inputs'!$AG$13,"_",HF14)</f>
        <v>#N/A</v>
      </c>
      <c r="HP14" s="1164">
        <f t="array" ref="HP14">IFERROR(INDEX('Margin Guidence Table'!$A$1:$AD$30000,MATCH(1,('Margin Guidence Table'!$A$1:$A$10000=HO14)*('Margin Guidence Table'!$I$1:$I$10000&lt;=ROUND($HG$3,0))*('Margin Guidence Table'!$J$1:$J$10000&gt;=ROUND($HG$3,0)),0),MATCH("DATA_POINTS",'Margin Guidence Table'!$A$1:$AG$1,0)),0)</f>
        <v>0</v>
      </c>
      <c r="HQ14" s="1161" t="str">
        <f>IF(HP14&gt;15,"SEGMENT","DEFAULT")</f>
        <v>DEFAULT</v>
      </c>
      <c r="HR14" s="1161">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161">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165">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165">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165">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165">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165">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165">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9"/>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96" t="e">
        <f>IA14/$IA$35</f>
        <v>#DIV/0!</v>
      </c>
      <c r="IC14" s="102" t="s">
        <v>99</v>
      </c>
      <c r="ID14" s="94">
        <f>IFERROR(IF(AND($ID$2&lt;&gt;"Enter Spend&gt;&gt;&gt;",IE2="EXISTING"),SUMIFS('Existing Customers'!$Q:$Q,'Existing Customers'!$A:$A,$ID$1,'Existing Customers'!$H:$H,$IC14)*$ID$4,$ID$3*$IB14),0)</f>
        <v>0</v>
      </c>
      <c r="IE14" s="89">
        <f>IFERROR(IF(AND($ID$2&lt;&gt;"Enter Spend&gt;&gt;&gt;",IE2="EXISTING"),SUMIFS('Existing Customers'!$N:$N,'Existing Customers'!$A:$A,$ID$1,'Existing Customers'!$H:$H,$IC14)*$ID$4,$ID14/$IO14),0)</f>
        <v>0</v>
      </c>
      <c r="IF14" s="95">
        <f>IFERROR(IF(AND($ID$2&lt;&gt;"Enter Spend&gt;&gt;&gt;",IE2="EXISTING"),SUMIFS('Existing Customers'!$O:$O,'Existing Customers'!$H:$H,$IC14,'Existing Customers'!$A:$A,$ID$1)*$ID$4,$IE14*$ID$8),0)</f>
        <v>0</v>
      </c>
      <c r="IG14" s="95">
        <f>IFERROR(IF(AND($ID$2&lt;&gt;"Enter Spend&gt;&gt;&gt;",IE2="EXISTING"),SUMIFS('Existing Customers'!$P:$P,'Existing Customers'!$A:$A,$ID$1,'Existing Customers'!$H:$H,$IC14)*$ID$4,$ID14/$IP14),0)</f>
        <v>0</v>
      </c>
      <c r="IH14" s="402">
        <f>IFERROR(IF(AND($ID$2&lt;&gt;"Enter Spend&gt;&gt;&gt;",IE2="EXISTING"),SUMIFS('Existing Customers'!$V:$V,'Existing Customers'!$H:$H,$IC14,'Existing Customers'!$A:$A,$ID$1)*$ID$4,0),0)</f>
        <v>0</v>
      </c>
      <c r="II14" s="96">
        <f>IFERROR(IF(AND($ID$2&lt;&gt;"Enter Spend&gt;&gt;&gt;",IE2="EXISTING"),SUMIFS('Existing Customers'!$R:$R,'Existing Customers'!$H:$H,$IC14,'Existing Customers'!$A:$A,$ID$1)*$ID$4,0),0)</f>
        <v>0</v>
      </c>
      <c r="IJ14" s="1161">
        <f>IFERROR(IF(AND($ID$2&lt;&gt;"Enter Spend&gt;&gt;&gt;",IE2="EXISTING"),SUMIFS('Existing Customers'!$S:$S,'Existing Customers'!$H:$H,$IC14,'Existing Customers'!$A:$A,$ID$1),IT14*ID14),0)</f>
        <v>0</v>
      </c>
      <c r="IK14" s="1161">
        <f>IFERROR(IF(AND($ID$2&lt;&gt;"Enter Spend&gt;&gt;&gt;",IE2="EXISTING"),SUMIFS('Existing Customers'!$U:$U,'Existing Customers'!$H:$H,$IC14,'Existing Customers'!$A:$A,$ID$1),IU14*ID14),0)</f>
        <v>0</v>
      </c>
      <c r="IL14" s="1164" t="e">
        <f>_xlfn.CONCAT('Customer Inputs'!$AG$14,"_",IC14)</f>
        <v>#N/A</v>
      </c>
      <c r="IM14" s="1164">
        <f t="array" ref="IM14">IFERROR(INDEX('Margin Guidence Table'!$A$1:$AD$30000,MATCH(1,('Margin Guidence Table'!$A$1:$A$10000=IL14)*('Margin Guidence Table'!$I$1:$I$10000&lt;=ROUND($ID$3,0))*('Margin Guidence Table'!$J$1:$J$10000&gt;=ROUND($ID$3,0)),0),MATCH("DATA_POINTS",'Margin Guidence Table'!$A$1:$AG$1,0)),0)</f>
        <v>0</v>
      </c>
      <c r="IN14" s="1161" t="str">
        <f>IF(IM14&gt;15,"SEGMENT","DEFAULT")</f>
        <v>DEFAULT</v>
      </c>
      <c r="IO14" s="1161">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161">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165">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165">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165">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165">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165">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165">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9"/>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96" t="e">
        <f>IX14/$IX$35</f>
        <v>#DIV/0!</v>
      </c>
      <c r="IZ14" s="102" t="s">
        <v>99</v>
      </c>
      <c r="JA14" s="94">
        <f>IFERROR(IF(AND($JA$2&lt;&gt;"Enter Spend&gt;&gt;&gt;",JB2="EXISTING"),SUMIFS('Existing Customers'!$Q:$Q,'Existing Customers'!$A:$A,$JA$1,'Existing Customers'!$H:$H,$IZ14)*$JA$4,$JA$3*$IY14),0)</f>
        <v>0</v>
      </c>
      <c r="JB14" s="89">
        <f>IFERROR(IF(AND($JA$2&lt;&gt;"Enter Spend&gt;&gt;&gt;",JB2="EXISTING"),SUMIFS('Existing Customers'!$N:$N,'Existing Customers'!$A:$A,$JA$1,'Existing Customers'!$H:$H,$IZ14)*$JA$4,$JA14/$JL14),0)</f>
        <v>0</v>
      </c>
      <c r="JC14" s="95">
        <f>IFERROR(IF(AND($JA$2&lt;&gt;"Enter Spend&gt;&gt;&gt;",JB2="EXISTING"),SUMIFS('Existing Customers'!$O:$O,'Existing Customers'!$H:$H,$IZ14,'Existing Customers'!$A:$A,$JA$1)*$JA$4,$JB14*$JA$8),0)</f>
        <v>0</v>
      </c>
      <c r="JD14" s="95">
        <f>IFERROR(IF(AND($JA$2&lt;&gt;"Enter Spend&gt;&gt;&gt;",JB2="EXISTING"),SUMIFS('Existing Customers'!$P:$P,'Existing Customers'!$A:$A,$JA$1,'Existing Customers'!$H:$H,$IZ14)*$JA$4,$JA14/$JM14),0)</f>
        <v>0</v>
      </c>
      <c r="JE14" s="402">
        <f>IFERROR(IF(AND($JA$2&lt;&gt;"Enter Spend&gt;&gt;&gt;",JB2="EXISTING"),SUMIFS('Existing Customers'!$V:$V,'Existing Customers'!$H:$H,$IZ14,'Existing Customers'!$A:$A,$JA$1)*$JA$4,0),0)</f>
        <v>0</v>
      </c>
      <c r="JF14" s="96">
        <f>IFERROR(IF(AND($JA$2&lt;&gt;"Enter Spend&gt;&gt;&gt;",JB2="EXISTING"),SUMIFS('Existing Customers'!$R:$R,'Existing Customers'!$H:$H,$IZ14,'Existing Customers'!$A:$A,$JA$1)*$JA$4,0),0)</f>
        <v>0</v>
      </c>
      <c r="JG14" s="1161">
        <f>IFERROR(IF(AND($JA$2&lt;&gt;"Enter Spend&gt;&gt;&gt;",JB2="EXISTING"),SUMIFS('Existing Customers'!$S:$S,'Existing Customers'!$H:$H,$IZ14,'Existing Customers'!$A:$A,$JA$1),JQ14*JA14),0)</f>
        <v>0</v>
      </c>
      <c r="JH14" s="1161">
        <f>IFERROR(IF(AND($JA$2&lt;&gt;"Enter Spend&gt;&gt;&gt;",JB2="EXISTING"),SUMIFS('Existing Customers'!$U:$U,'Existing Customers'!$H:$H,$IZ14,'Existing Customers'!$A:$A,$JA$1),JR14*JA14),0)</f>
        <v>0</v>
      </c>
      <c r="JI14" s="1164" t="e">
        <f>_xlfn.CONCAT('Customer Inputs'!$AG$15,"_",IZ14)</f>
        <v>#N/A</v>
      </c>
      <c r="JJ14" s="1164">
        <f t="array" ref="JJ14">IFERROR(INDEX('Margin Guidence Table'!$A$1:$AD$30000,MATCH(1,('Margin Guidence Table'!$A$1:$A$10000=JI14)*('Margin Guidence Table'!$I$1:$I$10000&lt;=ROUND($JA$3,0))*('Margin Guidence Table'!$J$1:$J$10000&gt;=ROUND($JA$3,0)),0),MATCH("DATA_POINTS",'Margin Guidence Table'!$A$1:$AG$1,0)),0)</f>
        <v>0</v>
      </c>
      <c r="JK14" s="1161" t="str">
        <f>IF(JJ14&gt;15,"SEGMENT","DEFAULT")</f>
        <v>DEFAULT</v>
      </c>
      <c r="JL14" s="1161">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161">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165">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165">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165">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165">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165">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165">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102" t="s">
        <v>99</v>
      </c>
      <c r="JV14" s="94"/>
      <c r="JW14" s="89"/>
      <c r="JX14" s="95"/>
      <c r="JY14" s="95"/>
      <c r="JZ14" s="402"/>
      <c r="KA14" s="96"/>
      <c r="KB14" s="129"/>
      <c r="KD14" s="102" t="s">
        <v>99</v>
      </c>
      <c r="KE14" s="94"/>
      <c r="KF14" s="89"/>
      <c r="KG14" s="95"/>
      <c r="KH14" s="95"/>
      <c r="KI14" s="402"/>
      <c r="KJ14" s="96"/>
    </row>
    <row r="15" spans="2:296" ht="15.75" thickBot="1" x14ac:dyDescent="0.3">
      <c r="B15" s="102" t="s">
        <v>103</v>
      </c>
      <c r="C15" s="480">
        <f t="shared" ref="C15:C34" si="7">($BB15+$BY15+$CV15+$DS15+$EP15+$FM15+$GJ15+$HG15+$ID15+$JA15)</f>
        <v>0</v>
      </c>
      <c r="D15" s="496">
        <f t="shared" ref="D15:D34" si="8">($BC15+$BZ15+$CW15+$DT15+$EQ15+$FN15+$GK15+$HH15+$IE15+$JB15)</f>
        <v>0</v>
      </c>
      <c r="E15" s="496">
        <f t="shared" ref="E15:E34" si="9">($BD15+$CA15+$CX15+$DU15+$ER15+$FO15+$GL15+$HI15+$IF15+$JC15)</f>
        <v>0</v>
      </c>
      <c r="F15" s="496">
        <f t="shared" ref="F15:F34" si="10">($BE15+$CB15+$CY15+$DV15+$ES15+$FP15+$GM15+$HJ15+$IG15+$JD15)</f>
        <v>0</v>
      </c>
      <c r="G15" s="497">
        <f t="shared" ref="G15:G34" si="11">($BF15+$CC15+$CZ15+$DW15+$ET15+$FQ15+$GN15+$HK15+$IH15+$JE15)</f>
        <v>0</v>
      </c>
      <c r="H15" s="496">
        <f t="shared" ref="H15:H34" si="12">($BG15+$CD15+$DA15+$DX15+$EU15+$FR15+$GO15+$HL15+$II15+$JF15)</f>
        <v>0</v>
      </c>
      <c r="I15" s="1157" t="e">
        <f>ROUND(SUM($BB15*BO15+$BY15*CL15+$CV15*DI15+$DS15*EF15+$EP15*FC15+$FM15*FZ15+$GJ15*GW15+$HG15*HT15+$ID15*IQ15+$JA15*JN15)/$C15,2)</f>
        <v>#DIV/0!</v>
      </c>
      <c r="J15" s="1157" t="e">
        <f>ROUND(SUM($BB15*BP15+$BY15*CM15+$CV15*DJ15+$DS15*EG15+$EP15*FD15+$FM15*GA15+$GJ15*GX15+$HG15*HU15+$ID15*IR15+$JA15*JO15)/$C15,2)</f>
        <v>#DIV/0!</v>
      </c>
      <c r="K15" s="1157" t="e">
        <f>ROUND(SUM($BB15*BQ15+$BY15*CN15+$CV15*DK15+$DS15*EH15+$EP15*FE15+$FM15*GB15+$GJ15*GY15+$HG15*HV15+$ID15*IS15+$JA15*JP15)/$C15,2)</f>
        <v>#DIV/0!</v>
      </c>
      <c r="L15" s="496" t="e">
        <f t="shared" si="0"/>
        <v>#DIV/0!</v>
      </c>
      <c r="M15" s="496" t="e">
        <f t="shared" ref="M15:M35" si="13">L15/$L$35</f>
        <v>#DIV/0!</v>
      </c>
      <c r="N15" s="1158" t="e">
        <f t="shared" si="1"/>
        <v>#DIV/0!</v>
      </c>
      <c r="P15" t="str">
        <f>'PIM Model'!E11</f>
        <v>INCLUDE</v>
      </c>
      <c r="Q15">
        <f t="shared" ref="Q15:Q34" si="14">IFERROR(T15/$T$35,0)</f>
        <v>0</v>
      </c>
      <c r="R15">
        <f t="shared" ref="R15:R34" si="15">IF(P15="Include",Q15,0)</f>
        <v>0</v>
      </c>
      <c r="S15" s="102" t="s">
        <v>103</v>
      </c>
      <c r="T15" s="97">
        <f t="shared" ref="T15:T34" si="16">(BB15+BY15+CV15+DS15+EP15+FM15+GJ15+HG15+ID15+JA15)*(1+($V$1/$V$5))</f>
        <v>0</v>
      </c>
      <c r="U15" s="89">
        <f t="shared" si="2"/>
        <v>0</v>
      </c>
      <c r="V15" s="89">
        <f t="shared" si="3"/>
        <v>0</v>
      </c>
      <c r="W15" s="89">
        <f t="shared" si="4"/>
        <v>0</v>
      </c>
      <c r="X15" s="114">
        <f t="shared" si="5"/>
        <v>0</v>
      </c>
      <c r="Y15" s="117">
        <f t="shared" ref="Y15:Y34" si="17">IFERROR(X15/T15,0)</f>
        <v>0</v>
      </c>
      <c r="Z15" s="400"/>
      <c r="AA15" s="102" t="s">
        <v>103</v>
      </c>
      <c r="AB15" s="484">
        <f>SUMIFS($BB15:$JF15,$BB$12:$JF$12,AB$12)</f>
        <v>0</v>
      </c>
      <c r="AC15" s="485">
        <f>SUMIFS($BB15:$JF15,$BB$12:$JF$12,AC$12)</f>
        <v>0</v>
      </c>
      <c r="AD15" s="485">
        <f>SUMIFS($BB15:$JF15,$BB$12:$JF$12,AD$12)</f>
        <v>0</v>
      </c>
      <c r="AE15" s="486">
        <f t="shared" ref="AE15:AE34" si="18">IFERROR(AC15/AB15,0)</f>
        <v>0</v>
      </c>
      <c r="AF15" s="487">
        <f t="shared" ref="AF15:AF34" si="19">IFERROR(AD15/AB15,0)</f>
        <v>0</v>
      </c>
      <c r="AG15" s="400"/>
      <c r="AH15" s="102" t="s">
        <v>103</v>
      </c>
      <c r="AI15" s="484">
        <f t="shared" si="6"/>
        <v>0</v>
      </c>
      <c r="AJ15" s="481">
        <f t="shared" ref="AJ15:AJ34" si="20">AN15*AI15</f>
        <v>0</v>
      </c>
      <c r="AK15" s="487"/>
      <c r="AL15" s="400"/>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400">
        <f>VLOOKUP($AH15&amp;$AM15,'IMargin Quartiles'!$A:$F,6,FALSE)</f>
        <v>0.1</v>
      </c>
      <c r="AO15" s="400"/>
      <c r="AP15"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Q15" s="400" t="e">
        <f t="shared" ref="AQ15:AQ34" si="21">$N15</f>
        <v>#DIV/0!</v>
      </c>
      <c r="AR15">
        <f>'PIM Model'!C11</f>
        <v>0</v>
      </c>
      <c r="AS15" s="400"/>
      <c r="AT15" s="400"/>
      <c r="AU15" s="400" t="e">
        <f>IF($AR15="AVG",IFERROR((AC15+AJ15)/(AB15+AI15),AQ15),(AC15+AJ15)/(AB15+AI15))</f>
        <v>#DIV/0!</v>
      </c>
      <c r="AV15" s="400"/>
      <c r="AW15" s="400"/>
      <c r="AX15" s="108">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96" t="e">
        <f t="shared" ref="AZ15:AZ34" si="22">AY15/$AY$35</f>
        <v>#DIV/0!</v>
      </c>
      <c r="BA15" s="102" t="s">
        <v>103</v>
      </c>
      <c r="BB15" s="94">
        <f>IFERROR(IF(AND($BB$2&lt;&gt;"Enter Spend&gt;&gt;&gt;",BC3="EXISTING"),SUMIFS('Existing Customers'!$Q:$Q,'Existing Customers'!$A:$A,$BB$1,'Existing Customers'!$H:$H,$BA15)*$BB$4,$BB$3*$AZ15),0)</f>
        <v>0</v>
      </c>
      <c r="BC15" s="95">
        <f>IFERROR(IF(AND($BB$2&lt;&gt;"Enter Spend&gt;&gt;&gt;",BC2="EXISTING"),SUMIFS('Existing Customers'!$N:$N,'Existing Customers'!$A:$A,$BB$1,'Existing Customers'!$H:$H,$BA15)*$BB$4,$BB15/$BM15),0)</f>
        <v>0</v>
      </c>
      <c r="BD15" s="95">
        <f>IFERROR(IF(AND($BB$2&lt;&gt;"Enter Spend&gt;&gt;&gt;",BC2="EXISTING"),SUMIFS('Existing Customers'!$O:$O,'Existing Customers'!$H:$H,$BA15,'Existing Customers'!$A:$A,$BB$1)*$BB$4,$BC15*$BB$8),0)</f>
        <v>0</v>
      </c>
      <c r="BE15" s="95">
        <f>IFERROR(IF(AND($BB$2&lt;&gt;"Enter Spend&gt;&gt;&gt;",BC2="EXISTING"),SUMIFS('Existing Customers'!$P:$P,'Existing Customers'!$A:$A,$BB$1,'Existing Customers'!$H:$H,$BA15)*$BB$4,$BB15/$BN15),0)</f>
        <v>0</v>
      </c>
      <c r="BF15" s="402">
        <f>IFERROR(IF(AND($BB$2&lt;&gt;"Enter Spend&gt;&gt;&gt;",BC2="EXISTING"),SUMIFS('Existing Customers'!$V:$V,'Existing Customers'!$H:$H,$BA15,'Existing Customers'!$A:$A,$BB$1)*$BB$4,0),0)</f>
        <v>0</v>
      </c>
      <c r="BG15" s="96">
        <f>IFERROR(IF(AND($BB$2&lt;&gt;"Enter Spend&gt;&gt;&gt;",BC2="EXISTING"),SUMIFS('Existing Customers'!$R:$R,'Existing Customers'!$H:$H,$BA15,'Existing Customers'!$A:$A,$BB$1)*$BB$4,0),0)</f>
        <v>0</v>
      </c>
      <c r="BH15" s="96">
        <f>IFERROR(IF(AND($BB$2&lt;&gt;"Enter Spend&gt;&gt;&gt;",BC2="EXISTING"),SUMIFS('Existing Customers'!$S:$S,'Existing Customers'!$H:$H,$BA15,'Existing Customers'!$A:$A,$BB$1),BR15*BB15),0)</f>
        <v>0</v>
      </c>
      <c r="BI15" s="96">
        <f>IFERROR(IF(AND($BB$2&lt;&gt;"Enter Spend&gt;&gt;&gt;",BC2="EXISTING"),SUMIFS('Existing Customers'!$U:$U,'Existing Customers'!$H:$H,$BA15,'Existing Customers'!$A:$A,$BB$1),BS15*BB15),0)</f>
        <v>0</v>
      </c>
      <c r="BJ15" s="1163" t="e">
        <f>_xlfn.CONCAT('Customer Inputs'!$AG$6,"_",BA15)</f>
        <v>#N/A</v>
      </c>
      <c r="BK15" s="1164">
        <f t="array" ref="BK15">IFERROR(INDEX('Margin Guidence Table'!$A$1:$AD$30000,MATCH(1,('Margin Guidence Table'!$A$1:$A$10000=$BJ15)*('Margin Guidence Table'!$I$1:$I$10000&lt;=ROUND($BB$3,0))*('Margin Guidence Table'!$J$1:$J$10000&gt;=ROUND($BB$3,0)),0),MATCH("DATA_POINTS",'Margin Guidence Table'!$A$1:$AG$1,0)),0)</f>
        <v>0</v>
      </c>
      <c r="BL15" s="1161" t="str">
        <f t="shared" ref="BL15:BL34" si="23">IF(BK15&gt;15,"SEGMENT","DEFAULT")</f>
        <v>DEFAULT</v>
      </c>
      <c r="BM15" s="1161">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161">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165">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165">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165">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165">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165">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165">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9"/>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96" t="e">
        <f t="shared" ref="BW15:BW34" si="24">BV15/$BV$35</f>
        <v>#DIV/0!</v>
      </c>
      <c r="BX15" s="102" t="s">
        <v>103</v>
      </c>
      <c r="BY15" s="94">
        <f>IFERROR(IF(AND($BY$2&lt;&gt;"Enter Spend&gt;&gt;&gt;",BZ3="EXISTING"),SUMIFS('Existing Customers'!$Q:$Q,'Existing Customers'!$A:$A,$BY$1,'Existing Customers'!$H:$H,$BX15)*$BY$4,$BY$3*$BW15),0)</f>
        <v>0</v>
      </c>
      <c r="BZ15" s="89">
        <f>IFERROR(IF(AND($BY$2&lt;&gt;"Enter Spend&gt;&gt;&gt;",BZ2="EXISTING"),SUMIFS('Existing Customers'!$N:$N,'Existing Customers'!$A:$A,$BY$1,'Existing Customers'!$H:$H,$BX15)*$BY$4,$BY15/$CJ15),0)</f>
        <v>0</v>
      </c>
      <c r="CA15" s="95">
        <f>IFERROR(IF(AND($BY$2&lt;&gt;"Enter Spend&gt;&gt;&gt;",BZ2="EXISTING"),SUMIFS('Existing Customers'!$O:$O,'Existing Customers'!$H:$H,$BX15,'Existing Customers'!$A:$A,$BY$1)*$BY$4,$BZ15*$BY$8),0)</f>
        <v>0</v>
      </c>
      <c r="CB15" s="95">
        <f>IFERROR(IF(AND($BY$2&lt;&gt;"Enter Spend&gt;&gt;&gt;",BZ2="EXISTING"),SUMIFS('Existing Customers'!$P:$P,'Existing Customers'!$A:$A,$BY$1,'Existing Customers'!$H:$H,$BX15)*$BY$4,$BY15/$CK15),0)</f>
        <v>0</v>
      </c>
      <c r="CC15" s="96">
        <f>IFERROR(IF(AND($BY$2&lt;&gt;"Enter Spend&gt;&gt;&gt;",BZ2="EXISTING"),SUMIFS('Existing Customers'!$V:$V,'Existing Customers'!$H:$H,$BX15,'Existing Customers'!$A:$A,$BY$1)*$BY$4,0),0)</f>
        <v>0</v>
      </c>
      <c r="CD15" s="96">
        <f>IFERROR(IF(AND($BY$2&lt;&gt;"Enter Spend&gt;&gt;&gt;",BZ2="EXISTING"),SUMIFS('Existing Customers'!$R:$R,'Existing Customers'!$H:$H,$BX15,'Existing Customers'!$A:$A,$BY$1)*$BY$4,0),0)</f>
        <v>0</v>
      </c>
      <c r="CE15" s="1161">
        <f>IFERROR(IF(AND($BY$2&lt;&gt;"Enter Spend&gt;&gt;&gt;",BZ2="EXISTING"),SUMIFS('Existing Customers'!$S:$S,'Existing Customers'!$H:$H,$BX15,'Existing Customers'!$A:$A,$BY$1),CO15*BY15),0)</f>
        <v>0</v>
      </c>
      <c r="CF15" s="1161">
        <f>IFERROR(IF(AND($BY$2&lt;&gt;"Enter Spend&gt;&gt;&gt;",BZ2="EXISTING"),SUMIFS('Existing Customers'!$U:$U,'Existing Customers'!$H:$H,$BX15,'Existing Customers'!$A:$A,$BY$1),CP15*BY15),0)</f>
        <v>0</v>
      </c>
      <c r="CG15" s="1164" t="e">
        <f>_xlfn.CONCAT('Customer Inputs'!$AG$7,"_",BX15)</f>
        <v>#N/A</v>
      </c>
      <c r="CH15" s="1164">
        <f t="array" ref="CH15">IFERROR(INDEX('Margin Guidence Table'!$A$1:$AD$30000,MATCH(1,('Margin Guidence Table'!$A$1:$A$10000=$CG15)*('Margin Guidence Table'!$I$1:$I$10000&lt;=ROUND($BY$3,0))*('Margin Guidence Table'!$J$1:$J$10000&gt;=ROUND($BY$3,0)),0),MATCH("DATA_POINTS",'Margin Guidence Table'!$A$1:$AG$1,0)),0)</f>
        <v>0</v>
      </c>
      <c r="CI15" s="1161" t="str">
        <f t="shared" ref="CI15:CI34" si="25">IF(CH15&gt;15,"SEGMENT","DEFAULT")</f>
        <v>DEFAULT</v>
      </c>
      <c r="CJ15" s="1161">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161">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165">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165">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165">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165">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165">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165">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9"/>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96" t="e">
        <f t="shared" ref="CT15:CT34" si="26">CS15/$CS$35</f>
        <v>#DIV/0!</v>
      </c>
      <c r="CU15" s="102" t="s">
        <v>103</v>
      </c>
      <c r="CV15" s="94">
        <f>IFERROR(IF(AND($CV$2&lt;&gt;"Enter Spend&gt;&gt;&gt;",CW3="EXISTING"),SUMIFS('Existing Customers'!$Q:$Q,'Existing Customers'!$A:$A,$CV$1,'Existing Customers'!$H:$H,$CU15)*$CV$4,$CV$3*$CT15),0)</f>
        <v>0</v>
      </c>
      <c r="CW15" s="89">
        <f>IFERROR(IF(AND($CV$2&lt;&gt;"Enter Spend&gt;&gt;&gt;",CW2="EXISTING"),SUMIFS('Existing Customers'!$N:$N,'Existing Customers'!$A:$A,$CV$1,'Existing Customers'!$H:$H,$CU15)*$CV$4,$CV15/$DG15),0)</f>
        <v>0</v>
      </c>
      <c r="CX15" s="95">
        <f>IFERROR(IF(AND($CV$2&lt;&gt;"Enter Spend&gt;&gt;&gt;",BC28="EXISTING"),SUMIFS('Existing Customers'!$O:$O,'Existing Customers'!$H:$H,$CU15,'Existing Customers'!$A:$A,$CV$1)*$CV$4,$CW15*$CV$8),0)</f>
        <v>0</v>
      </c>
      <c r="CY15" s="95">
        <f>IFERROR(IF(AND($CV$2&lt;&gt;"Enter Spend&gt;&gt;&gt;",CW2="EXISTING"),SUMIFS('Existing Customers'!$P:$P,'Existing Customers'!$A:$A,$CV$1,'Existing Customers'!$H:$H,$CU15)*$CV$4,$CV15/$DH15),0)</f>
        <v>0</v>
      </c>
      <c r="CZ15" s="96">
        <f>IFERROR(IF(AND($CV$2&lt;&gt;"Enter Spend&gt;&gt;&gt;",CW2="EXISTING"),SUMIFS('Existing Customers'!$V:$V,'Existing Customers'!$H:$H,$CU15,'Existing Customers'!$A:$A,$CV$1)*$CV$4,0),0)</f>
        <v>0</v>
      </c>
      <c r="DA15" s="96">
        <f>IFERROR(IF(AND($CV$2&lt;&gt;"Enter Spend&gt;&gt;&gt;",CW2="EXISTING"),SUMIFS('Existing Customers'!$R:$R,'Existing Customers'!$H:$H,$BA15,'Existing Customers'!$A:$A,$CV$1)*$CV$4,0),0)</f>
        <v>0</v>
      </c>
      <c r="DB15" s="1161">
        <f>IFERROR(IF(AND($CV$2&lt;&gt;"Enter Spend&gt;&gt;&gt;",CW2="EXISTING"),SUMIFS('Existing Customers'!$S:$S,'Existing Customers'!$H:$H,$CU15,'Existing Customers'!$A:$A,$CV$1),DL15*CV15),0)</f>
        <v>0</v>
      </c>
      <c r="DC15" s="1161">
        <f>IFERROR(IF(AND($CV$2&lt;&gt;"Enter Spend&gt;&gt;&gt;",CW2="EXISTING"),SUMIFS('Existing Customers'!$U:$U,'Existing Customers'!$H:$H,$CU15,'Existing Customers'!$A:$A,$CV$1),DM15*CV15),0)</f>
        <v>0</v>
      </c>
      <c r="DD15" s="1164" t="e">
        <f>_xlfn.CONCAT('Customer Inputs'!$AG$8,"_",CU15)</f>
        <v>#N/A</v>
      </c>
      <c r="DE15" s="1164">
        <f t="array" ref="DE15">IFERROR(INDEX('Margin Guidence Table'!$A$1:$AD$30000,MATCH(1,('Margin Guidence Table'!$A$1:$A$10000=DD15)*('Margin Guidence Table'!$I$1:$I$10000&lt;=ROUND($CV$3,0))*('Margin Guidence Table'!$J$1:$J$10000&gt;=ROUND($CV$3,0)),0),MATCH("DATA_POINTS",'Margin Guidence Table'!$A$1:$AG$1,0)),0)</f>
        <v>0</v>
      </c>
      <c r="DF15" s="1161" t="str">
        <f t="shared" ref="DF15:DF34" si="27">IF(DE15&gt;15,"SEGMENT","DEFAULT")</f>
        <v>DEFAULT</v>
      </c>
      <c r="DG15" s="1161">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161">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165">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165">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165">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165">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165">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165">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9"/>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96" t="e">
        <f t="shared" ref="DQ15:DQ34" si="28">DP15/$DP$35</f>
        <v>#DIV/0!</v>
      </c>
      <c r="DR15" s="102" t="s">
        <v>103</v>
      </c>
      <c r="DS15" s="94">
        <f>IFERROR(IF(AND($DS$2&lt;&gt;"Enter Spend&gt;&gt;&gt;",DT3="EXISTING"),SUMIFS('Existing Customers'!$Q:$Q,'Existing Customers'!$A:$A,$DS$1,'Existing Customers'!$H:$H,$DR15)*$DS$4,$DS$3*$DQ15),0)</f>
        <v>0</v>
      </c>
      <c r="DT15" s="89">
        <f>IFERROR(IF(AND($DS$2&lt;&gt;"Enter Spend&gt;&gt;&gt;",DT2="EXISTING"),SUMIFS('Existing Customers'!$N:$N,'Existing Customers'!$A:$A,$DS$1,'Existing Customers'!$H:$H,$DR15)*$DS$4,$DS15/$ED15),0)</f>
        <v>0</v>
      </c>
      <c r="DU15" s="95">
        <f>IFERROR(IF(AND($DS$2&lt;&gt;"Enter Spend&gt;&gt;&gt;",DT2="EXISTING"),SUMIFS('Existing Customers'!$O:$O,'Existing Customers'!$H:$H,$DR15,'Existing Customers'!$A:$A,$DS$1)*$DS$4,$DT15*$DS$8),0)</f>
        <v>0</v>
      </c>
      <c r="DV15" s="95">
        <f>IFERROR(IF(AND($DS$2&lt;&gt;"Enter Spend&gt;&gt;&gt;",DT2="EXISTING"),SUMIFS('Existing Customers'!$P:$P,'Existing Customers'!$A:$A,$DS$1,'Existing Customers'!$H:$H,$DR15)*$DS$4,$DS15/$EE15),0)</f>
        <v>0</v>
      </c>
      <c r="DW15" s="96">
        <f>IFERROR(IF(AND($DS$2&lt;&gt;"Enter Spend&gt;&gt;&gt;",EQ2="EXISTING"),SUMIFS('Existing Customers'!$V:$V,'Existing Customers'!$H:$H,$DR15,'Existing Customers'!$A:$A,$DS$1)*$DS$4,0),0)</f>
        <v>0</v>
      </c>
      <c r="DX15" s="96">
        <f>IFERROR(IF(AND($DS$2&lt;&gt;"Enter Spend&gt;&gt;&gt;",DT2="EXISTING"),SUMIFS('Existing Customers'!$R:$R,'Existing Customers'!$H:$H,$DR15,'Existing Customers'!$A:$A,$DS$1)*$DS$4,0),0)</f>
        <v>0</v>
      </c>
      <c r="DY15" s="1161">
        <f>IFERROR(IF(AND($DS$2&lt;&gt;"Enter Spend&gt;&gt;&gt;",DT2="EXISTING"),SUMIFS('Existing Customers'!$S:$S,'Existing Customers'!$H:$H,$DT15,'Existing Customers'!$A:$A,$DS$1),EI15*DS15),0)</f>
        <v>0</v>
      </c>
      <c r="DZ15" s="1161">
        <f>IFERROR(IF(AND($DS$2&lt;&gt;"Enter Spend&gt;&gt;&gt;",DT2="EXISTING"),SUMIFS('Existing Customers'!$U:$U,'Existing Customers'!$H:$H,$DR15,'Existing Customers'!$A:$A,$DS$1),EJ15*DS15),0)</f>
        <v>0</v>
      </c>
      <c r="EA15" s="1164" t="e">
        <f>_xlfn.CONCAT('Customer Inputs'!$AG$9,"_",DR15)</f>
        <v>#N/A</v>
      </c>
      <c r="EB15" s="1164">
        <f t="array" ref="EB15">IFERROR(INDEX('Margin Guidence Table'!$A$1:$AD$30000,MATCH(1,('Margin Guidence Table'!$A$1:$A$10000=EA15)*('Margin Guidence Table'!$I$1:$I$10000&lt;=ROUND($DS$3,0))*('Margin Guidence Table'!$J$1:$J$10000&gt;=ROUND($DS$3,0)),0),MATCH("DATA_POINTS",'Margin Guidence Table'!$A$1:$AG$1,0)),0)</f>
        <v>0</v>
      </c>
      <c r="EC15" s="1161" t="str">
        <f t="shared" ref="EC15:EC34" si="29">IF(EB15&gt;15,"SEGMENT","DEFAULT")</f>
        <v>DEFAULT</v>
      </c>
      <c r="ED15" s="1161">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161">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165">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165">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165">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165">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165">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165">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9"/>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96" t="e">
        <f t="shared" ref="EN15:EN34" si="30">EM15/$EM$35</f>
        <v>#DIV/0!</v>
      </c>
      <c r="EO15" s="102" t="s">
        <v>103</v>
      </c>
      <c r="EP15" s="94">
        <f>IFERROR(IF(AND($EP$2&lt;&gt;"Enter Spend&gt;&gt;&gt;",EQ3="EXISTING"),SUMIFS('Existing Customers'!$Q:$Q,'Existing Customers'!$A:$A,$EP$1,'Existing Customers'!$H:$H,$EO15)*$EP$4,$EP$3*$EN15),0)</f>
        <v>0</v>
      </c>
      <c r="EQ15" s="89">
        <f>IFERROR(IF(AND($EP$2&lt;&gt;"Enter Spend&gt;&gt;&gt;",EQ2="EXISTING"),SUMIFS('Existing Customers'!$N:$N,'Existing Customers'!$A:$A,$EP$1,'Existing Customers'!$H:$H,$EO15)*$EP$4,$EP15/$FA15),0)</f>
        <v>0</v>
      </c>
      <c r="ER15" s="95">
        <f>IFERROR(IF(AND($EP$2&lt;&gt;"Enter Spend&gt;&gt;&gt;",EQ2="EXISTING"),SUMIFS('Existing Customers'!$O:$O,'Existing Customers'!$H:$H,$EO15,'Existing Customers'!$A:$A,$EP$1)*$EP$4,$EQ15*$EP$8),0)</f>
        <v>0</v>
      </c>
      <c r="ES15" s="95">
        <f>IFERROR(IF(AND($EP$2&lt;&gt;"Enter Spend&gt;&gt;&gt;",EQ2="EXISTING"),SUMIFS('Existing Customers'!$P:$P,'Existing Customers'!$A:$A,$EP$1,'Existing Customers'!$H:$H,$EO15)*$EP$4,$EP15/$FB15),0)</f>
        <v>0</v>
      </c>
      <c r="ET15" s="96">
        <f>IFERROR(IF(AND($EP$2&lt;&gt;"Enter Spend&gt;&gt;&gt;",EQ2="EXISTING"),SUMIFS('Existing Customers'!$V:$V,'Existing Customers'!$H:$H,$EO15,'Existing Customers'!$A:$A,$EP$1)*$EP$4,0),0)</f>
        <v>0</v>
      </c>
      <c r="EU15" s="96">
        <f>IFERROR(IF(AND($EP$2&lt;&gt;"Enter Spend&gt;&gt;&gt;",EQ2="EXISTING"),SUMIFS('Existing Customers'!$R:$R,'Existing Customers'!$H:$H,$EO15,'Existing Customers'!$A:$A,$EP$1)*$EP$4,0),0)</f>
        <v>0</v>
      </c>
      <c r="EV15" s="1161">
        <f>IFERROR(IF(AND($EP$2&lt;&gt;"Enter Spend&gt;&gt;&gt;",EQ2="EXISTING"),SUMIFS('Existing Customers'!$S:$S,'Existing Customers'!$H:$H,$EO15,'Existing Customers'!$A:$A,$EP$1),FF15*EP15),0)</f>
        <v>0</v>
      </c>
      <c r="EW15" s="1161">
        <f>IFERROR(IF(AND($EP$2&lt;&gt;"Enter Spend&gt;&gt;&gt;",EQ2="EXISTING"),SUMIFS('Existing Customers'!$U:$U,'Existing Customers'!$H:$H,$EO15,'Existing Customers'!$A:$A,$EP$1),FG15*EP15),0)</f>
        <v>0</v>
      </c>
      <c r="EX15" s="1164" t="e">
        <f>_xlfn.CONCAT('Customer Inputs'!$AG$10,"_",EO15)</f>
        <v>#N/A</v>
      </c>
      <c r="EY15" s="1164">
        <f t="array" ref="EY15">IFERROR(INDEX('Margin Guidence Table'!$A$1:$AD$30000,MATCH(1,('Margin Guidence Table'!$A$1:$A$10000=EX15)*('Margin Guidence Table'!$I$1:$I$10000&lt;=ROUND($EP$3,0))*('Margin Guidence Table'!$J$1:$J$10000&gt;=ROUND($EP$3,0)),0),MATCH("DATA_POINTS",'Margin Guidence Table'!$A$1:$AG$1,0)),0)</f>
        <v>0</v>
      </c>
      <c r="EZ15" s="1161" t="str">
        <f t="shared" ref="EZ15:EZ34" si="31">IF(EY15&gt;15,"SEGMENT","DEFAULT")</f>
        <v>DEFAULT</v>
      </c>
      <c r="FA15" s="1161">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161"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165">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165">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165">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165">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165">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165">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9"/>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96" t="e">
        <f t="shared" ref="FK15:FK34" si="32">FJ15/$FJ$35</f>
        <v>#DIV/0!</v>
      </c>
      <c r="FL15" s="102" t="s">
        <v>103</v>
      </c>
      <c r="FM15" s="94">
        <f>IFERROR(IF(AND($FM$2&lt;&gt;"Enter Spend&gt;&gt;&gt;",FN3="EXISTING"),SUMIFS('Existing Customers'!$Q:$Q,'Existing Customers'!$A:$A,$FM$1,'Existing Customers'!$H:$H,$FL15)*$FM$4,$FM$3*$FK15),0)</f>
        <v>0</v>
      </c>
      <c r="FN15" s="89">
        <f>IFERROR(IF(AND($FM$2&lt;&gt;"Enter Spend&gt;&gt;&gt;",FN2="EXISTING"),SUMIFS('Existing Customers'!$N:$N,'Existing Customers'!$A:$A,$FM$1,'Existing Customers'!$H:$H,$FL15)*$FM$4,$FM15/$FX15),0)</f>
        <v>0</v>
      </c>
      <c r="FO15" s="95">
        <f>IFERROR(IF(AND($FM$2&lt;&gt;"Enter Spend&gt;&gt;&gt;",FN2="EXISTING"),SUMIFS('Existing Customers'!$O:$O,'Existing Customers'!$H:$H,$FL15,'Existing Customers'!$A:$A,$FM$1)*$FM$4,$FN15*$FM$8),0)</f>
        <v>0</v>
      </c>
      <c r="FP15" s="95">
        <f>IFERROR(IF(AND($FM$2&lt;&gt;"Enter Spend&gt;&gt;&gt;",FN2="EXISTING"),SUMIFS('Existing Customers'!$P:$P,'Existing Customers'!$A:$A,$FM$1,'Existing Customers'!$H:$H,$FL15)*$FM$4,$FM15/$FY15),0)</f>
        <v>0</v>
      </c>
      <c r="FQ15" s="96">
        <f>IFERROR(IF(AND($FM$2&lt;&gt;"Enter Spend&gt;&gt;&gt;",FN2="EXISTING"),SUMIFS('Existing Customers'!$V:$V,'Existing Customers'!$H:$H,$FL15,'Existing Customers'!$A:$A,$FM$1)*$FM$4,0),0)</f>
        <v>0</v>
      </c>
      <c r="FR15" s="96">
        <f>IFERROR(IF(AND($FM$2&lt;&gt;"Enter Spend&gt;&gt;&gt;",FN2="EXISTING"),SUMIFS('Existing Customers'!$R:$R,'Existing Customers'!$H:$H,$FL15,'Existing Customers'!$A:$A,$FM$1)*$FM$4,0),0)</f>
        <v>0</v>
      </c>
      <c r="FS15" s="1161">
        <f>IFERROR(IF(AND($FM$2&lt;&gt;"Enter Spend&gt;&gt;&gt;",FN2="EXISTING"),SUMIFS('Existing Customers'!$S:$S,'Existing Customers'!$H:$H,$FL15,'Existing Customers'!$A:$A,$FM$1),GC15*FM15),0)</f>
        <v>0</v>
      </c>
      <c r="FT15" s="1161">
        <f>IFERROR(IF(AND($FM$2&lt;&gt;"Enter Spend&gt;&gt;&gt;",FN2="EXISTING"),SUMIFS('Existing Customers'!$U:$U,'Existing Customers'!$H:$H,$FL15,'Existing Customers'!$A:$A,$FM$1),GD15*FM15),0)</f>
        <v>0</v>
      </c>
      <c r="FU15" s="1164" t="e">
        <f>_xlfn.CONCAT('Customer Inputs'!$AG$11,"_",FL15)</f>
        <v>#N/A</v>
      </c>
      <c r="FV15" s="1164">
        <f t="array" ref="FV15">IFERROR(INDEX('Margin Guidence Table'!$A$1:$AD$30000,MATCH(1,('Margin Guidence Table'!$A$1:$A$10000=FU15)*('Margin Guidence Table'!$I$1:$I$10000&lt;=ROUND($FM$3,0))*('Margin Guidence Table'!$J$1:$J$10000&gt;=ROUND($FM$3,0)),0),MATCH("DATA_POINTS",'Margin Guidence Table'!$A$1:$AG$1,0)),0)</f>
        <v>0</v>
      </c>
      <c r="FW15" s="1161" t="str">
        <f t="shared" ref="FW15:FW34" si="33">IF(FV15&gt;15,"SEGMENT","DEFAULT")</f>
        <v>DEFAULT</v>
      </c>
      <c r="FX15" s="1161">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161">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165">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165">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165">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165">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165">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165">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9"/>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96" t="e">
        <f t="shared" ref="GH15:GH34" si="34">GG15/$GG$35</f>
        <v>#DIV/0!</v>
      </c>
      <c r="GI15" s="102" t="s">
        <v>103</v>
      </c>
      <c r="GJ15" s="94">
        <f>IFERROR(IF(AND($GJ$2&lt;&gt;"Enter Spend&gt;&gt;&gt;",GK3="EXISTING"),SUMIFS('Existing Customers'!$Q:$Q,'Existing Customers'!$A:$A,$GJ$1,'Existing Customers'!$H:$H,$GI15)*$GJ$4,$GJ$3*$GH15),0)</f>
        <v>0</v>
      </c>
      <c r="GK15" s="89">
        <f>IFERROR(IF(AND($GJ$2&lt;&gt;"Enter Spend&gt;&gt;&gt;",GK2="EXISTING"),SUMIFS('Existing Customers'!$N:$N,'Existing Customers'!$A:$A,$GJ$1,'Existing Customers'!$H:$H,$GI15)*$GJ$4,$GJ15/$GU15),0)</f>
        <v>0</v>
      </c>
      <c r="GL15" s="95">
        <f>IFERROR(IF(AND($GJ$2&lt;&gt;"Enter Spend&gt;&gt;&gt;",GK2="EXISTING"),SUMIFS('Existing Customers'!$O:$O,'Existing Customers'!$H:$H,$GI15,'Existing Customers'!$A:$A,$GJ$1)*$GJ$4,$GK15*$GJ$8),0)</f>
        <v>0</v>
      </c>
      <c r="GM15" s="95">
        <f>IFERROR(IF(AND($GJ$2&lt;&gt;"Enter Spend&gt;&gt;&gt;",GK2="EXISTING"),SUMIFS('Existing Customers'!$P:$P,'Existing Customers'!$A:$A,$GJ$1,'Existing Customers'!$H:$H,$GI15)*$GJ$4,$GJ15/$GV15),0)</f>
        <v>0</v>
      </c>
      <c r="GN15" s="96">
        <f>IFERROR(IF(AND($GJ$2&lt;&gt;"Enter Spend&gt;&gt;&gt;",GK2="EXISTING"),SUMIFS('Existing Customers'!$V:$V,'Existing Customers'!$H:$H,$GI15,'Existing Customers'!$A:$A,$GJ$1)*$GJ$4,0),0)</f>
        <v>0</v>
      </c>
      <c r="GO15" s="96">
        <f>IFERROR(IF(AND($GJ$2&lt;&gt;"Enter Spend&gt;&gt;&gt;",GK2="EXISTING"),SUMIFS('Existing Customers'!$R:$R,'Existing Customers'!$H:$H,$GI15,'Existing Customers'!$A:$A,$GJ$1)*$GJ$4,0),0)</f>
        <v>0</v>
      </c>
      <c r="GP15" s="1161">
        <f>IFERROR(IF(AND($GJ$2&lt;&gt;"Enter Spend&gt;&gt;&gt;",GK2="EXISTING"),SUMIFS('Existing Customers'!$S:$S,'Existing Customers'!$H:$H,$GI15,'Existing Customers'!$A:$A,$GJ$1),GZ15*GJ15),0)</f>
        <v>0</v>
      </c>
      <c r="GQ15" s="1161">
        <f>IFERROR(IF(AND($GJ$2&lt;&gt;"Enter Spend&gt;&gt;&gt;",GK2="EXISTING"),SUMIFS('Existing Customers'!$U:$U,'Existing Customers'!$H:$H,$GI15,'Existing Customers'!$A:$A,$GJ$1),HA15*GJ15),0)</f>
        <v>0</v>
      </c>
      <c r="GR15" s="1164" t="e">
        <f>_xlfn.CONCAT('Customer Inputs'!$AG$12,"_",GI15)</f>
        <v>#N/A</v>
      </c>
      <c r="GS15" s="1164">
        <f t="array" ref="GS15">IFERROR(INDEX('Margin Guidence Table'!$A$1:$AD$30000,MATCH(1,('Margin Guidence Table'!$A$1:$A$10000=GR15)*('Margin Guidence Table'!$I$1:$I$10000&lt;=ROUND($GJ$3,0))*('Margin Guidence Table'!$J$1:$J$10000&gt;=ROUND($GJ$3,0)),0),MATCH("DATA_POINTS",'Margin Guidence Table'!$A$1:$AG$1,0)),0)</f>
        <v>0</v>
      </c>
      <c r="GT15" s="1161" t="str">
        <f t="shared" ref="GT15:GT34" si="35">IF(GS15&gt;15,"SEGMENT","DEFAULT")</f>
        <v>DEFAULT</v>
      </c>
      <c r="GU15" s="1161">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161">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165">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165">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165">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165">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165">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165">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9"/>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96" t="e">
        <f t="shared" ref="HE15:HE34" si="36">HD15/$HD$35</f>
        <v>#DIV/0!</v>
      </c>
      <c r="HF15" s="102" t="s">
        <v>103</v>
      </c>
      <c r="HG15" s="94">
        <f>IFERROR(IF(AND($HG$2&lt;&gt;"Enter Spend&gt;&gt;&gt;",HH3="EXISTING"),SUMIFS('Existing Customers'!$Q:$Q,'Existing Customers'!$A:$A,$HG$1,'Existing Customers'!$H:$H,$HF15)*$HG$4,$HG$3*$HE15),0)</f>
        <v>0</v>
      </c>
      <c r="HH15" s="89">
        <f>IFERROR(IF(AND($HG$2&lt;&gt;"Enter Spend&gt;&gt;&gt;",HH2="EXISTING"),SUMIFS('Existing Customers'!$N:$N,'Existing Customers'!$A:$A,$HG$1,'Existing Customers'!$H:$H,$HF15)*$HG$4,$HG15/$HR15),0)</f>
        <v>0</v>
      </c>
      <c r="HI15" s="95">
        <f>IFERROR(IF(AND($HG$2&lt;&gt;"Enter Spend&gt;&gt;&gt;",HH2="EXISTING"),SUMIFS('Existing Customers'!$O:$O,'Existing Customers'!$H:$H,$HF15,'Existing Customers'!$A:$A,$HG$1)*$HG$4,$HH15*$HG$8),0)</f>
        <v>0</v>
      </c>
      <c r="HJ15" s="95">
        <f>IFERROR(IF(AND($HG$2&lt;&gt;"Enter Spend&gt;&gt;&gt;",HH2="EXISTING"),SUMIFS('Existing Customers'!$P:$P,'Existing Customers'!$A:$A,$HG$1,'Existing Customers'!$H:$H,$HF15)*$HG$4,$HG15/$HS15),0)</f>
        <v>0</v>
      </c>
      <c r="HK15" s="96">
        <f>IFERROR(IF(AND($HG$2&lt;&gt;"Enter Spend&gt;&gt;&gt;",HH2="EXISTING"),SUMIFS('Existing Customers'!$V:$V,'Existing Customers'!$H:$H,$HF15,'Existing Customers'!$A:$A,$HG$1)*$HG$4,0),0)</f>
        <v>0</v>
      </c>
      <c r="HL15" s="96">
        <f>IFERROR(IF(AND($HG$2&lt;&gt;"Enter Spend&gt;&gt;&gt;",HH2="EXISTING"),SUMIFS('Existing Customers'!$R:$R,'Existing Customers'!$H:$H,$HF15,'Existing Customers'!$A:$A,$HG$1)*$HG$4,0),0)</f>
        <v>0</v>
      </c>
      <c r="HM15" s="1161">
        <f>IFERROR(IF(AND($HG$2&lt;&gt;"Enter Spend&gt;&gt;&gt;",HH2="EXISTING"),SUMIFS('Existing Customers'!$S:$S,'Existing Customers'!$H:$H,$HF15,'Existing Customers'!$A:$A,$HG$1),HW15*HG15),0)</f>
        <v>0</v>
      </c>
      <c r="HN15" s="1161">
        <f>IFERROR(IF(AND($HG$2&lt;&gt;"Enter Spend&gt;&gt;&gt;",HH2="EXISTING"),SUMIFS('Existing Customers'!$U:$U,'Existing Customers'!$H:$H,$HF15,'Existing Customers'!$A:$A,$HG$1),HX15*HG15),0)</f>
        <v>0</v>
      </c>
      <c r="HO15" s="1164" t="e">
        <f>_xlfn.CONCAT('Customer Inputs'!$AG$13,"_",HF15)</f>
        <v>#N/A</v>
      </c>
      <c r="HP15" s="1164">
        <f t="array" ref="HP15">IFERROR(INDEX('Margin Guidence Table'!$A$1:$AD$30000,MATCH(1,('Margin Guidence Table'!$A$1:$A$10000=HO15)*('Margin Guidence Table'!$I$1:$I$10000&lt;=ROUND($HG$3,0))*('Margin Guidence Table'!$J$1:$J$10000&gt;=ROUND($HG$3,0)),0),MATCH("DATA_POINTS",'Margin Guidence Table'!$A$1:$AG$1,0)),0)</f>
        <v>0</v>
      </c>
      <c r="HQ15" s="1161" t="str">
        <f t="shared" ref="HQ15:HQ34" si="37">IF(HP15&gt;15,"SEGMENT","DEFAULT")</f>
        <v>DEFAULT</v>
      </c>
      <c r="HR15" s="1161">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161">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165">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165">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165">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165">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165">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165">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9"/>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96" t="e">
        <f t="shared" ref="IB15:IB34" si="38">IA15/$IA$35</f>
        <v>#DIV/0!</v>
      </c>
      <c r="IC15" s="102" t="s">
        <v>103</v>
      </c>
      <c r="ID15" s="94">
        <f>IFERROR(IF(AND($ID$2&lt;&gt;"Enter Spend&gt;&gt;&gt;",IE3="EXISTING"),SUMIFS('Existing Customers'!$Q:$Q,'Existing Customers'!$A:$A,$ID$1,'Existing Customers'!$H:$H,$IC15)*$ID$4,$ID$3*$IB15),0)</f>
        <v>0</v>
      </c>
      <c r="IE15" s="89">
        <f>IFERROR(IF(AND($ID$2&lt;&gt;"Enter Spend&gt;&gt;&gt;",IE2="EXISTING"),SUMIFS('Existing Customers'!$N:$N,'Existing Customers'!$A:$A,$ID$1,'Existing Customers'!$H:$H,$IC15)*$ID$4,$ID15/$IO15),0)</f>
        <v>0</v>
      </c>
      <c r="IF15" s="95">
        <f>IFERROR(IF(AND($ID$2&lt;&gt;"Enter Spend&gt;&gt;&gt;",IE2="EXISTING"),SUMIFS('Existing Customers'!$O:$O,'Existing Customers'!$H:$H,$IC15,'Existing Customers'!$A:$A,$ID$1)*$ID$4,$IE15*$ID$8),0)</f>
        <v>0</v>
      </c>
      <c r="IG15" s="95">
        <f>IFERROR(IF(AND($ID$2&lt;&gt;"Enter Spend&gt;&gt;&gt;",IE2="EXISTING"),SUMIFS('Existing Customers'!$P:$P,'Existing Customers'!$A:$A,$ID$1,'Existing Customers'!$H:$H,$IC15)*$ID$4,$ID15/$IP15),0)</f>
        <v>0</v>
      </c>
      <c r="IH15" s="402">
        <f>IFERROR(IF(AND($ID$2&lt;&gt;"Enter Spend&gt;&gt;&gt;",IE2="EXISTING"),SUMIFS('Existing Customers'!$V:$V,'Existing Customers'!$H:$H,$IC15,'Existing Customers'!$A:$A,$ID$1)*$ID$4,0),0)</f>
        <v>0</v>
      </c>
      <c r="II15" s="96">
        <f>IFERROR(IF(AND($ID$2&lt;&gt;"Enter Spend&gt;&gt;&gt;",IE2="EXISTING"),SUMIFS('Existing Customers'!$R:$R,'Existing Customers'!$H:$H,$IC15,'Existing Customers'!$A:$A,$ID$1)*$ID$4,0),0)</f>
        <v>0</v>
      </c>
      <c r="IJ15" s="1161">
        <f>IFERROR(IF(AND($ID$2&lt;&gt;"Enter Spend&gt;&gt;&gt;",IE2="EXISTING"),SUMIFS('Existing Customers'!$S:$S,'Existing Customers'!$H:$H,$IC15,'Existing Customers'!$A:$A,$ID$1),IT15*ID15),0)</f>
        <v>0</v>
      </c>
      <c r="IK15" s="1161">
        <f>IFERROR(IF(AND($ID$2&lt;&gt;"Enter Spend&gt;&gt;&gt;",IE2="EXISTING"),SUMIFS('Existing Customers'!$U:$U,'Existing Customers'!$H:$H,$IC15,'Existing Customers'!$A:$A,$ID$1),IU15*ID15),0)</f>
        <v>0</v>
      </c>
      <c r="IL15" s="1164" t="e">
        <f>_xlfn.CONCAT('Customer Inputs'!$AG$14,"_",IC15)</f>
        <v>#N/A</v>
      </c>
      <c r="IM15" s="1164">
        <f t="array" ref="IM15">IFERROR(INDEX('Margin Guidence Table'!$A$1:$AD$30000,MATCH(1,('Margin Guidence Table'!$A$1:$A$10000=IL15)*('Margin Guidence Table'!$I$1:$I$10000&lt;=ROUND($ID$3,0))*('Margin Guidence Table'!$J$1:$J$10000&gt;=ROUND($ID$3,0)),0),MATCH("DATA_POINTS",'Margin Guidence Table'!$A$1:$AG$1,0)),0)</f>
        <v>0</v>
      </c>
      <c r="IN15" s="1161" t="str">
        <f t="shared" ref="IN15:IN34" si="39">IF(IM15&gt;15,"SEGMENT","DEFAULT")</f>
        <v>DEFAULT</v>
      </c>
      <c r="IO15" s="1161">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161">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165">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165">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165">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165">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165">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165">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9"/>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96" t="e">
        <f t="shared" ref="IY15:IY34" si="40">IX15/$IX$35</f>
        <v>#DIV/0!</v>
      </c>
      <c r="IZ15" s="102" t="s">
        <v>103</v>
      </c>
      <c r="JA15" s="94">
        <f>IFERROR(IF(AND($JA$2&lt;&gt;"Enter Spend&gt;&gt;&gt;",JB3="EXISTING"),SUMIFS('Existing Customers'!$Q:$Q,'Existing Customers'!$A:$A,$JA$1,'Existing Customers'!$H:$H,$IZ15)*$JA$4,$JA$3*$IY15),0)</f>
        <v>0</v>
      </c>
      <c r="JB15" s="89">
        <f>IFERROR(IF(AND($JA$2&lt;&gt;"Enter Spend&gt;&gt;&gt;",JB2="EXISTING"),SUMIFS('Existing Customers'!$N:$N,'Existing Customers'!$A:$A,$JA$1,'Existing Customers'!$H:$H,$IZ15)*$JA$4,$JA15/$JL15),0)</f>
        <v>0</v>
      </c>
      <c r="JC15" s="95">
        <f>IFERROR(IF(AND($JA$2&lt;&gt;"Enter Spend&gt;&gt;&gt;",JB2="EXISTING"),SUMIFS('Existing Customers'!$O:$O,'Existing Customers'!$H:$H,$IZ15,'Existing Customers'!$A:$A,$JA$1)*$JA$4,$JB15*$JA$8),0)</f>
        <v>0</v>
      </c>
      <c r="JD15" s="95">
        <f>IFERROR(IF(AND($JA$2&lt;&gt;"Enter Spend&gt;&gt;&gt;",JB2="EXISTING"),SUMIFS('Existing Customers'!$P:$P,'Existing Customers'!$A:$A,$JA$1,'Existing Customers'!$H:$H,$IZ15)*$JA$4,$JA15/$JM15),0)</f>
        <v>0</v>
      </c>
      <c r="JE15" s="402">
        <f>IFERROR(IF(AND($JA$2&lt;&gt;"Enter Spend&gt;&gt;&gt;",JB2="EXISTING"),SUMIFS('Existing Customers'!$V:$V,'Existing Customers'!$H:$H,$IZ15,'Existing Customers'!$A:$A,$JA$1)*$JA$4,0),0)</f>
        <v>0</v>
      </c>
      <c r="JF15" s="96">
        <f>IFERROR(IF(AND($JA$2&lt;&gt;"Enter Spend&gt;&gt;&gt;",JB2="EXISTING"),SUMIFS('Existing Customers'!$R:$R,'Existing Customers'!$H:$H,$IZ15,'Existing Customers'!$A:$A,$JA$1)*$JA$4,0),0)</f>
        <v>0</v>
      </c>
      <c r="JG15" s="1161">
        <f>IFERROR(IF(AND($JA$2&lt;&gt;"Enter Spend&gt;&gt;&gt;",JB2="EXISTING"),SUMIFS('Existing Customers'!$S:$S,'Existing Customers'!$H:$H,$IZ15,'Existing Customers'!$A:$A,$JA$1),JQ15*JA15),0)</f>
        <v>0</v>
      </c>
      <c r="JH15" s="1161">
        <f>IFERROR(IF(AND($JA$2&lt;&gt;"Enter Spend&gt;&gt;&gt;",JB2="EXISTING"),SUMIFS('Existing Customers'!$U:$U,'Existing Customers'!$H:$H,$IZ15,'Existing Customers'!$A:$A,$JA$1),JR15*JA15),0)</f>
        <v>0</v>
      </c>
      <c r="JI15" s="1164" t="e">
        <f>_xlfn.CONCAT('Customer Inputs'!$AG$15,"_",IZ15)</f>
        <v>#N/A</v>
      </c>
      <c r="JJ15" s="1164">
        <f t="array" ref="JJ15">IFERROR(INDEX('Margin Guidence Table'!$A$1:$AD$30000,MATCH(1,('Margin Guidence Table'!$A$1:$A$10000=JI15)*('Margin Guidence Table'!$I$1:$I$10000&lt;=ROUND($JA$3,0))*('Margin Guidence Table'!$J$1:$J$10000&gt;=ROUND($JA$3,0)),0),MATCH("DATA_POINTS",'Margin Guidence Table'!$A$1:$AG$1,0)),0)</f>
        <v>0</v>
      </c>
      <c r="JK15" s="1161" t="str">
        <f t="shared" ref="JK15:JK34" si="41">IF(JJ15&gt;15,"SEGMENT","DEFAULT")</f>
        <v>DEFAULT</v>
      </c>
      <c r="JL15" s="1161">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161">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165">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165">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165">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165">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165">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165">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102" t="s">
        <v>103</v>
      </c>
      <c r="JV15" s="97"/>
      <c r="JW15" s="89"/>
      <c r="JX15" s="89"/>
      <c r="JY15" s="89"/>
      <c r="JZ15" s="114"/>
      <c r="KA15" s="98"/>
      <c r="KB15" s="129"/>
      <c r="KD15" s="102" t="s">
        <v>103</v>
      </c>
      <c r="KE15" s="97"/>
      <c r="KF15" s="89"/>
      <c r="KG15" s="89"/>
      <c r="KH15" s="89"/>
      <c r="KI15" s="114"/>
      <c r="KJ15" s="98"/>
    </row>
    <row r="16" spans="2:296" ht="15.75" thickBot="1" x14ac:dyDescent="0.3">
      <c r="B16" s="102" t="s">
        <v>1445</v>
      </c>
      <c r="C16" s="480">
        <f t="shared" si="7"/>
        <v>0</v>
      </c>
      <c r="D16" s="496">
        <f t="shared" si="8"/>
        <v>0</v>
      </c>
      <c r="E16" s="496">
        <f t="shared" si="9"/>
        <v>0</v>
      </c>
      <c r="F16" s="496">
        <f t="shared" si="10"/>
        <v>0</v>
      </c>
      <c r="G16" s="497">
        <f t="shared" si="11"/>
        <v>0</v>
      </c>
      <c r="H16" s="496">
        <f t="shared" si="12"/>
        <v>0</v>
      </c>
      <c r="I16" s="1157" t="e">
        <f>ROUND(SUM($BB16*BO16+$BY16*CL16+$CV16*DI16+$DS16*EF16+$EP16*FC16+$FM16*FZ16+$GJ16*GW16+$HG16*HT16+$ID16*IQ16+$JA16*JN16)/$C16,2)</f>
        <v>#DIV/0!</v>
      </c>
      <c r="J16" s="1157" t="e">
        <f>ROUND(SUM($BB16*BP16+$BY16*CM16+$CV16*DJ16+$DS16*EG16+$EP16*FD16+$FM16*GA16+$GJ16*GX16+$HG16*HU16+$ID16*IR16+$JA16*JO16)/$C16,2)</f>
        <v>#DIV/0!</v>
      </c>
      <c r="K16" s="1157" t="e">
        <f>ROUND(SUM($BB16*BQ16+$BY16*CN16+$CV16*DK16+$DS16*EH16+$EP16*FE16+$FM16*GB16+$GJ16*GY16+$HG16*HV16+$ID16*IS16+$JA16*JP16)/$C16,2)</f>
        <v>#DIV/0!</v>
      </c>
      <c r="L16" s="496" t="e">
        <f t="shared" si="0"/>
        <v>#DIV/0!</v>
      </c>
      <c r="M16" s="496" t="e">
        <f t="shared" si="13"/>
        <v>#DIV/0!</v>
      </c>
      <c r="N16" s="1158" t="e">
        <f t="shared" si="1"/>
        <v>#DIV/0!</v>
      </c>
      <c r="P16" t="str">
        <f>'PIM Model'!E12</f>
        <v>INCLUDE</v>
      </c>
      <c r="Q16">
        <f t="shared" si="14"/>
        <v>0</v>
      </c>
      <c r="R16">
        <f t="shared" si="15"/>
        <v>0</v>
      </c>
      <c r="S16" s="102" t="s">
        <v>1445</v>
      </c>
      <c r="T16" s="97">
        <f t="shared" si="16"/>
        <v>0</v>
      </c>
      <c r="U16" s="89">
        <f t="shared" si="2"/>
        <v>0</v>
      </c>
      <c r="V16" s="89">
        <f t="shared" si="3"/>
        <v>0</v>
      </c>
      <c r="W16" s="89">
        <f t="shared" si="4"/>
        <v>0</v>
      </c>
      <c r="X16" s="114">
        <f t="shared" si="5"/>
        <v>0</v>
      </c>
      <c r="Y16" s="117">
        <f t="shared" si="17"/>
        <v>0</v>
      </c>
      <c r="Z16" s="400"/>
      <c r="AA16" s="102" t="s">
        <v>1445</v>
      </c>
      <c r="AB16" s="484">
        <f>SUMIFS($BB16:$JF16,$BB$12:$JF$12,AB$12)</f>
        <v>0</v>
      </c>
      <c r="AC16" s="485">
        <f>SUMIFS($BB16:$JF16,$BB$12:$JF$12,AC$12)</f>
        <v>0</v>
      </c>
      <c r="AD16" s="485">
        <f>SUMIFS($BB16:$JF16,$BB$12:$JF$12,AD$12)</f>
        <v>0</v>
      </c>
      <c r="AE16" s="486">
        <f t="shared" si="18"/>
        <v>0</v>
      </c>
      <c r="AF16" s="487">
        <f t="shared" si="19"/>
        <v>0</v>
      </c>
      <c r="AG16" s="400"/>
      <c r="AH16" s="102" t="s">
        <v>1445</v>
      </c>
      <c r="AI16" s="484">
        <f t="shared" si="6"/>
        <v>0</v>
      </c>
      <c r="AJ16" s="481">
        <f t="shared" si="20"/>
        <v>0</v>
      </c>
      <c r="AK16" s="487"/>
      <c r="AL16" s="400"/>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400">
        <f>VLOOKUP($AH16&amp;$AM16,'IMargin Quartiles'!$A:$F,6,FALSE)</f>
        <v>0.09</v>
      </c>
      <c r="AO16" s="400"/>
      <c r="AP16"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Q16" s="400" t="e">
        <f t="shared" si="21"/>
        <v>#DIV/0!</v>
      </c>
      <c r="AR16">
        <f>'PIM Model'!C12</f>
        <v>0</v>
      </c>
      <c r="AS16" s="400"/>
      <c r="AT16" s="400"/>
      <c r="AU16" s="400" t="e">
        <f t="shared" ref="AU16:AU34" si="42">IF($AR16="AVG",IFERROR((AC16+AJ16)/(AB16+AI16),AQ16),(AC16+AJ16)/(AB16+AI16))</f>
        <v>#DIV/0!</v>
      </c>
      <c r="AV16" s="400"/>
      <c r="AW16" s="400"/>
      <c r="AX16" s="108">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96" t="e">
        <f t="shared" si="22"/>
        <v>#DIV/0!</v>
      </c>
      <c r="BA16" s="102" t="s">
        <v>1445</v>
      </c>
      <c r="BB16" s="94">
        <f>IFERROR(IF(AND($BB$2&lt;&gt;"Enter Spend&gt;&gt;&gt;",BC4="EXISTING"),SUMIFS('Existing Customers'!$Q:$Q,'Existing Customers'!$A:$A,$BB$1,'Existing Customers'!$H:$H,$BA16)*$BB$4,$BB$3*$AZ16),0)</f>
        <v>0</v>
      </c>
      <c r="BC16" s="95">
        <f>IFERROR(IF(AND($BB$2&lt;&gt;"Enter Spend&gt;&gt;&gt;",BC2="EXISTING"),SUMIFS('Existing Customers'!$N:$N,'Existing Customers'!$A:$A,$BB$1,'Existing Customers'!$H:$H,$BA16)*$BB$4,$BB16/$BM16),0)</f>
        <v>0</v>
      </c>
      <c r="BD16" s="95">
        <f>IFERROR(IF(AND($BB$2&lt;&gt;"Enter Spend&gt;&gt;&gt;",BC2="EXISTING"),SUMIFS('Existing Customers'!$O:$O,'Existing Customers'!$H:$H,$BA16,'Existing Customers'!$A:$A,$BB$1)*$BB$4,$BC16*$BB$8),0)</f>
        <v>0</v>
      </c>
      <c r="BE16" s="95">
        <f>IFERROR(IF(AND($BB$2&lt;&gt;"Enter Spend&gt;&gt;&gt;",BC2="EXISTING"),SUMIFS('Existing Customers'!$P:$P,'Existing Customers'!$A:$A,$BB$1,'Existing Customers'!$H:$H,$BA16)*$BB$4,$BB16/$BN16),0)</f>
        <v>0</v>
      </c>
      <c r="BF16" s="402">
        <f>IFERROR(IF(AND($BB$2&lt;&gt;"Enter Spend&gt;&gt;&gt;",BC2="EXISTING"),SUMIFS('Existing Customers'!$V:$V,'Existing Customers'!$H:$H,$BA16,'Existing Customers'!$A:$A,$BB$1)*$BB$4,0),0)</f>
        <v>0</v>
      </c>
      <c r="BG16" s="96">
        <f>IFERROR(IF(AND($BB$2&lt;&gt;"Enter Spend&gt;&gt;&gt;",BC2="EXISTING"),SUMIFS('Existing Customers'!$R:$R,'Existing Customers'!$H:$H,$BA16,'Existing Customers'!$A:$A,$BB$1)*$BB$4,0),0)</f>
        <v>0</v>
      </c>
      <c r="BH16" s="96">
        <f>IFERROR(IF(AND($BB$2&lt;&gt;"Enter Spend&gt;&gt;&gt;",BC2="EXISTING"),SUMIFS('Existing Customers'!$S:$S,'Existing Customers'!$H:$H,$BA16,'Existing Customers'!$A:$A,$BB$1),BR16*BB16),0)</f>
        <v>0</v>
      </c>
      <c r="BI16" s="96">
        <f>IFERROR(IF(AND($BB$2&lt;&gt;"Enter Spend&gt;&gt;&gt;",BC2="EXISTING"),SUMIFS('Existing Customers'!$U:$U,'Existing Customers'!$H:$H,$BA16,'Existing Customers'!$A:$A,$BB$1),BS16*BB16),0)</f>
        <v>0</v>
      </c>
      <c r="BJ16" s="1163" t="e">
        <f>_xlfn.CONCAT('Customer Inputs'!$AG$6,"_",BA16)</f>
        <v>#N/A</v>
      </c>
      <c r="BK16" s="1164">
        <f t="array" ref="BK16">IFERROR(INDEX('Margin Guidence Table'!$A$1:$AD$30000,MATCH(1,('Margin Guidence Table'!$A$1:$A$10000=$BJ16)*('Margin Guidence Table'!$I$1:$I$10000&lt;=ROUND($BB$3,0))*('Margin Guidence Table'!$J$1:$J$10000&gt;=ROUND($BB$3,0)),0),MATCH("DATA_POINTS",'Margin Guidence Table'!$A$1:$AG$1,0)),0)</f>
        <v>0</v>
      </c>
      <c r="BL16" s="1161" t="str">
        <f t="shared" si="23"/>
        <v>DEFAULT</v>
      </c>
      <c r="BM16" s="1161">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161">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165">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165">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165">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165">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165">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165">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9"/>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96" t="e">
        <f t="shared" si="24"/>
        <v>#DIV/0!</v>
      </c>
      <c r="BX16" s="102" t="s">
        <v>1445</v>
      </c>
      <c r="BY16" s="94">
        <f>IFERROR(IF(AND($BY$2&lt;&gt;"Enter Spend&gt;&gt;&gt;",BZ4="EXISTING"),SUMIFS('Existing Customers'!$Q:$Q,'Existing Customers'!$A:$A,$BY$1,'Existing Customers'!$H:$H,$BX16)*$BY$4,$BY$3*$BW16),0)</f>
        <v>0</v>
      </c>
      <c r="BZ16" s="89">
        <f>IFERROR(IF(AND($BY$2&lt;&gt;"Enter Spend&gt;&gt;&gt;",BZ2="EXISTING"),SUMIFS('Existing Customers'!$N:$N,'Existing Customers'!$A:$A,$BY$1,'Existing Customers'!$H:$H,$BX16)*$BY$4,$BY16/$CJ16),0)</f>
        <v>0</v>
      </c>
      <c r="CA16" s="95">
        <f>IFERROR(IF(AND($BY$2&lt;&gt;"Enter Spend&gt;&gt;&gt;",BZ2="EXISTING"),SUMIFS('Existing Customers'!$O:$O,'Existing Customers'!$H:$H,$BX16,'Existing Customers'!$A:$A,$BY$1)*$BY$4,$BZ16*$BY$8),0)</f>
        <v>0</v>
      </c>
      <c r="CB16" s="95">
        <f>IFERROR(IF(AND($BY$2&lt;&gt;"Enter Spend&gt;&gt;&gt;",BZ2="EXISTING"),SUMIFS('Existing Customers'!$P:$P,'Existing Customers'!$A:$A,$BY$1,'Existing Customers'!$H:$H,$BX16)*$BY$4,$BY16/$CK16),0)</f>
        <v>0</v>
      </c>
      <c r="CC16" s="96">
        <f>IFERROR(IF(AND($BY$2&lt;&gt;"Enter Spend&gt;&gt;&gt;",BZ2="EXISTING"),SUMIFS('Existing Customers'!$V:$V,'Existing Customers'!$H:$H,$BX16,'Existing Customers'!$A:$A,$BY$1)*$BY$4,0),0)</f>
        <v>0</v>
      </c>
      <c r="CD16" s="96">
        <f>IFERROR(IF(AND($BY$2&lt;&gt;"Enter Spend&gt;&gt;&gt;",BZ2="EXISTING"),SUMIFS('Existing Customers'!$R:$R,'Existing Customers'!$H:$H,$BX16,'Existing Customers'!$A:$A,$BY$1)*$BY$4,0),0)</f>
        <v>0</v>
      </c>
      <c r="CE16" s="1161">
        <f>IFERROR(IF(AND($BY$2&lt;&gt;"Enter Spend&gt;&gt;&gt;",BZ2="EXISTING"),SUMIFS('Existing Customers'!$S:$S,'Existing Customers'!$H:$H,$BX16,'Existing Customers'!$A:$A,$BY$1),CO16*BY16),0)</f>
        <v>0</v>
      </c>
      <c r="CF16" s="1161">
        <f>IFERROR(IF(AND($BY$2&lt;&gt;"Enter Spend&gt;&gt;&gt;",BZ2="EXISTING"),SUMIFS('Existing Customers'!$U:$U,'Existing Customers'!$H:$H,$BX16,'Existing Customers'!$A:$A,$BY$1),CP16*BY16),0)</f>
        <v>0</v>
      </c>
      <c r="CG16" s="1164" t="e">
        <f>_xlfn.CONCAT('Customer Inputs'!$AG$7,"_",BX16)</f>
        <v>#N/A</v>
      </c>
      <c r="CH16" s="1164">
        <f t="array" ref="CH16">IFERROR(INDEX('Margin Guidence Table'!$A$1:$AD$30000,MATCH(1,('Margin Guidence Table'!$A$1:$A$10000=$CG16)*('Margin Guidence Table'!$I$1:$I$10000&lt;=ROUND($BY$3,0))*('Margin Guidence Table'!$J$1:$J$10000&gt;=ROUND($BY$3,0)),0),MATCH("DATA_POINTS",'Margin Guidence Table'!$A$1:$AG$1,0)),0)</f>
        <v>0</v>
      </c>
      <c r="CI16" s="1161" t="str">
        <f t="shared" si="25"/>
        <v>DEFAULT</v>
      </c>
      <c r="CJ16" s="1161">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161">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165">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165">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165">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165">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165">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165">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9"/>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96" t="e">
        <f t="shared" si="26"/>
        <v>#DIV/0!</v>
      </c>
      <c r="CU16" s="102" t="s">
        <v>1445</v>
      </c>
      <c r="CV16" s="94">
        <f>IFERROR(IF(AND($CV$2&lt;&gt;"Enter Spend&gt;&gt;&gt;",CW4="EXISTING"),SUMIFS('Existing Customers'!$Q:$Q,'Existing Customers'!$A:$A,$CV$1,'Existing Customers'!$H:$H,$CU16)*$CV$4,$CV$3*$CT16),0)</f>
        <v>0</v>
      </c>
      <c r="CW16" s="89">
        <f>IFERROR(IF(AND($CV$2&lt;&gt;"Enter Spend&gt;&gt;&gt;",CW2="EXISTING"),SUMIFS('Existing Customers'!$N:$N,'Existing Customers'!$A:$A,$CV$1,'Existing Customers'!$H:$H,$CU16)*$CV$4,$CV16/$DG16),0)</f>
        <v>0</v>
      </c>
      <c r="CX16" s="95">
        <f>IFERROR(IF(AND($CV$2&lt;&gt;"Enter Spend&gt;&gt;&gt;",BC28="EXISTING"),SUMIFS('Existing Customers'!$O:$O,'Existing Customers'!$H:$H,$CU16,'Existing Customers'!$A:$A,$CV$1)*$CV$4,$CW16*$CV$8),0)</f>
        <v>0</v>
      </c>
      <c r="CY16" s="95">
        <f>IFERROR(IF(AND($CV$2&lt;&gt;"Enter Spend&gt;&gt;&gt;",CW2="EXISTING"),SUMIFS('Existing Customers'!$P:$P,'Existing Customers'!$A:$A,$CV$1,'Existing Customers'!$H:$H,$CU16)*$CV$4,$CV16/$DH16),0)</f>
        <v>0</v>
      </c>
      <c r="CZ16" s="96">
        <f>IFERROR(IF(AND($CV$2&lt;&gt;"Enter Spend&gt;&gt;&gt;",CW2="EXISTING"),SUMIFS('Existing Customers'!$V:$V,'Existing Customers'!$H:$H,$CU16,'Existing Customers'!$A:$A,$CV$1)*$CV$4,0),0)</f>
        <v>0</v>
      </c>
      <c r="DA16" s="96">
        <f>IFERROR(IF(AND($CV$2&lt;&gt;"Enter Spend&gt;&gt;&gt;",CW2="EXISTING"),SUMIFS('Existing Customers'!$R:$R,'Existing Customers'!$H:$H,$BA16,'Existing Customers'!$A:$A,$CV$1)*$CV$4,0),0)</f>
        <v>0</v>
      </c>
      <c r="DB16" s="1161">
        <f>IFERROR(IF(AND($CV$2&lt;&gt;"Enter Spend&gt;&gt;&gt;",CW2="EXISTING"),SUMIFS('Existing Customers'!$S:$S,'Existing Customers'!$H:$H,$CU16,'Existing Customers'!$A:$A,$CV$1),DL16*CV16),0)</f>
        <v>0</v>
      </c>
      <c r="DC16" s="1161">
        <f>IFERROR(IF(AND($CV$2&lt;&gt;"Enter Spend&gt;&gt;&gt;",CW2="EXISTING"),SUMIFS('Existing Customers'!$U:$U,'Existing Customers'!$H:$H,$CU16,'Existing Customers'!$A:$A,$CV$1),DM16*CV16),0)</f>
        <v>0</v>
      </c>
      <c r="DD16" s="1164" t="e">
        <f>_xlfn.CONCAT('Customer Inputs'!$AG$8,"_",CU16)</f>
        <v>#N/A</v>
      </c>
      <c r="DE16" s="1164">
        <f t="array" ref="DE16">IFERROR(INDEX('Margin Guidence Table'!$A$1:$AD$30000,MATCH(1,('Margin Guidence Table'!$A$1:$A$10000=DD16)*('Margin Guidence Table'!$I$1:$I$10000&lt;=ROUND($CV$3,0))*('Margin Guidence Table'!$J$1:$J$10000&gt;=ROUND($CV$3,0)),0),MATCH("DATA_POINTS",'Margin Guidence Table'!$A$1:$AG$1,0)),0)</f>
        <v>0</v>
      </c>
      <c r="DF16" s="1161" t="str">
        <f t="shared" si="27"/>
        <v>DEFAULT</v>
      </c>
      <c r="DG16" s="1161">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161">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165">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165">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165">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165">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165">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165">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9"/>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96" t="e">
        <f t="shared" si="28"/>
        <v>#DIV/0!</v>
      </c>
      <c r="DR16" s="102" t="s">
        <v>1445</v>
      </c>
      <c r="DS16" s="94">
        <f>IFERROR(IF(AND($DS$2&lt;&gt;"Enter Spend&gt;&gt;&gt;",DT4="EXISTING"),SUMIFS('Existing Customers'!$Q:$Q,'Existing Customers'!$A:$A,$DS$1,'Existing Customers'!$H:$H,$DR16)*$DS$4,$DS$3*$DQ16),0)</f>
        <v>0</v>
      </c>
      <c r="DT16" s="89">
        <f>IFERROR(IF(AND($DS$2&lt;&gt;"Enter Spend&gt;&gt;&gt;",DT2="EXISTING"),SUMIFS('Existing Customers'!$N:$N,'Existing Customers'!$A:$A,$DS$1,'Existing Customers'!$H:$H,$DR16)*$DS$4,$DS16/$ED16),0)</f>
        <v>0</v>
      </c>
      <c r="DU16" s="95">
        <f>IFERROR(IF(AND($DS$2&lt;&gt;"Enter Spend&gt;&gt;&gt;",DT2="EXISTING"),SUMIFS('Existing Customers'!$O:$O,'Existing Customers'!$H:$H,$DR16,'Existing Customers'!$A:$A,$DS$1)*$DS$4,$DT16*$DS$8),0)</f>
        <v>0</v>
      </c>
      <c r="DV16" s="95">
        <f>IFERROR(IF(AND($DS$2&lt;&gt;"Enter Spend&gt;&gt;&gt;",DT2="EXISTING"),SUMIFS('Existing Customers'!$P:$P,'Existing Customers'!$A:$A,$DS$1,'Existing Customers'!$H:$H,$DR16)*$DS$4,$DS16/$EE16),0)</f>
        <v>0</v>
      </c>
      <c r="DW16" s="96">
        <f>IFERROR(IF(AND($DS$2&lt;&gt;"Enter Spend&gt;&gt;&gt;",EQ2="EXISTING"),SUMIFS('Existing Customers'!$V:$V,'Existing Customers'!$H:$H,$DR16,'Existing Customers'!$A:$A,$DS$1)*$DS$4,0),0)</f>
        <v>0</v>
      </c>
      <c r="DX16" s="96">
        <f>IFERROR(IF(AND($DS$2&lt;&gt;"Enter Spend&gt;&gt;&gt;",DT2="EXISTING"),SUMIFS('Existing Customers'!$R:$R,'Existing Customers'!$H:$H,$DR16,'Existing Customers'!$A:$A,$DS$1)*$DS$4,0),0)</f>
        <v>0</v>
      </c>
      <c r="DY16" s="1161">
        <f>IFERROR(IF(AND($DS$2&lt;&gt;"Enter Spend&gt;&gt;&gt;",DT2="EXISTING"),SUMIFS('Existing Customers'!$S:$S,'Existing Customers'!$H:$H,$DT16,'Existing Customers'!$A:$A,$DS$1),EI16*DS16),0)</f>
        <v>0</v>
      </c>
      <c r="DZ16" s="1161">
        <f>IFERROR(IF(AND($DS$2&lt;&gt;"Enter Spend&gt;&gt;&gt;",DT2="EXISTING"),SUMIFS('Existing Customers'!$U:$U,'Existing Customers'!$H:$H,$DR16,'Existing Customers'!$A:$A,$DS$1),EJ16*DS16),0)</f>
        <v>0</v>
      </c>
      <c r="EA16" s="1164" t="e">
        <f>_xlfn.CONCAT('Customer Inputs'!$AG$9,"_",DR16)</f>
        <v>#N/A</v>
      </c>
      <c r="EB16" s="1164">
        <f t="array" ref="EB16">IFERROR(INDEX('Margin Guidence Table'!$A$1:$AD$30000,MATCH(1,('Margin Guidence Table'!$A$1:$A$10000=EA16)*('Margin Guidence Table'!$I$1:$I$10000&lt;=ROUND($DS$3,0))*('Margin Guidence Table'!$J$1:$J$10000&gt;=ROUND($DS$3,0)),0),MATCH("DATA_POINTS",'Margin Guidence Table'!$A$1:$AG$1,0)),0)</f>
        <v>0</v>
      </c>
      <c r="EC16" s="1161" t="str">
        <f t="shared" si="29"/>
        <v>DEFAULT</v>
      </c>
      <c r="ED16" s="1161">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161">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165">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165">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165">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165">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165">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165">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9"/>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96" t="e">
        <f t="shared" si="30"/>
        <v>#DIV/0!</v>
      </c>
      <c r="EO16" s="102" t="s">
        <v>1445</v>
      </c>
      <c r="EP16" s="94">
        <f>IFERROR(IF(AND($EP$2&lt;&gt;"Enter Spend&gt;&gt;&gt;",EQ4="EXISTING"),SUMIFS('Existing Customers'!$Q:$Q,'Existing Customers'!$A:$A,$EP$1,'Existing Customers'!$H:$H,$EO16)*$EP$4,$EP$3*$EN16),0)</f>
        <v>0</v>
      </c>
      <c r="EQ16" s="89">
        <f>IFERROR(IF(AND($EP$2&lt;&gt;"Enter Spend&gt;&gt;&gt;",EQ2="EXISTING"),SUMIFS('Existing Customers'!$N:$N,'Existing Customers'!$A:$A,$EP$1,'Existing Customers'!$H:$H,$EO16)*$EP$4,$EP16/$FA16),0)</f>
        <v>0</v>
      </c>
      <c r="ER16" s="95">
        <f>IFERROR(IF(AND($EP$2&lt;&gt;"Enter Spend&gt;&gt;&gt;",EQ2="EXISTING"),SUMIFS('Existing Customers'!$O:$O,'Existing Customers'!$H:$H,$EO16,'Existing Customers'!$A:$A,$EP$1)*$EP$4,$EQ16*$EP$8),0)</f>
        <v>0</v>
      </c>
      <c r="ES16" s="95">
        <f>IFERROR(IF(AND($EP$2&lt;&gt;"Enter Spend&gt;&gt;&gt;",EQ2="EXISTING"),SUMIFS('Existing Customers'!$P:$P,'Existing Customers'!$A:$A,$EP$1,'Existing Customers'!$H:$H,$EO16)*$EP$4,$EP16/$FB16),0)</f>
        <v>0</v>
      </c>
      <c r="ET16" s="96">
        <f>IFERROR(IF(AND($EP$2&lt;&gt;"Enter Spend&gt;&gt;&gt;",EQ2="EXISTING"),SUMIFS('Existing Customers'!$V:$V,'Existing Customers'!$H:$H,$EO16,'Existing Customers'!$A:$A,$EP$1)*$EP$4,0),0)</f>
        <v>0</v>
      </c>
      <c r="EU16" s="96">
        <f>IFERROR(IF(AND($EP$2&lt;&gt;"Enter Spend&gt;&gt;&gt;",EQ2="EXISTING"),SUMIFS('Existing Customers'!$R:$R,'Existing Customers'!$H:$H,$EO16,'Existing Customers'!$A:$A,$EP$1)*$EP$4,0),0)</f>
        <v>0</v>
      </c>
      <c r="EV16" s="1161">
        <f>IFERROR(IF(AND($EP$2&lt;&gt;"Enter Spend&gt;&gt;&gt;",EQ2="EXISTING"),SUMIFS('Existing Customers'!$S:$S,'Existing Customers'!$H:$H,$EO16,'Existing Customers'!$A:$A,$EP$1),FF16*EP16),0)</f>
        <v>0</v>
      </c>
      <c r="EW16" s="1161">
        <f>IFERROR(IF(AND($EP$2&lt;&gt;"Enter Spend&gt;&gt;&gt;",EQ2="EXISTING"),SUMIFS('Existing Customers'!$U:$U,'Existing Customers'!$H:$H,$EO16,'Existing Customers'!$A:$A,$EP$1),FG16*EP16),0)</f>
        <v>0</v>
      </c>
      <c r="EX16" s="1164" t="e">
        <f>_xlfn.CONCAT('Customer Inputs'!$AG$10,"_",EO16)</f>
        <v>#N/A</v>
      </c>
      <c r="EY16" s="1164">
        <f t="array" ref="EY16">IFERROR(INDEX('Margin Guidence Table'!$A$1:$AD$30000,MATCH(1,('Margin Guidence Table'!$A$1:$A$10000=EX16)*('Margin Guidence Table'!$I$1:$I$10000&lt;=ROUND($EP$3,0))*('Margin Guidence Table'!$J$1:$J$10000&gt;=ROUND($EP$3,0)),0),MATCH("DATA_POINTS",'Margin Guidence Table'!$A$1:$AG$1,0)),0)</f>
        <v>0</v>
      </c>
      <c r="EZ16" s="1161" t="str">
        <f t="shared" si="31"/>
        <v>DEFAULT</v>
      </c>
      <c r="FA16" s="1161">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161"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165">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165">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165">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165">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165">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165">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9"/>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96" t="e">
        <f t="shared" si="32"/>
        <v>#DIV/0!</v>
      </c>
      <c r="FL16" s="102" t="s">
        <v>1445</v>
      </c>
      <c r="FM16" s="94">
        <f>IFERROR(IF(AND($FM$2&lt;&gt;"Enter Spend&gt;&gt;&gt;",FN4="EXISTING"),SUMIFS('Existing Customers'!$Q:$Q,'Existing Customers'!$A:$A,$FM$1,'Existing Customers'!$H:$H,$FL16)*$FM$4,$FM$3*$FK16),0)</f>
        <v>0</v>
      </c>
      <c r="FN16" s="89">
        <f>IFERROR(IF(AND($FM$2&lt;&gt;"Enter Spend&gt;&gt;&gt;",FN2="EXISTING"),SUMIFS('Existing Customers'!$N:$N,'Existing Customers'!$A:$A,$FM$1,'Existing Customers'!$H:$H,$FL16)*$FM$4,$FM16/$FX16),0)</f>
        <v>0</v>
      </c>
      <c r="FO16" s="95">
        <f>IFERROR(IF(AND($FM$2&lt;&gt;"Enter Spend&gt;&gt;&gt;",FN2="EXISTING"),SUMIFS('Existing Customers'!$O:$O,'Existing Customers'!$H:$H,$FL16,'Existing Customers'!$A:$A,$FM$1)*$FM$4,$FN16*$FM$8),0)</f>
        <v>0</v>
      </c>
      <c r="FP16" s="95">
        <f>IFERROR(IF(AND($FM$2&lt;&gt;"Enter Spend&gt;&gt;&gt;",FN2="EXISTING"),SUMIFS('Existing Customers'!$P:$P,'Existing Customers'!$A:$A,$FM$1,'Existing Customers'!$H:$H,$FL16)*$FM$4,$FM16/$FY16),0)</f>
        <v>0</v>
      </c>
      <c r="FQ16" s="96">
        <f>IFERROR(IF(AND($FM$2&lt;&gt;"Enter Spend&gt;&gt;&gt;",FN2="EXISTING"),SUMIFS('Existing Customers'!$V:$V,'Existing Customers'!$H:$H,$FL16,'Existing Customers'!$A:$A,$FM$1)*$FM$4,0),0)</f>
        <v>0</v>
      </c>
      <c r="FR16" s="96">
        <f>IFERROR(IF(AND($FM$2&lt;&gt;"Enter Spend&gt;&gt;&gt;",FN2="EXISTING"),SUMIFS('Existing Customers'!$R:$R,'Existing Customers'!$H:$H,$FL16,'Existing Customers'!$A:$A,$FM$1)*$FM$4,0),0)</f>
        <v>0</v>
      </c>
      <c r="FS16" s="1161">
        <f>IFERROR(IF(AND($FM$2&lt;&gt;"Enter Spend&gt;&gt;&gt;",FN2="EXISTING"),SUMIFS('Existing Customers'!$S:$S,'Existing Customers'!$H:$H,$FL16,'Existing Customers'!$A:$A,$FM$1),GC16*FM16),0)</f>
        <v>0</v>
      </c>
      <c r="FT16" s="1161">
        <f>IFERROR(IF(AND($FM$2&lt;&gt;"Enter Spend&gt;&gt;&gt;",FN2="EXISTING"),SUMIFS('Existing Customers'!$U:$U,'Existing Customers'!$H:$H,$FL16,'Existing Customers'!$A:$A,$FM$1),GD16*FM16),0)</f>
        <v>0</v>
      </c>
      <c r="FU16" s="1164" t="e">
        <f>_xlfn.CONCAT('Customer Inputs'!$AG$11,"_",FL16)</f>
        <v>#N/A</v>
      </c>
      <c r="FV16" s="1164">
        <f t="array" ref="FV16">IFERROR(INDEX('Margin Guidence Table'!$A$1:$AD$30000,MATCH(1,('Margin Guidence Table'!$A$1:$A$10000=FU16)*('Margin Guidence Table'!$I$1:$I$10000&lt;=ROUND($FM$3,0))*('Margin Guidence Table'!$J$1:$J$10000&gt;=ROUND($FM$3,0)),0),MATCH("DATA_POINTS",'Margin Guidence Table'!$A$1:$AG$1,0)),0)</f>
        <v>0</v>
      </c>
      <c r="FW16" s="1161" t="str">
        <f t="shared" si="33"/>
        <v>DEFAULT</v>
      </c>
      <c r="FX16" s="1161">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161">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165">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165">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165">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165">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165">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165">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9"/>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96" t="e">
        <f t="shared" si="34"/>
        <v>#DIV/0!</v>
      </c>
      <c r="GI16" s="102" t="s">
        <v>1445</v>
      </c>
      <c r="GJ16" s="94">
        <f>IFERROR(IF(AND($GJ$2&lt;&gt;"Enter Spend&gt;&gt;&gt;",GK4="EXISTING"),SUMIFS('Existing Customers'!$Q:$Q,'Existing Customers'!$A:$A,$GJ$1,'Existing Customers'!$H:$H,$GI16)*$GJ$4,$GJ$3*$GH16),0)</f>
        <v>0</v>
      </c>
      <c r="GK16" s="89">
        <f>IFERROR(IF(AND($GJ$2&lt;&gt;"Enter Spend&gt;&gt;&gt;",GK2="EXISTING"),SUMIFS('Existing Customers'!$N:$N,'Existing Customers'!$A:$A,$GJ$1,'Existing Customers'!$H:$H,$GI16)*$GJ$4,$GJ16/$GU16),0)</f>
        <v>0</v>
      </c>
      <c r="GL16" s="95">
        <f>IFERROR(IF(AND($GJ$2&lt;&gt;"Enter Spend&gt;&gt;&gt;",GK2="EXISTING"),SUMIFS('Existing Customers'!$O:$O,'Existing Customers'!$H:$H,$GI16,'Existing Customers'!$A:$A,$GJ$1)*$GJ$4,$GK16*$GJ$8),0)</f>
        <v>0</v>
      </c>
      <c r="GM16" s="95">
        <f>IFERROR(IF(AND($GJ$2&lt;&gt;"Enter Spend&gt;&gt;&gt;",GK2="EXISTING"),SUMIFS('Existing Customers'!$P:$P,'Existing Customers'!$A:$A,$GJ$1,'Existing Customers'!$H:$H,$GI16)*$GJ$4,$GJ16/$GV16),0)</f>
        <v>0</v>
      </c>
      <c r="GN16" s="96">
        <f>IFERROR(IF(AND($GJ$2&lt;&gt;"Enter Spend&gt;&gt;&gt;",GK2="EXISTING"),SUMIFS('Existing Customers'!$V:$V,'Existing Customers'!$H:$H,$GI16,'Existing Customers'!$A:$A,$GJ$1)*$GJ$4,0),0)</f>
        <v>0</v>
      </c>
      <c r="GO16" s="96">
        <f>IFERROR(IF(AND($GJ$2&lt;&gt;"Enter Spend&gt;&gt;&gt;",GK2="EXISTING"),SUMIFS('Existing Customers'!$R:$R,'Existing Customers'!$H:$H,$GI16,'Existing Customers'!$A:$A,$GJ$1)*$GJ$4,0),0)</f>
        <v>0</v>
      </c>
      <c r="GP16" s="1161">
        <f>IFERROR(IF(AND($GJ$2&lt;&gt;"Enter Spend&gt;&gt;&gt;",GK2="EXISTING"),SUMIFS('Existing Customers'!$S:$S,'Existing Customers'!$H:$H,$GI16,'Existing Customers'!$A:$A,$GJ$1),GZ16*GJ16),0)</f>
        <v>0</v>
      </c>
      <c r="GQ16" s="1161">
        <f>IFERROR(IF(AND($GJ$2&lt;&gt;"Enter Spend&gt;&gt;&gt;",GK2="EXISTING"),SUMIFS('Existing Customers'!$U:$U,'Existing Customers'!$H:$H,$GI16,'Existing Customers'!$A:$A,$GJ$1),HA16*GJ16),0)</f>
        <v>0</v>
      </c>
      <c r="GR16" s="1164" t="e">
        <f>_xlfn.CONCAT('Customer Inputs'!$AG$12,"_",GI16)</f>
        <v>#N/A</v>
      </c>
      <c r="GS16" s="1164">
        <f t="array" ref="GS16">IFERROR(INDEX('Margin Guidence Table'!$A$1:$AD$30000,MATCH(1,('Margin Guidence Table'!$A$1:$A$10000=GR16)*('Margin Guidence Table'!$I$1:$I$10000&lt;=ROUND($GJ$3,0))*('Margin Guidence Table'!$J$1:$J$10000&gt;=ROUND($GJ$3,0)),0),MATCH("DATA_POINTS",'Margin Guidence Table'!$A$1:$AG$1,0)),0)</f>
        <v>0</v>
      </c>
      <c r="GT16" s="1161" t="str">
        <f t="shared" si="35"/>
        <v>DEFAULT</v>
      </c>
      <c r="GU16" s="1161">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161">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165">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165">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165">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165">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165">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165">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9"/>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96" t="e">
        <f t="shared" si="36"/>
        <v>#DIV/0!</v>
      </c>
      <c r="HF16" s="102" t="s">
        <v>1445</v>
      </c>
      <c r="HG16" s="94">
        <f>IFERROR(IF(AND($HG$2&lt;&gt;"Enter Spend&gt;&gt;&gt;",HH4="EXISTING"),SUMIFS('Existing Customers'!$Q:$Q,'Existing Customers'!$A:$A,$HG$1,'Existing Customers'!$H:$H,$HF16)*$HG$4,$HG$3*$HE16),0)</f>
        <v>0</v>
      </c>
      <c r="HH16" s="89">
        <f>IFERROR(IF(AND($HG$2&lt;&gt;"Enter Spend&gt;&gt;&gt;",HH2="EXISTING"),SUMIFS('Existing Customers'!$N:$N,'Existing Customers'!$A:$A,$HG$1,'Existing Customers'!$H:$H,$HF16)*$HG$4,$HG16/$HR16),0)</f>
        <v>0</v>
      </c>
      <c r="HI16" s="95">
        <f>IFERROR(IF(AND($HG$2&lt;&gt;"Enter Spend&gt;&gt;&gt;",HH2="EXISTING"),SUMIFS('Existing Customers'!$O:$O,'Existing Customers'!$H:$H,$HF16,'Existing Customers'!$A:$A,$HG$1)*$HG$4,$HH16*$HG$8),0)</f>
        <v>0</v>
      </c>
      <c r="HJ16" s="95">
        <f>IFERROR(IF(AND($HG$2&lt;&gt;"Enter Spend&gt;&gt;&gt;",HH2="EXISTING"),SUMIFS('Existing Customers'!$P:$P,'Existing Customers'!$A:$A,$HG$1,'Existing Customers'!$H:$H,$HF16)*$HG$4,$HG16/$HS16),0)</f>
        <v>0</v>
      </c>
      <c r="HK16" s="96">
        <f>IFERROR(IF(AND($HG$2&lt;&gt;"Enter Spend&gt;&gt;&gt;",HH2="EXISTING"),SUMIFS('Existing Customers'!$V:$V,'Existing Customers'!$H:$H,$HF16,'Existing Customers'!$A:$A,$HG$1)*$HG$4,0),0)</f>
        <v>0</v>
      </c>
      <c r="HL16" s="96">
        <f>IFERROR(IF(AND($HG$2&lt;&gt;"Enter Spend&gt;&gt;&gt;",HH2="EXISTING"),SUMIFS('Existing Customers'!$R:$R,'Existing Customers'!$H:$H,$HF16,'Existing Customers'!$A:$A,$HG$1)*$HG$4,0),0)</f>
        <v>0</v>
      </c>
      <c r="HM16" s="1161">
        <f>IFERROR(IF(AND($HG$2&lt;&gt;"Enter Spend&gt;&gt;&gt;",HH2="EXISTING"),SUMIFS('Existing Customers'!$S:$S,'Existing Customers'!$H:$H,$HF16,'Existing Customers'!$A:$A,$HG$1),HW16*HG16),0)</f>
        <v>0</v>
      </c>
      <c r="HN16" s="1161">
        <f>IFERROR(IF(AND($HG$2&lt;&gt;"Enter Spend&gt;&gt;&gt;",HH2="EXISTING"),SUMIFS('Existing Customers'!$U:$U,'Existing Customers'!$H:$H,$HF16,'Existing Customers'!$A:$A,$HG$1),HX16*HG16),0)</f>
        <v>0</v>
      </c>
      <c r="HO16" s="1164" t="e">
        <f>_xlfn.CONCAT('Customer Inputs'!$AG$13,"_",HF16)</f>
        <v>#N/A</v>
      </c>
      <c r="HP16" s="1164">
        <f t="array" ref="HP16">IFERROR(INDEX('Margin Guidence Table'!$A$1:$AD$30000,MATCH(1,('Margin Guidence Table'!$A$1:$A$10000=HO16)*('Margin Guidence Table'!$I$1:$I$10000&lt;=ROUND($HG$3,0))*('Margin Guidence Table'!$J$1:$J$10000&gt;=ROUND($HG$3,0)),0),MATCH("DATA_POINTS",'Margin Guidence Table'!$A$1:$AG$1,0)),0)</f>
        <v>0</v>
      </c>
      <c r="HQ16" s="1161" t="str">
        <f t="shared" si="37"/>
        <v>DEFAULT</v>
      </c>
      <c r="HR16" s="1161">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161">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165">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165">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165">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165">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165">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165">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9"/>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96" t="e">
        <f t="shared" si="38"/>
        <v>#DIV/0!</v>
      </c>
      <c r="IC16" s="102" t="s">
        <v>1445</v>
      </c>
      <c r="ID16" s="94">
        <f>IFERROR(IF(AND($ID$2&lt;&gt;"Enter Spend&gt;&gt;&gt;",IE4="EXISTING"),SUMIFS('Existing Customers'!$Q:$Q,'Existing Customers'!$A:$A,$ID$1,'Existing Customers'!$H:$H,$IC16)*$ID$4,$ID$3*$IB16),0)</f>
        <v>0</v>
      </c>
      <c r="IE16" s="89">
        <f>IFERROR(IF(AND($ID$2&lt;&gt;"Enter Spend&gt;&gt;&gt;",IE2="EXISTING"),SUMIFS('Existing Customers'!$N:$N,'Existing Customers'!$A:$A,$ID$1,'Existing Customers'!$H:$H,$IC16)*$ID$4,$ID16/$IO16),0)</f>
        <v>0</v>
      </c>
      <c r="IF16" s="95">
        <f>IFERROR(IF(AND($ID$2&lt;&gt;"Enter Spend&gt;&gt;&gt;",IE2="EXISTING"),SUMIFS('Existing Customers'!$O:$O,'Existing Customers'!$H:$H,$IC16,'Existing Customers'!$A:$A,$ID$1)*$ID$4,$IE16*$ID$8),0)</f>
        <v>0</v>
      </c>
      <c r="IG16" s="95">
        <f>IFERROR(IF(AND($ID$2&lt;&gt;"Enter Spend&gt;&gt;&gt;",IE2="EXISTING"),SUMIFS('Existing Customers'!$P:$P,'Existing Customers'!$A:$A,$ID$1,'Existing Customers'!$H:$H,$IC16)*$ID$4,$ID16/$IP16),0)</f>
        <v>0</v>
      </c>
      <c r="IH16" s="402">
        <f>IFERROR(IF(AND($ID$2&lt;&gt;"Enter Spend&gt;&gt;&gt;",IE2="EXISTING"),SUMIFS('Existing Customers'!$V:$V,'Existing Customers'!$H:$H,$IC16,'Existing Customers'!$A:$A,$ID$1)*$ID$4,0),0)</f>
        <v>0</v>
      </c>
      <c r="II16" s="96">
        <f>IFERROR(IF(AND($ID$2&lt;&gt;"Enter Spend&gt;&gt;&gt;",IE2="EXISTING"),SUMIFS('Existing Customers'!$R:$R,'Existing Customers'!$H:$H,$IC16,'Existing Customers'!$A:$A,$ID$1)*$ID$4,0),0)</f>
        <v>0</v>
      </c>
      <c r="IJ16" s="1161">
        <f>IFERROR(IF(AND($ID$2&lt;&gt;"Enter Spend&gt;&gt;&gt;",IE2="EXISTING"),SUMIFS('Existing Customers'!$S:$S,'Existing Customers'!$H:$H,$IC16,'Existing Customers'!$A:$A,$ID$1),IT16*ID16),0)</f>
        <v>0</v>
      </c>
      <c r="IK16" s="1161">
        <f>IFERROR(IF(AND($ID$2&lt;&gt;"Enter Spend&gt;&gt;&gt;",IE2="EXISTING"),SUMIFS('Existing Customers'!$U:$U,'Existing Customers'!$H:$H,$IC16,'Existing Customers'!$A:$A,$ID$1),IU16*ID16),0)</f>
        <v>0</v>
      </c>
      <c r="IL16" s="1164" t="e">
        <f>_xlfn.CONCAT('Customer Inputs'!$AG$14,"_",IC16)</f>
        <v>#N/A</v>
      </c>
      <c r="IM16" s="1164">
        <f t="array" ref="IM16">IFERROR(INDEX('Margin Guidence Table'!$A$1:$AD$30000,MATCH(1,('Margin Guidence Table'!$A$1:$A$10000=IL16)*('Margin Guidence Table'!$I$1:$I$10000&lt;=ROUND($ID$3,0))*('Margin Guidence Table'!$J$1:$J$10000&gt;=ROUND($ID$3,0)),0),MATCH("DATA_POINTS",'Margin Guidence Table'!$A$1:$AG$1,0)),0)</f>
        <v>0</v>
      </c>
      <c r="IN16" s="1161" t="str">
        <f t="shared" si="39"/>
        <v>DEFAULT</v>
      </c>
      <c r="IO16" s="1161">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161">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165">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165">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165">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165">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165">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165">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9"/>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96" t="e">
        <f t="shared" si="40"/>
        <v>#DIV/0!</v>
      </c>
      <c r="IZ16" s="102" t="s">
        <v>1445</v>
      </c>
      <c r="JA16" s="94">
        <f>IFERROR(IF(AND($JA$2&lt;&gt;"Enter Spend&gt;&gt;&gt;",JB4="EXISTING"),SUMIFS('Existing Customers'!$Q:$Q,'Existing Customers'!$A:$A,$JA$1,'Existing Customers'!$H:$H,$IZ16)*$JA$4,$JA$3*$IY16),0)</f>
        <v>0</v>
      </c>
      <c r="JB16" s="89">
        <f>IFERROR(IF(AND($JA$2&lt;&gt;"Enter Spend&gt;&gt;&gt;",JB2="EXISTING"),SUMIFS('Existing Customers'!$N:$N,'Existing Customers'!$A:$A,$JA$1,'Existing Customers'!$H:$H,$IZ16)*$JA$4,$JA16/$JL16),0)</f>
        <v>0</v>
      </c>
      <c r="JC16" s="95">
        <f>IFERROR(IF(AND($JA$2&lt;&gt;"Enter Spend&gt;&gt;&gt;",JB2="EXISTING"),SUMIFS('Existing Customers'!$O:$O,'Existing Customers'!$H:$H,$IZ16,'Existing Customers'!$A:$A,$JA$1)*$JA$4,$JB16*$JA$8),0)</f>
        <v>0</v>
      </c>
      <c r="JD16" s="95">
        <f>IFERROR(IF(AND($JA$2&lt;&gt;"Enter Spend&gt;&gt;&gt;",JB2="EXISTING"),SUMIFS('Existing Customers'!$P:$P,'Existing Customers'!$A:$A,$JA$1,'Existing Customers'!$H:$H,$IZ16)*$JA$4,$JA16/$JM16),0)</f>
        <v>0</v>
      </c>
      <c r="JE16" s="402">
        <f>IFERROR(IF(AND($JA$2&lt;&gt;"Enter Spend&gt;&gt;&gt;",JB2="EXISTING"),SUMIFS('Existing Customers'!$V:$V,'Existing Customers'!$H:$H,$IZ16,'Existing Customers'!$A:$A,$JA$1)*$JA$4,0),0)</f>
        <v>0</v>
      </c>
      <c r="JF16" s="96">
        <f>IFERROR(IF(AND($JA$2&lt;&gt;"Enter Spend&gt;&gt;&gt;",JB2="EXISTING"),SUMIFS('Existing Customers'!$R:$R,'Existing Customers'!$H:$H,$IZ16,'Existing Customers'!$A:$A,$JA$1)*$JA$4,0),0)</f>
        <v>0</v>
      </c>
      <c r="JG16" s="1161">
        <f>IFERROR(IF(AND($JA$2&lt;&gt;"Enter Spend&gt;&gt;&gt;",JB2="EXISTING"),SUMIFS('Existing Customers'!$S:$S,'Existing Customers'!$H:$H,$IZ16,'Existing Customers'!$A:$A,$JA$1),JQ16*JA16),0)</f>
        <v>0</v>
      </c>
      <c r="JH16" s="1161">
        <f>IFERROR(IF(AND($JA$2&lt;&gt;"Enter Spend&gt;&gt;&gt;",JB2="EXISTING"),SUMIFS('Existing Customers'!$U:$U,'Existing Customers'!$H:$H,$IZ16,'Existing Customers'!$A:$A,$JA$1),JR16*JA16),0)</f>
        <v>0</v>
      </c>
      <c r="JI16" s="1164" t="e">
        <f>_xlfn.CONCAT('Customer Inputs'!$AG$15,"_",IZ16)</f>
        <v>#N/A</v>
      </c>
      <c r="JJ16" s="1164">
        <f t="array" ref="JJ16">IFERROR(INDEX('Margin Guidence Table'!$A$1:$AD$30000,MATCH(1,('Margin Guidence Table'!$A$1:$A$10000=JI16)*('Margin Guidence Table'!$I$1:$I$10000&lt;=ROUND($JA$3,0))*('Margin Guidence Table'!$J$1:$J$10000&gt;=ROUND($JA$3,0)),0),MATCH("DATA_POINTS",'Margin Guidence Table'!$A$1:$AG$1,0)),0)</f>
        <v>0</v>
      </c>
      <c r="JK16" s="1161" t="str">
        <f t="shared" si="41"/>
        <v>DEFAULT</v>
      </c>
      <c r="JL16" s="1161">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161">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165">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165">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165">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165">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165">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165">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102" t="s">
        <v>1445</v>
      </c>
      <c r="JV16" s="97"/>
      <c r="JW16" s="89"/>
      <c r="JX16" s="89"/>
      <c r="JY16" s="89"/>
      <c r="JZ16" s="114"/>
      <c r="KA16" s="98"/>
      <c r="KB16" s="129"/>
      <c r="KD16" s="102" t="s">
        <v>1445</v>
      </c>
      <c r="KE16" s="97"/>
      <c r="KF16" s="89"/>
      <c r="KG16" s="89"/>
      <c r="KH16" s="89"/>
      <c r="KI16" s="114"/>
      <c r="KJ16" s="98"/>
    </row>
    <row r="17" spans="2:296" ht="15.75" thickBot="1" x14ac:dyDescent="0.3">
      <c r="B17" s="102" t="s">
        <v>102</v>
      </c>
      <c r="C17" s="480">
        <f t="shared" si="7"/>
        <v>0</v>
      </c>
      <c r="D17" s="496">
        <f t="shared" si="8"/>
        <v>0</v>
      </c>
      <c r="E17" s="496">
        <f t="shared" si="9"/>
        <v>0</v>
      </c>
      <c r="F17" s="496">
        <f t="shared" si="10"/>
        <v>0</v>
      </c>
      <c r="G17" s="497">
        <f t="shared" si="11"/>
        <v>0</v>
      </c>
      <c r="H17" s="496">
        <f t="shared" si="12"/>
        <v>0</v>
      </c>
      <c r="I17" s="1157" t="e">
        <f>ROUND(SUM($BB17*BO17+$BY17*CL17+$CV17*DI17+$DS17*EF17+$EP17*FC17+$FM17*FZ17+$GJ17*GW17+$HG17*HT17+$ID17*IQ17+$JA17*JN17)/$C17,2)</f>
        <v>#DIV/0!</v>
      </c>
      <c r="J17" s="1157" t="e">
        <f>ROUND(SUM($BB17*BP17+$BY17*CM17+$CV17*DJ17+$DS17*EG17+$EP17*FD17+$FM17*GA17+$GJ17*GX17+$HG17*HU17+$ID17*IR17+$JA17*JO17)/$C17,2)</f>
        <v>#DIV/0!</v>
      </c>
      <c r="K17" s="1157" t="e">
        <f>ROUND(SUM($BB17*BQ17+$BY17*CN17+$CV17*DK17+$DS17*EH17+$EP17*FE17+$FM17*GB17+$GJ17*GY17+$HG17*HV17+$ID17*IS17+$JA17*JP17)/$C17,2)</f>
        <v>#DIV/0!</v>
      </c>
      <c r="L17" s="496" t="e">
        <f t="shared" si="0"/>
        <v>#DIV/0!</v>
      </c>
      <c r="M17" s="496" t="e">
        <f t="shared" si="13"/>
        <v>#DIV/0!</v>
      </c>
      <c r="N17" s="1158" t="e">
        <f t="shared" si="1"/>
        <v>#DIV/0!</v>
      </c>
      <c r="P17" t="str">
        <f>'PIM Model'!E13</f>
        <v>INCLUDE</v>
      </c>
      <c r="Q17">
        <f t="shared" si="14"/>
        <v>0</v>
      </c>
      <c r="R17">
        <f t="shared" si="15"/>
        <v>0</v>
      </c>
      <c r="S17" s="102" t="s">
        <v>102</v>
      </c>
      <c r="T17" s="97">
        <f t="shared" si="16"/>
        <v>0</v>
      </c>
      <c r="U17" s="89">
        <f t="shared" si="2"/>
        <v>0</v>
      </c>
      <c r="V17" s="89">
        <f t="shared" si="3"/>
        <v>0</v>
      </c>
      <c r="W17" s="89">
        <f t="shared" si="4"/>
        <v>0</v>
      </c>
      <c r="X17" s="114">
        <f t="shared" si="5"/>
        <v>0</v>
      </c>
      <c r="Y17" s="117">
        <f t="shared" si="17"/>
        <v>0</v>
      </c>
      <c r="Z17" s="400"/>
      <c r="AA17" s="102" t="s">
        <v>102</v>
      </c>
      <c r="AB17" s="484">
        <f>SUMIFS($BB17:$JF17,$BB$12:$JF$12,AB$12)</f>
        <v>0</v>
      </c>
      <c r="AC17" s="485">
        <f>SUMIFS($BB17:$JF17,$BB$12:$JF$12,AC$12)</f>
        <v>0</v>
      </c>
      <c r="AD17" s="485">
        <f>SUMIFS($BB17:$JF17,$BB$12:$JF$12,AD$12)</f>
        <v>0</v>
      </c>
      <c r="AE17" s="486">
        <f t="shared" si="18"/>
        <v>0</v>
      </c>
      <c r="AF17" s="487">
        <f t="shared" si="19"/>
        <v>0</v>
      </c>
      <c r="AG17" s="400"/>
      <c r="AH17" s="102" t="s">
        <v>102</v>
      </c>
      <c r="AI17" s="484">
        <f t="shared" si="6"/>
        <v>0</v>
      </c>
      <c r="AJ17" s="481">
        <f t="shared" si="20"/>
        <v>0</v>
      </c>
      <c r="AK17" s="487"/>
      <c r="AL17" s="400"/>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400">
        <f>VLOOKUP($AH17&amp;$AM17,'IMargin Quartiles'!$A:$F,6,FALSE)</f>
        <v>0.18</v>
      </c>
      <c r="AO17" s="400"/>
      <c r="AP17"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Q17" s="400" t="e">
        <f t="shared" si="21"/>
        <v>#DIV/0!</v>
      </c>
      <c r="AR17">
        <f>'PIM Model'!C13</f>
        <v>0</v>
      </c>
      <c r="AS17" s="400"/>
      <c r="AT17" s="400"/>
      <c r="AU17" s="400" t="e">
        <f t="shared" si="42"/>
        <v>#DIV/0!</v>
      </c>
      <c r="AV17" s="400"/>
      <c r="AW17" s="400"/>
      <c r="AX17" s="108">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96" t="e">
        <f t="shared" si="22"/>
        <v>#DIV/0!</v>
      </c>
      <c r="BA17" s="102" t="s">
        <v>102</v>
      </c>
      <c r="BB17" s="94">
        <f>IFERROR(IF(AND($BB$2&lt;&gt;"Enter Spend&gt;&gt;&gt;",BC5="EXISTING"),SUMIFS('Existing Customers'!$Q:$Q,'Existing Customers'!$A:$A,$BB$1,'Existing Customers'!$H:$H,$BA17)*$BB$4,$BB$3*$AZ17),0)</f>
        <v>0</v>
      </c>
      <c r="BC17" s="95">
        <f>IFERROR(IF(AND($BB$2&lt;&gt;"Enter Spend&gt;&gt;&gt;",BC2="EXISTING"),SUMIFS('Existing Customers'!$N:$N,'Existing Customers'!$A:$A,$BB$1,'Existing Customers'!$H:$H,$BA17)*$BB$4,$BB17/$BM17),0)</f>
        <v>0</v>
      </c>
      <c r="BD17" s="95">
        <f>IFERROR(IF(AND($BB$2&lt;&gt;"Enter Spend&gt;&gt;&gt;",BC2="EXISTING"),SUMIFS('Existing Customers'!$O:$O,'Existing Customers'!$H:$H,$BA17,'Existing Customers'!$A:$A,$BB$1)*$BB$4,$BC17*$BB$8),0)</f>
        <v>0</v>
      </c>
      <c r="BE17" s="95">
        <f>IFERROR(IF(AND($BB$2&lt;&gt;"Enter Spend&gt;&gt;&gt;",BC2="EXISTING"),SUMIFS('Existing Customers'!$P:$P,'Existing Customers'!$A:$A,$BB$1,'Existing Customers'!$H:$H,$BA17)*$BB$4,$BB17/$BN17),0)</f>
        <v>0</v>
      </c>
      <c r="BF17" s="402">
        <f>IFERROR(IF(AND($BB$2&lt;&gt;"Enter Spend&gt;&gt;&gt;",BC2="EXISTING"),SUMIFS('Existing Customers'!$V:$V,'Existing Customers'!$H:$H,$BA17,'Existing Customers'!$A:$A,$BB$1)*$BB$4,0),0)</f>
        <v>0</v>
      </c>
      <c r="BG17" s="96">
        <f>IFERROR(IF(AND($BB$2&lt;&gt;"Enter Spend&gt;&gt;&gt;",BC2="EXISTING"),SUMIFS('Existing Customers'!$R:$R,'Existing Customers'!$H:$H,$BA17,'Existing Customers'!$A:$A,$BB$1)*$BB$4,0),0)</f>
        <v>0</v>
      </c>
      <c r="BH17" s="96">
        <f>IFERROR(IF(AND($BB$2&lt;&gt;"Enter Spend&gt;&gt;&gt;",BC2="EXISTING"),SUMIFS('Existing Customers'!$S:$S,'Existing Customers'!$H:$H,$BA17,'Existing Customers'!$A:$A,$BB$1),BR17*BB17),0)</f>
        <v>0</v>
      </c>
      <c r="BI17" s="96">
        <f>IFERROR(IF(AND($BB$2&lt;&gt;"Enter Spend&gt;&gt;&gt;",BC2="EXISTING"),SUMIFS('Existing Customers'!$U:$U,'Existing Customers'!$H:$H,$BA17,'Existing Customers'!$A:$A,$BB$1),BS17*BB17),0)</f>
        <v>0</v>
      </c>
      <c r="BJ17" s="1163" t="e">
        <f>_xlfn.CONCAT('Customer Inputs'!$AG$6,"_",BA17)</f>
        <v>#N/A</v>
      </c>
      <c r="BK17" s="1164">
        <f t="array" ref="BK17">IFERROR(INDEX('Margin Guidence Table'!$A$1:$AD$30000,MATCH(1,('Margin Guidence Table'!$A$1:$A$10000=$BJ17)*('Margin Guidence Table'!$I$1:$I$10000&lt;=ROUND($BB$3,0))*('Margin Guidence Table'!$J$1:$J$10000&gt;=ROUND($BB$3,0)),0),MATCH("DATA_POINTS",'Margin Guidence Table'!$A$1:$AG$1,0)),0)</f>
        <v>0</v>
      </c>
      <c r="BL17" s="1161" t="str">
        <f t="shared" si="23"/>
        <v>DEFAULT</v>
      </c>
      <c r="BM17" s="1161">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161">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165">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165">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165">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165">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165">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165">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9"/>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96" t="e">
        <f t="shared" si="24"/>
        <v>#DIV/0!</v>
      </c>
      <c r="BX17" s="102" t="s">
        <v>102</v>
      </c>
      <c r="BY17" s="94">
        <f>IFERROR(IF(AND($BY$2&lt;&gt;"Enter Spend&gt;&gt;&gt;",BZ5="EXISTING"),SUMIFS('Existing Customers'!$Q:$Q,'Existing Customers'!$A:$A,$BY$1,'Existing Customers'!$H:$H,$BX17)*$BY$4,$BY$3*$BW17),0)</f>
        <v>0</v>
      </c>
      <c r="BZ17" s="89">
        <f>IFERROR(IF(AND($BY$2&lt;&gt;"Enter Spend&gt;&gt;&gt;",BZ2="EXISTING"),SUMIFS('Existing Customers'!$N:$N,'Existing Customers'!$A:$A,$BY$1,'Existing Customers'!$H:$H,$BX17)*$BY$4,$BY17/$CJ17),0)</f>
        <v>0</v>
      </c>
      <c r="CA17" s="95">
        <f>IFERROR(IF(AND($BY$2&lt;&gt;"Enter Spend&gt;&gt;&gt;",BZ2="EXISTING"),SUMIFS('Existing Customers'!$O:$O,'Existing Customers'!$H:$H,$BX17,'Existing Customers'!$A:$A,$BY$1)*$BY$4,$BZ17*$BY$8),0)</f>
        <v>0</v>
      </c>
      <c r="CB17" s="95">
        <f>IFERROR(IF(AND($BY$2&lt;&gt;"Enter Spend&gt;&gt;&gt;",BZ2="EXISTING"),SUMIFS('Existing Customers'!$P:$P,'Existing Customers'!$A:$A,$BY$1,'Existing Customers'!$H:$H,$BX17)*$BY$4,$BY17/$CK17),0)</f>
        <v>0</v>
      </c>
      <c r="CC17" s="96">
        <f>IFERROR(IF(AND($BY$2&lt;&gt;"Enter Spend&gt;&gt;&gt;",BZ2="EXISTING"),SUMIFS('Existing Customers'!$V:$V,'Existing Customers'!$H:$H,$BX17,'Existing Customers'!$A:$A,$BY$1)*$BY$4,0),0)</f>
        <v>0</v>
      </c>
      <c r="CD17" s="96">
        <f>IFERROR(IF(AND($BY$2&lt;&gt;"Enter Spend&gt;&gt;&gt;",BZ2="EXISTING"),SUMIFS('Existing Customers'!$R:$R,'Existing Customers'!$H:$H,$BX17,'Existing Customers'!$A:$A,$BY$1)*$BY$4,0),0)</f>
        <v>0</v>
      </c>
      <c r="CE17" s="1161">
        <f>IFERROR(IF(AND($BY$2&lt;&gt;"Enter Spend&gt;&gt;&gt;",BZ2="EXISTING"),SUMIFS('Existing Customers'!$S:$S,'Existing Customers'!$H:$H,$BX17,'Existing Customers'!$A:$A,$BY$1),CO17*BY17),0)</f>
        <v>0</v>
      </c>
      <c r="CF17" s="1161">
        <f>IFERROR(IF(AND($BY$2&lt;&gt;"Enter Spend&gt;&gt;&gt;",BZ2="EXISTING"),SUMIFS('Existing Customers'!$U:$U,'Existing Customers'!$H:$H,$BX17,'Existing Customers'!$A:$A,$BY$1),CP17*BY17),0)</f>
        <v>0</v>
      </c>
      <c r="CG17" s="1164" t="e">
        <f>_xlfn.CONCAT('Customer Inputs'!$AG$7,"_",BX17)</f>
        <v>#N/A</v>
      </c>
      <c r="CH17" s="1164">
        <f t="array" ref="CH17">IFERROR(INDEX('Margin Guidence Table'!$A$1:$AD$30000,MATCH(1,('Margin Guidence Table'!$A$1:$A$10000=$CG17)*('Margin Guidence Table'!$I$1:$I$10000&lt;=ROUND($BY$3,0))*('Margin Guidence Table'!$J$1:$J$10000&gt;=ROUND($BY$3,0)),0),MATCH("DATA_POINTS",'Margin Guidence Table'!$A$1:$AG$1,0)),0)</f>
        <v>0</v>
      </c>
      <c r="CI17" s="1161" t="str">
        <f t="shared" si="25"/>
        <v>DEFAULT</v>
      </c>
      <c r="CJ17" s="1161">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161">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165">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165">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165">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165">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165">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165">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9"/>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96" t="e">
        <f t="shared" si="26"/>
        <v>#DIV/0!</v>
      </c>
      <c r="CU17" s="102" t="s">
        <v>102</v>
      </c>
      <c r="CV17" s="94">
        <f>IFERROR(IF(AND($CV$2&lt;&gt;"Enter Spend&gt;&gt;&gt;",CW5="EXISTING"),SUMIFS('Existing Customers'!$Q:$Q,'Existing Customers'!$A:$A,$CV$1,'Existing Customers'!$H:$H,$CU17)*$CV$4,$CV$3*$CT17),0)</f>
        <v>0</v>
      </c>
      <c r="CW17" s="89">
        <f>IFERROR(IF(AND($CV$2&lt;&gt;"Enter Spend&gt;&gt;&gt;",CW2="EXISTING"),SUMIFS('Existing Customers'!$N:$N,'Existing Customers'!$A:$A,$CV$1,'Existing Customers'!$H:$H,$CU17)*$CV$4,$CV17/$DG17),0)</f>
        <v>0</v>
      </c>
      <c r="CX17" s="95">
        <f>IFERROR(IF(AND($CV$2&lt;&gt;"Enter Spend&gt;&gt;&gt;",BC28="EXISTING"),SUMIFS('Existing Customers'!$O:$O,'Existing Customers'!$H:$H,$CU17,'Existing Customers'!$A:$A,$CV$1)*$CV$4,$CW17*$CV$8),0)</f>
        <v>0</v>
      </c>
      <c r="CY17" s="95">
        <f>IFERROR(IF(AND($CV$2&lt;&gt;"Enter Spend&gt;&gt;&gt;",CW2="EXISTING"),SUMIFS('Existing Customers'!$P:$P,'Existing Customers'!$A:$A,$CV$1,'Existing Customers'!$H:$H,$CU17)*$CV$4,$CV17/$DH17),0)</f>
        <v>0</v>
      </c>
      <c r="CZ17" s="96">
        <f>IFERROR(IF(AND($CV$2&lt;&gt;"Enter Spend&gt;&gt;&gt;",CW2="EXISTING"),SUMIFS('Existing Customers'!$V:$V,'Existing Customers'!$H:$H,$CU17,'Existing Customers'!$A:$A,$CV$1)*$CV$4,0),0)</f>
        <v>0</v>
      </c>
      <c r="DA17" s="96">
        <f>IFERROR(IF(AND($CV$2&lt;&gt;"Enter Spend&gt;&gt;&gt;",CW2="EXISTING"),SUMIFS('Existing Customers'!$R:$R,'Existing Customers'!$H:$H,$BA17,'Existing Customers'!$A:$A,$CV$1)*$CV$4,0),0)</f>
        <v>0</v>
      </c>
      <c r="DB17" s="1161">
        <f>IFERROR(IF(AND($CV$2&lt;&gt;"Enter Spend&gt;&gt;&gt;",CW2="EXISTING"),SUMIFS('Existing Customers'!$S:$S,'Existing Customers'!$H:$H,$CU17,'Existing Customers'!$A:$A,$CV$1),DL17*CV17),0)</f>
        <v>0</v>
      </c>
      <c r="DC17" s="1161">
        <f>IFERROR(IF(AND($CV$2&lt;&gt;"Enter Spend&gt;&gt;&gt;",CW2="EXISTING"),SUMIFS('Existing Customers'!$U:$U,'Existing Customers'!$H:$H,$CU17,'Existing Customers'!$A:$A,$CV$1),DM17*CV17),0)</f>
        <v>0</v>
      </c>
      <c r="DD17" s="1164" t="e">
        <f>_xlfn.CONCAT('Customer Inputs'!$AG$8,"_",CU17)</f>
        <v>#N/A</v>
      </c>
      <c r="DE17" s="1164">
        <f t="array" ref="DE17">IFERROR(INDEX('Margin Guidence Table'!$A$1:$AD$30000,MATCH(1,('Margin Guidence Table'!$A$1:$A$10000=DD17)*('Margin Guidence Table'!$I$1:$I$10000&lt;=ROUND($CV$3,0))*('Margin Guidence Table'!$J$1:$J$10000&gt;=ROUND($CV$3,0)),0),MATCH("DATA_POINTS",'Margin Guidence Table'!$A$1:$AG$1,0)),0)</f>
        <v>0</v>
      </c>
      <c r="DF17" s="1161" t="str">
        <f t="shared" si="27"/>
        <v>DEFAULT</v>
      </c>
      <c r="DG17" s="1161">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161">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165">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165">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165">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165">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165">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165">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9"/>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96" t="e">
        <f t="shared" si="28"/>
        <v>#DIV/0!</v>
      </c>
      <c r="DR17" s="102" t="s">
        <v>102</v>
      </c>
      <c r="DS17" s="94">
        <f>IFERROR(IF(AND($DS$2&lt;&gt;"Enter Spend&gt;&gt;&gt;",DT5="EXISTING"),SUMIFS('Existing Customers'!$Q:$Q,'Existing Customers'!$A:$A,$DS$1,'Existing Customers'!$H:$H,$DR17)*$DS$4,$DS$3*$DQ17),0)</f>
        <v>0</v>
      </c>
      <c r="DT17" s="89">
        <f>IFERROR(IF(AND($DS$2&lt;&gt;"Enter Spend&gt;&gt;&gt;",DT2="EXISTING"),SUMIFS('Existing Customers'!$N:$N,'Existing Customers'!$A:$A,$DS$1,'Existing Customers'!$H:$H,$DR17)*$DS$4,$DS17/$ED17),0)</f>
        <v>0</v>
      </c>
      <c r="DU17" s="95">
        <f>IFERROR(IF(AND($DS$2&lt;&gt;"Enter Spend&gt;&gt;&gt;",DT2="EXISTING"),SUMIFS('Existing Customers'!$O:$O,'Existing Customers'!$H:$H,$DR17,'Existing Customers'!$A:$A,$DS$1)*$DS$4,$DT17*$DS$8),0)</f>
        <v>0</v>
      </c>
      <c r="DV17" s="95">
        <f>IFERROR(IF(AND($DS$2&lt;&gt;"Enter Spend&gt;&gt;&gt;",DT2="EXISTING"),SUMIFS('Existing Customers'!$P:$P,'Existing Customers'!$A:$A,$DS$1,'Existing Customers'!$H:$H,$DR17)*$DS$4,$DS17/$EE17),0)</f>
        <v>0</v>
      </c>
      <c r="DW17" s="96">
        <f>IFERROR(IF(AND($DS$2&lt;&gt;"Enter Spend&gt;&gt;&gt;",EQ2="EXISTING"),SUMIFS('Existing Customers'!$V:$V,'Existing Customers'!$H:$H,$DR17,'Existing Customers'!$A:$A,$DS$1)*$DS$4,0),0)</f>
        <v>0</v>
      </c>
      <c r="DX17" s="96">
        <f>IFERROR(IF(AND($DS$2&lt;&gt;"Enter Spend&gt;&gt;&gt;",DT2="EXISTING"),SUMIFS('Existing Customers'!$R:$R,'Existing Customers'!$H:$H,$DR17,'Existing Customers'!$A:$A,$DS$1)*$DS$4,0),0)</f>
        <v>0</v>
      </c>
      <c r="DY17" s="1161">
        <f>IFERROR(IF(AND($DS$2&lt;&gt;"Enter Spend&gt;&gt;&gt;",DT2="EXISTING"),SUMIFS('Existing Customers'!$S:$S,'Existing Customers'!$H:$H,$DT17,'Existing Customers'!$A:$A,$DS$1),EI17*DS17),0)</f>
        <v>0</v>
      </c>
      <c r="DZ17" s="1161">
        <f>IFERROR(IF(AND($DS$2&lt;&gt;"Enter Spend&gt;&gt;&gt;",DT2="EXISTING"),SUMIFS('Existing Customers'!$U:$U,'Existing Customers'!$H:$H,$DR17,'Existing Customers'!$A:$A,$DS$1),EJ17*DS17),0)</f>
        <v>0</v>
      </c>
      <c r="EA17" s="1164" t="e">
        <f>_xlfn.CONCAT('Customer Inputs'!$AG$9,"_",DR17)</f>
        <v>#N/A</v>
      </c>
      <c r="EB17" s="1164">
        <f t="array" ref="EB17">IFERROR(INDEX('Margin Guidence Table'!$A$1:$AD$30000,MATCH(1,('Margin Guidence Table'!$A$1:$A$10000=EA17)*('Margin Guidence Table'!$I$1:$I$10000&lt;=ROUND($DS$3,0))*('Margin Guidence Table'!$J$1:$J$10000&gt;=ROUND($DS$3,0)),0),MATCH("DATA_POINTS",'Margin Guidence Table'!$A$1:$AG$1,0)),0)</f>
        <v>0</v>
      </c>
      <c r="EC17" s="1161" t="str">
        <f t="shared" si="29"/>
        <v>DEFAULT</v>
      </c>
      <c r="ED17" s="1161">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161">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165">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165">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165">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165">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165">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165">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9"/>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96" t="e">
        <f t="shared" si="30"/>
        <v>#DIV/0!</v>
      </c>
      <c r="EO17" s="102" t="s">
        <v>102</v>
      </c>
      <c r="EP17" s="94">
        <f>IFERROR(IF(AND($EP$2&lt;&gt;"Enter Spend&gt;&gt;&gt;",EQ5="EXISTING"),SUMIFS('Existing Customers'!$Q:$Q,'Existing Customers'!$A:$A,$EP$1,'Existing Customers'!$H:$H,$EO17)*$EP$4,$EP$3*$EN17),0)</f>
        <v>0</v>
      </c>
      <c r="EQ17" s="89">
        <f>IFERROR(IF(AND($EP$2&lt;&gt;"Enter Spend&gt;&gt;&gt;",EQ2="EXISTING"),SUMIFS('Existing Customers'!$N:$N,'Existing Customers'!$A:$A,$EP$1,'Existing Customers'!$H:$H,$EO17)*$EP$4,$EP17/$FA17),0)</f>
        <v>0</v>
      </c>
      <c r="ER17" s="95">
        <f>IFERROR(IF(AND($EP$2&lt;&gt;"Enter Spend&gt;&gt;&gt;",EQ2="EXISTING"),SUMIFS('Existing Customers'!$O:$O,'Existing Customers'!$H:$H,$EO17,'Existing Customers'!$A:$A,$EP$1)*$EP$4,$EQ17*$EP$8),0)</f>
        <v>0</v>
      </c>
      <c r="ES17" s="95">
        <f>IFERROR(IF(AND($EP$2&lt;&gt;"Enter Spend&gt;&gt;&gt;",EQ2="EXISTING"),SUMIFS('Existing Customers'!$P:$P,'Existing Customers'!$A:$A,$EP$1,'Existing Customers'!$H:$H,$EO17)*$EP$4,$EP17/$FB17),0)</f>
        <v>0</v>
      </c>
      <c r="ET17" s="96">
        <f>IFERROR(IF(AND($EP$2&lt;&gt;"Enter Spend&gt;&gt;&gt;",EQ2="EXISTING"),SUMIFS('Existing Customers'!$V:$V,'Existing Customers'!$H:$H,$EO17,'Existing Customers'!$A:$A,$EP$1)*$EP$4,0),0)</f>
        <v>0</v>
      </c>
      <c r="EU17" s="96">
        <f>IFERROR(IF(AND($EP$2&lt;&gt;"Enter Spend&gt;&gt;&gt;",EQ2="EXISTING"),SUMIFS('Existing Customers'!$R:$R,'Existing Customers'!$H:$H,$EO17,'Existing Customers'!$A:$A,$EP$1)*$EP$4,0),0)</f>
        <v>0</v>
      </c>
      <c r="EV17" s="1161">
        <f>IFERROR(IF(AND($EP$2&lt;&gt;"Enter Spend&gt;&gt;&gt;",EQ2="EXISTING"),SUMIFS('Existing Customers'!$S:$S,'Existing Customers'!$H:$H,$EO17,'Existing Customers'!$A:$A,$EP$1),FF17*EP17),0)</f>
        <v>0</v>
      </c>
      <c r="EW17" s="1161">
        <f>IFERROR(IF(AND($EP$2&lt;&gt;"Enter Spend&gt;&gt;&gt;",EQ2="EXISTING"),SUMIFS('Existing Customers'!$U:$U,'Existing Customers'!$H:$H,$EO17,'Existing Customers'!$A:$A,$EP$1),FG17*EP17),0)</f>
        <v>0</v>
      </c>
      <c r="EX17" s="1164" t="e">
        <f>_xlfn.CONCAT('Customer Inputs'!$AG$10,"_",EO17)</f>
        <v>#N/A</v>
      </c>
      <c r="EY17" s="1164">
        <f t="array" ref="EY17">IFERROR(INDEX('Margin Guidence Table'!$A$1:$AD$30000,MATCH(1,('Margin Guidence Table'!$A$1:$A$10000=EX17)*('Margin Guidence Table'!$I$1:$I$10000&lt;=ROUND($EP$3,0))*('Margin Guidence Table'!$J$1:$J$10000&gt;=ROUND($EP$3,0)),0),MATCH("DATA_POINTS",'Margin Guidence Table'!$A$1:$AG$1,0)),0)</f>
        <v>0</v>
      </c>
      <c r="EZ17" s="1161" t="str">
        <f t="shared" si="31"/>
        <v>DEFAULT</v>
      </c>
      <c r="FA17" s="1161">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161"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165">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165">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165">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165">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165">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165">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9"/>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96" t="e">
        <f t="shared" si="32"/>
        <v>#DIV/0!</v>
      </c>
      <c r="FL17" s="102" t="s">
        <v>102</v>
      </c>
      <c r="FM17" s="94">
        <f>IFERROR(IF(AND($FM$2&lt;&gt;"Enter Spend&gt;&gt;&gt;",FN5="EXISTING"),SUMIFS('Existing Customers'!$Q:$Q,'Existing Customers'!$A:$A,$FM$1,'Existing Customers'!$H:$H,$FL17)*$FM$4,$FM$3*$FK17),0)</f>
        <v>0</v>
      </c>
      <c r="FN17" s="89">
        <f>IFERROR(IF(AND($FM$2&lt;&gt;"Enter Spend&gt;&gt;&gt;",FN2="EXISTING"),SUMIFS('Existing Customers'!$N:$N,'Existing Customers'!$A:$A,$FM$1,'Existing Customers'!$H:$H,$FL17)*$FM$4,$FM17/$FX17),0)</f>
        <v>0</v>
      </c>
      <c r="FO17" s="95">
        <f>IFERROR(IF(AND($FM$2&lt;&gt;"Enter Spend&gt;&gt;&gt;",FN2="EXISTING"),SUMIFS('Existing Customers'!$O:$O,'Existing Customers'!$H:$H,$FL17,'Existing Customers'!$A:$A,$FM$1)*$FM$4,$FN17*$FM$8),0)</f>
        <v>0</v>
      </c>
      <c r="FP17" s="95">
        <f>IFERROR(IF(AND($FM$2&lt;&gt;"Enter Spend&gt;&gt;&gt;",FN2="EXISTING"),SUMIFS('Existing Customers'!$P:$P,'Existing Customers'!$A:$A,$FM$1,'Existing Customers'!$H:$H,$FL17)*$FM$4,$FM17/$FY17),0)</f>
        <v>0</v>
      </c>
      <c r="FQ17" s="96">
        <f>IFERROR(IF(AND($FM$2&lt;&gt;"Enter Spend&gt;&gt;&gt;",FN2="EXISTING"),SUMIFS('Existing Customers'!$V:$V,'Existing Customers'!$H:$H,$FL17,'Existing Customers'!$A:$A,$FM$1)*$FM$4,0),0)</f>
        <v>0</v>
      </c>
      <c r="FR17" s="96">
        <f>IFERROR(IF(AND($FM$2&lt;&gt;"Enter Spend&gt;&gt;&gt;",FN2="EXISTING"),SUMIFS('Existing Customers'!$R:$R,'Existing Customers'!$H:$H,$FL17,'Existing Customers'!$A:$A,$FM$1)*$FM$4,0),0)</f>
        <v>0</v>
      </c>
      <c r="FS17" s="1161">
        <f>IFERROR(IF(AND($FM$2&lt;&gt;"Enter Spend&gt;&gt;&gt;",FN2="EXISTING"),SUMIFS('Existing Customers'!$S:$S,'Existing Customers'!$H:$H,$FL17,'Existing Customers'!$A:$A,$FM$1),GC17*FM17),0)</f>
        <v>0</v>
      </c>
      <c r="FT17" s="1161">
        <f>IFERROR(IF(AND($FM$2&lt;&gt;"Enter Spend&gt;&gt;&gt;",FN2="EXISTING"),SUMIFS('Existing Customers'!$U:$U,'Existing Customers'!$H:$H,$FL17,'Existing Customers'!$A:$A,$FM$1),GD17*FM17),0)</f>
        <v>0</v>
      </c>
      <c r="FU17" s="1164" t="e">
        <f>_xlfn.CONCAT('Customer Inputs'!$AG$11,"_",FL17)</f>
        <v>#N/A</v>
      </c>
      <c r="FV17" s="1164">
        <f t="array" ref="FV17">IFERROR(INDEX('Margin Guidence Table'!$A$1:$AD$30000,MATCH(1,('Margin Guidence Table'!$A$1:$A$10000=FU17)*('Margin Guidence Table'!$I$1:$I$10000&lt;=ROUND($FM$3,0))*('Margin Guidence Table'!$J$1:$J$10000&gt;=ROUND($FM$3,0)),0),MATCH("DATA_POINTS",'Margin Guidence Table'!$A$1:$AG$1,0)),0)</f>
        <v>0</v>
      </c>
      <c r="FW17" s="1161" t="str">
        <f t="shared" si="33"/>
        <v>DEFAULT</v>
      </c>
      <c r="FX17" s="1161">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161">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165">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165">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165">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165">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165">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165">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9"/>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96" t="e">
        <f t="shared" si="34"/>
        <v>#DIV/0!</v>
      </c>
      <c r="GI17" s="102" t="s">
        <v>102</v>
      </c>
      <c r="GJ17" s="94">
        <f>IFERROR(IF(AND($GJ$2&lt;&gt;"Enter Spend&gt;&gt;&gt;",GK5="EXISTING"),SUMIFS('Existing Customers'!$Q:$Q,'Existing Customers'!$A:$A,$GJ$1,'Existing Customers'!$H:$H,$GI17)*$GJ$4,$GJ$3*$GH17),0)</f>
        <v>0</v>
      </c>
      <c r="GK17" s="89">
        <f>IFERROR(IF(AND($GJ$2&lt;&gt;"Enter Spend&gt;&gt;&gt;",GK2="EXISTING"),SUMIFS('Existing Customers'!$N:$N,'Existing Customers'!$A:$A,$GJ$1,'Existing Customers'!$H:$H,$GI17)*$GJ$4,$GJ17/$GU17),0)</f>
        <v>0</v>
      </c>
      <c r="GL17" s="95">
        <f>IFERROR(IF(AND($GJ$2&lt;&gt;"Enter Spend&gt;&gt;&gt;",GK2="EXISTING"),SUMIFS('Existing Customers'!$O:$O,'Existing Customers'!$H:$H,$GI17,'Existing Customers'!$A:$A,$GJ$1)*$GJ$4,$GK17*$GJ$8),0)</f>
        <v>0</v>
      </c>
      <c r="GM17" s="95">
        <f>IFERROR(IF(AND($GJ$2&lt;&gt;"Enter Spend&gt;&gt;&gt;",GK2="EXISTING"),SUMIFS('Existing Customers'!$P:$P,'Existing Customers'!$A:$A,$GJ$1,'Existing Customers'!$H:$H,$GI17)*$GJ$4,$GJ17/$GV17),0)</f>
        <v>0</v>
      </c>
      <c r="GN17" s="96">
        <f>IFERROR(IF(AND($GJ$2&lt;&gt;"Enter Spend&gt;&gt;&gt;",GK2="EXISTING"),SUMIFS('Existing Customers'!$V:$V,'Existing Customers'!$H:$H,$GI17,'Existing Customers'!$A:$A,$GJ$1)*$GJ$4,0),0)</f>
        <v>0</v>
      </c>
      <c r="GO17" s="96">
        <f>IFERROR(IF(AND($GJ$2&lt;&gt;"Enter Spend&gt;&gt;&gt;",GK2="EXISTING"),SUMIFS('Existing Customers'!$R:$R,'Existing Customers'!$H:$H,$GI17,'Existing Customers'!$A:$A,$GJ$1)*$GJ$4,0),0)</f>
        <v>0</v>
      </c>
      <c r="GP17" s="1161">
        <f>IFERROR(IF(AND($GJ$2&lt;&gt;"Enter Spend&gt;&gt;&gt;",GK2="EXISTING"),SUMIFS('Existing Customers'!$S:$S,'Existing Customers'!$H:$H,$GI17,'Existing Customers'!$A:$A,$GJ$1),GZ17*GJ17),0)</f>
        <v>0</v>
      </c>
      <c r="GQ17" s="1161">
        <f>IFERROR(IF(AND($GJ$2&lt;&gt;"Enter Spend&gt;&gt;&gt;",GK2="EXISTING"),SUMIFS('Existing Customers'!$U:$U,'Existing Customers'!$H:$H,$GI17,'Existing Customers'!$A:$A,$GJ$1),HA17*GJ17),0)</f>
        <v>0</v>
      </c>
      <c r="GR17" s="1164" t="e">
        <f>_xlfn.CONCAT('Customer Inputs'!$AG$12,"_",GI17)</f>
        <v>#N/A</v>
      </c>
      <c r="GS17" s="1164">
        <f t="array" ref="GS17">IFERROR(INDEX('Margin Guidence Table'!$A$1:$AD$30000,MATCH(1,('Margin Guidence Table'!$A$1:$A$10000=GR17)*('Margin Guidence Table'!$I$1:$I$10000&lt;=ROUND($GJ$3,0))*('Margin Guidence Table'!$J$1:$J$10000&gt;=ROUND($GJ$3,0)),0),MATCH("DATA_POINTS",'Margin Guidence Table'!$A$1:$AG$1,0)),0)</f>
        <v>0</v>
      </c>
      <c r="GT17" s="1161" t="str">
        <f t="shared" si="35"/>
        <v>DEFAULT</v>
      </c>
      <c r="GU17" s="1161">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161">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165">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165">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165">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165">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165">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165">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9"/>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96" t="e">
        <f t="shared" si="36"/>
        <v>#DIV/0!</v>
      </c>
      <c r="HF17" s="102" t="s">
        <v>102</v>
      </c>
      <c r="HG17" s="94">
        <f>IFERROR(IF(AND($HG$2&lt;&gt;"Enter Spend&gt;&gt;&gt;",HH5="EXISTING"),SUMIFS('Existing Customers'!$Q:$Q,'Existing Customers'!$A:$A,$HG$1,'Existing Customers'!$H:$H,$HF17)*$HG$4,$HG$3*$HE17),0)</f>
        <v>0</v>
      </c>
      <c r="HH17" s="89">
        <f>IFERROR(IF(AND($HG$2&lt;&gt;"Enter Spend&gt;&gt;&gt;",HH2="EXISTING"),SUMIFS('Existing Customers'!$N:$N,'Existing Customers'!$A:$A,$HG$1,'Existing Customers'!$H:$H,$HF17)*$HG$4,$HG17/$HR17),0)</f>
        <v>0</v>
      </c>
      <c r="HI17" s="95">
        <f>IFERROR(IF(AND($HG$2&lt;&gt;"Enter Spend&gt;&gt;&gt;",HH2="EXISTING"),SUMIFS('Existing Customers'!$O:$O,'Existing Customers'!$H:$H,$HF17,'Existing Customers'!$A:$A,$HG$1)*$HG$4,$HH17*$HG$8),0)</f>
        <v>0</v>
      </c>
      <c r="HJ17" s="95">
        <f>IFERROR(IF(AND($HG$2&lt;&gt;"Enter Spend&gt;&gt;&gt;",HH2="EXISTING"),SUMIFS('Existing Customers'!$P:$P,'Existing Customers'!$A:$A,$HG$1,'Existing Customers'!$H:$H,$HF17)*$HG$4,$HG17/$HS17),0)</f>
        <v>0</v>
      </c>
      <c r="HK17" s="96">
        <f>IFERROR(IF(AND($HG$2&lt;&gt;"Enter Spend&gt;&gt;&gt;",HH2="EXISTING"),SUMIFS('Existing Customers'!$V:$V,'Existing Customers'!$H:$H,$HF17,'Existing Customers'!$A:$A,$HG$1)*$HG$4,0),0)</f>
        <v>0</v>
      </c>
      <c r="HL17" s="96">
        <f>IFERROR(IF(AND($HG$2&lt;&gt;"Enter Spend&gt;&gt;&gt;",HH2="EXISTING"),SUMIFS('Existing Customers'!$R:$R,'Existing Customers'!$H:$H,$HF17,'Existing Customers'!$A:$A,$HG$1)*$HG$4,0),0)</f>
        <v>0</v>
      </c>
      <c r="HM17" s="1161">
        <f>IFERROR(IF(AND($HG$2&lt;&gt;"Enter Spend&gt;&gt;&gt;",HH2="EXISTING"),SUMIFS('Existing Customers'!$S:$S,'Existing Customers'!$H:$H,$HF17,'Existing Customers'!$A:$A,$HG$1),HW17*HG17),0)</f>
        <v>0</v>
      </c>
      <c r="HN17" s="1161">
        <f>IFERROR(IF(AND($HG$2&lt;&gt;"Enter Spend&gt;&gt;&gt;",HH2="EXISTING"),SUMIFS('Existing Customers'!$U:$U,'Existing Customers'!$H:$H,$HF17,'Existing Customers'!$A:$A,$HG$1),HX17*HG17),0)</f>
        <v>0</v>
      </c>
      <c r="HO17" s="1164" t="e">
        <f>_xlfn.CONCAT('Customer Inputs'!$AG$13,"_",HF17)</f>
        <v>#N/A</v>
      </c>
      <c r="HP17" s="1164">
        <f t="array" ref="HP17">IFERROR(INDEX('Margin Guidence Table'!$A$1:$AD$30000,MATCH(1,('Margin Guidence Table'!$A$1:$A$10000=HO17)*('Margin Guidence Table'!$I$1:$I$10000&lt;=ROUND($HG$3,0))*('Margin Guidence Table'!$J$1:$J$10000&gt;=ROUND($HG$3,0)),0),MATCH("DATA_POINTS",'Margin Guidence Table'!$A$1:$AG$1,0)),0)</f>
        <v>0</v>
      </c>
      <c r="HQ17" s="1161" t="str">
        <f t="shared" si="37"/>
        <v>DEFAULT</v>
      </c>
      <c r="HR17" s="1161">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161">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165">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165">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165">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165">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165">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165">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9"/>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96" t="e">
        <f t="shared" si="38"/>
        <v>#DIV/0!</v>
      </c>
      <c r="IC17" s="102" t="s">
        <v>102</v>
      </c>
      <c r="ID17" s="94">
        <f>IFERROR(IF(AND($ID$2&lt;&gt;"Enter Spend&gt;&gt;&gt;",IE5="EXISTING"),SUMIFS('Existing Customers'!$Q:$Q,'Existing Customers'!$A:$A,$ID$1,'Existing Customers'!$H:$H,$IC17)*$ID$4,$ID$3*$IB17),0)</f>
        <v>0</v>
      </c>
      <c r="IE17" s="89">
        <f>IFERROR(IF(AND($ID$2&lt;&gt;"Enter Spend&gt;&gt;&gt;",IE2="EXISTING"),SUMIFS('Existing Customers'!$N:$N,'Existing Customers'!$A:$A,$ID$1,'Existing Customers'!$H:$H,$IC17)*$ID$4,$ID17/$IO17),0)</f>
        <v>0</v>
      </c>
      <c r="IF17" s="95">
        <f>IFERROR(IF(AND($ID$2&lt;&gt;"Enter Spend&gt;&gt;&gt;",IE2="EXISTING"),SUMIFS('Existing Customers'!$O:$O,'Existing Customers'!$H:$H,$IC17,'Existing Customers'!$A:$A,$ID$1)*$ID$4,$IE17*$ID$8),0)</f>
        <v>0</v>
      </c>
      <c r="IG17" s="95">
        <f>IFERROR(IF(AND($ID$2&lt;&gt;"Enter Spend&gt;&gt;&gt;",IE2="EXISTING"),SUMIFS('Existing Customers'!$P:$P,'Existing Customers'!$A:$A,$ID$1,'Existing Customers'!$H:$H,$IC17)*$ID$4,$ID17/$IP17),0)</f>
        <v>0</v>
      </c>
      <c r="IH17" s="402">
        <f>IFERROR(IF(AND($ID$2&lt;&gt;"Enter Spend&gt;&gt;&gt;",IE2="EXISTING"),SUMIFS('Existing Customers'!$V:$V,'Existing Customers'!$H:$H,$IC17,'Existing Customers'!$A:$A,$ID$1)*$ID$4,0),0)</f>
        <v>0</v>
      </c>
      <c r="II17" s="96">
        <f>IFERROR(IF(AND($ID$2&lt;&gt;"Enter Spend&gt;&gt;&gt;",IE2="EXISTING"),SUMIFS('Existing Customers'!$R:$R,'Existing Customers'!$H:$H,$IC17,'Existing Customers'!$A:$A,$ID$1)*$ID$4,0),0)</f>
        <v>0</v>
      </c>
      <c r="IJ17" s="1161">
        <f>IFERROR(IF(AND($ID$2&lt;&gt;"Enter Spend&gt;&gt;&gt;",IE2="EXISTING"),SUMIFS('Existing Customers'!$S:$S,'Existing Customers'!$H:$H,$IC17,'Existing Customers'!$A:$A,$ID$1),IT17*ID17),0)</f>
        <v>0</v>
      </c>
      <c r="IK17" s="1161">
        <f>IFERROR(IF(AND($ID$2&lt;&gt;"Enter Spend&gt;&gt;&gt;",IE2="EXISTING"),SUMIFS('Existing Customers'!$U:$U,'Existing Customers'!$H:$H,$IC17,'Existing Customers'!$A:$A,$ID$1),IU17*ID17),0)</f>
        <v>0</v>
      </c>
      <c r="IL17" s="1164" t="e">
        <f>_xlfn.CONCAT('Customer Inputs'!$AG$14,"_",IC17)</f>
        <v>#N/A</v>
      </c>
      <c r="IM17" s="1164">
        <f t="array" ref="IM17">IFERROR(INDEX('Margin Guidence Table'!$A$1:$AD$30000,MATCH(1,('Margin Guidence Table'!$A$1:$A$10000=IL17)*('Margin Guidence Table'!$I$1:$I$10000&lt;=ROUND($ID$3,0))*('Margin Guidence Table'!$J$1:$J$10000&gt;=ROUND($ID$3,0)),0),MATCH("DATA_POINTS",'Margin Guidence Table'!$A$1:$AG$1,0)),0)</f>
        <v>0</v>
      </c>
      <c r="IN17" s="1161" t="str">
        <f t="shared" si="39"/>
        <v>DEFAULT</v>
      </c>
      <c r="IO17" s="1161">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161">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165">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165">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165">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165">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165">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165">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9"/>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96" t="e">
        <f t="shared" si="40"/>
        <v>#DIV/0!</v>
      </c>
      <c r="IZ17" s="102" t="s">
        <v>102</v>
      </c>
      <c r="JA17" s="94">
        <f>IFERROR(IF(AND($JA$2&lt;&gt;"Enter Spend&gt;&gt;&gt;",JB5="EXISTING"),SUMIFS('Existing Customers'!$Q:$Q,'Existing Customers'!$A:$A,$JA$1,'Existing Customers'!$H:$H,$IZ17)*$JA$4,$JA$3*$IY17),0)</f>
        <v>0</v>
      </c>
      <c r="JB17" s="89">
        <f>IFERROR(IF(AND($JA$2&lt;&gt;"Enter Spend&gt;&gt;&gt;",JB2="EXISTING"),SUMIFS('Existing Customers'!$N:$N,'Existing Customers'!$A:$A,$JA$1,'Existing Customers'!$H:$H,$IZ17)*$JA$4,$JA17/$JL17),0)</f>
        <v>0</v>
      </c>
      <c r="JC17" s="95">
        <f>IFERROR(IF(AND($JA$2&lt;&gt;"Enter Spend&gt;&gt;&gt;",JB2="EXISTING"),SUMIFS('Existing Customers'!$O:$O,'Existing Customers'!$H:$H,$IZ17,'Existing Customers'!$A:$A,$JA$1)*$JA$4,$JB17*$JA$8),0)</f>
        <v>0</v>
      </c>
      <c r="JD17" s="95">
        <f>IFERROR(IF(AND($JA$2&lt;&gt;"Enter Spend&gt;&gt;&gt;",JB2="EXISTING"),SUMIFS('Existing Customers'!$P:$P,'Existing Customers'!$A:$A,$JA$1,'Existing Customers'!$H:$H,$IZ17)*$JA$4,$JA17/$JM17),0)</f>
        <v>0</v>
      </c>
      <c r="JE17" s="402">
        <f>IFERROR(IF(AND($JA$2&lt;&gt;"Enter Spend&gt;&gt;&gt;",JB2="EXISTING"),SUMIFS('Existing Customers'!$V:$V,'Existing Customers'!$H:$H,$IZ17,'Existing Customers'!$A:$A,$JA$1)*$JA$4,0),0)</f>
        <v>0</v>
      </c>
      <c r="JF17" s="96">
        <f>IFERROR(IF(AND($JA$2&lt;&gt;"Enter Spend&gt;&gt;&gt;",JB2="EXISTING"),SUMIFS('Existing Customers'!$R:$R,'Existing Customers'!$H:$H,$IZ17,'Existing Customers'!$A:$A,$JA$1)*$JA$4,0),0)</f>
        <v>0</v>
      </c>
      <c r="JG17" s="1161">
        <f>IFERROR(IF(AND($JA$2&lt;&gt;"Enter Spend&gt;&gt;&gt;",JB2="EXISTING"),SUMIFS('Existing Customers'!$S:$S,'Existing Customers'!$H:$H,$IZ17,'Existing Customers'!$A:$A,$JA$1),JQ17*JA17),0)</f>
        <v>0</v>
      </c>
      <c r="JH17" s="1161">
        <f>IFERROR(IF(AND($JA$2&lt;&gt;"Enter Spend&gt;&gt;&gt;",JB2="EXISTING"),SUMIFS('Existing Customers'!$U:$U,'Existing Customers'!$H:$H,$IZ17,'Existing Customers'!$A:$A,$JA$1),JR17*JA17),0)</f>
        <v>0</v>
      </c>
      <c r="JI17" s="1164" t="e">
        <f>_xlfn.CONCAT('Customer Inputs'!$AG$15,"_",IZ17)</f>
        <v>#N/A</v>
      </c>
      <c r="JJ17" s="1164">
        <f t="array" ref="JJ17">IFERROR(INDEX('Margin Guidence Table'!$A$1:$AD$30000,MATCH(1,('Margin Guidence Table'!$A$1:$A$10000=JI17)*('Margin Guidence Table'!$I$1:$I$10000&lt;=ROUND($JA$3,0))*('Margin Guidence Table'!$J$1:$J$10000&gt;=ROUND($JA$3,0)),0),MATCH("DATA_POINTS",'Margin Guidence Table'!$A$1:$AG$1,0)),0)</f>
        <v>0</v>
      </c>
      <c r="JK17" s="1161" t="str">
        <f t="shared" si="41"/>
        <v>DEFAULT</v>
      </c>
      <c r="JL17" s="1161">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161">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165">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165">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165">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165">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165">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165">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102" t="s">
        <v>102</v>
      </c>
      <c r="JV17" s="97"/>
      <c r="JW17" s="89"/>
      <c r="JX17" s="89"/>
      <c r="JY17" s="89"/>
      <c r="JZ17" s="114"/>
      <c r="KA17" s="98"/>
      <c r="KB17" s="129"/>
      <c r="KD17" s="102" t="s">
        <v>102</v>
      </c>
      <c r="KE17" s="97"/>
      <c r="KF17" s="89"/>
      <c r="KG17" s="89"/>
      <c r="KH17" s="89"/>
      <c r="KI17" s="114"/>
      <c r="KJ17" s="98"/>
    </row>
    <row r="18" spans="2:296" ht="15.75" thickBot="1" x14ac:dyDescent="0.3">
      <c r="B18" s="102" t="s">
        <v>100</v>
      </c>
      <c r="C18" s="480">
        <f t="shared" si="7"/>
        <v>0</v>
      </c>
      <c r="D18" s="496">
        <f t="shared" si="8"/>
        <v>0</v>
      </c>
      <c r="E18" s="496">
        <f t="shared" si="9"/>
        <v>0</v>
      </c>
      <c r="F18" s="496">
        <f t="shared" si="10"/>
        <v>0</v>
      </c>
      <c r="G18" s="497">
        <f t="shared" si="11"/>
        <v>0</v>
      </c>
      <c r="H18" s="496">
        <f t="shared" si="12"/>
        <v>0</v>
      </c>
      <c r="I18" s="1157" t="e">
        <f>ROUND(SUM($BB18*BO18+$BY18*CL18+$CV18*DI18+$DS18*EF18+$EP18*FC18+$FM18*FZ18+$GJ18*GW18+$HG18*HT18+$ID18*IQ18+$JA18*JN18)/$C18,2)</f>
        <v>#DIV/0!</v>
      </c>
      <c r="J18" s="1157" t="e">
        <f>ROUND(SUM($BB18*BP18+$BY18*CM18+$CV18*DJ18+$DS18*EG18+$EP18*FD18+$FM18*GA18+$GJ18*GX18+$HG18*HU18+$ID18*IR18+$JA18*JO18)/$C18,2)</f>
        <v>#DIV/0!</v>
      </c>
      <c r="K18" s="1157" t="e">
        <f>ROUND(SUM($BB18*BQ18+$BY18*CN18+$CV18*DK18+$DS18*EH18+$EP18*FE18+$FM18*GB18+$GJ18*GY18+$HG18*HV18+$ID18*IS18+$JA18*JP18)/$C18,2)</f>
        <v>#DIV/0!</v>
      </c>
      <c r="L18" s="496" t="e">
        <f t="shared" si="0"/>
        <v>#DIV/0!</v>
      </c>
      <c r="M18" s="496" t="e">
        <f t="shared" si="13"/>
        <v>#DIV/0!</v>
      </c>
      <c r="N18" s="1158" t="e">
        <f t="shared" si="1"/>
        <v>#DIV/0!</v>
      </c>
      <c r="P18" t="str">
        <f>'PIM Model'!E14</f>
        <v>INCLUDE</v>
      </c>
      <c r="Q18">
        <f t="shared" si="14"/>
        <v>0</v>
      </c>
      <c r="R18">
        <f t="shared" si="15"/>
        <v>0</v>
      </c>
      <c r="S18" s="102" t="s">
        <v>100</v>
      </c>
      <c r="T18" s="97">
        <f t="shared" si="16"/>
        <v>0</v>
      </c>
      <c r="U18" s="89">
        <f t="shared" si="2"/>
        <v>0</v>
      </c>
      <c r="V18" s="89">
        <f t="shared" si="3"/>
        <v>0</v>
      </c>
      <c r="W18" s="89">
        <f t="shared" si="4"/>
        <v>0</v>
      </c>
      <c r="X18" s="114">
        <f t="shared" si="5"/>
        <v>0</v>
      </c>
      <c r="Y18" s="117">
        <f t="shared" si="17"/>
        <v>0</v>
      </c>
      <c r="Z18" s="400"/>
      <c r="AA18" s="102" t="s">
        <v>100</v>
      </c>
      <c r="AB18" s="484">
        <f>SUMIFS($BB18:$JF18,$BB$12:$JF$12,AB$12)</f>
        <v>0</v>
      </c>
      <c r="AC18" s="485">
        <f>SUMIFS($BB18:$JF18,$BB$12:$JF$12,AC$12)</f>
        <v>0</v>
      </c>
      <c r="AD18" s="485">
        <f>SUMIFS($BB18:$JF18,$BB$12:$JF$12,AD$12)</f>
        <v>0</v>
      </c>
      <c r="AE18" s="486">
        <f t="shared" si="18"/>
        <v>0</v>
      </c>
      <c r="AF18" s="487">
        <f t="shared" si="19"/>
        <v>0</v>
      </c>
      <c r="AG18" s="400"/>
      <c r="AH18" s="102" t="s">
        <v>100</v>
      </c>
      <c r="AI18" s="484">
        <f t="shared" si="6"/>
        <v>0</v>
      </c>
      <c r="AJ18" s="481">
        <f t="shared" si="20"/>
        <v>0</v>
      </c>
      <c r="AK18" s="487"/>
      <c r="AL18" s="400"/>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400">
        <f>VLOOKUP($AH18&amp;$AM18,'IMargin Quartiles'!$A:$F,6,FALSE)</f>
        <v>0.18</v>
      </c>
      <c r="AO18" s="400"/>
      <c r="AP18"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Q18" s="400" t="e">
        <f t="shared" si="21"/>
        <v>#DIV/0!</v>
      </c>
      <c r="AR18">
        <f>'PIM Model'!C14</f>
        <v>0</v>
      </c>
      <c r="AS18" s="400"/>
      <c r="AT18" s="400"/>
      <c r="AU18" s="400" t="e">
        <f t="shared" si="42"/>
        <v>#DIV/0!</v>
      </c>
      <c r="AV18" s="400"/>
      <c r="AW18" s="400"/>
      <c r="AX18" s="108">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96" t="e">
        <f t="shared" si="22"/>
        <v>#DIV/0!</v>
      </c>
      <c r="BA18" s="102" t="s">
        <v>100</v>
      </c>
      <c r="BB18" s="94">
        <f>IFERROR(IF(AND($BB$2&lt;&gt;"Enter Spend&gt;&gt;&gt;",BC6="EXISTING"),SUMIFS('Existing Customers'!$Q:$Q,'Existing Customers'!$A:$A,$BB$1,'Existing Customers'!$H:$H,$BA18)*$BB$4,$BB$3*$AZ18),0)</f>
        <v>0</v>
      </c>
      <c r="BC18" s="95">
        <f>IFERROR(IF(AND($BB$2&lt;&gt;"Enter Spend&gt;&gt;&gt;",BC2="EXISTING"),SUMIFS('Existing Customers'!$N:$N,'Existing Customers'!$A:$A,$BB$1,'Existing Customers'!$H:$H,$BA18)*$BB$4,$BB18/$BM18),0)</f>
        <v>0</v>
      </c>
      <c r="BD18" s="95">
        <f>IFERROR(IF(AND($BB$2&lt;&gt;"Enter Spend&gt;&gt;&gt;",BC2="EXISTING"),SUMIFS('Existing Customers'!$O:$O,'Existing Customers'!$H:$H,$BA18,'Existing Customers'!$A:$A,$BB$1)*$BB$4,$BC18*$BB$8),0)</f>
        <v>0</v>
      </c>
      <c r="BE18" s="95">
        <f>IFERROR(IF(AND($BB$2&lt;&gt;"Enter Spend&gt;&gt;&gt;",BC2="EXISTING"),SUMIFS('Existing Customers'!$P:$P,'Existing Customers'!$A:$A,$BB$1,'Existing Customers'!$H:$H,$BA18)*$BB$4,$BB18/$BN18),0)</f>
        <v>0</v>
      </c>
      <c r="BF18" s="402">
        <f>IFERROR(IF(AND($BB$2&lt;&gt;"Enter Spend&gt;&gt;&gt;",BC2="EXISTING"),SUMIFS('Existing Customers'!$V:$V,'Existing Customers'!$H:$H,$BA18,'Existing Customers'!$A:$A,$BB$1)*$BB$4,0),0)</f>
        <v>0</v>
      </c>
      <c r="BG18" s="96">
        <f>IFERROR(IF(AND($BB$2&lt;&gt;"Enter Spend&gt;&gt;&gt;",BC2="EXISTING"),SUMIFS('Existing Customers'!$R:$R,'Existing Customers'!$H:$H,$BA18,'Existing Customers'!$A:$A,$BB$1)*$BB$4,0),0)</f>
        <v>0</v>
      </c>
      <c r="BH18" s="96">
        <f>IFERROR(IF(AND($BB$2&lt;&gt;"Enter Spend&gt;&gt;&gt;",BC2="EXISTING"),SUMIFS('Existing Customers'!$S:$S,'Existing Customers'!$H:$H,$BA18,'Existing Customers'!$A:$A,$BB$1),BR18*BB18),0)</f>
        <v>0</v>
      </c>
      <c r="BI18" s="96">
        <f>IFERROR(IF(AND($BB$2&lt;&gt;"Enter Spend&gt;&gt;&gt;",BC2="EXISTING"),SUMIFS('Existing Customers'!$U:$U,'Existing Customers'!$H:$H,$BA18,'Existing Customers'!$A:$A,$BB$1),BS18*BB18),0)</f>
        <v>0</v>
      </c>
      <c r="BJ18" s="1163" t="e">
        <f>_xlfn.CONCAT('Customer Inputs'!$AG$6,"_",BA18)</f>
        <v>#N/A</v>
      </c>
      <c r="BK18" s="1164">
        <f t="array" ref="BK18">IFERROR(INDEX('Margin Guidence Table'!$A$1:$AD$30000,MATCH(1,('Margin Guidence Table'!$A$1:$A$10000=$BJ18)*('Margin Guidence Table'!$I$1:$I$10000&lt;=ROUND($BB$3,0))*('Margin Guidence Table'!$J$1:$J$10000&gt;=ROUND($BB$3,0)),0),MATCH("DATA_POINTS",'Margin Guidence Table'!$A$1:$AG$1,0)),0)</f>
        <v>0</v>
      </c>
      <c r="BL18" s="1161" t="str">
        <f t="shared" si="23"/>
        <v>DEFAULT</v>
      </c>
      <c r="BM18" s="1161">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161">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165">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165">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165">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165">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165">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165">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9"/>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96" t="e">
        <f t="shared" si="24"/>
        <v>#DIV/0!</v>
      </c>
      <c r="BX18" s="102" t="s">
        <v>100</v>
      </c>
      <c r="BY18" s="94">
        <f>IFERROR(IF(AND($BY$2&lt;&gt;"Enter Spend&gt;&gt;&gt;",BZ6="EXISTING"),SUMIFS('Existing Customers'!$Q:$Q,'Existing Customers'!$A:$A,$BY$1,'Existing Customers'!$H:$H,$BX18)*$BY$4,$BY$3*$BW18),0)</f>
        <v>0</v>
      </c>
      <c r="BZ18" s="89">
        <f>IFERROR(IF(AND($BY$2&lt;&gt;"Enter Spend&gt;&gt;&gt;",BZ2="EXISTING"),SUMIFS('Existing Customers'!$N:$N,'Existing Customers'!$A:$A,$BY$1,'Existing Customers'!$H:$H,$BX18)*$BY$4,$BY18/$CJ18),0)</f>
        <v>0</v>
      </c>
      <c r="CA18" s="95">
        <f>IFERROR(IF(AND($BY$2&lt;&gt;"Enter Spend&gt;&gt;&gt;",BZ2="EXISTING"),SUMIFS('Existing Customers'!$O:$O,'Existing Customers'!$H:$H,$BX18,'Existing Customers'!$A:$A,$BY$1)*$BY$4,$BZ18*$BY$8),0)</f>
        <v>0</v>
      </c>
      <c r="CB18" s="95">
        <f>IFERROR(IF(AND($BY$2&lt;&gt;"Enter Spend&gt;&gt;&gt;",BZ2="EXISTING"),SUMIFS('Existing Customers'!$P:$P,'Existing Customers'!$A:$A,$BY$1,'Existing Customers'!$H:$H,$BX18)*$BY$4,$BY18/$CK18),0)</f>
        <v>0</v>
      </c>
      <c r="CC18" s="96">
        <f>IFERROR(IF(AND($BY$2&lt;&gt;"Enter Spend&gt;&gt;&gt;",BZ2="EXISTING"),SUMIFS('Existing Customers'!$V:$V,'Existing Customers'!$H:$H,$BX18,'Existing Customers'!$A:$A,$BY$1)*$BY$4,0),0)</f>
        <v>0</v>
      </c>
      <c r="CD18" s="96">
        <f>IFERROR(IF(AND($BY$2&lt;&gt;"Enter Spend&gt;&gt;&gt;",BZ2="EXISTING"),SUMIFS('Existing Customers'!$R:$R,'Existing Customers'!$H:$H,$BX18,'Existing Customers'!$A:$A,$BY$1)*$BY$4,0),0)</f>
        <v>0</v>
      </c>
      <c r="CE18" s="1161">
        <f>IFERROR(IF(AND($BY$2&lt;&gt;"Enter Spend&gt;&gt;&gt;",BZ2="EXISTING"),SUMIFS('Existing Customers'!$S:$S,'Existing Customers'!$H:$H,$BX18,'Existing Customers'!$A:$A,$BY$1),CO18*BY18),0)</f>
        <v>0</v>
      </c>
      <c r="CF18" s="1161">
        <f>IFERROR(IF(AND($BY$2&lt;&gt;"Enter Spend&gt;&gt;&gt;",BZ2="EXISTING"),SUMIFS('Existing Customers'!$U:$U,'Existing Customers'!$H:$H,$BX18,'Existing Customers'!$A:$A,$BY$1),CP18*BY18),0)</f>
        <v>0</v>
      </c>
      <c r="CG18" s="1164" t="e">
        <f>_xlfn.CONCAT('Customer Inputs'!$AG$7,"_",BX18)</f>
        <v>#N/A</v>
      </c>
      <c r="CH18" s="1164">
        <f t="array" ref="CH18">IFERROR(INDEX('Margin Guidence Table'!$A$1:$AD$30000,MATCH(1,('Margin Guidence Table'!$A$1:$A$10000=$CG18)*('Margin Guidence Table'!$I$1:$I$10000&lt;=ROUND($BY$3,0))*('Margin Guidence Table'!$J$1:$J$10000&gt;=ROUND($BY$3,0)),0),MATCH("DATA_POINTS",'Margin Guidence Table'!$A$1:$AG$1,0)),0)</f>
        <v>0</v>
      </c>
      <c r="CI18" s="1161" t="str">
        <f t="shared" si="25"/>
        <v>DEFAULT</v>
      </c>
      <c r="CJ18" s="1161">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161">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165">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165">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165">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165">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165">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165">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9"/>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96" t="e">
        <f t="shared" si="26"/>
        <v>#DIV/0!</v>
      </c>
      <c r="CU18" s="102" t="s">
        <v>100</v>
      </c>
      <c r="CV18" s="94">
        <f>IFERROR(IF(AND($CV$2&lt;&gt;"Enter Spend&gt;&gt;&gt;",CW6="EXISTING"),SUMIFS('Existing Customers'!$Q:$Q,'Existing Customers'!$A:$A,$CV$1,'Existing Customers'!$H:$H,$CU18)*$CV$4,$CV$3*$CT18),0)</f>
        <v>0</v>
      </c>
      <c r="CW18" s="89">
        <f>IFERROR(IF(AND($CV$2&lt;&gt;"Enter Spend&gt;&gt;&gt;",CW2="EXISTING"),SUMIFS('Existing Customers'!$N:$N,'Existing Customers'!$A:$A,$CV$1,'Existing Customers'!$H:$H,$CU18)*$CV$4,$CV18/$DG18),0)</f>
        <v>0</v>
      </c>
      <c r="CX18" s="95">
        <f>IFERROR(IF(AND($CV$2&lt;&gt;"Enter Spend&gt;&gt;&gt;",BC28="EXISTING"),SUMIFS('Existing Customers'!$O:$O,'Existing Customers'!$H:$H,$CU18,'Existing Customers'!$A:$A,$CV$1)*$CV$4,$CW18*$CV$8),0)</f>
        <v>0</v>
      </c>
      <c r="CY18" s="95">
        <f>IFERROR(IF(AND($CV$2&lt;&gt;"Enter Spend&gt;&gt;&gt;",CW2="EXISTING"),SUMIFS('Existing Customers'!$P:$P,'Existing Customers'!$A:$A,$CV$1,'Existing Customers'!$H:$H,$CU18)*$CV$4,$CV18/$DH18),0)</f>
        <v>0</v>
      </c>
      <c r="CZ18" s="96">
        <f>IFERROR(IF(AND($CV$2&lt;&gt;"Enter Spend&gt;&gt;&gt;",CW2="EXISTING"),SUMIFS('Existing Customers'!$V:$V,'Existing Customers'!$H:$H,$CU18,'Existing Customers'!$A:$A,$CV$1)*$CV$4,0),0)</f>
        <v>0</v>
      </c>
      <c r="DA18" s="96">
        <f>IFERROR(IF(AND($CV$2&lt;&gt;"Enter Spend&gt;&gt;&gt;",CW2="EXISTING"),SUMIFS('Existing Customers'!$R:$R,'Existing Customers'!$H:$H,$BA18,'Existing Customers'!$A:$A,$CV$1)*$CV$4,0),0)</f>
        <v>0</v>
      </c>
      <c r="DB18" s="1161">
        <f>IFERROR(IF(AND($CV$2&lt;&gt;"Enter Spend&gt;&gt;&gt;",CW2="EXISTING"),SUMIFS('Existing Customers'!$S:$S,'Existing Customers'!$H:$H,$CU18,'Existing Customers'!$A:$A,$CV$1),DL18*CV18),0)</f>
        <v>0</v>
      </c>
      <c r="DC18" s="1161">
        <f>IFERROR(IF(AND($CV$2&lt;&gt;"Enter Spend&gt;&gt;&gt;",CW2="EXISTING"),SUMIFS('Existing Customers'!$U:$U,'Existing Customers'!$H:$H,$CU18,'Existing Customers'!$A:$A,$CV$1),DM18*CV18),0)</f>
        <v>0</v>
      </c>
      <c r="DD18" s="1164" t="e">
        <f>_xlfn.CONCAT('Customer Inputs'!$AG$8,"_",CU18)</f>
        <v>#N/A</v>
      </c>
      <c r="DE18" s="1164">
        <f t="array" ref="DE18">IFERROR(INDEX('Margin Guidence Table'!$A$1:$AD$30000,MATCH(1,('Margin Guidence Table'!$A$1:$A$10000=DD18)*('Margin Guidence Table'!$I$1:$I$10000&lt;=ROUND($CV$3,0))*('Margin Guidence Table'!$J$1:$J$10000&gt;=ROUND($CV$3,0)),0),MATCH("DATA_POINTS",'Margin Guidence Table'!$A$1:$AG$1,0)),0)</f>
        <v>0</v>
      </c>
      <c r="DF18" s="1161" t="str">
        <f t="shared" si="27"/>
        <v>DEFAULT</v>
      </c>
      <c r="DG18" s="1161">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161">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165">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165">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165">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165">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165">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165">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9"/>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96" t="e">
        <f t="shared" si="28"/>
        <v>#DIV/0!</v>
      </c>
      <c r="DR18" s="102" t="s">
        <v>100</v>
      </c>
      <c r="DS18" s="94">
        <f>IFERROR(IF(AND($DS$2&lt;&gt;"Enter Spend&gt;&gt;&gt;",DT6="EXISTING"),SUMIFS('Existing Customers'!$Q:$Q,'Existing Customers'!$A:$A,$DS$1,'Existing Customers'!$H:$H,$DR18)*$DS$4,$DS$3*$DQ18),0)</f>
        <v>0</v>
      </c>
      <c r="DT18" s="89">
        <f>IFERROR(IF(AND($DS$2&lt;&gt;"Enter Spend&gt;&gt;&gt;",DT2="EXISTING"),SUMIFS('Existing Customers'!$N:$N,'Existing Customers'!$A:$A,$DS$1,'Existing Customers'!$H:$H,$DR18)*$DS$4,$DS18/$ED18),0)</f>
        <v>0</v>
      </c>
      <c r="DU18" s="95">
        <f>IFERROR(IF(AND($DS$2&lt;&gt;"Enter Spend&gt;&gt;&gt;",DT2="EXISTING"),SUMIFS('Existing Customers'!$O:$O,'Existing Customers'!$H:$H,$DR18,'Existing Customers'!$A:$A,$DS$1)*$DS$4,$DT18*$DS$8),0)</f>
        <v>0</v>
      </c>
      <c r="DV18" s="95">
        <f>IFERROR(IF(AND($DS$2&lt;&gt;"Enter Spend&gt;&gt;&gt;",DT2="EXISTING"),SUMIFS('Existing Customers'!$P:$P,'Existing Customers'!$A:$A,$DS$1,'Existing Customers'!$H:$H,$DR18)*$DS$4,$DS18/$EE18),0)</f>
        <v>0</v>
      </c>
      <c r="DW18" s="96">
        <f>IFERROR(IF(AND($DS$2&lt;&gt;"Enter Spend&gt;&gt;&gt;",EQ2="EXISTING"),SUMIFS('Existing Customers'!$V:$V,'Existing Customers'!$H:$H,$DR18,'Existing Customers'!$A:$A,$DS$1)*$DS$4,0),0)</f>
        <v>0</v>
      </c>
      <c r="DX18" s="96">
        <f>IFERROR(IF(AND($DS$2&lt;&gt;"Enter Spend&gt;&gt;&gt;",DT2="EXISTING"),SUMIFS('Existing Customers'!$R:$R,'Existing Customers'!$H:$H,$DR18,'Existing Customers'!$A:$A,$DS$1)*$DS$4,0),0)</f>
        <v>0</v>
      </c>
      <c r="DY18" s="1161">
        <f>IFERROR(IF(AND($DS$2&lt;&gt;"Enter Spend&gt;&gt;&gt;",DT2="EXISTING"),SUMIFS('Existing Customers'!$S:$S,'Existing Customers'!$H:$H,$DT18,'Existing Customers'!$A:$A,$DS$1),EI18*DS18),0)</f>
        <v>0</v>
      </c>
      <c r="DZ18" s="1161">
        <f>IFERROR(IF(AND($DS$2&lt;&gt;"Enter Spend&gt;&gt;&gt;",DT2="EXISTING"),SUMIFS('Existing Customers'!$U:$U,'Existing Customers'!$H:$H,$DR18,'Existing Customers'!$A:$A,$DS$1),EJ18*DS18),0)</f>
        <v>0</v>
      </c>
      <c r="EA18" s="1164" t="e">
        <f>_xlfn.CONCAT('Customer Inputs'!$AG$9,"_",DR18)</f>
        <v>#N/A</v>
      </c>
      <c r="EB18" s="1164">
        <f t="array" ref="EB18">IFERROR(INDEX('Margin Guidence Table'!$A$1:$AD$30000,MATCH(1,('Margin Guidence Table'!$A$1:$A$10000=EA18)*('Margin Guidence Table'!$I$1:$I$10000&lt;=ROUND($DS$3,0))*('Margin Guidence Table'!$J$1:$J$10000&gt;=ROUND($DS$3,0)),0),MATCH("DATA_POINTS",'Margin Guidence Table'!$A$1:$AG$1,0)),0)</f>
        <v>0</v>
      </c>
      <c r="EC18" s="1161" t="str">
        <f t="shared" si="29"/>
        <v>DEFAULT</v>
      </c>
      <c r="ED18" s="1161">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161">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165">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165">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165">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165">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165">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165">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9"/>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96" t="e">
        <f t="shared" si="30"/>
        <v>#DIV/0!</v>
      </c>
      <c r="EO18" s="102" t="s">
        <v>100</v>
      </c>
      <c r="EP18" s="94">
        <f>IFERROR(IF(AND($EP$2&lt;&gt;"Enter Spend&gt;&gt;&gt;",EQ6="EXISTING"),SUMIFS('Existing Customers'!$Q:$Q,'Existing Customers'!$A:$A,$EP$1,'Existing Customers'!$H:$H,$EO18)*$EP$4,$EP$3*$EN18),0)</f>
        <v>0</v>
      </c>
      <c r="EQ18" s="89">
        <f>IFERROR(IF(AND($EP$2&lt;&gt;"Enter Spend&gt;&gt;&gt;",EQ2="EXISTING"),SUMIFS('Existing Customers'!$N:$N,'Existing Customers'!$A:$A,$EP$1,'Existing Customers'!$H:$H,$EO18)*$EP$4,$EP18/$FA18),0)</f>
        <v>0</v>
      </c>
      <c r="ER18" s="95">
        <f>IFERROR(IF(AND($EP$2&lt;&gt;"Enter Spend&gt;&gt;&gt;",EQ2="EXISTING"),SUMIFS('Existing Customers'!$O:$O,'Existing Customers'!$H:$H,$EO18,'Existing Customers'!$A:$A,$EP$1)*$EP$4,$EQ18*$EP$8),0)</f>
        <v>0</v>
      </c>
      <c r="ES18" s="95">
        <f>IFERROR(IF(AND($EP$2&lt;&gt;"Enter Spend&gt;&gt;&gt;",EQ2="EXISTING"),SUMIFS('Existing Customers'!$P:$P,'Existing Customers'!$A:$A,$EP$1,'Existing Customers'!$H:$H,$EO18)*$EP$4,$EP18/$FB18),0)</f>
        <v>0</v>
      </c>
      <c r="ET18" s="96">
        <f>IFERROR(IF(AND($EP$2&lt;&gt;"Enter Spend&gt;&gt;&gt;",EQ2="EXISTING"),SUMIFS('Existing Customers'!$V:$V,'Existing Customers'!$H:$H,$EO18,'Existing Customers'!$A:$A,$EP$1)*$EP$4,0),0)</f>
        <v>0</v>
      </c>
      <c r="EU18" s="96">
        <f>IFERROR(IF(AND($EP$2&lt;&gt;"Enter Spend&gt;&gt;&gt;",EQ2="EXISTING"),SUMIFS('Existing Customers'!$R:$R,'Existing Customers'!$H:$H,$EO18,'Existing Customers'!$A:$A,$EP$1)*$EP$4,0),0)</f>
        <v>0</v>
      </c>
      <c r="EV18" s="1161">
        <f>IFERROR(IF(AND($EP$2&lt;&gt;"Enter Spend&gt;&gt;&gt;",EQ2="EXISTING"),SUMIFS('Existing Customers'!$S:$S,'Existing Customers'!$H:$H,$EO18,'Existing Customers'!$A:$A,$EP$1),FF18*EP18),0)</f>
        <v>0</v>
      </c>
      <c r="EW18" s="1161">
        <f>IFERROR(IF(AND($EP$2&lt;&gt;"Enter Spend&gt;&gt;&gt;",EQ2="EXISTING"),SUMIFS('Existing Customers'!$U:$U,'Existing Customers'!$H:$H,$EO18,'Existing Customers'!$A:$A,$EP$1),FG18*EP18),0)</f>
        <v>0</v>
      </c>
      <c r="EX18" s="1164" t="e">
        <f>_xlfn.CONCAT('Customer Inputs'!$AG$10,"_",EO18)</f>
        <v>#N/A</v>
      </c>
      <c r="EY18" s="1164">
        <f t="array" ref="EY18">IFERROR(INDEX('Margin Guidence Table'!$A$1:$AD$30000,MATCH(1,('Margin Guidence Table'!$A$1:$A$10000=EX18)*('Margin Guidence Table'!$I$1:$I$10000&lt;=ROUND($EP$3,0))*('Margin Guidence Table'!$J$1:$J$10000&gt;=ROUND($EP$3,0)),0),MATCH("DATA_POINTS",'Margin Guidence Table'!$A$1:$AG$1,0)),0)</f>
        <v>0</v>
      </c>
      <c r="EZ18" s="1161" t="str">
        <f t="shared" si="31"/>
        <v>DEFAULT</v>
      </c>
      <c r="FA18" s="1161">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161"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165">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165">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165">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165">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165">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165">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9"/>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96" t="e">
        <f t="shared" si="32"/>
        <v>#DIV/0!</v>
      </c>
      <c r="FL18" s="102" t="s">
        <v>100</v>
      </c>
      <c r="FM18" s="94">
        <f>IFERROR(IF(AND($FM$2&lt;&gt;"Enter Spend&gt;&gt;&gt;",FN6="EXISTING"),SUMIFS('Existing Customers'!$Q:$Q,'Existing Customers'!$A:$A,$FM$1,'Existing Customers'!$H:$H,$FL18)*$FM$4,$FM$3*$FK18),0)</f>
        <v>0</v>
      </c>
      <c r="FN18" s="89">
        <f>IFERROR(IF(AND($FM$2&lt;&gt;"Enter Spend&gt;&gt;&gt;",FN2="EXISTING"),SUMIFS('Existing Customers'!$N:$N,'Existing Customers'!$A:$A,$FM$1,'Existing Customers'!$H:$H,$FL18)*$FM$4,$FM18/$FX18),0)</f>
        <v>0</v>
      </c>
      <c r="FO18" s="95">
        <f>IFERROR(IF(AND($FM$2&lt;&gt;"Enter Spend&gt;&gt;&gt;",FN2="EXISTING"),SUMIFS('Existing Customers'!$O:$O,'Existing Customers'!$H:$H,$FL18,'Existing Customers'!$A:$A,$FM$1)*$FM$4,$FN18*$FM$8),0)</f>
        <v>0</v>
      </c>
      <c r="FP18" s="95">
        <f>IFERROR(IF(AND($FM$2&lt;&gt;"Enter Spend&gt;&gt;&gt;",FN2="EXISTING"),SUMIFS('Existing Customers'!$P:$P,'Existing Customers'!$A:$A,$FM$1,'Existing Customers'!$H:$H,$FL18)*$FM$4,$FM18/$FY18),0)</f>
        <v>0</v>
      </c>
      <c r="FQ18" s="96">
        <f>IFERROR(IF(AND($FM$2&lt;&gt;"Enter Spend&gt;&gt;&gt;",FN2="EXISTING"),SUMIFS('Existing Customers'!$V:$V,'Existing Customers'!$H:$H,$FL18,'Existing Customers'!$A:$A,$FM$1)*$FM$4,0),0)</f>
        <v>0</v>
      </c>
      <c r="FR18" s="96">
        <f>IFERROR(IF(AND($FM$2&lt;&gt;"Enter Spend&gt;&gt;&gt;",FN2="EXISTING"),SUMIFS('Existing Customers'!$R:$R,'Existing Customers'!$H:$H,$FL18,'Existing Customers'!$A:$A,$FM$1)*$FM$4,0),0)</f>
        <v>0</v>
      </c>
      <c r="FS18" s="1161">
        <f>IFERROR(IF(AND($FM$2&lt;&gt;"Enter Spend&gt;&gt;&gt;",FN2="EXISTING"),SUMIFS('Existing Customers'!$S:$S,'Existing Customers'!$H:$H,$FL18,'Existing Customers'!$A:$A,$FM$1),GC18*FM18),0)</f>
        <v>0</v>
      </c>
      <c r="FT18" s="1161">
        <f>IFERROR(IF(AND($FM$2&lt;&gt;"Enter Spend&gt;&gt;&gt;",FN2="EXISTING"),SUMIFS('Existing Customers'!$U:$U,'Existing Customers'!$H:$H,$FL18,'Existing Customers'!$A:$A,$FM$1),GD18*FM18),0)</f>
        <v>0</v>
      </c>
      <c r="FU18" s="1164" t="e">
        <f>_xlfn.CONCAT('Customer Inputs'!$AG$11,"_",FL18)</f>
        <v>#N/A</v>
      </c>
      <c r="FV18" s="1164">
        <f t="array" ref="FV18">IFERROR(INDEX('Margin Guidence Table'!$A$1:$AD$30000,MATCH(1,('Margin Guidence Table'!$A$1:$A$10000=FU18)*('Margin Guidence Table'!$I$1:$I$10000&lt;=ROUND($FM$3,0))*('Margin Guidence Table'!$J$1:$J$10000&gt;=ROUND($FM$3,0)),0),MATCH("DATA_POINTS",'Margin Guidence Table'!$A$1:$AG$1,0)),0)</f>
        <v>0</v>
      </c>
      <c r="FW18" s="1161" t="str">
        <f t="shared" si="33"/>
        <v>DEFAULT</v>
      </c>
      <c r="FX18" s="1161">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161">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165">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165">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165">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165">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165">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165">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9"/>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96" t="e">
        <f t="shared" si="34"/>
        <v>#DIV/0!</v>
      </c>
      <c r="GI18" s="102" t="s">
        <v>100</v>
      </c>
      <c r="GJ18" s="94">
        <f>IFERROR(IF(AND($GJ$2&lt;&gt;"Enter Spend&gt;&gt;&gt;",GK6="EXISTING"),SUMIFS('Existing Customers'!$Q:$Q,'Existing Customers'!$A:$A,$GJ$1,'Existing Customers'!$H:$H,$GI18)*$GJ$4,$GJ$3*$GH18),0)</f>
        <v>0</v>
      </c>
      <c r="GK18" s="89">
        <f>IFERROR(IF(AND($GJ$2&lt;&gt;"Enter Spend&gt;&gt;&gt;",GK2="EXISTING"),SUMIFS('Existing Customers'!$N:$N,'Existing Customers'!$A:$A,$GJ$1,'Existing Customers'!$H:$H,$GI18)*$GJ$4,$GJ18/$GU18),0)</f>
        <v>0</v>
      </c>
      <c r="GL18" s="95">
        <f>IFERROR(IF(AND($GJ$2&lt;&gt;"Enter Spend&gt;&gt;&gt;",GK2="EXISTING"),SUMIFS('Existing Customers'!$O:$O,'Existing Customers'!$H:$H,$GI18,'Existing Customers'!$A:$A,$GJ$1)*$GJ$4,$GK18*$GJ$8),0)</f>
        <v>0</v>
      </c>
      <c r="GM18" s="95">
        <f>IFERROR(IF(AND($GJ$2&lt;&gt;"Enter Spend&gt;&gt;&gt;",GK2="EXISTING"),SUMIFS('Existing Customers'!$P:$P,'Existing Customers'!$A:$A,$GJ$1,'Existing Customers'!$H:$H,$GI18)*$GJ$4,$GJ18/$GV18),0)</f>
        <v>0</v>
      </c>
      <c r="GN18" s="96">
        <f>IFERROR(IF(AND($GJ$2&lt;&gt;"Enter Spend&gt;&gt;&gt;",GK2="EXISTING"),SUMIFS('Existing Customers'!$V:$V,'Existing Customers'!$H:$H,$GI18,'Existing Customers'!$A:$A,$GJ$1)*$GJ$4,0),0)</f>
        <v>0</v>
      </c>
      <c r="GO18" s="96">
        <f>IFERROR(IF(AND($GJ$2&lt;&gt;"Enter Spend&gt;&gt;&gt;",GK2="EXISTING"),SUMIFS('Existing Customers'!$R:$R,'Existing Customers'!$H:$H,$GI18,'Existing Customers'!$A:$A,$GJ$1)*$GJ$4,0),0)</f>
        <v>0</v>
      </c>
      <c r="GP18" s="1161">
        <f>IFERROR(IF(AND($GJ$2&lt;&gt;"Enter Spend&gt;&gt;&gt;",GK2="EXISTING"),SUMIFS('Existing Customers'!$S:$S,'Existing Customers'!$H:$H,$GI18,'Existing Customers'!$A:$A,$GJ$1),GZ18*GJ18),0)</f>
        <v>0</v>
      </c>
      <c r="GQ18" s="1161">
        <f>IFERROR(IF(AND($GJ$2&lt;&gt;"Enter Spend&gt;&gt;&gt;",GK2="EXISTING"),SUMIFS('Existing Customers'!$U:$U,'Existing Customers'!$H:$H,$GI18,'Existing Customers'!$A:$A,$GJ$1),HA18*GJ18),0)</f>
        <v>0</v>
      </c>
      <c r="GR18" s="1164" t="e">
        <f>_xlfn.CONCAT('Customer Inputs'!$AG$12,"_",GI18)</f>
        <v>#N/A</v>
      </c>
      <c r="GS18" s="1164">
        <f t="array" ref="GS18">IFERROR(INDEX('Margin Guidence Table'!$A$1:$AD$30000,MATCH(1,('Margin Guidence Table'!$A$1:$A$10000=GR18)*('Margin Guidence Table'!$I$1:$I$10000&lt;=ROUND($GJ$3,0))*('Margin Guidence Table'!$J$1:$J$10000&gt;=ROUND($GJ$3,0)),0),MATCH("DATA_POINTS",'Margin Guidence Table'!$A$1:$AG$1,0)),0)</f>
        <v>0</v>
      </c>
      <c r="GT18" s="1161" t="str">
        <f t="shared" si="35"/>
        <v>DEFAULT</v>
      </c>
      <c r="GU18" s="1161">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161">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165">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165">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165">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165">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165">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165">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9"/>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96" t="e">
        <f t="shared" si="36"/>
        <v>#DIV/0!</v>
      </c>
      <c r="HF18" s="102" t="s">
        <v>100</v>
      </c>
      <c r="HG18" s="94">
        <f>IFERROR(IF(AND($HG$2&lt;&gt;"Enter Spend&gt;&gt;&gt;",HH6="EXISTING"),SUMIFS('Existing Customers'!$Q:$Q,'Existing Customers'!$A:$A,$HG$1,'Existing Customers'!$H:$H,$HF18)*$HG$4,$HG$3*$HE18),0)</f>
        <v>0</v>
      </c>
      <c r="HH18" s="89">
        <f>IFERROR(IF(AND($HG$2&lt;&gt;"Enter Spend&gt;&gt;&gt;",HH2="EXISTING"),SUMIFS('Existing Customers'!$N:$N,'Existing Customers'!$A:$A,$HG$1,'Existing Customers'!$H:$H,$HF18)*$HG$4,$HG18/$HR18),0)</f>
        <v>0</v>
      </c>
      <c r="HI18" s="95">
        <f>IFERROR(IF(AND($HG$2&lt;&gt;"Enter Spend&gt;&gt;&gt;",HH2="EXISTING"),SUMIFS('Existing Customers'!$O:$O,'Existing Customers'!$H:$H,$HF18,'Existing Customers'!$A:$A,$HG$1)*$HG$4,$HH18*$HG$8),0)</f>
        <v>0</v>
      </c>
      <c r="HJ18" s="95">
        <f>IFERROR(IF(AND($HG$2&lt;&gt;"Enter Spend&gt;&gt;&gt;",HH2="EXISTING"),SUMIFS('Existing Customers'!$P:$P,'Existing Customers'!$A:$A,$HG$1,'Existing Customers'!$H:$H,$HF18)*$HG$4,$HG18/$HS18),0)</f>
        <v>0</v>
      </c>
      <c r="HK18" s="96">
        <f>IFERROR(IF(AND($HG$2&lt;&gt;"Enter Spend&gt;&gt;&gt;",HH2="EXISTING"),SUMIFS('Existing Customers'!$V:$V,'Existing Customers'!$H:$H,$HF18,'Existing Customers'!$A:$A,$HG$1)*$HG$4,0),0)</f>
        <v>0</v>
      </c>
      <c r="HL18" s="96">
        <f>IFERROR(IF(AND($HG$2&lt;&gt;"Enter Spend&gt;&gt;&gt;",HH2="EXISTING"),SUMIFS('Existing Customers'!$R:$R,'Existing Customers'!$H:$H,$HF18,'Existing Customers'!$A:$A,$HG$1)*$HG$4,0),0)</f>
        <v>0</v>
      </c>
      <c r="HM18" s="1161">
        <f>IFERROR(IF(AND($HG$2&lt;&gt;"Enter Spend&gt;&gt;&gt;",HH2="EXISTING"),SUMIFS('Existing Customers'!$S:$S,'Existing Customers'!$H:$H,$HF18,'Existing Customers'!$A:$A,$HG$1),HW18*HG18),0)</f>
        <v>0</v>
      </c>
      <c r="HN18" s="1161">
        <f>IFERROR(IF(AND($HG$2&lt;&gt;"Enter Spend&gt;&gt;&gt;",HH2="EXISTING"),SUMIFS('Existing Customers'!$U:$U,'Existing Customers'!$H:$H,$HF18,'Existing Customers'!$A:$A,$HG$1),HX18*HG18),0)</f>
        <v>0</v>
      </c>
      <c r="HO18" s="1164" t="e">
        <f>_xlfn.CONCAT('Customer Inputs'!$AG$13,"_",HF18)</f>
        <v>#N/A</v>
      </c>
      <c r="HP18" s="1164">
        <f t="array" ref="HP18">IFERROR(INDEX('Margin Guidence Table'!$A$1:$AD$30000,MATCH(1,('Margin Guidence Table'!$A$1:$A$10000=HO18)*('Margin Guidence Table'!$I$1:$I$10000&lt;=ROUND($HG$3,0))*('Margin Guidence Table'!$J$1:$J$10000&gt;=ROUND($HG$3,0)),0),MATCH("DATA_POINTS",'Margin Guidence Table'!$A$1:$AG$1,0)),0)</f>
        <v>0</v>
      </c>
      <c r="HQ18" s="1161" t="str">
        <f t="shared" si="37"/>
        <v>DEFAULT</v>
      </c>
      <c r="HR18" s="1161">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161">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165">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165">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165">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165">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165">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165">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9"/>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96" t="e">
        <f t="shared" si="38"/>
        <v>#DIV/0!</v>
      </c>
      <c r="IC18" s="102" t="s">
        <v>100</v>
      </c>
      <c r="ID18" s="94">
        <f>IFERROR(IF(AND($ID$2&lt;&gt;"Enter Spend&gt;&gt;&gt;",IE6="EXISTING"),SUMIFS('Existing Customers'!$Q:$Q,'Existing Customers'!$A:$A,$ID$1,'Existing Customers'!$H:$H,$IC18)*$ID$4,$ID$3*$IB18),0)</f>
        <v>0</v>
      </c>
      <c r="IE18" s="89">
        <f>IFERROR(IF(AND($ID$2&lt;&gt;"Enter Spend&gt;&gt;&gt;",IE2="EXISTING"),SUMIFS('Existing Customers'!$N:$N,'Existing Customers'!$A:$A,$ID$1,'Existing Customers'!$H:$H,$IC18)*$ID$4,$ID18/$IO18),0)</f>
        <v>0</v>
      </c>
      <c r="IF18" s="95">
        <f>IFERROR(IF(AND($ID$2&lt;&gt;"Enter Spend&gt;&gt;&gt;",IE2="EXISTING"),SUMIFS('Existing Customers'!$O:$O,'Existing Customers'!$H:$H,$IC18,'Existing Customers'!$A:$A,$ID$1)*$ID$4,$IE18*$ID$8),0)</f>
        <v>0</v>
      </c>
      <c r="IG18" s="95">
        <f>IFERROR(IF(AND($ID$2&lt;&gt;"Enter Spend&gt;&gt;&gt;",IE2="EXISTING"),SUMIFS('Existing Customers'!$P:$P,'Existing Customers'!$A:$A,$ID$1,'Existing Customers'!$H:$H,$IC18)*$ID$4,$ID18/$IP18),0)</f>
        <v>0</v>
      </c>
      <c r="IH18" s="402">
        <f>IFERROR(IF(AND($ID$2&lt;&gt;"Enter Spend&gt;&gt;&gt;",IE2="EXISTING"),SUMIFS('Existing Customers'!$V:$V,'Existing Customers'!$H:$H,$IC18,'Existing Customers'!$A:$A,$ID$1)*$ID$4,0),0)</f>
        <v>0</v>
      </c>
      <c r="II18" s="96">
        <f>IFERROR(IF(AND($ID$2&lt;&gt;"Enter Spend&gt;&gt;&gt;",IE2="EXISTING"),SUMIFS('Existing Customers'!$R:$R,'Existing Customers'!$H:$H,$IC18,'Existing Customers'!$A:$A,$ID$1)*$ID$4,0),0)</f>
        <v>0</v>
      </c>
      <c r="IJ18" s="1161">
        <f>IFERROR(IF(AND($ID$2&lt;&gt;"Enter Spend&gt;&gt;&gt;",IE2="EXISTING"),SUMIFS('Existing Customers'!$S:$S,'Existing Customers'!$H:$H,$IC18,'Existing Customers'!$A:$A,$ID$1),IT18*ID18),0)</f>
        <v>0</v>
      </c>
      <c r="IK18" s="1161">
        <f>IFERROR(IF(AND($ID$2&lt;&gt;"Enter Spend&gt;&gt;&gt;",IE2="EXISTING"),SUMIFS('Existing Customers'!$U:$U,'Existing Customers'!$H:$H,$IC18,'Existing Customers'!$A:$A,$ID$1),IU18*ID18),0)</f>
        <v>0</v>
      </c>
      <c r="IL18" s="1164" t="e">
        <f>_xlfn.CONCAT('Customer Inputs'!$AG$14,"_",IC18)</f>
        <v>#N/A</v>
      </c>
      <c r="IM18" s="1164">
        <f t="array" ref="IM18">IFERROR(INDEX('Margin Guidence Table'!$A$1:$AD$30000,MATCH(1,('Margin Guidence Table'!$A$1:$A$10000=IL18)*('Margin Guidence Table'!$I$1:$I$10000&lt;=ROUND($ID$3,0))*('Margin Guidence Table'!$J$1:$J$10000&gt;=ROUND($ID$3,0)),0),MATCH("DATA_POINTS",'Margin Guidence Table'!$A$1:$AG$1,0)),0)</f>
        <v>0</v>
      </c>
      <c r="IN18" s="1161" t="str">
        <f t="shared" si="39"/>
        <v>DEFAULT</v>
      </c>
      <c r="IO18" s="1161">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161">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165">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165">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165">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165">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165">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165">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9"/>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96" t="e">
        <f t="shared" si="40"/>
        <v>#DIV/0!</v>
      </c>
      <c r="IZ18" s="102" t="s">
        <v>100</v>
      </c>
      <c r="JA18" s="94">
        <f>IFERROR(IF(AND($JA$2&lt;&gt;"Enter Spend&gt;&gt;&gt;",JB6="EXISTING"),SUMIFS('Existing Customers'!$Q:$Q,'Existing Customers'!$A:$A,$JA$1,'Existing Customers'!$H:$H,$IZ18)*$JA$4,$JA$3*$IY18),0)</f>
        <v>0</v>
      </c>
      <c r="JB18" s="89">
        <f>IFERROR(IF(AND($JA$2&lt;&gt;"Enter Spend&gt;&gt;&gt;",JB2="EXISTING"),SUMIFS('Existing Customers'!$N:$N,'Existing Customers'!$A:$A,$JA$1,'Existing Customers'!$H:$H,$IZ18)*$JA$4,$JA18/$JL18),0)</f>
        <v>0</v>
      </c>
      <c r="JC18" s="95">
        <f>IFERROR(IF(AND($JA$2&lt;&gt;"Enter Spend&gt;&gt;&gt;",JB2="EXISTING"),SUMIFS('Existing Customers'!$O:$O,'Existing Customers'!$H:$H,$IZ18,'Existing Customers'!$A:$A,$JA$1)*$JA$4,$JB18*$JA$8),0)</f>
        <v>0</v>
      </c>
      <c r="JD18" s="95">
        <f>IFERROR(IF(AND($JA$2&lt;&gt;"Enter Spend&gt;&gt;&gt;",JB2="EXISTING"),SUMIFS('Existing Customers'!$P:$P,'Existing Customers'!$A:$A,$JA$1,'Existing Customers'!$H:$H,$IZ18)*$JA$4,$JA18/$JM18),0)</f>
        <v>0</v>
      </c>
      <c r="JE18" s="402">
        <f>IFERROR(IF(AND($JA$2&lt;&gt;"Enter Spend&gt;&gt;&gt;",JB2="EXISTING"),SUMIFS('Existing Customers'!$V:$V,'Existing Customers'!$H:$H,$IZ18,'Existing Customers'!$A:$A,$JA$1)*$JA$4,0),0)</f>
        <v>0</v>
      </c>
      <c r="JF18" s="96">
        <f>IFERROR(IF(AND($JA$2&lt;&gt;"Enter Spend&gt;&gt;&gt;",JB2="EXISTING"),SUMIFS('Existing Customers'!$R:$R,'Existing Customers'!$H:$H,$IZ18,'Existing Customers'!$A:$A,$JA$1)*$JA$4,0),0)</f>
        <v>0</v>
      </c>
      <c r="JG18" s="1161">
        <f>IFERROR(IF(AND($JA$2&lt;&gt;"Enter Spend&gt;&gt;&gt;",JB2="EXISTING"),SUMIFS('Existing Customers'!$S:$S,'Existing Customers'!$H:$H,$IZ18,'Existing Customers'!$A:$A,$JA$1),JQ18*JA18),0)</f>
        <v>0</v>
      </c>
      <c r="JH18" s="1161">
        <f>IFERROR(IF(AND($JA$2&lt;&gt;"Enter Spend&gt;&gt;&gt;",JB2="EXISTING"),SUMIFS('Existing Customers'!$U:$U,'Existing Customers'!$H:$H,$IZ18,'Existing Customers'!$A:$A,$JA$1),JR18*JA18),0)</f>
        <v>0</v>
      </c>
      <c r="JI18" s="1164" t="e">
        <f>_xlfn.CONCAT('Customer Inputs'!$AG$15,"_",IZ18)</f>
        <v>#N/A</v>
      </c>
      <c r="JJ18" s="1164">
        <f t="array" ref="JJ18">IFERROR(INDEX('Margin Guidence Table'!$A$1:$AD$30000,MATCH(1,('Margin Guidence Table'!$A$1:$A$10000=JI18)*('Margin Guidence Table'!$I$1:$I$10000&lt;=ROUND($JA$3,0))*('Margin Guidence Table'!$J$1:$J$10000&gt;=ROUND($JA$3,0)),0),MATCH("DATA_POINTS",'Margin Guidence Table'!$A$1:$AG$1,0)),0)</f>
        <v>0</v>
      </c>
      <c r="JK18" s="1161" t="str">
        <f t="shared" si="41"/>
        <v>DEFAULT</v>
      </c>
      <c r="JL18" s="1161">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161">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165">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165">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165">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165">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165">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165">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102" t="s">
        <v>100</v>
      </c>
      <c r="JV18" s="97"/>
      <c r="JW18" s="89"/>
      <c r="JX18" s="89"/>
      <c r="JY18" s="89"/>
      <c r="JZ18" s="114"/>
      <c r="KA18" s="98"/>
      <c r="KB18" s="129"/>
      <c r="KD18" s="102" t="s">
        <v>100</v>
      </c>
      <c r="KE18" s="97"/>
      <c r="KF18" s="89"/>
      <c r="KG18" s="89"/>
      <c r="KH18" s="89"/>
      <c r="KI18" s="114"/>
      <c r="KJ18" s="98"/>
    </row>
    <row r="19" spans="2:296" ht="15.75" thickBot="1" x14ac:dyDescent="0.3">
      <c r="B19" s="102" t="s">
        <v>104</v>
      </c>
      <c r="C19" s="480">
        <f t="shared" si="7"/>
        <v>0</v>
      </c>
      <c r="D19" s="496">
        <f t="shared" si="8"/>
        <v>0</v>
      </c>
      <c r="E19" s="496">
        <f t="shared" si="9"/>
        <v>0</v>
      </c>
      <c r="F19" s="496">
        <f t="shared" si="10"/>
        <v>0</v>
      </c>
      <c r="G19" s="497">
        <f t="shared" si="11"/>
        <v>0</v>
      </c>
      <c r="H19" s="496">
        <f t="shared" si="12"/>
        <v>0</v>
      </c>
      <c r="I19" s="1157" t="e">
        <f>ROUND(SUM($BB19*BO19+$BY19*CL19+$CV19*DI19+$DS19*EF19+$EP19*FC19+$FM19*FZ19+$GJ19*GW19+$HG19*HT19+$ID19*IQ19+$JA19*JN19)/$C19,2)</f>
        <v>#DIV/0!</v>
      </c>
      <c r="J19" s="1157" t="e">
        <f>ROUND(SUM($BB19*BP19+$BY19*CM19+$CV19*DJ19+$DS19*EG19+$EP19*FD19+$FM19*GA19+$GJ19*GX19+$HG19*HU19+$ID19*IR19+$JA19*JO19)/$C19,2)</f>
        <v>#DIV/0!</v>
      </c>
      <c r="K19" s="1157" t="e">
        <f>ROUND(SUM($BB19*BQ19+$BY19*CN19+$CV19*DK19+$DS19*EH19+$EP19*FE19+$FM19*GB19+$GJ19*GY19+$HG19*HV19+$ID19*IS19+$JA19*JP19)/$C19,2)</f>
        <v>#DIV/0!</v>
      </c>
      <c r="L19" s="496" t="e">
        <f t="shared" si="0"/>
        <v>#DIV/0!</v>
      </c>
      <c r="M19" s="496" t="e">
        <f t="shared" si="13"/>
        <v>#DIV/0!</v>
      </c>
      <c r="N19" s="1158" t="e">
        <f t="shared" si="1"/>
        <v>#DIV/0!</v>
      </c>
      <c r="P19" t="str">
        <f>'PIM Model'!E15</f>
        <v>INCLUDE</v>
      </c>
      <c r="Q19">
        <f t="shared" si="14"/>
        <v>0</v>
      </c>
      <c r="R19">
        <f t="shared" si="15"/>
        <v>0</v>
      </c>
      <c r="S19" s="102" t="s">
        <v>104</v>
      </c>
      <c r="T19" s="97">
        <f t="shared" si="16"/>
        <v>0</v>
      </c>
      <c r="U19" s="89">
        <f t="shared" si="2"/>
        <v>0</v>
      </c>
      <c r="V19" s="89">
        <f t="shared" si="3"/>
        <v>0</v>
      </c>
      <c r="W19" s="89">
        <f t="shared" si="4"/>
        <v>0</v>
      </c>
      <c r="X19" s="114">
        <f t="shared" si="5"/>
        <v>0</v>
      </c>
      <c r="Y19" s="117">
        <f t="shared" si="17"/>
        <v>0</v>
      </c>
      <c r="Z19" s="400"/>
      <c r="AA19" s="102" t="s">
        <v>104</v>
      </c>
      <c r="AB19" s="484">
        <f>SUMIFS($BB19:$JF19,$BB$12:$JF$12,AB$12)</f>
        <v>0</v>
      </c>
      <c r="AC19" s="485">
        <f>SUMIFS($BB19:$JF19,$BB$12:$JF$12,AC$12)</f>
        <v>0</v>
      </c>
      <c r="AD19" s="485">
        <f>SUMIFS($BB19:$JF19,$BB$12:$JF$12,AD$12)</f>
        <v>0</v>
      </c>
      <c r="AE19" s="486">
        <f t="shared" si="18"/>
        <v>0</v>
      </c>
      <c r="AF19" s="487">
        <f t="shared" si="19"/>
        <v>0</v>
      </c>
      <c r="AG19" s="400"/>
      <c r="AH19" s="102" t="s">
        <v>104</v>
      </c>
      <c r="AI19" s="484">
        <f t="shared" si="6"/>
        <v>0</v>
      </c>
      <c r="AJ19" s="481">
        <f t="shared" si="20"/>
        <v>0</v>
      </c>
      <c r="AK19" s="487"/>
      <c r="AL19" s="400"/>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400">
        <f>VLOOKUP($AH19&amp;$AM19,'IMargin Quartiles'!$A:$F,6,FALSE)</f>
        <v>0.18</v>
      </c>
      <c r="AO19" s="400"/>
      <c r="AP19"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Q19" s="400" t="e">
        <f t="shared" si="21"/>
        <v>#DIV/0!</v>
      </c>
      <c r="AR19">
        <f>'PIM Model'!C15</f>
        <v>0</v>
      </c>
      <c r="AS19" s="400"/>
      <c r="AT19" s="400"/>
      <c r="AU19" s="400" t="e">
        <f t="shared" si="42"/>
        <v>#DIV/0!</v>
      </c>
      <c r="AV19" s="400"/>
      <c r="AW19" s="400"/>
      <c r="AX19" s="108">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96" t="e">
        <f t="shared" si="22"/>
        <v>#DIV/0!</v>
      </c>
      <c r="BA19" s="102" t="s">
        <v>104</v>
      </c>
      <c r="BB19" s="94">
        <f>IFERROR(IF(AND($BB$2&lt;&gt;"Enter Spend&gt;&gt;&gt;",BC7="EXISTING"),SUMIFS('Existing Customers'!$Q:$Q,'Existing Customers'!$A:$A,$BB$1,'Existing Customers'!$H:$H,$BA19)*$BB$4,$BB$3*$AZ19),0)</f>
        <v>0</v>
      </c>
      <c r="BC19" s="95">
        <f>IFERROR(IF(AND($BB$2&lt;&gt;"Enter Spend&gt;&gt;&gt;",BC2="EXISTING"),SUMIFS('Existing Customers'!$N:$N,'Existing Customers'!$A:$A,$BB$1,'Existing Customers'!$H:$H,$BA19)*$BB$4,$BB19/$BM19),0)</f>
        <v>0</v>
      </c>
      <c r="BD19" s="95">
        <f>IFERROR(IF(AND($BB$2&lt;&gt;"Enter Spend&gt;&gt;&gt;",BC2="EXISTING"),SUMIFS('Existing Customers'!$O:$O,'Existing Customers'!$H:$H,$BA19,'Existing Customers'!$A:$A,$BB$1)*$BB$4,$BC19*$BB$8),0)</f>
        <v>0</v>
      </c>
      <c r="BE19" s="95">
        <f>IFERROR(IF(AND($BB$2&lt;&gt;"Enter Spend&gt;&gt;&gt;",BC2="EXISTING"),SUMIFS('Existing Customers'!$P:$P,'Existing Customers'!$A:$A,$BB$1,'Existing Customers'!$H:$H,$BA19)*$BB$4,$BB19/$BN19),0)</f>
        <v>0</v>
      </c>
      <c r="BF19" s="402">
        <f>IFERROR(IF(AND($BB$2&lt;&gt;"Enter Spend&gt;&gt;&gt;",BC2="EXISTING"),SUMIFS('Existing Customers'!$V:$V,'Existing Customers'!$H:$H,$BA19,'Existing Customers'!$A:$A,$BB$1)*$BB$4,0),0)</f>
        <v>0</v>
      </c>
      <c r="BG19" s="96">
        <f>IFERROR(IF(AND($BB$2&lt;&gt;"Enter Spend&gt;&gt;&gt;",BC2="EXISTING"),SUMIFS('Existing Customers'!$R:$R,'Existing Customers'!$H:$H,$BA19,'Existing Customers'!$A:$A,$BB$1)*$BB$4,0),0)</f>
        <v>0</v>
      </c>
      <c r="BH19" s="96">
        <f>IFERROR(IF(AND($BB$2&lt;&gt;"Enter Spend&gt;&gt;&gt;",BC2="EXISTING"),SUMIFS('Existing Customers'!$S:$S,'Existing Customers'!$H:$H,$BA19,'Existing Customers'!$A:$A,$BB$1),BR19*BB19),0)</f>
        <v>0</v>
      </c>
      <c r="BI19" s="96">
        <f>IFERROR(IF(AND($BB$2&lt;&gt;"Enter Spend&gt;&gt;&gt;",BC2="EXISTING"),SUMIFS('Existing Customers'!$U:$U,'Existing Customers'!$H:$H,$BA19,'Existing Customers'!$A:$A,$BB$1),BS19*BB19),0)</f>
        <v>0</v>
      </c>
      <c r="BJ19" s="1163" t="e">
        <f>_xlfn.CONCAT('Customer Inputs'!$AG$6,"_",BA19)</f>
        <v>#N/A</v>
      </c>
      <c r="BK19" s="1164">
        <f t="array" ref="BK19">IFERROR(INDEX('Margin Guidence Table'!$A$1:$AD$30000,MATCH(1,('Margin Guidence Table'!$A$1:$A$10000=$BJ19)*('Margin Guidence Table'!$I$1:$I$10000&lt;=ROUND($BB$3,0))*('Margin Guidence Table'!$J$1:$J$10000&gt;=ROUND($BB$3,0)),0),MATCH("DATA_POINTS",'Margin Guidence Table'!$A$1:$AG$1,0)),0)</f>
        <v>0</v>
      </c>
      <c r="BL19" s="1161" t="str">
        <f t="shared" si="23"/>
        <v>DEFAULT</v>
      </c>
      <c r="BM19" s="1161">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161">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165">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165">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165">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165">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165">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165">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9"/>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96" t="e">
        <f t="shared" si="24"/>
        <v>#DIV/0!</v>
      </c>
      <c r="BX19" s="102" t="s">
        <v>104</v>
      </c>
      <c r="BY19" s="94">
        <f>IFERROR(IF(AND($BY$2&lt;&gt;"Enter Spend&gt;&gt;&gt;",BZ7="EXISTING"),SUMIFS('Existing Customers'!$Q:$Q,'Existing Customers'!$A:$A,$BY$1,'Existing Customers'!$H:$H,$BX19)*$BY$4,$BY$3*$BW19),0)</f>
        <v>0</v>
      </c>
      <c r="BZ19" s="89">
        <f>IFERROR(IF(AND($BY$2&lt;&gt;"Enter Spend&gt;&gt;&gt;",BZ2="EXISTING"),SUMIFS('Existing Customers'!$N:$N,'Existing Customers'!$A:$A,$BY$1,'Existing Customers'!$H:$H,$BX19)*$BY$4,$BY19/$CJ19),0)</f>
        <v>0</v>
      </c>
      <c r="CA19" s="95">
        <f>IFERROR(IF(AND($BY$2&lt;&gt;"Enter Spend&gt;&gt;&gt;",BZ2="EXISTING"),SUMIFS('Existing Customers'!$O:$O,'Existing Customers'!$H:$H,$BX19,'Existing Customers'!$A:$A,$BY$1)*$BY$4,$BZ19*$BY$8),0)</f>
        <v>0</v>
      </c>
      <c r="CB19" s="95">
        <f>IFERROR(IF(AND($BY$2&lt;&gt;"Enter Spend&gt;&gt;&gt;",BZ2="EXISTING"),SUMIFS('Existing Customers'!$P:$P,'Existing Customers'!$A:$A,$BY$1,'Existing Customers'!$H:$H,$BX19)*$BY$4,$BY19/$CK19),0)</f>
        <v>0</v>
      </c>
      <c r="CC19" s="96">
        <f>IFERROR(IF(AND($BY$2&lt;&gt;"Enter Spend&gt;&gt;&gt;",BZ2="EXISTING"),SUMIFS('Existing Customers'!$V:$V,'Existing Customers'!$H:$H,$BX19,'Existing Customers'!$A:$A,$BY$1)*$BY$4,0),0)</f>
        <v>0</v>
      </c>
      <c r="CD19" s="96">
        <f>IFERROR(IF(AND($BY$2&lt;&gt;"Enter Spend&gt;&gt;&gt;",BZ2="EXISTING"),SUMIFS('Existing Customers'!$R:$R,'Existing Customers'!$H:$H,$BX19,'Existing Customers'!$A:$A,$BY$1)*$BY$4,0),0)</f>
        <v>0</v>
      </c>
      <c r="CE19" s="1161">
        <f>IFERROR(IF(AND($BY$2&lt;&gt;"Enter Spend&gt;&gt;&gt;",BZ2="EXISTING"),SUMIFS('Existing Customers'!$S:$S,'Existing Customers'!$H:$H,$BX19,'Existing Customers'!$A:$A,$BY$1),CO19*BY19),0)</f>
        <v>0</v>
      </c>
      <c r="CF19" s="1161">
        <f>IFERROR(IF(AND($BY$2&lt;&gt;"Enter Spend&gt;&gt;&gt;",BZ2="EXISTING"),SUMIFS('Existing Customers'!$U:$U,'Existing Customers'!$H:$H,$BX19,'Existing Customers'!$A:$A,$BY$1),CP19*BY19),0)</f>
        <v>0</v>
      </c>
      <c r="CG19" s="1164" t="e">
        <f>_xlfn.CONCAT('Customer Inputs'!$AG$7,"_",BX19)</f>
        <v>#N/A</v>
      </c>
      <c r="CH19" s="1164">
        <f t="array" ref="CH19">IFERROR(INDEX('Margin Guidence Table'!$A$1:$AD$30000,MATCH(1,('Margin Guidence Table'!$A$1:$A$10000=$CG19)*('Margin Guidence Table'!$I$1:$I$10000&lt;=ROUND($BY$3,0))*('Margin Guidence Table'!$J$1:$J$10000&gt;=ROUND($BY$3,0)),0),MATCH("DATA_POINTS",'Margin Guidence Table'!$A$1:$AG$1,0)),0)</f>
        <v>0</v>
      </c>
      <c r="CI19" s="1161" t="str">
        <f t="shared" si="25"/>
        <v>DEFAULT</v>
      </c>
      <c r="CJ19" s="1161">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161">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165">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165">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165">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165">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165">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165">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9"/>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96" t="e">
        <f t="shared" si="26"/>
        <v>#DIV/0!</v>
      </c>
      <c r="CU19" s="102" t="s">
        <v>104</v>
      </c>
      <c r="CV19" s="94">
        <f>IFERROR(IF(AND($CV$2&lt;&gt;"Enter Spend&gt;&gt;&gt;",CW7="EXISTING"),SUMIFS('Existing Customers'!$Q:$Q,'Existing Customers'!$A:$A,$CV$1,'Existing Customers'!$H:$H,$CU19)*$CV$4,$CV$3*$CT19),0)</f>
        <v>0</v>
      </c>
      <c r="CW19" s="89">
        <f>IFERROR(IF(AND($CV$2&lt;&gt;"Enter Spend&gt;&gt;&gt;",CW2="EXISTING"),SUMIFS('Existing Customers'!$N:$N,'Existing Customers'!$A:$A,$CV$1,'Existing Customers'!$H:$H,$CU19)*$CV$4,$CV19/$DG19),0)</f>
        <v>0</v>
      </c>
      <c r="CX19" s="95">
        <f>IFERROR(IF(AND($CV$2&lt;&gt;"Enter Spend&gt;&gt;&gt;",BC28="EXISTING"),SUMIFS('Existing Customers'!$O:$O,'Existing Customers'!$H:$H,$CU19,'Existing Customers'!$A:$A,$CV$1)*$CV$4,$CW19*$CV$8),0)</f>
        <v>0</v>
      </c>
      <c r="CY19" s="95">
        <f>IFERROR(IF(AND($CV$2&lt;&gt;"Enter Spend&gt;&gt;&gt;",CW2="EXISTING"),SUMIFS('Existing Customers'!$P:$P,'Existing Customers'!$A:$A,$CV$1,'Existing Customers'!$H:$H,$CU19)*$CV$4,$CV19/$DH19),0)</f>
        <v>0</v>
      </c>
      <c r="CZ19" s="96">
        <f>IFERROR(IF(AND($CV$2&lt;&gt;"Enter Spend&gt;&gt;&gt;",CW2="EXISTING"),SUMIFS('Existing Customers'!$V:$V,'Existing Customers'!$H:$H,$CU19,'Existing Customers'!$A:$A,$CV$1)*$CV$4,0),0)</f>
        <v>0</v>
      </c>
      <c r="DA19" s="96">
        <f>IFERROR(IF(AND($CV$2&lt;&gt;"Enter Spend&gt;&gt;&gt;",CW2="EXISTING"),SUMIFS('Existing Customers'!$R:$R,'Existing Customers'!$H:$H,$BA19,'Existing Customers'!$A:$A,$CV$1)*$CV$4,0),0)</f>
        <v>0</v>
      </c>
      <c r="DB19" s="1161">
        <f>IFERROR(IF(AND($CV$2&lt;&gt;"Enter Spend&gt;&gt;&gt;",CW2="EXISTING"),SUMIFS('Existing Customers'!$S:$S,'Existing Customers'!$H:$H,$CU19,'Existing Customers'!$A:$A,$CV$1),DL19*CV19),0)</f>
        <v>0</v>
      </c>
      <c r="DC19" s="1161">
        <f>IFERROR(IF(AND($CV$2&lt;&gt;"Enter Spend&gt;&gt;&gt;",CW2="EXISTING"),SUMIFS('Existing Customers'!$U:$U,'Existing Customers'!$H:$H,$CU19,'Existing Customers'!$A:$A,$CV$1),DM19*CV19),0)</f>
        <v>0</v>
      </c>
      <c r="DD19" s="1164" t="e">
        <f>_xlfn.CONCAT('Customer Inputs'!$AG$8,"_",CU19)</f>
        <v>#N/A</v>
      </c>
      <c r="DE19" s="1164">
        <f t="array" ref="DE19">IFERROR(INDEX('Margin Guidence Table'!$A$1:$AD$30000,MATCH(1,('Margin Guidence Table'!$A$1:$A$10000=DD19)*('Margin Guidence Table'!$I$1:$I$10000&lt;=ROUND($CV$3,0))*('Margin Guidence Table'!$J$1:$J$10000&gt;=ROUND($CV$3,0)),0),MATCH("DATA_POINTS",'Margin Guidence Table'!$A$1:$AG$1,0)),0)</f>
        <v>0</v>
      </c>
      <c r="DF19" s="1161" t="str">
        <f t="shared" si="27"/>
        <v>DEFAULT</v>
      </c>
      <c r="DG19" s="1161">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161">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165">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165">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165">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165">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165">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165">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9"/>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96" t="e">
        <f t="shared" si="28"/>
        <v>#DIV/0!</v>
      </c>
      <c r="DR19" s="102" t="s">
        <v>104</v>
      </c>
      <c r="DS19" s="94">
        <f>IFERROR(IF(AND($DS$2&lt;&gt;"Enter Spend&gt;&gt;&gt;",DT7="EXISTING"),SUMIFS('Existing Customers'!$Q:$Q,'Existing Customers'!$A:$A,$DS$1,'Existing Customers'!$H:$H,$DR19)*$DS$4,$DS$3*$DQ19),0)</f>
        <v>0</v>
      </c>
      <c r="DT19" s="89">
        <f>IFERROR(IF(AND($DS$2&lt;&gt;"Enter Spend&gt;&gt;&gt;",DT2="EXISTING"),SUMIFS('Existing Customers'!$N:$N,'Existing Customers'!$A:$A,$DS$1,'Existing Customers'!$H:$H,$DR19)*$DS$4,$DS19/$ED19),0)</f>
        <v>0</v>
      </c>
      <c r="DU19" s="95">
        <f>IFERROR(IF(AND($DS$2&lt;&gt;"Enter Spend&gt;&gt;&gt;",DT2="EXISTING"),SUMIFS('Existing Customers'!$O:$O,'Existing Customers'!$H:$H,$DR19,'Existing Customers'!$A:$A,$DS$1)*$DS$4,$DT19*$DS$8),0)</f>
        <v>0</v>
      </c>
      <c r="DV19" s="95">
        <f>IFERROR(IF(AND($DS$2&lt;&gt;"Enter Spend&gt;&gt;&gt;",DT2="EXISTING"),SUMIFS('Existing Customers'!$P:$P,'Existing Customers'!$A:$A,$DS$1,'Existing Customers'!$H:$H,$DR19)*$DS$4,$DS19/$EE19),0)</f>
        <v>0</v>
      </c>
      <c r="DW19" s="96">
        <f>IFERROR(IF(AND($DS$2&lt;&gt;"Enter Spend&gt;&gt;&gt;",EQ2="EXISTING"),SUMIFS('Existing Customers'!$V:$V,'Existing Customers'!$H:$H,$DR19,'Existing Customers'!$A:$A,$DS$1)*$DS$4,0),0)</f>
        <v>0</v>
      </c>
      <c r="DX19" s="96">
        <f>IFERROR(IF(AND($DS$2&lt;&gt;"Enter Spend&gt;&gt;&gt;",DT2="EXISTING"),SUMIFS('Existing Customers'!$R:$R,'Existing Customers'!$H:$H,$DR19,'Existing Customers'!$A:$A,$DS$1)*$DS$4,0),0)</f>
        <v>0</v>
      </c>
      <c r="DY19" s="1161">
        <f>IFERROR(IF(AND($DS$2&lt;&gt;"Enter Spend&gt;&gt;&gt;",DT2="EXISTING"),SUMIFS('Existing Customers'!$S:$S,'Existing Customers'!$H:$H,$DT19,'Existing Customers'!$A:$A,$DS$1),EI19*DS19),0)</f>
        <v>0</v>
      </c>
      <c r="DZ19" s="1161">
        <f>IFERROR(IF(AND($DS$2&lt;&gt;"Enter Spend&gt;&gt;&gt;",DT2="EXISTING"),SUMIFS('Existing Customers'!$U:$U,'Existing Customers'!$H:$H,$DR19,'Existing Customers'!$A:$A,$DS$1),EJ19*DS19),0)</f>
        <v>0</v>
      </c>
      <c r="EA19" s="1164" t="e">
        <f>_xlfn.CONCAT('Customer Inputs'!$AG$9,"_",DR19)</f>
        <v>#N/A</v>
      </c>
      <c r="EB19" s="1164">
        <f t="array" ref="EB19">IFERROR(INDEX('Margin Guidence Table'!$A$1:$AD$30000,MATCH(1,('Margin Guidence Table'!$A$1:$A$10000=EA19)*('Margin Guidence Table'!$I$1:$I$10000&lt;=ROUND($DS$3,0))*('Margin Guidence Table'!$J$1:$J$10000&gt;=ROUND($DS$3,0)),0),MATCH("DATA_POINTS",'Margin Guidence Table'!$A$1:$AG$1,0)),0)</f>
        <v>0</v>
      </c>
      <c r="EC19" s="1161" t="str">
        <f t="shared" si="29"/>
        <v>DEFAULT</v>
      </c>
      <c r="ED19" s="1161">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161">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165">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165">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165">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165">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165">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165">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9"/>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96" t="e">
        <f t="shared" si="30"/>
        <v>#DIV/0!</v>
      </c>
      <c r="EO19" s="102" t="s">
        <v>104</v>
      </c>
      <c r="EP19" s="94">
        <f>IFERROR(IF(AND($EP$2&lt;&gt;"Enter Spend&gt;&gt;&gt;",EQ7="EXISTING"),SUMIFS('Existing Customers'!$Q:$Q,'Existing Customers'!$A:$A,$EP$1,'Existing Customers'!$H:$H,$EO19)*$EP$4,$EP$3*$EN19),0)</f>
        <v>0</v>
      </c>
      <c r="EQ19" s="89">
        <f>IFERROR(IF(AND($EP$2&lt;&gt;"Enter Spend&gt;&gt;&gt;",EQ2="EXISTING"),SUMIFS('Existing Customers'!$N:$N,'Existing Customers'!$A:$A,$EP$1,'Existing Customers'!$H:$H,$EO19)*$EP$4,$EP19/$FA19),0)</f>
        <v>0</v>
      </c>
      <c r="ER19" s="95">
        <f>IFERROR(IF(AND($EP$2&lt;&gt;"Enter Spend&gt;&gt;&gt;",EQ2="EXISTING"),SUMIFS('Existing Customers'!$O:$O,'Existing Customers'!$H:$H,$EO19,'Existing Customers'!$A:$A,$EP$1)*$EP$4,$EQ19*$EP$8),0)</f>
        <v>0</v>
      </c>
      <c r="ES19" s="95">
        <f>IFERROR(IF(AND($EP$2&lt;&gt;"Enter Spend&gt;&gt;&gt;",EQ2="EXISTING"),SUMIFS('Existing Customers'!$P:$P,'Existing Customers'!$A:$A,$EP$1,'Existing Customers'!$H:$H,$EO19)*$EP$4,$EP19/$FB19),0)</f>
        <v>0</v>
      </c>
      <c r="ET19" s="96">
        <f>IFERROR(IF(AND($EP$2&lt;&gt;"Enter Spend&gt;&gt;&gt;",EQ2="EXISTING"),SUMIFS('Existing Customers'!$V:$V,'Existing Customers'!$H:$H,$EO19,'Existing Customers'!$A:$A,$EP$1)*$EP$4,0),0)</f>
        <v>0</v>
      </c>
      <c r="EU19" s="96">
        <f>IFERROR(IF(AND($EP$2&lt;&gt;"Enter Spend&gt;&gt;&gt;",EQ2="EXISTING"),SUMIFS('Existing Customers'!$R:$R,'Existing Customers'!$H:$H,$EO19,'Existing Customers'!$A:$A,$EP$1)*$EP$4,0),0)</f>
        <v>0</v>
      </c>
      <c r="EV19" s="1161">
        <f>IFERROR(IF(AND($EP$2&lt;&gt;"Enter Spend&gt;&gt;&gt;",EQ2="EXISTING"),SUMIFS('Existing Customers'!$S:$S,'Existing Customers'!$H:$H,$EO19,'Existing Customers'!$A:$A,$EP$1),FF19*EP19),0)</f>
        <v>0</v>
      </c>
      <c r="EW19" s="1161">
        <f>IFERROR(IF(AND($EP$2&lt;&gt;"Enter Spend&gt;&gt;&gt;",EQ2="EXISTING"),SUMIFS('Existing Customers'!$U:$U,'Existing Customers'!$H:$H,$EO19,'Existing Customers'!$A:$A,$EP$1),FG19*EP19),0)</f>
        <v>0</v>
      </c>
      <c r="EX19" s="1164" t="e">
        <f>_xlfn.CONCAT('Customer Inputs'!$AG$10,"_",EO19)</f>
        <v>#N/A</v>
      </c>
      <c r="EY19" s="1164">
        <f t="array" ref="EY19">IFERROR(INDEX('Margin Guidence Table'!$A$1:$AD$30000,MATCH(1,('Margin Guidence Table'!$A$1:$A$10000=EX19)*('Margin Guidence Table'!$I$1:$I$10000&lt;=ROUND($EP$3,0))*('Margin Guidence Table'!$J$1:$J$10000&gt;=ROUND($EP$3,0)),0),MATCH("DATA_POINTS",'Margin Guidence Table'!$A$1:$AG$1,0)),0)</f>
        <v>0</v>
      </c>
      <c r="EZ19" s="1161" t="str">
        <f t="shared" si="31"/>
        <v>DEFAULT</v>
      </c>
      <c r="FA19" s="1161">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161"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165">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165">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165">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165">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165">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165">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9"/>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96" t="e">
        <f t="shared" si="32"/>
        <v>#DIV/0!</v>
      </c>
      <c r="FL19" s="102" t="s">
        <v>104</v>
      </c>
      <c r="FM19" s="94">
        <f>IFERROR(IF(AND($FM$2&lt;&gt;"Enter Spend&gt;&gt;&gt;",FN7="EXISTING"),SUMIFS('Existing Customers'!$Q:$Q,'Existing Customers'!$A:$A,$FM$1,'Existing Customers'!$H:$H,$FL19)*$FM$4,$FM$3*$FK19),0)</f>
        <v>0</v>
      </c>
      <c r="FN19" s="89">
        <f>IFERROR(IF(AND($FM$2&lt;&gt;"Enter Spend&gt;&gt;&gt;",FN2="EXISTING"),SUMIFS('Existing Customers'!$N:$N,'Existing Customers'!$A:$A,$FM$1,'Existing Customers'!$H:$H,$FL19)*$FM$4,$FM19/$FX19),0)</f>
        <v>0</v>
      </c>
      <c r="FO19" s="95">
        <f>IFERROR(IF(AND($FM$2&lt;&gt;"Enter Spend&gt;&gt;&gt;",FN2="EXISTING"),SUMIFS('Existing Customers'!$O:$O,'Existing Customers'!$H:$H,$FL19,'Existing Customers'!$A:$A,$FM$1)*$FM$4,$FN19*$FM$8),0)</f>
        <v>0</v>
      </c>
      <c r="FP19" s="95">
        <f>IFERROR(IF(AND($FM$2&lt;&gt;"Enter Spend&gt;&gt;&gt;",FN2="EXISTING"),SUMIFS('Existing Customers'!$P:$P,'Existing Customers'!$A:$A,$FM$1,'Existing Customers'!$H:$H,$FL19)*$FM$4,$FM19/$FY19),0)</f>
        <v>0</v>
      </c>
      <c r="FQ19" s="96">
        <f>IFERROR(IF(AND($FM$2&lt;&gt;"Enter Spend&gt;&gt;&gt;",FN2="EXISTING"),SUMIFS('Existing Customers'!$V:$V,'Existing Customers'!$H:$H,$FL19,'Existing Customers'!$A:$A,$FM$1)*$FM$4,0),0)</f>
        <v>0</v>
      </c>
      <c r="FR19" s="96">
        <f>IFERROR(IF(AND($FM$2&lt;&gt;"Enter Spend&gt;&gt;&gt;",FN2="EXISTING"),SUMIFS('Existing Customers'!$R:$R,'Existing Customers'!$H:$H,$FL19,'Existing Customers'!$A:$A,$FM$1)*$FM$4,0),0)</f>
        <v>0</v>
      </c>
      <c r="FS19" s="1161">
        <f>IFERROR(IF(AND($FM$2&lt;&gt;"Enter Spend&gt;&gt;&gt;",FN2="EXISTING"),SUMIFS('Existing Customers'!$S:$S,'Existing Customers'!$H:$H,$FL19,'Existing Customers'!$A:$A,$FM$1),GC19*FM19),0)</f>
        <v>0</v>
      </c>
      <c r="FT19" s="1161">
        <f>IFERROR(IF(AND($FM$2&lt;&gt;"Enter Spend&gt;&gt;&gt;",FN2="EXISTING"),SUMIFS('Existing Customers'!$U:$U,'Existing Customers'!$H:$H,$FL19,'Existing Customers'!$A:$A,$FM$1),GD19*FM19),0)</f>
        <v>0</v>
      </c>
      <c r="FU19" s="1164" t="e">
        <f>_xlfn.CONCAT('Customer Inputs'!$AG$11,"_",FL19)</f>
        <v>#N/A</v>
      </c>
      <c r="FV19" s="1164">
        <f t="array" ref="FV19">IFERROR(INDEX('Margin Guidence Table'!$A$1:$AD$30000,MATCH(1,('Margin Guidence Table'!$A$1:$A$10000=FU19)*('Margin Guidence Table'!$I$1:$I$10000&lt;=ROUND($FM$3,0))*('Margin Guidence Table'!$J$1:$J$10000&gt;=ROUND($FM$3,0)),0),MATCH("DATA_POINTS",'Margin Guidence Table'!$A$1:$AG$1,0)),0)</f>
        <v>0</v>
      </c>
      <c r="FW19" s="1161" t="str">
        <f t="shared" si="33"/>
        <v>DEFAULT</v>
      </c>
      <c r="FX19" s="1161">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161">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165">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165">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165">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165">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165">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165">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9"/>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96" t="e">
        <f t="shared" si="34"/>
        <v>#DIV/0!</v>
      </c>
      <c r="GI19" s="102" t="s">
        <v>104</v>
      </c>
      <c r="GJ19" s="94">
        <f>IFERROR(IF(AND($GJ$2&lt;&gt;"Enter Spend&gt;&gt;&gt;",GK7="EXISTING"),SUMIFS('Existing Customers'!$Q:$Q,'Existing Customers'!$A:$A,$GJ$1,'Existing Customers'!$H:$H,$GI19)*$GJ$4,$GJ$3*$GH19),0)</f>
        <v>0</v>
      </c>
      <c r="GK19" s="89">
        <f>IFERROR(IF(AND($GJ$2&lt;&gt;"Enter Spend&gt;&gt;&gt;",GK2="EXISTING"),SUMIFS('Existing Customers'!$N:$N,'Existing Customers'!$A:$A,$GJ$1,'Existing Customers'!$H:$H,$GI19)*$GJ$4,$GJ19/$GU19),0)</f>
        <v>0</v>
      </c>
      <c r="GL19" s="95">
        <f>IFERROR(IF(AND($GJ$2&lt;&gt;"Enter Spend&gt;&gt;&gt;",GK2="EXISTING"),SUMIFS('Existing Customers'!$O:$O,'Existing Customers'!$H:$H,$GI19,'Existing Customers'!$A:$A,$GJ$1)*$GJ$4,$GK19*$GJ$8),0)</f>
        <v>0</v>
      </c>
      <c r="GM19" s="95">
        <f>IFERROR(IF(AND($GJ$2&lt;&gt;"Enter Spend&gt;&gt;&gt;",GK2="EXISTING"),SUMIFS('Existing Customers'!$P:$P,'Existing Customers'!$A:$A,$GJ$1,'Existing Customers'!$H:$H,$GI19)*$GJ$4,$GJ19/$GV19),0)</f>
        <v>0</v>
      </c>
      <c r="GN19" s="96">
        <f>IFERROR(IF(AND($GJ$2&lt;&gt;"Enter Spend&gt;&gt;&gt;",GK2="EXISTING"),SUMIFS('Existing Customers'!$V:$V,'Existing Customers'!$H:$H,$GI19,'Existing Customers'!$A:$A,$GJ$1)*$GJ$4,0),0)</f>
        <v>0</v>
      </c>
      <c r="GO19" s="96">
        <f>IFERROR(IF(AND($GJ$2&lt;&gt;"Enter Spend&gt;&gt;&gt;",GK2="EXISTING"),SUMIFS('Existing Customers'!$R:$R,'Existing Customers'!$H:$H,$GI19,'Existing Customers'!$A:$A,$GJ$1)*$GJ$4,0),0)</f>
        <v>0</v>
      </c>
      <c r="GP19" s="1161">
        <f>IFERROR(IF(AND($GJ$2&lt;&gt;"Enter Spend&gt;&gt;&gt;",GK2="EXISTING"),SUMIFS('Existing Customers'!$S:$S,'Existing Customers'!$H:$H,$GI19,'Existing Customers'!$A:$A,$GJ$1),GZ19*GJ19),0)</f>
        <v>0</v>
      </c>
      <c r="GQ19" s="1161">
        <f>IFERROR(IF(AND($GJ$2&lt;&gt;"Enter Spend&gt;&gt;&gt;",GK2="EXISTING"),SUMIFS('Existing Customers'!$U:$U,'Existing Customers'!$H:$H,$GI19,'Existing Customers'!$A:$A,$GJ$1),HA19*GJ19),0)</f>
        <v>0</v>
      </c>
      <c r="GR19" s="1164" t="e">
        <f>_xlfn.CONCAT('Customer Inputs'!$AG$12,"_",GI19)</f>
        <v>#N/A</v>
      </c>
      <c r="GS19" s="1164">
        <f t="array" ref="GS19">IFERROR(INDEX('Margin Guidence Table'!$A$1:$AD$30000,MATCH(1,('Margin Guidence Table'!$A$1:$A$10000=GR19)*('Margin Guidence Table'!$I$1:$I$10000&lt;=ROUND($GJ$3,0))*('Margin Guidence Table'!$J$1:$J$10000&gt;=ROUND($GJ$3,0)),0),MATCH("DATA_POINTS",'Margin Guidence Table'!$A$1:$AG$1,0)),0)</f>
        <v>0</v>
      </c>
      <c r="GT19" s="1161" t="str">
        <f t="shared" si="35"/>
        <v>DEFAULT</v>
      </c>
      <c r="GU19" s="1161">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161">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165">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165">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165">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165">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165">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165">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9"/>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96" t="e">
        <f t="shared" si="36"/>
        <v>#DIV/0!</v>
      </c>
      <c r="HF19" s="102" t="s">
        <v>104</v>
      </c>
      <c r="HG19" s="94">
        <f>IFERROR(IF(AND($HG$2&lt;&gt;"Enter Spend&gt;&gt;&gt;",HH7="EXISTING"),SUMIFS('Existing Customers'!$Q:$Q,'Existing Customers'!$A:$A,$HG$1,'Existing Customers'!$H:$H,$HF19)*$HG$4,$HG$3*$HE19),0)</f>
        <v>0</v>
      </c>
      <c r="HH19" s="89">
        <f>IFERROR(IF(AND($HG$2&lt;&gt;"Enter Spend&gt;&gt;&gt;",HH2="EXISTING"),SUMIFS('Existing Customers'!$N:$N,'Existing Customers'!$A:$A,$HG$1,'Existing Customers'!$H:$H,$HF19)*$HG$4,$HG19/$HR19),0)</f>
        <v>0</v>
      </c>
      <c r="HI19" s="95">
        <f>IFERROR(IF(AND($HG$2&lt;&gt;"Enter Spend&gt;&gt;&gt;",HH2="EXISTING"),SUMIFS('Existing Customers'!$O:$O,'Existing Customers'!$H:$H,$HF19,'Existing Customers'!$A:$A,$HG$1)*$HG$4,$HH19*$HG$8),0)</f>
        <v>0</v>
      </c>
      <c r="HJ19" s="95">
        <f>IFERROR(IF(AND($HG$2&lt;&gt;"Enter Spend&gt;&gt;&gt;",HH2="EXISTING"),SUMIFS('Existing Customers'!$P:$P,'Existing Customers'!$A:$A,$HG$1,'Existing Customers'!$H:$H,$HF19)*$HG$4,$HG19/$HS19),0)</f>
        <v>0</v>
      </c>
      <c r="HK19" s="96">
        <f>IFERROR(IF(AND($HG$2&lt;&gt;"Enter Spend&gt;&gt;&gt;",HH2="EXISTING"),SUMIFS('Existing Customers'!$V:$V,'Existing Customers'!$H:$H,$HF19,'Existing Customers'!$A:$A,$HG$1)*$HG$4,0),0)</f>
        <v>0</v>
      </c>
      <c r="HL19" s="96">
        <f>IFERROR(IF(AND($HG$2&lt;&gt;"Enter Spend&gt;&gt;&gt;",HH2="EXISTING"),SUMIFS('Existing Customers'!$R:$R,'Existing Customers'!$H:$H,$HF19,'Existing Customers'!$A:$A,$HG$1)*$HG$4,0),0)</f>
        <v>0</v>
      </c>
      <c r="HM19" s="1161">
        <f>IFERROR(IF(AND($HG$2&lt;&gt;"Enter Spend&gt;&gt;&gt;",HH2="EXISTING"),SUMIFS('Existing Customers'!$S:$S,'Existing Customers'!$H:$H,$HF19,'Existing Customers'!$A:$A,$HG$1),HW19*HG19),0)</f>
        <v>0</v>
      </c>
      <c r="HN19" s="1161">
        <f>IFERROR(IF(AND($HG$2&lt;&gt;"Enter Spend&gt;&gt;&gt;",HH2="EXISTING"),SUMIFS('Existing Customers'!$U:$U,'Existing Customers'!$H:$H,$HF19,'Existing Customers'!$A:$A,$HG$1),HX19*HG19),0)</f>
        <v>0</v>
      </c>
      <c r="HO19" s="1164" t="e">
        <f>_xlfn.CONCAT('Customer Inputs'!$AG$13,"_",HF19)</f>
        <v>#N/A</v>
      </c>
      <c r="HP19" s="1164">
        <f t="array" ref="HP19">IFERROR(INDEX('Margin Guidence Table'!$A$1:$AD$30000,MATCH(1,('Margin Guidence Table'!$A$1:$A$10000=HO19)*('Margin Guidence Table'!$I$1:$I$10000&lt;=ROUND($HG$3,0))*('Margin Guidence Table'!$J$1:$J$10000&gt;=ROUND($HG$3,0)),0),MATCH("DATA_POINTS",'Margin Guidence Table'!$A$1:$AG$1,0)),0)</f>
        <v>0</v>
      </c>
      <c r="HQ19" s="1161" t="str">
        <f t="shared" si="37"/>
        <v>DEFAULT</v>
      </c>
      <c r="HR19" s="1161">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161">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165">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165">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165">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165">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165">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165">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9"/>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96" t="e">
        <f t="shared" si="38"/>
        <v>#DIV/0!</v>
      </c>
      <c r="IC19" s="102" t="s">
        <v>104</v>
      </c>
      <c r="ID19" s="94">
        <f>IFERROR(IF(AND($ID$2&lt;&gt;"Enter Spend&gt;&gt;&gt;",IE7="EXISTING"),SUMIFS('Existing Customers'!$Q:$Q,'Existing Customers'!$A:$A,$ID$1,'Existing Customers'!$H:$H,$IC19)*$ID$4,$ID$3*$IB19),0)</f>
        <v>0</v>
      </c>
      <c r="IE19" s="89">
        <f>IFERROR(IF(AND($ID$2&lt;&gt;"Enter Spend&gt;&gt;&gt;",IE2="EXISTING"),SUMIFS('Existing Customers'!$N:$N,'Existing Customers'!$A:$A,$ID$1,'Existing Customers'!$H:$H,$IC19)*$ID$4,$ID19/$IO19),0)</f>
        <v>0</v>
      </c>
      <c r="IF19" s="95">
        <f>IFERROR(IF(AND($ID$2&lt;&gt;"Enter Spend&gt;&gt;&gt;",IE2="EXISTING"),SUMIFS('Existing Customers'!$O:$O,'Existing Customers'!$H:$H,$IC19,'Existing Customers'!$A:$A,$ID$1)*$ID$4,$IE19*$ID$8),0)</f>
        <v>0</v>
      </c>
      <c r="IG19" s="95">
        <f>IFERROR(IF(AND($ID$2&lt;&gt;"Enter Spend&gt;&gt;&gt;",IE2="EXISTING"),SUMIFS('Existing Customers'!$P:$P,'Existing Customers'!$A:$A,$ID$1,'Existing Customers'!$H:$H,$IC19)*$ID$4,$ID19/$IP19),0)</f>
        <v>0</v>
      </c>
      <c r="IH19" s="402">
        <f>IFERROR(IF(AND($ID$2&lt;&gt;"Enter Spend&gt;&gt;&gt;",IE2="EXISTING"),SUMIFS('Existing Customers'!$V:$V,'Existing Customers'!$H:$H,$IC19,'Existing Customers'!$A:$A,$ID$1)*$ID$4,0),0)</f>
        <v>0</v>
      </c>
      <c r="II19" s="96">
        <f>IFERROR(IF(AND($ID$2&lt;&gt;"Enter Spend&gt;&gt;&gt;",IE2="EXISTING"),SUMIFS('Existing Customers'!$R:$R,'Existing Customers'!$H:$H,$IC19,'Existing Customers'!$A:$A,$ID$1)*$ID$4,0),0)</f>
        <v>0</v>
      </c>
      <c r="IJ19" s="1161">
        <f>IFERROR(IF(AND($ID$2&lt;&gt;"Enter Spend&gt;&gt;&gt;",IE2="EXISTING"),SUMIFS('Existing Customers'!$S:$S,'Existing Customers'!$H:$H,$IC19,'Existing Customers'!$A:$A,$ID$1),IT19*ID19),0)</f>
        <v>0</v>
      </c>
      <c r="IK19" s="1161">
        <f>IFERROR(IF(AND($ID$2&lt;&gt;"Enter Spend&gt;&gt;&gt;",IE2="EXISTING"),SUMIFS('Existing Customers'!$U:$U,'Existing Customers'!$H:$H,$IC19,'Existing Customers'!$A:$A,$ID$1),IU19*ID19),0)</f>
        <v>0</v>
      </c>
      <c r="IL19" s="1164" t="e">
        <f>_xlfn.CONCAT('Customer Inputs'!$AG$14,"_",IC19)</f>
        <v>#N/A</v>
      </c>
      <c r="IM19" s="1164">
        <f t="array" ref="IM19">IFERROR(INDEX('Margin Guidence Table'!$A$1:$AD$30000,MATCH(1,('Margin Guidence Table'!$A$1:$A$10000=IL19)*('Margin Guidence Table'!$I$1:$I$10000&lt;=ROUND($ID$3,0))*('Margin Guidence Table'!$J$1:$J$10000&gt;=ROUND($ID$3,0)),0),MATCH("DATA_POINTS",'Margin Guidence Table'!$A$1:$AG$1,0)),0)</f>
        <v>0</v>
      </c>
      <c r="IN19" s="1161" t="str">
        <f t="shared" si="39"/>
        <v>DEFAULT</v>
      </c>
      <c r="IO19" s="1161">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161">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165">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165">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165">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165">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165">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165">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9"/>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96" t="e">
        <f t="shared" si="40"/>
        <v>#DIV/0!</v>
      </c>
      <c r="IZ19" s="102" t="s">
        <v>104</v>
      </c>
      <c r="JA19" s="94">
        <f>IFERROR(IF(AND($JA$2&lt;&gt;"Enter Spend&gt;&gt;&gt;",JB7="EXISTING"),SUMIFS('Existing Customers'!$Q:$Q,'Existing Customers'!$A:$A,$JA$1,'Existing Customers'!$H:$H,$IZ19)*$JA$4,$JA$3*$IY19),0)</f>
        <v>0</v>
      </c>
      <c r="JB19" s="89">
        <f>IFERROR(IF(AND($JA$2&lt;&gt;"Enter Spend&gt;&gt;&gt;",JB2="EXISTING"),SUMIFS('Existing Customers'!$N:$N,'Existing Customers'!$A:$A,$JA$1,'Existing Customers'!$H:$H,$IZ19)*$JA$4,$JA19/$JL19),0)</f>
        <v>0</v>
      </c>
      <c r="JC19" s="95">
        <f>IFERROR(IF(AND($JA$2&lt;&gt;"Enter Spend&gt;&gt;&gt;",JB2="EXISTING"),SUMIFS('Existing Customers'!$O:$O,'Existing Customers'!$H:$H,$IZ19,'Existing Customers'!$A:$A,$JA$1)*$JA$4,$JB19*$JA$8),0)</f>
        <v>0</v>
      </c>
      <c r="JD19" s="95">
        <f>IFERROR(IF(AND($JA$2&lt;&gt;"Enter Spend&gt;&gt;&gt;",JB2="EXISTING"),SUMIFS('Existing Customers'!$P:$P,'Existing Customers'!$A:$A,$JA$1,'Existing Customers'!$H:$H,$IZ19)*$JA$4,$JA19/$JM19),0)</f>
        <v>0</v>
      </c>
      <c r="JE19" s="402">
        <f>IFERROR(IF(AND($JA$2&lt;&gt;"Enter Spend&gt;&gt;&gt;",JB2="EXISTING"),SUMIFS('Existing Customers'!$V:$V,'Existing Customers'!$H:$H,$IZ19,'Existing Customers'!$A:$A,$JA$1)*$JA$4,0),0)</f>
        <v>0</v>
      </c>
      <c r="JF19" s="96">
        <f>IFERROR(IF(AND($JA$2&lt;&gt;"Enter Spend&gt;&gt;&gt;",JB2="EXISTING"),SUMIFS('Existing Customers'!$R:$R,'Existing Customers'!$H:$H,$IZ19,'Existing Customers'!$A:$A,$JA$1)*$JA$4,0),0)</f>
        <v>0</v>
      </c>
      <c r="JG19" s="1161">
        <f>IFERROR(IF(AND($JA$2&lt;&gt;"Enter Spend&gt;&gt;&gt;",JB2="EXISTING"),SUMIFS('Existing Customers'!$S:$S,'Existing Customers'!$H:$H,$IZ19,'Existing Customers'!$A:$A,$JA$1),JQ19*JA19),0)</f>
        <v>0</v>
      </c>
      <c r="JH19" s="1161">
        <f>IFERROR(IF(AND($JA$2&lt;&gt;"Enter Spend&gt;&gt;&gt;",JB2="EXISTING"),SUMIFS('Existing Customers'!$U:$U,'Existing Customers'!$H:$H,$IZ19,'Existing Customers'!$A:$A,$JA$1),JR19*JA19),0)</f>
        <v>0</v>
      </c>
      <c r="JI19" s="1164" t="e">
        <f>_xlfn.CONCAT('Customer Inputs'!$AG$15,"_",IZ19)</f>
        <v>#N/A</v>
      </c>
      <c r="JJ19" s="1164">
        <f t="array" ref="JJ19">IFERROR(INDEX('Margin Guidence Table'!$A$1:$AD$30000,MATCH(1,('Margin Guidence Table'!$A$1:$A$10000=JI19)*('Margin Guidence Table'!$I$1:$I$10000&lt;=ROUND($JA$3,0))*('Margin Guidence Table'!$J$1:$J$10000&gt;=ROUND($JA$3,0)),0),MATCH("DATA_POINTS",'Margin Guidence Table'!$A$1:$AG$1,0)),0)</f>
        <v>0</v>
      </c>
      <c r="JK19" s="1161" t="str">
        <f t="shared" si="41"/>
        <v>DEFAULT</v>
      </c>
      <c r="JL19" s="1161">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161">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165">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165">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165">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165">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165">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165">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102" t="s">
        <v>104</v>
      </c>
      <c r="JV19" s="97"/>
      <c r="JW19" s="89"/>
      <c r="JX19" s="89"/>
      <c r="JY19" s="89"/>
      <c r="JZ19" s="114"/>
      <c r="KA19" s="98"/>
      <c r="KB19" s="129"/>
      <c r="KD19" s="102" t="s">
        <v>104</v>
      </c>
      <c r="KE19" s="97"/>
      <c r="KF19" s="89"/>
      <c r="KG19" s="89"/>
      <c r="KH19" s="89"/>
      <c r="KI19" s="114"/>
      <c r="KJ19" s="98"/>
    </row>
    <row r="20" spans="2:296" ht="15.75" thickBot="1" x14ac:dyDescent="0.3">
      <c r="B20" s="102" t="s">
        <v>98</v>
      </c>
      <c r="C20" s="480">
        <f t="shared" si="7"/>
        <v>0</v>
      </c>
      <c r="D20" s="496">
        <f t="shared" si="8"/>
        <v>0</v>
      </c>
      <c r="E20" s="496">
        <f t="shared" si="9"/>
        <v>0</v>
      </c>
      <c r="F20" s="496">
        <f t="shared" si="10"/>
        <v>0</v>
      </c>
      <c r="G20" s="497">
        <f t="shared" si="11"/>
        <v>0</v>
      </c>
      <c r="H20" s="496">
        <f t="shared" si="12"/>
        <v>0</v>
      </c>
      <c r="I20" s="1157" t="e">
        <f>ROUND(SUM($BB20*BO20+$BY20*CL20+$CV20*DI20+$DS20*EF20+$EP20*FC20+$FM20*FZ20+$GJ20*GW20+$HG20*HT20+$ID20*IQ20+$JA20*JN20)/$C20,2)</f>
        <v>#DIV/0!</v>
      </c>
      <c r="J20" s="1157" t="e">
        <f>ROUND(SUM($BB20*BP20+$BY20*CM20+$CV20*DJ20+$DS20*EG20+$EP20*FD20+$FM20*GA20+$GJ20*GX20+$HG20*HU20+$ID20*IR20+$JA20*JO20)/$C20,2)</f>
        <v>#DIV/0!</v>
      </c>
      <c r="K20" s="1157" t="e">
        <f>ROUND(SUM($BB20*BQ20+$BY20*CN20+$CV20*DK20+$DS20*EH20+$EP20*FE20+$FM20*GB20+$GJ20*GY20+$HG20*HV20+$ID20*IS20+$JA20*JP20)/$C20,2)</f>
        <v>#DIV/0!</v>
      </c>
      <c r="L20" s="496" t="e">
        <f t="shared" si="0"/>
        <v>#DIV/0!</v>
      </c>
      <c r="M20" s="496" t="e">
        <f t="shared" si="13"/>
        <v>#DIV/0!</v>
      </c>
      <c r="N20" s="1158" t="e">
        <f t="shared" si="1"/>
        <v>#DIV/0!</v>
      </c>
      <c r="P20" t="str">
        <f>'PIM Model'!E16</f>
        <v>INCLUDE</v>
      </c>
      <c r="Q20">
        <f t="shared" si="14"/>
        <v>0</v>
      </c>
      <c r="R20">
        <f t="shared" si="15"/>
        <v>0</v>
      </c>
      <c r="S20" s="102" t="s">
        <v>98</v>
      </c>
      <c r="T20" s="97">
        <f t="shared" si="16"/>
        <v>0</v>
      </c>
      <c r="U20" s="89">
        <f t="shared" si="2"/>
        <v>0</v>
      </c>
      <c r="V20" s="89">
        <f t="shared" si="3"/>
        <v>0</v>
      </c>
      <c r="W20" s="89">
        <f t="shared" si="4"/>
        <v>0</v>
      </c>
      <c r="X20" s="114">
        <f t="shared" si="5"/>
        <v>0</v>
      </c>
      <c r="Y20" s="117">
        <f t="shared" si="17"/>
        <v>0</v>
      </c>
      <c r="Z20" s="400"/>
      <c r="AA20" s="102" t="s">
        <v>98</v>
      </c>
      <c r="AB20" s="484">
        <f>SUMIFS($BB20:$JF20,$BB$12:$JF$12,AB$12)</f>
        <v>0</v>
      </c>
      <c r="AC20" s="485">
        <f>SUMIFS($BB20:$JF20,$BB$12:$JF$12,AC$12)</f>
        <v>0</v>
      </c>
      <c r="AD20" s="485">
        <f>SUMIFS($BB20:$JF20,$BB$12:$JF$12,AD$12)</f>
        <v>0</v>
      </c>
      <c r="AE20" s="486">
        <f t="shared" si="18"/>
        <v>0</v>
      </c>
      <c r="AF20" s="487">
        <f t="shared" si="19"/>
        <v>0</v>
      </c>
      <c r="AG20" s="400"/>
      <c r="AH20" s="102" t="s">
        <v>98</v>
      </c>
      <c r="AI20" s="484">
        <f t="shared" si="6"/>
        <v>0</v>
      </c>
      <c r="AJ20" s="481">
        <f t="shared" si="20"/>
        <v>0</v>
      </c>
      <c r="AK20" s="487"/>
      <c r="AL20" s="400"/>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400">
        <f>VLOOKUP($AH20&amp;$AM20,'IMargin Quartiles'!$A:$F,6,FALSE)</f>
        <v>0.17</v>
      </c>
      <c r="AO20" s="400"/>
      <c r="AP20"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Q20" s="400" t="e">
        <f t="shared" si="21"/>
        <v>#DIV/0!</v>
      </c>
      <c r="AR20">
        <f>'PIM Model'!C16</f>
        <v>0</v>
      </c>
      <c r="AS20" s="400"/>
      <c r="AT20" s="400"/>
      <c r="AU20" s="400" t="e">
        <f t="shared" si="42"/>
        <v>#DIV/0!</v>
      </c>
      <c r="AV20" s="400"/>
      <c r="AW20" s="400"/>
      <c r="AX20" s="108">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96" t="e">
        <f t="shared" si="22"/>
        <v>#DIV/0!</v>
      </c>
      <c r="BA20" s="102" t="s">
        <v>98</v>
      </c>
      <c r="BB20" s="94">
        <f>IFERROR(IF(AND($BB$2&lt;&gt;"Enter Spend&gt;&gt;&gt;",BC8="EXISTING"),SUMIFS('Existing Customers'!$Q:$Q,'Existing Customers'!$A:$A,$BB$1,'Existing Customers'!$H:$H,$BA20)*$BB$4,$BB$3*$AZ20),0)</f>
        <v>0</v>
      </c>
      <c r="BC20" s="95">
        <f>IFERROR(IF(AND($BB$2&lt;&gt;"Enter Spend&gt;&gt;&gt;",BC2="EXISTING"),SUMIFS('Existing Customers'!$N:$N,'Existing Customers'!$A:$A,$BB$1,'Existing Customers'!$H:$H,$BA20)*$BB$4,$BB20/$BM20),0)</f>
        <v>0</v>
      </c>
      <c r="BD20" s="95">
        <f>IFERROR(IF(AND($BB$2&lt;&gt;"Enter Spend&gt;&gt;&gt;",BC2="EXISTING"),SUMIFS('Existing Customers'!$O:$O,'Existing Customers'!$H:$H,$BA20,'Existing Customers'!$A:$A,$BB$1)*$BB$4,$BC20*$BB$8),0)</f>
        <v>0</v>
      </c>
      <c r="BE20" s="95">
        <f>IFERROR(IF(AND($BB$2&lt;&gt;"Enter Spend&gt;&gt;&gt;",BC2="EXISTING"),SUMIFS('Existing Customers'!$P:$P,'Existing Customers'!$A:$A,$BB$1,'Existing Customers'!$H:$H,$BA20)*$BB$4,$BB20/$BN20),0)</f>
        <v>0</v>
      </c>
      <c r="BF20" s="402">
        <f>IFERROR(IF(AND($BB$2&lt;&gt;"Enter Spend&gt;&gt;&gt;",BC2="EXISTING"),SUMIFS('Existing Customers'!$V:$V,'Existing Customers'!$H:$H,$BA20,'Existing Customers'!$A:$A,$BB$1)*$BB$4,0),0)</f>
        <v>0</v>
      </c>
      <c r="BG20" s="96">
        <f>IFERROR(IF(AND($BB$2&lt;&gt;"Enter Spend&gt;&gt;&gt;",BC2="EXISTING"),SUMIFS('Existing Customers'!$R:$R,'Existing Customers'!$H:$H,$BA20,'Existing Customers'!$A:$A,$BB$1)*$BB$4,0),0)</f>
        <v>0</v>
      </c>
      <c r="BH20" s="96">
        <f>IFERROR(IF(AND($BB$2&lt;&gt;"Enter Spend&gt;&gt;&gt;",BC2="EXISTING"),SUMIFS('Existing Customers'!$S:$S,'Existing Customers'!$H:$H,$BA20,'Existing Customers'!$A:$A,$BB$1),BR20*BB20),0)</f>
        <v>0</v>
      </c>
      <c r="BI20" s="96">
        <f>IFERROR(IF(AND($BB$2&lt;&gt;"Enter Spend&gt;&gt;&gt;",BC2="EXISTING"),SUMIFS('Existing Customers'!$U:$U,'Existing Customers'!$H:$H,$BA20,'Existing Customers'!$A:$A,$BB$1),BS20*BB20),0)</f>
        <v>0</v>
      </c>
      <c r="BJ20" s="1163" t="e">
        <f>_xlfn.CONCAT('Customer Inputs'!$AG$6,"_",BA20)</f>
        <v>#N/A</v>
      </c>
      <c r="BK20" s="1164">
        <f t="array" ref="BK20">IFERROR(INDEX('Margin Guidence Table'!$A$1:$AD$30000,MATCH(1,('Margin Guidence Table'!$A$1:$A$10000=$BJ20)*('Margin Guidence Table'!$I$1:$I$10000&lt;=ROUND($BB$3,0))*('Margin Guidence Table'!$J$1:$J$10000&gt;=ROUND($BB$3,0)),0),MATCH("DATA_POINTS",'Margin Guidence Table'!$A$1:$AG$1,0)),0)</f>
        <v>0</v>
      </c>
      <c r="BL20" s="1161" t="str">
        <f t="shared" si="23"/>
        <v>DEFAULT</v>
      </c>
      <c r="BM20" s="1161">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161">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165">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165">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165">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165">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165">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165">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9"/>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96" t="e">
        <f t="shared" si="24"/>
        <v>#DIV/0!</v>
      </c>
      <c r="BX20" s="102" t="s">
        <v>98</v>
      </c>
      <c r="BY20" s="94">
        <f>IFERROR(IF(AND($BY$2&lt;&gt;"Enter Spend&gt;&gt;&gt;",BZ8="EXISTING"),SUMIFS('Existing Customers'!$Q:$Q,'Existing Customers'!$A:$A,$BY$1,'Existing Customers'!$H:$H,$BX20)*$BY$4,$BY$3*$BW20),0)</f>
        <v>0</v>
      </c>
      <c r="BZ20" s="89">
        <f>IFERROR(IF(AND($BY$2&lt;&gt;"Enter Spend&gt;&gt;&gt;",BZ2="EXISTING"),SUMIFS('Existing Customers'!$N:$N,'Existing Customers'!$A:$A,$BY$1,'Existing Customers'!$H:$H,$BX20)*$BY$4,$BY20/$CJ20),0)</f>
        <v>0</v>
      </c>
      <c r="CA20" s="95">
        <f>IFERROR(IF(AND($BY$2&lt;&gt;"Enter Spend&gt;&gt;&gt;",BZ2="EXISTING"),SUMIFS('Existing Customers'!$O:$O,'Existing Customers'!$H:$H,$BX20,'Existing Customers'!$A:$A,$BY$1)*$BY$4,$BZ20*$BY$8),0)</f>
        <v>0</v>
      </c>
      <c r="CB20" s="95">
        <f>IFERROR(IF(AND($BY$2&lt;&gt;"Enter Spend&gt;&gt;&gt;",BZ2="EXISTING"),SUMIFS('Existing Customers'!$P:$P,'Existing Customers'!$A:$A,$BY$1,'Existing Customers'!$H:$H,$BX20)*$BY$4,$BY20/$CK20),0)</f>
        <v>0</v>
      </c>
      <c r="CC20" s="96">
        <f>IFERROR(IF(AND($BY$2&lt;&gt;"Enter Spend&gt;&gt;&gt;",BZ2="EXISTING"),SUMIFS('Existing Customers'!$V:$V,'Existing Customers'!$H:$H,$BX20,'Existing Customers'!$A:$A,$BY$1)*$BY$4,0),0)</f>
        <v>0</v>
      </c>
      <c r="CD20" s="96">
        <f>IFERROR(IF(AND($BY$2&lt;&gt;"Enter Spend&gt;&gt;&gt;",BZ2="EXISTING"),SUMIFS('Existing Customers'!$R:$R,'Existing Customers'!$H:$H,$BX20,'Existing Customers'!$A:$A,$BY$1)*$BY$4,0),0)</f>
        <v>0</v>
      </c>
      <c r="CE20" s="1161">
        <f>IFERROR(IF(AND($BY$2&lt;&gt;"Enter Spend&gt;&gt;&gt;",BZ2="EXISTING"),SUMIFS('Existing Customers'!$S:$S,'Existing Customers'!$H:$H,$BX20,'Existing Customers'!$A:$A,$BY$1),CO20*BY20),0)</f>
        <v>0</v>
      </c>
      <c r="CF20" s="1161">
        <f>IFERROR(IF(AND($BY$2&lt;&gt;"Enter Spend&gt;&gt;&gt;",BZ2="EXISTING"),SUMIFS('Existing Customers'!$U:$U,'Existing Customers'!$H:$H,$BX20,'Existing Customers'!$A:$A,$BY$1),CP20*BY20),0)</f>
        <v>0</v>
      </c>
      <c r="CG20" s="1164" t="e">
        <f>_xlfn.CONCAT('Customer Inputs'!$AG$7,"_",BX20)</f>
        <v>#N/A</v>
      </c>
      <c r="CH20" s="1164">
        <f t="array" ref="CH20">IFERROR(INDEX('Margin Guidence Table'!$A$1:$AD$30000,MATCH(1,('Margin Guidence Table'!$A$1:$A$10000=$CG20)*('Margin Guidence Table'!$I$1:$I$10000&lt;=ROUND($BY$3,0))*('Margin Guidence Table'!$J$1:$J$10000&gt;=ROUND($BY$3,0)),0),MATCH("DATA_POINTS",'Margin Guidence Table'!$A$1:$AG$1,0)),0)</f>
        <v>0</v>
      </c>
      <c r="CI20" s="1161" t="str">
        <f t="shared" si="25"/>
        <v>DEFAULT</v>
      </c>
      <c r="CJ20" s="1161">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161">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165">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165">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165">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165">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165">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165">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9"/>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96" t="e">
        <f t="shared" si="26"/>
        <v>#DIV/0!</v>
      </c>
      <c r="CU20" s="102" t="s">
        <v>98</v>
      </c>
      <c r="CV20" s="94">
        <f>IFERROR(IF(AND($CV$2&lt;&gt;"Enter Spend&gt;&gt;&gt;",CW8="EXISTING"),SUMIFS('Existing Customers'!$Q:$Q,'Existing Customers'!$A:$A,$CV$1,'Existing Customers'!$H:$H,$CU20)*$CV$4,$CV$3*$CT20),0)</f>
        <v>0</v>
      </c>
      <c r="CW20" s="89">
        <f>IFERROR(IF(AND($CV$2&lt;&gt;"Enter Spend&gt;&gt;&gt;",CW2="EXISTING"),SUMIFS('Existing Customers'!$N:$N,'Existing Customers'!$A:$A,$CV$1,'Existing Customers'!$H:$H,$CU20)*$CV$4,$CV20/$DG20),0)</f>
        <v>0</v>
      </c>
      <c r="CX20" s="95">
        <f>IFERROR(IF(AND($CV$2&lt;&gt;"Enter Spend&gt;&gt;&gt;",BC28="EXISTING"),SUMIFS('Existing Customers'!$O:$O,'Existing Customers'!$H:$H,$CU20,'Existing Customers'!$A:$A,$CV$1)*$CV$4,$CW20*$CV$8),0)</f>
        <v>0</v>
      </c>
      <c r="CY20" s="95">
        <f>IFERROR(IF(AND($CV$2&lt;&gt;"Enter Spend&gt;&gt;&gt;",CW2="EXISTING"),SUMIFS('Existing Customers'!$P:$P,'Existing Customers'!$A:$A,$CV$1,'Existing Customers'!$H:$H,$CU20)*$CV$4,$CV20/$DH20),0)</f>
        <v>0</v>
      </c>
      <c r="CZ20" s="96">
        <f>IFERROR(IF(AND($CV$2&lt;&gt;"Enter Spend&gt;&gt;&gt;",CW2="EXISTING"),SUMIFS('Existing Customers'!$V:$V,'Existing Customers'!$H:$H,$CU20,'Existing Customers'!$A:$A,$CV$1)*$CV$4,0),0)</f>
        <v>0</v>
      </c>
      <c r="DA20" s="96">
        <f>IFERROR(IF(AND($CV$2&lt;&gt;"Enter Spend&gt;&gt;&gt;",CW2="EXISTING"),SUMIFS('Existing Customers'!$R:$R,'Existing Customers'!$H:$H,$BA20,'Existing Customers'!$A:$A,$CV$1)*$CV$4,0),0)</f>
        <v>0</v>
      </c>
      <c r="DB20" s="1161">
        <f>IFERROR(IF(AND($CV$2&lt;&gt;"Enter Spend&gt;&gt;&gt;",CW2="EXISTING"),SUMIFS('Existing Customers'!$S:$S,'Existing Customers'!$H:$H,$CU20,'Existing Customers'!$A:$A,$CV$1),DL20*CV20),0)</f>
        <v>0</v>
      </c>
      <c r="DC20" s="1161">
        <f>IFERROR(IF(AND($CV$2&lt;&gt;"Enter Spend&gt;&gt;&gt;",CW2="EXISTING"),SUMIFS('Existing Customers'!$U:$U,'Existing Customers'!$H:$H,$CU20,'Existing Customers'!$A:$A,$CV$1),DM20*CV20),0)</f>
        <v>0</v>
      </c>
      <c r="DD20" s="1164" t="e">
        <f>_xlfn.CONCAT('Customer Inputs'!$AG$8,"_",CU20)</f>
        <v>#N/A</v>
      </c>
      <c r="DE20" s="1164">
        <f t="array" ref="DE20">IFERROR(INDEX('Margin Guidence Table'!$A$1:$AD$30000,MATCH(1,('Margin Guidence Table'!$A$1:$A$10000=DD20)*('Margin Guidence Table'!$I$1:$I$10000&lt;=ROUND($CV$3,0))*('Margin Guidence Table'!$J$1:$J$10000&gt;=ROUND($CV$3,0)),0),MATCH("DATA_POINTS",'Margin Guidence Table'!$A$1:$AG$1,0)),0)</f>
        <v>0</v>
      </c>
      <c r="DF20" s="1161" t="str">
        <f t="shared" si="27"/>
        <v>DEFAULT</v>
      </c>
      <c r="DG20" s="1161">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161">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165">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165">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165">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165">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165">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165">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9"/>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96" t="e">
        <f t="shared" si="28"/>
        <v>#DIV/0!</v>
      </c>
      <c r="DR20" s="102" t="s">
        <v>98</v>
      </c>
      <c r="DS20" s="94">
        <f>IFERROR(IF(AND($DS$2&lt;&gt;"Enter Spend&gt;&gt;&gt;",DT8="EXISTING"),SUMIFS('Existing Customers'!$Q:$Q,'Existing Customers'!$A:$A,$DS$1,'Existing Customers'!$H:$H,$DR20)*$DS$4,$DS$3*$DQ20),0)</f>
        <v>0</v>
      </c>
      <c r="DT20" s="89">
        <f>IFERROR(IF(AND($DS$2&lt;&gt;"Enter Spend&gt;&gt;&gt;",DT2="EXISTING"),SUMIFS('Existing Customers'!$N:$N,'Existing Customers'!$A:$A,$DS$1,'Existing Customers'!$H:$H,$DR20)*$DS$4,$DS20/$ED20),0)</f>
        <v>0</v>
      </c>
      <c r="DU20" s="95">
        <f>IFERROR(IF(AND($DS$2&lt;&gt;"Enter Spend&gt;&gt;&gt;",DT2="EXISTING"),SUMIFS('Existing Customers'!$O:$O,'Existing Customers'!$H:$H,$DR20,'Existing Customers'!$A:$A,$DS$1)*$DS$4,$DT20*$DS$8),0)</f>
        <v>0</v>
      </c>
      <c r="DV20" s="95">
        <f>IFERROR(IF(AND($DS$2&lt;&gt;"Enter Spend&gt;&gt;&gt;",DT2="EXISTING"),SUMIFS('Existing Customers'!$P:$P,'Existing Customers'!$A:$A,$DS$1,'Existing Customers'!$H:$H,$DR20)*$DS$4,$DS20/$EE20),0)</f>
        <v>0</v>
      </c>
      <c r="DW20" s="96">
        <f>IFERROR(IF(AND($DS$2&lt;&gt;"Enter Spend&gt;&gt;&gt;",EQ2="EXISTING"),SUMIFS('Existing Customers'!$V:$V,'Existing Customers'!$H:$H,$DR20,'Existing Customers'!$A:$A,$DS$1)*$DS$4,0),0)</f>
        <v>0</v>
      </c>
      <c r="DX20" s="96">
        <f>IFERROR(IF(AND($DS$2&lt;&gt;"Enter Spend&gt;&gt;&gt;",DT2="EXISTING"),SUMIFS('Existing Customers'!$R:$R,'Existing Customers'!$H:$H,$DR20,'Existing Customers'!$A:$A,$DS$1)*$DS$4,0),0)</f>
        <v>0</v>
      </c>
      <c r="DY20" s="1161">
        <f>IFERROR(IF(AND($DS$2&lt;&gt;"Enter Spend&gt;&gt;&gt;",DT2="EXISTING"),SUMIFS('Existing Customers'!$S:$S,'Existing Customers'!$H:$H,$DT20,'Existing Customers'!$A:$A,$DS$1),EI20*DS20),0)</f>
        <v>0</v>
      </c>
      <c r="DZ20" s="1161">
        <f>IFERROR(IF(AND($DS$2&lt;&gt;"Enter Spend&gt;&gt;&gt;",DT2="EXISTING"),SUMIFS('Existing Customers'!$U:$U,'Existing Customers'!$H:$H,$DR20,'Existing Customers'!$A:$A,$DS$1),EJ20*DS20),0)</f>
        <v>0</v>
      </c>
      <c r="EA20" s="1164" t="e">
        <f>_xlfn.CONCAT('Customer Inputs'!$AG$9,"_",DR20)</f>
        <v>#N/A</v>
      </c>
      <c r="EB20" s="1164">
        <f t="array" ref="EB20">IFERROR(INDEX('Margin Guidence Table'!$A$1:$AD$30000,MATCH(1,('Margin Guidence Table'!$A$1:$A$10000=EA20)*('Margin Guidence Table'!$I$1:$I$10000&lt;=ROUND($DS$3,0))*('Margin Guidence Table'!$J$1:$J$10000&gt;=ROUND($DS$3,0)),0),MATCH("DATA_POINTS",'Margin Guidence Table'!$A$1:$AG$1,0)),0)</f>
        <v>0</v>
      </c>
      <c r="EC20" s="1161" t="str">
        <f t="shared" si="29"/>
        <v>DEFAULT</v>
      </c>
      <c r="ED20" s="1161">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161">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165">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165">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165">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165">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165">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165">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9"/>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96" t="e">
        <f t="shared" si="30"/>
        <v>#DIV/0!</v>
      </c>
      <c r="EO20" s="102" t="s">
        <v>98</v>
      </c>
      <c r="EP20" s="94">
        <f>IFERROR(IF(AND($EP$2&lt;&gt;"Enter Spend&gt;&gt;&gt;",EQ8="EXISTING"),SUMIFS('Existing Customers'!$Q:$Q,'Existing Customers'!$A:$A,$EP$1,'Existing Customers'!$H:$H,$EO20)*$EP$4,$EP$3*$EN20),0)</f>
        <v>0</v>
      </c>
      <c r="EQ20" s="89">
        <f>IFERROR(IF(AND($EP$2&lt;&gt;"Enter Spend&gt;&gt;&gt;",EQ2="EXISTING"),SUMIFS('Existing Customers'!$N:$N,'Existing Customers'!$A:$A,$EP$1,'Existing Customers'!$H:$H,$EO20)*$EP$4,$EP20/$FA20),0)</f>
        <v>0</v>
      </c>
      <c r="ER20" s="95">
        <f>IFERROR(IF(AND($EP$2&lt;&gt;"Enter Spend&gt;&gt;&gt;",EQ2="EXISTING"),SUMIFS('Existing Customers'!$O:$O,'Existing Customers'!$H:$H,$EO20,'Existing Customers'!$A:$A,$EP$1)*$EP$4,$EQ20*$EP$8),0)</f>
        <v>0</v>
      </c>
      <c r="ES20" s="95">
        <f>IFERROR(IF(AND($EP$2&lt;&gt;"Enter Spend&gt;&gt;&gt;",EQ2="EXISTING"),SUMIFS('Existing Customers'!$P:$P,'Existing Customers'!$A:$A,$EP$1,'Existing Customers'!$H:$H,$EO20)*$EP$4,$EP20/$FB20),0)</f>
        <v>0</v>
      </c>
      <c r="ET20" s="96">
        <f>IFERROR(IF(AND($EP$2&lt;&gt;"Enter Spend&gt;&gt;&gt;",EQ2="EXISTING"),SUMIFS('Existing Customers'!$V:$V,'Existing Customers'!$H:$H,$EO20,'Existing Customers'!$A:$A,$EP$1)*$EP$4,0),0)</f>
        <v>0</v>
      </c>
      <c r="EU20" s="96">
        <f>IFERROR(IF(AND($EP$2&lt;&gt;"Enter Spend&gt;&gt;&gt;",EQ2="EXISTING"),SUMIFS('Existing Customers'!$R:$R,'Existing Customers'!$H:$H,$EO20,'Existing Customers'!$A:$A,$EP$1)*$EP$4,0),0)</f>
        <v>0</v>
      </c>
      <c r="EV20" s="1161">
        <f>IFERROR(IF(AND($EP$2&lt;&gt;"Enter Spend&gt;&gt;&gt;",EQ2="EXISTING"),SUMIFS('Existing Customers'!$S:$S,'Existing Customers'!$H:$H,$EO20,'Existing Customers'!$A:$A,$EP$1),FF20*EP20),0)</f>
        <v>0</v>
      </c>
      <c r="EW20" s="1161">
        <f>IFERROR(IF(AND($EP$2&lt;&gt;"Enter Spend&gt;&gt;&gt;",EQ2="EXISTING"),SUMIFS('Existing Customers'!$U:$U,'Existing Customers'!$H:$H,$EO20,'Existing Customers'!$A:$A,$EP$1),FG20*EP20),0)</f>
        <v>0</v>
      </c>
      <c r="EX20" s="1164" t="e">
        <f>_xlfn.CONCAT('Customer Inputs'!$AG$10,"_",EO20)</f>
        <v>#N/A</v>
      </c>
      <c r="EY20" s="1164">
        <f t="array" ref="EY20">IFERROR(INDEX('Margin Guidence Table'!$A$1:$AD$30000,MATCH(1,('Margin Guidence Table'!$A$1:$A$10000=EX20)*('Margin Guidence Table'!$I$1:$I$10000&lt;=ROUND($EP$3,0))*('Margin Guidence Table'!$J$1:$J$10000&gt;=ROUND($EP$3,0)),0),MATCH("DATA_POINTS",'Margin Guidence Table'!$A$1:$AG$1,0)),0)</f>
        <v>0</v>
      </c>
      <c r="EZ20" s="1161" t="str">
        <f t="shared" si="31"/>
        <v>DEFAULT</v>
      </c>
      <c r="FA20" s="1161">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161"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165">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165">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165">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165">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165">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165">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9"/>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96" t="e">
        <f t="shared" si="32"/>
        <v>#DIV/0!</v>
      </c>
      <c r="FL20" s="102" t="s">
        <v>98</v>
      </c>
      <c r="FM20" s="94">
        <f>IFERROR(IF(AND($FM$2&lt;&gt;"Enter Spend&gt;&gt;&gt;",FN8="EXISTING"),SUMIFS('Existing Customers'!$Q:$Q,'Existing Customers'!$A:$A,$FM$1,'Existing Customers'!$H:$H,$FL20)*$FM$4,$FM$3*$FK20),0)</f>
        <v>0</v>
      </c>
      <c r="FN20" s="89">
        <f>IFERROR(IF(AND($FM$2&lt;&gt;"Enter Spend&gt;&gt;&gt;",FN2="EXISTING"),SUMIFS('Existing Customers'!$N:$N,'Existing Customers'!$A:$A,$FM$1,'Existing Customers'!$H:$H,$FL20)*$FM$4,$FM20/$FX20),0)</f>
        <v>0</v>
      </c>
      <c r="FO20" s="95">
        <f>IFERROR(IF(AND($FM$2&lt;&gt;"Enter Spend&gt;&gt;&gt;",FN2="EXISTING"),SUMIFS('Existing Customers'!$O:$O,'Existing Customers'!$H:$H,$FL20,'Existing Customers'!$A:$A,$FM$1)*$FM$4,$FN20*$FM$8),0)</f>
        <v>0</v>
      </c>
      <c r="FP20" s="95">
        <f>IFERROR(IF(AND($FM$2&lt;&gt;"Enter Spend&gt;&gt;&gt;",FN2="EXISTING"),SUMIFS('Existing Customers'!$P:$P,'Existing Customers'!$A:$A,$FM$1,'Existing Customers'!$H:$H,$FL20)*$FM$4,$FM20/$FY20),0)</f>
        <v>0</v>
      </c>
      <c r="FQ20" s="96">
        <f>IFERROR(IF(AND($FM$2&lt;&gt;"Enter Spend&gt;&gt;&gt;",FN2="EXISTING"),SUMIFS('Existing Customers'!$V:$V,'Existing Customers'!$H:$H,$FL20,'Existing Customers'!$A:$A,$FM$1)*$FM$4,0),0)</f>
        <v>0</v>
      </c>
      <c r="FR20" s="96">
        <f>IFERROR(IF(AND($FM$2&lt;&gt;"Enter Spend&gt;&gt;&gt;",FN2="EXISTING"),SUMIFS('Existing Customers'!$R:$R,'Existing Customers'!$H:$H,$FL20,'Existing Customers'!$A:$A,$FM$1)*$FM$4,0),0)</f>
        <v>0</v>
      </c>
      <c r="FS20" s="1161">
        <f>IFERROR(IF(AND($FM$2&lt;&gt;"Enter Spend&gt;&gt;&gt;",FN2="EXISTING"),SUMIFS('Existing Customers'!$S:$S,'Existing Customers'!$H:$H,$FL20,'Existing Customers'!$A:$A,$FM$1),GC20*FM20),0)</f>
        <v>0</v>
      </c>
      <c r="FT20" s="1161">
        <f>IFERROR(IF(AND($FM$2&lt;&gt;"Enter Spend&gt;&gt;&gt;",FN2="EXISTING"),SUMIFS('Existing Customers'!$U:$U,'Existing Customers'!$H:$H,$FL20,'Existing Customers'!$A:$A,$FM$1),GD20*FM20),0)</f>
        <v>0</v>
      </c>
      <c r="FU20" s="1164" t="e">
        <f>_xlfn.CONCAT('Customer Inputs'!$AG$11,"_",FL20)</f>
        <v>#N/A</v>
      </c>
      <c r="FV20" s="1164">
        <f t="array" ref="FV20">IFERROR(INDEX('Margin Guidence Table'!$A$1:$AD$30000,MATCH(1,('Margin Guidence Table'!$A$1:$A$10000=FU20)*('Margin Guidence Table'!$I$1:$I$10000&lt;=ROUND($FM$3,0))*('Margin Guidence Table'!$J$1:$J$10000&gt;=ROUND($FM$3,0)),0),MATCH("DATA_POINTS",'Margin Guidence Table'!$A$1:$AG$1,0)),0)</f>
        <v>0</v>
      </c>
      <c r="FW20" s="1161" t="str">
        <f t="shared" si="33"/>
        <v>DEFAULT</v>
      </c>
      <c r="FX20" s="1161">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161">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165">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165">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165">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165">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165">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165">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9"/>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96" t="e">
        <f t="shared" si="34"/>
        <v>#DIV/0!</v>
      </c>
      <c r="GI20" s="102" t="s">
        <v>98</v>
      </c>
      <c r="GJ20" s="94">
        <f>IFERROR(IF(AND($GJ$2&lt;&gt;"Enter Spend&gt;&gt;&gt;",GK8="EXISTING"),SUMIFS('Existing Customers'!$Q:$Q,'Existing Customers'!$A:$A,$GJ$1,'Existing Customers'!$H:$H,$GI20)*$GJ$4,$GJ$3*$GH20),0)</f>
        <v>0</v>
      </c>
      <c r="GK20" s="89">
        <f>IFERROR(IF(AND($GJ$2&lt;&gt;"Enter Spend&gt;&gt;&gt;",GK2="EXISTING"),SUMIFS('Existing Customers'!$N:$N,'Existing Customers'!$A:$A,$GJ$1,'Existing Customers'!$H:$H,$GI20)*$GJ$4,$GJ20/$GU20),0)</f>
        <v>0</v>
      </c>
      <c r="GL20" s="95">
        <f>IFERROR(IF(AND($GJ$2&lt;&gt;"Enter Spend&gt;&gt;&gt;",GK2="EXISTING"),SUMIFS('Existing Customers'!$O:$O,'Existing Customers'!$H:$H,$GI20,'Existing Customers'!$A:$A,$GJ$1)*$GJ$4,$GK20*$GJ$8),0)</f>
        <v>0</v>
      </c>
      <c r="GM20" s="95">
        <f>IFERROR(IF(AND($GJ$2&lt;&gt;"Enter Spend&gt;&gt;&gt;",GK2="EXISTING"),SUMIFS('Existing Customers'!$P:$P,'Existing Customers'!$A:$A,$GJ$1,'Existing Customers'!$H:$H,$GI20)*$GJ$4,$GJ20/$GV20),0)</f>
        <v>0</v>
      </c>
      <c r="GN20" s="96">
        <f>IFERROR(IF(AND($GJ$2&lt;&gt;"Enter Spend&gt;&gt;&gt;",GK2="EXISTING"),SUMIFS('Existing Customers'!$V:$V,'Existing Customers'!$H:$H,$GI20,'Existing Customers'!$A:$A,$GJ$1)*$GJ$4,0),0)</f>
        <v>0</v>
      </c>
      <c r="GO20" s="96">
        <f>IFERROR(IF(AND($GJ$2&lt;&gt;"Enter Spend&gt;&gt;&gt;",GK2="EXISTING"),SUMIFS('Existing Customers'!$R:$R,'Existing Customers'!$H:$H,$GI20,'Existing Customers'!$A:$A,$GJ$1)*$GJ$4,0),0)</f>
        <v>0</v>
      </c>
      <c r="GP20" s="1161">
        <f>IFERROR(IF(AND($GJ$2&lt;&gt;"Enter Spend&gt;&gt;&gt;",GK2="EXISTING"),SUMIFS('Existing Customers'!$S:$S,'Existing Customers'!$H:$H,$GI20,'Existing Customers'!$A:$A,$GJ$1),GZ20*GJ20),0)</f>
        <v>0</v>
      </c>
      <c r="GQ20" s="1161">
        <f>IFERROR(IF(AND($GJ$2&lt;&gt;"Enter Spend&gt;&gt;&gt;",GK2="EXISTING"),SUMIFS('Existing Customers'!$U:$U,'Existing Customers'!$H:$H,$GI20,'Existing Customers'!$A:$A,$GJ$1),HA20*GJ20),0)</f>
        <v>0</v>
      </c>
      <c r="GR20" s="1164" t="e">
        <f>_xlfn.CONCAT('Customer Inputs'!$AG$12,"_",GI20)</f>
        <v>#N/A</v>
      </c>
      <c r="GS20" s="1164">
        <f t="array" ref="GS20">IFERROR(INDEX('Margin Guidence Table'!$A$1:$AD$30000,MATCH(1,('Margin Guidence Table'!$A$1:$A$10000=GR20)*('Margin Guidence Table'!$I$1:$I$10000&lt;=ROUND($GJ$3,0))*('Margin Guidence Table'!$J$1:$J$10000&gt;=ROUND($GJ$3,0)),0),MATCH("DATA_POINTS",'Margin Guidence Table'!$A$1:$AG$1,0)),0)</f>
        <v>0</v>
      </c>
      <c r="GT20" s="1161" t="str">
        <f t="shared" si="35"/>
        <v>DEFAULT</v>
      </c>
      <c r="GU20" s="1161">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161">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165">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165">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165">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165">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165">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165">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9"/>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96" t="e">
        <f t="shared" si="36"/>
        <v>#DIV/0!</v>
      </c>
      <c r="HF20" s="102" t="s">
        <v>98</v>
      </c>
      <c r="HG20" s="94">
        <f>IFERROR(IF(AND($HG$2&lt;&gt;"Enter Spend&gt;&gt;&gt;",HH8="EXISTING"),SUMIFS('Existing Customers'!$Q:$Q,'Existing Customers'!$A:$A,$HG$1,'Existing Customers'!$H:$H,$HF20)*$HG$4,$HG$3*$HE20),0)</f>
        <v>0</v>
      </c>
      <c r="HH20" s="89">
        <f>IFERROR(IF(AND($HG$2&lt;&gt;"Enter Spend&gt;&gt;&gt;",HH2="EXISTING"),SUMIFS('Existing Customers'!$N:$N,'Existing Customers'!$A:$A,$HG$1,'Existing Customers'!$H:$H,$HF20)*$HG$4,$HG20/$HR20),0)</f>
        <v>0</v>
      </c>
      <c r="HI20" s="95">
        <f>IFERROR(IF(AND($HG$2&lt;&gt;"Enter Spend&gt;&gt;&gt;",HH2="EXISTING"),SUMIFS('Existing Customers'!$O:$O,'Existing Customers'!$H:$H,$HF20,'Existing Customers'!$A:$A,$HG$1)*$HG$4,$HH20*$HG$8),0)</f>
        <v>0</v>
      </c>
      <c r="HJ20" s="95">
        <f>IFERROR(IF(AND($HG$2&lt;&gt;"Enter Spend&gt;&gt;&gt;",HH2="EXISTING"),SUMIFS('Existing Customers'!$P:$P,'Existing Customers'!$A:$A,$HG$1,'Existing Customers'!$H:$H,$HF20)*$HG$4,$HG20/$HS20),0)</f>
        <v>0</v>
      </c>
      <c r="HK20" s="96">
        <f>IFERROR(IF(AND($HG$2&lt;&gt;"Enter Spend&gt;&gt;&gt;",HH2="EXISTING"),SUMIFS('Existing Customers'!$V:$V,'Existing Customers'!$H:$H,$HF20,'Existing Customers'!$A:$A,$HG$1)*$HG$4,0),0)</f>
        <v>0</v>
      </c>
      <c r="HL20" s="96">
        <f>IFERROR(IF(AND($HG$2&lt;&gt;"Enter Spend&gt;&gt;&gt;",HH2="EXISTING"),SUMIFS('Existing Customers'!$R:$R,'Existing Customers'!$H:$H,$HF20,'Existing Customers'!$A:$A,$HG$1)*$HG$4,0),0)</f>
        <v>0</v>
      </c>
      <c r="HM20" s="1161">
        <f>IFERROR(IF(AND($HG$2&lt;&gt;"Enter Spend&gt;&gt;&gt;",HH2="EXISTING"),SUMIFS('Existing Customers'!$S:$S,'Existing Customers'!$H:$H,$HF20,'Existing Customers'!$A:$A,$HG$1),HW20*HG20),0)</f>
        <v>0</v>
      </c>
      <c r="HN20" s="1161">
        <f>IFERROR(IF(AND($HG$2&lt;&gt;"Enter Spend&gt;&gt;&gt;",HH2="EXISTING"),SUMIFS('Existing Customers'!$U:$U,'Existing Customers'!$H:$H,$HF20,'Existing Customers'!$A:$A,$HG$1),HX20*HG20),0)</f>
        <v>0</v>
      </c>
      <c r="HO20" s="1164" t="e">
        <f>_xlfn.CONCAT('Customer Inputs'!$AG$13,"_",HF20)</f>
        <v>#N/A</v>
      </c>
      <c r="HP20" s="1164">
        <f t="array" ref="HP20">IFERROR(INDEX('Margin Guidence Table'!$A$1:$AD$30000,MATCH(1,('Margin Guidence Table'!$A$1:$A$10000=HO20)*('Margin Guidence Table'!$I$1:$I$10000&lt;=ROUND($HG$3,0))*('Margin Guidence Table'!$J$1:$J$10000&gt;=ROUND($HG$3,0)),0),MATCH("DATA_POINTS",'Margin Guidence Table'!$A$1:$AG$1,0)),0)</f>
        <v>0</v>
      </c>
      <c r="HQ20" s="1161" t="str">
        <f t="shared" si="37"/>
        <v>DEFAULT</v>
      </c>
      <c r="HR20" s="1161">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161">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165">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165">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165">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165">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165">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165">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9"/>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96" t="e">
        <f t="shared" si="38"/>
        <v>#DIV/0!</v>
      </c>
      <c r="IC20" s="102" t="s">
        <v>98</v>
      </c>
      <c r="ID20" s="94">
        <f>IFERROR(IF(AND($ID$2&lt;&gt;"Enter Spend&gt;&gt;&gt;",IE8="EXISTING"),SUMIFS('Existing Customers'!$Q:$Q,'Existing Customers'!$A:$A,$ID$1,'Existing Customers'!$H:$H,$IC20)*$ID$4,$ID$3*$IB20),0)</f>
        <v>0</v>
      </c>
      <c r="IE20" s="89">
        <f>IFERROR(IF(AND($ID$2&lt;&gt;"Enter Spend&gt;&gt;&gt;",IE2="EXISTING"),SUMIFS('Existing Customers'!$N:$N,'Existing Customers'!$A:$A,$ID$1,'Existing Customers'!$H:$H,$IC20)*$ID$4,$ID20/$IO20),0)</f>
        <v>0</v>
      </c>
      <c r="IF20" s="95">
        <f>IFERROR(IF(AND($ID$2&lt;&gt;"Enter Spend&gt;&gt;&gt;",IE2="EXISTING"),SUMIFS('Existing Customers'!$O:$O,'Existing Customers'!$H:$H,$IC20,'Existing Customers'!$A:$A,$ID$1)*$ID$4,$IE20*$ID$8),0)</f>
        <v>0</v>
      </c>
      <c r="IG20" s="95">
        <f>IFERROR(IF(AND($ID$2&lt;&gt;"Enter Spend&gt;&gt;&gt;",IE2="EXISTING"),SUMIFS('Existing Customers'!$P:$P,'Existing Customers'!$A:$A,$ID$1,'Existing Customers'!$H:$H,$IC20)*$ID$4,$ID20/$IP20),0)</f>
        <v>0</v>
      </c>
      <c r="IH20" s="402">
        <f>IFERROR(IF(AND($ID$2&lt;&gt;"Enter Spend&gt;&gt;&gt;",IE2="EXISTING"),SUMIFS('Existing Customers'!$V:$V,'Existing Customers'!$H:$H,$IC20,'Existing Customers'!$A:$A,$ID$1)*$ID$4,0),0)</f>
        <v>0</v>
      </c>
      <c r="II20" s="96">
        <f>IFERROR(IF(AND($ID$2&lt;&gt;"Enter Spend&gt;&gt;&gt;",IE2="EXISTING"),SUMIFS('Existing Customers'!$R:$R,'Existing Customers'!$H:$H,$IC20,'Existing Customers'!$A:$A,$ID$1)*$ID$4,0),0)</f>
        <v>0</v>
      </c>
      <c r="IJ20" s="1161">
        <f>IFERROR(IF(AND($ID$2&lt;&gt;"Enter Spend&gt;&gt;&gt;",IE2="EXISTING"),SUMIFS('Existing Customers'!$S:$S,'Existing Customers'!$H:$H,$IC20,'Existing Customers'!$A:$A,$ID$1),IT20*ID20),0)</f>
        <v>0</v>
      </c>
      <c r="IK20" s="1161">
        <f>IFERROR(IF(AND($ID$2&lt;&gt;"Enter Spend&gt;&gt;&gt;",IE2="EXISTING"),SUMIFS('Existing Customers'!$U:$U,'Existing Customers'!$H:$H,$IC20,'Existing Customers'!$A:$A,$ID$1),IU20*ID20),0)</f>
        <v>0</v>
      </c>
      <c r="IL20" s="1164" t="e">
        <f>_xlfn.CONCAT('Customer Inputs'!$AG$14,"_",IC20)</f>
        <v>#N/A</v>
      </c>
      <c r="IM20" s="1164">
        <f t="array" ref="IM20">IFERROR(INDEX('Margin Guidence Table'!$A$1:$AD$30000,MATCH(1,('Margin Guidence Table'!$A$1:$A$10000=IL20)*('Margin Guidence Table'!$I$1:$I$10000&lt;=ROUND($ID$3,0))*('Margin Guidence Table'!$J$1:$J$10000&gt;=ROUND($ID$3,0)),0),MATCH("DATA_POINTS",'Margin Guidence Table'!$A$1:$AG$1,0)),0)</f>
        <v>0</v>
      </c>
      <c r="IN20" s="1161" t="str">
        <f t="shared" si="39"/>
        <v>DEFAULT</v>
      </c>
      <c r="IO20" s="1161">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161">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165">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165">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165">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165">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165">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165">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9"/>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96" t="e">
        <f t="shared" si="40"/>
        <v>#DIV/0!</v>
      </c>
      <c r="IZ20" s="102" t="s">
        <v>98</v>
      </c>
      <c r="JA20" s="94">
        <f>IFERROR(IF(AND($JA$2&lt;&gt;"Enter Spend&gt;&gt;&gt;",JB8="EXISTING"),SUMIFS('Existing Customers'!$Q:$Q,'Existing Customers'!$A:$A,$JA$1,'Existing Customers'!$H:$H,$IZ20)*$JA$4,$JA$3*$IY20),0)</f>
        <v>0</v>
      </c>
      <c r="JB20" s="89">
        <f>IFERROR(IF(AND($JA$2&lt;&gt;"Enter Spend&gt;&gt;&gt;",JB2="EXISTING"),SUMIFS('Existing Customers'!$N:$N,'Existing Customers'!$A:$A,$JA$1,'Existing Customers'!$H:$H,$IZ20)*$JA$4,$JA20/$JL20),0)</f>
        <v>0</v>
      </c>
      <c r="JC20" s="95">
        <f>IFERROR(IF(AND($JA$2&lt;&gt;"Enter Spend&gt;&gt;&gt;",JB2="EXISTING"),SUMIFS('Existing Customers'!$O:$O,'Existing Customers'!$H:$H,$IZ20,'Existing Customers'!$A:$A,$JA$1)*$JA$4,$JB20*$JA$8),0)</f>
        <v>0</v>
      </c>
      <c r="JD20" s="95">
        <f>IFERROR(IF(AND($JA$2&lt;&gt;"Enter Spend&gt;&gt;&gt;",JB2="EXISTING"),SUMIFS('Existing Customers'!$P:$P,'Existing Customers'!$A:$A,$JA$1,'Existing Customers'!$H:$H,$IZ20)*$JA$4,$JA20/$JM20),0)</f>
        <v>0</v>
      </c>
      <c r="JE20" s="402">
        <f>IFERROR(IF(AND($JA$2&lt;&gt;"Enter Spend&gt;&gt;&gt;",JB2="EXISTING"),SUMIFS('Existing Customers'!$V:$V,'Existing Customers'!$H:$H,$IZ20,'Existing Customers'!$A:$A,$JA$1)*$JA$4,0),0)</f>
        <v>0</v>
      </c>
      <c r="JF20" s="96">
        <f>IFERROR(IF(AND($JA$2&lt;&gt;"Enter Spend&gt;&gt;&gt;",JB2="EXISTING"),SUMIFS('Existing Customers'!$R:$R,'Existing Customers'!$H:$H,$IZ20,'Existing Customers'!$A:$A,$JA$1)*$JA$4,0),0)</f>
        <v>0</v>
      </c>
      <c r="JG20" s="1161">
        <f>IFERROR(IF(AND($JA$2&lt;&gt;"Enter Spend&gt;&gt;&gt;",JB2="EXISTING"),SUMIFS('Existing Customers'!$S:$S,'Existing Customers'!$H:$H,$IZ20,'Existing Customers'!$A:$A,$JA$1),JQ20*JA20),0)</f>
        <v>0</v>
      </c>
      <c r="JH20" s="1161">
        <f>IFERROR(IF(AND($JA$2&lt;&gt;"Enter Spend&gt;&gt;&gt;",JB2="EXISTING"),SUMIFS('Existing Customers'!$U:$U,'Existing Customers'!$H:$H,$IZ20,'Existing Customers'!$A:$A,$JA$1),JR20*JA20),0)</f>
        <v>0</v>
      </c>
      <c r="JI20" s="1164" t="e">
        <f>_xlfn.CONCAT('Customer Inputs'!$AG$15,"_",IZ20)</f>
        <v>#N/A</v>
      </c>
      <c r="JJ20" s="1164">
        <f t="array" ref="JJ20">IFERROR(INDEX('Margin Guidence Table'!$A$1:$AD$30000,MATCH(1,('Margin Guidence Table'!$A$1:$A$10000=JI20)*('Margin Guidence Table'!$I$1:$I$10000&lt;=ROUND($JA$3,0))*('Margin Guidence Table'!$J$1:$J$10000&gt;=ROUND($JA$3,0)),0),MATCH("DATA_POINTS",'Margin Guidence Table'!$A$1:$AG$1,0)),0)</f>
        <v>0</v>
      </c>
      <c r="JK20" s="1161" t="str">
        <f t="shared" si="41"/>
        <v>DEFAULT</v>
      </c>
      <c r="JL20" s="1161">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161">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165">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165">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165">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165">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165">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165">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102" t="s">
        <v>98</v>
      </c>
      <c r="JV20" s="97"/>
      <c r="JW20" s="89"/>
      <c r="JX20" s="89"/>
      <c r="JY20" s="89"/>
      <c r="JZ20" s="114"/>
      <c r="KA20" s="98"/>
      <c r="KB20" s="129"/>
      <c r="KD20" s="102" t="s">
        <v>98</v>
      </c>
      <c r="KE20" s="97"/>
      <c r="KF20" s="89"/>
      <c r="KG20" s="89"/>
      <c r="KH20" s="89"/>
      <c r="KI20" s="114"/>
      <c r="KJ20" s="98"/>
    </row>
    <row r="21" spans="2:296" ht="15.75" thickBot="1" x14ac:dyDescent="0.3">
      <c r="B21" s="102" t="s">
        <v>95</v>
      </c>
      <c r="C21" s="480">
        <f t="shared" si="7"/>
        <v>0</v>
      </c>
      <c r="D21" s="496">
        <f t="shared" si="8"/>
        <v>0</v>
      </c>
      <c r="E21" s="496">
        <f t="shared" si="9"/>
        <v>0</v>
      </c>
      <c r="F21" s="496">
        <f t="shared" si="10"/>
        <v>0</v>
      </c>
      <c r="G21" s="497">
        <f t="shared" si="11"/>
        <v>0</v>
      </c>
      <c r="H21" s="496">
        <f t="shared" si="12"/>
        <v>0</v>
      </c>
      <c r="I21" s="1157" t="e">
        <f>ROUND(SUM($BB21*BO21+$BY21*CL21+$CV21*DI21+$DS21*EF21+$EP21*FC21+$FM21*FZ21+$GJ21*GW21+$HG21*HT21+$ID21*IQ21+$JA21*JN21)/$C21,2)</f>
        <v>#DIV/0!</v>
      </c>
      <c r="J21" s="1157" t="e">
        <f>ROUND(SUM($BB21*BP21+$BY21*CM21+$CV21*DJ21+$DS21*EG21+$EP21*FD21+$FM21*GA21+$GJ21*GX21+$HG21*HU21+$ID21*IR21+$JA21*JO21)/$C21,2)</f>
        <v>#DIV/0!</v>
      </c>
      <c r="K21" s="1157" t="e">
        <f>ROUND(SUM($BB21*BQ21+$BY21*CN21+$CV21*DK21+$DS21*EH21+$EP21*FE21+$FM21*GB21+$GJ21*GY21+$HG21*HV21+$ID21*IS21+$JA21*JP21)/$C21,2)</f>
        <v>#DIV/0!</v>
      </c>
      <c r="L21" s="496" t="e">
        <f t="shared" si="0"/>
        <v>#DIV/0!</v>
      </c>
      <c r="M21" s="496" t="e">
        <f t="shared" si="13"/>
        <v>#DIV/0!</v>
      </c>
      <c r="N21" s="1158" t="e">
        <f t="shared" si="1"/>
        <v>#DIV/0!</v>
      </c>
      <c r="P21" t="str">
        <f>'PIM Model'!E17</f>
        <v>INCLUDE</v>
      </c>
      <c r="Q21">
        <f t="shared" si="14"/>
        <v>0</v>
      </c>
      <c r="R21">
        <f t="shared" si="15"/>
        <v>0</v>
      </c>
      <c r="S21" s="102" t="s">
        <v>95</v>
      </c>
      <c r="T21" s="97">
        <f t="shared" si="16"/>
        <v>0</v>
      </c>
      <c r="U21" s="89">
        <f t="shared" si="2"/>
        <v>0</v>
      </c>
      <c r="V21" s="89">
        <f t="shared" si="3"/>
        <v>0</v>
      </c>
      <c r="W21" s="89">
        <f t="shared" si="4"/>
        <v>0</v>
      </c>
      <c r="X21" s="114">
        <f t="shared" si="5"/>
        <v>0</v>
      </c>
      <c r="Y21" s="117">
        <f t="shared" si="17"/>
        <v>0</v>
      </c>
      <c r="Z21" s="400"/>
      <c r="AA21" s="102" t="s">
        <v>95</v>
      </c>
      <c r="AB21" s="484">
        <f>SUMIFS($BB21:$JF21,$BB$12:$JF$12,AB$12)</f>
        <v>0</v>
      </c>
      <c r="AC21" s="485">
        <f>SUMIFS($BB21:$JF21,$BB$12:$JF$12,AC$12)</f>
        <v>0</v>
      </c>
      <c r="AD21" s="485">
        <f>SUMIFS($BB21:$JF21,$BB$12:$JF$12,AD$12)</f>
        <v>0</v>
      </c>
      <c r="AE21" s="486">
        <f t="shared" si="18"/>
        <v>0</v>
      </c>
      <c r="AF21" s="487">
        <f t="shared" si="19"/>
        <v>0</v>
      </c>
      <c r="AG21" s="400"/>
      <c r="AH21" s="102" t="s">
        <v>95</v>
      </c>
      <c r="AI21" s="484">
        <f t="shared" si="6"/>
        <v>0</v>
      </c>
      <c r="AJ21" s="481">
        <f t="shared" si="20"/>
        <v>0</v>
      </c>
      <c r="AK21" s="487"/>
      <c r="AL21" s="400"/>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400">
        <f>VLOOKUP($AH21&amp;$AM21,'IMargin Quartiles'!$A:$F,6,FALSE)</f>
        <v>0.12</v>
      </c>
      <c r="AO21" s="400"/>
      <c r="AP21"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Q21" s="400" t="e">
        <f t="shared" si="21"/>
        <v>#DIV/0!</v>
      </c>
      <c r="AR21">
        <f>'PIM Model'!C17</f>
        <v>0</v>
      </c>
      <c r="AS21" s="400"/>
      <c r="AT21" s="400"/>
      <c r="AU21" s="400" t="e">
        <f t="shared" si="42"/>
        <v>#DIV/0!</v>
      </c>
      <c r="AV21" s="400"/>
      <c r="AW21" s="400"/>
      <c r="AX21" s="108">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96" t="e">
        <f t="shared" si="22"/>
        <v>#DIV/0!</v>
      </c>
      <c r="BA21" s="102" t="s">
        <v>95</v>
      </c>
      <c r="BB21" s="94">
        <f>IFERROR(IF(AND($BB$2&lt;&gt;"Enter Spend&gt;&gt;&gt;",BC9="EXISTING"),SUMIFS('Existing Customers'!$Q:$Q,'Existing Customers'!$A:$A,$BB$1,'Existing Customers'!$H:$H,$BA21)*$BB$4,$BB$3*$AZ21),0)</f>
        <v>0</v>
      </c>
      <c r="BC21" s="95">
        <f>IFERROR(IF(AND($BB$2&lt;&gt;"Enter Spend&gt;&gt;&gt;",BC2="EXISTING"),SUMIFS('Existing Customers'!$N:$N,'Existing Customers'!$A:$A,$BB$1,'Existing Customers'!$H:$H,$BA21)*$BB$4,$BB21/$BM21),0)</f>
        <v>0</v>
      </c>
      <c r="BD21" s="95">
        <f>IFERROR(IF(AND($BB$2&lt;&gt;"Enter Spend&gt;&gt;&gt;",BC2="EXISTING"),SUMIFS('Existing Customers'!$O:$O,'Existing Customers'!$H:$H,$BA21,'Existing Customers'!$A:$A,$BB$1)*$BB$4,$BC21*$BB$8),0)</f>
        <v>0</v>
      </c>
      <c r="BE21" s="95">
        <f>IFERROR(IF(AND($BB$2&lt;&gt;"Enter Spend&gt;&gt;&gt;",BC2="EXISTING"),SUMIFS('Existing Customers'!$P:$P,'Existing Customers'!$A:$A,$BB$1,'Existing Customers'!$H:$H,$BA21)*$BB$4,$BB21/$BN21),0)</f>
        <v>0</v>
      </c>
      <c r="BF21" s="402">
        <f>IFERROR(IF(AND($BB$2&lt;&gt;"Enter Spend&gt;&gt;&gt;",BC2="EXISTING"),SUMIFS('Existing Customers'!$V:$V,'Existing Customers'!$H:$H,$BA21,'Existing Customers'!$A:$A,$BB$1)*$BB$4,0),0)</f>
        <v>0</v>
      </c>
      <c r="BG21" s="96">
        <f>IFERROR(IF(AND($BB$2&lt;&gt;"Enter Spend&gt;&gt;&gt;",BC2="EXISTING"),SUMIFS('Existing Customers'!$R:$R,'Existing Customers'!$H:$H,$BA21,'Existing Customers'!$A:$A,$BB$1)*$BB$4,0),0)</f>
        <v>0</v>
      </c>
      <c r="BH21" s="96">
        <f>IFERROR(IF(AND($BB$2&lt;&gt;"Enter Spend&gt;&gt;&gt;",BC2="EXISTING"),SUMIFS('Existing Customers'!$S:$S,'Existing Customers'!$H:$H,$BA21,'Existing Customers'!$A:$A,$BB$1),BR21*BB21),0)</f>
        <v>0</v>
      </c>
      <c r="BI21" s="96">
        <f>IFERROR(IF(AND($BB$2&lt;&gt;"Enter Spend&gt;&gt;&gt;",BC2="EXISTING"),SUMIFS('Existing Customers'!$U:$U,'Existing Customers'!$H:$H,$BA21,'Existing Customers'!$A:$A,$BB$1),BS21*BB21),0)</f>
        <v>0</v>
      </c>
      <c r="BJ21" s="1163" t="e">
        <f>_xlfn.CONCAT('Customer Inputs'!$AG$6,"_",BA21)</f>
        <v>#N/A</v>
      </c>
      <c r="BK21" s="1164">
        <f t="array" ref="BK21">IFERROR(INDEX('Margin Guidence Table'!$A$1:$AD$30000,MATCH(1,('Margin Guidence Table'!$A$1:$A$10000=$BJ21)*('Margin Guidence Table'!$I$1:$I$10000&lt;=ROUND($BB$3,0))*('Margin Guidence Table'!$J$1:$J$10000&gt;=ROUND($BB$3,0)),0),MATCH("DATA_POINTS",'Margin Guidence Table'!$A$1:$AG$1,0)),0)</f>
        <v>0</v>
      </c>
      <c r="BL21" s="1161" t="str">
        <f t="shared" si="23"/>
        <v>DEFAULT</v>
      </c>
      <c r="BM21" s="1161">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161">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165">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165">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165">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165">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165">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165">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9"/>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96" t="e">
        <f t="shared" si="24"/>
        <v>#DIV/0!</v>
      </c>
      <c r="BX21" s="102" t="s">
        <v>95</v>
      </c>
      <c r="BY21" s="94">
        <f>IFERROR(IF(AND($BY$2&lt;&gt;"Enter Spend&gt;&gt;&gt;",BZ9="EXISTING"),SUMIFS('Existing Customers'!$Q:$Q,'Existing Customers'!$A:$A,$BY$1,'Existing Customers'!$H:$H,$BX21)*$BY$4,$BY$3*$BW21),0)</f>
        <v>0</v>
      </c>
      <c r="BZ21" s="89">
        <f>IFERROR(IF(AND($BY$2&lt;&gt;"Enter Spend&gt;&gt;&gt;",BZ2="EXISTING"),SUMIFS('Existing Customers'!$N:$N,'Existing Customers'!$A:$A,$BY$1,'Existing Customers'!$H:$H,$BX21)*$BY$4,$BY21/$CJ21),0)</f>
        <v>0</v>
      </c>
      <c r="CA21" s="95">
        <f>IFERROR(IF(AND($BY$2&lt;&gt;"Enter Spend&gt;&gt;&gt;",BZ2="EXISTING"),SUMIFS('Existing Customers'!$O:$O,'Existing Customers'!$H:$H,$BX21,'Existing Customers'!$A:$A,$BY$1)*$BY$4,$BZ21*$BY$8),0)</f>
        <v>0</v>
      </c>
      <c r="CB21" s="95">
        <f>IFERROR(IF(AND($BY$2&lt;&gt;"Enter Spend&gt;&gt;&gt;",BZ2="EXISTING"),SUMIFS('Existing Customers'!$P:$P,'Existing Customers'!$A:$A,$BY$1,'Existing Customers'!$H:$H,$BX21)*$BY$4,$BY21/$CK21),0)</f>
        <v>0</v>
      </c>
      <c r="CC21" s="96">
        <f>IFERROR(IF(AND($BY$2&lt;&gt;"Enter Spend&gt;&gt;&gt;",BZ2="EXISTING"),SUMIFS('Existing Customers'!$V:$V,'Existing Customers'!$H:$H,$BX21,'Existing Customers'!$A:$A,$BY$1)*$BY$4,0),0)</f>
        <v>0</v>
      </c>
      <c r="CD21" s="96">
        <f>IFERROR(IF(AND($BY$2&lt;&gt;"Enter Spend&gt;&gt;&gt;",BZ2="EXISTING"),SUMIFS('Existing Customers'!$R:$R,'Existing Customers'!$H:$H,$BX21,'Existing Customers'!$A:$A,$BY$1)*$BY$4,0),0)</f>
        <v>0</v>
      </c>
      <c r="CE21" s="1161">
        <f>IFERROR(IF(AND($BY$2&lt;&gt;"Enter Spend&gt;&gt;&gt;",BZ2="EXISTING"),SUMIFS('Existing Customers'!$S:$S,'Existing Customers'!$H:$H,$BX21,'Existing Customers'!$A:$A,$BY$1),CO21*BY21),0)</f>
        <v>0</v>
      </c>
      <c r="CF21" s="1161">
        <f>IFERROR(IF(AND($BY$2&lt;&gt;"Enter Spend&gt;&gt;&gt;",BZ2="EXISTING"),SUMIFS('Existing Customers'!$U:$U,'Existing Customers'!$H:$H,$BX21,'Existing Customers'!$A:$A,$BY$1),CP21*BY21),0)</f>
        <v>0</v>
      </c>
      <c r="CG21" s="1164" t="e">
        <f>_xlfn.CONCAT('Customer Inputs'!$AG$7,"_",BX21)</f>
        <v>#N/A</v>
      </c>
      <c r="CH21" s="1164">
        <f t="array" ref="CH21">IFERROR(INDEX('Margin Guidence Table'!$A$1:$AD$30000,MATCH(1,('Margin Guidence Table'!$A$1:$A$10000=$CG21)*('Margin Guidence Table'!$I$1:$I$10000&lt;=ROUND($BY$3,0))*('Margin Guidence Table'!$J$1:$J$10000&gt;=ROUND($BY$3,0)),0),MATCH("DATA_POINTS",'Margin Guidence Table'!$A$1:$AG$1,0)),0)</f>
        <v>0</v>
      </c>
      <c r="CI21" s="1161" t="str">
        <f t="shared" si="25"/>
        <v>DEFAULT</v>
      </c>
      <c r="CJ21" s="1161">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161">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165">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165">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165">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165">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165">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165">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9"/>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96" t="e">
        <f t="shared" si="26"/>
        <v>#DIV/0!</v>
      </c>
      <c r="CU21" s="102" t="s">
        <v>95</v>
      </c>
      <c r="CV21" s="94">
        <f>IFERROR(IF(AND($CV$2&lt;&gt;"Enter Spend&gt;&gt;&gt;",CW9="EXISTING"),SUMIFS('Existing Customers'!$Q:$Q,'Existing Customers'!$A:$A,$CV$1,'Existing Customers'!$H:$H,$CU21)*$CV$4,$CV$3*$CT21),0)</f>
        <v>0</v>
      </c>
      <c r="CW21" s="89">
        <f>IFERROR(IF(AND($CV$2&lt;&gt;"Enter Spend&gt;&gt;&gt;",CW2="EXISTING"),SUMIFS('Existing Customers'!$N:$N,'Existing Customers'!$A:$A,$CV$1,'Existing Customers'!$H:$H,$CU21)*$CV$4,$CV21/$DG21),0)</f>
        <v>0</v>
      </c>
      <c r="CX21" s="95">
        <f>IFERROR(IF(AND($CV$2&lt;&gt;"Enter Spend&gt;&gt;&gt;",BC28="EXISTING"),SUMIFS('Existing Customers'!$O:$O,'Existing Customers'!$H:$H,$CU21,'Existing Customers'!$A:$A,$CV$1)*$CV$4,$CW21*$CV$8),0)</f>
        <v>0</v>
      </c>
      <c r="CY21" s="95">
        <f>IFERROR(IF(AND($CV$2&lt;&gt;"Enter Spend&gt;&gt;&gt;",CW2="EXISTING"),SUMIFS('Existing Customers'!$P:$P,'Existing Customers'!$A:$A,$CV$1,'Existing Customers'!$H:$H,$CU21)*$CV$4,$CV21/$DH21),0)</f>
        <v>0</v>
      </c>
      <c r="CZ21" s="96">
        <f>IFERROR(IF(AND($CV$2&lt;&gt;"Enter Spend&gt;&gt;&gt;",CW2="EXISTING"),SUMIFS('Existing Customers'!$V:$V,'Existing Customers'!$H:$H,$CU21,'Existing Customers'!$A:$A,$CV$1)*$CV$4,0),0)</f>
        <v>0</v>
      </c>
      <c r="DA21" s="96">
        <f>IFERROR(IF(AND($CV$2&lt;&gt;"Enter Spend&gt;&gt;&gt;",CW2="EXISTING"),SUMIFS('Existing Customers'!$R:$R,'Existing Customers'!$H:$H,$BA21,'Existing Customers'!$A:$A,$CV$1)*$CV$4,0),0)</f>
        <v>0</v>
      </c>
      <c r="DB21" s="1161">
        <f>IFERROR(IF(AND($CV$2&lt;&gt;"Enter Spend&gt;&gt;&gt;",CW2="EXISTING"),SUMIFS('Existing Customers'!$S:$S,'Existing Customers'!$H:$H,$CU21,'Existing Customers'!$A:$A,$CV$1),DL21*CV21),0)</f>
        <v>0</v>
      </c>
      <c r="DC21" s="1161">
        <f>IFERROR(IF(AND($CV$2&lt;&gt;"Enter Spend&gt;&gt;&gt;",CW2="EXISTING"),SUMIFS('Existing Customers'!$U:$U,'Existing Customers'!$H:$H,$CU21,'Existing Customers'!$A:$A,$CV$1),DM21*CV21),0)</f>
        <v>0</v>
      </c>
      <c r="DD21" s="1164" t="e">
        <f>_xlfn.CONCAT('Customer Inputs'!$AG$8,"_",CU21)</f>
        <v>#N/A</v>
      </c>
      <c r="DE21" s="1164">
        <f t="array" ref="DE21">IFERROR(INDEX('Margin Guidence Table'!$A$1:$AD$30000,MATCH(1,('Margin Guidence Table'!$A$1:$A$10000=DD21)*('Margin Guidence Table'!$I$1:$I$10000&lt;=ROUND($CV$3,0))*('Margin Guidence Table'!$J$1:$J$10000&gt;=ROUND($CV$3,0)),0),MATCH("DATA_POINTS",'Margin Guidence Table'!$A$1:$AG$1,0)),0)</f>
        <v>0</v>
      </c>
      <c r="DF21" s="1161" t="str">
        <f t="shared" si="27"/>
        <v>DEFAULT</v>
      </c>
      <c r="DG21" s="1161">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161">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165">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165">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165">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165">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165">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165">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9"/>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96" t="e">
        <f t="shared" si="28"/>
        <v>#DIV/0!</v>
      </c>
      <c r="DR21" s="102" t="s">
        <v>95</v>
      </c>
      <c r="DS21" s="94">
        <f>IFERROR(IF(AND($DS$2&lt;&gt;"Enter Spend&gt;&gt;&gt;",DT9="EXISTING"),SUMIFS('Existing Customers'!$Q:$Q,'Existing Customers'!$A:$A,$DS$1,'Existing Customers'!$H:$H,$DR21)*$DS$4,$DS$3*$DQ21),0)</f>
        <v>0</v>
      </c>
      <c r="DT21" s="89">
        <f>IFERROR(IF(AND($DS$2&lt;&gt;"Enter Spend&gt;&gt;&gt;",DT2="EXISTING"),SUMIFS('Existing Customers'!$N:$N,'Existing Customers'!$A:$A,$DS$1,'Existing Customers'!$H:$H,$DR21)*$DS$4,$DS21/$ED21),0)</f>
        <v>0</v>
      </c>
      <c r="DU21" s="95">
        <f>IFERROR(IF(AND($DS$2&lt;&gt;"Enter Spend&gt;&gt;&gt;",DT2="EXISTING"),SUMIFS('Existing Customers'!$O:$O,'Existing Customers'!$H:$H,$DR21,'Existing Customers'!$A:$A,$DS$1)*$DS$4,$DT21*$DS$8),0)</f>
        <v>0</v>
      </c>
      <c r="DV21" s="95">
        <f>IFERROR(IF(AND($DS$2&lt;&gt;"Enter Spend&gt;&gt;&gt;",DT2="EXISTING"),SUMIFS('Existing Customers'!$P:$P,'Existing Customers'!$A:$A,$DS$1,'Existing Customers'!$H:$H,$DR21)*$DS$4,$DS21/$EE21),0)</f>
        <v>0</v>
      </c>
      <c r="DW21" s="96">
        <f>IFERROR(IF(AND($DS$2&lt;&gt;"Enter Spend&gt;&gt;&gt;",EQ2="EXISTING"),SUMIFS('Existing Customers'!$V:$V,'Existing Customers'!$H:$H,$DR21,'Existing Customers'!$A:$A,$DS$1)*$DS$4,0),0)</f>
        <v>0</v>
      </c>
      <c r="DX21" s="96">
        <f>IFERROR(IF(AND($DS$2&lt;&gt;"Enter Spend&gt;&gt;&gt;",DT2="EXISTING"),SUMIFS('Existing Customers'!$R:$R,'Existing Customers'!$H:$H,$DR21,'Existing Customers'!$A:$A,$DS$1)*$DS$4,0),0)</f>
        <v>0</v>
      </c>
      <c r="DY21" s="1161">
        <f>IFERROR(IF(AND($DS$2&lt;&gt;"Enter Spend&gt;&gt;&gt;",DT2="EXISTING"),SUMIFS('Existing Customers'!$S:$S,'Existing Customers'!$H:$H,$DT21,'Existing Customers'!$A:$A,$DS$1),EI21*DS21),0)</f>
        <v>0</v>
      </c>
      <c r="DZ21" s="1161">
        <f>IFERROR(IF(AND($DS$2&lt;&gt;"Enter Spend&gt;&gt;&gt;",DT2="EXISTING"),SUMIFS('Existing Customers'!$U:$U,'Existing Customers'!$H:$H,$DR21,'Existing Customers'!$A:$A,$DS$1),EJ21*DS21),0)</f>
        <v>0</v>
      </c>
      <c r="EA21" s="1164" t="e">
        <f>_xlfn.CONCAT('Customer Inputs'!$AG$9,"_",DR21)</f>
        <v>#N/A</v>
      </c>
      <c r="EB21" s="1164">
        <f t="array" ref="EB21">IFERROR(INDEX('Margin Guidence Table'!$A$1:$AD$30000,MATCH(1,('Margin Guidence Table'!$A$1:$A$10000=EA21)*('Margin Guidence Table'!$I$1:$I$10000&lt;=ROUND($DS$3,0))*('Margin Guidence Table'!$J$1:$J$10000&gt;=ROUND($DS$3,0)),0),MATCH("DATA_POINTS",'Margin Guidence Table'!$A$1:$AG$1,0)),0)</f>
        <v>0</v>
      </c>
      <c r="EC21" s="1161" t="str">
        <f t="shared" si="29"/>
        <v>DEFAULT</v>
      </c>
      <c r="ED21" s="1161">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161">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165">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165">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165">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165">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165">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165">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9"/>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96" t="e">
        <f t="shared" si="30"/>
        <v>#DIV/0!</v>
      </c>
      <c r="EO21" s="102" t="s">
        <v>95</v>
      </c>
      <c r="EP21" s="94">
        <f>IFERROR(IF(AND($EP$2&lt;&gt;"Enter Spend&gt;&gt;&gt;",EQ9="EXISTING"),SUMIFS('Existing Customers'!$Q:$Q,'Existing Customers'!$A:$A,$EP$1,'Existing Customers'!$H:$H,$EO21)*$EP$4,$EP$3*$EN21),0)</f>
        <v>0</v>
      </c>
      <c r="EQ21" s="89">
        <f>IFERROR(IF(AND($EP$2&lt;&gt;"Enter Spend&gt;&gt;&gt;",EQ2="EXISTING"),SUMIFS('Existing Customers'!$N:$N,'Existing Customers'!$A:$A,$EP$1,'Existing Customers'!$H:$H,$EO21)*$EP$4,$EP21/$FA21),0)</f>
        <v>0</v>
      </c>
      <c r="ER21" s="95">
        <f>IFERROR(IF(AND($EP$2&lt;&gt;"Enter Spend&gt;&gt;&gt;",EQ2="EXISTING"),SUMIFS('Existing Customers'!$O:$O,'Existing Customers'!$H:$H,$EO21,'Existing Customers'!$A:$A,$EP$1)*$EP$4,$EQ21*$EP$8),0)</f>
        <v>0</v>
      </c>
      <c r="ES21" s="95">
        <f>IFERROR(IF(AND($EP$2&lt;&gt;"Enter Spend&gt;&gt;&gt;",EQ2="EXISTING"),SUMIFS('Existing Customers'!$P:$P,'Existing Customers'!$A:$A,$EP$1,'Existing Customers'!$H:$H,$EO21)*$EP$4,$EP21/$FB21),0)</f>
        <v>0</v>
      </c>
      <c r="ET21" s="96">
        <f>IFERROR(IF(AND($EP$2&lt;&gt;"Enter Spend&gt;&gt;&gt;",EQ2="EXISTING"),SUMIFS('Existing Customers'!$V:$V,'Existing Customers'!$H:$H,$EO21,'Existing Customers'!$A:$A,$EP$1)*$EP$4,0),0)</f>
        <v>0</v>
      </c>
      <c r="EU21" s="96">
        <f>IFERROR(IF(AND($EP$2&lt;&gt;"Enter Spend&gt;&gt;&gt;",EQ2="EXISTING"),SUMIFS('Existing Customers'!$R:$R,'Existing Customers'!$H:$H,$EO21,'Existing Customers'!$A:$A,$EP$1)*$EP$4,0),0)</f>
        <v>0</v>
      </c>
      <c r="EV21" s="1161">
        <f>IFERROR(IF(AND($EP$2&lt;&gt;"Enter Spend&gt;&gt;&gt;",EQ2="EXISTING"),SUMIFS('Existing Customers'!$S:$S,'Existing Customers'!$H:$H,$EO21,'Existing Customers'!$A:$A,$EP$1),FF21*EP21),0)</f>
        <v>0</v>
      </c>
      <c r="EW21" s="1161">
        <f>IFERROR(IF(AND($EP$2&lt;&gt;"Enter Spend&gt;&gt;&gt;",EQ2="EXISTING"),SUMIFS('Existing Customers'!$U:$U,'Existing Customers'!$H:$H,$EO21,'Existing Customers'!$A:$A,$EP$1),FG21*EP21),0)</f>
        <v>0</v>
      </c>
      <c r="EX21" s="1164" t="e">
        <f>_xlfn.CONCAT('Customer Inputs'!$AG$10,"_",EO21)</f>
        <v>#N/A</v>
      </c>
      <c r="EY21" s="1164">
        <f t="array" ref="EY21">IFERROR(INDEX('Margin Guidence Table'!$A$1:$AD$30000,MATCH(1,('Margin Guidence Table'!$A$1:$A$10000=EX21)*('Margin Guidence Table'!$I$1:$I$10000&lt;=ROUND($EP$3,0))*('Margin Guidence Table'!$J$1:$J$10000&gt;=ROUND($EP$3,0)),0),MATCH("DATA_POINTS",'Margin Guidence Table'!$A$1:$AG$1,0)),0)</f>
        <v>0</v>
      </c>
      <c r="EZ21" s="1161" t="str">
        <f t="shared" si="31"/>
        <v>DEFAULT</v>
      </c>
      <c r="FA21" s="1161">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161"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165">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165">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165">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165">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165">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165">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9"/>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96" t="e">
        <f t="shared" si="32"/>
        <v>#DIV/0!</v>
      </c>
      <c r="FL21" s="102" t="s">
        <v>95</v>
      </c>
      <c r="FM21" s="94">
        <f>IFERROR(IF(AND($FM$2&lt;&gt;"Enter Spend&gt;&gt;&gt;",FN9="EXISTING"),SUMIFS('Existing Customers'!$Q:$Q,'Existing Customers'!$A:$A,$FM$1,'Existing Customers'!$H:$H,$FL21)*$FM$4,$FM$3*$FK21),0)</f>
        <v>0</v>
      </c>
      <c r="FN21" s="89">
        <f>IFERROR(IF(AND($FM$2&lt;&gt;"Enter Spend&gt;&gt;&gt;",FN2="EXISTING"),SUMIFS('Existing Customers'!$N:$N,'Existing Customers'!$A:$A,$FM$1,'Existing Customers'!$H:$H,$FL21)*$FM$4,$FM21/$FX21),0)</f>
        <v>0</v>
      </c>
      <c r="FO21" s="95">
        <f>IFERROR(IF(AND($FM$2&lt;&gt;"Enter Spend&gt;&gt;&gt;",FN2="EXISTING"),SUMIFS('Existing Customers'!$O:$O,'Existing Customers'!$H:$H,$FL21,'Existing Customers'!$A:$A,$FM$1)*$FM$4,$FN21*$FM$8),0)</f>
        <v>0</v>
      </c>
      <c r="FP21" s="95">
        <f>IFERROR(IF(AND($FM$2&lt;&gt;"Enter Spend&gt;&gt;&gt;",FN2="EXISTING"),SUMIFS('Existing Customers'!$P:$P,'Existing Customers'!$A:$A,$FM$1,'Existing Customers'!$H:$H,$FL21)*$FM$4,$FM21/$FY21),0)</f>
        <v>0</v>
      </c>
      <c r="FQ21" s="96">
        <f>IFERROR(IF(AND($FM$2&lt;&gt;"Enter Spend&gt;&gt;&gt;",FN2="EXISTING"),SUMIFS('Existing Customers'!$V:$V,'Existing Customers'!$H:$H,$FL21,'Existing Customers'!$A:$A,$FM$1)*$FM$4,0),0)</f>
        <v>0</v>
      </c>
      <c r="FR21" s="96">
        <f>IFERROR(IF(AND($FM$2&lt;&gt;"Enter Spend&gt;&gt;&gt;",FN2="EXISTING"),SUMIFS('Existing Customers'!$R:$R,'Existing Customers'!$H:$H,$FL21,'Existing Customers'!$A:$A,$FM$1)*$FM$4,0),0)</f>
        <v>0</v>
      </c>
      <c r="FS21" s="1161">
        <f>IFERROR(IF(AND($FM$2&lt;&gt;"Enter Spend&gt;&gt;&gt;",FN2="EXISTING"),SUMIFS('Existing Customers'!$S:$S,'Existing Customers'!$H:$H,$FL21,'Existing Customers'!$A:$A,$FM$1),GC21*FM21),0)</f>
        <v>0</v>
      </c>
      <c r="FT21" s="1161">
        <f>IFERROR(IF(AND($FM$2&lt;&gt;"Enter Spend&gt;&gt;&gt;",FN2="EXISTING"),SUMIFS('Existing Customers'!$U:$U,'Existing Customers'!$H:$H,$FL21,'Existing Customers'!$A:$A,$FM$1),GD21*FM21),0)</f>
        <v>0</v>
      </c>
      <c r="FU21" s="1164" t="e">
        <f>_xlfn.CONCAT('Customer Inputs'!$AG$11,"_",FL21)</f>
        <v>#N/A</v>
      </c>
      <c r="FV21" s="1164">
        <f t="array" ref="FV21">IFERROR(INDEX('Margin Guidence Table'!$A$1:$AD$30000,MATCH(1,('Margin Guidence Table'!$A$1:$A$10000=FU21)*('Margin Guidence Table'!$I$1:$I$10000&lt;=ROUND($FM$3,0))*('Margin Guidence Table'!$J$1:$J$10000&gt;=ROUND($FM$3,0)),0),MATCH("DATA_POINTS",'Margin Guidence Table'!$A$1:$AG$1,0)),0)</f>
        <v>0</v>
      </c>
      <c r="FW21" s="1161" t="str">
        <f t="shared" si="33"/>
        <v>DEFAULT</v>
      </c>
      <c r="FX21" s="1161">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161">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165">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165">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165">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165">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165">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165">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9"/>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96" t="e">
        <f t="shared" si="34"/>
        <v>#DIV/0!</v>
      </c>
      <c r="GI21" s="102" t="s">
        <v>95</v>
      </c>
      <c r="GJ21" s="94">
        <f>IFERROR(IF(AND($GJ$2&lt;&gt;"Enter Spend&gt;&gt;&gt;",GK9="EXISTING"),SUMIFS('Existing Customers'!$Q:$Q,'Existing Customers'!$A:$A,$GJ$1,'Existing Customers'!$H:$H,$GI21)*$GJ$4,$GJ$3*$GH21),0)</f>
        <v>0</v>
      </c>
      <c r="GK21" s="89">
        <f>IFERROR(IF(AND($GJ$2&lt;&gt;"Enter Spend&gt;&gt;&gt;",GK2="EXISTING"),SUMIFS('Existing Customers'!$N:$N,'Existing Customers'!$A:$A,$GJ$1,'Existing Customers'!$H:$H,$GI21)*$GJ$4,$GJ21/$GU21),0)</f>
        <v>0</v>
      </c>
      <c r="GL21" s="95">
        <f>IFERROR(IF(AND($GJ$2&lt;&gt;"Enter Spend&gt;&gt;&gt;",GK2="EXISTING"),SUMIFS('Existing Customers'!$O:$O,'Existing Customers'!$H:$H,$GI21,'Existing Customers'!$A:$A,$GJ$1)*$GJ$4,$GK21*$GJ$8),0)</f>
        <v>0</v>
      </c>
      <c r="GM21" s="95">
        <f>IFERROR(IF(AND($GJ$2&lt;&gt;"Enter Spend&gt;&gt;&gt;",GK2="EXISTING"),SUMIFS('Existing Customers'!$P:$P,'Existing Customers'!$A:$A,$GJ$1,'Existing Customers'!$H:$H,$GI21)*$GJ$4,$GJ21/$GV21),0)</f>
        <v>0</v>
      </c>
      <c r="GN21" s="96">
        <f>IFERROR(IF(AND($GJ$2&lt;&gt;"Enter Spend&gt;&gt;&gt;",GK2="EXISTING"),SUMIFS('Existing Customers'!$V:$V,'Existing Customers'!$H:$H,$GI21,'Existing Customers'!$A:$A,$GJ$1)*$GJ$4,0),0)</f>
        <v>0</v>
      </c>
      <c r="GO21" s="96">
        <f>IFERROR(IF(AND($GJ$2&lt;&gt;"Enter Spend&gt;&gt;&gt;",GK2="EXISTING"),SUMIFS('Existing Customers'!$R:$R,'Existing Customers'!$H:$H,$GI21,'Existing Customers'!$A:$A,$GJ$1)*$GJ$4,0),0)</f>
        <v>0</v>
      </c>
      <c r="GP21" s="1161">
        <f>IFERROR(IF(AND($GJ$2&lt;&gt;"Enter Spend&gt;&gt;&gt;",GK2="EXISTING"),SUMIFS('Existing Customers'!$S:$S,'Existing Customers'!$H:$H,$GI21,'Existing Customers'!$A:$A,$GJ$1),GZ21*GJ21),0)</f>
        <v>0</v>
      </c>
      <c r="GQ21" s="1161">
        <f>IFERROR(IF(AND($GJ$2&lt;&gt;"Enter Spend&gt;&gt;&gt;",GK2="EXISTING"),SUMIFS('Existing Customers'!$U:$U,'Existing Customers'!$H:$H,$GI21,'Existing Customers'!$A:$A,$GJ$1),HA21*GJ21),0)</f>
        <v>0</v>
      </c>
      <c r="GR21" s="1164" t="e">
        <f>_xlfn.CONCAT('Customer Inputs'!$AG$12,"_",GI21)</f>
        <v>#N/A</v>
      </c>
      <c r="GS21" s="1164">
        <f t="array" ref="GS21">IFERROR(INDEX('Margin Guidence Table'!$A$1:$AD$30000,MATCH(1,('Margin Guidence Table'!$A$1:$A$10000=GR21)*('Margin Guidence Table'!$I$1:$I$10000&lt;=ROUND($GJ$3,0))*('Margin Guidence Table'!$J$1:$J$10000&gt;=ROUND($GJ$3,0)),0),MATCH("DATA_POINTS",'Margin Guidence Table'!$A$1:$AG$1,0)),0)</f>
        <v>0</v>
      </c>
      <c r="GT21" s="1161" t="str">
        <f t="shared" si="35"/>
        <v>DEFAULT</v>
      </c>
      <c r="GU21" s="1161">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161">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165">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165">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165">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165">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165">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165">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9"/>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96" t="e">
        <f t="shared" si="36"/>
        <v>#DIV/0!</v>
      </c>
      <c r="HF21" s="102" t="s">
        <v>95</v>
      </c>
      <c r="HG21" s="94">
        <f>IFERROR(IF(AND($HG$2&lt;&gt;"Enter Spend&gt;&gt;&gt;",HH9="EXISTING"),SUMIFS('Existing Customers'!$Q:$Q,'Existing Customers'!$A:$A,$HG$1,'Existing Customers'!$H:$H,$HF21)*$HG$4,$HG$3*$HE21),0)</f>
        <v>0</v>
      </c>
      <c r="HH21" s="89">
        <f>IFERROR(IF(AND($HG$2&lt;&gt;"Enter Spend&gt;&gt;&gt;",HH2="EXISTING"),SUMIFS('Existing Customers'!$N:$N,'Existing Customers'!$A:$A,$HG$1,'Existing Customers'!$H:$H,$HF21)*$HG$4,$HG21/$HR21),0)</f>
        <v>0</v>
      </c>
      <c r="HI21" s="95">
        <f>IFERROR(IF(AND($HG$2&lt;&gt;"Enter Spend&gt;&gt;&gt;",HH2="EXISTING"),SUMIFS('Existing Customers'!$O:$O,'Existing Customers'!$H:$H,$HF21,'Existing Customers'!$A:$A,$HG$1)*$HG$4,$HH21*$HG$8),0)</f>
        <v>0</v>
      </c>
      <c r="HJ21" s="95">
        <f>IFERROR(IF(AND($HG$2&lt;&gt;"Enter Spend&gt;&gt;&gt;",HH2="EXISTING"),SUMIFS('Existing Customers'!$P:$P,'Existing Customers'!$A:$A,$HG$1,'Existing Customers'!$H:$H,$HF21)*$HG$4,$HG21/$HS21),0)</f>
        <v>0</v>
      </c>
      <c r="HK21" s="96">
        <f>IFERROR(IF(AND($HG$2&lt;&gt;"Enter Spend&gt;&gt;&gt;",HH2="EXISTING"),SUMIFS('Existing Customers'!$V:$V,'Existing Customers'!$H:$H,$HF21,'Existing Customers'!$A:$A,$HG$1)*$HG$4,0),0)</f>
        <v>0</v>
      </c>
      <c r="HL21" s="96">
        <f>IFERROR(IF(AND($HG$2&lt;&gt;"Enter Spend&gt;&gt;&gt;",HH2="EXISTING"),SUMIFS('Existing Customers'!$R:$R,'Existing Customers'!$H:$H,$HF21,'Existing Customers'!$A:$A,$HG$1)*$HG$4,0),0)</f>
        <v>0</v>
      </c>
      <c r="HM21" s="1161">
        <f>IFERROR(IF(AND($HG$2&lt;&gt;"Enter Spend&gt;&gt;&gt;",HH2="EXISTING"),SUMIFS('Existing Customers'!$S:$S,'Existing Customers'!$H:$H,$HF21,'Existing Customers'!$A:$A,$HG$1),HW21*HG21),0)</f>
        <v>0</v>
      </c>
      <c r="HN21" s="1161">
        <f>IFERROR(IF(AND($HG$2&lt;&gt;"Enter Spend&gt;&gt;&gt;",HH2="EXISTING"),SUMIFS('Existing Customers'!$U:$U,'Existing Customers'!$H:$H,$HF21,'Existing Customers'!$A:$A,$HG$1),HX21*HG21),0)</f>
        <v>0</v>
      </c>
      <c r="HO21" s="1164" t="e">
        <f>_xlfn.CONCAT('Customer Inputs'!$AG$13,"_",HF21)</f>
        <v>#N/A</v>
      </c>
      <c r="HP21" s="1164">
        <f t="array" ref="HP21">IFERROR(INDEX('Margin Guidence Table'!$A$1:$AD$30000,MATCH(1,('Margin Guidence Table'!$A$1:$A$10000=HO21)*('Margin Guidence Table'!$I$1:$I$10000&lt;=ROUND($HG$3,0))*('Margin Guidence Table'!$J$1:$J$10000&gt;=ROUND($HG$3,0)),0),MATCH("DATA_POINTS",'Margin Guidence Table'!$A$1:$AG$1,0)),0)</f>
        <v>0</v>
      </c>
      <c r="HQ21" s="1161" t="str">
        <f t="shared" si="37"/>
        <v>DEFAULT</v>
      </c>
      <c r="HR21" s="1161">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161">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165">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165">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165">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165">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165">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165">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9"/>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96" t="e">
        <f t="shared" si="38"/>
        <v>#DIV/0!</v>
      </c>
      <c r="IC21" s="102" t="s">
        <v>95</v>
      </c>
      <c r="ID21" s="94">
        <f>IFERROR(IF(AND($ID$2&lt;&gt;"Enter Spend&gt;&gt;&gt;",IE9="EXISTING"),SUMIFS('Existing Customers'!$Q:$Q,'Existing Customers'!$A:$A,$ID$1,'Existing Customers'!$H:$H,$IC21)*$ID$4,$ID$3*$IB21),0)</f>
        <v>0</v>
      </c>
      <c r="IE21" s="89">
        <f>IFERROR(IF(AND($ID$2&lt;&gt;"Enter Spend&gt;&gt;&gt;",IE2="EXISTING"),SUMIFS('Existing Customers'!$N:$N,'Existing Customers'!$A:$A,$ID$1,'Existing Customers'!$H:$H,$IC21)*$ID$4,$ID21/$IO21),0)</f>
        <v>0</v>
      </c>
      <c r="IF21" s="95">
        <f>IFERROR(IF(AND($ID$2&lt;&gt;"Enter Spend&gt;&gt;&gt;",IE2="EXISTING"),SUMIFS('Existing Customers'!$O:$O,'Existing Customers'!$H:$H,$IC21,'Existing Customers'!$A:$A,$ID$1)*$ID$4,$IE21*$ID$8),0)</f>
        <v>0</v>
      </c>
      <c r="IG21" s="95">
        <f>IFERROR(IF(AND($ID$2&lt;&gt;"Enter Spend&gt;&gt;&gt;",IE2="EXISTING"),SUMIFS('Existing Customers'!$P:$P,'Existing Customers'!$A:$A,$ID$1,'Existing Customers'!$H:$H,$IC21)*$ID$4,$ID21/$IP21),0)</f>
        <v>0</v>
      </c>
      <c r="IH21" s="402">
        <f>IFERROR(IF(AND($ID$2&lt;&gt;"Enter Spend&gt;&gt;&gt;",IE2="EXISTING"),SUMIFS('Existing Customers'!$V:$V,'Existing Customers'!$H:$H,$IC21,'Existing Customers'!$A:$A,$ID$1)*$ID$4,0),0)</f>
        <v>0</v>
      </c>
      <c r="II21" s="96">
        <f>IFERROR(IF(AND($ID$2&lt;&gt;"Enter Spend&gt;&gt;&gt;",IE2="EXISTING"),SUMIFS('Existing Customers'!$R:$R,'Existing Customers'!$H:$H,$IC21,'Existing Customers'!$A:$A,$ID$1)*$ID$4,0),0)</f>
        <v>0</v>
      </c>
      <c r="IJ21" s="1161">
        <f>IFERROR(IF(AND($ID$2&lt;&gt;"Enter Spend&gt;&gt;&gt;",IE2="EXISTING"),SUMIFS('Existing Customers'!$S:$S,'Existing Customers'!$H:$H,$IC21,'Existing Customers'!$A:$A,$ID$1),IT21*ID21),0)</f>
        <v>0</v>
      </c>
      <c r="IK21" s="1161">
        <f>IFERROR(IF(AND($ID$2&lt;&gt;"Enter Spend&gt;&gt;&gt;",IE2="EXISTING"),SUMIFS('Existing Customers'!$U:$U,'Existing Customers'!$H:$H,$IC21,'Existing Customers'!$A:$A,$ID$1),IU21*ID21),0)</f>
        <v>0</v>
      </c>
      <c r="IL21" s="1164" t="e">
        <f>_xlfn.CONCAT('Customer Inputs'!$AG$14,"_",IC21)</f>
        <v>#N/A</v>
      </c>
      <c r="IM21" s="1164">
        <f t="array" ref="IM21">IFERROR(INDEX('Margin Guidence Table'!$A$1:$AD$30000,MATCH(1,('Margin Guidence Table'!$A$1:$A$10000=IL21)*('Margin Guidence Table'!$I$1:$I$10000&lt;=ROUND($ID$3,0))*('Margin Guidence Table'!$J$1:$J$10000&gt;=ROUND($ID$3,0)),0),MATCH("DATA_POINTS",'Margin Guidence Table'!$A$1:$AG$1,0)),0)</f>
        <v>0</v>
      </c>
      <c r="IN21" s="1161" t="str">
        <f t="shared" si="39"/>
        <v>DEFAULT</v>
      </c>
      <c r="IO21" s="1161">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161">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165">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165">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165">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165">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165">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165">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9"/>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96" t="e">
        <f t="shared" si="40"/>
        <v>#DIV/0!</v>
      </c>
      <c r="IZ21" s="102" t="s">
        <v>95</v>
      </c>
      <c r="JA21" s="94">
        <f>IFERROR(IF(AND($JA$2&lt;&gt;"Enter Spend&gt;&gt;&gt;",JB9="EXISTING"),SUMIFS('Existing Customers'!$Q:$Q,'Existing Customers'!$A:$A,$JA$1,'Existing Customers'!$H:$H,$IZ21)*$JA$4,$JA$3*$IY21),0)</f>
        <v>0</v>
      </c>
      <c r="JB21" s="89">
        <f>IFERROR(IF(AND($JA$2&lt;&gt;"Enter Spend&gt;&gt;&gt;",JB2="EXISTING"),SUMIFS('Existing Customers'!$N:$N,'Existing Customers'!$A:$A,$JA$1,'Existing Customers'!$H:$H,$IZ21)*$JA$4,$JA21/$JL21),0)</f>
        <v>0</v>
      </c>
      <c r="JC21" s="95">
        <f>IFERROR(IF(AND($JA$2&lt;&gt;"Enter Spend&gt;&gt;&gt;",JB2="EXISTING"),SUMIFS('Existing Customers'!$O:$O,'Existing Customers'!$H:$H,$IZ21,'Existing Customers'!$A:$A,$JA$1)*$JA$4,$JB21*$JA$8),0)</f>
        <v>0</v>
      </c>
      <c r="JD21" s="95">
        <f>IFERROR(IF(AND($JA$2&lt;&gt;"Enter Spend&gt;&gt;&gt;",JB2="EXISTING"),SUMIFS('Existing Customers'!$P:$P,'Existing Customers'!$A:$A,$JA$1,'Existing Customers'!$H:$H,$IZ21)*$JA$4,$JA21/$JM21),0)</f>
        <v>0</v>
      </c>
      <c r="JE21" s="402">
        <f>IFERROR(IF(AND($JA$2&lt;&gt;"Enter Spend&gt;&gt;&gt;",JB2="EXISTING"),SUMIFS('Existing Customers'!$V:$V,'Existing Customers'!$H:$H,$IZ21,'Existing Customers'!$A:$A,$JA$1)*$JA$4,0),0)</f>
        <v>0</v>
      </c>
      <c r="JF21" s="96">
        <f>IFERROR(IF(AND($JA$2&lt;&gt;"Enter Spend&gt;&gt;&gt;",JB2="EXISTING"),SUMIFS('Existing Customers'!$R:$R,'Existing Customers'!$H:$H,$IZ21,'Existing Customers'!$A:$A,$JA$1)*$JA$4,0),0)</f>
        <v>0</v>
      </c>
      <c r="JG21" s="1161">
        <f>IFERROR(IF(AND($JA$2&lt;&gt;"Enter Spend&gt;&gt;&gt;",JB2="EXISTING"),SUMIFS('Existing Customers'!$S:$S,'Existing Customers'!$H:$H,$IZ21,'Existing Customers'!$A:$A,$JA$1),JQ21*JA21),0)</f>
        <v>0</v>
      </c>
      <c r="JH21" s="1161">
        <f>IFERROR(IF(AND($JA$2&lt;&gt;"Enter Spend&gt;&gt;&gt;",JB2="EXISTING"),SUMIFS('Existing Customers'!$U:$U,'Existing Customers'!$H:$H,$IZ21,'Existing Customers'!$A:$A,$JA$1),JR21*JA21),0)</f>
        <v>0</v>
      </c>
      <c r="JI21" s="1164" t="e">
        <f>_xlfn.CONCAT('Customer Inputs'!$AG$15,"_",IZ21)</f>
        <v>#N/A</v>
      </c>
      <c r="JJ21" s="1164">
        <f t="array" ref="JJ21">IFERROR(INDEX('Margin Guidence Table'!$A$1:$AD$30000,MATCH(1,('Margin Guidence Table'!$A$1:$A$10000=JI21)*('Margin Guidence Table'!$I$1:$I$10000&lt;=ROUND($JA$3,0))*('Margin Guidence Table'!$J$1:$J$10000&gt;=ROUND($JA$3,0)),0),MATCH("DATA_POINTS",'Margin Guidence Table'!$A$1:$AG$1,0)),0)</f>
        <v>0</v>
      </c>
      <c r="JK21" s="1161" t="str">
        <f t="shared" si="41"/>
        <v>DEFAULT</v>
      </c>
      <c r="JL21" s="1161">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161">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165">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165">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165">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165">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165">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165">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102" t="s">
        <v>95</v>
      </c>
      <c r="JV21" s="97"/>
      <c r="JW21" s="89"/>
      <c r="JX21" s="89"/>
      <c r="JY21" s="89"/>
      <c r="JZ21" s="114"/>
      <c r="KA21" s="98"/>
      <c r="KB21" s="129"/>
      <c r="KD21" s="102" t="s">
        <v>95</v>
      </c>
      <c r="KE21" s="97"/>
      <c r="KF21" s="89"/>
      <c r="KG21" s="89"/>
      <c r="KH21" s="89"/>
      <c r="KI21" s="114"/>
      <c r="KJ21" s="98"/>
    </row>
    <row r="22" spans="2:296" ht="15.75" thickBot="1" x14ac:dyDescent="0.3">
      <c r="B22" s="102" t="s">
        <v>96</v>
      </c>
      <c r="C22" s="480">
        <f t="shared" si="7"/>
        <v>0</v>
      </c>
      <c r="D22" s="496">
        <f t="shared" si="8"/>
        <v>0</v>
      </c>
      <c r="E22" s="496">
        <f t="shared" si="9"/>
        <v>0</v>
      </c>
      <c r="F22" s="496">
        <f t="shared" si="10"/>
        <v>0</v>
      </c>
      <c r="G22" s="497">
        <f t="shared" si="11"/>
        <v>0</v>
      </c>
      <c r="H22" s="496">
        <f t="shared" si="12"/>
        <v>0</v>
      </c>
      <c r="I22" s="1157" t="e">
        <f>ROUND(SUM($BB22*BO22+$BY22*CL22+$CV22*DI22+$DS22*EF22+$EP22*FC22+$FM22*FZ22+$GJ22*GW22+$HG22*HT22+$ID22*IQ22+$JA22*JN22)/$C22,2)</f>
        <v>#DIV/0!</v>
      </c>
      <c r="J22" s="1157" t="e">
        <f>ROUND(SUM($BB22*BP22+$BY22*CM22+$CV22*DJ22+$DS22*EG22+$EP22*FD22+$FM22*GA22+$GJ22*GX22+$HG22*HU22+$ID22*IR22+$JA22*JO22)/$C22,2)</f>
        <v>#DIV/0!</v>
      </c>
      <c r="K22" s="1157" t="e">
        <f>ROUND(SUM($BB22*BQ22+$BY22*CN22+$CV22*DK22+$DS22*EH22+$EP22*FE22+$FM22*GB22+$GJ22*GY22+$HG22*HV22+$ID22*IS22+$JA22*JP22)/$C22,2)</f>
        <v>#DIV/0!</v>
      </c>
      <c r="L22" s="496" t="e">
        <f t="shared" si="0"/>
        <v>#DIV/0!</v>
      </c>
      <c r="M22" s="496" t="e">
        <f t="shared" si="13"/>
        <v>#DIV/0!</v>
      </c>
      <c r="N22" s="1158" t="e">
        <f t="shared" si="1"/>
        <v>#DIV/0!</v>
      </c>
      <c r="P22" t="str">
        <f>'PIM Model'!E18</f>
        <v>INCLUDE</v>
      </c>
      <c r="Q22">
        <f t="shared" si="14"/>
        <v>0</v>
      </c>
      <c r="R22">
        <f t="shared" si="15"/>
        <v>0</v>
      </c>
      <c r="S22" s="102" t="s">
        <v>96</v>
      </c>
      <c r="T22" s="97">
        <f t="shared" si="16"/>
        <v>0</v>
      </c>
      <c r="U22" s="89">
        <f t="shared" si="2"/>
        <v>0</v>
      </c>
      <c r="V22" s="89">
        <f t="shared" si="3"/>
        <v>0</v>
      </c>
      <c r="W22" s="89">
        <f t="shared" si="4"/>
        <v>0</v>
      </c>
      <c r="X22" s="114">
        <f t="shared" si="5"/>
        <v>0</v>
      </c>
      <c r="Y22" s="117">
        <f t="shared" si="17"/>
        <v>0</v>
      </c>
      <c r="Z22" s="400"/>
      <c r="AA22" s="102" t="s">
        <v>96</v>
      </c>
      <c r="AB22" s="484">
        <f>SUMIFS($BB22:$JF22,$BB$12:$JF$12,AB$12)</f>
        <v>0</v>
      </c>
      <c r="AC22" s="485">
        <f>SUMIFS($BB22:$JF22,$BB$12:$JF$12,AC$12)</f>
        <v>0</v>
      </c>
      <c r="AD22" s="485">
        <f>SUMIFS($BB22:$JF22,$BB$12:$JF$12,AD$12)</f>
        <v>0</v>
      </c>
      <c r="AE22" s="486">
        <f t="shared" si="18"/>
        <v>0</v>
      </c>
      <c r="AF22" s="487">
        <f t="shared" si="19"/>
        <v>0</v>
      </c>
      <c r="AG22" s="400"/>
      <c r="AH22" s="102" t="s">
        <v>96</v>
      </c>
      <c r="AI22" s="484">
        <f t="shared" si="6"/>
        <v>0</v>
      </c>
      <c r="AJ22" s="481">
        <f t="shared" si="20"/>
        <v>0</v>
      </c>
      <c r="AK22" s="487"/>
      <c r="AL22" s="400"/>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400">
        <f>VLOOKUP($AH22&amp;$AM22,'IMargin Quartiles'!$A:$F,6,FALSE)</f>
        <v>0.18</v>
      </c>
      <c r="AO22" s="400"/>
      <c r="AP22"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Q22" s="400" t="e">
        <f t="shared" si="21"/>
        <v>#DIV/0!</v>
      </c>
      <c r="AR22">
        <f>'PIM Model'!C18</f>
        <v>0</v>
      </c>
      <c r="AS22" s="400"/>
      <c r="AT22" s="400"/>
      <c r="AU22" s="400" t="e">
        <f t="shared" si="42"/>
        <v>#DIV/0!</v>
      </c>
      <c r="AV22" s="400"/>
      <c r="AW22" s="400"/>
      <c r="AX22" s="108">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96" t="e">
        <f t="shared" si="22"/>
        <v>#DIV/0!</v>
      </c>
      <c r="BA22" s="102" t="s">
        <v>96</v>
      </c>
      <c r="BB22" s="94">
        <f>IFERROR(IF(AND($BB$2&lt;&gt;"Enter Spend&gt;&gt;&gt;",BC10="EXISTING"),SUMIFS('Existing Customers'!$Q:$Q,'Existing Customers'!$A:$A,$BB$1,'Existing Customers'!$H:$H,$BA22)*$BB$4,$BB$3*$AZ22),0)</f>
        <v>0</v>
      </c>
      <c r="BC22" s="95">
        <f>IFERROR(IF(AND($BB$2&lt;&gt;"Enter Spend&gt;&gt;&gt;",BC2="EXISTING"),SUMIFS('Existing Customers'!$N:$N,'Existing Customers'!$A:$A,$BB$1,'Existing Customers'!$H:$H,$BA22)*$BB$4,$BB22/$BM22),0)</f>
        <v>0</v>
      </c>
      <c r="BD22" s="95">
        <f>IFERROR(IF(AND($BB$2&lt;&gt;"Enter Spend&gt;&gt;&gt;",BC2="EXISTING"),SUMIFS('Existing Customers'!$O:$O,'Existing Customers'!$H:$H,$BA22,'Existing Customers'!$A:$A,$BB$1)*$BB$4,$BC22*$BB$8),0)</f>
        <v>0</v>
      </c>
      <c r="BE22" s="95">
        <f>IFERROR(IF(AND($BB$2&lt;&gt;"Enter Spend&gt;&gt;&gt;",BC2="EXISTING"),SUMIFS('Existing Customers'!$P:$P,'Existing Customers'!$A:$A,$BB$1,'Existing Customers'!$H:$H,$BA22)*$BB$4,$BB22/$BN22),0)</f>
        <v>0</v>
      </c>
      <c r="BF22" s="402">
        <f>IFERROR(IF(AND($BB$2&lt;&gt;"Enter Spend&gt;&gt;&gt;",BC2="EXISTING"),SUMIFS('Existing Customers'!$V:$V,'Existing Customers'!$H:$H,$BA22,'Existing Customers'!$A:$A,$BB$1)*$BB$4,0),0)</f>
        <v>0</v>
      </c>
      <c r="BG22" s="96">
        <f>IFERROR(IF(AND($BB$2&lt;&gt;"Enter Spend&gt;&gt;&gt;",BC2="EXISTING"),SUMIFS('Existing Customers'!$R:$R,'Existing Customers'!$H:$H,$BA22,'Existing Customers'!$A:$A,$BB$1)*$BB$4,0),0)</f>
        <v>0</v>
      </c>
      <c r="BH22" s="96">
        <f>IFERROR(IF(AND($BB$2&lt;&gt;"Enter Spend&gt;&gt;&gt;",BC2="EXISTING"),SUMIFS('Existing Customers'!$S:$S,'Existing Customers'!$H:$H,$BA22,'Existing Customers'!$A:$A,$BB$1),BR22*BB22),0)</f>
        <v>0</v>
      </c>
      <c r="BI22" s="96">
        <f>IFERROR(IF(AND($BB$2&lt;&gt;"Enter Spend&gt;&gt;&gt;",BC2="EXISTING"),SUMIFS('Existing Customers'!$U:$U,'Existing Customers'!$H:$H,$BA22,'Existing Customers'!$A:$A,$BB$1),BS22*BB22),0)</f>
        <v>0</v>
      </c>
      <c r="BJ22" s="1163" t="e">
        <f>_xlfn.CONCAT('Customer Inputs'!$AG$6,"_",BA22)</f>
        <v>#N/A</v>
      </c>
      <c r="BK22" s="1164">
        <f t="array" ref="BK22">IFERROR(INDEX('Margin Guidence Table'!$A$1:$AD$30000,MATCH(1,('Margin Guidence Table'!$A$1:$A$10000=$BJ22)*('Margin Guidence Table'!$I$1:$I$10000&lt;=ROUND($BB$3,0))*('Margin Guidence Table'!$J$1:$J$10000&gt;=ROUND($BB$3,0)),0),MATCH("DATA_POINTS",'Margin Guidence Table'!$A$1:$AG$1,0)),0)</f>
        <v>0</v>
      </c>
      <c r="BL22" s="1161" t="str">
        <f t="shared" si="23"/>
        <v>DEFAULT</v>
      </c>
      <c r="BM22" s="1161">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161">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165">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165">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165">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165">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165">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165">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9"/>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96" t="e">
        <f t="shared" si="24"/>
        <v>#DIV/0!</v>
      </c>
      <c r="BX22" s="102" t="s">
        <v>96</v>
      </c>
      <c r="BY22" s="94">
        <f>IFERROR(IF(AND($BY$2&lt;&gt;"Enter Spend&gt;&gt;&gt;",BZ10="EXISTING"),SUMIFS('Existing Customers'!$Q:$Q,'Existing Customers'!$A:$A,$BY$1,'Existing Customers'!$H:$H,$BX22)*$BY$4,$BY$3*$BW22),0)</f>
        <v>0</v>
      </c>
      <c r="BZ22" s="89">
        <f>IFERROR(IF(AND($BY$2&lt;&gt;"Enter Spend&gt;&gt;&gt;",BZ2="EXISTING"),SUMIFS('Existing Customers'!$N:$N,'Existing Customers'!$A:$A,$BY$1,'Existing Customers'!$H:$H,$BX22)*$BY$4,$BY22/$CJ22),0)</f>
        <v>0</v>
      </c>
      <c r="CA22" s="95">
        <f>IFERROR(IF(AND($BY$2&lt;&gt;"Enter Spend&gt;&gt;&gt;",BZ2="EXISTING"),SUMIFS('Existing Customers'!$O:$O,'Existing Customers'!$H:$H,$BX22,'Existing Customers'!$A:$A,$BY$1)*$BY$4,$BZ22*$BY$8),0)</f>
        <v>0</v>
      </c>
      <c r="CB22" s="95">
        <f>IFERROR(IF(AND($BY$2&lt;&gt;"Enter Spend&gt;&gt;&gt;",BZ2="EXISTING"),SUMIFS('Existing Customers'!$P:$P,'Existing Customers'!$A:$A,$BY$1,'Existing Customers'!$H:$H,$BX22)*$BY$4,$BY22/$CK22),0)</f>
        <v>0</v>
      </c>
      <c r="CC22" s="96">
        <f>IFERROR(IF(AND($BY$2&lt;&gt;"Enter Spend&gt;&gt;&gt;",BZ2="EXISTING"),SUMIFS('Existing Customers'!$V:$V,'Existing Customers'!$H:$H,$BX22,'Existing Customers'!$A:$A,$BY$1)*$BY$4,0),0)</f>
        <v>0</v>
      </c>
      <c r="CD22" s="96">
        <f>IFERROR(IF(AND($BY$2&lt;&gt;"Enter Spend&gt;&gt;&gt;",BZ2="EXISTING"),SUMIFS('Existing Customers'!$R:$R,'Existing Customers'!$H:$H,$BX22,'Existing Customers'!$A:$A,$BY$1)*$BY$4,0),0)</f>
        <v>0</v>
      </c>
      <c r="CE22" s="1161">
        <f>IFERROR(IF(AND($BY$2&lt;&gt;"Enter Spend&gt;&gt;&gt;",BZ2="EXISTING"),SUMIFS('Existing Customers'!$S:$S,'Existing Customers'!$H:$H,$BX22,'Existing Customers'!$A:$A,$BY$1),CO22*BY22),0)</f>
        <v>0</v>
      </c>
      <c r="CF22" s="1161">
        <f>IFERROR(IF(AND($BY$2&lt;&gt;"Enter Spend&gt;&gt;&gt;",BZ2="EXISTING"),SUMIFS('Existing Customers'!$U:$U,'Existing Customers'!$H:$H,$BX22,'Existing Customers'!$A:$A,$BY$1),CP22*BY22),0)</f>
        <v>0</v>
      </c>
      <c r="CG22" s="1164" t="e">
        <f>_xlfn.CONCAT('Customer Inputs'!$AG$7,"_",BX22)</f>
        <v>#N/A</v>
      </c>
      <c r="CH22" s="1164">
        <f t="array" ref="CH22">IFERROR(INDEX('Margin Guidence Table'!$A$1:$AD$30000,MATCH(1,('Margin Guidence Table'!$A$1:$A$10000=$CG22)*('Margin Guidence Table'!$I$1:$I$10000&lt;=ROUND($BY$3,0))*('Margin Guidence Table'!$J$1:$J$10000&gt;=ROUND($BY$3,0)),0),MATCH("DATA_POINTS",'Margin Guidence Table'!$A$1:$AG$1,0)),0)</f>
        <v>0</v>
      </c>
      <c r="CI22" s="1161" t="str">
        <f t="shared" si="25"/>
        <v>DEFAULT</v>
      </c>
      <c r="CJ22" s="1161">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161">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165">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165">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165">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165">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165">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165">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9"/>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96" t="e">
        <f t="shared" si="26"/>
        <v>#DIV/0!</v>
      </c>
      <c r="CU22" s="102" t="s">
        <v>96</v>
      </c>
      <c r="CV22" s="94">
        <f>IFERROR(IF(AND($CV$2&lt;&gt;"Enter Spend&gt;&gt;&gt;",CW10="EXISTING"),SUMIFS('Existing Customers'!$Q:$Q,'Existing Customers'!$A:$A,$CV$1,'Existing Customers'!$H:$H,$CU22)*$CV$4,$CV$3*$CT22),0)</f>
        <v>0</v>
      </c>
      <c r="CW22" s="89">
        <f>IFERROR(IF(AND($CV$2&lt;&gt;"Enter Spend&gt;&gt;&gt;",CW2="EXISTING"),SUMIFS('Existing Customers'!$N:$N,'Existing Customers'!$A:$A,$CV$1,'Existing Customers'!$H:$H,$CU22)*$CV$4,$CV22/$DG22),0)</f>
        <v>0</v>
      </c>
      <c r="CX22" s="95">
        <f>IFERROR(IF(AND($CV$2&lt;&gt;"Enter Spend&gt;&gt;&gt;",BC28="EXISTING"),SUMIFS('Existing Customers'!$O:$O,'Existing Customers'!$H:$H,$CU22,'Existing Customers'!$A:$A,$CV$1)*$CV$4,$CW22*$CV$8),0)</f>
        <v>0</v>
      </c>
      <c r="CY22" s="95">
        <f>IFERROR(IF(AND($CV$2&lt;&gt;"Enter Spend&gt;&gt;&gt;",CW2="EXISTING"),SUMIFS('Existing Customers'!$P:$P,'Existing Customers'!$A:$A,$CV$1,'Existing Customers'!$H:$H,$CU22)*$CV$4,$CV22/$DH22),0)</f>
        <v>0</v>
      </c>
      <c r="CZ22" s="96">
        <f>IFERROR(IF(AND($CV$2&lt;&gt;"Enter Spend&gt;&gt;&gt;",CW2="EXISTING"),SUMIFS('Existing Customers'!$V:$V,'Existing Customers'!$H:$H,$CU22,'Existing Customers'!$A:$A,$CV$1)*$CV$4,0),0)</f>
        <v>0</v>
      </c>
      <c r="DA22" s="96">
        <f>IFERROR(IF(AND($CV$2&lt;&gt;"Enter Spend&gt;&gt;&gt;",CW2="EXISTING"),SUMIFS('Existing Customers'!$R:$R,'Existing Customers'!$H:$H,$BA22,'Existing Customers'!$A:$A,$CV$1)*$CV$4,0),0)</f>
        <v>0</v>
      </c>
      <c r="DB22" s="1161">
        <f>IFERROR(IF(AND($CV$2&lt;&gt;"Enter Spend&gt;&gt;&gt;",CW2="EXISTING"),SUMIFS('Existing Customers'!$S:$S,'Existing Customers'!$H:$H,$CU22,'Existing Customers'!$A:$A,$CV$1),DL22*CV22),0)</f>
        <v>0</v>
      </c>
      <c r="DC22" s="1161">
        <f>IFERROR(IF(AND($CV$2&lt;&gt;"Enter Spend&gt;&gt;&gt;",CW2="EXISTING"),SUMIFS('Existing Customers'!$U:$U,'Existing Customers'!$H:$H,$CU22,'Existing Customers'!$A:$A,$CV$1),DM22*CV22),0)</f>
        <v>0</v>
      </c>
      <c r="DD22" s="1164" t="e">
        <f>_xlfn.CONCAT('Customer Inputs'!$AG$8,"_",CU22)</f>
        <v>#N/A</v>
      </c>
      <c r="DE22" s="1164">
        <f t="array" ref="DE22">IFERROR(INDEX('Margin Guidence Table'!$A$1:$AD$30000,MATCH(1,('Margin Guidence Table'!$A$1:$A$10000=DD22)*('Margin Guidence Table'!$I$1:$I$10000&lt;=ROUND($CV$3,0))*('Margin Guidence Table'!$J$1:$J$10000&gt;=ROUND($CV$3,0)),0),MATCH("DATA_POINTS",'Margin Guidence Table'!$A$1:$AG$1,0)),0)</f>
        <v>0</v>
      </c>
      <c r="DF22" s="1161" t="str">
        <f t="shared" si="27"/>
        <v>DEFAULT</v>
      </c>
      <c r="DG22" s="1161">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161">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165">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165">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165">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165">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165">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165">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9"/>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96" t="e">
        <f t="shared" si="28"/>
        <v>#DIV/0!</v>
      </c>
      <c r="DR22" s="102" t="s">
        <v>96</v>
      </c>
      <c r="DS22" s="94">
        <f>IFERROR(IF(AND($DS$2&lt;&gt;"Enter Spend&gt;&gt;&gt;",DT10="EXISTING"),SUMIFS('Existing Customers'!$Q:$Q,'Existing Customers'!$A:$A,$DS$1,'Existing Customers'!$H:$H,$DR22)*$DS$4,$DS$3*$DQ22),0)</f>
        <v>0</v>
      </c>
      <c r="DT22" s="89">
        <f>IFERROR(IF(AND($DS$2&lt;&gt;"Enter Spend&gt;&gt;&gt;",DT2="EXISTING"),SUMIFS('Existing Customers'!$N:$N,'Existing Customers'!$A:$A,$DS$1,'Existing Customers'!$H:$H,$DR22)*$DS$4,$DS22/$ED22),0)</f>
        <v>0</v>
      </c>
      <c r="DU22" s="95">
        <f>IFERROR(IF(AND($DS$2&lt;&gt;"Enter Spend&gt;&gt;&gt;",DT2="EXISTING"),SUMIFS('Existing Customers'!$O:$O,'Existing Customers'!$H:$H,$DR22,'Existing Customers'!$A:$A,$DS$1)*$DS$4,$DT22*$DS$8),0)</f>
        <v>0</v>
      </c>
      <c r="DV22" s="95">
        <f>IFERROR(IF(AND($DS$2&lt;&gt;"Enter Spend&gt;&gt;&gt;",DT2="EXISTING"),SUMIFS('Existing Customers'!$P:$P,'Existing Customers'!$A:$A,$DS$1,'Existing Customers'!$H:$H,$DR22)*$DS$4,$DS22/$EE22),0)</f>
        <v>0</v>
      </c>
      <c r="DW22" s="96">
        <f>IFERROR(IF(AND($DS$2&lt;&gt;"Enter Spend&gt;&gt;&gt;",EQ2="EXISTING"),SUMIFS('Existing Customers'!$V:$V,'Existing Customers'!$H:$H,$DR22,'Existing Customers'!$A:$A,$DS$1)*$DS$4,0),0)</f>
        <v>0</v>
      </c>
      <c r="DX22" s="96">
        <f>IFERROR(IF(AND($DS$2&lt;&gt;"Enter Spend&gt;&gt;&gt;",DT2="EXISTING"),SUMIFS('Existing Customers'!$R:$R,'Existing Customers'!$H:$H,$DR22,'Existing Customers'!$A:$A,$DS$1)*$DS$4,0),0)</f>
        <v>0</v>
      </c>
      <c r="DY22" s="1161">
        <f>IFERROR(IF(AND($DS$2&lt;&gt;"Enter Spend&gt;&gt;&gt;",DT2="EXISTING"),SUMIFS('Existing Customers'!$S:$S,'Existing Customers'!$H:$H,$DT22,'Existing Customers'!$A:$A,$DS$1),EI22*DS22),0)</f>
        <v>0</v>
      </c>
      <c r="DZ22" s="1161">
        <f>IFERROR(IF(AND($DS$2&lt;&gt;"Enter Spend&gt;&gt;&gt;",DT2="EXISTING"),SUMIFS('Existing Customers'!$U:$U,'Existing Customers'!$H:$H,$DR22,'Existing Customers'!$A:$A,$DS$1),EJ22*DS22),0)</f>
        <v>0</v>
      </c>
      <c r="EA22" s="1164" t="e">
        <f>_xlfn.CONCAT('Customer Inputs'!$AG$9,"_",DR22)</f>
        <v>#N/A</v>
      </c>
      <c r="EB22" s="1164">
        <f t="array" ref="EB22">IFERROR(INDEX('Margin Guidence Table'!$A$1:$AD$30000,MATCH(1,('Margin Guidence Table'!$A$1:$A$10000=EA22)*('Margin Guidence Table'!$I$1:$I$10000&lt;=ROUND($DS$3,0))*('Margin Guidence Table'!$J$1:$J$10000&gt;=ROUND($DS$3,0)),0),MATCH("DATA_POINTS",'Margin Guidence Table'!$A$1:$AG$1,0)),0)</f>
        <v>0</v>
      </c>
      <c r="EC22" s="1161" t="str">
        <f t="shared" si="29"/>
        <v>DEFAULT</v>
      </c>
      <c r="ED22" s="1161">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161">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165">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165">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165">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165">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165">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165">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9"/>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96" t="e">
        <f t="shared" si="30"/>
        <v>#DIV/0!</v>
      </c>
      <c r="EO22" s="102" t="s">
        <v>96</v>
      </c>
      <c r="EP22" s="94">
        <f>IFERROR(IF(AND($EP$2&lt;&gt;"Enter Spend&gt;&gt;&gt;",EQ10="EXISTING"),SUMIFS('Existing Customers'!$Q:$Q,'Existing Customers'!$A:$A,$EP$1,'Existing Customers'!$H:$H,$EO22)*$EP$4,$EP$3*$EN22),0)</f>
        <v>0</v>
      </c>
      <c r="EQ22" s="89">
        <f>IFERROR(IF(AND($EP$2&lt;&gt;"Enter Spend&gt;&gt;&gt;",EQ2="EXISTING"),SUMIFS('Existing Customers'!$N:$N,'Existing Customers'!$A:$A,$EP$1,'Existing Customers'!$H:$H,$EO22)*$EP$4,$EP22/$FA22),0)</f>
        <v>0</v>
      </c>
      <c r="ER22" s="95">
        <f>IFERROR(IF(AND($EP$2&lt;&gt;"Enter Spend&gt;&gt;&gt;",EQ2="EXISTING"),SUMIFS('Existing Customers'!$O:$O,'Existing Customers'!$H:$H,$EO22,'Existing Customers'!$A:$A,$EP$1)*$EP$4,$EQ22*$EP$8),0)</f>
        <v>0</v>
      </c>
      <c r="ES22" s="95">
        <f>IFERROR(IF(AND($EP$2&lt;&gt;"Enter Spend&gt;&gt;&gt;",EQ2="EXISTING"),SUMIFS('Existing Customers'!$P:$P,'Existing Customers'!$A:$A,$EP$1,'Existing Customers'!$H:$H,$EO22)*$EP$4,$EP22/$FB22),0)</f>
        <v>0</v>
      </c>
      <c r="ET22" s="96">
        <f>IFERROR(IF(AND($EP$2&lt;&gt;"Enter Spend&gt;&gt;&gt;",EQ2="EXISTING"),SUMIFS('Existing Customers'!$V:$V,'Existing Customers'!$H:$H,$EO22,'Existing Customers'!$A:$A,$EP$1)*$EP$4,0),0)</f>
        <v>0</v>
      </c>
      <c r="EU22" s="96">
        <f>IFERROR(IF(AND($EP$2&lt;&gt;"Enter Spend&gt;&gt;&gt;",EQ2="EXISTING"),SUMIFS('Existing Customers'!$R:$R,'Existing Customers'!$H:$H,$EO22,'Existing Customers'!$A:$A,$EP$1)*$EP$4,0),0)</f>
        <v>0</v>
      </c>
      <c r="EV22" s="1161">
        <f>IFERROR(IF(AND($EP$2&lt;&gt;"Enter Spend&gt;&gt;&gt;",EQ2="EXISTING"),SUMIFS('Existing Customers'!$S:$S,'Existing Customers'!$H:$H,$EO22,'Existing Customers'!$A:$A,$EP$1),FF22*EP22),0)</f>
        <v>0</v>
      </c>
      <c r="EW22" s="1161">
        <f>IFERROR(IF(AND($EP$2&lt;&gt;"Enter Spend&gt;&gt;&gt;",EQ2="EXISTING"),SUMIFS('Existing Customers'!$U:$U,'Existing Customers'!$H:$H,$EO22,'Existing Customers'!$A:$A,$EP$1),FG22*EP22),0)</f>
        <v>0</v>
      </c>
      <c r="EX22" s="1164" t="e">
        <f>_xlfn.CONCAT('Customer Inputs'!$AG$10,"_",EO22)</f>
        <v>#N/A</v>
      </c>
      <c r="EY22" s="1164">
        <f t="array" ref="EY22">IFERROR(INDEX('Margin Guidence Table'!$A$1:$AD$30000,MATCH(1,('Margin Guidence Table'!$A$1:$A$10000=EX22)*('Margin Guidence Table'!$I$1:$I$10000&lt;=ROUND($EP$3,0))*('Margin Guidence Table'!$J$1:$J$10000&gt;=ROUND($EP$3,0)),0),MATCH("DATA_POINTS",'Margin Guidence Table'!$A$1:$AG$1,0)),0)</f>
        <v>0</v>
      </c>
      <c r="EZ22" s="1161" t="str">
        <f t="shared" si="31"/>
        <v>DEFAULT</v>
      </c>
      <c r="FA22" s="1161">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161"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165">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165">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165">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165">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165">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165">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9"/>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96" t="e">
        <f t="shared" si="32"/>
        <v>#DIV/0!</v>
      </c>
      <c r="FL22" s="102" t="s">
        <v>96</v>
      </c>
      <c r="FM22" s="94">
        <f>IFERROR(IF(AND($FM$2&lt;&gt;"Enter Spend&gt;&gt;&gt;",FN10="EXISTING"),SUMIFS('Existing Customers'!$Q:$Q,'Existing Customers'!$A:$A,$FM$1,'Existing Customers'!$H:$H,$FL22)*$FM$4,$FM$3*$FK22),0)</f>
        <v>0</v>
      </c>
      <c r="FN22" s="89">
        <f>IFERROR(IF(AND($FM$2&lt;&gt;"Enter Spend&gt;&gt;&gt;",FN2="EXISTING"),SUMIFS('Existing Customers'!$N:$N,'Existing Customers'!$A:$A,$FM$1,'Existing Customers'!$H:$H,$FL22)*$FM$4,$FM22/$FX22),0)</f>
        <v>0</v>
      </c>
      <c r="FO22" s="95">
        <f>IFERROR(IF(AND($FM$2&lt;&gt;"Enter Spend&gt;&gt;&gt;",FN2="EXISTING"),SUMIFS('Existing Customers'!$O:$O,'Existing Customers'!$H:$H,$FL22,'Existing Customers'!$A:$A,$FM$1)*$FM$4,$FN22*$FM$8),0)</f>
        <v>0</v>
      </c>
      <c r="FP22" s="95">
        <f>IFERROR(IF(AND($FM$2&lt;&gt;"Enter Spend&gt;&gt;&gt;",FN2="EXISTING"),SUMIFS('Existing Customers'!$P:$P,'Existing Customers'!$A:$A,$FM$1,'Existing Customers'!$H:$H,$FL22)*$FM$4,$FM22/$FY22),0)</f>
        <v>0</v>
      </c>
      <c r="FQ22" s="96">
        <f>IFERROR(IF(AND($FM$2&lt;&gt;"Enter Spend&gt;&gt;&gt;",FN2="EXISTING"),SUMIFS('Existing Customers'!$V:$V,'Existing Customers'!$H:$H,$FL22,'Existing Customers'!$A:$A,$FM$1)*$FM$4,0),0)</f>
        <v>0</v>
      </c>
      <c r="FR22" s="96">
        <f>IFERROR(IF(AND($FM$2&lt;&gt;"Enter Spend&gt;&gt;&gt;",FN2="EXISTING"),SUMIFS('Existing Customers'!$R:$R,'Existing Customers'!$H:$H,$FL22,'Existing Customers'!$A:$A,$FM$1)*$FM$4,0),0)</f>
        <v>0</v>
      </c>
      <c r="FS22" s="1161">
        <f>IFERROR(IF(AND($FM$2&lt;&gt;"Enter Spend&gt;&gt;&gt;",FN2="EXISTING"),SUMIFS('Existing Customers'!$S:$S,'Existing Customers'!$H:$H,$FL22,'Existing Customers'!$A:$A,$FM$1),GC22*FM22),0)</f>
        <v>0</v>
      </c>
      <c r="FT22" s="1161">
        <f>IFERROR(IF(AND($FM$2&lt;&gt;"Enter Spend&gt;&gt;&gt;",FN2="EXISTING"),SUMIFS('Existing Customers'!$U:$U,'Existing Customers'!$H:$H,$FL22,'Existing Customers'!$A:$A,$FM$1),GD22*FM22),0)</f>
        <v>0</v>
      </c>
      <c r="FU22" s="1164" t="e">
        <f>_xlfn.CONCAT('Customer Inputs'!$AG$11,"_",FL22)</f>
        <v>#N/A</v>
      </c>
      <c r="FV22" s="1164">
        <f t="array" ref="FV22">IFERROR(INDEX('Margin Guidence Table'!$A$1:$AD$30000,MATCH(1,('Margin Guidence Table'!$A$1:$A$10000=FU22)*('Margin Guidence Table'!$I$1:$I$10000&lt;=ROUND($FM$3,0))*('Margin Guidence Table'!$J$1:$J$10000&gt;=ROUND($FM$3,0)),0),MATCH("DATA_POINTS",'Margin Guidence Table'!$A$1:$AG$1,0)),0)</f>
        <v>0</v>
      </c>
      <c r="FW22" s="1161" t="str">
        <f t="shared" si="33"/>
        <v>DEFAULT</v>
      </c>
      <c r="FX22" s="1161">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161">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165">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165">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165">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165">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165">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165">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9"/>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96" t="e">
        <f t="shared" si="34"/>
        <v>#DIV/0!</v>
      </c>
      <c r="GI22" s="102" t="s">
        <v>96</v>
      </c>
      <c r="GJ22" s="94">
        <f>IFERROR(IF(AND($GJ$2&lt;&gt;"Enter Spend&gt;&gt;&gt;",GK10="EXISTING"),SUMIFS('Existing Customers'!$Q:$Q,'Existing Customers'!$A:$A,$GJ$1,'Existing Customers'!$H:$H,$GI22)*$GJ$4,$GJ$3*$GH22),0)</f>
        <v>0</v>
      </c>
      <c r="GK22" s="89">
        <f>IFERROR(IF(AND($GJ$2&lt;&gt;"Enter Spend&gt;&gt;&gt;",GK2="EXISTING"),SUMIFS('Existing Customers'!$N:$N,'Existing Customers'!$A:$A,$GJ$1,'Existing Customers'!$H:$H,$GI22)*$GJ$4,$GJ22/$GU22),0)</f>
        <v>0</v>
      </c>
      <c r="GL22" s="95">
        <f>IFERROR(IF(AND($GJ$2&lt;&gt;"Enter Spend&gt;&gt;&gt;",GK2="EXISTING"),SUMIFS('Existing Customers'!$O:$O,'Existing Customers'!$H:$H,$GI22,'Existing Customers'!$A:$A,$GJ$1)*$GJ$4,$GK22*$GJ$8),0)</f>
        <v>0</v>
      </c>
      <c r="GM22" s="95">
        <f>IFERROR(IF(AND($GJ$2&lt;&gt;"Enter Spend&gt;&gt;&gt;",GK2="EXISTING"),SUMIFS('Existing Customers'!$P:$P,'Existing Customers'!$A:$A,$GJ$1,'Existing Customers'!$H:$H,$GI22)*$GJ$4,$GJ22/$GV22),0)</f>
        <v>0</v>
      </c>
      <c r="GN22" s="96">
        <f>IFERROR(IF(AND($GJ$2&lt;&gt;"Enter Spend&gt;&gt;&gt;",GK2="EXISTING"),SUMIFS('Existing Customers'!$V:$V,'Existing Customers'!$H:$H,$GI22,'Existing Customers'!$A:$A,$GJ$1)*$GJ$4,0),0)</f>
        <v>0</v>
      </c>
      <c r="GO22" s="96">
        <f>IFERROR(IF(AND($GJ$2&lt;&gt;"Enter Spend&gt;&gt;&gt;",GK2="EXISTING"),SUMIFS('Existing Customers'!$R:$R,'Existing Customers'!$H:$H,$GI22,'Existing Customers'!$A:$A,$GJ$1)*$GJ$4,0),0)</f>
        <v>0</v>
      </c>
      <c r="GP22" s="1161">
        <f>IFERROR(IF(AND($GJ$2&lt;&gt;"Enter Spend&gt;&gt;&gt;",GK2="EXISTING"),SUMIFS('Existing Customers'!$S:$S,'Existing Customers'!$H:$H,$GI22,'Existing Customers'!$A:$A,$GJ$1),GZ22*GJ22),0)</f>
        <v>0</v>
      </c>
      <c r="GQ22" s="1161">
        <f>IFERROR(IF(AND($GJ$2&lt;&gt;"Enter Spend&gt;&gt;&gt;",GK2="EXISTING"),SUMIFS('Existing Customers'!$U:$U,'Existing Customers'!$H:$H,$GI22,'Existing Customers'!$A:$A,$GJ$1),HA22*GJ22),0)</f>
        <v>0</v>
      </c>
      <c r="GR22" s="1164" t="e">
        <f>_xlfn.CONCAT('Customer Inputs'!$AG$12,"_",GI22)</f>
        <v>#N/A</v>
      </c>
      <c r="GS22" s="1164">
        <f t="array" ref="GS22">IFERROR(INDEX('Margin Guidence Table'!$A$1:$AD$30000,MATCH(1,('Margin Guidence Table'!$A$1:$A$10000=GR22)*('Margin Guidence Table'!$I$1:$I$10000&lt;=ROUND($GJ$3,0))*('Margin Guidence Table'!$J$1:$J$10000&gt;=ROUND($GJ$3,0)),0),MATCH("DATA_POINTS",'Margin Guidence Table'!$A$1:$AG$1,0)),0)</f>
        <v>0</v>
      </c>
      <c r="GT22" s="1161" t="str">
        <f t="shared" si="35"/>
        <v>DEFAULT</v>
      </c>
      <c r="GU22" s="1161">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161">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165">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165">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165">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165">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165">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165">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9"/>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96" t="e">
        <f t="shared" si="36"/>
        <v>#DIV/0!</v>
      </c>
      <c r="HF22" s="102" t="s">
        <v>96</v>
      </c>
      <c r="HG22" s="94">
        <f>IFERROR(IF(AND($HG$2&lt;&gt;"Enter Spend&gt;&gt;&gt;",HH10="EXISTING"),SUMIFS('Existing Customers'!$Q:$Q,'Existing Customers'!$A:$A,$HG$1,'Existing Customers'!$H:$H,$HF22)*$HG$4,$HG$3*$HE22),0)</f>
        <v>0</v>
      </c>
      <c r="HH22" s="89">
        <f>IFERROR(IF(AND($HG$2&lt;&gt;"Enter Spend&gt;&gt;&gt;",HH2="EXISTING"),SUMIFS('Existing Customers'!$N:$N,'Existing Customers'!$A:$A,$HG$1,'Existing Customers'!$H:$H,$HF22)*$HG$4,$HG22/$HR22),0)</f>
        <v>0</v>
      </c>
      <c r="HI22" s="95">
        <f>IFERROR(IF(AND($HG$2&lt;&gt;"Enter Spend&gt;&gt;&gt;",HH2="EXISTING"),SUMIFS('Existing Customers'!$O:$O,'Existing Customers'!$H:$H,$HF22,'Existing Customers'!$A:$A,$HG$1)*$HG$4,$HH22*$HG$8),0)</f>
        <v>0</v>
      </c>
      <c r="HJ22" s="95">
        <f>IFERROR(IF(AND($HG$2&lt;&gt;"Enter Spend&gt;&gt;&gt;",HH2="EXISTING"),SUMIFS('Existing Customers'!$P:$P,'Existing Customers'!$A:$A,$HG$1,'Existing Customers'!$H:$H,$HF22)*$HG$4,$HG22/$HS22),0)</f>
        <v>0</v>
      </c>
      <c r="HK22" s="96">
        <f>IFERROR(IF(AND($HG$2&lt;&gt;"Enter Spend&gt;&gt;&gt;",HH2="EXISTING"),SUMIFS('Existing Customers'!$V:$V,'Existing Customers'!$H:$H,$HF22,'Existing Customers'!$A:$A,$HG$1)*$HG$4,0),0)</f>
        <v>0</v>
      </c>
      <c r="HL22" s="96">
        <f>IFERROR(IF(AND($HG$2&lt;&gt;"Enter Spend&gt;&gt;&gt;",HH2="EXISTING"),SUMIFS('Existing Customers'!$R:$R,'Existing Customers'!$H:$H,$HF22,'Existing Customers'!$A:$A,$HG$1)*$HG$4,0),0)</f>
        <v>0</v>
      </c>
      <c r="HM22" s="1161">
        <f>IFERROR(IF(AND($HG$2&lt;&gt;"Enter Spend&gt;&gt;&gt;",HH2="EXISTING"),SUMIFS('Existing Customers'!$S:$S,'Existing Customers'!$H:$H,$HF22,'Existing Customers'!$A:$A,$HG$1),HW22*HG22),0)</f>
        <v>0</v>
      </c>
      <c r="HN22" s="1161">
        <f>IFERROR(IF(AND($HG$2&lt;&gt;"Enter Spend&gt;&gt;&gt;",HH2="EXISTING"),SUMIFS('Existing Customers'!$U:$U,'Existing Customers'!$H:$H,$HF22,'Existing Customers'!$A:$A,$HG$1),HX22*HG22),0)</f>
        <v>0</v>
      </c>
      <c r="HO22" s="1164" t="e">
        <f>_xlfn.CONCAT('Customer Inputs'!$AG$13,"_",HF22)</f>
        <v>#N/A</v>
      </c>
      <c r="HP22" s="1164">
        <f t="array" ref="HP22">IFERROR(INDEX('Margin Guidence Table'!$A$1:$AD$30000,MATCH(1,('Margin Guidence Table'!$A$1:$A$10000=HO22)*('Margin Guidence Table'!$I$1:$I$10000&lt;=ROUND($HG$3,0))*('Margin Guidence Table'!$J$1:$J$10000&gt;=ROUND($HG$3,0)),0),MATCH("DATA_POINTS",'Margin Guidence Table'!$A$1:$AG$1,0)),0)</f>
        <v>0</v>
      </c>
      <c r="HQ22" s="1161" t="str">
        <f t="shared" si="37"/>
        <v>DEFAULT</v>
      </c>
      <c r="HR22" s="1161">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161">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165">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165">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165">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165">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165">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165">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9"/>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96" t="e">
        <f t="shared" si="38"/>
        <v>#DIV/0!</v>
      </c>
      <c r="IC22" s="102" t="s">
        <v>96</v>
      </c>
      <c r="ID22" s="94">
        <f>IFERROR(IF(AND($ID$2&lt;&gt;"Enter Spend&gt;&gt;&gt;",IE10="EXISTING"),SUMIFS('Existing Customers'!$Q:$Q,'Existing Customers'!$A:$A,$ID$1,'Existing Customers'!$H:$H,$IC22)*$ID$4,$ID$3*$IB22),0)</f>
        <v>0</v>
      </c>
      <c r="IE22" s="89">
        <f>IFERROR(IF(AND($ID$2&lt;&gt;"Enter Spend&gt;&gt;&gt;",IE2="EXISTING"),SUMIFS('Existing Customers'!$N:$N,'Existing Customers'!$A:$A,$ID$1,'Existing Customers'!$H:$H,$IC22)*$ID$4,$ID22/$IO22),0)</f>
        <v>0</v>
      </c>
      <c r="IF22" s="95">
        <f>IFERROR(IF(AND($ID$2&lt;&gt;"Enter Spend&gt;&gt;&gt;",IE2="EXISTING"),SUMIFS('Existing Customers'!$O:$O,'Existing Customers'!$H:$H,$IC22,'Existing Customers'!$A:$A,$ID$1)*$ID$4,$IE22*$ID$8),0)</f>
        <v>0</v>
      </c>
      <c r="IG22" s="95">
        <f>IFERROR(IF(AND($ID$2&lt;&gt;"Enter Spend&gt;&gt;&gt;",IE2="EXISTING"),SUMIFS('Existing Customers'!$P:$P,'Existing Customers'!$A:$A,$ID$1,'Existing Customers'!$H:$H,$IC22)*$ID$4,$ID22/$IP22),0)</f>
        <v>0</v>
      </c>
      <c r="IH22" s="402">
        <f>IFERROR(IF(AND($ID$2&lt;&gt;"Enter Spend&gt;&gt;&gt;",IE2="EXISTING"),SUMIFS('Existing Customers'!$V:$V,'Existing Customers'!$H:$H,$IC22,'Existing Customers'!$A:$A,$ID$1)*$ID$4,0),0)</f>
        <v>0</v>
      </c>
      <c r="II22" s="96">
        <f>IFERROR(IF(AND($ID$2&lt;&gt;"Enter Spend&gt;&gt;&gt;",IE2="EXISTING"),SUMIFS('Existing Customers'!$R:$R,'Existing Customers'!$H:$H,$IC22,'Existing Customers'!$A:$A,$ID$1)*$ID$4,0),0)</f>
        <v>0</v>
      </c>
      <c r="IJ22" s="1161">
        <f>IFERROR(IF(AND($ID$2&lt;&gt;"Enter Spend&gt;&gt;&gt;",IE2="EXISTING"),SUMIFS('Existing Customers'!$S:$S,'Existing Customers'!$H:$H,$IC22,'Existing Customers'!$A:$A,$ID$1),IT22*ID22),0)</f>
        <v>0</v>
      </c>
      <c r="IK22" s="1161">
        <f>IFERROR(IF(AND($ID$2&lt;&gt;"Enter Spend&gt;&gt;&gt;",IE2="EXISTING"),SUMIFS('Existing Customers'!$U:$U,'Existing Customers'!$H:$H,$IC22,'Existing Customers'!$A:$A,$ID$1),IU22*ID22),0)</f>
        <v>0</v>
      </c>
      <c r="IL22" s="1164" t="e">
        <f>_xlfn.CONCAT('Customer Inputs'!$AG$14,"_",IC22)</f>
        <v>#N/A</v>
      </c>
      <c r="IM22" s="1164">
        <f t="array" ref="IM22">IFERROR(INDEX('Margin Guidence Table'!$A$1:$AD$30000,MATCH(1,('Margin Guidence Table'!$A$1:$A$10000=IL22)*('Margin Guidence Table'!$I$1:$I$10000&lt;=ROUND($ID$3,0))*('Margin Guidence Table'!$J$1:$J$10000&gt;=ROUND($ID$3,0)),0),MATCH("DATA_POINTS",'Margin Guidence Table'!$A$1:$AG$1,0)),0)</f>
        <v>0</v>
      </c>
      <c r="IN22" s="1161" t="str">
        <f t="shared" si="39"/>
        <v>DEFAULT</v>
      </c>
      <c r="IO22" s="1161">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161">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165">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165">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165">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165">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165">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165">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9"/>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96" t="e">
        <f t="shared" si="40"/>
        <v>#DIV/0!</v>
      </c>
      <c r="IZ22" s="102" t="s">
        <v>96</v>
      </c>
      <c r="JA22" s="94">
        <f>IFERROR(IF(AND($JA$2&lt;&gt;"Enter Spend&gt;&gt;&gt;",JB10="EXISTING"),SUMIFS('Existing Customers'!$Q:$Q,'Existing Customers'!$A:$A,$JA$1,'Existing Customers'!$H:$H,$IZ22)*$JA$4,$JA$3*$IY22),0)</f>
        <v>0</v>
      </c>
      <c r="JB22" s="89">
        <f>IFERROR(IF(AND($JA$2&lt;&gt;"Enter Spend&gt;&gt;&gt;",JB2="EXISTING"),SUMIFS('Existing Customers'!$N:$N,'Existing Customers'!$A:$A,$JA$1,'Existing Customers'!$H:$H,$IZ22)*$JA$4,$JA22/$JL22),0)</f>
        <v>0</v>
      </c>
      <c r="JC22" s="95">
        <f>IFERROR(IF(AND($JA$2&lt;&gt;"Enter Spend&gt;&gt;&gt;",JB2="EXISTING"),SUMIFS('Existing Customers'!$O:$O,'Existing Customers'!$H:$H,$IZ22,'Existing Customers'!$A:$A,$JA$1)*$JA$4,$JB22*$JA$8),0)</f>
        <v>0</v>
      </c>
      <c r="JD22" s="95">
        <f>IFERROR(IF(AND($JA$2&lt;&gt;"Enter Spend&gt;&gt;&gt;",JB2="EXISTING"),SUMIFS('Existing Customers'!$P:$P,'Existing Customers'!$A:$A,$JA$1,'Existing Customers'!$H:$H,$IZ22)*$JA$4,$JA22/$JM22),0)</f>
        <v>0</v>
      </c>
      <c r="JE22" s="402">
        <f>IFERROR(IF(AND($JA$2&lt;&gt;"Enter Spend&gt;&gt;&gt;",JB2="EXISTING"),SUMIFS('Existing Customers'!$V:$V,'Existing Customers'!$H:$H,$IZ22,'Existing Customers'!$A:$A,$JA$1)*$JA$4,0),0)</f>
        <v>0</v>
      </c>
      <c r="JF22" s="96">
        <f>IFERROR(IF(AND($JA$2&lt;&gt;"Enter Spend&gt;&gt;&gt;",JB2="EXISTING"),SUMIFS('Existing Customers'!$R:$R,'Existing Customers'!$H:$H,$IZ22,'Existing Customers'!$A:$A,$JA$1)*$JA$4,0),0)</f>
        <v>0</v>
      </c>
      <c r="JG22" s="1161">
        <f>IFERROR(IF(AND($JA$2&lt;&gt;"Enter Spend&gt;&gt;&gt;",JB2="EXISTING"),SUMIFS('Existing Customers'!$S:$S,'Existing Customers'!$H:$H,$IZ22,'Existing Customers'!$A:$A,$JA$1),JQ22*JA22),0)</f>
        <v>0</v>
      </c>
      <c r="JH22" s="1161">
        <f>IFERROR(IF(AND($JA$2&lt;&gt;"Enter Spend&gt;&gt;&gt;",JB2="EXISTING"),SUMIFS('Existing Customers'!$U:$U,'Existing Customers'!$H:$H,$IZ22,'Existing Customers'!$A:$A,$JA$1),JR22*JA22),0)</f>
        <v>0</v>
      </c>
      <c r="JI22" s="1164" t="e">
        <f>_xlfn.CONCAT('Customer Inputs'!$AG$15,"_",IZ22)</f>
        <v>#N/A</v>
      </c>
      <c r="JJ22" s="1164">
        <f t="array" ref="JJ22">IFERROR(INDEX('Margin Guidence Table'!$A$1:$AD$30000,MATCH(1,('Margin Guidence Table'!$A$1:$A$10000=JI22)*('Margin Guidence Table'!$I$1:$I$10000&lt;=ROUND($JA$3,0))*('Margin Guidence Table'!$J$1:$J$10000&gt;=ROUND($JA$3,0)),0),MATCH("DATA_POINTS",'Margin Guidence Table'!$A$1:$AG$1,0)),0)</f>
        <v>0</v>
      </c>
      <c r="JK22" s="1161" t="str">
        <f t="shared" si="41"/>
        <v>DEFAULT</v>
      </c>
      <c r="JL22" s="1161">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161">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165">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165">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165">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165">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165">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165">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102" t="s">
        <v>96</v>
      </c>
      <c r="JV22" s="97"/>
      <c r="JW22" s="89"/>
      <c r="JX22" s="89"/>
      <c r="JY22" s="89"/>
      <c r="JZ22" s="114"/>
      <c r="KA22" s="98"/>
      <c r="KB22" s="129"/>
      <c r="KD22" s="102" t="s">
        <v>96</v>
      </c>
      <c r="KE22" s="97"/>
      <c r="KF22" s="89"/>
      <c r="KG22" s="89"/>
      <c r="KH22" s="89"/>
      <c r="KI22" s="114"/>
      <c r="KJ22" s="98"/>
    </row>
    <row r="23" spans="2:296" ht="15.75" thickBot="1" x14ac:dyDescent="0.3">
      <c r="B23" s="102" t="s">
        <v>101</v>
      </c>
      <c r="C23" s="480">
        <f t="shared" si="7"/>
        <v>0</v>
      </c>
      <c r="D23" s="496">
        <f t="shared" si="8"/>
        <v>0</v>
      </c>
      <c r="E23" s="496">
        <f t="shared" si="9"/>
        <v>0</v>
      </c>
      <c r="F23" s="496">
        <f t="shared" si="10"/>
        <v>0</v>
      </c>
      <c r="G23" s="497">
        <f t="shared" si="11"/>
        <v>0</v>
      </c>
      <c r="H23" s="496">
        <f t="shared" si="12"/>
        <v>0</v>
      </c>
      <c r="I23" s="1157" t="e">
        <f>ROUND(SUM($BB23*BO23+$BY23*CL23+$CV23*DI23+$DS23*EF23+$EP23*FC23+$FM23*FZ23+$GJ23*GW23+$HG23*HT23+$ID23*IQ23+$JA23*JN23)/$C23,2)</f>
        <v>#DIV/0!</v>
      </c>
      <c r="J23" s="1157" t="e">
        <f>ROUND(SUM($BB23*BP23+$BY23*CM23+$CV23*DJ23+$DS23*EG23+$EP23*FD23+$FM23*GA23+$GJ23*GX23+$HG23*HU23+$ID23*IR23+$JA23*JO23)/$C23,2)</f>
        <v>#DIV/0!</v>
      </c>
      <c r="K23" s="1157" t="e">
        <f>ROUND(SUM($BB23*BQ23+$BY23*CN23+$CV23*DK23+$DS23*EH23+$EP23*FE23+$FM23*GB23+$GJ23*GY23+$HG23*HV23+$ID23*IS23+$JA23*JP23)/$C23,2)</f>
        <v>#DIV/0!</v>
      </c>
      <c r="L23" s="496" t="e">
        <f t="shared" si="0"/>
        <v>#DIV/0!</v>
      </c>
      <c r="M23" s="496" t="e">
        <f t="shared" si="13"/>
        <v>#DIV/0!</v>
      </c>
      <c r="N23" s="1158" t="e">
        <f t="shared" si="1"/>
        <v>#DIV/0!</v>
      </c>
      <c r="P23" t="str">
        <f>'PIM Model'!E19</f>
        <v>INCLUDE</v>
      </c>
      <c r="Q23">
        <f t="shared" si="14"/>
        <v>0</v>
      </c>
      <c r="R23">
        <f t="shared" si="15"/>
        <v>0</v>
      </c>
      <c r="S23" s="102" t="s">
        <v>101</v>
      </c>
      <c r="T23" s="97">
        <f t="shared" si="16"/>
        <v>0</v>
      </c>
      <c r="U23" s="89">
        <f t="shared" si="2"/>
        <v>0</v>
      </c>
      <c r="V23" s="89">
        <f t="shared" si="3"/>
        <v>0</v>
      </c>
      <c r="W23" s="89">
        <f t="shared" si="4"/>
        <v>0</v>
      </c>
      <c r="X23" s="114">
        <f t="shared" si="5"/>
        <v>0</v>
      </c>
      <c r="Y23" s="117">
        <f t="shared" si="17"/>
        <v>0</v>
      </c>
      <c r="Z23" s="400"/>
      <c r="AA23" s="102" t="s">
        <v>101</v>
      </c>
      <c r="AB23" s="484">
        <f>SUMIFS($BB23:$JF23,$BB$12:$JF$12,AB$12)</f>
        <v>0</v>
      </c>
      <c r="AC23" s="485">
        <f>SUMIFS($BB23:$JF23,$BB$12:$JF$12,AC$12)</f>
        <v>0</v>
      </c>
      <c r="AD23" s="485">
        <f>SUMIFS($BB23:$JF23,$BB$12:$JF$12,AD$12)</f>
        <v>0</v>
      </c>
      <c r="AE23" s="486">
        <f t="shared" si="18"/>
        <v>0</v>
      </c>
      <c r="AF23" s="487">
        <f t="shared" si="19"/>
        <v>0</v>
      </c>
      <c r="AG23" s="400"/>
      <c r="AH23" s="102" t="s">
        <v>101</v>
      </c>
      <c r="AI23" s="484">
        <f t="shared" si="6"/>
        <v>0</v>
      </c>
      <c r="AJ23" s="481">
        <f t="shared" si="20"/>
        <v>0</v>
      </c>
      <c r="AK23" s="487"/>
      <c r="AL23" s="400"/>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400">
        <f>VLOOKUP($AH23&amp;$AM23,'IMargin Quartiles'!$A:$F,6,FALSE)</f>
        <v>0.18</v>
      </c>
      <c r="AO23" s="400"/>
      <c r="AP23"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Q23" s="400" t="e">
        <f t="shared" si="21"/>
        <v>#DIV/0!</v>
      </c>
      <c r="AR23">
        <f>'PIM Model'!C19</f>
        <v>0</v>
      </c>
      <c r="AS23" s="400"/>
      <c r="AT23" s="400"/>
      <c r="AU23" s="400" t="e">
        <f t="shared" si="42"/>
        <v>#DIV/0!</v>
      </c>
      <c r="AV23" s="400"/>
      <c r="AW23" s="400"/>
      <c r="AX23" s="108">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96" t="e">
        <f t="shared" si="22"/>
        <v>#DIV/0!</v>
      </c>
      <c r="BA23" s="102" t="s">
        <v>101</v>
      </c>
      <c r="BB23" s="94">
        <f>IFERROR(IF(AND($BB$2&lt;&gt;"Enter Spend&gt;&gt;&gt;",BC11="EXISTING"),SUMIFS('Existing Customers'!$Q:$Q,'Existing Customers'!$A:$A,$BB$1,'Existing Customers'!$H:$H,$BA23)*$BB$4,$BB$3*$AZ23),0)</f>
        <v>0</v>
      </c>
      <c r="BC23" s="95">
        <f>IFERROR(IF(AND($BB$2&lt;&gt;"Enter Spend&gt;&gt;&gt;",BC2="EXISTING"),SUMIFS('Existing Customers'!$N:$N,'Existing Customers'!$A:$A,$BB$1,'Existing Customers'!$H:$H,$BA23)*$BB$4,$BB23/$BM23),0)</f>
        <v>0</v>
      </c>
      <c r="BD23" s="95">
        <f>IFERROR(IF(AND($BB$2&lt;&gt;"Enter Spend&gt;&gt;&gt;",BC2="EXISTING"),SUMIFS('Existing Customers'!$O:$O,'Existing Customers'!$H:$H,$BA23,'Existing Customers'!$A:$A,$BB$1)*$BB$4,$BC23*$BB$8),0)</f>
        <v>0</v>
      </c>
      <c r="BE23" s="95">
        <f>IFERROR(IF(AND($BB$2&lt;&gt;"Enter Spend&gt;&gt;&gt;",BC2="EXISTING"),SUMIFS('Existing Customers'!$P:$P,'Existing Customers'!$A:$A,$BB$1,'Existing Customers'!$H:$H,$BA23)*$BB$4,$BB23/$BN23),0)</f>
        <v>0</v>
      </c>
      <c r="BF23" s="402">
        <f>IFERROR(IF(AND($BB$2&lt;&gt;"Enter Spend&gt;&gt;&gt;",BC2="EXISTING"),SUMIFS('Existing Customers'!$V:$V,'Existing Customers'!$H:$H,$BA23,'Existing Customers'!$A:$A,$BB$1)*$BB$4,0),0)</f>
        <v>0</v>
      </c>
      <c r="BG23" s="96">
        <f>IFERROR(IF(AND($BB$2&lt;&gt;"Enter Spend&gt;&gt;&gt;",BC2="EXISTING"),SUMIFS('Existing Customers'!$R:$R,'Existing Customers'!$H:$H,$BA23,'Existing Customers'!$A:$A,$BB$1)*$BB$4,0),0)</f>
        <v>0</v>
      </c>
      <c r="BH23" s="96">
        <f>IFERROR(IF(AND($BB$2&lt;&gt;"Enter Spend&gt;&gt;&gt;",BC2="EXISTING"),SUMIFS('Existing Customers'!$S:$S,'Existing Customers'!$H:$H,$BA23,'Existing Customers'!$A:$A,$BB$1),BR23*BB23),0)</f>
        <v>0</v>
      </c>
      <c r="BI23" s="96">
        <f>IFERROR(IF(AND($BB$2&lt;&gt;"Enter Spend&gt;&gt;&gt;",BC2="EXISTING"),SUMIFS('Existing Customers'!$U:$U,'Existing Customers'!$H:$H,$BA23,'Existing Customers'!$A:$A,$BB$1),BS23*BB23),0)</f>
        <v>0</v>
      </c>
      <c r="BJ23" s="1163" t="e">
        <f>_xlfn.CONCAT('Customer Inputs'!$AG$6,"_",BA23)</f>
        <v>#N/A</v>
      </c>
      <c r="BK23" s="1164">
        <f t="array" ref="BK23">IFERROR(INDEX('Margin Guidence Table'!$A$1:$AD$30000,MATCH(1,('Margin Guidence Table'!$A$1:$A$10000=$BJ23)*('Margin Guidence Table'!$I$1:$I$10000&lt;=ROUND($BB$3,0))*('Margin Guidence Table'!$J$1:$J$10000&gt;=ROUND($BB$3,0)),0),MATCH("DATA_POINTS",'Margin Guidence Table'!$A$1:$AG$1,0)),0)</f>
        <v>0</v>
      </c>
      <c r="BL23" s="1161" t="str">
        <f t="shared" si="23"/>
        <v>DEFAULT</v>
      </c>
      <c r="BM23" s="1161">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161">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165">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165">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165">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165">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165">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165">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9"/>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96" t="e">
        <f t="shared" si="24"/>
        <v>#DIV/0!</v>
      </c>
      <c r="BX23" s="102" t="s">
        <v>101</v>
      </c>
      <c r="BY23" s="94">
        <f>IFERROR(IF(AND($BY$2&lt;&gt;"Enter Spend&gt;&gt;&gt;",BZ11="EXISTING"),SUMIFS('Existing Customers'!$Q:$Q,'Existing Customers'!$A:$A,$BY$1,'Existing Customers'!$H:$H,$BX23)*$BY$4,$BY$3*$BW23),0)</f>
        <v>0</v>
      </c>
      <c r="BZ23" s="89">
        <f>IFERROR(IF(AND($BY$2&lt;&gt;"Enter Spend&gt;&gt;&gt;",BZ2="EXISTING"),SUMIFS('Existing Customers'!$N:$N,'Existing Customers'!$A:$A,$BY$1,'Existing Customers'!$H:$H,$BX23)*$BY$4,$BY23/$CJ23),0)</f>
        <v>0</v>
      </c>
      <c r="CA23" s="95">
        <f>IFERROR(IF(AND($BY$2&lt;&gt;"Enter Spend&gt;&gt;&gt;",BZ2="EXISTING"),SUMIFS('Existing Customers'!$O:$O,'Existing Customers'!$H:$H,$BX23,'Existing Customers'!$A:$A,$BY$1)*$BY$4,$BZ23*$BY$8),0)</f>
        <v>0</v>
      </c>
      <c r="CB23" s="95">
        <f>IFERROR(IF(AND($BY$2&lt;&gt;"Enter Spend&gt;&gt;&gt;",BZ2="EXISTING"),SUMIFS('Existing Customers'!$P:$P,'Existing Customers'!$A:$A,$BY$1,'Existing Customers'!$H:$H,$BX23)*$BY$4,$BY23/$CK23),0)</f>
        <v>0</v>
      </c>
      <c r="CC23" s="96">
        <f>IFERROR(IF(AND($BY$2&lt;&gt;"Enter Spend&gt;&gt;&gt;",BZ2="EXISTING"),SUMIFS('Existing Customers'!$V:$V,'Existing Customers'!$H:$H,$BX23,'Existing Customers'!$A:$A,$BY$1)*$BY$4,0),0)</f>
        <v>0</v>
      </c>
      <c r="CD23" s="96">
        <f>IFERROR(IF(AND($BY$2&lt;&gt;"Enter Spend&gt;&gt;&gt;",BZ2="EXISTING"),SUMIFS('Existing Customers'!$R:$R,'Existing Customers'!$H:$H,$BX23,'Existing Customers'!$A:$A,$BY$1)*$BY$4,0),0)</f>
        <v>0</v>
      </c>
      <c r="CE23" s="1161">
        <f>IFERROR(IF(AND($BY$2&lt;&gt;"Enter Spend&gt;&gt;&gt;",BZ2="EXISTING"),SUMIFS('Existing Customers'!$S:$S,'Existing Customers'!$H:$H,$BX23,'Existing Customers'!$A:$A,$BY$1),CO23*BY23),0)</f>
        <v>0</v>
      </c>
      <c r="CF23" s="1161">
        <f>IFERROR(IF(AND($BY$2&lt;&gt;"Enter Spend&gt;&gt;&gt;",BZ2="EXISTING"),SUMIFS('Existing Customers'!$U:$U,'Existing Customers'!$H:$H,$BX23,'Existing Customers'!$A:$A,$BY$1),CP23*BY23),0)</f>
        <v>0</v>
      </c>
      <c r="CG23" s="1164" t="e">
        <f>_xlfn.CONCAT('Customer Inputs'!$AG$7,"_",BX23)</f>
        <v>#N/A</v>
      </c>
      <c r="CH23" s="1164">
        <f t="array" ref="CH23">IFERROR(INDEX('Margin Guidence Table'!$A$1:$AD$30000,MATCH(1,('Margin Guidence Table'!$A$1:$A$10000=$CG23)*('Margin Guidence Table'!$I$1:$I$10000&lt;=ROUND($BY$3,0))*('Margin Guidence Table'!$J$1:$J$10000&gt;=ROUND($BY$3,0)),0),MATCH("DATA_POINTS",'Margin Guidence Table'!$A$1:$AG$1,0)),0)</f>
        <v>0</v>
      </c>
      <c r="CI23" s="1161" t="str">
        <f t="shared" si="25"/>
        <v>DEFAULT</v>
      </c>
      <c r="CJ23" s="1161">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161">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165">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165">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165">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165">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165">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165">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9"/>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96" t="e">
        <f t="shared" si="26"/>
        <v>#DIV/0!</v>
      </c>
      <c r="CU23" s="102" t="s">
        <v>101</v>
      </c>
      <c r="CV23" s="94">
        <f>IFERROR(IF(AND($CV$2&lt;&gt;"Enter Spend&gt;&gt;&gt;",CW11="EXISTING"),SUMIFS('Existing Customers'!$Q:$Q,'Existing Customers'!$A:$A,$CV$1,'Existing Customers'!$H:$H,$CU23)*$CV$4,$CV$3*$CT23),0)</f>
        <v>0</v>
      </c>
      <c r="CW23" s="89">
        <f>IFERROR(IF(AND($CV$2&lt;&gt;"Enter Spend&gt;&gt;&gt;",CW2="EXISTING"),SUMIFS('Existing Customers'!$N:$N,'Existing Customers'!$A:$A,$CV$1,'Existing Customers'!$H:$H,$CU23)*$CV$4,$CV23/$DG23),0)</f>
        <v>0</v>
      </c>
      <c r="CX23" s="95">
        <f>IFERROR(IF(AND($CV$2&lt;&gt;"Enter Spend&gt;&gt;&gt;",BC28="EXISTING"),SUMIFS('Existing Customers'!$O:$O,'Existing Customers'!$H:$H,$CU23,'Existing Customers'!$A:$A,$CV$1)*$CV$4,$CW23*$CV$8),0)</f>
        <v>0</v>
      </c>
      <c r="CY23" s="95">
        <f>IFERROR(IF(AND($CV$2&lt;&gt;"Enter Spend&gt;&gt;&gt;",CW2="EXISTING"),SUMIFS('Existing Customers'!$P:$P,'Existing Customers'!$A:$A,$CV$1,'Existing Customers'!$H:$H,$CU23)*$CV$4,$CV23/$DH23),0)</f>
        <v>0</v>
      </c>
      <c r="CZ23" s="96">
        <f>IFERROR(IF(AND($CV$2&lt;&gt;"Enter Spend&gt;&gt;&gt;",CW2="EXISTING"),SUMIFS('Existing Customers'!$V:$V,'Existing Customers'!$H:$H,$CU23,'Existing Customers'!$A:$A,$CV$1)*$CV$4,0),0)</f>
        <v>0</v>
      </c>
      <c r="DA23" s="96">
        <f>IFERROR(IF(AND($CV$2&lt;&gt;"Enter Spend&gt;&gt;&gt;",CW2="EXISTING"),SUMIFS('Existing Customers'!$R:$R,'Existing Customers'!$H:$H,$BA23,'Existing Customers'!$A:$A,$CV$1)*$CV$4,0),0)</f>
        <v>0</v>
      </c>
      <c r="DB23" s="1161">
        <f>IFERROR(IF(AND($CV$2&lt;&gt;"Enter Spend&gt;&gt;&gt;",CW2="EXISTING"),SUMIFS('Existing Customers'!$S:$S,'Existing Customers'!$H:$H,$CU23,'Existing Customers'!$A:$A,$CV$1),DL23*CV23),0)</f>
        <v>0</v>
      </c>
      <c r="DC23" s="1161">
        <f>IFERROR(IF(AND($CV$2&lt;&gt;"Enter Spend&gt;&gt;&gt;",CW2="EXISTING"),SUMIFS('Existing Customers'!$U:$U,'Existing Customers'!$H:$H,$CU23,'Existing Customers'!$A:$A,$CV$1),DM23*CV23),0)</f>
        <v>0</v>
      </c>
      <c r="DD23" s="1164" t="e">
        <f>_xlfn.CONCAT('Customer Inputs'!$AG$8,"_",CU23)</f>
        <v>#N/A</v>
      </c>
      <c r="DE23" s="1164">
        <f t="array" ref="DE23">IFERROR(INDEX('Margin Guidence Table'!$A$1:$AD$30000,MATCH(1,('Margin Guidence Table'!$A$1:$A$10000=DD23)*('Margin Guidence Table'!$I$1:$I$10000&lt;=ROUND($CV$3,0))*('Margin Guidence Table'!$J$1:$J$10000&gt;=ROUND($CV$3,0)),0),MATCH("DATA_POINTS",'Margin Guidence Table'!$A$1:$AG$1,0)),0)</f>
        <v>0</v>
      </c>
      <c r="DF23" s="1161" t="str">
        <f t="shared" si="27"/>
        <v>DEFAULT</v>
      </c>
      <c r="DG23" s="1161">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161">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165">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165">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165">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165">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165">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165">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9"/>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96" t="e">
        <f t="shared" si="28"/>
        <v>#DIV/0!</v>
      </c>
      <c r="DR23" s="102" t="s">
        <v>101</v>
      </c>
      <c r="DS23" s="94">
        <f>IFERROR(IF(AND($DS$2&lt;&gt;"Enter Spend&gt;&gt;&gt;",DT11="EXISTING"),SUMIFS('Existing Customers'!$Q:$Q,'Existing Customers'!$A:$A,$DS$1,'Existing Customers'!$H:$H,$DR23)*$DS$4,$DS$3*$DQ23),0)</f>
        <v>0</v>
      </c>
      <c r="DT23" s="89">
        <f>IFERROR(IF(AND($DS$2&lt;&gt;"Enter Spend&gt;&gt;&gt;",DT2="EXISTING"),SUMIFS('Existing Customers'!$N:$N,'Existing Customers'!$A:$A,$DS$1,'Existing Customers'!$H:$H,$DR23)*$DS$4,$DS23/$ED23),0)</f>
        <v>0</v>
      </c>
      <c r="DU23" s="95">
        <f>IFERROR(IF(AND($DS$2&lt;&gt;"Enter Spend&gt;&gt;&gt;",DT2="EXISTING"),SUMIFS('Existing Customers'!$O:$O,'Existing Customers'!$H:$H,$DR23,'Existing Customers'!$A:$A,$DS$1)*$DS$4,$DT23*$DS$8),0)</f>
        <v>0</v>
      </c>
      <c r="DV23" s="95">
        <f>IFERROR(IF(AND($DS$2&lt;&gt;"Enter Spend&gt;&gt;&gt;",DT2="EXISTING"),SUMIFS('Existing Customers'!$P:$P,'Existing Customers'!$A:$A,$DS$1,'Existing Customers'!$H:$H,$DR23)*$DS$4,$DS23/$EE23),0)</f>
        <v>0</v>
      </c>
      <c r="DW23" s="96">
        <f>IFERROR(IF(AND($DS$2&lt;&gt;"Enter Spend&gt;&gt;&gt;",EQ2="EXISTING"),SUMIFS('Existing Customers'!$V:$V,'Existing Customers'!$H:$H,$DR23,'Existing Customers'!$A:$A,$DS$1)*$DS$4,0),0)</f>
        <v>0</v>
      </c>
      <c r="DX23" s="96">
        <f>IFERROR(IF(AND($DS$2&lt;&gt;"Enter Spend&gt;&gt;&gt;",DT2="EXISTING"),SUMIFS('Existing Customers'!$R:$R,'Existing Customers'!$H:$H,$DR23,'Existing Customers'!$A:$A,$DS$1)*$DS$4,0),0)</f>
        <v>0</v>
      </c>
      <c r="DY23" s="1161">
        <f>IFERROR(IF(AND($DS$2&lt;&gt;"Enter Spend&gt;&gt;&gt;",DT2="EXISTING"),SUMIFS('Existing Customers'!$S:$S,'Existing Customers'!$H:$H,$DT23,'Existing Customers'!$A:$A,$DS$1),EI23*DS23),0)</f>
        <v>0</v>
      </c>
      <c r="DZ23" s="1161">
        <f>IFERROR(IF(AND($DS$2&lt;&gt;"Enter Spend&gt;&gt;&gt;",DT2="EXISTING"),SUMIFS('Existing Customers'!$U:$U,'Existing Customers'!$H:$H,$DR23,'Existing Customers'!$A:$A,$DS$1),EJ23*DS23),0)</f>
        <v>0</v>
      </c>
      <c r="EA23" s="1164" t="e">
        <f>_xlfn.CONCAT('Customer Inputs'!$AG$9,"_",DR23)</f>
        <v>#N/A</v>
      </c>
      <c r="EB23" s="1164">
        <f t="array" ref="EB23">IFERROR(INDEX('Margin Guidence Table'!$A$1:$AD$30000,MATCH(1,('Margin Guidence Table'!$A$1:$A$10000=EA23)*('Margin Guidence Table'!$I$1:$I$10000&lt;=ROUND($DS$3,0))*('Margin Guidence Table'!$J$1:$J$10000&gt;=ROUND($DS$3,0)),0),MATCH("DATA_POINTS",'Margin Guidence Table'!$A$1:$AG$1,0)),0)</f>
        <v>0</v>
      </c>
      <c r="EC23" s="1161" t="str">
        <f t="shared" si="29"/>
        <v>DEFAULT</v>
      </c>
      <c r="ED23" s="1161">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161">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165">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165">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165">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165">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165">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165">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9"/>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96" t="e">
        <f t="shared" si="30"/>
        <v>#DIV/0!</v>
      </c>
      <c r="EO23" s="102" t="s">
        <v>101</v>
      </c>
      <c r="EP23" s="94">
        <f>IFERROR(IF(AND($EP$2&lt;&gt;"Enter Spend&gt;&gt;&gt;",EQ11="EXISTING"),SUMIFS('Existing Customers'!$Q:$Q,'Existing Customers'!$A:$A,$EP$1,'Existing Customers'!$H:$H,$EO23)*$EP$4,$EP$3*$EN23),0)</f>
        <v>0</v>
      </c>
      <c r="EQ23" s="89">
        <f>IFERROR(IF(AND($EP$2&lt;&gt;"Enter Spend&gt;&gt;&gt;",EQ2="EXISTING"),SUMIFS('Existing Customers'!$N:$N,'Existing Customers'!$A:$A,$EP$1,'Existing Customers'!$H:$H,$EO23)*$EP$4,$EP23/$FA23),0)</f>
        <v>0</v>
      </c>
      <c r="ER23" s="95">
        <f>IFERROR(IF(AND($EP$2&lt;&gt;"Enter Spend&gt;&gt;&gt;",EQ2="EXISTING"),SUMIFS('Existing Customers'!$O:$O,'Existing Customers'!$H:$H,$EO23,'Existing Customers'!$A:$A,$EP$1)*$EP$4,$EQ23*$EP$8),0)</f>
        <v>0</v>
      </c>
      <c r="ES23" s="95">
        <f>IFERROR(IF(AND($EP$2&lt;&gt;"Enter Spend&gt;&gt;&gt;",EQ2="EXISTING"),SUMIFS('Existing Customers'!$P:$P,'Existing Customers'!$A:$A,$EP$1,'Existing Customers'!$H:$H,$EO23)*$EP$4,$EP23/$FB23),0)</f>
        <v>0</v>
      </c>
      <c r="ET23" s="96">
        <f>IFERROR(IF(AND($EP$2&lt;&gt;"Enter Spend&gt;&gt;&gt;",EQ2="EXISTING"),SUMIFS('Existing Customers'!$V:$V,'Existing Customers'!$H:$H,$EO23,'Existing Customers'!$A:$A,$EP$1)*$EP$4,0),0)</f>
        <v>0</v>
      </c>
      <c r="EU23" s="96">
        <f>IFERROR(IF(AND($EP$2&lt;&gt;"Enter Spend&gt;&gt;&gt;",EQ2="EXISTING"),SUMIFS('Existing Customers'!$R:$R,'Existing Customers'!$H:$H,$EO23,'Existing Customers'!$A:$A,$EP$1)*$EP$4,0),0)</f>
        <v>0</v>
      </c>
      <c r="EV23" s="1161">
        <f>IFERROR(IF(AND($EP$2&lt;&gt;"Enter Spend&gt;&gt;&gt;",EQ2="EXISTING"),SUMIFS('Existing Customers'!$S:$S,'Existing Customers'!$H:$H,$EO23,'Existing Customers'!$A:$A,$EP$1),FF23*EP23),0)</f>
        <v>0</v>
      </c>
      <c r="EW23" s="1161">
        <f>IFERROR(IF(AND($EP$2&lt;&gt;"Enter Spend&gt;&gt;&gt;",EQ2="EXISTING"),SUMIFS('Existing Customers'!$U:$U,'Existing Customers'!$H:$H,$EO23,'Existing Customers'!$A:$A,$EP$1),FG23*EP23),0)</f>
        <v>0</v>
      </c>
      <c r="EX23" s="1164" t="e">
        <f>_xlfn.CONCAT('Customer Inputs'!$AG$10,"_",EO23)</f>
        <v>#N/A</v>
      </c>
      <c r="EY23" s="1164">
        <f t="array" ref="EY23">IFERROR(INDEX('Margin Guidence Table'!$A$1:$AD$30000,MATCH(1,('Margin Guidence Table'!$A$1:$A$10000=EX23)*('Margin Guidence Table'!$I$1:$I$10000&lt;=ROUND($EP$3,0))*('Margin Guidence Table'!$J$1:$J$10000&gt;=ROUND($EP$3,0)),0),MATCH("DATA_POINTS",'Margin Guidence Table'!$A$1:$AG$1,0)),0)</f>
        <v>0</v>
      </c>
      <c r="EZ23" s="1161" t="str">
        <f t="shared" si="31"/>
        <v>DEFAULT</v>
      </c>
      <c r="FA23" s="1161">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161"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165">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165">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165">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165">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165">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165">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9"/>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96" t="e">
        <f t="shared" si="32"/>
        <v>#DIV/0!</v>
      </c>
      <c r="FL23" s="102" t="s">
        <v>101</v>
      </c>
      <c r="FM23" s="94">
        <f>IFERROR(IF(AND($FM$2&lt;&gt;"Enter Spend&gt;&gt;&gt;",FN11="EXISTING"),SUMIFS('Existing Customers'!$Q:$Q,'Existing Customers'!$A:$A,$FM$1,'Existing Customers'!$H:$H,$FL23)*$FM$4,$FM$3*$FK23),0)</f>
        <v>0</v>
      </c>
      <c r="FN23" s="89">
        <f>IFERROR(IF(AND($FM$2&lt;&gt;"Enter Spend&gt;&gt;&gt;",FN2="EXISTING"),SUMIFS('Existing Customers'!$N:$N,'Existing Customers'!$A:$A,$FM$1,'Existing Customers'!$H:$H,$FL23)*$FM$4,$FM23/$FX23),0)</f>
        <v>0</v>
      </c>
      <c r="FO23" s="95">
        <f>IFERROR(IF(AND($FM$2&lt;&gt;"Enter Spend&gt;&gt;&gt;",FN2="EXISTING"),SUMIFS('Existing Customers'!$O:$O,'Existing Customers'!$H:$H,$FL23,'Existing Customers'!$A:$A,$FM$1)*$FM$4,$FN23*$FM$8),0)</f>
        <v>0</v>
      </c>
      <c r="FP23" s="95">
        <f>IFERROR(IF(AND($FM$2&lt;&gt;"Enter Spend&gt;&gt;&gt;",FN2="EXISTING"),SUMIFS('Existing Customers'!$P:$P,'Existing Customers'!$A:$A,$FM$1,'Existing Customers'!$H:$H,$FL23)*$FM$4,$FM23/$FY23),0)</f>
        <v>0</v>
      </c>
      <c r="FQ23" s="96">
        <f>IFERROR(IF(AND($FM$2&lt;&gt;"Enter Spend&gt;&gt;&gt;",FN2="EXISTING"),SUMIFS('Existing Customers'!$V:$V,'Existing Customers'!$H:$H,$FL23,'Existing Customers'!$A:$A,$FM$1)*$FM$4,0),0)</f>
        <v>0</v>
      </c>
      <c r="FR23" s="96">
        <f>IFERROR(IF(AND($FM$2&lt;&gt;"Enter Spend&gt;&gt;&gt;",FN2="EXISTING"),SUMIFS('Existing Customers'!$R:$R,'Existing Customers'!$H:$H,$FL23,'Existing Customers'!$A:$A,$FM$1)*$FM$4,0),0)</f>
        <v>0</v>
      </c>
      <c r="FS23" s="1161">
        <f>IFERROR(IF(AND($FM$2&lt;&gt;"Enter Spend&gt;&gt;&gt;",FN2="EXISTING"),SUMIFS('Existing Customers'!$S:$S,'Existing Customers'!$H:$H,$FL23,'Existing Customers'!$A:$A,$FM$1),GC23*FM23),0)</f>
        <v>0</v>
      </c>
      <c r="FT23" s="1161">
        <f>IFERROR(IF(AND($FM$2&lt;&gt;"Enter Spend&gt;&gt;&gt;",FN2="EXISTING"),SUMIFS('Existing Customers'!$U:$U,'Existing Customers'!$H:$H,$FL23,'Existing Customers'!$A:$A,$FM$1),GD23*FM23),0)</f>
        <v>0</v>
      </c>
      <c r="FU23" s="1164" t="e">
        <f>_xlfn.CONCAT('Customer Inputs'!$AG$11,"_",FL23)</f>
        <v>#N/A</v>
      </c>
      <c r="FV23" s="1164">
        <f t="array" ref="FV23">IFERROR(INDEX('Margin Guidence Table'!$A$1:$AD$30000,MATCH(1,('Margin Guidence Table'!$A$1:$A$10000=FU23)*('Margin Guidence Table'!$I$1:$I$10000&lt;=ROUND($FM$3,0))*('Margin Guidence Table'!$J$1:$J$10000&gt;=ROUND($FM$3,0)),0),MATCH("DATA_POINTS",'Margin Guidence Table'!$A$1:$AG$1,0)),0)</f>
        <v>0</v>
      </c>
      <c r="FW23" s="1161" t="str">
        <f t="shared" si="33"/>
        <v>DEFAULT</v>
      </c>
      <c r="FX23" s="1161">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161">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165">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165">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165">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165">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165">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165">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9"/>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96" t="e">
        <f t="shared" si="34"/>
        <v>#DIV/0!</v>
      </c>
      <c r="GI23" s="102" t="s">
        <v>101</v>
      </c>
      <c r="GJ23" s="94">
        <f>IFERROR(IF(AND($GJ$2&lt;&gt;"Enter Spend&gt;&gt;&gt;",GK11="EXISTING"),SUMIFS('Existing Customers'!$Q:$Q,'Existing Customers'!$A:$A,$GJ$1,'Existing Customers'!$H:$H,$GI23)*$GJ$4,$GJ$3*$GH23),0)</f>
        <v>0</v>
      </c>
      <c r="GK23" s="89">
        <f>IFERROR(IF(AND($GJ$2&lt;&gt;"Enter Spend&gt;&gt;&gt;",GK2="EXISTING"),SUMIFS('Existing Customers'!$N:$N,'Existing Customers'!$A:$A,$GJ$1,'Existing Customers'!$H:$H,$GI23)*$GJ$4,$GJ23/$GU23),0)</f>
        <v>0</v>
      </c>
      <c r="GL23" s="95">
        <f>IFERROR(IF(AND($GJ$2&lt;&gt;"Enter Spend&gt;&gt;&gt;",GK2="EXISTING"),SUMIFS('Existing Customers'!$O:$O,'Existing Customers'!$H:$H,$GI23,'Existing Customers'!$A:$A,$GJ$1)*$GJ$4,$GK23*$GJ$8),0)</f>
        <v>0</v>
      </c>
      <c r="GM23" s="95">
        <f>IFERROR(IF(AND($GJ$2&lt;&gt;"Enter Spend&gt;&gt;&gt;",GK2="EXISTING"),SUMIFS('Existing Customers'!$P:$P,'Existing Customers'!$A:$A,$GJ$1,'Existing Customers'!$H:$H,$GI23)*$GJ$4,$GJ23/$GV23),0)</f>
        <v>0</v>
      </c>
      <c r="GN23" s="96">
        <f>IFERROR(IF(AND($GJ$2&lt;&gt;"Enter Spend&gt;&gt;&gt;",GK2="EXISTING"),SUMIFS('Existing Customers'!$V:$V,'Existing Customers'!$H:$H,$GI23,'Existing Customers'!$A:$A,$GJ$1)*$GJ$4,0),0)</f>
        <v>0</v>
      </c>
      <c r="GO23" s="96">
        <f>IFERROR(IF(AND($GJ$2&lt;&gt;"Enter Spend&gt;&gt;&gt;",GK2="EXISTING"),SUMIFS('Existing Customers'!$R:$R,'Existing Customers'!$H:$H,$GI23,'Existing Customers'!$A:$A,$GJ$1)*$GJ$4,0),0)</f>
        <v>0</v>
      </c>
      <c r="GP23" s="1161">
        <f>IFERROR(IF(AND($GJ$2&lt;&gt;"Enter Spend&gt;&gt;&gt;",GK2="EXISTING"),SUMIFS('Existing Customers'!$S:$S,'Existing Customers'!$H:$H,$GI23,'Existing Customers'!$A:$A,$GJ$1),GZ23*GJ23),0)</f>
        <v>0</v>
      </c>
      <c r="GQ23" s="1161">
        <f>IFERROR(IF(AND($GJ$2&lt;&gt;"Enter Spend&gt;&gt;&gt;",GK2="EXISTING"),SUMIFS('Existing Customers'!$U:$U,'Existing Customers'!$H:$H,$GI23,'Existing Customers'!$A:$A,$GJ$1),HA23*GJ23),0)</f>
        <v>0</v>
      </c>
      <c r="GR23" s="1164" t="e">
        <f>_xlfn.CONCAT('Customer Inputs'!$AG$12,"_",GI23)</f>
        <v>#N/A</v>
      </c>
      <c r="GS23" s="1164">
        <f t="array" ref="GS23">IFERROR(INDEX('Margin Guidence Table'!$A$1:$AD$30000,MATCH(1,('Margin Guidence Table'!$A$1:$A$10000=GR23)*('Margin Guidence Table'!$I$1:$I$10000&lt;=ROUND($GJ$3,0))*('Margin Guidence Table'!$J$1:$J$10000&gt;=ROUND($GJ$3,0)),0),MATCH("DATA_POINTS",'Margin Guidence Table'!$A$1:$AG$1,0)),0)</f>
        <v>0</v>
      </c>
      <c r="GT23" s="1161" t="str">
        <f t="shared" si="35"/>
        <v>DEFAULT</v>
      </c>
      <c r="GU23" s="1161">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161">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165">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165">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165">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165">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165">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165">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9"/>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96" t="e">
        <f t="shared" si="36"/>
        <v>#DIV/0!</v>
      </c>
      <c r="HF23" s="102" t="s">
        <v>101</v>
      </c>
      <c r="HG23" s="94">
        <f>IFERROR(IF(AND($HG$2&lt;&gt;"Enter Spend&gt;&gt;&gt;",HH11="EXISTING"),SUMIFS('Existing Customers'!$Q:$Q,'Existing Customers'!$A:$A,$HG$1,'Existing Customers'!$H:$H,$HF23)*$HG$4,$HG$3*$HE23),0)</f>
        <v>0</v>
      </c>
      <c r="HH23" s="89">
        <f>IFERROR(IF(AND($HG$2&lt;&gt;"Enter Spend&gt;&gt;&gt;",HH2="EXISTING"),SUMIFS('Existing Customers'!$N:$N,'Existing Customers'!$A:$A,$HG$1,'Existing Customers'!$H:$H,$HF23)*$HG$4,$HG23/$HR23),0)</f>
        <v>0</v>
      </c>
      <c r="HI23" s="95">
        <f>IFERROR(IF(AND($HG$2&lt;&gt;"Enter Spend&gt;&gt;&gt;",HH2="EXISTING"),SUMIFS('Existing Customers'!$O:$O,'Existing Customers'!$H:$H,$HF23,'Existing Customers'!$A:$A,$HG$1)*$HG$4,$HH23*$HG$8),0)</f>
        <v>0</v>
      </c>
      <c r="HJ23" s="95">
        <f>IFERROR(IF(AND($HG$2&lt;&gt;"Enter Spend&gt;&gt;&gt;",HH2="EXISTING"),SUMIFS('Existing Customers'!$P:$P,'Existing Customers'!$A:$A,$HG$1,'Existing Customers'!$H:$H,$HF23)*$HG$4,$HG23/$HS23),0)</f>
        <v>0</v>
      </c>
      <c r="HK23" s="96">
        <f>IFERROR(IF(AND($HG$2&lt;&gt;"Enter Spend&gt;&gt;&gt;",HH2="EXISTING"),SUMIFS('Existing Customers'!$V:$V,'Existing Customers'!$H:$H,$HF23,'Existing Customers'!$A:$A,$HG$1)*$HG$4,0),0)</f>
        <v>0</v>
      </c>
      <c r="HL23" s="96">
        <f>IFERROR(IF(AND($HG$2&lt;&gt;"Enter Spend&gt;&gt;&gt;",HH2="EXISTING"),SUMIFS('Existing Customers'!$R:$R,'Existing Customers'!$H:$H,$HF23,'Existing Customers'!$A:$A,$HG$1)*$HG$4,0),0)</f>
        <v>0</v>
      </c>
      <c r="HM23" s="1161">
        <f>IFERROR(IF(AND($HG$2&lt;&gt;"Enter Spend&gt;&gt;&gt;",HH2="EXISTING"),SUMIFS('Existing Customers'!$S:$S,'Existing Customers'!$H:$H,$HF23,'Existing Customers'!$A:$A,$HG$1),HW23*HG23),0)</f>
        <v>0</v>
      </c>
      <c r="HN23" s="1161">
        <f>IFERROR(IF(AND($HG$2&lt;&gt;"Enter Spend&gt;&gt;&gt;",HH2="EXISTING"),SUMIFS('Existing Customers'!$U:$U,'Existing Customers'!$H:$H,$HF23,'Existing Customers'!$A:$A,$HG$1),HX23*HG23),0)</f>
        <v>0</v>
      </c>
      <c r="HO23" s="1164" t="e">
        <f>_xlfn.CONCAT('Customer Inputs'!$AG$13,"_",HF23)</f>
        <v>#N/A</v>
      </c>
      <c r="HP23" s="1164">
        <f t="array" ref="HP23">IFERROR(INDEX('Margin Guidence Table'!$A$1:$AD$30000,MATCH(1,('Margin Guidence Table'!$A$1:$A$10000=HO23)*('Margin Guidence Table'!$I$1:$I$10000&lt;=ROUND($HG$3,0))*('Margin Guidence Table'!$J$1:$J$10000&gt;=ROUND($HG$3,0)),0),MATCH("DATA_POINTS",'Margin Guidence Table'!$A$1:$AG$1,0)),0)</f>
        <v>0</v>
      </c>
      <c r="HQ23" s="1161" t="str">
        <f t="shared" si="37"/>
        <v>DEFAULT</v>
      </c>
      <c r="HR23" s="1161">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161">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165">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165">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165">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165">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165">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165">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9"/>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96" t="e">
        <f t="shared" si="38"/>
        <v>#DIV/0!</v>
      </c>
      <c r="IC23" s="102" t="s">
        <v>101</v>
      </c>
      <c r="ID23" s="94">
        <f>IFERROR(IF(AND($ID$2&lt;&gt;"Enter Spend&gt;&gt;&gt;",IE11="EXISTING"),SUMIFS('Existing Customers'!$Q:$Q,'Existing Customers'!$A:$A,$ID$1,'Existing Customers'!$H:$H,$IC23)*$ID$4,$ID$3*$IB23),0)</f>
        <v>0</v>
      </c>
      <c r="IE23" s="89">
        <f>IFERROR(IF(AND($ID$2&lt;&gt;"Enter Spend&gt;&gt;&gt;",IE2="EXISTING"),SUMIFS('Existing Customers'!$N:$N,'Existing Customers'!$A:$A,$ID$1,'Existing Customers'!$H:$H,$IC23)*$ID$4,$ID23/$IO23),0)</f>
        <v>0</v>
      </c>
      <c r="IF23" s="95">
        <f>IFERROR(IF(AND($ID$2&lt;&gt;"Enter Spend&gt;&gt;&gt;",IE2="EXISTING"),SUMIFS('Existing Customers'!$O:$O,'Existing Customers'!$H:$H,$IC23,'Existing Customers'!$A:$A,$ID$1)*$ID$4,$IE23*$ID$8),0)</f>
        <v>0</v>
      </c>
      <c r="IG23" s="95">
        <f>IFERROR(IF(AND($ID$2&lt;&gt;"Enter Spend&gt;&gt;&gt;",IE2="EXISTING"),SUMIFS('Existing Customers'!$P:$P,'Existing Customers'!$A:$A,$ID$1,'Existing Customers'!$H:$H,$IC23)*$ID$4,$ID23/$IP23),0)</f>
        <v>0</v>
      </c>
      <c r="IH23" s="402">
        <f>IFERROR(IF(AND($ID$2&lt;&gt;"Enter Spend&gt;&gt;&gt;",IE2="EXISTING"),SUMIFS('Existing Customers'!$V:$V,'Existing Customers'!$H:$H,$IC23,'Existing Customers'!$A:$A,$ID$1)*$ID$4,0),0)</f>
        <v>0</v>
      </c>
      <c r="II23" s="96">
        <f>IFERROR(IF(AND($ID$2&lt;&gt;"Enter Spend&gt;&gt;&gt;",IE2="EXISTING"),SUMIFS('Existing Customers'!$R:$R,'Existing Customers'!$H:$H,$IC23,'Existing Customers'!$A:$A,$ID$1)*$ID$4,0),0)</f>
        <v>0</v>
      </c>
      <c r="IJ23" s="1161">
        <f>IFERROR(IF(AND($ID$2&lt;&gt;"Enter Spend&gt;&gt;&gt;",IE2="EXISTING"),SUMIFS('Existing Customers'!$S:$S,'Existing Customers'!$H:$H,$IC23,'Existing Customers'!$A:$A,$ID$1),IT23*ID23),0)</f>
        <v>0</v>
      </c>
      <c r="IK23" s="1161">
        <f>IFERROR(IF(AND($ID$2&lt;&gt;"Enter Spend&gt;&gt;&gt;",IE2="EXISTING"),SUMIFS('Existing Customers'!$U:$U,'Existing Customers'!$H:$H,$IC23,'Existing Customers'!$A:$A,$ID$1),IU23*ID23),0)</f>
        <v>0</v>
      </c>
      <c r="IL23" s="1164" t="e">
        <f>_xlfn.CONCAT('Customer Inputs'!$AG$14,"_",IC23)</f>
        <v>#N/A</v>
      </c>
      <c r="IM23" s="1164">
        <f t="array" ref="IM23">IFERROR(INDEX('Margin Guidence Table'!$A$1:$AD$30000,MATCH(1,('Margin Guidence Table'!$A$1:$A$10000=IL23)*('Margin Guidence Table'!$I$1:$I$10000&lt;=ROUND($ID$3,0))*('Margin Guidence Table'!$J$1:$J$10000&gt;=ROUND($ID$3,0)),0),MATCH("DATA_POINTS",'Margin Guidence Table'!$A$1:$AG$1,0)),0)</f>
        <v>0</v>
      </c>
      <c r="IN23" s="1161" t="str">
        <f t="shared" si="39"/>
        <v>DEFAULT</v>
      </c>
      <c r="IO23" s="1161">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161">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165">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165">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165">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165">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165">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165">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9"/>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96" t="e">
        <f t="shared" si="40"/>
        <v>#DIV/0!</v>
      </c>
      <c r="IZ23" s="102" t="s">
        <v>101</v>
      </c>
      <c r="JA23" s="94">
        <f>IFERROR(IF(AND($JA$2&lt;&gt;"Enter Spend&gt;&gt;&gt;",JB11="EXISTING"),SUMIFS('Existing Customers'!$Q:$Q,'Existing Customers'!$A:$A,$JA$1,'Existing Customers'!$H:$H,$IZ23)*$JA$4,$JA$3*$IY23),0)</f>
        <v>0</v>
      </c>
      <c r="JB23" s="89">
        <f>IFERROR(IF(AND($JA$2&lt;&gt;"Enter Spend&gt;&gt;&gt;",JB2="EXISTING"),SUMIFS('Existing Customers'!$N:$N,'Existing Customers'!$A:$A,$JA$1,'Existing Customers'!$H:$H,$IZ23)*$JA$4,$JA23/$JL23),0)</f>
        <v>0</v>
      </c>
      <c r="JC23" s="95">
        <f>IFERROR(IF(AND($JA$2&lt;&gt;"Enter Spend&gt;&gt;&gt;",JB2="EXISTING"),SUMIFS('Existing Customers'!$O:$O,'Existing Customers'!$H:$H,$IZ23,'Existing Customers'!$A:$A,$JA$1)*$JA$4,$JB23*$JA$8),0)</f>
        <v>0</v>
      </c>
      <c r="JD23" s="95">
        <f>IFERROR(IF(AND($JA$2&lt;&gt;"Enter Spend&gt;&gt;&gt;",JB2="EXISTING"),SUMIFS('Existing Customers'!$P:$P,'Existing Customers'!$A:$A,$JA$1,'Existing Customers'!$H:$H,$IZ23)*$JA$4,$JA23/$JM23),0)</f>
        <v>0</v>
      </c>
      <c r="JE23" s="402">
        <f>IFERROR(IF(AND($JA$2&lt;&gt;"Enter Spend&gt;&gt;&gt;",JB2="EXISTING"),SUMIFS('Existing Customers'!$V:$V,'Existing Customers'!$H:$H,$IZ23,'Existing Customers'!$A:$A,$JA$1)*$JA$4,0),0)</f>
        <v>0</v>
      </c>
      <c r="JF23" s="96">
        <f>IFERROR(IF(AND($JA$2&lt;&gt;"Enter Spend&gt;&gt;&gt;",JB2="EXISTING"),SUMIFS('Existing Customers'!$R:$R,'Existing Customers'!$H:$H,$IZ23,'Existing Customers'!$A:$A,$JA$1)*$JA$4,0),0)</f>
        <v>0</v>
      </c>
      <c r="JG23" s="1161">
        <f>IFERROR(IF(AND($JA$2&lt;&gt;"Enter Spend&gt;&gt;&gt;",JB2="EXISTING"),SUMIFS('Existing Customers'!$S:$S,'Existing Customers'!$H:$H,$IZ23,'Existing Customers'!$A:$A,$JA$1),JQ23*JA23),0)</f>
        <v>0</v>
      </c>
      <c r="JH23" s="1161">
        <f>IFERROR(IF(AND($JA$2&lt;&gt;"Enter Spend&gt;&gt;&gt;",JB2="EXISTING"),SUMIFS('Existing Customers'!$U:$U,'Existing Customers'!$H:$H,$IZ23,'Existing Customers'!$A:$A,$JA$1),JR23*JA23),0)</f>
        <v>0</v>
      </c>
      <c r="JI23" s="1164" t="e">
        <f>_xlfn.CONCAT('Customer Inputs'!$AG$15,"_",IZ23)</f>
        <v>#N/A</v>
      </c>
      <c r="JJ23" s="1164">
        <f t="array" ref="JJ23">IFERROR(INDEX('Margin Guidence Table'!$A$1:$AD$30000,MATCH(1,('Margin Guidence Table'!$A$1:$A$10000=JI23)*('Margin Guidence Table'!$I$1:$I$10000&lt;=ROUND($JA$3,0))*('Margin Guidence Table'!$J$1:$J$10000&gt;=ROUND($JA$3,0)),0),MATCH("DATA_POINTS",'Margin Guidence Table'!$A$1:$AG$1,0)),0)</f>
        <v>0</v>
      </c>
      <c r="JK23" s="1161" t="str">
        <f t="shared" si="41"/>
        <v>DEFAULT</v>
      </c>
      <c r="JL23" s="1161">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161">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165">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165">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165">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165">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165">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165">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102" t="s">
        <v>101</v>
      </c>
      <c r="JV23" s="97"/>
      <c r="JW23" s="89"/>
      <c r="JX23" s="89"/>
      <c r="JY23" s="89"/>
      <c r="JZ23" s="114"/>
      <c r="KA23" s="98"/>
      <c r="KB23" s="129"/>
      <c r="KD23" s="102" t="s">
        <v>101</v>
      </c>
      <c r="KE23" s="97"/>
      <c r="KF23" s="89"/>
      <c r="KG23" s="89"/>
      <c r="KH23" s="89"/>
      <c r="KI23" s="114"/>
      <c r="KJ23" s="98"/>
    </row>
    <row r="24" spans="2:296" ht="15.75" thickBot="1" x14ac:dyDescent="0.3">
      <c r="B24" s="102" t="s">
        <v>97</v>
      </c>
      <c r="C24" s="480">
        <f t="shared" si="7"/>
        <v>0</v>
      </c>
      <c r="D24" s="496">
        <f t="shared" si="8"/>
        <v>0</v>
      </c>
      <c r="E24" s="496">
        <f t="shared" si="9"/>
        <v>0</v>
      </c>
      <c r="F24" s="496">
        <f t="shared" si="10"/>
        <v>0</v>
      </c>
      <c r="G24" s="497">
        <f t="shared" si="11"/>
        <v>0</v>
      </c>
      <c r="H24" s="496">
        <f t="shared" si="12"/>
        <v>0</v>
      </c>
      <c r="I24" s="1157" t="e">
        <f>ROUND(SUM($BB24*BO24+$BY24*CL24+$CV24*DI24+$DS24*EF24+$EP24*FC24+$FM24*FZ24+$GJ24*GW24+$HG24*HT24+$ID24*IQ24+$JA24*JN24)/$C24,2)</f>
        <v>#DIV/0!</v>
      </c>
      <c r="J24" s="1157" t="e">
        <f>ROUND(SUM($BB24*BP24+$BY24*CM24+$CV24*DJ24+$DS24*EG24+$EP24*FD24+$FM24*GA24+$GJ24*GX24+$HG24*HU24+$ID24*IR24+$JA24*JO24)/$C24,2)</f>
        <v>#DIV/0!</v>
      </c>
      <c r="K24" s="1157" t="e">
        <f>ROUND(SUM($BB24*BQ24+$BY24*CN24+$CV24*DK24+$DS24*EH24+$EP24*FE24+$FM24*GB24+$GJ24*GY24+$HG24*HV24+$ID24*IS24+$JA24*JP24)/$C24,2)</f>
        <v>#DIV/0!</v>
      </c>
      <c r="L24" s="496" t="e">
        <f t="shared" si="0"/>
        <v>#DIV/0!</v>
      </c>
      <c r="M24" s="496" t="e">
        <f t="shared" si="13"/>
        <v>#DIV/0!</v>
      </c>
      <c r="N24" s="1158" t="e">
        <f t="shared" si="1"/>
        <v>#DIV/0!</v>
      </c>
      <c r="P24" t="str">
        <f>'PIM Model'!E20</f>
        <v>INCLUDE</v>
      </c>
      <c r="Q24">
        <f t="shared" si="14"/>
        <v>0</v>
      </c>
      <c r="R24">
        <f t="shared" si="15"/>
        <v>0</v>
      </c>
      <c r="S24" s="102" t="s">
        <v>97</v>
      </c>
      <c r="T24" s="97">
        <f t="shared" si="16"/>
        <v>0</v>
      </c>
      <c r="U24" s="89">
        <f t="shared" si="2"/>
        <v>0</v>
      </c>
      <c r="V24" s="89">
        <f t="shared" si="3"/>
        <v>0</v>
      </c>
      <c r="W24" s="89">
        <f t="shared" si="4"/>
        <v>0</v>
      </c>
      <c r="X24" s="114">
        <f t="shared" si="5"/>
        <v>0</v>
      </c>
      <c r="Y24" s="117">
        <f t="shared" si="17"/>
        <v>0</v>
      </c>
      <c r="Z24" s="400"/>
      <c r="AA24" s="102" t="s">
        <v>97</v>
      </c>
      <c r="AB24" s="484">
        <f>SUMIFS($BB24:$JF24,$BB$12:$JF$12,AB$12)</f>
        <v>0</v>
      </c>
      <c r="AC24" s="485">
        <f>SUMIFS($BB24:$JF24,$BB$12:$JF$12,AC$12)</f>
        <v>0</v>
      </c>
      <c r="AD24" s="485">
        <f>SUMIFS($BB24:$JF24,$BB$12:$JF$12,AD$12)</f>
        <v>0</v>
      </c>
      <c r="AE24" s="486">
        <f t="shared" si="18"/>
        <v>0</v>
      </c>
      <c r="AF24" s="487">
        <f t="shared" si="19"/>
        <v>0</v>
      </c>
      <c r="AG24" s="400"/>
      <c r="AH24" s="102" t="s">
        <v>97</v>
      </c>
      <c r="AI24" s="484">
        <f t="shared" si="6"/>
        <v>0</v>
      </c>
      <c r="AJ24" s="481">
        <f t="shared" si="20"/>
        <v>0</v>
      </c>
      <c r="AK24" s="487"/>
      <c r="AL24" s="400"/>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400">
        <f>VLOOKUP($AH24&amp;$AM24,'IMargin Quartiles'!$A:$F,6,FALSE)</f>
        <v>0.17</v>
      </c>
      <c r="AO24" s="400"/>
      <c r="AP24"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Q24" s="400" t="e">
        <f t="shared" si="21"/>
        <v>#DIV/0!</v>
      </c>
      <c r="AR24">
        <f>'PIM Model'!C20</f>
        <v>0</v>
      </c>
      <c r="AS24" s="400"/>
      <c r="AT24" s="400"/>
      <c r="AU24" s="400" t="e">
        <f t="shared" si="42"/>
        <v>#DIV/0!</v>
      </c>
      <c r="AV24" s="400"/>
      <c r="AW24" s="400"/>
      <c r="AX24" s="108">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96" t="e">
        <f t="shared" si="22"/>
        <v>#DIV/0!</v>
      </c>
      <c r="BA24" s="102" t="s">
        <v>97</v>
      </c>
      <c r="BB24" s="94">
        <f>IFERROR(IF(AND($BB$2&lt;&gt;"Enter Spend&gt;&gt;&gt;",BC12="EXISTING"),SUMIFS('Existing Customers'!$Q:$Q,'Existing Customers'!$A:$A,$BB$1,'Existing Customers'!$H:$H,$BA24)*$BB$4,$BB$3*$AZ24),0)</f>
        <v>0</v>
      </c>
      <c r="BC24" s="95">
        <f>IFERROR(IF(AND($BB$2&lt;&gt;"Enter Spend&gt;&gt;&gt;",BC2="EXISTING"),SUMIFS('Existing Customers'!$N:$N,'Existing Customers'!$A:$A,$BB$1,'Existing Customers'!$H:$H,$BA24)*$BB$4,$BB24/$BM24),0)</f>
        <v>0</v>
      </c>
      <c r="BD24" s="95">
        <f>IFERROR(IF(AND($BB$2&lt;&gt;"Enter Spend&gt;&gt;&gt;",BC2="EXISTING"),SUMIFS('Existing Customers'!$O:$O,'Existing Customers'!$H:$H,$BA24,'Existing Customers'!$A:$A,$BB$1)*$BB$4,$BC24*$BB$8),0)</f>
        <v>0</v>
      </c>
      <c r="BE24" s="95">
        <f>IFERROR(IF(AND($BB$2&lt;&gt;"Enter Spend&gt;&gt;&gt;",BC2="EXISTING"),SUMIFS('Existing Customers'!$P:$P,'Existing Customers'!$A:$A,$BB$1,'Existing Customers'!$H:$H,$BA24)*$BB$4,$BB24/$BN24),0)</f>
        <v>0</v>
      </c>
      <c r="BF24" s="402">
        <f>IFERROR(IF(AND($BB$2&lt;&gt;"Enter Spend&gt;&gt;&gt;",BC2="EXISTING"),SUMIFS('Existing Customers'!$V:$V,'Existing Customers'!$H:$H,$BA24,'Existing Customers'!$A:$A,$BB$1)*$BB$4,0),0)</f>
        <v>0</v>
      </c>
      <c r="BG24" s="96">
        <f>IFERROR(IF(AND($BB$2&lt;&gt;"Enter Spend&gt;&gt;&gt;",BC2="EXISTING"),SUMIFS('Existing Customers'!$R:$R,'Existing Customers'!$H:$H,$BA24,'Existing Customers'!$A:$A,$BB$1)*$BB$4,0),0)</f>
        <v>0</v>
      </c>
      <c r="BH24" s="96">
        <f>IFERROR(IF(AND($BB$2&lt;&gt;"Enter Spend&gt;&gt;&gt;",BC2="EXISTING"),SUMIFS('Existing Customers'!$S:$S,'Existing Customers'!$H:$H,$BA24,'Existing Customers'!$A:$A,$BB$1),BR24*BB24),0)</f>
        <v>0</v>
      </c>
      <c r="BI24" s="96">
        <f>IFERROR(IF(AND($BB$2&lt;&gt;"Enter Spend&gt;&gt;&gt;",BC2="EXISTING"),SUMIFS('Existing Customers'!$U:$U,'Existing Customers'!$H:$H,$BA24,'Existing Customers'!$A:$A,$BB$1),BS24*BB24),0)</f>
        <v>0</v>
      </c>
      <c r="BJ24" s="1163" t="e">
        <f>_xlfn.CONCAT('Customer Inputs'!$AG$6,"_",BA24)</f>
        <v>#N/A</v>
      </c>
      <c r="BK24" s="1164">
        <f t="array" ref="BK24">IFERROR(INDEX('Margin Guidence Table'!$A$1:$AD$30000,MATCH(1,('Margin Guidence Table'!$A$1:$A$10000=$BJ24)*('Margin Guidence Table'!$I$1:$I$10000&lt;=ROUND($BB$3,0))*('Margin Guidence Table'!$J$1:$J$10000&gt;=ROUND($BB$3,0)),0),MATCH("DATA_POINTS",'Margin Guidence Table'!$A$1:$AG$1,0)),0)</f>
        <v>0</v>
      </c>
      <c r="BL24" s="1161" t="str">
        <f t="shared" si="23"/>
        <v>DEFAULT</v>
      </c>
      <c r="BM24" s="1161">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161">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165">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165">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165">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165">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165">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165">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9"/>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96" t="e">
        <f t="shared" si="24"/>
        <v>#DIV/0!</v>
      </c>
      <c r="BX24" s="102" t="s">
        <v>97</v>
      </c>
      <c r="BY24" s="94">
        <f>IFERROR(IF(AND($BY$2&lt;&gt;"Enter Spend&gt;&gt;&gt;",BZ12="EXISTING"),SUMIFS('Existing Customers'!$Q:$Q,'Existing Customers'!$A:$A,$BY$1,'Existing Customers'!$H:$H,$BX24)*$BY$4,$BY$3*$BW24),0)</f>
        <v>0</v>
      </c>
      <c r="BZ24" s="89">
        <f>IFERROR(IF(AND($BY$2&lt;&gt;"Enter Spend&gt;&gt;&gt;",BZ2="EXISTING"),SUMIFS('Existing Customers'!$N:$N,'Existing Customers'!$A:$A,$BY$1,'Existing Customers'!$H:$H,$BX24)*$BY$4,$BY24/$CJ24),0)</f>
        <v>0</v>
      </c>
      <c r="CA24" s="95">
        <f>IFERROR(IF(AND($BY$2&lt;&gt;"Enter Spend&gt;&gt;&gt;",BZ2="EXISTING"),SUMIFS('Existing Customers'!$O:$O,'Existing Customers'!$H:$H,$BX24,'Existing Customers'!$A:$A,$BY$1)*$BY$4,$BZ24*$BY$8),0)</f>
        <v>0</v>
      </c>
      <c r="CB24" s="95">
        <f>IFERROR(IF(AND($BY$2&lt;&gt;"Enter Spend&gt;&gt;&gt;",BZ2="EXISTING"),SUMIFS('Existing Customers'!$P:$P,'Existing Customers'!$A:$A,$BY$1,'Existing Customers'!$H:$H,$BX24)*$BY$4,$BY24/$CK24),0)</f>
        <v>0</v>
      </c>
      <c r="CC24" s="96">
        <f>IFERROR(IF(AND($BY$2&lt;&gt;"Enter Spend&gt;&gt;&gt;",BZ2="EXISTING"),SUMIFS('Existing Customers'!$V:$V,'Existing Customers'!$H:$H,$BX24,'Existing Customers'!$A:$A,$BY$1)*$BY$4,0),0)</f>
        <v>0</v>
      </c>
      <c r="CD24" s="96">
        <f>IFERROR(IF(AND($BY$2&lt;&gt;"Enter Spend&gt;&gt;&gt;",BZ2="EXISTING"),SUMIFS('Existing Customers'!$R:$R,'Existing Customers'!$H:$H,$BX24,'Existing Customers'!$A:$A,$BY$1)*$BY$4,0),0)</f>
        <v>0</v>
      </c>
      <c r="CE24" s="1161">
        <f>IFERROR(IF(AND($BY$2&lt;&gt;"Enter Spend&gt;&gt;&gt;",BZ2="EXISTING"),SUMIFS('Existing Customers'!$S:$S,'Existing Customers'!$H:$H,$BX24,'Existing Customers'!$A:$A,$BY$1),CO24*BY24),0)</f>
        <v>0</v>
      </c>
      <c r="CF24" s="1161">
        <f>IFERROR(IF(AND($BY$2&lt;&gt;"Enter Spend&gt;&gt;&gt;",BZ2="EXISTING"),SUMIFS('Existing Customers'!$U:$U,'Existing Customers'!$H:$H,$BX24,'Existing Customers'!$A:$A,$BY$1),CP24*BY24),0)</f>
        <v>0</v>
      </c>
      <c r="CG24" s="1164" t="e">
        <f>_xlfn.CONCAT('Customer Inputs'!$AG$7,"_",BX24)</f>
        <v>#N/A</v>
      </c>
      <c r="CH24" s="1164">
        <f t="array" ref="CH24">IFERROR(INDEX('Margin Guidence Table'!$A$1:$AD$30000,MATCH(1,('Margin Guidence Table'!$A$1:$A$10000=$CG24)*('Margin Guidence Table'!$I$1:$I$10000&lt;=ROUND($BY$3,0))*('Margin Guidence Table'!$J$1:$J$10000&gt;=ROUND($BY$3,0)),0),MATCH("DATA_POINTS",'Margin Guidence Table'!$A$1:$AG$1,0)),0)</f>
        <v>0</v>
      </c>
      <c r="CI24" s="1161" t="str">
        <f t="shared" si="25"/>
        <v>DEFAULT</v>
      </c>
      <c r="CJ24" s="1161">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161">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165">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165">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165">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165">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165">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165">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9"/>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96" t="e">
        <f t="shared" si="26"/>
        <v>#DIV/0!</v>
      </c>
      <c r="CU24" s="102" t="s">
        <v>97</v>
      </c>
      <c r="CV24" s="94">
        <f>IFERROR(IF(AND($CV$2&lt;&gt;"Enter Spend&gt;&gt;&gt;",CW12="EXISTING"),SUMIFS('Existing Customers'!$Q:$Q,'Existing Customers'!$A:$A,$CV$1,'Existing Customers'!$H:$H,$CU24)*$CV$4,$CV$3*$CT24),0)</f>
        <v>0</v>
      </c>
      <c r="CW24" s="89">
        <f>IFERROR(IF(AND($CV$2&lt;&gt;"Enter Spend&gt;&gt;&gt;",CW2="EXISTING"),SUMIFS('Existing Customers'!$N:$N,'Existing Customers'!$A:$A,$CV$1,'Existing Customers'!$H:$H,$CU24)*$CV$4,$CV24/$DG24),0)</f>
        <v>0</v>
      </c>
      <c r="CX24" s="95">
        <f>IFERROR(IF(AND($CV$2&lt;&gt;"Enter Spend&gt;&gt;&gt;",BC28="EXISTING"),SUMIFS('Existing Customers'!$O:$O,'Existing Customers'!$H:$H,$CU24,'Existing Customers'!$A:$A,$CV$1)*$CV$4,$CW24*$CV$8),0)</f>
        <v>0</v>
      </c>
      <c r="CY24" s="95">
        <f>IFERROR(IF(AND($CV$2&lt;&gt;"Enter Spend&gt;&gt;&gt;",CW2="EXISTING"),SUMIFS('Existing Customers'!$P:$P,'Existing Customers'!$A:$A,$CV$1,'Existing Customers'!$H:$H,$CU24)*$CV$4,$CV24/$DH24),0)</f>
        <v>0</v>
      </c>
      <c r="CZ24" s="96">
        <f>IFERROR(IF(AND($CV$2&lt;&gt;"Enter Spend&gt;&gt;&gt;",CW2="EXISTING"),SUMIFS('Existing Customers'!$V:$V,'Existing Customers'!$H:$H,$CU24,'Existing Customers'!$A:$A,$CV$1)*$CV$4,0),0)</f>
        <v>0</v>
      </c>
      <c r="DA24" s="96">
        <f>IFERROR(IF(AND($CV$2&lt;&gt;"Enter Spend&gt;&gt;&gt;",CW2="EXISTING"),SUMIFS('Existing Customers'!$R:$R,'Existing Customers'!$H:$H,$BA24,'Existing Customers'!$A:$A,$CV$1)*$CV$4,0),0)</f>
        <v>0</v>
      </c>
      <c r="DB24" s="1161">
        <f>IFERROR(IF(AND($CV$2&lt;&gt;"Enter Spend&gt;&gt;&gt;",CW2="EXISTING"),SUMIFS('Existing Customers'!$S:$S,'Existing Customers'!$H:$H,$CU24,'Existing Customers'!$A:$A,$CV$1),DL24*CV24),0)</f>
        <v>0</v>
      </c>
      <c r="DC24" s="1161">
        <f>IFERROR(IF(AND($CV$2&lt;&gt;"Enter Spend&gt;&gt;&gt;",CW2="EXISTING"),SUMIFS('Existing Customers'!$U:$U,'Existing Customers'!$H:$H,$CU24,'Existing Customers'!$A:$A,$CV$1),DM24*CV24),0)</f>
        <v>0</v>
      </c>
      <c r="DD24" s="1164" t="e">
        <f>_xlfn.CONCAT('Customer Inputs'!$AG$8,"_",CU24)</f>
        <v>#N/A</v>
      </c>
      <c r="DE24" s="1164">
        <f t="array" ref="DE24">IFERROR(INDEX('Margin Guidence Table'!$A$1:$AD$30000,MATCH(1,('Margin Guidence Table'!$A$1:$A$10000=DD24)*('Margin Guidence Table'!$I$1:$I$10000&lt;=ROUND($CV$3,0))*('Margin Guidence Table'!$J$1:$J$10000&gt;=ROUND($CV$3,0)),0),MATCH("DATA_POINTS",'Margin Guidence Table'!$A$1:$AG$1,0)),0)</f>
        <v>0</v>
      </c>
      <c r="DF24" s="1161" t="str">
        <f t="shared" si="27"/>
        <v>DEFAULT</v>
      </c>
      <c r="DG24" s="1161">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161">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165">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165">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165">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165">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165">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165">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9"/>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96" t="e">
        <f t="shared" si="28"/>
        <v>#DIV/0!</v>
      </c>
      <c r="DR24" s="102" t="s">
        <v>97</v>
      </c>
      <c r="DS24" s="94">
        <f>IFERROR(IF(AND($DS$2&lt;&gt;"Enter Spend&gt;&gt;&gt;",DT12="EXISTING"),SUMIFS('Existing Customers'!$Q:$Q,'Existing Customers'!$A:$A,$DS$1,'Existing Customers'!$H:$H,$DR24)*$DS$4,$DS$3*$DQ24),0)</f>
        <v>0</v>
      </c>
      <c r="DT24" s="89">
        <f>IFERROR(IF(AND($DS$2&lt;&gt;"Enter Spend&gt;&gt;&gt;",DT2="EXISTING"),SUMIFS('Existing Customers'!$N:$N,'Existing Customers'!$A:$A,$DS$1,'Existing Customers'!$H:$H,$DR24)*$DS$4,$DS24/$ED24),0)</f>
        <v>0</v>
      </c>
      <c r="DU24" s="95">
        <f>IFERROR(IF(AND($DS$2&lt;&gt;"Enter Spend&gt;&gt;&gt;",DT2="EXISTING"),SUMIFS('Existing Customers'!$O:$O,'Existing Customers'!$H:$H,$DR24,'Existing Customers'!$A:$A,$DS$1)*$DS$4,$DT24*$DS$8),0)</f>
        <v>0</v>
      </c>
      <c r="DV24" s="95">
        <f>IFERROR(IF(AND($DS$2&lt;&gt;"Enter Spend&gt;&gt;&gt;",DT2="EXISTING"),SUMIFS('Existing Customers'!$P:$P,'Existing Customers'!$A:$A,$DS$1,'Existing Customers'!$H:$H,$DR24)*$DS$4,$DS24/$EE24),0)</f>
        <v>0</v>
      </c>
      <c r="DW24" s="96">
        <f>IFERROR(IF(AND($DS$2&lt;&gt;"Enter Spend&gt;&gt;&gt;",EQ2="EXISTING"),SUMIFS('Existing Customers'!$V:$V,'Existing Customers'!$H:$H,$DR24,'Existing Customers'!$A:$A,$DS$1)*$DS$4,0),0)</f>
        <v>0</v>
      </c>
      <c r="DX24" s="96">
        <f>IFERROR(IF(AND($DS$2&lt;&gt;"Enter Spend&gt;&gt;&gt;",DT2="EXISTING"),SUMIFS('Existing Customers'!$R:$R,'Existing Customers'!$H:$H,$DR24,'Existing Customers'!$A:$A,$DS$1)*$DS$4,0),0)</f>
        <v>0</v>
      </c>
      <c r="DY24" s="1161">
        <f>IFERROR(IF(AND($DS$2&lt;&gt;"Enter Spend&gt;&gt;&gt;",DT2="EXISTING"),SUMIFS('Existing Customers'!$S:$S,'Existing Customers'!$H:$H,$DT24,'Existing Customers'!$A:$A,$DS$1),EI24*DS24),0)</f>
        <v>0</v>
      </c>
      <c r="DZ24" s="1161">
        <f>IFERROR(IF(AND($DS$2&lt;&gt;"Enter Spend&gt;&gt;&gt;",DT2="EXISTING"),SUMIFS('Existing Customers'!$U:$U,'Existing Customers'!$H:$H,$DR24,'Existing Customers'!$A:$A,$DS$1),EJ24*DS24),0)</f>
        <v>0</v>
      </c>
      <c r="EA24" s="1164" t="e">
        <f>_xlfn.CONCAT('Customer Inputs'!$AG$9,"_",DR24)</f>
        <v>#N/A</v>
      </c>
      <c r="EB24" s="1164">
        <f t="array" ref="EB24">IFERROR(INDEX('Margin Guidence Table'!$A$1:$AD$30000,MATCH(1,('Margin Guidence Table'!$A$1:$A$10000=EA24)*('Margin Guidence Table'!$I$1:$I$10000&lt;=ROUND($DS$3,0))*('Margin Guidence Table'!$J$1:$J$10000&gt;=ROUND($DS$3,0)),0),MATCH("DATA_POINTS",'Margin Guidence Table'!$A$1:$AG$1,0)),0)</f>
        <v>0</v>
      </c>
      <c r="EC24" s="1161" t="str">
        <f t="shared" si="29"/>
        <v>DEFAULT</v>
      </c>
      <c r="ED24" s="1161">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161">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165">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165">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165">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165">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165">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165">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9"/>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96" t="e">
        <f t="shared" si="30"/>
        <v>#DIV/0!</v>
      </c>
      <c r="EO24" s="102" t="s">
        <v>97</v>
      </c>
      <c r="EP24" s="94">
        <f>IFERROR(IF(AND($EP$2&lt;&gt;"Enter Spend&gt;&gt;&gt;",EQ12="EXISTING"),SUMIFS('Existing Customers'!$Q:$Q,'Existing Customers'!$A:$A,$EP$1,'Existing Customers'!$H:$H,$EO24)*$EP$4,$EP$3*$EN24),0)</f>
        <v>0</v>
      </c>
      <c r="EQ24" s="89">
        <f>IFERROR(IF(AND($EP$2&lt;&gt;"Enter Spend&gt;&gt;&gt;",EQ2="EXISTING"),SUMIFS('Existing Customers'!$N:$N,'Existing Customers'!$A:$A,$EP$1,'Existing Customers'!$H:$H,$EO24)*$EP$4,$EP24/$FA24),0)</f>
        <v>0</v>
      </c>
      <c r="ER24" s="95">
        <f>IFERROR(IF(AND($EP$2&lt;&gt;"Enter Spend&gt;&gt;&gt;",EQ2="EXISTING"),SUMIFS('Existing Customers'!$O:$O,'Existing Customers'!$H:$H,$EO24,'Existing Customers'!$A:$A,$EP$1)*$EP$4,$EQ24*$EP$8),0)</f>
        <v>0</v>
      </c>
      <c r="ES24" s="95">
        <f>IFERROR(IF(AND($EP$2&lt;&gt;"Enter Spend&gt;&gt;&gt;",EQ2="EXISTING"),SUMIFS('Existing Customers'!$P:$P,'Existing Customers'!$A:$A,$EP$1,'Existing Customers'!$H:$H,$EO24)*$EP$4,$EP24/$FB24),0)</f>
        <v>0</v>
      </c>
      <c r="ET24" s="96">
        <f>IFERROR(IF(AND($EP$2&lt;&gt;"Enter Spend&gt;&gt;&gt;",EQ2="EXISTING"),SUMIFS('Existing Customers'!$V:$V,'Existing Customers'!$H:$H,$EO24,'Existing Customers'!$A:$A,$EP$1)*$EP$4,0),0)</f>
        <v>0</v>
      </c>
      <c r="EU24" s="96">
        <f>IFERROR(IF(AND($EP$2&lt;&gt;"Enter Spend&gt;&gt;&gt;",EQ2="EXISTING"),SUMIFS('Existing Customers'!$R:$R,'Existing Customers'!$H:$H,$EO24,'Existing Customers'!$A:$A,$EP$1)*$EP$4,0),0)</f>
        <v>0</v>
      </c>
      <c r="EV24" s="1161">
        <f>IFERROR(IF(AND($EP$2&lt;&gt;"Enter Spend&gt;&gt;&gt;",EQ2="EXISTING"),SUMIFS('Existing Customers'!$S:$S,'Existing Customers'!$H:$H,$EO24,'Existing Customers'!$A:$A,$EP$1),FF24*EP24),0)</f>
        <v>0</v>
      </c>
      <c r="EW24" s="1161">
        <f>IFERROR(IF(AND($EP$2&lt;&gt;"Enter Spend&gt;&gt;&gt;",EQ2="EXISTING"),SUMIFS('Existing Customers'!$U:$U,'Existing Customers'!$H:$H,$EO24,'Existing Customers'!$A:$A,$EP$1),FG24*EP24),0)</f>
        <v>0</v>
      </c>
      <c r="EX24" s="1164" t="e">
        <f>_xlfn.CONCAT('Customer Inputs'!$AG$10,"_",EO24)</f>
        <v>#N/A</v>
      </c>
      <c r="EY24" s="1164">
        <f t="array" ref="EY24">IFERROR(INDEX('Margin Guidence Table'!$A$1:$AD$30000,MATCH(1,('Margin Guidence Table'!$A$1:$A$10000=EX24)*('Margin Guidence Table'!$I$1:$I$10000&lt;=ROUND($EP$3,0))*('Margin Guidence Table'!$J$1:$J$10000&gt;=ROUND($EP$3,0)),0),MATCH("DATA_POINTS",'Margin Guidence Table'!$A$1:$AG$1,0)),0)</f>
        <v>0</v>
      </c>
      <c r="EZ24" s="1161" t="str">
        <f t="shared" si="31"/>
        <v>DEFAULT</v>
      </c>
      <c r="FA24" s="1161">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161"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165">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165">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165">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165">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165">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165">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9"/>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96" t="e">
        <f t="shared" si="32"/>
        <v>#DIV/0!</v>
      </c>
      <c r="FL24" s="102" t="s">
        <v>97</v>
      </c>
      <c r="FM24" s="94">
        <f>IFERROR(IF(AND($FM$2&lt;&gt;"Enter Spend&gt;&gt;&gt;",FN12="EXISTING"),SUMIFS('Existing Customers'!$Q:$Q,'Existing Customers'!$A:$A,$FM$1,'Existing Customers'!$H:$H,$FL24)*$FM$4,$FM$3*$FK24),0)</f>
        <v>0</v>
      </c>
      <c r="FN24" s="89">
        <f>IFERROR(IF(AND($FM$2&lt;&gt;"Enter Spend&gt;&gt;&gt;",FN2="EXISTING"),SUMIFS('Existing Customers'!$N:$N,'Existing Customers'!$A:$A,$FM$1,'Existing Customers'!$H:$H,$FL24)*$FM$4,$FM24/$FX24),0)</f>
        <v>0</v>
      </c>
      <c r="FO24" s="95">
        <f>IFERROR(IF(AND($FM$2&lt;&gt;"Enter Spend&gt;&gt;&gt;",FN2="EXISTING"),SUMIFS('Existing Customers'!$O:$O,'Existing Customers'!$H:$H,$FL24,'Existing Customers'!$A:$A,$FM$1)*$FM$4,$FN24*$FM$8),0)</f>
        <v>0</v>
      </c>
      <c r="FP24" s="95">
        <f>IFERROR(IF(AND($FM$2&lt;&gt;"Enter Spend&gt;&gt;&gt;",FN2="EXISTING"),SUMIFS('Existing Customers'!$P:$P,'Existing Customers'!$A:$A,$FM$1,'Existing Customers'!$H:$H,$FL24)*$FM$4,$FM24/$FY24),0)</f>
        <v>0</v>
      </c>
      <c r="FQ24" s="96">
        <f>IFERROR(IF(AND($FM$2&lt;&gt;"Enter Spend&gt;&gt;&gt;",FN2="EXISTING"),SUMIFS('Existing Customers'!$V:$V,'Existing Customers'!$H:$H,$FL24,'Existing Customers'!$A:$A,$FM$1)*$FM$4,0),0)</f>
        <v>0</v>
      </c>
      <c r="FR24" s="96">
        <f>IFERROR(IF(AND($FM$2&lt;&gt;"Enter Spend&gt;&gt;&gt;",FN2="EXISTING"),SUMIFS('Existing Customers'!$R:$R,'Existing Customers'!$H:$H,$FL24,'Existing Customers'!$A:$A,$FM$1)*$FM$4,0),0)</f>
        <v>0</v>
      </c>
      <c r="FS24" s="1161">
        <f>IFERROR(IF(AND($FM$2&lt;&gt;"Enter Spend&gt;&gt;&gt;",FN2="EXISTING"),SUMIFS('Existing Customers'!$S:$S,'Existing Customers'!$H:$H,$FL24,'Existing Customers'!$A:$A,$FM$1),GC24*FM24),0)</f>
        <v>0</v>
      </c>
      <c r="FT24" s="1161">
        <f>IFERROR(IF(AND($FM$2&lt;&gt;"Enter Spend&gt;&gt;&gt;",FN2="EXISTING"),SUMIFS('Existing Customers'!$U:$U,'Existing Customers'!$H:$H,$FL24,'Existing Customers'!$A:$A,$FM$1),GD24*FM24),0)</f>
        <v>0</v>
      </c>
      <c r="FU24" s="1164" t="e">
        <f>_xlfn.CONCAT('Customer Inputs'!$AG$11,"_",FL24)</f>
        <v>#N/A</v>
      </c>
      <c r="FV24" s="1164">
        <f t="array" ref="FV24">IFERROR(INDEX('Margin Guidence Table'!$A$1:$AD$30000,MATCH(1,('Margin Guidence Table'!$A$1:$A$10000=FU24)*('Margin Guidence Table'!$I$1:$I$10000&lt;=ROUND($FM$3,0))*('Margin Guidence Table'!$J$1:$J$10000&gt;=ROUND($FM$3,0)),0),MATCH("DATA_POINTS",'Margin Guidence Table'!$A$1:$AG$1,0)),0)</f>
        <v>0</v>
      </c>
      <c r="FW24" s="1161" t="str">
        <f t="shared" si="33"/>
        <v>DEFAULT</v>
      </c>
      <c r="FX24" s="1161">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161">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165">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165">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165">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165">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165">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165">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9"/>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96" t="e">
        <f t="shared" si="34"/>
        <v>#DIV/0!</v>
      </c>
      <c r="GI24" s="102" t="s">
        <v>97</v>
      </c>
      <c r="GJ24" s="94">
        <f>IFERROR(IF(AND($GJ$2&lt;&gt;"Enter Spend&gt;&gt;&gt;",GK12="EXISTING"),SUMIFS('Existing Customers'!$Q:$Q,'Existing Customers'!$A:$A,$GJ$1,'Existing Customers'!$H:$H,$GI24)*$GJ$4,$GJ$3*$GH24),0)</f>
        <v>0</v>
      </c>
      <c r="GK24" s="89">
        <f>IFERROR(IF(AND($GJ$2&lt;&gt;"Enter Spend&gt;&gt;&gt;",GK2="EXISTING"),SUMIFS('Existing Customers'!$N:$N,'Existing Customers'!$A:$A,$GJ$1,'Existing Customers'!$H:$H,$GI24)*$GJ$4,$GJ24/$GU24),0)</f>
        <v>0</v>
      </c>
      <c r="GL24" s="95">
        <f>IFERROR(IF(AND($GJ$2&lt;&gt;"Enter Spend&gt;&gt;&gt;",GK2="EXISTING"),SUMIFS('Existing Customers'!$O:$O,'Existing Customers'!$H:$H,$GI24,'Existing Customers'!$A:$A,$GJ$1)*$GJ$4,$GK24*$GJ$8),0)</f>
        <v>0</v>
      </c>
      <c r="GM24" s="95">
        <f>IFERROR(IF(AND($GJ$2&lt;&gt;"Enter Spend&gt;&gt;&gt;",GK2="EXISTING"),SUMIFS('Existing Customers'!$P:$P,'Existing Customers'!$A:$A,$GJ$1,'Existing Customers'!$H:$H,$GI24)*$GJ$4,$GJ24/$GV24),0)</f>
        <v>0</v>
      </c>
      <c r="GN24" s="96">
        <f>IFERROR(IF(AND($GJ$2&lt;&gt;"Enter Spend&gt;&gt;&gt;",GK2="EXISTING"),SUMIFS('Existing Customers'!$V:$V,'Existing Customers'!$H:$H,$GI24,'Existing Customers'!$A:$A,$GJ$1)*$GJ$4,0),0)</f>
        <v>0</v>
      </c>
      <c r="GO24" s="96">
        <f>IFERROR(IF(AND($GJ$2&lt;&gt;"Enter Spend&gt;&gt;&gt;",GK2="EXISTING"),SUMIFS('Existing Customers'!$R:$R,'Existing Customers'!$H:$H,$GI24,'Existing Customers'!$A:$A,$GJ$1)*$GJ$4,0),0)</f>
        <v>0</v>
      </c>
      <c r="GP24" s="1161">
        <f>IFERROR(IF(AND($GJ$2&lt;&gt;"Enter Spend&gt;&gt;&gt;",GK2="EXISTING"),SUMIFS('Existing Customers'!$S:$S,'Existing Customers'!$H:$H,$GI24,'Existing Customers'!$A:$A,$GJ$1),GZ24*GJ24),0)</f>
        <v>0</v>
      </c>
      <c r="GQ24" s="1161">
        <f>IFERROR(IF(AND($GJ$2&lt;&gt;"Enter Spend&gt;&gt;&gt;",GK2="EXISTING"),SUMIFS('Existing Customers'!$U:$U,'Existing Customers'!$H:$H,$GI24,'Existing Customers'!$A:$A,$GJ$1),HA24*GJ24),0)</f>
        <v>0</v>
      </c>
      <c r="GR24" s="1164" t="e">
        <f>_xlfn.CONCAT('Customer Inputs'!$AG$12,"_",GI24)</f>
        <v>#N/A</v>
      </c>
      <c r="GS24" s="1164">
        <f t="array" ref="GS24">IFERROR(INDEX('Margin Guidence Table'!$A$1:$AD$30000,MATCH(1,('Margin Guidence Table'!$A$1:$A$10000=GR24)*('Margin Guidence Table'!$I$1:$I$10000&lt;=ROUND($GJ$3,0))*('Margin Guidence Table'!$J$1:$J$10000&gt;=ROUND($GJ$3,0)),0),MATCH("DATA_POINTS",'Margin Guidence Table'!$A$1:$AG$1,0)),0)</f>
        <v>0</v>
      </c>
      <c r="GT24" s="1161" t="str">
        <f t="shared" si="35"/>
        <v>DEFAULT</v>
      </c>
      <c r="GU24" s="1161">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161">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165">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165">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165">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165">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165">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165">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9"/>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96" t="e">
        <f t="shared" si="36"/>
        <v>#DIV/0!</v>
      </c>
      <c r="HF24" s="102" t="s">
        <v>97</v>
      </c>
      <c r="HG24" s="94">
        <f>IFERROR(IF(AND($HG$2&lt;&gt;"Enter Spend&gt;&gt;&gt;",HH12="EXISTING"),SUMIFS('Existing Customers'!$Q:$Q,'Existing Customers'!$A:$A,$HG$1,'Existing Customers'!$H:$H,$HF24)*$HG$4,$HG$3*$HE24),0)</f>
        <v>0</v>
      </c>
      <c r="HH24" s="89">
        <f>IFERROR(IF(AND($HG$2&lt;&gt;"Enter Spend&gt;&gt;&gt;",HH2="EXISTING"),SUMIFS('Existing Customers'!$N:$N,'Existing Customers'!$A:$A,$HG$1,'Existing Customers'!$H:$H,$HF24)*$HG$4,$HG24/$HR24),0)</f>
        <v>0</v>
      </c>
      <c r="HI24" s="95">
        <f>IFERROR(IF(AND($HG$2&lt;&gt;"Enter Spend&gt;&gt;&gt;",HH2="EXISTING"),SUMIFS('Existing Customers'!$O:$O,'Existing Customers'!$H:$H,$HF24,'Existing Customers'!$A:$A,$HG$1)*$HG$4,$HH24*$HG$8),0)</f>
        <v>0</v>
      </c>
      <c r="HJ24" s="95">
        <f>IFERROR(IF(AND($HG$2&lt;&gt;"Enter Spend&gt;&gt;&gt;",HH2="EXISTING"),SUMIFS('Existing Customers'!$P:$P,'Existing Customers'!$A:$A,$HG$1,'Existing Customers'!$H:$H,$HF24)*$HG$4,$HG24/$HS24),0)</f>
        <v>0</v>
      </c>
      <c r="HK24" s="96">
        <f>IFERROR(IF(AND($HG$2&lt;&gt;"Enter Spend&gt;&gt;&gt;",HH2="EXISTING"),SUMIFS('Existing Customers'!$V:$V,'Existing Customers'!$H:$H,$HF24,'Existing Customers'!$A:$A,$HG$1)*$HG$4,0),0)</f>
        <v>0</v>
      </c>
      <c r="HL24" s="96">
        <f>IFERROR(IF(AND($HG$2&lt;&gt;"Enter Spend&gt;&gt;&gt;",HH2="EXISTING"),SUMIFS('Existing Customers'!$R:$R,'Existing Customers'!$H:$H,$HF24,'Existing Customers'!$A:$A,$HG$1)*$HG$4,0),0)</f>
        <v>0</v>
      </c>
      <c r="HM24" s="1161">
        <f>IFERROR(IF(AND($HG$2&lt;&gt;"Enter Spend&gt;&gt;&gt;",HH2="EXISTING"),SUMIFS('Existing Customers'!$S:$S,'Existing Customers'!$H:$H,$HF24,'Existing Customers'!$A:$A,$HG$1),HW24*HG24),0)</f>
        <v>0</v>
      </c>
      <c r="HN24" s="1161">
        <f>IFERROR(IF(AND($HG$2&lt;&gt;"Enter Spend&gt;&gt;&gt;",HH2="EXISTING"),SUMIFS('Existing Customers'!$U:$U,'Existing Customers'!$H:$H,$HF24,'Existing Customers'!$A:$A,$HG$1),HX24*HG24),0)</f>
        <v>0</v>
      </c>
      <c r="HO24" s="1164" t="e">
        <f>_xlfn.CONCAT('Customer Inputs'!$AG$13,"_",HF24)</f>
        <v>#N/A</v>
      </c>
      <c r="HP24" s="1164">
        <f t="array" ref="HP24">IFERROR(INDEX('Margin Guidence Table'!$A$1:$AD$30000,MATCH(1,('Margin Guidence Table'!$A$1:$A$10000=HO24)*('Margin Guidence Table'!$I$1:$I$10000&lt;=ROUND($HG$3,0))*('Margin Guidence Table'!$J$1:$J$10000&gt;=ROUND($HG$3,0)),0),MATCH("DATA_POINTS",'Margin Guidence Table'!$A$1:$AG$1,0)),0)</f>
        <v>0</v>
      </c>
      <c r="HQ24" s="1161" t="str">
        <f t="shared" si="37"/>
        <v>DEFAULT</v>
      </c>
      <c r="HR24" s="1161">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161">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165">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165">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165">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165">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165">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165">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9"/>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96" t="e">
        <f t="shared" si="38"/>
        <v>#DIV/0!</v>
      </c>
      <c r="IC24" s="102" t="s">
        <v>97</v>
      </c>
      <c r="ID24" s="94">
        <f>IFERROR(IF(AND($ID$2&lt;&gt;"Enter Spend&gt;&gt;&gt;",IE12="EXISTING"),SUMIFS('Existing Customers'!$Q:$Q,'Existing Customers'!$A:$A,$ID$1,'Existing Customers'!$H:$H,$IC24)*$ID$4,$ID$3*$IB24),0)</f>
        <v>0</v>
      </c>
      <c r="IE24" s="89">
        <f>IFERROR(IF(AND($ID$2&lt;&gt;"Enter Spend&gt;&gt;&gt;",IE2="EXISTING"),SUMIFS('Existing Customers'!$N:$N,'Existing Customers'!$A:$A,$ID$1,'Existing Customers'!$H:$H,$IC24)*$ID$4,$ID24/$IO24),0)</f>
        <v>0</v>
      </c>
      <c r="IF24" s="95">
        <f>IFERROR(IF(AND($ID$2&lt;&gt;"Enter Spend&gt;&gt;&gt;",IE2="EXISTING"),SUMIFS('Existing Customers'!$O:$O,'Existing Customers'!$H:$H,$IC24,'Existing Customers'!$A:$A,$ID$1)*$ID$4,$IE24*$ID$8),0)</f>
        <v>0</v>
      </c>
      <c r="IG24" s="95">
        <f>IFERROR(IF(AND($ID$2&lt;&gt;"Enter Spend&gt;&gt;&gt;",IE2="EXISTING"),SUMIFS('Existing Customers'!$P:$P,'Existing Customers'!$A:$A,$ID$1,'Existing Customers'!$H:$H,$IC24)*$ID$4,$ID24/$IP24),0)</f>
        <v>0</v>
      </c>
      <c r="IH24" s="402">
        <f>IFERROR(IF(AND($ID$2&lt;&gt;"Enter Spend&gt;&gt;&gt;",IE2="EXISTING"),SUMIFS('Existing Customers'!$V:$V,'Existing Customers'!$H:$H,$IC24,'Existing Customers'!$A:$A,$ID$1)*$ID$4,0),0)</f>
        <v>0</v>
      </c>
      <c r="II24" s="96">
        <f>IFERROR(IF(AND($ID$2&lt;&gt;"Enter Spend&gt;&gt;&gt;",IE2="EXISTING"),SUMIFS('Existing Customers'!$R:$R,'Existing Customers'!$H:$H,$IC24,'Existing Customers'!$A:$A,$ID$1)*$ID$4,0),0)</f>
        <v>0</v>
      </c>
      <c r="IJ24" s="1161">
        <f>IFERROR(IF(AND($ID$2&lt;&gt;"Enter Spend&gt;&gt;&gt;",IE2="EXISTING"),SUMIFS('Existing Customers'!$S:$S,'Existing Customers'!$H:$H,$IC24,'Existing Customers'!$A:$A,$ID$1),IT24*ID24),0)</f>
        <v>0</v>
      </c>
      <c r="IK24" s="1161">
        <f>IFERROR(IF(AND($ID$2&lt;&gt;"Enter Spend&gt;&gt;&gt;",IE2="EXISTING"),SUMIFS('Existing Customers'!$U:$U,'Existing Customers'!$H:$H,$IC24,'Existing Customers'!$A:$A,$ID$1),IU24*ID24),0)</f>
        <v>0</v>
      </c>
      <c r="IL24" s="1164" t="e">
        <f>_xlfn.CONCAT('Customer Inputs'!$AG$14,"_",IC24)</f>
        <v>#N/A</v>
      </c>
      <c r="IM24" s="1164">
        <f t="array" ref="IM24">IFERROR(INDEX('Margin Guidence Table'!$A$1:$AD$30000,MATCH(1,('Margin Guidence Table'!$A$1:$A$10000=IL24)*('Margin Guidence Table'!$I$1:$I$10000&lt;=ROUND($ID$3,0))*('Margin Guidence Table'!$J$1:$J$10000&gt;=ROUND($ID$3,0)),0),MATCH("DATA_POINTS",'Margin Guidence Table'!$A$1:$AG$1,0)),0)</f>
        <v>0</v>
      </c>
      <c r="IN24" s="1161" t="str">
        <f t="shared" si="39"/>
        <v>DEFAULT</v>
      </c>
      <c r="IO24" s="1161">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161">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165">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165">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165">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165">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165">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165">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9"/>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96" t="e">
        <f t="shared" si="40"/>
        <v>#DIV/0!</v>
      </c>
      <c r="IZ24" s="102" t="s">
        <v>97</v>
      </c>
      <c r="JA24" s="94">
        <f>IFERROR(IF(AND($JA$2&lt;&gt;"Enter Spend&gt;&gt;&gt;",JB12="EXISTING"),SUMIFS('Existing Customers'!$Q:$Q,'Existing Customers'!$A:$A,$JA$1,'Existing Customers'!$H:$H,$IZ24)*$JA$4,$JA$3*$IY24),0)</f>
        <v>0</v>
      </c>
      <c r="JB24" s="89">
        <f>IFERROR(IF(AND($JA$2&lt;&gt;"Enter Spend&gt;&gt;&gt;",JB2="EXISTING"),SUMIFS('Existing Customers'!$N:$N,'Existing Customers'!$A:$A,$JA$1,'Existing Customers'!$H:$H,$IZ24)*$JA$4,$JA24/$JL24),0)</f>
        <v>0</v>
      </c>
      <c r="JC24" s="95">
        <f>IFERROR(IF(AND($JA$2&lt;&gt;"Enter Spend&gt;&gt;&gt;",JB2="EXISTING"),SUMIFS('Existing Customers'!$O:$O,'Existing Customers'!$H:$H,$IZ24,'Existing Customers'!$A:$A,$JA$1)*$JA$4,$JB24*$JA$8),0)</f>
        <v>0</v>
      </c>
      <c r="JD24" s="95">
        <f>IFERROR(IF(AND($JA$2&lt;&gt;"Enter Spend&gt;&gt;&gt;",JB2="EXISTING"),SUMIFS('Existing Customers'!$P:$P,'Existing Customers'!$A:$A,$JA$1,'Existing Customers'!$H:$H,$IZ24)*$JA$4,$JA24/$JM24),0)</f>
        <v>0</v>
      </c>
      <c r="JE24" s="402">
        <f>IFERROR(IF(AND($JA$2&lt;&gt;"Enter Spend&gt;&gt;&gt;",JB2="EXISTING"),SUMIFS('Existing Customers'!$V:$V,'Existing Customers'!$H:$H,$IZ24,'Existing Customers'!$A:$A,$JA$1)*$JA$4,0),0)</f>
        <v>0</v>
      </c>
      <c r="JF24" s="96">
        <f>IFERROR(IF(AND($JA$2&lt;&gt;"Enter Spend&gt;&gt;&gt;",JB2="EXISTING"),SUMIFS('Existing Customers'!$R:$R,'Existing Customers'!$H:$H,$IZ24,'Existing Customers'!$A:$A,$JA$1)*$JA$4,0),0)</f>
        <v>0</v>
      </c>
      <c r="JG24" s="1161">
        <f>IFERROR(IF(AND($JA$2&lt;&gt;"Enter Spend&gt;&gt;&gt;",JB2="EXISTING"),SUMIFS('Existing Customers'!$S:$S,'Existing Customers'!$H:$H,$IZ24,'Existing Customers'!$A:$A,$JA$1),JQ24*JA24),0)</f>
        <v>0</v>
      </c>
      <c r="JH24" s="1161">
        <f>IFERROR(IF(AND($JA$2&lt;&gt;"Enter Spend&gt;&gt;&gt;",JB2="EXISTING"),SUMIFS('Existing Customers'!$U:$U,'Existing Customers'!$H:$H,$IZ24,'Existing Customers'!$A:$A,$JA$1),JR24*JA24),0)</f>
        <v>0</v>
      </c>
      <c r="JI24" s="1164" t="e">
        <f>_xlfn.CONCAT('Customer Inputs'!$AG$15,"_",IZ24)</f>
        <v>#N/A</v>
      </c>
      <c r="JJ24" s="1164">
        <f t="array" ref="JJ24">IFERROR(INDEX('Margin Guidence Table'!$A$1:$AD$30000,MATCH(1,('Margin Guidence Table'!$A$1:$A$10000=JI24)*('Margin Guidence Table'!$I$1:$I$10000&lt;=ROUND($JA$3,0))*('Margin Guidence Table'!$J$1:$J$10000&gt;=ROUND($JA$3,0)),0),MATCH("DATA_POINTS",'Margin Guidence Table'!$A$1:$AG$1,0)),0)</f>
        <v>0</v>
      </c>
      <c r="JK24" s="1161" t="str">
        <f t="shared" si="41"/>
        <v>DEFAULT</v>
      </c>
      <c r="JL24" s="1161">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161">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165">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165">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165">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165">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165">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165">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102" t="s">
        <v>97</v>
      </c>
      <c r="JV24" s="97"/>
      <c r="JW24" s="89"/>
      <c r="JX24" s="89"/>
      <c r="JY24" s="89"/>
      <c r="JZ24" s="114"/>
      <c r="KA24" s="98"/>
      <c r="KB24" s="129"/>
      <c r="KD24" s="102" t="s">
        <v>97</v>
      </c>
      <c r="KE24" s="97"/>
      <c r="KF24" s="89"/>
      <c r="KG24" s="89"/>
      <c r="KH24" s="89"/>
      <c r="KI24" s="114"/>
      <c r="KJ24" s="98"/>
    </row>
    <row r="25" spans="2:296" ht="15.75" thickBot="1" x14ac:dyDescent="0.3">
      <c r="B25" s="102" t="s">
        <v>93</v>
      </c>
      <c r="C25" s="480">
        <f t="shared" si="7"/>
        <v>0</v>
      </c>
      <c r="D25" s="496">
        <f t="shared" si="8"/>
        <v>0</v>
      </c>
      <c r="E25" s="496">
        <f t="shared" si="9"/>
        <v>0</v>
      </c>
      <c r="F25" s="496">
        <f t="shared" si="10"/>
        <v>0</v>
      </c>
      <c r="G25" s="497">
        <f t="shared" si="11"/>
        <v>0</v>
      </c>
      <c r="H25" s="496">
        <f t="shared" si="12"/>
        <v>0</v>
      </c>
      <c r="I25" s="1157" t="e">
        <f>ROUND(SUM($BB25*BO25+$BY25*CL25+$CV25*DI25+$DS25*EF25+$EP25*FC25+$FM25*FZ25+$GJ25*GW25+$HG25*HT25+$ID25*IQ25+$JA25*JN25)/$C25,2)</f>
        <v>#DIV/0!</v>
      </c>
      <c r="J25" s="1157" t="e">
        <f>ROUND(SUM($BB25*BP25+$BY25*CM25+$CV25*DJ25+$DS25*EG25+$EP25*FD25+$FM25*GA25+$GJ25*GX25+$HG25*HU25+$ID25*IR25+$JA25*JO25)/$C25,2)</f>
        <v>#DIV/0!</v>
      </c>
      <c r="K25" s="1157" t="e">
        <f>ROUND(SUM($BB25*BQ25+$BY25*CN25+$CV25*DK25+$DS25*EH25+$EP25*FE25+$FM25*GB25+$GJ25*GY25+$HG25*HV25+$ID25*IS25+$JA25*JP25)/$C25,2)</f>
        <v>#DIV/0!</v>
      </c>
      <c r="L25" s="496" t="e">
        <f t="shared" si="0"/>
        <v>#DIV/0!</v>
      </c>
      <c r="M25" s="496" t="e">
        <f t="shared" si="13"/>
        <v>#DIV/0!</v>
      </c>
      <c r="N25" s="1158" t="e">
        <f t="shared" si="1"/>
        <v>#DIV/0!</v>
      </c>
      <c r="P25" t="str">
        <f>'PIM Model'!E21</f>
        <v>INCLUDE</v>
      </c>
      <c r="Q25">
        <f>IFERROR(T25/$T$35,0)</f>
        <v>0</v>
      </c>
      <c r="R25">
        <f t="shared" si="15"/>
        <v>0</v>
      </c>
      <c r="S25" s="102" t="s">
        <v>93</v>
      </c>
      <c r="T25" s="97">
        <f t="shared" si="16"/>
        <v>0</v>
      </c>
      <c r="U25" s="89">
        <f t="shared" si="2"/>
        <v>0</v>
      </c>
      <c r="V25" s="89">
        <f t="shared" si="3"/>
        <v>0</v>
      </c>
      <c r="W25" s="89">
        <f t="shared" si="4"/>
        <v>0</v>
      </c>
      <c r="X25" s="114">
        <f t="shared" si="5"/>
        <v>0</v>
      </c>
      <c r="Y25" s="117">
        <f t="shared" si="17"/>
        <v>0</v>
      </c>
      <c r="Z25" s="400"/>
      <c r="AA25" s="102" t="s">
        <v>93</v>
      </c>
      <c r="AB25" s="484">
        <f>SUMIFS($BB25:$JF25,$BB$12:$JF$12,AB$12)</f>
        <v>0</v>
      </c>
      <c r="AC25" s="485">
        <f>SUMIFS($BB25:$JF25,$BB$12:$JF$12,AC$12)</f>
        <v>0</v>
      </c>
      <c r="AD25" s="485">
        <f>SUMIFS($BB25:$JF25,$BB$12:$JF$12,AD$12)</f>
        <v>0</v>
      </c>
      <c r="AE25" s="486">
        <f t="shared" si="18"/>
        <v>0</v>
      </c>
      <c r="AF25" s="487">
        <f t="shared" si="19"/>
        <v>0</v>
      </c>
      <c r="AG25" s="400"/>
      <c r="AH25" s="102" t="s">
        <v>93</v>
      </c>
      <c r="AI25" s="484">
        <f t="shared" si="6"/>
        <v>0</v>
      </c>
      <c r="AJ25" s="481">
        <f t="shared" si="20"/>
        <v>0</v>
      </c>
      <c r="AK25" s="487"/>
      <c r="AL25" s="400"/>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400">
        <f>VLOOKUP($AH25&amp;$AM25,'IMargin Quartiles'!$A:$F,6,FALSE)</f>
        <v>0.18</v>
      </c>
      <c r="AO25" s="400"/>
      <c r="AP25"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Q25" s="400" t="e">
        <f t="shared" si="21"/>
        <v>#DIV/0!</v>
      </c>
      <c r="AR25">
        <f>'PIM Model'!C21</f>
        <v>0</v>
      </c>
      <c r="AS25" s="400"/>
      <c r="AT25" s="400"/>
      <c r="AU25" s="400" t="e">
        <f t="shared" si="42"/>
        <v>#DIV/0!</v>
      </c>
      <c r="AV25" s="400"/>
      <c r="AW25" s="400"/>
      <c r="AX25" s="108">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96" t="e">
        <f t="shared" si="22"/>
        <v>#DIV/0!</v>
      </c>
      <c r="BA25" s="102" t="s">
        <v>93</v>
      </c>
      <c r="BB25" s="94">
        <f>IFERROR(IF(AND($BB$2&lt;&gt;"Enter Spend&gt;&gt;&gt;",BC13="EXISTING"),SUMIFS('Existing Customers'!$Q:$Q,'Existing Customers'!$A:$A,$BB$1,'Existing Customers'!$H:$H,$BA25)*$BB$4,$BB$3*$AZ25),0)</f>
        <v>0</v>
      </c>
      <c r="BC25" s="95">
        <f>IFERROR(IF(AND($BB$2&lt;&gt;"Enter Spend&gt;&gt;&gt;",BC2="EXISTING"),SUMIFS('Existing Customers'!$N:$N,'Existing Customers'!$A:$A,$BB$1,'Existing Customers'!$H:$H,$BA25)*$BB$4,$BB25/$BM25),0)</f>
        <v>0</v>
      </c>
      <c r="BD25" s="95">
        <f>IFERROR(IF(AND($BB$2&lt;&gt;"Enter Spend&gt;&gt;&gt;",BC2="EXISTING"),SUMIFS('Existing Customers'!$O:$O,'Existing Customers'!$H:$H,$BA25,'Existing Customers'!$A:$A,$BB$1)*$BB$4,$BC25*$BB$8),0)</f>
        <v>0</v>
      </c>
      <c r="BE25" s="95">
        <f>IFERROR(IF(AND($BB$2&lt;&gt;"Enter Spend&gt;&gt;&gt;",BC2="EXISTING"),SUMIFS('Existing Customers'!$P:$P,'Existing Customers'!$A:$A,$BB$1,'Existing Customers'!$H:$H,$BA25)*$BB$4,$BB25/$BN25),0)</f>
        <v>0</v>
      </c>
      <c r="BF25" s="402">
        <f>IFERROR(IF(AND($BB$2&lt;&gt;"Enter Spend&gt;&gt;&gt;",BC2="EXISTING"),SUMIFS('Existing Customers'!$V:$V,'Existing Customers'!$H:$H,$BA25,'Existing Customers'!$A:$A,$BB$1)*$BB$4,0),0)</f>
        <v>0</v>
      </c>
      <c r="BG25" s="96">
        <f>IFERROR(IF(AND($BB$2&lt;&gt;"Enter Spend&gt;&gt;&gt;",BC2="EXISTING"),SUMIFS('Existing Customers'!$R:$R,'Existing Customers'!$H:$H,$BA25,'Existing Customers'!$A:$A,$BB$1)*$BB$4,0),0)</f>
        <v>0</v>
      </c>
      <c r="BH25" s="96">
        <f>IFERROR(IF(AND($BB$2&lt;&gt;"Enter Spend&gt;&gt;&gt;",BC2="EXISTING"),SUMIFS('Existing Customers'!$S:$S,'Existing Customers'!$H:$H,$BA25,'Existing Customers'!$A:$A,$BB$1),BR25*BB25),0)</f>
        <v>0</v>
      </c>
      <c r="BI25" s="96">
        <f>IFERROR(IF(AND($BB$2&lt;&gt;"Enter Spend&gt;&gt;&gt;",BC2="EXISTING"),SUMIFS('Existing Customers'!$U:$U,'Existing Customers'!$H:$H,$BA25,'Existing Customers'!$A:$A,$BB$1),BS25*BB25),0)</f>
        <v>0</v>
      </c>
      <c r="BJ25" s="1163" t="e">
        <f>_xlfn.CONCAT('Customer Inputs'!$AG$6,"_",BA25)</f>
        <v>#N/A</v>
      </c>
      <c r="BK25" s="1164">
        <f t="array" ref="BK25">IFERROR(INDEX('Margin Guidence Table'!$A$1:$AD$30000,MATCH(1,('Margin Guidence Table'!$A$1:$A$10000=$BJ25)*('Margin Guidence Table'!$I$1:$I$10000&lt;=ROUND($BB$3,0))*('Margin Guidence Table'!$J$1:$J$10000&gt;=ROUND($BB$3,0)),0),MATCH("DATA_POINTS",'Margin Guidence Table'!$A$1:$AG$1,0)),0)</f>
        <v>0</v>
      </c>
      <c r="BL25" s="1161" t="str">
        <f t="shared" si="23"/>
        <v>DEFAULT</v>
      </c>
      <c r="BM25" s="1161">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161">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165">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165">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165">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165">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165">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165">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9"/>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96" t="e">
        <f t="shared" si="24"/>
        <v>#DIV/0!</v>
      </c>
      <c r="BX25" s="102" t="s">
        <v>93</v>
      </c>
      <c r="BY25" s="94">
        <f>IFERROR(IF(AND($BY$2&lt;&gt;"Enter Spend&gt;&gt;&gt;",BZ13="EXISTING"),SUMIFS('Existing Customers'!$Q:$Q,'Existing Customers'!$A:$A,$BY$1,'Existing Customers'!$H:$H,$BX25)*$BY$4,$BY$3*$BW25),0)</f>
        <v>0</v>
      </c>
      <c r="BZ25" s="89">
        <f>IFERROR(IF(AND($BY$2&lt;&gt;"Enter Spend&gt;&gt;&gt;",BZ2="EXISTING"),SUMIFS('Existing Customers'!$N:$N,'Existing Customers'!$A:$A,$BY$1,'Existing Customers'!$H:$H,$BX25)*$BY$4,$BY25/$CJ25),0)</f>
        <v>0</v>
      </c>
      <c r="CA25" s="95">
        <f>IFERROR(IF(AND($BY$2&lt;&gt;"Enter Spend&gt;&gt;&gt;",BZ2="EXISTING"),SUMIFS('Existing Customers'!$O:$O,'Existing Customers'!$H:$H,$BX25,'Existing Customers'!$A:$A,$BY$1)*$BY$4,$BZ25*$BY$8),0)</f>
        <v>0</v>
      </c>
      <c r="CB25" s="95">
        <f>IFERROR(IF(AND($BY$2&lt;&gt;"Enter Spend&gt;&gt;&gt;",BZ2="EXISTING"),SUMIFS('Existing Customers'!$P:$P,'Existing Customers'!$A:$A,$BY$1,'Existing Customers'!$H:$H,$BX25)*$BY$4,$BY25/$CK25),0)</f>
        <v>0</v>
      </c>
      <c r="CC25" s="96">
        <f>IFERROR(IF(AND($BY$2&lt;&gt;"Enter Spend&gt;&gt;&gt;",BZ2="EXISTING"),SUMIFS('Existing Customers'!$V:$V,'Existing Customers'!$H:$H,$BX25,'Existing Customers'!$A:$A,$BY$1)*$BY$4,0),0)</f>
        <v>0</v>
      </c>
      <c r="CD25" s="96">
        <f>IFERROR(IF(AND($BY$2&lt;&gt;"Enter Spend&gt;&gt;&gt;",BZ2="EXISTING"),SUMIFS('Existing Customers'!$R:$R,'Existing Customers'!$H:$H,$BX25,'Existing Customers'!$A:$A,$BY$1)*$BY$4,0),0)</f>
        <v>0</v>
      </c>
      <c r="CE25" s="1161">
        <f>IFERROR(IF(AND($BY$2&lt;&gt;"Enter Spend&gt;&gt;&gt;",BZ2="EXISTING"),SUMIFS('Existing Customers'!$S:$S,'Existing Customers'!$H:$H,$BX25,'Existing Customers'!$A:$A,$BY$1),CO25*BY25),0)</f>
        <v>0</v>
      </c>
      <c r="CF25" s="1161">
        <f>IFERROR(IF(AND($BY$2&lt;&gt;"Enter Spend&gt;&gt;&gt;",BZ2="EXISTING"),SUMIFS('Existing Customers'!$U:$U,'Existing Customers'!$H:$H,$BX25,'Existing Customers'!$A:$A,$BY$1),CP25*BY25),0)</f>
        <v>0</v>
      </c>
      <c r="CG25" s="1164" t="e">
        <f>_xlfn.CONCAT('Customer Inputs'!$AG$7,"_",BX25)</f>
        <v>#N/A</v>
      </c>
      <c r="CH25" s="1164">
        <f t="array" ref="CH25">IFERROR(INDEX('Margin Guidence Table'!$A$1:$AD$30000,MATCH(1,('Margin Guidence Table'!$A$1:$A$10000=$CG25)*('Margin Guidence Table'!$I$1:$I$10000&lt;=ROUND($BY$3,0))*('Margin Guidence Table'!$J$1:$J$10000&gt;=ROUND($BY$3,0)),0),MATCH("DATA_POINTS",'Margin Guidence Table'!$A$1:$AG$1,0)),0)</f>
        <v>0</v>
      </c>
      <c r="CI25" s="1161" t="str">
        <f t="shared" si="25"/>
        <v>DEFAULT</v>
      </c>
      <c r="CJ25" s="1161">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161">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165">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165">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165">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165">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165">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165">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9"/>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96" t="e">
        <f t="shared" si="26"/>
        <v>#DIV/0!</v>
      </c>
      <c r="CU25" s="102" t="s">
        <v>93</v>
      </c>
      <c r="CV25" s="94">
        <f>IFERROR(IF(AND($CV$2&lt;&gt;"Enter Spend&gt;&gt;&gt;",CW13="EXISTING"),SUMIFS('Existing Customers'!$Q:$Q,'Existing Customers'!$A:$A,$CV$1,'Existing Customers'!$H:$H,$CU25)*$CV$4,$CV$3*$CT25),0)</f>
        <v>0</v>
      </c>
      <c r="CW25" s="89">
        <f>IFERROR(IF(AND($CV$2&lt;&gt;"Enter Spend&gt;&gt;&gt;",CW2="EXISTING"),SUMIFS('Existing Customers'!$N:$N,'Existing Customers'!$A:$A,$CV$1,'Existing Customers'!$H:$H,$CU25)*$CV$4,$CV25/$DG25),0)</f>
        <v>0</v>
      </c>
      <c r="CX25" s="95">
        <f>IFERROR(IF(AND($CV$2&lt;&gt;"Enter Spend&gt;&gt;&gt;",BC28="EXISTING"),SUMIFS('Existing Customers'!$O:$O,'Existing Customers'!$H:$H,$CU25,'Existing Customers'!$A:$A,$CV$1)*$CV$4,$CW25*$CV$8),0)</f>
        <v>0</v>
      </c>
      <c r="CY25" s="95">
        <f>IFERROR(IF(AND($CV$2&lt;&gt;"Enter Spend&gt;&gt;&gt;",CW2="EXISTING"),SUMIFS('Existing Customers'!$P:$P,'Existing Customers'!$A:$A,$CV$1,'Existing Customers'!$H:$H,$CU25)*$CV$4,$CV25/$DH25),0)</f>
        <v>0</v>
      </c>
      <c r="CZ25" s="96">
        <f>IFERROR(IF(AND($CV$2&lt;&gt;"Enter Spend&gt;&gt;&gt;",CW2="EXISTING"),SUMIFS('Existing Customers'!$V:$V,'Existing Customers'!$H:$H,$CU25,'Existing Customers'!$A:$A,$CV$1)*$CV$4,0),0)</f>
        <v>0</v>
      </c>
      <c r="DA25" s="96">
        <f>IFERROR(IF(AND($CV$2&lt;&gt;"Enter Spend&gt;&gt;&gt;",CW2="EXISTING"),SUMIFS('Existing Customers'!$R:$R,'Existing Customers'!$H:$H,$BA25,'Existing Customers'!$A:$A,$CV$1)*$CV$4,0),0)</f>
        <v>0</v>
      </c>
      <c r="DB25" s="1161">
        <f>IFERROR(IF(AND($CV$2&lt;&gt;"Enter Spend&gt;&gt;&gt;",CW2="EXISTING"),SUMIFS('Existing Customers'!$S:$S,'Existing Customers'!$H:$H,$CU25,'Existing Customers'!$A:$A,$CV$1),DL25*CV25),0)</f>
        <v>0</v>
      </c>
      <c r="DC25" s="1161">
        <f>IFERROR(IF(AND($CV$2&lt;&gt;"Enter Spend&gt;&gt;&gt;",CW2="EXISTING"),SUMIFS('Existing Customers'!$U:$U,'Existing Customers'!$H:$H,$CU25,'Existing Customers'!$A:$A,$CV$1),DM25*CV25),0)</f>
        <v>0</v>
      </c>
      <c r="DD25" s="1164" t="e">
        <f>_xlfn.CONCAT('Customer Inputs'!$AG$8,"_",CU25)</f>
        <v>#N/A</v>
      </c>
      <c r="DE25" s="1164">
        <f t="array" ref="DE25">IFERROR(INDEX('Margin Guidence Table'!$A$1:$AD$30000,MATCH(1,('Margin Guidence Table'!$A$1:$A$10000=DD25)*('Margin Guidence Table'!$I$1:$I$10000&lt;=ROUND($CV$3,0))*('Margin Guidence Table'!$J$1:$J$10000&gt;=ROUND($CV$3,0)),0),MATCH("DATA_POINTS",'Margin Guidence Table'!$A$1:$AG$1,0)),0)</f>
        <v>0</v>
      </c>
      <c r="DF25" s="1161" t="str">
        <f t="shared" si="27"/>
        <v>DEFAULT</v>
      </c>
      <c r="DG25" s="1161">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161">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165">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165">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165">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165">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165">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165">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9"/>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96" t="e">
        <f t="shared" si="28"/>
        <v>#DIV/0!</v>
      </c>
      <c r="DR25" s="102" t="s">
        <v>93</v>
      </c>
      <c r="DS25" s="94">
        <f>IFERROR(IF(AND($DS$2&lt;&gt;"Enter Spend&gt;&gt;&gt;",DT13="EXISTING"),SUMIFS('Existing Customers'!$Q:$Q,'Existing Customers'!$A:$A,$DS$1,'Existing Customers'!$H:$H,$DR25)*$DS$4,$DS$3*$DQ25),0)</f>
        <v>0</v>
      </c>
      <c r="DT25" s="89">
        <f>IFERROR(IF(AND($DS$2&lt;&gt;"Enter Spend&gt;&gt;&gt;",DT2="EXISTING"),SUMIFS('Existing Customers'!$N:$N,'Existing Customers'!$A:$A,$DS$1,'Existing Customers'!$H:$H,$DR25)*$DS$4,$DS25/$ED25),0)</f>
        <v>0</v>
      </c>
      <c r="DU25" s="95">
        <f>IFERROR(IF(AND($DS$2&lt;&gt;"Enter Spend&gt;&gt;&gt;",DT2="EXISTING"),SUMIFS('Existing Customers'!$O:$O,'Existing Customers'!$H:$H,$DR25,'Existing Customers'!$A:$A,$DS$1)*$DS$4,$DT25*$DS$8),0)</f>
        <v>0</v>
      </c>
      <c r="DV25" s="95">
        <f>IFERROR(IF(AND($DS$2&lt;&gt;"Enter Spend&gt;&gt;&gt;",DT2="EXISTING"),SUMIFS('Existing Customers'!$P:$P,'Existing Customers'!$A:$A,$DS$1,'Existing Customers'!$H:$H,$DR25)*$DS$4,$DS25/$EE25),0)</f>
        <v>0</v>
      </c>
      <c r="DW25" s="96">
        <f>IFERROR(IF(AND($DS$2&lt;&gt;"Enter Spend&gt;&gt;&gt;",EQ2="EXISTING"),SUMIFS('Existing Customers'!$V:$V,'Existing Customers'!$H:$H,$DR25,'Existing Customers'!$A:$A,$DS$1)*$DS$4,0),0)</f>
        <v>0</v>
      </c>
      <c r="DX25" s="96">
        <f>IFERROR(IF(AND($DS$2&lt;&gt;"Enter Spend&gt;&gt;&gt;",DT2="EXISTING"),SUMIFS('Existing Customers'!$R:$R,'Existing Customers'!$H:$H,$DR25,'Existing Customers'!$A:$A,$DS$1)*$DS$4,0),0)</f>
        <v>0</v>
      </c>
      <c r="DY25" s="1161">
        <f>IFERROR(IF(AND($DS$2&lt;&gt;"Enter Spend&gt;&gt;&gt;",DT2="EXISTING"),SUMIFS('Existing Customers'!$S:$S,'Existing Customers'!$H:$H,$DT25,'Existing Customers'!$A:$A,$DS$1),EI25*DS25),0)</f>
        <v>0</v>
      </c>
      <c r="DZ25" s="1161">
        <f>IFERROR(IF(AND($DS$2&lt;&gt;"Enter Spend&gt;&gt;&gt;",DT2="EXISTING"),SUMIFS('Existing Customers'!$U:$U,'Existing Customers'!$H:$H,$DR25,'Existing Customers'!$A:$A,$DS$1),EJ25*DS25),0)</f>
        <v>0</v>
      </c>
      <c r="EA25" s="1164" t="e">
        <f>_xlfn.CONCAT('Customer Inputs'!$AG$9,"_",DR25)</f>
        <v>#N/A</v>
      </c>
      <c r="EB25" s="1164">
        <f t="array" ref="EB25">IFERROR(INDEX('Margin Guidence Table'!$A$1:$AD$30000,MATCH(1,('Margin Guidence Table'!$A$1:$A$10000=EA25)*('Margin Guidence Table'!$I$1:$I$10000&lt;=ROUND($DS$3,0))*('Margin Guidence Table'!$J$1:$J$10000&gt;=ROUND($DS$3,0)),0),MATCH("DATA_POINTS",'Margin Guidence Table'!$A$1:$AG$1,0)),0)</f>
        <v>0</v>
      </c>
      <c r="EC25" s="1161" t="str">
        <f t="shared" si="29"/>
        <v>DEFAULT</v>
      </c>
      <c r="ED25" s="1161">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161">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165">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165">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165">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165">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165">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165">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9"/>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96" t="e">
        <f t="shared" si="30"/>
        <v>#DIV/0!</v>
      </c>
      <c r="EO25" s="102" t="s">
        <v>93</v>
      </c>
      <c r="EP25" s="94">
        <f>IFERROR(IF(AND($EP$2&lt;&gt;"Enter Spend&gt;&gt;&gt;",EQ13="EXISTING"),SUMIFS('Existing Customers'!$Q:$Q,'Existing Customers'!$A:$A,$EP$1,'Existing Customers'!$H:$H,$EO25)*$EP$4,$EP$3*$EN25),0)</f>
        <v>0</v>
      </c>
      <c r="EQ25" s="89">
        <f>IFERROR(IF(AND($EP$2&lt;&gt;"Enter Spend&gt;&gt;&gt;",EQ2="EXISTING"),SUMIFS('Existing Customers'!$N:$N,'Existing Customers'!$A:$A,$EP$1,'Existing Customers'!$H:$H,$EO25)*$EP$4,$EP25/$FA25),0)</f>
        <v>0</v>
      </c>
      <c r="ER25" s="95">
        <f>IFERROR(IF(AND($EP$2&lt;&gt;"Enter Spend&gt;&gt;&gt;",EQ2="EXISTING"),SUMIFS('Existing Customers'!$O:$O,'Existing Customers'!$H:$H,$EO25,'Existing Customers'!$A:$A,$EP$1)*$EP$4,$EQ25*$EP$8),0)</f>
        <v>0</v>
      </c>
      <c r="ES25" s="95">
        <f>IFERROR(IF(AND($EP$2&lt;&gt;"Enter Spend&gt;&gt;&gt;",EQ2="EXISTING"),SUMIFS('Existing Customers'!$P:$P,'Existing Customers'!$A:$A,$EP$1,'Existing Customers'!$H:$H,$EO25)*$EP$4,$EP25/$FB25),0)</f>
        <v>0</v>
      </c>
      <c r="ET25" s="96">
        <f>IFERROR(IF(AND($EP$2&lt;&gt;"Enter Spend&gt;&gt;&gt;",EQ2="EXISTING"),SUMIFS('Existing Customers'!$V:$V,'Existing Customers'!$H:$H,$EO25,'Existing Customers'!$A:$A,$EP$1)*$EP$4,0),0)</f>
        <v>0</v>
      </c>
      <c r="EU25" s="96">
        <f>IFERROR(IF(AND($EP$2&lt;&gt;"Enter Spend&gt;&gt;&gt;",EQ2="EXISTING"),SUMIFS('Existing Customers'!$R:$R,'Existing Customers'!$H:$H,$EO25,'Existing Customers'!$A:$A,$EP$1)*$EP$4,0),0)</f>
        <v>0</v>
      </c>
      <c r="EV25" s="1161">
        <f>IFERROR(IF(AND($EP$2&lt;&gt;"Enter Spend&gt;&gt;&gt;",EQ2="EXISTING"),SUMIFS('Existing Customers'!$S:$S,'Existing Customers'!$H:$H,$EO25,'Existing Customers'!$A:$A,$EP$1),FF25*EP25),0)</f>
        <v>0</v>
      </c>
      <c r="EW25" s="1161">
        <f>IFERROR(IF(AND($EP$2&lt;&gt;"Enter Spend&gt;&gt;&gt;",EQ2="EXISTING"),SUMIFS('Existing Customers'!$U:$U,'Existing Customers'!$H:$H,$EO25,'Existing Customers'!$A:$A,$EP$1),FG25*EP25),0)</f>
        <v>0</v>
      </c>
      <c r="EX25" s="1164" t="e">
        <f>_xlfn.CONCAT('Customer Inputs'!$AG$10,"_",EO25)</f>
        <v>#N/A</v>
      </c>
      <c r="EY25" s="1164">
        <f t="array" ref="EY25">IFERROR(INDEX('Margin Guidence Table'!$A$1:$AD$30000,MATCH(1,('Margin Guidence Table'!$A$1:$A$10000=EX25)*('Margin Guidence Table'!$I$1:$I$10000&lt;=ROUND($EP$3,0))*('Margin Guidence Table'!$J$1:$J$10000&gt;=ROUND($EP$3,0)),0),MATCH("DATA_POINTS",'Margin Guidence Table'!$A$1:$AG$1,0)),0)</f>
        <v>0</v>
      </c>
      <c r="EZ25" s="1161" t="str">
        <f t="shared" si="31"/>
        <v>DEFAULT</v>
      </c>
      <c r="FA25" s="1161">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161"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165">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165">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165">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165">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165">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165">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9"/>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96" t="e">
        <f t="shared" si="32"/>
        <v>#DIV/0!</v>
      </c>
      <c r="FL25" s="102" t="s">
        <v>93</v>
      </c>
      <c r="FM25" s="94">
        <f>IFERROR(IF(AND($FM$2&lt;&gt;"Enter Spend&gt;&gt;&gt;",FN13="EXISTING"),SUMIFS('Existing Customers'!$Q:$Q,'Existing Customers'!$A:$A,$FM$1,'Existing Customers'!$H:$H,$FL25)*$FM$4,$FM$3*$FK25),0)</f>
        <v>0</v>
      </c>
      <c r="FN25" s="89">
        <f>IFERROR(IF(AND($FM$2&lt;&gt;"Enter Spend&gt;&gt;&gt;",FN2="EXISTING"),SUMIFS('Existing Customers'!$N:$N,'Existing Customers'!$A:$A,$FM$1,'Existing Customers'!$H:$H,$FL25)*$FM$4,$FM25/$FX25),0)</f>
        <v>0</v>
      </c>
      <c r="FO25" s="95">
        <f>IFERROR(IF(AND($FM$2&lt;&gt;"Enter Spend&gt;&gt;&gt;",FN2="EXISTING"),SUMIFS('Existing Customers'!$O:$O,'Existing Customers'!$H:$H,$FL25,'Existing Customers'!$A:$A,$FM$1)*$FM$4,$FN25*$FM$8),0)</f>
        <v>0</v>
      </c>
      <c r="FP25" s="95">
        <f>IFERROR(IF(AND($FM$2&lt;&gt;"Enter Spend&gt;&gt;&gt;",FN2="EXISTING"),SUMIFS('Existing Customers'!$P:$P,'Existing Customers'!$A:$A,$FM$1,'Existing Customers'!$H:$H,$FL25)*$FM$4,$FM25/$FY25),0)</f>
        <v>0</v>
      </c>
      <c r="FQ25" s="96">
        <f>IFERROR(IF(AND($FM$2&lt;&gt;"Enter Spend&gt;&gt;&gt;",FN2="EXISTING"),SUMIFS('Existing Customers'!$V:$V,'Existing Customers'!$H:$H,$FL25,'Existing Customers'!$A:$A,$FM$1)*$FM$4,0),0)</f>
        <v>0</v>
      </c>
      <c r="FR25" s="96">
        <f>IFERROR(IF(AND($FM$2&lt;&gt;"Enter Spend&gt;&gt;&gt;",FN2="EXISTING"),SUMIFS('Existing Customers'!$R:$R,'Existing Customers'!$H:$H,$FL25,'Existing Customers'!$A:$A,$FM$1)*$FM$4,0),0)</f>
        <v>0</v>
      </c>
      <c r="FS25" s="1161">
        <f>IFERROR(IF(AND($FM$2&lt;&gt;"Enter Spend&gt;&gt;&gt;",FN2="EXISTING"),SUMIFS('Existing Customers'!$S:$S,'Existing Customers'!$H:$H,$FL25,'Existing Customers'!$A:$A,$FM$1),GC25*FM25),0)</f>
        <v>0</v>
      </c>
      <c r="FT25" s="1161">
        <f>IFERROR(IF(AND($FM$2&lt;&gt;"Enter Spend&gt;&gt;&gt;",FN2="EXISTING"),SUMIFS('Existing Customers'!$U:$U,'Existing Customers'!$H:$H,$FL25,'Existing Customers'!$A:$A,$FM$1),GD25*FM25),0)</f>
        <v>0</v>
      </c>
      <c r="FU25" s="1164" t="e">
        <f>_xlfn.CONCAT('Customer Inputs'!$AG$11,"_",FL25)</f>
        <v>#N/A</v>
      </c>
      <c r="FV25" s="1164">
        <f t="array" ref="FV25">IFERROR(INDEX('Margin Guidence Table'!$A$1:$AD$30000,MATCH(1,('Margin Guidence Table'!$A$1:$A$10000=FU25)*('Margin Guidence Table'!$I$1:$I$10000&lt;=ROUND($FM$3,0))*('Margin Guidence Table'!$J$1:$J$10000&gt;=ROUND($FM$3,0)),0),MATCH("DATA_POINTS",'Margin Guidence Table'!$A$1:$AG$1,0)),0)</f>
        <v>0</v>
      </c>
      <c r="FW25" s="1161" t="str">
        <f t="shared" si="33"/>
        <v>DEFAULT</v>
      </c>
      <c r="FX25" s="1161">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161">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165">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165">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165">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165">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165">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165">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9"/>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96" t="e">
        <f t="shared" si="34"/>
        <v>#DIV/0!</v>
      </c>
      <c r="GI25" s="102" t="s">
        <v>93</v>
      </c>
      <c r="GJ25" s="94">
        <f>IFERROR(IF(AND($GJ$2&lt;&gt;"Enter Spend&gt;&gt;&gt;",GK13="EXISTING"),SUMIFS('Existing Customers'!$Q:$Q,'Existing Customers'!$A:$A,$GJ$1,'Existing Customers'!$H:$H,$GI25)*$GJ$4,$GJ$3*$GH25),0)</f>
        <v>0</v>
      </c>
      <c r="GK25" s="89">
        <f>IFERROR(IF(AND($GJ$2&lt;&gt;"Enter Spend&gt;&gt;&gt;",GK2="EXISTING"),SUMIFS('Existing Customers'!$N:$N,'Existing Customers'!$A:$A,$GJ$1,'Existing Customers'!$H:$H,$GI25)*$GJ$4,$GJ25/$GU25),0)</f>
        <v>0</v>
      </c>
      <c r="GL25" s="95">
        <f>IFERROR(IF(AND($GJ$2&lt;&gt;"Enter Spend&gt;&gt;&gt;",GK2="EXISTING"),SUMIFS('Existing Customers'!$O:$O,'Existing Customers'!$H:$H,$GI25,'Existing Customers'!$A:$A,$GJ$1)*$GJ$4,$GK25*$GJ$8),0)</f>
        <v>0</v>
      </c>
      <c r="GM25" s="95">
        <f>IFERROR(IF(AND($GJ$2&lt;&gt;"Enter Spend&gt;&gt;&gt;",GK2="EXISTING"),SUMIFS('Existing Customers'!$P:$P,'Existing Customers'!$A:$A,$GJ$1,'Existing Customers'!$H:$H,$GI25)*$GJ$4,$GJ25/$GV25),0)</f>
        <v>0</v>
      </c>
      <c r="GN25" s="96">
        <f>IFERROR(IF(AND($GJ$2&lt;&gt;"Enter Spend&gt;&gt;&gt;",GK2="EXISTING"),SUMIFS('Existing Customers'!$V:$V,'Existing Customers'!$H:$H,$GI25,'Existing Customers'!$A:$A,$GJ$1)*$GJ$4,0),0)</f>
        <v>0</v>
      </c>
      <c r="GO25" s="96">
        <f>IFERROR(IF(AND($GJ$2&lt;&gt;"Enter Spend&gt;&gt;&gt;",GK2="EXISTING"),SUMIFS('Existing Customers'!$R:$R,'Existing Customers'!$H:$H,$GI25,'Existing Customers'!$A:$A,$GJ$1)*$GJ$4,0),0)</f>
        <v>0</v>
      </c>
      <c r="GP25" s="1161">
        <f>IFERROR(IF(AND($GJ$2&lt;&gt;"Enter Spend&gt;&gt;&gt;",GK2="EXISTING"),SUMIFS('Existing Customers'!$S:$S,'Existing Customers'!$H:$H,$GI25,'Existing Customers'!$A:$A,$GJ$1),GZ25*GJ25),0)</f>
        <v>0</v>
      </c>
      <c r="GQ25" s="1161">
        <f>IFERROR(IF(AND($GJ$2&lt;&gt;"Enter Spend&gt;&gt;&gt;",GK2="EXISTING"),SUMIFS('Existing Customers'!$U:$U,'Existing Customers'!$H:$H,$GI25,'Existing Customers'!$A:$A,$GJ$1),HA25*GJ25),0)</f>
        <v>0</v>
      </c>
      <c r="GR25" s="1164" t="e">
        <f>_xlfn.CONCAT('Customer Inputs'!$AG$12,"_",GI25)</f>
        <v>#N/A</v>
      </c>
      <c r="GS25" s="1164">
        <f t="array" ref="GS25">IFERROR(INDEX('Margin Guidence Table'!$A$1:$AD$30000,MATCH(1,('Margin Guidence Table'!$A$1:$A$10000=GR25)*('Margin Guidence Table'!$I$1:$I$10000&lt;=ROUND($GJ$3,0))*('Margin Guidence Table'!$J$1:$J$10000&gt;=ROUND($GJ$3,0)),0),MATCH("DATA_POINTS",'Margin Guidence Table'!$A$1:$AG$1,0)),0)</f>
        <v>0</v>
      </c>
      <c r="GT25" s="1161" t="str">
        <f t="shared" si="35"/>
        <v>DEFAULT</v>
      </c>
      <c r="GU25" s="1161">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161">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165">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165">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165">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165">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165">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165">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9"/>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96" t="e">
        <f t="shared" si="36"/>
        <v>#DIV/0!</v>
      </c>
      <c r="HF25" s="102" t="s">
        <v>93</v>
      </c>
      <c r="HG25" s="94">
        <f>IFERROR(IF(AND($HG$2&lt;&gt;"Enter Spend&gt;&gt;&gt;",HH13="EXISTING"),SUMIFS('Existing Customers'!$Q:$Q,'Existing Customers'!$A:$A,$HG$1,'Existing Customers'!$H:$H,$HF25)*$HG$4,$HG$3*$HE25),0)</f>
        <v>0</v>
      </c>
      <c r="HH25" s="89">
        <f>IFERROR(IF(AND($HG$2&lt;&gt;"Enter Spend&gt;&gt;&gt;",HH2="EXISTING"),SUMIFS('Existing Customers'!$N:$N,'Existing Customers'!$A:$A,$HG$1,'Existing Customers'!$H:$H,$HF25)*$HG$4,$HG25/$HR25),0)</f>
        <v>0</v>
      </c>
      <c r="HI25" s="95">
        <f>IFERROR(IF(AND($HG$2&lt;&gt;"Enter Spend&gt;&gt;&gt;",HH2="EXISTING"),SUMIFS('Existing Customers'!$O:$O,'Existing Customers'!$H:$H,$HF25,'Existing Customers'!$A:$A,$HG$1)*$HG$4,$HH25*$HG$8),0)</f>
        <v>0</v>
      </c>
      <c r="HJ25" s="95">
        <f>IFERROR(IF(AND($HG$2&lt;&gt;"Enter Spend&gt;&gt;&gt;",HH2="EXISTING"),SUMIFS('Existing Customers'!$P:$P,'Existing Customers'!$A:$A,$HG$1,'Existing Customers'!$H:$H,$HF25)*$HG$4,$HG25/$HS25),0)</f>
        <v>0</v>
      </c>
      <c r="HK25" s="96">
        <f>IFERROR(IF(AND($HG$2&lt;&gt;"Enter Spend&gt;&gt;&gt;",HH2="EXISTING"),SUMIFS('Existing Customers'!$V:$V,'Existing Customers'!$H:$H,$HF25,'Existing Customers'!$A:$A,$HG$1)*$HG$4,0),0)</f>
        <v>0</v>
      </c>
      <c r="HL25" s="96">
        <f>IFERROR(IF(AND($HG$2&lt;&gt;"Enter Spend&gt;&gt;&gt;",HH2="EXISTING"),SUMIFS('Existing Customers'!$R:$R,'Existing Customers'!$H:$H,$HF25,'Existing Customers'!$A:$A,$HG$1)*$HG$4,0),0)</f>
        <v>0</v>
      </c>
      <c r="HM25" s="1161">
        <f>IFERROR(IF(AND($HG$2&lt;&gt;"Enter Spend&gt;&gt;&gt;",HH2="EXISTING"),SUMIFS('Existing Customers'!$S:$S,'Existing Customers'!$H:$H,$HF25,'Existing Customers'!$A:$A,$HG$1),HW25*HG25),0)</f>
        <v>0</v>
      </c>
      <c r="HN25" s="1161">
        <f>IFERROR(IF(AND($HG$2&lt;&gt;"Enter Spend&gt;&gt;&gt;",HH2="EXISTING"),SUMIFS('Existing Customers'!$U:$U,'Existing Customers'!$H:$H,$HF25,'Existing Customers'!$A:$A,$HG$1),HX25*HG25),0)</f>
        <v>0</v>
      </c>
      <c r="HO25" s="1164" t="e">
        <f>_xlfn.CONCAT('Customer Inputs'!$AG$13,"_",HF25)</f>
        <v>#N/A</v>
      </c>
      <c r="HP25" s="1164">
        <f t="array" ref="HP25">IFERROR(INDEX('Margin Guidence Table'!$A$1:$AD$30000,MATCH(1,('Margin Guidence Table'!$A$1:$A$10000=HO25)*('Margin Guidence Table'!$I$1:$I$10000&lt;=ROUND($HG$3,0))*('Margin Guidence Table'!$J$1:$J$10000&gt;=ROUND($HG$3,0)),0),MATCH("DATA_POINTS",'Margin Guidence Table'!$A$1:$AG$1,0)),0)</f>
        <v>0</v>
      </c>
      <c r="HQ25" s="1161" t="str">
        <f t="shared" si="37"/>
        <v>DEFAULT</v>
      </c>
      <c r="HR25" s="1161">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161">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165">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165">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165">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165">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165">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165">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9"/>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96" t="e">
        <f t="shared" si="38"/>
        <v>#DIV/0!</v>
      </c>
      <c r="IC25" s="102" t="s">
        <v>93</v>
      </c>
      <c r="ID25" s="94">
        <f>IFERROR(IF(AND($ID$2&lt;&gt;"Enter Spend&gt;&gt;&gt;",IE13="EXISTING"),SUMIFS('Existing Customers'!$Q:$Q,'Existing Customers'!$A:$A,$ID$1,'Existing Customers'!$H:$H,$IC25)*$ID$4,$ID$3*$IB25),0)</f>
        <v>0</v>
      </c>
      <c r="IE25" s="89">
        <f>IFERROR(IF(AND($ID$2&lt;&gt;"Enter Spend&gt;&gt;&gt;",IE2="EXISTING"),SUMIFS('Existing Customers'!$N:$N,'Existing Customers'!$A:$A,$ID$1,'Existing Customers'!$H:$H,$IC25)*$ID$4,$ID25/$IO25),0)</f>
        <v>0</v>
      </c>
      <c r="IF25" s="95">
        <f>IFERROR(IF(AND($ID$2&lt;&gt;"Enter Spend&gt;&gt;&gt;",IE2="EXISTING"),SUMIFS('Existing Customers'!$O:$O,'Existing Customers'!$H:$H,$IC25,'Existing Customers'!$A:$A,$ID$1)*$ID$4,$IE25*$ID$8),0)</f>
        <v>0</v>
      </c>
      <c r="IG25" s="95">
        <f>IFERROR(IF(AND($ID$2&lt;&gt;"Enter Spend&gt;&gt;&gt;",IE2="EXISTING"),SUMIFS('Existing Customers'!$P:$P,'Existing Customers'!$A:$A,$ID$1,'Existing Customers'!$H:$H,$IC25)*$ID$4,$ID25/$IP25),0)</f>
        <v>0</v>
      </c>
      <c r="IH25" s="402">
        <f>IFERROR(IF(AND($ID$2&lt;&gt;"Enter Spend&gt;&gt;&gt;",IE2="EXISTING"),SUMIFS('Existing Customers'!$V:$V,'Existing Customers'!$H:$H,$IC25,'Existing Customers'!$A:$A,$ID$1)*$ID$4,0),0)</f>
        <v>0</v>
      </c>
      <c r="II25" s="96">
        <f>IFERROR(IF(AND($ID$2&lt;&gt;"Enter Spend&gt;&gt;&gt;",IE2="EXISTING"),SUMIFS('Existing Customers'!$R:$R,'Existing Customers'!$H:$H,$IC25,'Existing Customers'!$A:$A,$ID$1)*$ID$4,0),0)</f>
        <v>0</v>
      </c>
      <c r="IJ25" s="1161">
        <f>IFERROR(IF(AND($ID$2&lt;&gt;"Enter Spend&gt;&gt;&gt;",IE2="EXISTING"),SUMIFS('Existing Customers'!$S:$S,'Existing Customers'!$H:$H,$IC25,'Existing Customers'!$A:$A,$ID$1),IT25*ID25),0)</f>
        <v>0</v>
      </c>
      <c r="IK25" s="1161">
        <f>IFERROR(IF(AND($ID$2&lt;&gt;"Enter Spend&gt;&gt;&gt;",IE2="EXISTING"),SUMIFS('Existing Customers'!$U:$U,'Existing Customers'!$H:$H,$IC25,'Existing Customers'!$A:$A,$ID$1),IU25*ID25),0)</f>
        <v>0</v>
      </c>
      <c r="IL25" s="1164" t="e">
        <f>_xlfn.CONCAT('Customer Inputs'!$AG$14,"_",IC25)</f>
        <v>#N/A</v>
      </c>
      <c r="IM25" s="1164">
        <f t="array" ref="IM25">IFERROR(INDEX('Margin Guidence Table'!$A$1:$AD$30000,MATCH(1,('Margin Guidence Table'!$A$1:$A$10000=IL25)*('Margin Guidence Table'!$I$1:$I$10000&lt;=ROUND($ID$3,0))*('Margin Guidence Table'!$J$1:$J$10000&gt;=ROUND($ID$3,0)),0),MATCH("DATA_POINTS",'Margin Guidence Table'!$A$1:$AG$1,0)),0)</f>
        <v>0</v>
      </c>
      <c r="IN25" s="1161" t="str">
        <f t="shared" si="39"/>
        <v>DEFAULT</v>
      </c>
      <c r="IO25" s="1161">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161">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165">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165">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165">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165">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165">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165">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9"/>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96" t="e">
        <f t="shared" si="40"/>
        <v>#DIV/0!</v>
      </c>
      <c r="IZ25" s="102" t="s">
        <v>93</v>
      </c>
      <c r="JA25" s="94">
        <f>IFERROR(IF(AND($JA$2&lt;&gt;"Enter Spend&gt;&gt;&gt;",JB13="EXISTING"),SUMIFS('Existing Customers'!$Q:$Q,'Existing Customers'!$A:$A,$JA$1,'Existing Customers'!$H:$H,$IZ25)*$JA$4,$JA$3*$IY25),0)</f>
        <v>0</v>
      </c>
      <c r="JB25" s="89">
        <f>IFERROR(IF(AND($JA$2&lt;&gt;"Enter Spend&gt;&gt;&gt;",JB2="EXISTING"),SUMIFS('Existing Customers'!$N:$N,'Existing Customers'!$A:$A,$JA$1,'Existing Customers'!$H:$H,$IZ25)*$JA$4,$JA25/$JL25),0)</f>
        <v>0</v>
      </c>
      <c r="JC25" s="95">
        <f>IFERROR(IF(AND($JA$2&lt;&gt;"Enter Spend&gt;&gt;&gt;",JB2="EXISTING"),SUMIFS('Existing Customers'!$O:$O,'Existing Customers'!$H:$H,$IZ25,'Existing Customers'!$A:$A,$JA$1)*$JA$4,$JB25*$JA$8),0)</f>
        <v>0</v>
      </c>
      <c r="JD25" s="95">
        <f>IFERROR(IF(AND($JA$2&lt;&gt;"Enter Spend&gt;&gt;&gt;",JB2="EXISTING"),SUMIFS('Existing Customers'!$P:$P,'Existing Customers'!$A:$A,$JA$1,'Existing Customers'!$H:$H,$IZ25)*$JA$4,$JA25/$JM25),0)</f>
        <v>0</v>
      </c>
      <c r="JE25" s="402">
        <f>IFERROR(IF(AND($JA$2&lt;&gt;"Enter Spend&gt;&gt;&gt;",JB2="EXISTING"),SUMIFS('Existing Customers'!$V:$V,'Existing Customers'!$H:$H,$IZ25,'Existing Customers'!$A:$A,$JA$1)*$JA$4,0),0)</f>
        <v>0</v>
      </c>
      <c r="JF25" s="96">
        <f>IFERROR(IF(AND($JA$2&lt;&gt;"Enter Spend&gt;&gt;&gt;",JB2="EXISTING"),SUMIFS('Existing Customers'!$R:$R,'Existing Customers'!$H:$H,$IZ25,'Existing Customers'!$A:$A,$JA$1)*$JA$4,0),0)</f>
        <v>0</v>
      </c>
      <c r="JG25" s="1161">
        <f>IFERROR(IF(AND($JA$2&lt;&gt;"Enter Spend&gt;&gt;&gt;",JB2="EXISTING"),SUMIFS('Existing Customers'!$S:$S,'Existing Customers'!$H:$H,$IZ25,'Existing Customers'!$A:$A,$JA$1),JQ25*JA25),0)</f>
        <v>0</v>
      </c>
      <c r="JH25" s="1161">
        <f>IFERROR(IF(AND($JA$2&lt;&gt;"Enter Spend&gt;&gt;&gt;",JB2="EXISTING"),SUMIFS('Existing Customers'!$U:$U,'Existing Customers'!$H:$H,$IZ25,'Existing Customers'!$A:$A,$JA$1),JR25*JA25),0)</f>
        <v>0</v>
      </c>
      <c r="JI25" s="1164" t="e">
        <f>_xlfn.CONCAT('Customer Inputs'!$AG$15,"_",IZ25)</f>
        <v>#N/A</v>
      </c>
      <c r="JJ25" s="1164">
        <f t="array" ref="JJ25">IFERROR(INDEX('Margin Guidence Table'!$A$1:$AD$30000,MATCH(1,('Margin Guidence Table'!$A$1:$A$10000=JI25)*('Margin Guidence Table'!$I$1:$I$10000&lt;=ROUND($JA$3,0))*('Margin Guidence Table'!$J$1:$J$10000&gt;=ROUND($JA$3,0)),0),MATCH("DATA_POINTS",'Margin Guidence Table'!$A$1:$AG$1,0)),0)</f>
        <v>0</v>
      </c>
      <c r="JK25" s="1161" t="str">
        <f t="shared" si="41"/>
        <v>DEFAULT</v>
      </c>
      <c r="JL25" s="1161">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161">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165">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165">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165">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165">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165">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165">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102" t="s">
        <v>93</v>
      </c>
      <c r="JV25" s="97"/>
      <c r="JW25" s="89"/>
      <c r="JX25" s="89"/>
      <c r="JY25" s="89"/>
      <c r="JZ25" s="114"/>
      <c r="KA25" s="98"/>
      <c r="KB25" s="129"/>
      <c r="KD25" s="102" t="s">
        <v>93</v>
      </c>
      <c r="KE25" s="97"/>
      <c r="KF25" s="89"/>
      <c r="KG25" s="89"/>
      <c r="KH25" s="89"/>
      <c r="KI25" s="114"/>
      <c r="KJ25" s="98"/>
    </row>
    <row r="26" spans="2:296" ht="15.75" thickBot="1" x14ac:dyDescent="0.3">
      <c r="B26" s="102" t="s">
        <v>105</v>
      </c>
      <c r="C26" s="480">
        <f t="shared" si="7"/>
        <v>0</v>
      </c>
      <c r="D26" s="496">
        <f t="shared" si="8"/>
        <v>0</v>
      </c>
      <c r="E26" s="496">
        <f t="shared" si="9"/>
        <v>0</v>
      </c>
      <c r="F26" s="496">
        <f t="shared" si="10"/>
        <v>0</v>
      </c>
      <c r="G26" s="497">
        <f t="shared" si="11"/>
        <v>0</v>
      </c>
      <c r="H26" s="496">
        <f t="shared" si="12"/>
        <v>0</v>
      </c>
      <c r="I26" s="1157" t="e">
        <f>ROUND(SUM($BB26*BO26+$BY26*CL26+$CV26*DI26+$DS26*EF26+$EP26*FC26+$FM26*FZ26+$GJ26*GW26+$HG26*HT26+$ID26*IQ26+$JA26*JN26)/$C26,2)</f>
        <v>#DIV/0!</v>
      </c>
      <c r="J26" s="1157" t="e">
        <f>ROUND(SUM($BB26*BP26+$BY26*CM26+$CV26*DJ26+$DS26*EG26+$EP26*FD26+$FM26*GA26+$GJ26*GX26+$HG26*HU26+$ID26*IR26+$JA26*JO26)/$C26,2)</f>
        <v>#DIV/0!</v>
      </c>
      <c r="K26" s="1157" t="e">
        <f>ROUND(SUM($BB26*BQ26+$BY26*CN26+$CV26*DK26+$DS26*EH26+$EP26*FE26+$FM26*GB26+$GJ26*GY26+$HG26*HV26+$ID26*IS26+$JA26*JP26)/$C26,2)</f>
        <v>#DIV/0!</v>
      </c>
      <c r="L26" s="496" t="e">
        <f t="shared" si="0"/>
        <v>#DIV/0!</v>
      </c>
      <c r="M26" s="496" t="e">
        <f t="shared" si="13"/>
        <v>#DIV/0!</v>
      </c>
      <c r="N26" s="1158" t="e">
        <f t="shared" si="1"/>
        <v>#DIV/0!</v>
      </c>
      <c r="P26" t="str">
        <f>'PIM Model'!E22</f>
        <v>INCLUDE</v>
      </c>
      <c r="Q26">
        <f t="shared" si="14"/>
        <v>0</v>
      </c>
      <c r="R26">
        <f t="shared" si="15"/>
        <v>0</v>
      </c>
      <c r="S26" s="102" t="s">
        <v>105</v>
      </c>
      <c r="T26" s="97">
        <f t="shared" si="16"/>
        <v>0</v>
      </c>
      <c r="U26" s="89">
        <f t="shared" si="2"/>
        <v>0</v>
      </c>
      <c r="V26" s="89">
        <f t="shared" si="3"/>
        <v>0</v>
      </c>
      <c r="W26" s="89">
        <f t="shared" si="4"/>
        <v>0</v>
      </c>
      <c r="X26" s="114">
        <f t="shared" si="5"/>
        <v>0</v>
      </c>
      <c r="Y26" s="117">
        <f t="shared" si="17"/>
        <v>0</v>
      </c>
      <c r="Z26" s="400"/>
      <c r="AA26" s="102" t="s">
        <v>105</v>
      </c>
      <c r="AB26" s="484">
        <f>SUMIFS($BB26:$JF26,$BB$12:$JF$12,AB$12)</f>
        <v>0</v>
      </c>
      <c r="AC26" s="485">
        <f>SUMIFS($BB26:$JF26,$BB$12:$JF$12,AC$12)</f>
        <v>0</v>
      </c>
      <c r="AD26" s="485">
        <f>SUMIFS($BB26:$JF26,$BB$12:$JF$12,AD$12)</f>
        <v>0</v>
      </c>
      <c r="AE26" s="486">
        <f t="shared" si="18"/>
        <v>0</v>
      </c>
      <c r="AF26" s="487">
        <f t="shared" si="19"/>
        <v>0</v>
      </c>
      <c r="AG26" s="400"/>
      <c r="AH26" s="102" t="s">
        <v>105</v>
      </c>
      <c r="AI26" s="484">
        <f t="shared" si="6"/>
        <v>0</v>
      </c>
      <c r="AJ26" s="481">
        <f t="shared" si="20"/>
        <v>0</v>
      </c>
      <c r="AK26" s="487"/>
      <c r="AL26" s="400"/>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400">
        <f>VLOOKUP($AH26&amp;$AM26,'IMargin Quartiles'!$A:$F,6,FALSE)</f>
        <v>0.18</v>
      </c>
      <c r="AO26" s="400"/>
      <c r="AP26"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Q26" s="400" t="e">
        <f t="shared" si="21"/>
        <v>#DIV/0!</v>
      </c>
      <c r="AR26">
        <f>'PIM Model'!C22</f>
        <v>0</v>
      </c>
      <c r="AS26" s="400"/>
      <c r="AT26" s="400"/>
      <c r="AU26" s="400" t="e">
        <f t="shared" si="42"/>
        <v>#DIV/0!</v>
      </c>
      <c r="AV26" s="400"/>
      <c r="AW26" s="400"/>
      <c r="AX26" s="108">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96" t="e">
        <f t="shared" si="22"/>
        <v>#DIV/0!</v>
      </c>
      <c r="BA26" s="102" t="s">
        <v>105</v>
      </c>
      <c r="BB26" s="94">
        <f>IFERROR(IF(AND($BB$2&lt;&gt;"Enter Spend&gt;&gt;&gt;",BC14="EXISTING"),SUMIFS('Existing Customers'!$Q:$Q,'Existing Customers'!$A:$A,$BB$1,'Existing Customers'!$H:$H,$BA26)*$BB$4,$BB$3*$AZ26),0)</f>
        <v>0</v>
      </c>
      <c r="BC26" s="95">
        <f>IFERROR(IF(AND($BB$2&lt;&gt;"Enter Spend&gt;&gt;&gt;",BC2="EXISTING"),SUMIFS('Existing Customers'!$N:$N,'Existing Customers'!$A:$A,$BB$1,'Existing Customers'!$H:$H,$BA26)*$BB$4,$BB26/$BM26),0)</f>
        <v>0</v>
      </c>
      <c r="BD26" s="95">
        <f>IFERROR(IF(AND($BB$2&lt;&gt;"Enter Spend&gt;&gt;&gt;",BC2="EXISTING"),SUMIFS('Existing Customers'!$O:$O,'Existing Customers'!$H:$H,$BA26,'Existing Customers'!$A:$A,$BB$1)*$BB$4,$BC26*$BB$8),0)</f>
        <v>0</v>
      </c>
      <c r="BE26" s="95">
        <f>IFERROR(IF(AND($BB$2&lt;&gt;"Enter Spend&gt;&gt;&gt;",BC2="EXISTING"),SUMIFS('Existing Customers'!$P:$P,'Existing Customers'!$A:$A,$BB$1,'Existing Customers'!$H:$H,$BA26)*$BB$4,$BB26/$BN26),0)</f>
        <v>0</v>
      </c>
      <c r="BF26" s="402">
        <f>IFERROR(IF(AND($BB$2&lt;&gt;"Enter Spend&gt;&gt;&gt;",BC2="EXISTING"),SUMIFS('Existing Customers'!$V:$V,'Existing Customers'!$H:$H,$BA26,'Existing Customers'!$A:$A,$BB$1)*$BB$4,0),0)</f>
        <v>0</v>
      </c>
      <c r="BG26" s="96">
        <f>IFERROR(IF(AND($BB$2&lt;&gt;"Enter Spend&gt;&gt;&gt;",BC2="EXISTING"),SUMIFS('Existing Customers'!$R:$R,'Existing Customers'!$H:$H,$BA26,'Existing Customers'!$A:$A,$BB$1)*$BB$4,0),0)</f>
        <v>0</v>
      </c>
      <c r="BH26" s="96">
        <f>IFERROR(IF(AND($BB$2&lt;&gt;"Enter Spend&gt;&gt;&gt;",BC2="EXISTING"),SUMIFS('Existing Customers'!$S:$S,'Existing Customers'!$H:$H,$BA26,'Existing Customers'!$A:$A,$BB$1),BR26*BB26),0)</f>
        <v>0</v>
      </c>
      <c r="BI26" s="96">
        <f>IFERROR(IF(AND($BB$2&lt;&gt;"Enter Spend&gt;&gt;&gt;",BC2="EXISTING"),SUMIFS('Existing Customers'!$U:$U,'Existing Customers'!$H:$H,$BA26,'Existing Customers'!$A:$A,$BB$1),BS26*BB26),0)</f>
        <v>0</v>
      </c>
      <c r="BJ26" s="1163" t="e">
        <f>_xlfn.CONCAT('Customer Inputs'!$AG$6,"_",BA26)</f>
        <v>#N/A</v>
      </c>
      <c r="BK26" s="1164">
        <f t="array" ref="BK26">IFERROR(INDEX('Margin Guidence Table'!$A$1:$AD$30000,MATCH(1,('Margin Guidence Table'!$A$1:$A$10000=$BJ26)*('Margin Guidence Table'!$I$1:$I$10000&lt;=ROUND($BB$3,0))*('Margin Guidence Table'!$J$1:$J$10000&gt;=ROUND($BB$3,0)),0),MATCH("DATA_POINTS",'Margin Guidence Table'!$A$1:$AG$1,0)),0)</f>
        <v>0</v>
      </c>
      <c r="BL26" s="1161" t="str">
        <f t="shared" si="23"/>
        <v>DEFAULT</v>
      </c>
      <c r="BM26" s="1161">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161">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165">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165">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165">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165">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165">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165">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9"/>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96" t="e">
        <f t="shared" si="24"/>
        <v>#DIV/0!</v>
      </c>
      <c r="BX26" s="102" t="s">
        <v>105</v>
      </c>
      <c r="BY26" s="94">
        <f>IFERROR(IF(AND($BY$2&lt;&gt;"Enter Spend&gt;&gt;&gt;",BZ14="EXISTING"),SUMIFS('Existing Customers'!$Q:$Q,'Existing Customers'!$A:$A,$BY$1,'Existing Customers'!$H:$H,$BX26)*$BY$4,$BY$3*$BW26),0)</f>
        <v>0</v>
      </c>
      <c r="BZ26" s="89">
        <f>IFERROR(IF(AND($BY$2&lt;&gt;"Enter Spend&gt;&gt;&gt;",BZ2="EXISTING"),SUMIFS('Existing Customers'!$N:$N,'Existing Customers'!$A:$A,$BY$1,'Existing Customers'!$H:$H,$BX26)*$BY$4,$BY26/$CJ26),0)</f>
        <v>0</v>
      </c>
      <c r="CA26" s="95">
        <f>IFERROR(IF(AND($BY$2&lt;&gt;"Enter Spend&gt;&gt;&gt;",BZ2="EXISTING"),SUMIFS('Existing Customers'!$O:$O,'Existing Customers'!$H:$H,$BX26,'Existing Customers'!$A:$A,$BY$1)*$BY$4,$BZ26*$BY$8),0)</f>
        <v>0</v>
      </c>
      <c r="CB26" s="95">
        <f>IFERROR(IF(AND($BY$2&lt;&gt;"Enter Spend&gt;&gt;&gt;",BZ2="EXISTING"),SUMIFS('Existing Customers'!$P:$P,'Existing Customers'!$A:$A,$BY$1,'Existing Customers'!$H:$H,$BX26)*$BY$4,$BY26/$CK26),0)</f>
        <v>0</v>
      </c>
      <c r="CC26" s="96">
        <f>IFERROR(IF(AND($BY$2&lt;&gt;"Enter Spend&gt;&gt;&gt;",BZ2="EXISTING"),SUMIFS('Existing Customers'!$V:$V,'Existing Customers'!$H:$H,$BX26,'Existing Customers'!$A:$A,$BY$1)*$BY$4,0),0)</f>
        <v>0</v>
      </c>
      <c r="CD26" s="96">
        <f>IFERROR(IF(AND($BY$2&lt;&gt;"Enter Spend&gt;&gt;&gt;",BZ2="EXISTING"),SUMIFS('Existing Customers'!$R:$R,'Existing Customers'!$H:$H,$BX26,'Existing Customers'!$A:$A,$BY$1)*$BY$4,0),0)</f>
        <v>0</v>
      </c>
      <c r="CE26" s="1161">
        <f>IFERROR(IF(AND($BY$2&lt;&gt;"Enter Spend&gt;&gt;&gt;",BZ2="EXISTING"),SUMIFS('Existing Customers'!$S:$S,'Existing Customers'!$H:$H,$BX26,'Existing Customers'!$A:$A,$BY$1),CO26*BY26),0)</f>
        <v>0</v>
      </c>
      <c r="CF26" s="1161">
        <f>IFERROR(IF(AND($BY$2&lt;&gt;"Enter Spend&gt;&gt;&gt;",BZ2="EXISTING"),SUMIFS('Existing Customers'!$U:$U,'Existing Customers'!$H:$H,$BX26,'Existing Customers'!$A:$A,$BY$1),CP26*BY26),0)</f>
        <v>0</v>
      </c>
      <c r="CG26" s="1164" t="e">
        <f>_xlfn.CONCAT('Customer Inputs'!$AG$7,"_",BX26)</f>
        <v>#N/A</v>
      </c>
      <c r="CH26" s="1164">
        <f t="array" ref="CH26">IFERROR(INDEX('Margin Guidence Table'!$A$1:$AD$30000,MATCH(1,('Margin Guidence Table'!$A$1:$A$10000=$CG26)*('Margin Guidence Table'!$I$1:$I$10000&lt;=ROUND($BY$3,0))*('Margin Guidence Table'!$J$1:$J$10000&gt;=ROUND($BY$3,0)),0),MATCH("DATA_POINTS",'Margin Guidence Table'!$A$1:$AG$1,0)),0)</f>
        <v>0</v>
      </c>
      <c r="CI26" s="1161" t="str">
        <f t="shared" si="25"/>
        <v>DEFAULT</v>
      </c>
      <c r="CJ26" s="1161">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161">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165">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165">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165">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165">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165">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165">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9"/>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96" t="e">
        <f t="shared" si="26"/>
        <v>#DIV/0!</v>
      </c>
      <c r="CU26" s="102" t="s">
        <v>105</v>
      </c>
      <c r="CV26" s="94">
        <f>IFERROR(IF(AND($CV$2&lt;&gt;"Enter Spend&gt;&gt;&gt;",CW14="EXISTING"),SUMIFS('Existing Customers'!$Q:$Q,'Existing Customers'!$A:$A,$CV$1,'Existing Customers'!$H:$H,$CU26)*$CV$4,$CV$3*$CT26),0)</f>
        <v>0</v>
      </c>
      <c r="CW26" s="89">
        <f>IFERROR(IF(AND($CV$2&lt;&gt;"Enter Spend&gt;&gt;&gt;",CW2="EXISTING"),SUMIFS('Existing Customers'!$N:$N,'Existing Customers'!$A:$A,$CV$1,'Existing Customers'!$H:$H,$CU26)*$CV$4,$CV26/$DG26),0)</f>
        <v>0</v>
      </c>
      <c r="CX26" s="95">
        <f>IFERROR(IF(AND($CV$2&lt;&gt;"Enter Spend&gt;&gt;&gt;",BC28="EXISTING"),SUMIFS('Existing Customers'!$O:$O,'Existing Customers'!$H:$H,$CU26,'Existing Customers'!$A:$A,$CV$1)*$CV$4,$CW26*$CV$8),0)</f>
        <v>0</v>
      </c>
      <c r="CY26" s="95">
        <f>IFERROR(IF(AND($CV$2&lt;&gt;"Enter Spend&gt;&gt;&gt;",CW2="EXISTING"),SUMIFS('Existing Customers'!$P:$P,'Existing Customers'!$A:$A,$CV$1,'Existing Customers'!$H:$H,$CU26)*$CV$4,$CV26/$DH26),0)</f>
        <v>0</v>
      </c>
      <c r="CZ26" s="96">
        <f>IFERROR(IF(AND($CV$2&lt;&gt;"Enter Spend&gt;&gt;&gt;",CW2="EXISTING"),SUMIFS('Existing Customers'!$V:$V,'Existing Customers'!$H:$H,$CU26,'Existing Customers'!$A:$A,$CV$1)*$CV$4,0),0)</f>
        <v>0</v>
      </c>
      <c r="DA26" s="96">
        <f>IFERROR(IF(AND($CV$2&lt;&gt;"Enter Spend&gt;&gt;&gt;",CW2="EXISTING"),SUMIFS('Existing Customers'!$R:$R,'Existing Customers'!$H:$H,$BA26,'Existing Customers'!$A:$A,$CV$1)*$CV$4,0),0)</f>
        <v>0</v>
      </c>
      <c r="DB26" s="1161">
        <f>IFERROR(IF(AND($CV$2&lt;&gt;"Enter Spend&gt;&gt;&gt;",CW2="EXISTING"),SUMIFS('Existing Customers'!$S:$S,'Existing Customers'!$H:$H,$CU26,'Existing Customers'!$A:$A,$CV$1),DL26*CV26),0)</f>
        <v>0</v>
      </c>
      <c r="DC26" s="1161">
        <f>IFERROR(IF(AND($CV$2&lt;&gt;"Enter Spend&gt;&gt;&gt;",CW2="EXISTING"),SUMIFS('Existing Customers'!$U:$U,'Existing Customers'!$H:$H,$CU26,'Existing Customers'!$A:$A,$CV$1),DM26*CV26),0)</f>
        <v>0</v>
      </c>
      <c r="DD26" s="1164" t="e">
        <f>_xlfn.CONCAT('Customer Inputs'!$AG$8,"_",CU26)</f>
        <v>#N/A</v>
      </c>
      <c r="DE26" s="1164">
        <f t="array" ref="DE26">IFERROR(INDEX('Margin Guidence Table'!$A$1:$AD$30000,MATCH(1,('Margin Guidence Table'!$A$1:$A$10000=DD26)*('Margin Guidence Table'!$I$1:$I$10000&lt;=ROUND($CV$3,0))*('Margin Guidence Table'!$J$1:$J$10000&gt;=ROUND($CV$3,0)),0),MATCH("DATA_POINTS",'Margin Guidence Table'!$A$1:$AG$1,0)),0)</f>
        <v>0</v>
      </c>
      <c r="DF26" s="1161" t="str">
        <f t="shared" si="27"/>
        <v>DEFAULT</v>
      </c>
      <c r="DG26" s="1161">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161">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165">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165">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165">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165">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165">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165">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9"/>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96" t="e">
        <f t="shared" si="28"/>
        <v>#DIV/0!</v>
      </c>
      <c r="DR26" s="102" t="s">
        <v>105</v>
      </c>
      <c r="DS26" s="94">
        <f>IFERROR(IF(AND($DS$2&lt;&gt;"Enter Spend&gt;&gt;&gt;",DT14="EXISTING"),SUMIFS('Existing Customers'!$Q:$Q,'Existing Customers'!$A:$A,$DS$1,'Existing Customers'!$H:$H,$DR26)*$DS$4,$DS$3*$DQ26),0)</f>
        <v>0</v>
      </c>
      <c r="DT26" s="89">
        <f>IFERROR(IF(AND($DS$2&lt;&gt;"Enter Spend&gt;&gt;&gt;",DT2="EXISTING"),SUMIFS('Existing Customers'!$N:$N,'Existing Customers'!$A:$A,$DS$1,'Existing Customers'!$H:$H,$DR26)*$DS$4,$DS26/$ED26),0)</f>
        <v>0</v>
      </c>
      <c r="DU26" s="95">
        <f>IFERROR(IF(AND($DS$2&lt;&gt;"Enter Spend&gt;&gt;&gt;",DT2="EXISTING"),SUMIFS('Existing Customers'!$O:$O,'Existing Customers'!$H:$H,$DR26,'Existing Customers'!$A:$A,$DS$1)*$DS$4,$DT26*$DS$8),0)</f>
        <v>0</v>
      </c>
      <c r="DV26" s="95">
        <f>IFERROR(IF(AND($DS$2&lt;&gt;"Enter Spend&gt;&gt;&gt;",DT2="EXISTING"),SUMIFS('Existing Customers'!$P:$P,'Existing Customers'!$A:$A,$DS$1,'Existing Customers'!$H:$H,$DR26)*$DS$4,$DS26/$EE26),0)</f>
        <v>0</v>
      </c>
      <c r="DW26" s="96">
        <f>IFERROR(IF(AND($DS$2&lt;&gt;"Enter Spend&gt;&gt;&gt;",EQ2="EXISTING"),SUMIFS('Existing Customers'!$V:$V,'Existing Customers'!$H:$H,$DR26,'Existing Customers'!$A:$A,$DS$1)*$DS$4,0),0)</f>
        <v>0</v>
      </c>
      <c r="DX26" s="96">
        <f>IFERROR(IF(AND($DS$2&lt;&gt;"Enter Spend&gt;&gt;&gt;",DT2="EXISTING"),SUMIFS('Existing Customers'!$R:$R,'Existing Customers'!$H:$H,$DR26,'Existing Customers'!$A:$A,$DS$1)*$DS$4,0),0)</f>
        <v>0</v>
      </c>
      <c r="DY26" s="1161">
        <f>IFERROR(IF(AND($DS$2&lt;&gt;"Enter Spend&gt;&gt;&gt;",DT2="EXISTING"),SUMIFS('Existing Customers'!$S:$S,'Existing Customers'!$H:$H,$DT26,'Existing Customers'!$A:$A,$DS$1),EI26*DS26),0)</f>
        <v>0</v>
      </c>
      <c r="DZ26" s="1161">
        <f>IFERROR(IF(AND($DS$2&lt;&gt;"Enter Spend&gt;&gt;&gt;",DT2="EXISTING"),SUMIFS('Existing Customers'!$U:$U,'Existing Customers'!$H:$H,$DR26,'Existing Customers'!$A:$A,$DS$1),EJ26*DS26),0)</f>
        <v>0</v>
      </c>
      <c r="EA26" s="1164" t="e">
        <f>_xlfn.CONCAT('Customer Inputs'!$AG$9,"_",DR26)</f>
        <v>#N/A</v>
      </c>
      <c r="EB26" s="1164">
        <f t="array" ref="EB26">IFERROR(INDEX('Margin Guidence Table'!$A$1:$AD$30000,MATCH(1,('Margin Guidence Table'!$A$1:$A$10000=EA26)*('Margin Guidence Table'!$I$1:$I$10000&lt;=ROUND($DS$3,0))*('Margin Guidence Table'!$J$1:$J$10000&gt;=ROUND($DS$3,0)),0),MATCH("DATA_POINTS",'Margin Guidence Table'!$A$1:$AG$1,0)),0)</f>
        <v>0</v>
      </c>
      <c r="EC26" s="1161" t="str">
        <f t="shared" si="29"/>
        <v>DEFAULT</v>
      </c>
      <c r="ED26" s="1161">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161">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165">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165">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165">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165">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165">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165">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9"/>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96" t="e">
        <f t="shared" si="30"/>
        <v>#DIV/0!</v>
      </c>
      <c r="EO26" s="102" t="s">
        <v>105</v>
      </c>
      <c r="EP26" s="94">
        <f>IFERROR(IF(AND($EP$2&lt;&gt;"Enter Spend&gt;&gt;&gt;",EQ14="EXISTING"),SUMIFS('Existing Customers'!$Q:$Q,'Existing Customers'!$A:$A,$EP$1,'Existing Customers'!$H:$H,$EO26)*$EP$4,$EP$3*$EN26),0)</f>
        <v>0</v>
      </c>
      <c r="EQ26" s="89">
        <f>IFERROR(IF(AND($EP$2&lt;&gt;"Enter Spend&gt;&gt;&gt;",EQ2="EXISTING"),SUMIFS('Existing Customers'!$N:$N,'Existing Customers'!$A:$A,$EP$1,'Existing Customers'!$H:$H,$EO26)*$EP$4,$EP26/$FA26),0)</f>
        <v>0</v>
      </c>
      <c r="ER26" s="95">
        <f>IFERROR(IF(AND($EP$2&lt;&gt;"Enter Spend&gt;&gt;&gt;",EQ2="EXISTING"),SUMIFS('Existing Customers'!$O:$O,'Existing Customers'!$H:$H,$EO26,'Existing Customers'!$A:$A,$EP$1)*$EP$4,$EQ26*$EP$8),0)</f>
        <v>0</v>
      </c>
      <c r="ES26" s="95">
        <f>IFERROR(IF(AND($EP$2&lt;&gt;"Enter Spend&gt;&gt;&gt;",EQ2="EXISTING"),SUMIFS('Existing Customers'!$P:$P,'Existing Customers'!$A:$A,$EP$1,'Existing Customers'!$H:$H,$EO26)*$EP$4,$EP26/$FB26),0)</f>
        <v>0</v>
      </c>
      <c r="ET26" s="96">
        <f>IFERROR(IF(AND($EP$2&lt;&gt;"Enter Spend&gt;&gt;&gt;",EQ2="EXISTING"),SUMIFS('Existing Customers'!$V:$V,'Existing Customers'!$H:$H,$EO26,'Existing Customers'!$A:$A,$EP$1)*$EP$4,0),0)</f>
        <v>0</v>
      </c>
      <c r="EU26" s="96">
        <f>IFERROR(IF(AND($EP$2&lt;&gt;"Enter Spend&gt;&gt;&gt;",EQ2="EXISTING"),SUMIFS('Existing Customers'!$R:$R,'Existing Customers'!$H:$H,$EO26,'Existing Customers'!$A:$A,$EP$1)*$EP$4,0),0)</f>
        <v>0</v>
      </c>
      <c r="EV26" s="1161">
        <f>IFERROR(IF(AND($EP$2&lt;&gt;"Enter Spend&gt;&gt;&gt;",EQ2="EXISTING"),SUMIFS('Existing Customers'!$S:$S,'Existing Customers'!$H:$H,$EO26,'Existing Customers'!$A:$A,$EP$1),FF26*EP26),0)</f>
        <v>0</v>
      </c>
      <c r="EW26" s="1161">
        <f>IFERROR(IF(AND($EP$2&lt;&gt;"Enter Spend&gt;&gt;&gt;",EQ2="EXISTING"),SUMIFS('Existing Customers'!$U:$U,'Existing Customers'!$H:$H,$EO26,'Existing Customers'!$A:$A,$EP$1),FG26*EP26),0)</f>
        <v>0</v>
      </c>
      <c r="EX26" s="1164" t="e">
        <f>_xlfn.CONCAT('Customer Inputs'!$AG$10,"_",EO26)</f>
        <v>#N/A</v>
      </c>
      <c r="EY26" s="1164">
        <f t="array" ref="EY26">IFERROR(INDEX('Margin Guidence Table'!$A$1:$AD$30000,MATCH(1,('Margin Guidence Table'!$A$1:$A$10000=EX26)*('Margin Guidence Table'!$I$1:$I$10000&lt;=ROUND($EP$3,0))*('Margin Guidence Table'!$J$1:$J$10000&gt;=ROUND($EP$3,0)),0),MATCH("DATA_POINTS",'Margin Guidence Table'!$A$1:$AG$1,0)),0)</f>
        <v>0</v>
      </c>
      <c r="EZ26" s="1161" t="str">
        <f t="shared" si="31"/>
        <v>DEFAULT</v>
      </c>
      <c r="FA26" s="1161">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161"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165">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165">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165">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165">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165">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165">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9"/>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96" t="e">
        <f t="shared" si="32"/>
        <v>#DIV/0!</v>
      </c>
      <c r="FL26" s="102" t="s">
        <v>105</v>
      </c>
      <c r="FM26" s="94">
        <f>IFERROR(IF(AND($FM$2&lt;&gt;"Enter Spend&gt;&gt;&gt;",FN14="EXISTING"),SUMIFS('Existing Customers'!$Q:$Q,'Existing Customers'!$A:$A,$FM$1,'Existing Customers'!$H:$H,$FL26)*$FM$4,$FM$3*$FK26),0)</f>
        <v>0</v>
      </c>
      <c r="FN26" s="89">
        <f>IFERROR(IF(AND($FM$2&lt;&gt;"Enter Spend&gt;&gt;&gt;",FN2="EXISTING"),SUMIFS('Existing Customers'!$N:$N,'Existing Customers'!$A:$A,$FM$1,'Existing Customers'!$H:$H,$FL26)*$FM$4,$FM26/$FX26),0)</f>
        <v>0</v>
      </c>
      <c r="FO26" s="95">
        <f>IFERROR(IF(AND($FM$2&lt;&gt;"Enter Spend&gt;&gt;&gt;",FN2="EXISTING"),SUMIFS('Existing Customers'!$O:$O,'Existing Customers'!$H:$H,$FL26,'Existing Customers'!$A:$A,$FM$1)*$FM$4,$FN26*$FM$8),0)</f>
        <v>0</v>
      </c>
      <c r="FP26" s="95">
        <f>IFERROR(IF(AND($FM$2&lt;&gt;"Enter Spend&gt;&gt;&gt;",FN2="EXISTING"),SUMIFS('Existing Customers'!$P:$P,'Existing Customers'!$A:$A,$FM$1,'Existing Customers'!$H:$H,$FL26)*$FM$4,$FM26/$FY26),0)</f>
        <v>0</v>
      </c>
      <c r="FQ26" s="96">
        <f>IFERROR(IF(AND($FM$2&lt;&gt;"Enter Spend&gt;&gt;&gt;",FN2="EXISTING"),SUMIFS('Existing Customers'!$V:$V,'Existing Customers'!$H:$H,$FL26,'Existing Customers'!$A:$A,$FM$1)*$FM$4,0),0)</f>
        <v>0</v>
      </c>
      <c r="FR26" s="96">
        <f>IFERROR(IF(AND($FM$2&lt;&gt;"Enter Spend&gt;&gt;&gt;",FN2="EXISTING"),SUMIFS('Existing Customers'!$R:$R,'Existing Customers'!$H:$H,$FL26,'Existing Customers'!$A:$A,$FM$1)*$FM$4,0),0)</f>
        <v>0</v>
      </c>
      <c r="FS26" s="1161">
        <f>IFERROR(IF(AND($FM$2&lt;&gt;"Enter Spend&gt;&gt;&gt;",FN2="EXISTING"),SUMIFS('Existing Customers'!$S:$S,'Existing Customers'!$H:$H,$FL26,'Existing Customers'!$A:$A,$FM$1),GC26*FM26),0)</f>
        <v>0</v>
      </c>
      <c r="FT26" s="1161">
        <f>IFERROR(IF(AND($FM$2&lt;&gt;"Enter Spend&gt;&gt;&gt;",FN2="EXISTING"),SUMIFS('Existing Customers'!$U:$U,'Existing Customers'!$H:$H,$FL26,'Existing Customers'!$A:$A,$FM$1),GD26*FM26),0)</f>
        <v>0</v>
      </c>
      <c r="FU26" s="1164" t="e">
        <f>_xlfn.CONCAT('Customer Inputs'!$AG$11,"_",FL26)</f>
        <v>#N/A</v>
      </c>
      <c r="FV26" s="1164">
        <f t="array" ref="FV26">IFERROR(INDEX('Margin Guidence Table'!$A$1:$AD$30000,MATCH(1,('Margin Guidence Table'!$A$1:$A$10000=FU26)*('Margin Guidence Table'!$I$1:$I$10000&lt;=ROUND($FM$3,0))*('Margin Guidence Table'!$J$1:$J$10000&gt;=ROUND($FM$3,0)),0),MATCH("DATA_POINTS",'Margin Guidence Table'!$A$1:$AG$1,0)),0)</f>
        <v>0</v>
      </c>
      <c r="FW26" s="1161" t="str">
        <f t="shared" si="33"/>
        <v>DEFAULT</v>
      </c>
      <c r="FX26" s="1161">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161">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165">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165">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165">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165">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165">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165">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9"/>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96" t="e">
        <f t="shared" si="34"/>
        <v>#DIV/0!</v>
      </c>
      <c r="GI26" s="102" t="s">
        <v>105</v>
      </c>
      <c r="GJ26" s="94">
        <f>IFERROR(IF(AND($GJ$2&lt;&gt;"Enter Spend&gt;&gt;&gt;",GK14="EXISTING"),SUMIFS('Existing Customers'!$Q:$Q,'Existing Customers'!$A:$A,$GJ$1,'Existing Customers'!$H:$H,$GI26)*$GJ$4,$GJ$3*$GH26),0)</f>
        <v>0</v>
      </c>
      <c r="GK26" s="89">
        <f>IFERROR(IF(AND($GJ$2&lt;&gt;"Enter Spend&gt;&gt;&gt;",GK2="EXISTING"),SUMIFS('Existing Customers'!$N:$N,'Existing Customers'!$A:$A,$GJ$1,'Existing Customers'!$H:$H,$GI26)*$GJ$4,$GJ26/$GU26),0)</f>
        <v>0</v>
      </c>
      <c r="GL26" s="95">
        <f>IFERROR(IF(AND($GJ$2&lt;&gt;"Enter Spend&gt;&gt;&gt;",GK2="EXISTING"),SUMIFS('Existing Customers'!$O:$O,'Existing Customers'!$H:$H,$GI26,'Existing Customers'!$A:$A,$GJ$1)*$GJ$4,$GK26*$GJ$8),0)</f>
        <v>0</v>
      </c>
      <c r="GM26" s="95">
        <f>IFERROR(IF(AND($GJ$2&lt;&gt;"Enter Spend&gt;&gt;&gt;",GK2="EXISTING"),SUMIFS('Existing Customers'!$P:$P,'Existing Customers'!$A:$A,$GJ$1,'Existing Customers'!$H:$H,$GI26)*$GJ$4,$GJ26/$GV26),0)</f>
        <v>0</v>
      </c>
      <c r="GN26" s="96">
        <f>IFERROR(IF(AND($GJ$2&lt;&gt;"Enter Spend&gt;&gt;&gt;",GK2="EXISTING"),SUMIFS('Existing Customers'!$V:$V,'Existing Customers'!$H:$H,$GI26,'Existing Customers'!$A:$A,$GJ$1)*$GJ$4,0),0)</f>
        <v>0</v>
      </c>
      <c r="GO26" s="96">
        <f>IFERROR(IF(AND($GJ$2&lt;&gt;"Enter Spend&gt;&gt;&gt;",GK2="EXISTING"),SUMIFS('Existing Customers'!$R:$R,'Existing Customers'!$H:$H,$GI26,'Existing Customers'!$A:$A,$GJ$1)*$GJ$4,0),0)</f>
        <v>0</v>
      </c>
      <c r="GP26" s="1161">
        <f>IFERROR(IF(AND($GJ$2&lt;&gt;"Enter Spend&gt;&gt;&gt;",GK2="EXISTING"),SUMIFS('Existing Customers'!$S:$S,'Existing Customers'!$H:$H,$GI26,'Existing Customers'!$A:$A,$GJ$1),GZ26*GJ26),0)</f>
        <v>0</v>
      </c>
      <c r="GQ26" s="1161">
        <f>IFERROR(IF(AND($GJ$2&lt;&gt;"Enter Spend&gt;&gt;&gt;",GK2="EXISTING"),SUMIFS('Existing Customers'!$U:$U,'Existing Customers'!$H:$H,$GI26,'Existing Customers'!$A:$A,$GJ$1),HA26*GJ26),0)</f>
        <v>0</v>
      </c>
      <c r="GR26" s="1164" t="e">
        <f>_xlfn.CONCAT('Customer Inputs'!$AG$12,"_",GI26)</f>
        <v>#N/A</v>
      </c>
      <c r="GS26" s="1164">
        <f t="array" ref="GS26">IFERROR(INDEX('Margin Guidence Table'!$A$1:$AD$30000,MATCH(1,('Margin Guidence Table'!$A$1:$A$10000=GR26)*('Margin Guidence Table'!$I$1:$I$10000&lt;=ROUND($GJ$3,0))*('Margin Guidence Table'!$J$1:$J$10000&gt;=ROUND($GJ$3,0)),0),MATCH("DATA_POINTS",'Margin Guidence Table'!$A$1:$AG$1,0)),0)</f>
        <v>0</v>
      </c>
      <c r="GT26" s="1161" t="str">
        <f t="shared" si="35"/>
        <v>DEFAULT</v>
      </c>
      <c r="GU26" s="1161">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161">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165">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165">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165">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165">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165">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165">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9"/>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96" t="e">
        <f t="shared" si="36"/>
        <v>#DIV/0!</v>
      </c>
      <c r="HF26" s="102" t="s">
        <v>105</v>
      </c>
      <c r="HG26" s="94">
        <f>IFERROR(IF(AND($HG$2&lt;&gt;"Enter Spend&gt;&gt;&gt;",HH14="EXISTING"),SUMIFS('Existing Customers'!$Q:$Q,'Existing Customers'!$A:$A,$HG$1,'Existing Customers'!$H:$H,$HF26)*$HG$4,$HG$3*$HE26),0)</f>
        <v>0</v>
      </c>
      <c r="HH26" s="89">
        <f>IFERROR(IF(AND($HG$2&lt;&gt;"Enter Spend&gt;&gt;&gt;",HH2="EXISTING"),SUMIFS('Existing Customers'!$N:$N,'Existing Customers'!$A:$A,$HG$1,'Existing Customers'!$H:$H,$HF26)*$HG$4,$HG26/$HR26),0)</f>
        <v>0</v>
      </c>
      <c r="HI26" s="95">
        <f>IFERROR(IF(AND($HG$2&lt;&gt;"Enter Spend&gt;&gt;&gt;",HH2="EXISTING"),SUMIFS('Existing Customers'!$O:$O,'Existing Customers'!$H:$H,$HF26,'Existing Customers'!$A:$A,$HG$1)*$HG$4,$HH26*$HG$8),0)</f>
        <v>0</v>
      </c>
      <c r="HJ26" s="95">
        <f>IFERROR(IF(AND($HG$2&lt;&gt;"Enter Spend&gt;&gt;&gt;",HH2="EXISTING"),SUMIFS('Existing Customers'!$P:$P,'Existing Customers'!$A:$A,$HG$1,'Existing Customers'!$H:$H,$HF26)*$HG$4,$HG26/$HS26),0)</f>
        <v>0</v>
      </c>
      <c r="HK26" s="96">
        <f>IFERROR(IF(AND($HG$2&lt;&gt;"Enter Spend&gt;&gt;&gt;",HH2="EXISTING"),SUMIFS('Existing Customers'!$V:$V,'Existing Customers'!$H:$H,$HF26,'Existing Customers'!$A:$A,$HG$1)*$HG$4,0),0)</f>
        <v>0</v>
      </c>
      <c r="HL26" s="96">
        <f>IFERROR(IF(AND($HG$2&lt;&gt;"Enter Spend&gt;&gt;&gt;",HH2="EXISTING"),SUMIFS('Existing Customers'!$R:$R,'Existing Customers'!$H:$H,$HF26,'Existing Customers'!$A:$A,$HG$1)*$HG$4,0),0)</f>
        <v>0</v>
      </c>
      <c r="HM26" s="1161">
        <f>IFERROR(IF(AND($HG$2&lt;&gt;"Enter Spend&gt;&gt;&gt;",HH2="EXISTING"),SUMIFS('Existing Customers'!$S:$S,'Existing Customers'!$H:$H,$HF26,'Existing Customers'!$A:$A,$HG$1),HW26*HG26),0)</f>
        <v>0</v>
      </c>
      <c r="HN26" s="1161">
        <f>IFERROR(IF(AND($HG$2&lt;&gt;"Enter Spend&gt;&gt;&gt;",HH2="EXISTING"),SUMIFS('Existing Customers'!$U:$U,'Existing Customers'!$H:$H,$HF26,'Existing Customers'!$A:$A,$HG$1),HX26*HG26),0)</f>
        <v>0</v>
      </c>
      <c r="HO26" s="1164" t="e">
        <f>_xlfn.CONCAT('Customer Inputs'!$AG$13,"_",HF26)</f>
        <v>#N/A</v>
      </c>
      <c r="HP26" s="1164">
        <f t="array" ref="HP26">IFERROR(INDEX('Margin Guidence Table'!$A$1:$AD$30000,MATCH(1,('Margin Guidence Table'!$A$1:$A$10000=HO26)*('Margin Guidence Table'!$I$1:$I$10000&lt;=ROUND($HG$3,0))*('Margin Guidence Table'!$J$1:$J$10000&gt;=ROUND($HG$3,0)),0),MATCH("DATA_POINTS",'Margin Guidence Table'!$A$1:$AG$1,0)),0)</f>
        <v>0</v>
      </c>
      <c r="HQ26" s="1161" t="str">
        <f t="shared" si="37"/>
        <v>DEFAULT</v>
      </c>
      <c r="HR26" s="1161">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161">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165">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165">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165">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165">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165">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165">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9"/>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96" t="e">
        <f t="shared" si="38"/>
        <v>#DIV/0!</v>
      </c>
      <c r="IC26" s="102" t="s">
        <v>105</v>
      </c>
      <c r="ID26" s="94">
        <f>IFERROR(IF(AND($ID$2&lt;&gt;"Enter Spend&gt;&gt;&gt;",IE14="EXISTING"),SUMIFS('Existing Customers'!$Q:$Q,'Existing Customers'!$A:$A,$ID$1,'Existing Customers'!$H:$H,$IC26)*$ID$4,$ID$3*$IB26),0)</f>
        <v>0</v>
      </c>
      <c r="IE26" s="89">
        <f>IFERROR(IF(AND($ID$2&lt;&gt;"Enter Spend&gt;&gt;&gt;",IE2="EXISTING"),SUMIFS('Existing Customers'!$N:$N,'Existing Customers'!$A:$A,$ID$1,'Existing Customers'!$H:$H,$IC26)*$ID$4,$ID26/$IO26),0)</f>
        <v>0</v>
      </c>
      <c r="IF26" s="95">
        <f>IFERROR(IF(AND($ID$2&lt;&gt;"Enter Spend&gt;&gt;&gt;",IE2="EXISTING"),SUMIFS('Existing Customers'!$O:$O,'Existing Customers'!$H:$H,$IC26,'Existing Customers'!$A:$A,$ID$1)*$ID$4,$IE26*$ID$8),0)</f>
        <v>0</v>
      </c>
      <c r="IG26" s="95">
        <f>IFERROR(IF(AND($ID$2&lt;&gt;"Enter Spend&gt;&gt;&gt;",IE2="EXISTING"),SUMIFS('Existing Customers'!$P:$P,'Existing Customers'!$A:$A,$ID$1,'Existing Customers'!$H:$H,$IC26)*$ID$4,$ID26/$IP26),0)</f>
        <v>0</v>
      </c>
      <c r="IH26" s="402">
        <f>IFERROR(IF(AND($ID$2&lt;&gt;"Enter Spend&gt;&gt;&gt;",IE2="EXISTING"),SUMIFS('Existing Customers'!$V:$V,'Existing Customers'!$H:$H,$IC26,'Existing Customers'!$A:$A,$ID$1)*$ID$4,0),0)</f>
        <v>0</v>
      </c>
      <c r="II26" s="96">
        <f>IFERROR(IF(AND($ID$2&lt;&gt;"Enter Spend&gt;&gt;&gt;",IE2="EXISTING"),SUMIFS('Existing Customers'!$R:$R,'Existing Customers'!$H:$H,$IC26,'Existing Customers'!$A:$A,$ID$1)*$ID$4,0),0)</f>
        <v>0</v>
      </c>
      <c r="IJ26" s="1161">
        <f>IFERROR(IF(AND($ID$2&lt;&gt;"Enter Spend&gt;&gt;&gt;",IE2="EXISTING"),SUMIFS('Existing Customers'!$S:$S,'Existing Customers'!$H:$H,$IC26,'Existing Customers'!$A:$A,$ID$1),IT26*ID26),0)</f>
        <v>0</v>
      </c>
      <c r="IK26" s="1161">
        <f>IFERROR(IF(AND($ID$2&lt;&gt;"Enter Spend&gt;&gt;&gt;",IE2="EXISTING"),SUMIFS('Existing Customers'!$U:$U,'Existing Customers'!$H:$H,$IC26,'Existing Customers'!$A:$A,$ID$1),IU26*ID26),0)</f>
        <v>0</v>
      </c>
      <c r="IL26" s="1164" t="e">
        <f>_xlfn.CONCAT('Customer Inputs'!$AG$14,"_",IC26)</f>
        <v>#N/A</v>
      </c>
      <c r="IM26" s="1164">
        <f t="array" ref="IM26">IFERROR(INDEX('Margin Guidence Table'!$A$1:$AD$30000,MATCH(1,('Margin Guidence Table'!$A$1:$A$10000=IL26)*('Margin Guidence Table'!$I$1:$I$10000&lt;=ROUND($ID$3,0))*('Margin Guidence Table'!$J$1:$J$10000&gt;=ROUND($ID$3,0)),0),MATCH("DATA_POINTS",'Margin Guidence Table'!$A$1:$AG$1,0)),0)</f>
        <v>0</v>
      </c>
      <c r="IN26" s="1161" t="str">
        <f t="shared" si="39"/>
        <v>DEFAULT</v>
      </c>
      <c r="IO26" s="1161">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161">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165">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165">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165">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165">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165">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165">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9"/>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96" t="e">
        <f t="shared" si="40"/>
        <v>#DIV/0!</v>
      </c>
      <c r="IZ26" s="102" t="s">
        <v>105</v>
      </c>
      <c r="JA26" s="94">
        <f>IFERROR(IF(AND($JA$2&lt;&gt;"Enter Spend&gt;&gt;&gt;",JB14="EXISTING"),SUMIFS('Existing Customers'!$Q:$Q,'Existing Customers'!$A:$A,$JA$1,'Existing Customers'!$H:$H,$IZ26)*$JA$4,$JA$3*$IY26),0)</f>
        <v>0</v>
      </c>
      <c r="JB26" s="89">
        <f>IFERROR(IF(AND($JA$2&lt;&gt;"Enter Spend&gt;&gt;&gt;",JB2="EXISTING"),SUMIFS('Existing Customers'!$N:$N,'Existing Customers'!$A:$A,$JA$1,'Existing Customers'!$H:$H,$IZ26)*$JA$4,$JA26/$JL26),0)</f>
        <v>0</v>
      </c>
      <c r="JC26" s="95">
        <f>IFERROR(IF(AND($JA$2&lt;&gt;"Enter Spend&gt;&gt;&gt;",JB2="EXISTING"),SUMIFS('Existing Customers'!$O:$O,'Existing Customers'!$H:$H,$IZ26,'Existing Customers'!$A:$A,$JA$1)*$JA$4,$JB26*$JA$8),0)</f>
        <v>0</v>
      </c>
      <c r="JD26" s="95">
        <f>IFERROR(IF(AND($JA$2&lt;&gt;"Enter Spend&gt;&gt;&gt;",JB2="EXISTING"),SUMIFS('Existing Customers'!$P:$P,'Existing Customers'!$A:$A,$JA$1,'Existing Customers'!$H:$H,$IZ26)*$JA$4,$JA26/$JM26),0)</f>
        <v>0</v>
      </c>
      <c r="JE26" s="402">
        <f>IFERROR(IF(AND($JA$2&lt;&gt;"Enter Spend&gt;&gt;&gt;",JB2="EXISTING"),SUMIFS('Existing Customers'!$V:$V,'Existing Customers'!$H:$H,$IZ26,'Existing Customers'!$A:$A,$JA$1)*$JA$4,0),0)</f>
        <v>0</v>
      </c>
      <c r="JF26" s="96">
        <f>IFERROR(IF(AND($JA$2&lt;&gt;"Enter Spend&gt;&gt;&gt;",JB2="EXISTING"),SUMIFS('Existing Customers'!$R:$R,'Existing Customers'!$H:$H,$IZ26,'Existing Customers'!$A:$A,$JA$1)*$JA$4,0),0)</f>
        <v>0</v>
      </c>
      <c r="JG26" s="1161">
        <f>IFERROR(IF(AND($JA$2&lt;&gt;"Enter Spend&gt;&gt;&gt;",JB2="EXISTING"),SUMIFS('Existing Customers'!$S:$S,'Existing Customers'!$H:$H,$IZ26,'Existing Customers'!$A:$A,$JA$1),JQ26*JA26),0)</f>
        <v>0</v>
      </c>
      <c r="JH26" s="1161">
        <f>IFERROR(IF(AND($JA$2&lt;&gt;"Enter Spend&gt;&gt;&gt;",JB2="EXISTING"),SUMIFS('Existing Customers'!$U:$U,'Existing Customers'!$H:$H,$IZ26,'Existing Customers'!$A:$A,$JA$1),JR26*JA26),0)</f>
        <v>0</v>
      </c>
      <c r="JI26" s="1164" t="e">
        <f>_xlfn.CONCAT('Customer Inputs'!$AG$15,"_",IZ26)</f>
        <v>#N/A</v>
      </c>
      <c r="JJ26" s="1164">
        <f t="array" ref="JJ26">IFERROR(INDEX('Margin Guidence Table'!$A$1:$AD$30000,MATCH(1,('Margin Guidence Table'!$A$1:$A$10000=JI26)*('Margin Guidence Table'!$I$1:$I$10000&lt;=ROUND($JA$3,0))*('Margin Guidence Table'!$J$1:$J$10000&gt;=ROUND($JA$3,0)),0),MATCH("DATA_POINTS",'Margin Guidence Table'!$A$1:$AG$1,0)),0)</f>
        <v>0</v>
      </c>
      <c r="JK26" s="1161" t="str">
        <f t="shared" si="41"/>
        <v>DEFAULT</v>
      </c>
      <c r="JL26" s="1161">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161">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165">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165">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165">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165">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165">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165">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102" t="s">
        <v>105</v>
      </c>
      <c r="JV26" s="97"/>
      <c r="JW26" s="89"/>
      <c r="JX26" s="89"/>
      <c r="JY26" s="89"/>
      <c r="JZ26" s="114"/>
      <c r="KA26" s="98"/>
      <c r="KB26" s="129"/>
      <c r="KD26" s="102" t="s">
        <v>105</v>
      </c>
      <c r="KE26" s="97"/>
      <c r="KF26" s="89"/>
      <c r="KG26" s="89"/>
      <c r="KH26" s="89"/>
      <c r="KI26" s="114"/>
      <c r="KJ26" s="98"/>
    </row>
    <row r="27" spans="2:296" ht="15.75" thickBot="1" x14ac:dyDescent="0.3">
      <c r="B27" s="102" t="s">
        <v>92</v>
      </c>
      <c r="C27" s="480">
        <f t="shared" si="7"/>
        <v>0</v>
      </c>
      <c r="D27" s="496">
        <f t="shared" si="8"/>
        <v>0</v>
      </c>
      <c r="E27" s="496">
        <f t="shared" si="9"/>
        <v>0</v>
      </c>
      <c r="F27" s="496">
        <f t="shared" si="10"/>
        <v>0</v>
      </c>
      <c r="G27" s="497">
        <f t="shared" si="11"/>
        <v>0</v>
      </c>
      <c r="H27" s="496">
        <f t="shared" si="12"/>
        <v>0</v>
      </c>
      <c r="I27" s="1157" t="e">
        <f>ROUND(SUM($BB27*BO27+$BY27*CL27+$CV27*DI27+$DS27*EF27+$EP27*FC27+$FM27*FZ27+$GJ27*GW27+$HG27*HT27+$ID27*IQ27+$JA27*JN27)/$C27,2)</f>
        <v>#DIV/0!</v>
      </c>
      <c r="J27" s="1157" t="e">
        <f>ROUND(SUM($BB27*BP27+$BY27*CM27+$CV27*DJ27+$DS27*EG27+$EP27*FD27+$FM27*GA27+$GJ27*GX27+$HG27*HU27+$ID27*IR27+$JA27*JO27)/$C27,2)</f>
        <v>#DIV/0!</v>
      </c>
      <c r="K27" s="1157" t="e">
        <f>ROUND(SUM($BB27*BQ27+$BY27*CN27+$CV27*DK27+$DS27*EH27+$EP27*FE27+$FM27*GB27+$GJ27*GY27+$HG27*HV27+$ID27*IS27+$JA27*JP27)/$C27,2)</f>
        <v>#DIV/0!</v>
      </c>
      <c r="L27" s="496" t="e">
        <f t="shared" si="0"/>
        <v>#DIV/0!</v>
      </c>
      <c r="M27" s="496" t="e">
        <f t="shared" si="13"/>
        <v>#DIV/0!</v>
      </c>
      <c r="N27" s="1158" t="e">
        <f t="shared" si="1"/>
        <v>#DIV/0!</v>
      </c>
      <c r="P27" t="str">
        <f>'PIM Model'!E23</f>
        <v>INCLUDE</v>
      </c>
      <c r="Q27">
        <f t="shared" si="14"/>
        <v>0</v>
      </c>
      <c r="R27">
        <f t="shared" si="15"/>
        <v>0</v>
      </c>
      <c r="S27" s="102" t="s">
        <v>92</v>
      </c>
      <c r="T27" s="97">
        <f t="shared" si="16"/>
        <v>0</v>
      </c>
      <c r="U27" s="89">
        <f t="shared" si="2"/>
        <v>0</v>
      </c>
      <c r="V27" s="89">
        <f t="shared" si="3"/>
        <v>0</v>
      </c>
      <c r="W27" s="89">
        <f t="shared" si="4"/>
        <v>0</v>
      </c>
      <c r="X27" s="114">
        <f t="shared" si="5"/>
        <v>0</v>
      </c>
      <c r="Y27" s="117">
        <f t="shared" si="17"/>
        <v>0</v>
      </c>
      <c r="Z27" s="400"/>
      <c r="AA27" s="102" t="s">
        <v>92</v>
      </c>
      <c r="AB27" s="484">
        <f>SUMIFS($BB27:$JF27,$BB$12:$JF$12,AB$12)</f>
        <v>0</v>
      </c>
      <c r="AC27" s="485">
        <f>SUMIFS($BB27:$JF27,$BB$12:$JF$12,AC$12)</f>
        <v>0</v>
      </c>
      <c r="AD27" s="485">
        <f>SUMIFS($BB27:$JF27,$BB$12:$JF$12,AD$12)</f>
        <v>0</v>
      </c>
      <c r="AE27" s="486">
        <f t="shared" si="18"/>
        <v>0</v>
      </c>
      <c r="AF27" s="487">
        <f t="shared" si="19"/>
        <v>0</v>
      </c>
      <c r="AG27" s="400"/>
      <c r="AH27" s="102" t="s">
        <v>92</v>
      </c>
      <c r="AI27" s="484">
        <f t="shared" si="6"/>
        <v>0</v>
      </c>
      <c r="AJ27" s="481">
        <f t="shared" si="20"/>
        <v>0</v>
      </c>
      <c r="AK27" s="487"/>
      <c r="AL27" s="400"/>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400">
        <f>VLOOKUP($AH27&amp;$AM27,'IMargin Quartiles'!$A:$F,6,FALSE)</f>
        <v>0.13</v>
      </c>
      <c r="AO27" s="400"/>
      <c r="AP27"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Q27" s="400" t="e">
        <f t="shared" si="21"/>
        <v>#DIV/0!</v>
      </c>
      <c r="AR27">
        <f>'PIM Model'!C23</f>
        <v>0</v>
      </c>
      <c r="AS27" s="400"/>
      <c r="AT27" s="400"/>
      <c r="AU27" s="400" t="e">
        <f t="shared" si="42"/>
        <v>#DIV/0!</v>
      </c>
      <c r="AV27" s="400"/>
      <c r="AW27" s="400"/>
      <c r="AX27" s="108">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96" t="e">
        <f t="shared" si="22"/>
        <v>#DIV/0!</v>
      </c>
      <c r="BA27" s="102" t="s">
        <v>92</v>
      </c>
      <c r="BB27" s="94">
        <f>IFERROR(IF(AND($BB$2&lt;&gt;"Enter Spend&gt;&gt;&gt;",BC15="EXISTING"),SUMIFS('Existing Customers'!$Q:$Q,'Existing Customers'!$A:$A,$BB$1,'Existing Customers'!$H:$H,$BA27)*$BB$4,$BB$3*$AZ27),0)</f>
        <v>0</v>
      </c>
      <c r="BC27" s="95">
        <f>IFERROR(IF(AND($BB$2&lt;&gt;"Enter Spend&gt;&gt;&gt;",BC2="EXISTING"),SUMIFS('Existing Customers'!$N:$N,'Existing Customers'!$A:$A,$BB$1,'Existing Customers'!$H:$H,$BA27)*$BB$4,$BB27/$BM27),0)</f>
        <v>0</v>
      </c>
      <c r="BD27" s="95">
        <f>IFERROR(IF(AND($BB$2&lt;&gt;"Enter Spend&gt;&gt;&gt;",BC2="EXISTING"),SUMIFS('Existing Customers'!$O:$O,'Existing Customers'!$H:$H,$BA27,'Existing Customers'!$A:$A,$BB$1)*$BB$4,$BC27*$BB$8),0)</f>
        <v>0</v>
      </c>
      <c r="BE27" s="95">
        <f>IFERROR(IF(AND($BB$2&lt;&gt;"Enter Spend&gt;&gt;&gt;",BC2="EXISTING"),SUMIFS('Existing Customers'!$P:$P,'Existing Customers'!$A:$A,$BB$1,'Existing Customers'!$H:$H,$BA27)*$BB$4,$BB27/$BN27),0)</f>
        <v>0</v>
      </c>
      <c r="BF27" s="402">
        <f>IFERROR(IF(AND($BB$2&lt;&gt;"Enter Spend&gt;&gt;&gt;",BC2="EXISTING"),SUMIFS('Existing Customers'!$V:$V,'Existing Customers'!$H:$H,$BA27,'Existing Customers'!$A:$A,$BB$1)*$BB$4,0),0)</f>
        <v>0</v>
      </c>
      <c r="BG27" s="96">
        <f>IFERROR(IF(AND($BB$2&lt;&gt;"Enter Spend&gt;&gt;&gt;",BC2="EXISTING"),SUMIFS('Existing Customers'!$R:$R,'Existing Customers'!$H:$H,$BA27,'Existing Customers'!$A:$A,$BB$1)*$BB$4,0),0)</f>
        <v>0</v>
      </c>
      <c r="BH27" s="96">
        <f>IFERROR(IF(AND($BB$2&lt;&gt;"Enter Spend&gt;&gt;&gt;",BC2="EXISTING"),SUMIFS('Existing Customers'!$S:$S,'Existing Customers'!$H:$H,$BA27,'Existing Customers'!$A:$A,$BB$1),BR27*BB27),0)</f>
        <v>0</v>
      </c>
      <c r="BI27" s="96">
        <f>IFERROR(IF(AND($BB$2&lt;&gt;"Enter Spend&gt;&gt;&gt;",BC2="EXISTING"),SUMIFS('Existing Customers'!$U:$U,'Existing Customers'!$H:$H,$BA27,'Existing Customers'!$A:$A,$BB$1),BS27*BB27),0)</f>
        <v>0</v>
      </c>
      <c r="BJ27" s="1163" t="e">
        <f>_xlfn.CONCAT('Customer Inputs'!$AG$6,"_",BA27)</f>
        <v>#N/A</v>
      </c>
      <c r="BK27" s="1164">
        <f t="array" ref="BK27">IFERROR(INDEX('Margin Guidence Table'!$A$1:$AD$30000,MATCH(1,('Margin Guidence Table'!$A$1:$A$10000=$BJ27)*('Margin Guidence Table'!$I$1:$I$10000&lt;=ROUND($BB$3,0))*('Margin Guidence Table'!$J$1:$J$10000&gt;=ROUND($BB$3,0)),0),MATCH("DATA_POINTS",'Margin Guidence Table'!$A$1:$AG$1,0)),0)</f>
        <v>0</v>
      </c>
      <c r="BL27" s="1161" t="str">
        <f t="shared" si="23"/>
        <v>DEFAULT</v>
      </c>
      <c r="BM27" s="1161">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161">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165">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165">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165">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165">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165">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165">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9"/>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96" t="e">
        <f t="shared" si="24"/>
        <v>#DIV/0!</v>
      </c>
      <c r="BX27" s="102" t="s">
        <v>92</v>
      </c>
      <c r="BY27" s="94">
        <f>IFERROR(IF(AND($BY$2&lt;&gt;"Enter Spend&gt;&gt;&gt;",BZ15="EXISTING"),SUMIFS('Existing Customers'!$Q:$Q,'Existing Customers'!$A:$A,$BY$1,'Existing Customers'!$H:$H,$BX27)*$BY$4,$BY$3*$BW27),0)</f>
        <v>0</v>
      </c>
      <c r="BZ27" s="89">
        <f>IFERROR(IF(AND($BY$2&lt;&gt;"Enter Spend&gt;&gt;&gt;",BZ2="EXISTING"),SUMIFS('Existing Customers'!$N:$N,'Existing Customers'!$A:$A,$BY$1,'Existing Customers'!$H:$H,$BX27)*$BY$4,$BY27/$CJ27),0)</f>
        <v>0</v>
      </c>
      <c r="CA27" s="95">
        <f>IFERROR(IF(AND($BY$2&lt;&gt;"Enter Spend&gt;&gt;&gt;",BZ2="EXISTING"),SUMIFS('Existing Customers'!$O:$O,'Existing Customers'!$H:$H,$BX27,'Existing Customers'!$A:$A,$BY$1)*$BY$4,$BZ27*$BY$8),0)</f>
        <v>0</v>
      </c>
      <c r="CB27" s="95">
        <f>IFERROR(IF(AND($BY$2&lt;&gt;"Enter Spend&gt;&gt;&gt;",BZ2="EXISTING"),SUMIFS('Existing Customers'!$P:$P,'Existing Customers'!$A:$A,$BY$1,'Existing Customers'!$H:$H,$BX27)*$BY$4,$BY27/$CK27),0)</f>
        <v>0</v>
      </c>
      <c r="CC27" s="96">
        <f>IFERROR(IF(AND($BY$2&lt;&gt;"Enter Spend&gt;&gt;&gt;",BZ2="EXISTING"),SUMIFS('Existing Customers'!$V:$V,'Existing Customers'!$H:$H,$BX27,'Existing Customers'!$A:$A,$BY$1)*$BY$4,0),0)</f>
        <v>0</v>
      </c>
      <c r="CD27" s="96">
        <f>IFERROR(IF(AND($BY$2&lt;&gt;"Enter Spend&gt;&gt;&gt;",BZ2="EXISTING"),SUMIFS('Existing Customers'!$R:$R,'Existing Customers'!$H:$H,$BX27,'Existing Customers'!$A:$A,$BY$1)*$BY$4,0),0)</f>
        <v>0</v>
      </c>
      <c r="CE27" s="1161">
        <f>IFERROR(IF(AND($BY$2&lt;&gt;"Enter Spend&gt;&gt;&gt;",BZ2="EXISTING"),SUMIFS('Existing Customers'!$S:$S,'Existing Customers'!$H:$H,$BX27,'Existing Customers'!$A:$A,$BY$1),CO27*BY27),0)</f>
        <v>0</v>
      </c>
      <c r="CF27" s="1161">
        <f>IFERROR(IF(AND($BY$2&lt;&gt;"Enter Spend&gt;&gt;&gt;",BZ2="EXISTING"),SUMIFS('Existing Customers'!$U:$U,'Existing Customers'!$H:$H,$BX27,'Existing Customers'!$A:$A,$BY$1),CP27*BY27),0)</f>
        <v>0</v>
      </c>
      <c r="CG27" s="1164" t="e">
        <f>_xlfn.CONCAT('Customer Inputs'!$AG$7,"_",BX27)</f>
        <v>#N/A</v>
      </c>
      <c r="CH27" s="1164">
        <f t="array" ref="CH27">IFERROR(INDEX('Margin Guidence Table'!$A$1:$AD$30000,MATCH(1,('Margin Guidence Table'!$A$1:$A$10000=$CG27)*('Margin Guidence Table'!$I$1:$I$10000&lt;=ROUND($BY$3,0))*('Margin Guidence Table'!$J$1:$J$10000&gt;=ROUND($BY$3,0)),0),MATCH("DATA_POINTS",'Margin Guidence Table'!$A$1:$AG$1,0)),0)</f>
        <v>0</v>
      </c>
      <c r="CI27" s="1161" t="str">
        <f t="shared" si="25"/>
        <v>DEFAULT</v>
      </c>
      <c r="CJ27" s="1161">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161">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165">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165">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165">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165">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165">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165">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9"/>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96" t="e">
        <f t="shared" si="26"/>
        <v>#DIV/0!</v>
      </c>
      <c r="CU27" s="102" t="s">
        <v>92</v>
      </c>
      <c r="CV27" s="94">
        <f>IFERROR(IF(AND($CV$2&lt;&gt;"Enter Spend&gt;&gt;&gt;",CW15="EXISTING"),SUMIFS('Existing Customers'!$Q:$Q,'Existing Customers'!$A:$A,$CV$1,'Existing Customers'!$H:$H,$CU27)*$CV$4,$CV$3*$CT27),0)</f>
        <v>0</v>
      </c>
      <c r="CW27" s="89">
        <f>IFERROR(IF(AND($CV$2&lt;&gt;"Enter Spend&gt;&gt;&gt;",CW2="EXISTING"),SUMIFS('Existing Customers'!$N:$N,'Existing Customers'!$A:$A,$CV$1,'Existing Customers'!$H:$H,$CU27)*$CV$4,$CV27/$DG27),0)</f>
        <v>0</v>
      </c>
      <c r="CX27" s="95">
        <f>IFERROR(IF(AND($CV$2&lt;&gt;"Enter Spend&gt;&gt;&gt;",BC28="EXISTING"),SUMIFS('Existing Customers'!$O:$O,'Existing Customers'!$H:$H,$CU27,'Existing Customers'!$A:$A,$CV$1)*$CV$4,$CW27*$CV$8),0)</f>
        <v>0</v>
      </c>
      <c r="CY27" s="95">
        <f>IFERROR(IF(AND($CV$2&lt;&gt;"Enter Spend&gt;&gt;&gt;",CW2="EXISTING"),SUMIFS('Existing Customers'!$P:$P,'Existing Customers'!$A:$A,$CV$1,'Existing Customers'!$H:$H,$CU27)*$CV$4,$CV27/$DH27),0)</f>
        <v>0</v>
      </c>
      <c r="CZ27" s="96">
        <f>IFERROR(IF(AND($CV$2&lt;&gt;"Enter Spend&gt;&gt;&gt;",CW2="EXISTING"),SUMIFS('Existing Customers'!$V:$V,'Existing Customers'!$H:$H,$CU27,'Existing Customers'!$A:$A,$CV$1)*$CV$4,0),0)</f>
        <v>0</v>
      </c>
      <c r="DA27" s="96">
        <f>IFERROR(IF(AND($CV$2&lt;&gt;"Enter Spend&gt;&gt;&gt;",CW2="EXISTING"),SUMIFS('Existing Customers'!$R:$R,'Existing Customers'!$H:$H,$BA27,'Existing Customers'!$A:$A,$CV$1)*$CV$4,0),0)</f>
        <v>0</v>
      </c>
      <c r="DB27" s="1161">
        <f>IFERROR(IF(AND($CV$2&lt;&gt;"Enter Spend&gt;&gt;&gt;",CW2="EXISTING"),SUMIFS('Existing Customers'!$S:$S,'Existing Customers'!$H:$H,$CU27,'Existing Customers'!$A:$A,$CV$1),DL27*CV27),0)</f>
        <v>0</v>
      </c>
      <c r="DC27" s="1161">
        <f>IFERROR(IF(AND($CV$2&lt;&gt;"Enter Spend&gt;&gt;&gt;",CW2="EXISTING"),SUMIFS('Existing Customers'!$U:$U,'Existing Customers'!$H:$H,$CU27,'Existing Customers'!$A:$A,$CV$1),DM27*CV27),0)</f>
        <v>0</v>
      </c>
      <c r="DD27" s="1164" t="e">
        <f>_xlfn.CONCAT('Customer Inputs'!$AG$8,"_",CU27)</f>
        <v>#N/A</v>
      </c>
      <c r="DE27" s="1164">
        <f t="array" ref="DE27">IFERROR(INDEX('Margin Guidence Table'!$A$1:$AD$30000,MATCH(1,('Margin Guidence Table'!$A$1:$A$10000=DD27)*('Margin Guidence Table'!$I$1:$I$10000&lt;=ROUND($CV$3,0))*('Margin Guidence Table'!$J$1:$J$10000&gt;=ROUND($CV$3,0)),0),MATCH("DATA_POINTS",'Margin Guidence Table'!$A$1:$AG$1,0)),0)</f>
        <v>0</v>
      </c>
      <c r="DF27" s="1161" t="str">
        <f t="shared" si="27"/>
        <v>DEFAULT</v>
      </c>
      <c r="DG27" s="1161">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161">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165">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165">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165">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165">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165">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165">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9"/>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96" t="e">
        <f t="shared" si="28"/>
        <v>#DIV/0!</v>
      </c>
      <c r="DR27" s="102" t="s">
        <v>92</v>
      </c>
      <c r="DS27" s="94">
        <f>IFERROR(IF(AND($DS$2&lt;&gt;"Enter Spend&gt;&gt;&gt;",DT15="EXISTING"),SUMIFS('Existing Customers'!$Q:$Q,'Existing Customers'!$A:$A,$DS$1,'Existing Customers'!$H:$H,$DR27)*$DS$4,$DS$3*$DQ27),0)</f>
        <v>0</v>
      </c>
      <c r="DT27" s="89">
        <f>IFERROR(IF(AND($DS$2&lt;&gt;"Enter Spend&gt;&gt;&gt;",DT2="EXISTING"),SUMIFS('Existing Customers'!$N:$N,'Existing Customers'!$A:$A,$DS$1,'Existing Customers'!$H:$H,$DR27)*$DS$4,$DS27/$ED27),0)</f>
        <v>0</v>
      </c>
      <c r="DU27" s="95">
        <f>IFERROR(IF(AND($DS$2&lt;&gt;"Enter Spend&gt;&gt;&gt;",DT2="EXISTING"),SUMIFS('Existing Customers'!$O:$O,'Existing Customers'!$H:$H,$DR27,'Existing Customers'!$A:$A,$DS$1)*$DS$4,$DT27*$DS$8),0)</f>
        <v>0</v>
      </c>
      <c r="DV27" s="95">
        <f>IFERROR(IF(AND($DS$2&lt;&gt;"Enter Spend&gt;&gt;&gt;",DT2="EXISTING"),SUMIFS('Existing Customers'!$P:$P,'Existing Customers'!$A:$A,$DS$1,'Existing Customers'!$H:$H,$DR27)*$DS$4,$DS27/$EE27),0)</f>
        <v>0</v>
      </c>
      <c r="DW27" s="96">
        <f>IFERROR(IF(AND($DS$2&lt;&gt;"Enter Spend&gt;&gt;&gt;",EQ2="EXISTING"),SUMIFS('Existing Customers'!$V:$V,'Existing Customers'!$H:$H,$DR27,'Existing Customers'!$A:$A,$DS$1)*$DS$4,0),0)</f>
        <v>0</v>
      </c>
      <c r="DX27" s="96">
        <f>IFERROR(IF(AND($DS$2&lt;&gt;"Enter Spend&gt;&gt;&gt;",DT2="EXISTING"),SUMIFS('Existing Customers'!$R:$R,'Existing Customers'!$H:$H,$DR27,'Existing Customers'!$A:$A,$DS$1)*$DS$4,0),0)</f>
        <v>0</v>
      </c>
      <c r="DY27" s="1161">
        <f>IFERROR(IF(AND($DS$2&lt;&gt;"Enter Spend&gt;&gt;&gt;",DT2="EXISTING"),SUMIFS('Existing Customers'!$S:$S,'Existing Customers'!$H:$H,$DT27,'Existing Customers'!$A:$A,$DS$1),EI27*DS27),0)</f>
        <v>0</v>
      </c>
      <c r="DZ27" s="1161">
        <f>IFERROR(IF(AND($DS$2&lt;&gt;"Enter Spend&gt;&gt;&gt;",DT2="EXISTING"),SUMIFS('Existing Customers'!$U:$U,'Existing Customers'!$H:$H,$DR27,'Existing Customers'!$A:$A,$DS$1),EJ27*DS27),0)</f>
        <v>0</v>
      </c>
      <c r="EA27" s="1164" t="e">
        <f>_xlfn.CONCAT('Customer Inputs'!$AG$9,"_",DR27)</f>
        <v>#N/A</v>
      </c>
      <c r="EB27" s="1164">
        <f t="array" ref="EB27">IFERROR(INDEX('Margin Guidence Table'!$A$1:$AD$30000,MATCH(1,('Margin Guidence Table'!$A$1:$A$10000=EA27)*('Margin Guidence Table'!$I$1:$I$10000&lt;=ROUND($DS$3,0))*('Margin Guidence Table'!$J$1:$J$10000&gt;=ROUND($DS$3,0)),0),MATCH("DATA_POINTS",'Margin Guidence Table'!$A$1:$AG$1,0)),0)</f>
        <v>0</v>
      </c>
      <c r="EC27" s="1161" t="str">
        <f t="shared" si="29"/>
        <v>DEFAULT</v>
      </c>
      <c r="ED27" s="1161">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161">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165">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165">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165">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165">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165">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165">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9"/>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96" t="e">
        <f t="shared" si="30"/>
        <v>#DIV/0!</v>
      </c>
      <c r="EO27" s="102" t="s">
        <v>92</v>
      </c>
      <c r="EP27" s="94">
        <f>IFERROR(IF(AND($EP$2&lt;&gt;"Enter Spend&gt;&gt;&gt;",EQ15="EXISTING"),SUMIFS('Existing Customers'!$Q:$Q,'Existing Customers'!$A:$A,$EP$1,'Existing Customers'!$H:$H,$EO27)*$EP$4,$EP$3*$EN27),0)</f>
        <v>0</v>
      </c>
      <c r="EQ27" s="89">
        <f>IFERROR(IF(AND($EP$2&lt;&gt;"Enter Spend&gt;&gt;&gt;",EQ2="EXISTING"),SUMIFS('Existing Customers'!$N:$N,'Existing Customers'!$A:$A,$EP$1,'Existing Customers'!$H:$H,$EO27)*$EP$4,$EP27/$FA27),0)</f>
        <v>0</v>
      </c>
      <c r="ER27" s="95">
        <f>IFERROR(IF(AND($EP$2&lt;&gt;"Enter Spend&gt;&gt;&gt;",EQ2="EXISTING"),SUMIFS('Existing Customers'!$O:$O,'Existing Customers'!$H:$H,$EO27,'Existing Customers'!$A:$A,$EP$1)*$EP$4,$EQ27*$EP$8),0)</f>
        <v>0</v>
      </c>
      <c r="ES27" s="95">
        <f>IFERROR(IF(AND($EP$2&lt;&gt;"Enter Spend&gt;&gt;&gt;",EQ2="EXISTING"),SUMIFS('Existing Customers'!$P:$P,'Existing Customers'!$A:$A,$EP$1,'Existing Customers'!$H:$H,$EO27)*$EP$4,$EP27/$FB27),0)</f>
        <v>0</v>
      </c>
      <c r="ET27" s="96">
        <f>IFERROR(IF(AND($EP$2&lt;&gt;"Enter Spend&gt;&gt;&gt;",EQ2="EXISTING"),SUMIFS('Existing Customers'!$V:$V,'Existing Customers'!$H:$H,$EO27,'Existing Customers'!$A:$A,$EP$1)*$EP$4,0),0)</f>
        <v>0</v>
      </c>
      <c r="EU27" s="96">
        <f>IFERROR(IF(AND($EP$2&lt;&gt;"Enter Spend&gt;&gt;&gt;",EQ2="EXISTING"),SUMIFS('Existing Customers'!$R:$R,'Existing Customers'!$H:$H,$EO27,'Existing Customers'!$A:$A,$EP$1)*$EP$4,0),0)</f>
        <v>0</v>
      </c>
      <c r="EV27" s="1161">
        <f>IFERROR(IF(AND($EP$2&lt;&gt;"Enter Spend&gt;&gt;&gt;",EQ2="EXISTING"),SUMIFS('Existing Customers'!$S:$S,'Existing Customers'!$H:$H,$EO27,'Existing Customers'!$A:$A,$EP$1),FF27*EP27),0)</f>
        <v>0</v>
      </c>
      <c r="EW27" s="1161">
        <f>IFERROR(IF(AND($EP$2&lt;&gt;"Enter Spend&gt;&gt;&gt;",EQ2="EXISTING"),SUMIFS('Existing Customers'!$U:$U,'Existing Customers'!$H:$H,$EO27,'Existing Customers'!$A:$A,$EP$1),FG27*EP27),0)</f>
        <v>0</v>
      </c>
      <c r="EX27" s="1164" t="e">
        <f>_xlfn.CONCAT('Customer Inputs'!$AG$10,"_",EO27)</f>
        <v>#N/A</v>
      </c>
      <c r="EY27" s="1164">
        <f t="array" ref="EY27">IFERROR(INDEX('Margin Guidence Table'!$A$1:$AD$30000,MATCH(1,('Margin Guidence Table'!$A$1:$A$10000=EX27)*('Margin Guidence Table'!$I$1:$I$10000&lt;=ROUND($EP$3,0))*('Margin Guidence Table'!$J$1:$J$10000&gt;=ROUND($EP$3,0)),0),MATCH("DATA_POINTS",'Margin Guidence Table'!$A$1:$AG$1,0)),0)</f>
        <v>0</v>
      </c>
      <c r="EZ27" s="1161" t="str">
        <f t="shared" si="31"/>
        <v>DEFAULT</v>
      </c>
      <c r="FA27" s="1161">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161"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165">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165">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165">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165">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165">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165">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9"/>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96" t="e">
        <f t="shared" si="32"/>
        <v>#DIV/0!</v>
      </c>
      <c r="FL27" s="102" t="s">
        <v>92</v>
      </c>
      <c r="FM27" s="94">
        <f>IFERROR(IF(AND($FM$2&lt;&gt;"Enter Spend&gt;&gt;&gt;",FN15="EXISTING"),SUMIFS('Existing Customers'!$Q:$Q,'Existing Customers'!$A:$A,$FM$1,'Existing Customers'!$H:$H,$FL27)*$FM$4,$FM$3*$FK27),0)</f>
        <v>0</v>
      </c>
      <c r="FN27" s="89">
        <f>IFERROR(IF(AND($FM$2&lt;&gt;"Enter Spend&gt;&gt;&gt;",FN2="EXISTING"),SUMIFS('Existing Customers'!$N:$N,'Existing Customers'!$A:$A,$FM$1,'Existing Customers'!$H:$H,$FL27)*$FM$4,$FM27/$FX27),0)</f>
        <v>0</v>
      </c>
      <c r="FO27" s="95">
        <f>IFERROR(IF(AND($FM$2&lt;&gt;"Enter Spend&gt;&gt;&gt;",FN2="EXISTING"),SUMIFS('Existing Customers'!$O:$O,'Existing Customers'!$H:$H,$FL27,'Existing Customers'!$A:$A,$FM$1)*$FM$4,$FN27*$FM$8),0)</f>
        <v>0</v>
      </c>
      <c r="FP27" s="95">
        <f>IFERROR(IF(AND($FM$2&lt;&gt;"Enter Spend&gt;&gt;&gt;",FN2="EXISTING"),SUMIFS('Existing Customers'!$P:$P,'Existing Customers'!$A:$A,$FM$1,'Existing Customers'!$H:$H,$FL27)*$FM$4,$FM27/$FY27),0)</f>
        <v>0</v>
      </c>
      <c r="FQ27" s="96">
        <f>IFERROR(IF(AND($FM$2&lt;&gt;"Enter Spend&gt;&gt;&gt;",FN2="EXISTING"),SUMIFS('Existing Customers'!$V:$V,'Existing Customers'!$H:$H,$FL27,'Existing Customers'!$A:$A,$FM$1)*$FM$4,0),0)</f>
        <v>0</v>
      </c>
      <c r="FR27" s="96">
        <f>IFERROR(IF(AND($FM$2&lt;&gt;"Enter Spend&gt;&gt;&gt;",FN2="EXISTING"),SUMIFS('Existing Customers'!$R:$R,'Existing Customers'!$H:$H,$FL27,'Existing Customers'!$A:$A,$FM$1)*$FM$4,0),0)</f>
        <v>0</v>
      </c>
      <c r="FS27" s="1161">
        <f>IFERROR(IF(AND($FM$2&lt;&gt;"Enter Spend&gt;&gt;&gt;",FN2="EXISTING"),SUMIFS('Existing Customers'!$S:$S,'Existing Customers'!$H:$H,$FL27,'Existing Customers'!$A:$A,$FM$1),GC27*FM27),0)</f>
        <v>0</v>
      </c>
      <c r="FT27" s="1161">
        <f>IFERROR(IF(AND($FM$2&lt;&gt;"Enter Spend&gt;&gt;&gt;",FN2="EXISTING"),SUMIFS('Existing Customers'!$U:$U,'Existing Customers'!$H:$H,$FL27,'Existing Customers'!$A:$A,$FM$1),GD27*FM27),0)</f>
        <v>0</v>
      </c>
      <c r="FU27" s="1164" t="e">
        <f>_xlfn.CONCAT('Customer Inputs'!$AG$11,"_",FL27)</f>
        <v>#N/A</v>
      </c>
      <c r="FV27" s="1164">
        <f t="array" ref="FV27">IFERROR(INDEX('Margin Guidence Table'!$A$1:$AD$30000,MATCH(1,('Margin Guidence Table'!$A$1:$A$10000=FU27)*('Margin Guidence Table'!$I$1:$I$10000&lt;=ROUND($FM$3,0))*('Margin Guidence Table'!$J$1:$J$10000&gt;=ROUND($FM$3,0)),0),MATCH("DATA_POINTS",'Margin Guidence Table'!$A$1:$AG$1,0)),0)</f>
        <v>0</v>
      </c>
      <c r="FW27" s="1161" t="str">
        <f t="shared" si="33"/>
        <v>DEFAULT</v>
      </c>
      <c r="FX27" s="1161">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161">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165">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165">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165">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165">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165">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165">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9"/>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96" t="e">
        <f t="shared" si="34"/>
        <v>#DIV/0!</v>
      </c>
      <c r="GI27" s="102" t="s">
        <v>92</v>
      </c>
      <c r="GJ27" s="94">
        <f>IFERROR(IF(AND($GJ$2&lt;&gt;"Enter Spend&gt;&gt;&gt;",GK15="EXISTING"),SUMIFS('Existing Customers'!$Q:$Q,'Existing Customers'!$A:$A,$GJ$1,'Existing Customers'!$H:$H,$GI27)*$GJ$4,$GJ$3*$GH27),0)</f>
        <v>0</v>
      </c>
      <c r="GK27" s="89">
        <f>IFERROR(IF(AND($GJ$2&lt;&gt;"Enter Spend&gt;&gt;&gt;",GK2="EXISTING"),SUMIFS('Existing Customers'!$N:$N,'Existing Customers'!$A:$A,$GJ$1,'Existing Customers'!$H:$H,$GI27)*$GJ$4,$GJ27/$GU27),0)</f>
        <v>0</v>
      </c>
      <c r="GL27" s="95">
        <f>IFERROR(IF(AND($GJ$2&lt;&gt;"Enter Spend&gt;&gt;&gt;",GK2="EXISTING"),SUMIFS('Existing Customers'!$O:$O,'Existing Customers'!$H:$H,$GI27,'Existing Customers'!$A:$A,$GJ$1)*$GJ$4,$GK27*$GJ$8),0)</f>
        <v>0</v>
      </c>
      <c r="GM27" s="95">
        <f>IFERROR(IF(AND($GJ$2&lt;&gt;"Enter Spend&gt;&gt;&gt;",GK2="EXISTING"),SUMIFS('Existing Customers'!$P:$P,'Existing Customers'!$A:$A,$GJ$1,'Existing Customers'!$H:$H,$GI27)*$GJ$4,$GJ27/$GV27),0)</f>
        <v>0</v>
      </c>
      <c r="GN27" s="96">
        <f>IFERROR(IF(AND($GJ$2&lt;&gt;"Enter Spend&gt;&gt;&gt;",GK2="EXISTING"),SUMIFS('Existing Customers'!$V:$V,'Existing Customers'!$H:$H,$GI27,'Existing Customers'!$A:$A,$GJ$1)*$GJ$4,0),0)</f>
        <v>0</v>
      </c>
      <c r="GO27" s="96">
        <f>IFERROR(IF(AND($GJ$2&lt;&gt;"Enter Spend&gt;&gt;&gt;",GK2="EXISTING"),SUMIFS('Existing Customers'!$R:$R,'Existing Customers'!$H:$H,$GI27,'Existing Customers'!$A:$A,$GJ$1)*$GJ$4,0),0)</f>
        <v>0</v>
      </c>
      <c r="GP27" s="1161">
        <f>IFERROR(IF(AND($GJ$2&lt;&gt;"Enter Spend&gt;&gt;&gt;",GK2="EXISTING"),SUMIFS('Existing Customers'!$S:$S,'Existing Customers'!$H:$H,$GI27,'Existing Customers'!$A:$A,$GJ$1),GZ27*GJ27),0)</f>
        <v>0</v>
      </c>
      <c r="GQ27" s="1161">
        <f>IFERROR(IF(AND($GJ$2&lt;&gt;"Enter Spend&gt;&gt;&gt;",GK2="EXISTING"),SUMIFS('Existing Customers'!$U:$U,'Existing Customers'!$H:$H,$GI27,'Existing Customers'!$A:$A,$GJ$1),HA27*GJ27),0)</f>
        <v>0</v>
      </c>
      <c r="GR27" s="1164" t="e">
        <f>_xlfn.CONCAT('Customer Inputs'!$AG$12,"_",GI27)</f>
        <v>#N/A</v>
      </c>
      <c r="GS27" s="1164">
        <f t="array" ref="GS27">IFERROR(INDEX('Margin Guidence Table'!$A$1:$AD$30000,MATCH(1,('Margin Guidence Table'!$A$1:$A$10000=GR27)*('Margin Guidence Table'!$I$1:$I$10000&lt;=ROUND($GJ$3,0))*('Margin Guidence Table'!$J$1:$J$10000&gt;=ROUND($GJ$3,0)),0),MATCH("DATA_POINTS",'Margin Guidence Table'!$A$1:$AG$1,0)),0)</f>
        <v>0</v>
      </c>
      <c r="GT27" s="1161" t="str">
        <f t="shared" si="35"/>
        <v>DEFAULT</v>
      </c>
      <c r="GU27" s="1161">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161">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165">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165">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165">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165">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165">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165">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9"/>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96" t="e">
        <f t="shared" si="36"/>
        <v>#DIV/0!</v>
      </c>
      <c r="HF27" s="102" t="s">
        <v>92</v>
      </c>
      <c r="HG27" s="94">
        <f>IFERROR(IF(AND($HG$2&lt;&gt;"Enter Spend&gt;&gt;&gt;",HH15="EXISTING"),SUMIFS('Existing Customers'!$Q:$Q,'Existing Customers'!$A:$A,$HG$1,'Existing Customers'!$H:$H,$HF27)*$HG$4,$HG$3*$HE27),0)</f>
        <v>0</v>
      </c>
      <c r="HH27" s="89">
        <f>IFERROR(IF(AND($HG$2&lt;&gt;"Enter Spend&gt;&gt;&gt;",HH2="EXISTING"),SUMIFS('Existing Customers'!$N:$N,'Existing Customers'!$A:$A,$HG$1,'Existing Customers'!$H:$H,$HF27)*$HG$4,$HG27/$HR27),0)</f>
        <v>0</v>
      </c>
      <c r="HI27" s="95">
        <f>IFERROR(IF(AND($HG$2&lt;&gt;"Enter Spend&gt;&gt;&gt;",HH2="EXISTING"),SUMIFS('Existing Customers'!$O:$O,'Existing Customers'!$H:$H,$HF27,'Existing Customers'!$A:$A,$HG$1)*$HG$4,$HH27*$HG$8),0)</f>
        <v>0</v>
      </c>
      <c r="HJ27" s="95">
        <f>IFERROR(IF(AND($HG$2&lt;&gt;"Enter Spend&gt;&gt;&gt;",HH2="EXISTING"),SUMIFS('Existing Customers'!$P:$P,'Existing Customers'!$A:$A,$HG$1,'Existing Customers'!$H:$H,$HF27)*$HG$4,$HG27/$HS27),0)</f>
        <v>0</v>
      </c>
      <c r="HK27" s="96">
        <f>IFERROR(IF(AND($HG$2&lt;&gt;"Enter Spend&gt;&gt;&gt;",HH2="EXISTING"),SUMIFS('Existing Customers'!$V:$V,'Existing Customers'!$H:$H,$HF27,'Existing Customers'!$A:$A,$HG$1)*$HG$4,0),0)</f>
        <v>0</v>
      </c>
      <c r="HL27" s="96">
        <f>IFERROR(IF(AND($HG$2&lt;&gt;"Enter Spend&gt;&gt;&gt;",HH2="EXISTING"),SUMIFS('Existing Customers'!$R:$R,'Existing Customers'!$H:$H,$HF27,'Existing Customers'!$A:$A,$HG$1)*$HG$4,0),0)</f>
        <v>0</v>
      </c>
      <c r="HM27" s="1161">
        <f>IFERROR(IF(AND($HG$2&lt;&gt;"Enter Spend&gt;&gt;&gt;",HH2="EXISTING"),SUMIFS('Existing Customers'!$S:$S,'Existing Customers'!$H:$H,$HF27,'Existing Customers'!$A:$A,$HG$1),HW27*HG27),0)</f>
        <v>0</v>
      </c>
      <c r="HN27" s="1161">
        <f>IFERROR(IF(AND($HG$2&lt;&gt;"Enter Spend&gt;&gt;&gt;",HH2="EXISTING"),SUMIFS('Existing Customers'!$U:$U,'Existing Customers'!$H:$H,$HF27,'Existing Customers'!$A:$A,$HG$1),HX27*HG27),0)</f>
        <v>0</v>
      </c>
      <c r="HO27" s="1164" t="e">
        <f>_xlfn.CONCAT('Customer Inputs'!$AG$13,"_",HF27)</f>
        <v>#N/A</v>
      </c>
      <c r="HP27" s="1164">
        <f t="array" ref="HP27">IFERROR(INDEX('Margin Guidence Table'!$A$1:$AD$30000,MATCH(1,('Margin Guidence Table'!$A$1:$A$10000=HO27)*('Margin Guidence Table'!$I$1:$I$10000&lt;=ROUND($HG$3,0))*('Margin Guidence Table'!$J$1:$J$10000&gt;=ROUND($HG$3,0)),0),MATCH("DATA_POINTS",'Margin Guidence Table'!$A$1:$AG$1,0)),0)</f>
        <v>0</v>
      </c>
      <c r="HQ27" s="1161" t="str">
        <f t="shared" si="37"/>
        <v>DEFAULT</v>
      </c>
      <c r="HR27" s="1161">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161">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165">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165">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165">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165">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165">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165">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9"/>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96" t="e">
        <f t="shared" si="38"/>
        <v>#DIV/0!</v>
      </c>
      <c r="IC27" s="102" t="s">
        <v>92</v>
      </c>
      <c r="ID27" s="94">
        <f>IFERROR(IF(AND($ID$2&lt;&gt;"Enter Spend&gt;&gt;&gt;",IE15="EXISTING"),SUMIFS('Existing Customers'!$Q:$Q,'Existing Customers'!$A:$A,$ID$1,'Existing Customers'!$H:$H,$IC27)*$ID$4,$ID$3*$IB27),0)</f>
        <v>0</v>
      </c>
      <c r="IE27" s="89">
        <f>IFERROR(IF(AND($ID$2&lt;&gt;"Enter Spend&gt;&gt;&gt;",IE2="EXISTING"),SUMIFS('Existing Customers'!$N:$N,'Existing Customers'!$A:$A,$ID$1,'Existing Customers'!$H:$H,$IC27)*$ID$4,$ID27/$IO27),0)</f>
        <v>0</v>
      </c>
      <c r="IF27" s="95">
        <f>IFERROR(IF(AND($ID$2&lt;&gt;"Enter Spend&gt;&gt;&gt;",IE2="EXISTING"),SUMIFS('Existing Customers'!$O:$O,'Existing Customers'!$H:$H,$IC27,'Existing Customers'!$A:$A,$ID$1)*$ID$4,$IE27*$ID$8),0)</f>
        <v>0</v>
      </c>
      <c r="IG27" s="95">
        <f>IFERROR(IF(AND($ID$2&lt;&gt;"Enter Spend&gt;&gt;&gt;",IE2="EXISTING"),SUMIFS('Existing Customers'!$P:$P,'Existing Customers'!$A:$A,$ID$1,'Existing Customers'!$H:$H,$IC27)*$ID$4,$ID27/$IP27),0)</f>
        <v>0</v>
      </c>
      <c r="IH27" s="402">
        <f>IFERROR(IF(AND($ID$2&lt;&gt;"Enter Spend&gt;&gt;&gt;",IE2="EXISTING"),SUMIFS('Existing Customers'!$V:$V,'Existing Customers'!$H:$H,$IC27,'Existing Customers'!$A:$A,$ID$1)*$ID$4,0),0)</f>
        <v>0</v>
      </c>
      <c r="II27" s="96">
        <f>IFERROR(IF(AND($ID$2&lt;&gt;"Enter Spend&gt;&gt;&gt;",IE2="EXISTING"),SUMIFS('Existing Customers'!$R:$R,'Existing Customers'!$H:$H,$IC27,'Existing Customers'!$A:$A,$ID$1)*$ID$4,0),0)</f>
        <v>0</v>
      </c>
      <c r="IJ27" s="1161">
        <f>IFERROR(IF(AND($ID$2&lt;&gt;"Enter Spend&gt;&gt;&gt;",IE2="EXISTING"),SUMIFS('Existing Customers'!$S:$S,'Existing Customers'!$H:$H,$IC27,'Existing Customers'!$A:$A,$ID$1),IT27*ID27),0)</f>
        <v>0</v>
      </c>
      <c r="IK27" s="1161">
        <f>IFERROR(IF(AND($ID$2&lt;&gt;"Enter Spend&gt;&gt;&gt;",IE2="EXISTING"),SUMIFS('Existing Customers'!$U:$U,'Existing Customers'!$H:$H,$IC27,'Existing Customers'!$A:$A,$ID$1),IU27*ID27),0)</f>
        <v>0</v>
      </c>
      <c r="IL27" s="1164" t="e">
        <f>_xlfn.CONCAT('Customer Inputs'!$AG$14,"_",IC27)</f>
        <v>#N/A</v>
      </c>
      <c r="IM27" s="1164">
        <f t="array" ref="IM27">IFERROR(INDEX('Margin Guidence Table'!$A$1:$AD$30000,MATCH(1,('Margin Guidence Table'!$A$1:$A$10000=IL27)*('Margin Guidence Table'!$I$1:$I$10000&lt;=ROUND($ID$3,0))*('Margin Guidence Table'!$J$1:$J$10000&gt;=ROUND($ID$3,0)),0),MATCH("DATA_POINTS",'Margin Guidence Table'!$A$1:$AG$1,0)),0)</f>
        <v>0</v>
      </c>
      <c r="IN27" s="1161" t="str">
        <f t="shared" si="39"/>
        <v>DEFAULT</v>
      </c>
      <c r="IO27" s="1161">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161">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165">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165">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165">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165">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165">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165">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9"/>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96" t="e">
        <f t="shared" si="40"/>
        <v>#DIV/0!</v>
      </c>
      <c r="IZ27" s="102" t="s">
        <v>92</v>
      </c>
      <c r="JA27" s="94">
        <f>IFERROR(IF(AND($JA$2&lt;&gt;"Enter Spend&gt;&gt;&gt;",JB15="EXISTING"),SUMIFS('Existing Customers'!$Q:$Q,'Existing Customers'!$A:$A,$JA$1,'Existing Customers'!$H:$H,$IZ27)*$JA$4,$JA$3*$IY27),0)</f>
        <v>0</v>
      </c>
      <c r="JB27" s="89">
        <f>IFERROR(IF(AND($JA$2&lt;&gt;"Enter Spend&gt;&gt;&gt;",JB2="EXISTING"),SUMIFS('Existing Customers'!$N:$N,'Existing Customers'!$A:$A,$JA$1,'Existing Customers'!$H:$H,$IZ27)*$JA$4,$JA27/$JL27),0)</f>
        <v>0</v>
      </c>
      <c r="JC27" s="95">
        <f>IFERROR(IF(AND($JA$2&lt;&gt;"Enter Spend&gt;&gt;&gt;",JB2="EXISTING"),SUMIFS('Existing Customers'!$O:$O,'Existing Customers'!$H:$H,$IZ27,'Existing Customers'!$A:$A,$JA$1)*$JA$4,$JB27*$JA$8),0)</f>
        <v>0</v>
      </c>
      <c r="JD27" s="95">
        <f>IFERROR(IF(AND($JA$2&lt;&gt;"Enter Spend&gt;&gt;&gt;",JB2="EXISTING"),SUMIFS('Existing Customers'!$P:$P,'Existing Customers'!$A:$A,$JA$1,'Existing Customers'!$H:$H,$IZ27)*$JA$4,$JA27/$JM27),0)</f>
        <v>0</v>
      </c>
      <c r="JE27" s="402">
        <f>IFERROR(IF(AND($JA$2&lt;&gt;"Enter Spend&gt;&gt;&gt;",JB2="EXISTING"),SUMIFS('Existing Customers'!$V:$V,'Existing Customers'!$H:$H,$IZ27,'Existing Customers'!$A:$A,$JA$1)*$JA$4,0),0)</f>
        <v>0</v>
      </c>
      <c r="JF27" s="96">
        <f>IFERROR(IF(AND($JA$2&lt;&gt;"Enter Spend&gt;&gt;&gt;",JB2="EXISTING"),SUMIFS('Existing Customers'!$R:$R,'Existing Customers'!$H:$H,$IZ27,'Existing Customers'!$A:$A,$JA$1)*$JA$4,0),0)</f>
        <v>0</v>
      </c>
      <c r="JG27" s="1161">
        <f>IFERROR(IF(AND($JA$2&lt;&gt;"Enter Spend&gt;&gt;&gt;",JB2="EXISTING"),SUMIFS('Existing Customers'!$S:$S,'Existing Customers'!$H:$H,$IZ27,'Existing Customers'!$A:$A,$JA$1),JQ27*JA27),0)</f>
        <v>0</v>
      </c>
      <c r="JH27" s="1161">
        <f>IFERROR(IF(AND($JA$2&lt;&gt;"Enter Spend&gt;&gt;&gt;",JB2="EXISTING"),SUMIFS('Existing Customers'!$U:$U,'Existing Customers'!$H:$H,$IZ27,'Existing Customers'!$A:$A,$JA$1),JR27*JA27),0)</f>
        <v>0</v>
      </c>
      <c r="JI27" s="1164" t="e">
        <f>_xlfn.CONCAT('Customer Inputs'!$AG$15,"_",IZ27)</f>
        <v>#N/A</v>
      </c>
      <c r="JJ27" s="1164">
        <f t="array" ref="JJ27">IFERROR(INDEX('Margin Guidence Table'!$A$1:$AD$30000,MATCH(1,('Margin Guidence Table'!$A$1:$A$10000=JI27)*('Margin Guidence Table'!$I$1:$I$10000&lt;=ROUND($JA$3,0))*('Margin Guidence Table'!$J$1:$J$10000&gt;=ROUND($JA$3,0)),0),MATCH("DATA_POINTS",'Margin Guidence Table'!$A$1:$AG$1,0)),0)</f>
        <v>0</v>
      </c>
      <c r="JK27" s="1161" t="str">
        <f t="shared" si="41"/>
        <v>DEFAULT</v>
      </c>
      <c r="JL27" s="1161">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161">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165">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165">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165">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165">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165">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165">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102" t="s">
        <v>92</v>
      </c>
      <c r="JV27" s="97"/>
      <c r="JW27" s="89"/>
      <c r="JX27" s="89"/>
      <c r="JY27" s="89"/>
      <c r="JZ27" s="114"/>
      <c r="KA27" s="98"/>
      <c r="KB27" s="129"/>
      <c r="KD27" s="102" t="s">
        <v>92</v>
      </c>
      <c r="KE27" s="97"/>
      <c r="KF27" s="89"/>
      <c r="KG27" s="89"/>
      <c r="KH27" s="89"/>
      <c r="KI27" s="114"/>
      <c r="KJ27" s="98"/>
    </row>
    <row r="28" spans="2:296" ht="15.75" thickBot="1" x14ac:dyDescent="0.3">
      <c r="B28" s="102" t="s">
        <v>91</v>
      </c>
      <c r="C28" s="480">
        <f t="shared" si="7"/>
        <v>0</v>
      </c>
      <c r="D28" s="496">
        <f t="shared" si="8"/>
        <v>0</v>
      </c>
      <c r="E28" s="496">
        <f t="shared" si="9"/>
        <v>0</v>
      </c>
      <c r="F28" s="496">
        <f t="shared" si="10"/>
        <v>0</v>
      </c>
      <c r="G28" s="497">
        <f t="shared" si="11"/>
        <v>0</v>
      </c>
      <c r="H28" s="496">
        <f t="shared" si="12"/>
        <v>0</v>
      </c>
      <c r="I28" s="1157" t="e">
        <f>ROUND(SUM($BB28*BO28+$BY28*CL28+$CV28*DI28+$DS28*EF28+$EP28*FC28+$FM28*FZ28+$GJ28*GW28+$HG28*HT28+$ID28*IQ28+$JA28*JN28)/$C28,2)</f>
        <v>#DIV/0!</v>
      </c>
      <c r="J28" s="1157" t="e">
        <f>ROUND(SUM($BB28*BP28+$BY28*CM28+$CV28*DJ28+$DS28*EG28+$EP28*FD28+$FM28*GA28+$GJ28*GX28+$HG28*HU28+$ID28*IR28+$JA28*JO28)/$C28,2)</f>
        <v>#DIV/0!</v>
      </c>
      <c r="K28" s="1157" t="e">
        <f>ROUND(SUM($BB28*BQ28+$BY28*CN28+$CV28*DK28+$DS28*EH28+$EP28*FE28+$FM28*GB28+$GJ28*GY28+$HG28*HV28+$ID28*IS28+$JA28*JP28)/$C28,2)</f>
        <v>#DIV/0!</v>
      </c>
      <c r="L28" s="496" t="e">
        <f t="shared" si="0"/>
        <v>#DIV/0!</v>
      </c>
      <c r="M28" s="496" t="e">
        <f t="shared" si="13"/>
        <v>#DIV/0!</v>
      </c>
      <c r="N28" s="1158" t="e">
        <f t="shared" si="1"/>
        <v>#DIV/0!</v>
      </c>
      <c r="P28" t="str">
        <f>'PIM Model'!E24</f>
        <v>INCLUDE</v>
      </c>
      <c r="Q28">
        <f t="shared" si="14"/>
        <v>0</v>
      </c>
      <c r="R28">
        <f t="shared" si="15"/>
        <v>0</v>
      </c>
      <c r="S28" s="102" t="s">
        <v>91</v>
      </c>
      <c r="T28" s="97">
        <f t="shared" si="16"/>
        <v>0</v>
      </c>
      <c r="U28" s="89">
        <f t="shared" si="2"/>
        <v>0</v>
      </c>
      <c r="V28" s="89">
        <f t="shared" si="3"/>
        <v>0</v>
      </c>
      <c r="W28" s="89">
        <f t="shared" si="4"/>
        <v>0</v>
      </c>
      <c r="X28" s="114">
        <f t="shared" si="5"/>
        <v>0</v>
      </c>
      <c r="Y28" s="117">
        <f t="shared" si="17"/>
        <v>0</v>
      </c>
      <c r="Z28" s="400"/>
      <c r="AA28" s="102" t="s">
        <v>91</v>
      </c>
      <c r="AB28" s="484">
        <f>SUMIFS($BB28:$JF28,$BB$12:$JF$12,AB$12)</f>
        <v>0</v>
      </c>
      <c r="AC28" s="485">
        <f>SUMIFS($BB28:$JF28,$BB$12:$JF$12,AC$12)</f>
        <v>0</v>
      </c>
      <c r="AD28" s="485">
        <f>SUMIFS($BB28:$JF28,$BB$12:$JF$12,AD$12)</f>
        <v>0</v>
      </c>
      <c r="AE28" s="486">
        <f t="shared" si="18"/>
        <v>0</v>
      </c>
      <c r="AF28" s="487">
        <f t="shared" si="19"/>
        <v>0</v>
      </c>
      <c r="AG28" s="400"/>
      <c r="AH28" s="102" t="s">
        <v>91</v>
      </c>
      <c r="AI28" s="484">
        <f t="shared" si="6"/>
        <v>0</v>
      </c>
      <c r="AJ28" s="481">
        <f t="shared" si="20"/>
        <v>0</v>
      </c>
      <c r="AK28" s="487"/>
      <c r="AL28" s="400"/>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400">
        <f>VLOOKUP($AH28&amp;$AM28,'IMargin Quartiles'!$A:$F,6,FALSE)</f>
        <v>0.16</v>
      </c>
      <c r="AO28" s="400"/>
      <c r="AP28"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Q28" s="400" t="e">
        <f t="shared" si="21"/>
        <v>#DIV/0!</v>
      </c>
      <c r="AR28">
        <f>'PIM Model'!C24</f>
        <v>0</v>
      </c>
      <c r="AS28" s="400"/>
      <c r="AT28" s="400"/>
      <c r="AU28" s="400" t="e">
        <f t="shared" si="42"/>
        <v>#DIV/0!</v>
      </c>
      <c r="AV28" s="400"/>
      <c r="AW28" s="400"/>
      <c r="AX28" s="108">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96" t="e">
        <f t="shared" si="22"/>
        <v>#DIV/0!</v>
      </c>
      <c r="BA28" s="102" t="s">
        <v>91</v>
      </c>
      <c r="BB28" s="94">
        <f>IFERROR(IF(AND($BB$2&lt;&gt;"Enter Spend&gt;&gt;&gt;",BC16="EXISTING"),SUMIFS('Existing Customers'!$Q:$Q,'Existing Customers'!$A:$A,$BB$1,'Existing Customers'!$H:$H,$BA28)*$BB$4,$BB$3*$AZ28),0)</f>
        <v>0</v>
      </c>
      <c r="BC28" s="95">
        <f>IFERROR(IF(AND($BB$2&lt;&gt;"Enter Spend&gt;&gt;&gt;",BC2="EXISTING"),SUMIFS('Existing Customers'!$N:$N,'Existing Customers'!$A:$A,$BB$1,'Existing Customers'!$H:$H,$BA28)*$BB$4,$BB28/$BM28),0)</f>
        <v>0</v>
      </c>
      <c r="BD28" s="95">
        <f>IFERROR(IF(AND($BB$2&lt;&gt;"Enter Spend&gt;&gt;&gt;",BC2="EXISTING"),SUMIFS('Existing Customers'!$O:$O,'Existing Customers'!$H:$H,$BA28,'Existing Customers'!$A:$A,$BB$1)*$BB$4,$BC28*$BB$8),0)</f>
        <v>0</v>
      </c>
      <c r="BE28" s="95">
        <f>IFERROR(IF(AND($BB$2&lt;&gt;"Enter Spend&gt;&gt;&gt;",BC2="EXISTING"),SUMIFS('Existing Customers'!$P:$P,'Existing Customers'!$A:$A,$BB$1,'Existing Customers'!$H:$H,$BA28)*$BB$4,$BB28/$BN28),0)</f>
        <v>0</v>
      </c>
      <c r="BF28" s="402">
        <f>IFERROR(IF(AND($BB$2&lt;&gt;"Enter Spend&gt;&gt;&gt;",BC2="EXISTING"),SUMIFS('Existing Customers'!$V:$V,'Existing Customers'!$H:$H,$BA28,'Existing Customers'!$A:$A,$BB$1)*$BB$4,0),0)</f>
        <v>0</v>
      </c>
      <c r="BG28" s="96">
        <f>IFERROR(IF(AND($BB$2&lt;&gt;"Enter Spend&gt;&gt;&gt;",BC2="EXISTING"),SUMIFS('Existing Customers'!$R:$R,'Existing Customers'!$H:$H,$BA28,'Existing Customers'!$A:$A,$BB$1)*$BB$4,0),0)</f>
        <v>0</v>
      </c>
      <c r="BH28" s="96">
        <f>IFERROR(IF(AND($BB$2&lt;&gt;"Enter Spend&gt;&gt;&gt;",BC2="EXISTING"),SUMIFS('Existing Customers'!$S:$S,'Existing Customers'!$H:$H,$BA28,'Existing Customers'!$A:$A,$BB$1),BR28*BB28),0)</f>
        <v>0</v>
      </c>
      <c r="BI28" s="96">
        <f>IFERROR(IF(AND($BB$2&lt;&gt;"Enter Spend&gt;&gt;&gt;",BC2="EXISTING"),SUMIFS('Existing Customers'!$U:$U,'Existing Customers'!$H:$H,$BA28,'Existing Customers'!$A:$A,$BB$1),BS28*BB28),0)</f>
        <v>0</v>
      </c>
      <c r="BJ28" s="1163" t="e">
        <f>_xlfn.CONCAT('Customer Inputs'!$AG$6,"_",BA28)</f>
        <v>#N/A</v>
      </c>
      <c r="BK28" s="1164">
        <f t="array" ref="BK28">IFERROR(INDEX('Margin Guidence Table'!$A$1:$AD$30000,MATCH(1,('Margin Guidence Table'!$A$1:$A$10000=$BJ28)*('Margin Guidence Table'!$I$1:$I$10000&lt;=ROUND($BB$3,0))*('Margin Guidence Table'!$J$1:$J$10000&gt;=ROUND($BB$3,0)),0),MATCH("DATA_POINTS",'Margin Guidence Table'!$A$1:$AG$1,0)),0)</f>
        <v>0</v>
      </c>
      <c r="BL28" s="1161" t="str">
        <f t="shared" si="23"/>
        <v>DEFAULT</v>
      </c>
      <c r="BM28" s="1161">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161">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165">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165">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165">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165">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165">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165">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9"/>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96" t="e">
        <f t="shared" si="24"/>
        <v>#DIV/0!</v>
      </c>
      <c r="BX28" s="102" t="s">
        <v>91</v>
      </c>
      <c r="BY28" s="94">
        <f>IFERROR(IF(AND($BY$2&lt;&gt;"Enter Spend&gt;&gt;&gt;",BZ16="EXISTING"),SUMIFS('Existing Customers'!$Q:$Q,'Existing Customers'!$A:$A,$BY$1,'Existing Customers'!$H:$H,$BX28)*$BY$4,$BY$3*$BW28),0)</f>
        <v>0</v>
      </c>
      <c r="BZ28" s="89">
        <f>IFERROR(IF(AND($BY$2&lt;&gt;"Enter Spend&gt;&gt;&gt;",BZ2="EXISTING"),SUMIFS('Existing Customers'!$N:$N,'Existing Customers'!$A:$A,$BY$1,'Existing Customers'!$H:$H,$BX28)*$BY$4,$BY28/$CJ28),0)</f>
        <v>0</v>
      </c>
      <c r="CA28" s="95">
        <f>IFERROR(IF(AND($BY$2&lt;&gt;"Enter Spend&gt;&gt;&gt;",BZ2="EXISTING"),SUMIFS('Existing Customers'!$O:$O,'Existing Customers'!$H:$H,$BX28,'Existing Customers'!$A:$A,$BY$1)*$BY$4,$BZ28*$BY$8),0)</f>
        <v>0</v>
      </c>
      <c r="CB28" s="95">
        <f>IFERROR(IF(AND($BY$2&lt;&gt;"Enter Spend&gt;&gt;&gt;",BZ2="EXISTING"),SUMIFS('Existing Customers'!$P:$P,'Existing Customers'!$A:$A,$BY$1,'Existing Customers'!$H:$H,$BX28)*$BY$4,$BY28/$CK28),0)</f>
        <v>0</v>
      </c>
      <c r="CC28" s="96">
        <f>IFERROR(IF(AND($BY$2&lt;&gt;"Enter Spend&gt;&gt;&gt;",BZ2="EXISTING"),SUMIFS('Existing Customers'!$V:$V,'Existing Customers'!$H:$H,$BX28,'Existing Customers'!$A:$A,$BY$1)*$BY$4,0),0)</f>
        <v>0</v>
      </c>
      <c r="CD28" s="96">
        <f>IFERROR(IF(AND($BY$2&lt;&gt;"Enter Spend&gt;&gt;&gt;",BZ2="EXISTING"),SUMIFS('Existing Customers'!$R:$R,'Existing Customers'!$H:$H,$BX28,'Existing Customers'!$A:$A,$BY$1)*$BY$4,0),0)</f>
        <v>0</v>
      </c>
      <c r="CE28" s="1161">
        <f>IFERROR(IF(AND($BY$2&lt;&gt;"Enter Spend&gt;&gt;&gt;",BZ2="EXISTING"),SUMIFS('Existing Customers'!$S:$S,'Existing Customers'!$H:$H,$BX28,'Existing Customers'!$A:$A,$BY$1),CO28*BY28),0)</f>
        <v>0</v>
      </c>
      <c r="CF28" s="1161">
        <f>IFERROR(IF(AND($BY$2&lt;&gt;"Enter Spend&gt;&gt;&gt;",BZ2="EXISTING"),SUMIFS('Existing Customers'!$U:$U,'Existing Customers'!$H:$H,$BX28,'Existing Customers'!$A:$A,$BY$1),CP28*BY28),0)</f>
        <v>0</v>
      </c>
      <c r="CG28" s="1164" t="e">
        <f>_xlfn.CONCAT('Customer Inputs'!$AG$7,"_",BX28)</f>
        <v>#N/A</v>
      </c>
      <c r="CH28" s="1164">
        <f t="array" ref="CH28">IFERROR(INDEX('Margin Guidence Table'!$A$1:$AD$30000,MATCH(1,('Margin Guidence Table'!$A$1:$A$10000=$CG28)*('Margin Guidence Table'!$I$1:$I$10000&lt;=ROUND($BY$3,0))*('Margin Guidence Table'!$J$1:$J$10000&gt;=ROUND($BY$3,0)),0),MATCH("DATA_POINTS",'Margin Guidence Table'!$A$1:$AG$1,0)),0)</f>
        <v>0</v>
      </c>
      <c r="CI28" s="1161" t="str">
        <f t="shared" si="25"/>
        <v>DEFAULT</v>
      </c>
      <c r="CJ28" s="1161">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161">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165">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165">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165">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165">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165">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165">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9"/>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96" t="e">
        <f t="shared" si="26"/>
        <v>#DIV/0!</v>
      </c>
      <c r="CU28" s="102" t="s">
        <v>91</v>
      </c>
      <c r="CV28" s="94">
        <f>IFERROR(IF(AND($CV$2&lt;&gt;"Enter Spend&gt;&gt;&gt;",CW16="EXISTING"),SUMIFS('Existing Customers'!$Q:$Q,'Existing Customers'!$A:$A,$CV$1,'Existing Customers'!$H:$H,$CU28)*$CV$4,$CV$3*$CT28),0)</f>
        <v>0</v>
      </c>
      <c r="CW28" s="89">
        <f>IFERROR(IF(AND($CV$2&lt;&gt;"Enter Spend&gt;&gt;&gt;",CW2="EXISTING"),SUMIFS('Existing Customers'!$N:$N,'Existing Customers'!$A:$A,$CV$1,'Existing Customers'!$H:$H,$CU28)*$CV$4,$CV28/$DG28),0)</f>
        <v>0</v>
      </c>
      <c r="CX28" s="95">
        <f>IFERROR(IF(AND($CV$2&lt;&gt;"Enter Spend&gt;&gt;&gt;",BC28="EXISTING"),SUMIFS('Existing Customers'!$O:$O,'Existing Customers'!$H:$H,$CU28,'Existing Customers'!$A:$A,$CV$1)*$CV$4,$CW28*$CV$8),0)</f>
        <v>0</v>
      </c>
      <c r="CY28" s="95">
        <f>IFERROR(IF(AND($CV$2&lt;&gt;"Enter Spend&gt;&gt;&gt;",CW2="EXISTING"),SUMIFS('Existing Customers'!$P:$P,'Existing Customers'!$A:$A,$CV$1,'Existing Customers'!$H:$H,$CU28)*$CV$4,$CV28/$DH28),0)</f>
        <v>0</v>
      </c>
      <c r="CZ28" s="96">
        <f>IFERROR(IF(AND($CV$2&lt;&gt;"Enter Spend&gt;&gt;&gt;",CW2="EXISTING"),SUMIFS('Existing Customers'!$V:$V,'Existing Customers'!$H:$H,$CU28,'Existing Customers'!$A:$A,$CV$1)*$CV$4,0),0)</f>
        <v>0</v>
      </c>
      <c r="DA28" s="96">
        <f>IFERROR(IF(AND($CV$2&lt;&gt;"Enter Spend&gt;&gt;&gt;",CW2="EXISTING"),SUMIFS('Existing Customers'!$R:$R,'Existing Customers'!$H:$H,$BA28,'Existing Customers'!$A:$A,$CV$1)*$CV$4,0),0)</f>
        <v>0</v>
      </c>
      <c r="DB28" s="1161">
        <f>IFERROR(IF(AND($CV$2&lt;&gt;"Enter Spend&gt;&gt;&gt;",CW2="EXISTING"),SUMIFS('Existing Customers'!$S:$S,'Existing Customers'!$H:$H,$CU28,'Existing Customers'!$A:$A,$CV$1),DL28*CV28),0)</f>
        <v>0</v>
      </c>
      <c r="DC28" s="1161">
        <f>IFERROR(IF(AND($CV$2&lt;&gt;"Enter Spend&gt;&gt;&gt;",CW2="EXISTING"),SUMIFS('Existing Customers'!$U:$U,'Existing Customers'!$H:$H,$CU28,'Existing Customers'!$A:$A,$CV$1),DM28*CV28),0)</f>
        <v>0</v>
      </c>
      <c r="DD28" s="1164" t="e">
        <f>_xlfn.CONCAT('Customer Inputs'!$AG$8,"_",CU28)</f>
        <v>#N/A</v>
      </c>
      <c r="DE28" s="1164">
        <f t="array" ref="DE28">IFERROR(INDEX('Margin Guidence Table'!$A$1:$AD$30000,MATCH(1,('Margin Guidence Table'!$A$1:$A$10000=DD28)*('Margin Guidence Table'!$I$1:$I$10000&lt;=ROUND($CV$3,0))*('Margin Guidence Table'!$J$1:$J$10000&gt;=ROUND($CV$3,0)),0),MATCH("DATA_POINTS",'Margin Guidence Table'!$A$1:$AG$1,0)),0)</f>
        <v>0</v>
      </c>
      <c r="DF28" s="1161" t="str">
        <f t="shared" si="27"/>
        <v>DEFAULT</v>
      </c>
      <c r="DG28" s="1161">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161">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165">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165">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165">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165">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165">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165">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9"/>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96" t="e">
        <f t="shared" si="28"/>
        <v>#DIV/0!</v>
      </c>
      <c r="DR28" s="102" t="s">
        <v>91</v>
      </c>
      <c r="DS28" s="94">
        <f>IFERROR(IF(AND($DS$2&lt;&gt;"Enter Spend&gt;&gt;&gt;",DT16="EXISTING"),SUMIFS('Existing Customers'!$Q:$Q,'Existing Customers'!$A:$A,$DS$1,'Existing Customers'!$H:$H,$DR28)*$DS$4,$DS$3*$DQ28),0)</f>
        <v>0</v>
      </c>
      <c r="DT28" s="89">
        <f>IFERROR(IF(AND($DS$2&lt;&gt;"Enter Spend&gt;&gt;&gt;",DT2="EXISTING"),SUMIFS('Existing Customers'!$N:$N,'Existing Customers'!$A:$A,$DS$1,'Existing Customers'!$H:$H,$DR28)*$DS$4,$DS28/$ED28),0)</f>
        <v>0</v>
      </c>
      <c r="DU28" s="95">
        <f>IFERROR(IF(AND($DS$2&lt;&gt;"Enter Spend&gt;&gt;&gt;",DT2="EXISTING"),SUMIFS('Existing Customers'!$O:$O,'Existing Customers'!$H:$H,$DR28,'Existing Customers'!$A:$A,$DS$1)*$DS$4,$DT28*$DS$8),0)</f>
        <v>0</v>
      </c>
      <c r="DV28" s="95">
        <f>IFERROR(IF(AND($DS$2&lt;&gt;"Enter Spend&gt;&gt;&gt;",DT2="EXISTING"),SUMIFS('Existing Customers'!$P:$P,'Existing Customers'!$A:$A,$DS$1,'Existing Customers'!$H:$H,$DR28)*$DS$4,$DS28/$EE28),0)</f>
        <v>0</v>
      </c>
      <c r="DW28" s="96">
        <f>IFERROR(IF(AND($DS$2&lt;&gt;"Enter Spend&gt;&gt;&gt;",EQ2="EXISTING"),SUMIFS('Existing Customers'!$V:$V,'Existing Customers'!$H:$H,$DR28,'Existing Customers'!$A:$A,$DS$1)*$DS$4,0),0)</f>
        <v>0</v>
      </c>
      <c r="DX28" s="96">
        <f>IFERROR(IF(AND($DS$2&lt;&gt;"Enter Spend&gt;&gt;&gt;",DT2="EXISTING"),SUMIFS('Existing Customers'!$R:$R,'Existing Customers'!$H:$H,$DR28,'Existing Customers'!$A:$A,$DS$1)*$DS$4,0),0)</f>
        <v>0</v>
      </c>
      <c r="DY28" s="1161">
        <f>IFERROR(IF(AND($DS$2&lt;&gt;"Enter Spend&gt;&gt;&gt;",DT2="EXISTING"),SUMIFS('Existing Customers'!$S:$S,'Existing Customers'!$H:$H,$DT28,'Existing Customers'!$A:$A,$DS$1),EI28*DS28),0)</f>
        <v>0</v>
      </c>
      <c r="DZ28" s="1161">
        <f>IFERROR(IF(AND($DS$2&lt;&gt;"Enter Spend&gt;&gt;&gt;",DT2="EXISTING"),SUMIFS('Existing Customers'!$U:$U,'Existing Customers'!$H:$H,$DR28,'Existing Customers'!$A:$A,$DS$1),EJ28*DS28),0)</f>
        <v>0</v>
      </c>
      <c r="EA28" s="1164" t="e">
        <f>_xlfn.CONCAT('Customer Inputs'!$AG$9,"_",DR28)</f>
        <v>#N/A</v>
      </c>
      <c r="EB28" s="1164">
        <f t="array" ref="EB28">IFERROR(INDEX('Margin Guidence Table'!$A$1:$AD$30000,MATCH(1,('Margin Guidence Table'!$A$1:$A$10000=EA28)*('Margin Guidence Table'!$I$1:$I$10000&lt;=ROUND($DS$3,0))*('Margin Guidence Table'!$J$1:$J$10000&gt;=ROUND($DS$3,0)),0),MATCH("DATA_POINTS",'Margin Guidence Table'!$A$1:$AG$1,0)),0)</f>
        <v>0</v>
      </c>
      <c r="EC28" s="1161" t="str">
        <f t="shared" si="29"/>
        <v>DEFAULT</v>
      </c>
      <c r="ED28" s="1161">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161">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165">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165">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165">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165">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165">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165">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9"/>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96" t="e">
        <f t="shared" si="30"/>
        <v>#DIV/0!</v>
      </c>
      <c r="EO28" s="102" t="s">
        <v>91</v>
      </c>
      <c r="EP28" s="94">
        <f>IFERROR(IF(AND($EP$2&lt;&gt;"Enter Spend&gt;&gt;&gt;",EQ16="EXISTING"),SUMIFS('Existing Customers'!$Q:$Q,'Existing Customers'!$A:$A,$EP$1,'Existing Customers'!$H:$H,$EO28)*$EP$4,$EP$3*$EN28),0)</f>
        <v>0</v>
      </c>
      <c r="EQ28" s="89">
        <f>IFERROR(IF(AND($EP$2&lt;&gt;"Enter Spend&gt;&gt;&gt;",EQ2="EXISTING"),SUMIFS('Existing Customers'!$N:$N,'Existing Customers'!$A:$A,$EP$1,'Existing Customers'!$H:$H,$EO28)*$EP$4,$EP28/$FA28),0)</f>
        <v>0</v>
      </c>
      <c r="ER28" s="95">
        <f>IFERROR(IF(AND($EP$2&lt;&gt;"Enter Spend&gt;&gt;&gt;",EQ2="EXISTING"),SUMIFS('Existing Customers'!$O:$O,'Existing Customers'!$H:$H,$EO28,'Existing Customers'!$A:$A,$EP$1)*$EP$4,$EQ28*$EP$8),0)</f>
        <v>0</v>
      </c>
      <c r="ES28" s="95">
        <f>IFERROR(IF(AND($EP$2&lt;&gt;"Enter Spend&gt;&gt;&gt;",EQ2="EXISTING"),SUMIFS('Existing Customers'!$P:$P,'Existing Customers'!$A:$A,$EP$1,'Existing Customers'!$H:$H,$EO28)*$EP$4,$EP28/$FB28),0)</f>
        <v>0</v>
      </c>
      <c r="ET28" s="96">
        <f>IFERROR(IF(AND($EP$2&lt;&gt;"Enter Spend&gt;&gt;&gt;",EQ2="EXISTING"),SUMIFS('Existing Customers'!$V:$V,'Existing Customers'!$H:$H,$EO28,'Existing Customers'!$A:$A,$EP$1)*$EP$4,0),0)</f>
        <v>0</v>
      </c>
      <c r="EU28" s="96">
        <f>IFERROR(IF(AND($EP$2&lt;&gt;"Enter Spend&gt;&gt;&gt;",EQ2="EXISTING"),SUMIFS('Existing Customers'!$R:$R,'Existing Customers'!$H:$H,$EO28,'Existing Customers'!$A:$A,$EP$1)*$EP$4,0),0)</f>
        <v>0</v>
      </c>
      <c r="EV28" s="1161">
        <f>IFERROR(IF(AND($EP$2&lt;&gt;"Enter Spend&gt;&gt;&gt;",EQ2="EXISTING"),SUMIFS('Existing Customers'!$S:$S,'Existing Customers'!$H:$H,$EO28,'Existing Customers'!$A:$A,$EP$1),FF28*EP28),0)</f>
        <v>0</v>
      </c>
      <c r="EW28" s="1161">
        <f>IFERROR(IF(AND($EP$2&lt;&gt;"Enter Spend&gt;&gt;&gt;",EQ2="EXISTING"),SUMIFS('Existing Customers'!$U:$U,'Existing Customers'!$H:$H,$EO28,'Existing Customers'!$A:$A,$EP$1),FG28*EP28),0)</f>
        <v>0</v>
      </c>
      <c r="EX28" s="1164" t="e">
        <f>_xlfn.CONCAT('Customer Inputs'!$AG$10,"_",EO28)</f>
        <v>#N/A</v>
      </c>
      <c r="EY28" s="1164">
        <f t="array" ref="EY28">IFERROR(INDEX('Margin Guidence Table'!$A$1:$AD$30000,MATCH(1,('Margin Guidence Table'!$A$1:$A$10000=EX28)*('Margin Guidence Table'!$I$1:$I$10000&lt;=ROUND($EP$3,0))*('Margin Guidence Table'!$J$1:$J$10000&gt;=ROUND($EP$3,0)),0),MATCH("DATA_POINTS",'Margin Guidence Table'!$A$1:$AG$1,0)),0)</f>
        <v>0</v>
      </c>
      <c r="EZ28" s="1161" t="str">
        <f t="shared" si="31"/>
        <v>DEFAULT</v>
      </c>
      <c r="FA28" s="1161">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161"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165">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165">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165">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165">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165">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165">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9"/>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96" t="e">
        <f t="shared" si="32"/>
        <v>#DIV/0!</v>
      </c>
      <c r="FL28" s="102" t="s">
        <v>91</v>
      </c>
      <c r="FM28" s="94">
        <f>IFERROR(IF(AND($FM$2&lt;&gt;"Enter Spend&gt;&gt;&gt;",FN16="EXISTING"),SUMIFS('Existing Customers'!$Q:$Q,'Existing Customers'!$A:$A,$FM$1,'Existing Customers'!$H:$H,$FL28)*$FM$4,$FM$3*$FK28),0)</f>
        <v>0</v>
      </c>
      <c r="FN28" s="89">
        <f>IFERROR(IF(AND($FM$2&lt;&gt;"Enter Spend&gt;&gt;&gt;",FN2="EXISTING"),SUMIFS('Existing Customers'!$N:$N,'Existing Customers'!$A:$A,$FM$1,'Existing Customers'!$H:$H,$FL28)*$FM$4,$FM28/$FX28),0)</f>
        <v>0</v>
      </c>
      <c r="FO28" s="95">
        <f>IFERROR(IF(AND($FM$2&lt;&gt;"Enter Spend&gt;&gt;&gt;",FN2="EXISTING"),SUMIFS('Existing Customers'!$O:$O,'Existing Customers'!$H:$H,$FL28,'Existing Customers'!$A:$A,$FM$1)*$FM$4,$FN28*$FM$8),0)</f>
        <v>0</v>
      </c>
      <c r="FP28" s="95">
        <f>IFERROR(IF(AND($FM$2&lt;&gt;"Enter Spend&gt;&gt;&gt;",FN2="EXISTING"),SUMIFS('Existing Customers'!$P:$P,'Existing Customers'!$A:$A,$FM$1,'Existing Customers'!$H:$H,$FL28)*$FM$4,$FM28/$FY28),0)</f>
        <v>0</v>
      </c>
      <c r="FQ28" s="96">
        <f>IFERROR(IF(AND($FM$2&lt;&gt;"Enter Spend&gt;&gt;&gt;",FN2="EXISTING"),SUMIFS('Existing Customers'!$V:$V,'Existing Customers'!$H:$H,$FL28,'Existing Customers'!$A:$A,$FM$1)*$FM$4,0),0)</f>
        <v>0</v>
      </c>
      <c r="FR28" s="96">
        <f>IFERROR(IF(AND($FM$2&lt;&gt;"Enter Spend&gt;&gt;&gt;",FN2="EXISTING"),SUMIFS('Existing Customers'!$R:$R,'Existing Customers'!$H:$H,$FL28,'Existing Customers'!$A:$A,$FM$1)*$FM$4,0),0)</f>
        <v>0</v>
      </c>
      <c r="FS28" s="1161">
        <f>IFERROR(IF(AND($FM$2&lt;&gt;"Enter Spend&gt;&gt;&gt;",FN2="EXISTING"),SUMIFS('Existing Customers'!$S:$S,'Existing Customers'!$H:$H,$FL28,'Existing Customers'!$A:$A,$FM$1),GC28*FM28),0)</f>
        <v>0</v>
      </c>
      <c r="FT28" s="1161">
        <f>IFERROR(IF(AND($FM$2&lt;&gt;"Enter Spend&gt;&gt;&gt;",FN2="EXISTING"),SUMIFS('Existing Customers'!$U:$U,'Existing Customers'!$H:$H,$FL28,'Existing Customers'!$A:$A,$FM$1),GD28*FM28),0)</f>
        <v>0</v>
      </c>
      <c r="FU28" s="1164" t="e">
        <f>_xlfn.CONCAT('Customer Inputs'!$AG$11,"_",FL28)</f>
        <v>#N/A</v>
      </c>
      <c r="FV28" s="1164">
        <f t="array" ref="FV28">IFERROR(INDEX('Margin Guidence Table'!$A$1:$AD$30000,MATCH(1,('Margin Guidence Table'!$A$1:$A$10000=FU28)*('Margin Guidence Table'!$I$1:$I$10000&lt;=ROUND($FM$3,0))*('Margin Guidence Table'!$J$1:$J$10000&gt;=ROUND($FM$3,0)),0),MATCH("DATA_POINTS",'Margin Guidence Table'!$A$1:$AG$1,0)),0)</f>
        <v>0</v>
      </c>
      <c r="FW28" s="1161" t="str">
        <f t="shared" si="33"/>
        <v>DEFAULT</v>
      </c>
      <c r="FX28" s="1161">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161">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165">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165">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165">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165">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165">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165">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9"/>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96" t="e">
        <f t="shared" si="34"/>
        <v>#DIV/0!</v>
      </c>
      <c r="GI28" s="102" t="s">
        <v>91</v>
      </c>
      <c r="GJ28" s="94">
        <f>IFERROR(IF(AND($GJ$2&lt;&gt;"Enter Spend&gt;&gt;&gt;",GK16="EXISTING"),SUMIFS('Existing Customers'!$Q:$Q,'Existing Customers'!$A:$A,$GJ$1,'Existing Customers'!$H:$H,$GI28)*$GJ$4,$GJ$3*$GH28),0)</f>
        <v>0</v>
      </c>
      <c r="GK28" s="89">
        <f>IFERROR(IF(AND($GJ$2&lt;&gt;"Enter Spend&gt;&gt;&gt;",GK2="EXISTING"),SUMIFS('Existing Customers'!$N:$N,'Existing Customers'!$A:$A,$GJ$1,'Existing Customers'!$H:$H,$GI28)*$GJ$4,$GJ28/$GU28),0)</f>
        <v>0</v>
      </c>
      <c r="GL28" s="95">
        <f>IFERROR(IF(AND($GJ$2&lt;&gt;"Enter Spend&gt;&gt;&gt;",GK2="EXISTING"),SUMIFS('Existing Customers'!$O:$O,'Existing Customers'!$H:$H,$GI28,'Existing Customers'!$A:$A,$GJ$1)*$GJ$4,$GK28*$GJ$8),0)</f>
        <v>0</v>
      </c>
      <c r="GM28" s="95">
        <f>IFERROR(IF(AND($GJ$2&lt;&gt;"Enter Spend&gt;&gt;&gt;",GK2="EXISTING"),SUMIFS('Existing Customers'!$P:$P,'Existing Customers'!$A:$A,$GJ$1,'Existing Customers'!$H:$H,$GI28)*$GJ$4,$GJ28/$GV28),0)</f>
        <v>0</v>
      </c>
      <c r="GN28" s="96">
        <f>IFERROR(IF(AND($GJ$2&lt;&gt;"Enter Spend&gt;&gt;&gt;",GK2="EXISTING"),SUMIFS('Existing Customers'!$V:$V,'Existing Customers'!$H:$H,$GI28,'Existing Customers'!$A:$A,$GJ$1)*$GJ$4,0),0)</f>
        <v>0</v>
      </c>
      <c r="GO28" s="96">
        <f>IFERROR(IF(AND($GJ$2&lt;&gt;"Enter Spend&gt;&gt;&gt;",GK2="EXISTING"),SUMIFS('Existing Customers'!$R:$R,'Existing Customers'!$H:$H,$GI28,'Existing Customers'!$A:$A,$GJ$1)*$GJ$4,0),0)</f>
        <v>0</v>
      </c>
      <c r="GP28" s="1161">
        <f>IFERROR(IF(AND($GJ$2&lt;&gt;"Enter Spend&gt;&gt;&gt;",GK2="EXISTING"),SUMIFS('Existing Customers'!$S:$S,'Existing Customers'!$H:$H,$GI28,'Existing Customers'!$A:$A,$GJ$1),GZ28*GJ28),0)</f>
        <v>0</v>
      </c>
      <c r="GQ28" s="1161">
        <f>IFERROR(IF(AND($GJ$2&lt;&gt;"Enter Spend&gt;&gt;&gt;",GK2="EXISTING"),SUMIFS('Existing Customers'!$U:$U,'Existing Customers'!$H:$H,$GI28,'Existing Customers'!$A:$A,$GJ$1),HA28*GJ28),0)</f>
        <v>0</v>
      </c>
      <c r="GR28" s="1164" t="e">
        <f>_xlfn.CONCAT('Customer Inputs'!$AG$12,"_",GI28)</f>
        <v>#N/A</v>
      </c>
      <c r="GS28" s="1164">
        <f t="array" ref="GS28">IFERROR(INDEX('Margin Guidence Table'!$A$1:$AD$30000,MATCH(1,('Margin Guidence Table'!$A$1:$A$10000=GR28)*('Margin Guidence Table'!$I$1:$I$10000&lt;=ROUND($GJ$3,0))*('Margin Guidence Table'!$J$1:$J$10000&gt;=ROUND($GJ$3,0)),0),MATCH("DATA_POINTS",'Margin Guidence Table'!$A$1:$AG$1,0)),0)</f>
        <v>0</v>
      </c>
      <c r="GT28" s="1161" t="str">
        <f t="shared" si="35"/>
        <v>DEFAULT</v>
      </c>
      <c r="GU28" s="1161">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161">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165">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165">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165">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165">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165">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165">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9"/>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96" t="e">
        <f t="shared" si="36"/>
        <v>#DIV/0!</v>
      </c>
      <c r="HF28" s="102" t="s">
        <v>91</v>
      </c>
      <c r="HG28" s="94">
        <f>IFERROR(IF(AND($HG$2&lt;&gt;"Enter Spend&gt;&gt;&gt;",HH16="EXISTING"),SUMIFS('Existing Customers'!$Q:$Q,'Existing Customers'!$A:$A,$HG$1,'Existing Customers'!$H:$H,$HF28)*$HG$4,$HG$3*$HE28),0)</f>
        <v>0</v>
      </c>
      <c r="HH28" s="89">
        <f>IFERROR(IF(AND($HG$2&lt;&gt;"Enter Spend&gt;&gt;&gt;",HH2="EXISTING"),SUMIFS('Existing Customers'!$N:$N,'Existing Customers'!$A:$A,$HG$1,'Existing Customers'!$H:$H,$HF28)*$HG$4,$HG28/$HR28),0)</f>
        <v>0</v>
      </c>
      <c r="HI28" s="95">
        <f>IFERROR(IF(AND($HG$2&lt;&gt;"Enter Spend&gt;&gt;&gt;",HH2="EXISTING"),SUMIFS('Existing Customers'!$O:$O,'Existing Customers'!$H:$H,$HF28,'Existing Customers'!$A:$A,$HG$1)*$HG$4,$HH28*$HG$8),0)</f>
        <v>0</v>
      </c>
      <c r="HJ28" s="95">
        <f>IFERROR(IF(AND($HG$2&lt;&gt;"Enter Spend&gt;&gt;&gt;",HH2="EXISTING"),SUMIFS('Existing Customers'!$P:$P,'Existing Customers'!$A:$A,$HG$1,'Existing Customers'!$H:$H,$HF28)*$HG$4,$HG28/$HS28),0)</f>
        <v>0</v>
      </c>
      <c r="HK28" s="96">
        <f>IFERROR(IF(AND($HG$2&lt;&gt;"Enter Spend&gt;&gt;&gt;",HH2="EXISTING"),SUMIFS('Existing Customers'!$V:$V,'Existing Customers'!$H:$H,$HF28,'Existing Customers'!$A:$A,$HG$1)*$HG$4,0),0)</f>
        <v>0</v>
      </c>
      <c r="HL28" s="96">
        <f>IFERROR(IF(AND($HG$2&lt;&gt;"Enter Spend&gt;&gt;&gt;",HH2="EXISTING"),SUMIFS('Existing Customers'!$R:$R,'Existing Customers'!$H:$H,$HF28,'Existing Customers'!$A:$A,$HG$1)*$HG$4,0),0)</f>
        <v>0</v>
      </c>
      <c r="HM28" s="1161">
        <f>IFERROR(IF(AND($HG$2&lt;&gt;"Enter Spend&gt;&gt;&gt;",HH2="EXISTING"),SUMIFS('Existing Customers'!$S:$S,'Existing Customers'!$H:$H,$HF28,'Existing Customers'!$A:$A,$HG$1),HW28*HG28),0)</f>
        <v>0</v>
      </c>
      <c r="HN28" s="1161">
        <f>IFERROR(IF(AND($HG$2&lt;&gt;"Enter Spend&gt;&gt;&gt;",HH2="EXISTING"),SUMIFS('Existing Customers'!$U:$U,'Existing Customers'!$H:$H,$HF28,'Existing Customers'!$A:$A,$HG$1),HX28*HG28),0)</f>
        <v>0</v>
      </c>
      <c r="HO28" s="1164" t="e">
        <f>_xlfn.CONCAT('Customer Inputs'!$AG$13,"_",HF28)</f>
        <v>#N/A</v>
      </c>
      <c r="HP28" s="1164">
        <f t="array" ref="HP28">IFERROR(INDEX('Margin Guidence Table'!$A$1:$AD$30000,MATCH(1,('Margin Guidence Table'!$A$1:$A$10000=HO28)*('Margin Guidence Table'!$I$1:$I$10000&lt;=ROUND($HG$3,0))*('Margin Guidence Table'!$J$1:$J$10000&gt;=ROUND($HG$3,0)),0),MATCH("DATA_POINTS",'Margin Guidence Table'!$A$1:$AG$1,0)),0)</f>
        <v>0</v>
      </c>
      <c r="HQ28" s="1161" t="str">
        <f t="shared" si="37"/>
        <v>DEFAULT</v>
      </c>
      <c r="HR28" s="1161">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161">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165">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165">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165">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165">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165">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165">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9"/>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96" t="e">
        <f t="shared" si="38"/>
        <v>#DIV/0!</v>
      </c>
      <c r="IC28" s="102" t="s">
        <v>91</v>
      </c>
      <c r="ID28" s="94">
        <f>IFERROR(IF(AND($ID$2&lt;&gt;"Enter Spend&gt;&gt;&gt;",IE16="EXISTING"),SUMIFS('Existing Customers'!$Q:$Q,'Existing Customers'!$A:$A,$ID$1,'Existing Customers'!$H:$H,$IC28)*$ID$4,$ID$3*$IB28),0)</f>
        <v>0</v>
      </c>
      <c r="IE28" s="89">
        <f>IFERROR(IF(AND($ID$2&lt;&gt;"Enter Spend&gt;&gt;&gt;",IE2="EXISTING"),SUMIFS('Existing Customers'!$N:$N,'Existing Customers'!$A:$A,$ID$1,'Existing Customers'!$H:$H,$IC28)*$ID$4,$ID28/$IO28),0)</f>
        <v>0</v>
      </c>
      <c r="IF28" s="95">
        <f>IFERROR(IF(AND($ID$2&lt;&gt;"Enter Spend&gt;&gt;&gt;",IE2="EXISTING"),SUMIFS('Existing Customers'!$O:$O,'Existing Customers'!$H:$H,$IC28,'Existing Customers'!$A:$A,$ID$1)*$ID$4,$IE28*$ID$8),0)</f>
        <v>0</v>
      </c>
      <c r="IG28" s="95">
        <f>IFERROR(IF(AND($ID$2&lt;&gt;"Enter Spend&gt;&gt;&gt;",IE2="EXISTING"),SUMIFS('Existing Customers'!$P:$P,'Existing Customers'!$A:$A,$ID$1,'Existing Customers'!$H:$H,$IC28)*$ID$4,$ID28/$IP28),0)</f>
        <v>0</v>
      </c>
      <c r="IH28" s="402">
        <f>IFERROR(IF(AND($ID$2&lt;&gt;"Enter Spend&gt;&gt;&gt;",IE2="EXISTING"),SUMIFS('Existing Customers'!$V:$V,'Existing Customers'!$H:$H,$IC28,'Existing Customers'!$A:$A,$ID$1)*$ID$4,0),0)</f>
        <v>0</v>
      </c>
      <c r="II28" s="96">
        <f>IFERROR(IF(AND($ID$2&lt;&gt;"Enter Spend&gt;&gt;&gt;",IE2="EXISTING"),SUMIFS('Existing Customers'!$R:$R,'Existing Customers'!$H:$H,$IC28,'Existing Customers'!$A:$A,$ID$1)*$ID$4,0),0)</f>
        <v>0</v>
      </c>
      <c r="IJ28" s="1161">
        <f>IFERROR(IF(AND($ID$2&lt;&gt;"Enter Spend&gt;&gt;&gt;",IE2="EXISTING"),SUMIFS('Existing Customers'!$S:$S,'Existing Customers'!$H:$H,$IC28,'Existing Customers'!$A:$A,$ID$1),IT28*ID28),0)</f>
        <v>0</v>
      </c>
      <c r="IK28" s="1161">
        <f>IFERROR(IF(AND($ID$2&lt;&gt;"Enter Spend&gt;&gt;&gt;",IE2="EXISTING"),SUMIFS('Existing Customers'!$U:$U,'Existing Customers'!$H:$H,$IC28,'Existing Customers'!$A:$A,$ID$1),IU28*ID28),0)</f>
        <v>0</v>
      </c>
      <c r="IL28" s="1164" t="e">
        <f>_xlfn.CONCAT('Customer Inputs'!$AG$14,"_",IC28)</f>
        <v>#N/A</v>
      </c>
      <c r="IM28" s="1164">
        <f t="array" ref="IM28">IFERROR(INDEX('Margin Guidence Table'!$A$1:$AD$30000,MATCH(1,('Margin Guidence Table'!$A$1:$A$10000=IL28)*('Margin Guidence Table'!$I$1:$I$10000&lt;=ROUND($ID$3,0))*('Margin Guidence Table'!$J$1:$J$10000&gt;=ROUND($ID$3,0)),0),MATCH("DATA_POINTS",'Margin Guidence Table'!$A$1:$AG$1,0)),0)</f>
        <v>0</v>
      </c>
      <c r="IN28" s="1161" t="str">
        <f t="shared" si="39"/>
        <v>DEFAULT</v>
      </c>
      <c r="IO28" s="1161">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161">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165">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165">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165">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165">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165">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165">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9"/>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96" t="e">
        <f t="shared" si="40"/>
        <v>#DIV/0!</v>
      </c>
      <c r="IZ28" s="102" t="s">
        <v>91</v>
      </c>
      <c r="JA28" s="94">
        <f>IFERROR(IF(AND($JA$2&lt;&gt;"Enter Spend&gt;&gt;&gt;",JB16="EXISTING"),SUMIFS('Existing Customers'!$Q:$Q,'Existing Customers'!$A:$A,$JA$1,'Existing Customers'!$H:$H,$IZ28)*$JA$4,$JA$3*$IY28),0)</f>
        <v>0</v>
      </c>
      <c r="JB28" s="89">
        <f>IFERROR(IF(AND($JA$2&lt;&gt;"Enter Spend&gt;&gt;&gt;",JB2="EXISTING"),SUMIFS('Existing Customers'!$N:$N,'Existing Customers'!$A:$A,$JA$1,'Existing Customers'!$H:$H,$IZ28)*$JA$4,$JA28/$JL28),0)</f>
        <v>0</v>
      </c>
      <c r="JC28" s="95">
        <f>IFERROR(IF(AND($JA$2&lt;&gt;"Enter Spend&gt;&gt;&gt;",JB2="EXISTING"),SUMIFS('Existing Customers'!$O:$O,'Existing Customers'!$H:$H,$IZ28,'Existing Customers'!$A:$A,$JA$1)*$JA$4,$JB28*$JA$8),0)</f>
        <v>0</v>
      </c>
      <c r="JD28" s="95">
        <f>IFERROR(IF(AND($JA$2&lt;&gt;"Enter Spend&gt;&gt;&gt;",JB2="EXISTING"),SUMIFS('Existing Customers'!$P:$P,'Existing Customers'!$A:$A,$JA$1,'Existing Customers'!$H:$H,$IZ28)*$JA$4,$JA28/$JM28),0)</f>
        <v>0</v>
      </c>
      <c r="JE28" s="402">
        <f>IFERROR(IF(AND($JA$2&lt;&gt;"Enter Spend&gt;&gt;&gt;",JB2="EXISTING"),SUMIFS('Existing Customers'!$V:$V,'Existing Customers'!$H:$H,$IZ28,'Existing Customers'!$A:$A,$JA$1)*$JA$4,0),0)</f>
        <v>0</v>
      </c>
      <c r="JF28" s="96">
        <f>IFERROR(IF(AND($JA$2&lt;&gt;"Enter Spend&gt;&gt;&gt;",JB2="EXISTING"),SUMIFS('Existing Customers'!$R:$R,'Existing Customers'!$H:$H,$IZ28,'Existing Customers'!$A:$A,$JA$1)*$JA$4,0),0)</f>
        <v>0</v>
      </c>
      <c r="JG28" s="1161">
        <f>IFERROR(IF(AND($JA$2&lt;&gt;"Enter Spend&gt;&gt;&gt;",JB2="EXISTING"),SUMIFS('Existing Customers'!$S:$S,'Existing Customers'!$H:$H,$IZ28,'Existing Customers'!$A:$A,$JA$1),JQ28*JA28),0)</f>
        <v>0</v>
      </c>
      <c r="JH28" s="1161">
        <f>IFERROR(IF(AND($JA$2&lt;&gt;"Enter Spend&gt;&gt;&gt;",JB2="EXISTING"),SUMIFS('Existing Customers'!$U:$U,'Existing Customers'!$H:$H,$IZ28,'Existing Customers'!$A:$A,$JA$1),JR28*JA28),0)</f>
        <v>0</v>
      </c>
      <c r="JI28" s="1164" t="e">
        <f>_xlfn.CONCAT('Customer Inputs'!$AG$15,"_",IZ28)</f>
        <v>#N/A</v>
      </c>
      <c r="JJ28" s="1164">
        <f t="array" ref="JJ28">IFERROR(INDEX('Margin Guidence Table'!$A$1:$AD$30000,MATCH(1,('Margin Guidence Table'!$A$1:$A$10000=JI28)*('Margin Guidence Table'!$I$1:$I$10000&lt;=ROUND($JA$3,0))*('Margin Guidence Table'!$J$1:$J$10000&gt;=ROUND($JA$3,0)),0),MATCH("DATA_POINTS",'Margin Guidence Table'!$A$1:$AG$1,0)),0)</f>
        <v>0</v>
      </c>
      <c r="JK28" s="1161" t="str">
        <f t="shared" si="41"/>
        <v>DEFAULT</v>
      </c>
      <c r="JL28" s="1161">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161">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165">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165">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165">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165">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165">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165">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102" t="s">
        <v>91</v>
      </c>
      <c r="JV28" s="97"/>
      <c r="JW28" s="89"/>
      <c r="JX28" s="89"/>
      <c r="JY28" s="89"/>
      <c r="JZ28" s="114"/>
      <c r="KA28" s="98"/>
      <c r="KB28" s="129"/>
      <c r="KD28" s="102" t="s">
        <v>91</v>
      </c>
      <c r="KE28" s="97"/>
      <c r="KF28" s="89"/>
      <c r="KG28" s="89"/>
      <c r="KH28" s="89"/>
      <c r="KI28" s="114"/>
      <c r="KJ28" s="98"/>
    </row>
    <row r="29" spans="2:296" ht="15.75" thickBot="1" x14ac:dyDescent="0.3">
      <c r="B29" s="102" t="s">
        <v>90</v>
      </c>
      <c r="C29" s="480">
        <f t="shared" si="7"/>
        <v>0</v>
      </c>
      <c r="D29" s="496">
        <f t="shared" si="8"/>
        <v>0</v>
      </c>
      <c r="E29" s="496">
        <f t="shared" si="9"/>
        <v>0</v>
      </c>
      <c r="F29" s="496">
        <f t="shared" si="10"/>
        <v>0</v>
      </c>
      <c r="G29" s="497">
        <f t="shared" si="11"/>
        <v>0</v>
      </c>
      <c r="H29" s="496">
        <f t="shared" si="12"/>
        <v>0</v>
      </c>
      <c r="I29" s="1157" t="e">
        <f>ROUND(SUM($BB29*BO29+$BY29*CL29+$CV29*DI29+$DS29*EF29+$EP29*FC29+$FM29*FZ29+$GJ29*GW29+$HG29*HT29+$ID29*IQ29+$JA29*JN29)/$C29,2)</f>
        <v>#DIV/0!</v>
      </c>
      <c r="J29" s="1157" t="e">
        <f>ROUND(SUM($BB29*BP29+$BY29*CM29+$CV29*DJ29+$DS29*EG29+$EP29*FD29+$FM29*GA29+$GJ29*GX29+$HG29*HU29+$ID29*IR29+$JA29*JO29)/$C29,2)</f>
        <v>#DIV/0!</v>
      </c>
      <c r="K29" s="1157" t="e">
        <f>ROUND(SUM($BB29*BQ29+$BY29*CN29+$CV29*DK29+$DS29*EH29+$EP29*FE29+$FM29*GB29+$GJ29*GY29+$HG29*HV29+$ID29*IS29+$JA29*JP29)/$C29,2)</f>
        <v>#DIV/0!</v>
      </c>
      <c r="L29" s="496" t="e">
        <f t="shared" si="0"/>
        <v>#DIV/0!</v>
      </c>
      <c r="M29" s="496" t="e">
        <f t="shared" si="13"/>
        <v>#DIV/0!</v>
      </c>
      <c r="N29" s="1158" t="e">
        <f t="shared" si="1"/>
        <v>#DIV/0!</v>
      </c>
      <c r="P29" t="str">
        <f>'PIM Model'!E25</f>
        <v>INCLUDE</v>
      </c>
      <c r="Q29">
        <f t="shared" si="14"/>
        <v>0</v>
      </c>
      <c r="R29">
        <f t="shared" si="15"/>
        <v>0</v>
      </c>
      <c r="S29" s="102" t="s">
        <v>90</v>
      </c>
      <c r="T29" s="97">
        <f t="shared" si="16"/>
        <v>0</v>
      </c>
      <c r="U29" s="89">
        <f t="shared" si="2"/>
        <v>0</v>
      </c>
      <c r="V29" s="89">
        <f t="shared" si="3"/>
        <v>0</v>
      </c>
      <c r="W29" s="89">
        <f t="shared" si="4"/>
        <v>0</v>
      </c>
      <c r="X29" s="114">
        <f t="shared" si="5"/>
        <v>0</v>
      </c>
      <c r="Y29" s="117">
        <f t="shared" si="17"/>
        <v>0</v>
      </c>
      <c r="Z29" s="400"/>
      <c r="AA29" s="102" t="s">
        <v>90</v>
      </c>
      <c r="AB29" s="484">
        <f>SUMIFS($BB29:$JF29,$BB$12:$JF$12,AB$12)</f>
        <v>0</v>
      </c>
      <c r="AC29" s="485">
        <f>SUMIFS($BB29:$JF29,$BB$12:$JF$12,AC$12)</f>
        <v>0</v>
      </c>
      <c r="AD29" s="485">
        <f>SUMIFS($BB29:$JF29,$BB$12:$JF$12,AD$12)</f>
        <v>0</v>
      </c>
      <c r="AE29" s="486">
        <f t="shared" si="18"/>
        <v>0</v>
      </c>
      <c r="AF29" s="487">
        <f t="shared" si="19"/>
        <v>0</v>
      </c>
      <c r="AG29" s="400"/>
      <c r="AH29" s="102" t="s">
        <v>90</v>
      </c>
      <c r="AI29" s="484">
        <f t="shared" si="6"/>
        <v>0</v>
      </c>
      <c r="AJ29" s="481">
        <f t="shared" si="20"/>
        <v>0</v>
      </c>
      <c r="AK29" s="487"/>
      <c r="AL29" s="400"/>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400">
        <f>VLOOKUP($AH29&amp;$AM29,'IMargin Quartiles'!$A:$F,6,FALSE)</f>
        <v>0.11</v>
      </c>
      <c r="AO29" s="400"/>
      <c r="AP29"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Q29" s="400" t="e">
        <f t="shared" si="21"/>
        <v>#DIV/0!</v>
      </c>
      <c r="AR29">
        <f>'PIM Model'!C25</f>
        <v>0</v>
      </c>
      <c r="AS29" s="400"/>
      <c r="AT29" s="400"/>
      <c r="AU29" s="400" t="e">
        <f t="shared" si="42"/>
        <v>#DIV/0!</v>
      </c>
      <c r="AV29" s="400"/>
      <c r="AW29" s="400"/>
      <c r="AX29" s="108">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96" t="e">
        <f t="shared" si="22"/>
        <v>#DIV/0!</v>
      </c>
      <c r="BA29" s="102" t="s">
        <v>90</v>
      </c>
      <c r="BB29" s="94">
        <f>IFERROR(IF(AND($BB$2&lt;&gt;"Enter Spend&gt;&gt;&gt;",BC17="EXISTING"),SUMIFS('Existing Customers'!$Q:$Q,'Existing Customers'!$A:$A,$BB$1,'Existing Customers'!$H:$H,$BA29)*$BB$4,$BB$3*$AZ29),0)</f>
        <v>0</v>
      </c>
      <c r="BC29" s="95">
        <f>IFERROR(IF(AND($BB$2&lt;&gt;"Enter Spend&gt;&gt;&gt;",BC2="EXISTING"),SUMIFS('Existing Customers'!$N:$N,'Existing Customers'!$A:$A,$BB$1,'Existing Customers'!$H:$H,$BA29)*$BB$4,$BB29/$BM29),0)</f>
        <v>0</v>
      </c>
      <c r="BD29" s="95">
        <f>IFERROR(IF(AND($BB$2&lt;&gt;"Enter Spend&gt;&gt;&gt;",BC2="EXISTING"),SUMIFS('Existing Customers'!$O:$O,'Existing Customers'!$H:$H,$BA29,'Existing Customers'!$A:$A,$BB$1)*$BB$4,$BC29*$BB$8),0)</f>
        <v>0</v>
      </c>
      <c r="BE29" s="95">
        <f>IFERROR(IF(AND($BB$2&lt;&gt;"Enter Spend&gt;&gt;&gt;",BC2="EXISTING"),SUMIFS('Existing Customers'!$P:$P,'Existing Customers'!$A:$A,$BB$1,'Existing Customers'!$H:$H,$BA29)*$BB$4,$BB29/$BN29),0)</f>
        <v>0</v>
      </c>
      <c r="BF29" s="402">
        <f>IFERROR(IF(AND($BB$2&lt;&gt;"Enter Spend&gt;&gt;&gt;",BC2="EXISTING"),SUMIFS('Existing Customers'!$V:$V,'Existing Customers'!$H:$H,$BA29,'Existing Customers'!$A:$A,$BB$1)*$BB$4,0),0)</f>
        <v>0</v>
      </c>
      <c r="BG29" s="96">
        <f>IFERROR(IF(AND($BB$2&lt;&gt;"Enter Spend&gt;&gt;&gt;",BC2="EXISTING"),SUMIFS('Existing Customers'!$R:$R,'Existing Customers'!$H:$H,$BA29,'Existing Customers'!$A:$A,$BB$1)*$BB$4,0),0)</f>
        <v>0</v>
      </c>
      <c r="BH29" s="96">
        <f>IFERROR(IF(AND($BB$2&lt;&gt;"Enter Spend&gt;&gt;&gt;",BC2="EXISTING"),SUMIFS('Existing Customers'!$S:$S,'Existing Customers'!$H:$H,$BA29,'Existing Customers'!$A:$A,$BB$1),BR29*BB29),0)</f>
        <v>0</v>
      </c>
      <c r="BI29" s="96">
        <f>IFERROR(IF(AND($BB$2&lt;&gt;"Enter Spend&gt;&gt;&gt;",BC2="EXISTING"),SUMIFS('Existing Customers'!$U:$U,'Existing Customers'!$H:$H,$BA29,'Existing Customers'!$A:$A,$BB$1),BS29*BB29),0)</f>
        <v>0</v>
      </c>
      <c r="BJ29" s="1163" t="e">
        <f>_xlfn.CONCAT('Customer Inputs'!$AG$6,"_",BA29)</f>
        <v>#N/A</v>
      </c>
      <c r="BK29" s="1164">
        <f t="array" ref="BK29">IFERROR(INDEX('Margin Guidence Table'!$A$1:$AD$30000,MATCH(1,('Margin Guidence Table'!$A$1:$A$10000=$BJ29)*('Margin Guidence Table'!$I$1:$I$10000&lt;=ROUND($BB$3,0))*('Margin Guidence Table'!$J$1:$J$10000&gt;=ROUND($BB$3,0)),0),MATCH("DATA_POINTS",'Margin Guidence Table'!$A$1:$AG$1,0)),0)</f>
        <v>0</v>
      </c>
      <c r="BL29" s="1161" t="str">
        <f t="shared" si="23"/>
        <v>DEFAULT</v>
      </c>
      <c r="BM29" s="1161">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161">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165">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165">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165">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165">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165">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165">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9"/>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96" t="e">
        <f t="shared" si="24"/>
        <v>#DIV/0!</v>
      </c>
      <c r="BX29" s="102" t="s">
        <v>90</v>
      </c>
      <c r="BY29" s="94">
        <f>IFERROR(IF(AND($BY$2&lt;&gt;"Enter Spend&gt;&gt;&gt;",BZ17="EXISTING"),SUMIFS('Existing Customers'!$Q:$Q,'Existing Customers'!$A:$A,$BY$1,'Existing Customers'!$H:$H,$BX29)*$BY$4,$BY$3*$BW29),0)</f>
        <v>0</v>
      </c>
      <c r="BZ29" s="89">
        <f>IFERROR(IF(AND($BY$2&lt;&gt;"Enter Spend&gt;&gt;&gt;",BZ2="EXISTING"),SUMIFS('Existing Customers'!$N:$N,'Existing Customers'!$A:$A,$BY$1,'Existing Customers'!$H:$H,$BX29)*$BY$4,$BY29/$CJ29),0)</f>
        <v>0</v>
      </c>
      <c r="CA29" s="95">
        <f>IFERROR(IF(AND($BY$2&lt;&gt;"Enter Spend&gt;&gt;&gt;",BZ2="EXISTING"),SUMIFS('Existing Customers'!$O:$O,'Existing Customers'!$H:$H,$BX29,'Existing Customers'!$A:$A,$BY$1)*$BY$4,$BZ29*$BY$8),0)</f>
        <v>0</v>
      </c>
      <c r="CB29" s="95">
        <f>IFERROR(IF(AND($BY$2&lt;&gt;"Enter Spend&gt;&gt;&gt;",BZ2="EXISTING"),SUMIFS('Existing Customers'!$P:$P,'Existing Customers'!$A:$A,$BY$1,'Existing Customers'!$H:$H,$BX29)*$BY$4,$BY29/$CK29),0)</f>
        <v>0</v>
      </c>
      <c r="CC29" s="96">
        <f>IFERROR(IF(AND($BY$2&lt;&gt;"Enter Spend&gt;&gt;&gt;",BZ2="EXISTING"),SUMIFS('Existing Customers'!$V:$V,'Existing Customers'!$H:$H,$BX29,'Existing Customers'!$A:$A,$BY$1)*$BY$4,0),0)</f>
        <v>0</v>
      </c>
      <c r="CD29" s="96">
        <f>IFERROR(IF(AND($BY$2&lt;&gt;"Enter Spend&gt;&gt;&gt;",BZ2="EXISTING"),SUMIFS('Existing Customers'!$R:$R,'Existing Customers'!$H:$H,$BX29,'Existing Customers'!$A:$A,$BY$1)*$BY$4,0),0)</f>
        <v>0</v>
      </c>
      <c r="CE29" s="1161">
        <f>IFERROR(IF(AND($BY$2&lt;&gt;"Enter Spend&gt;&gt;&gt;",BZ2="EXISTING"),SUMIFS('Existing Customers'!$S:$S,'Existing Customers'!$H:$H,$BX29,'Existing Customers'!$A:$A,$BY$1),CO29*BY29),0)</f>
        <v>0</v>
      </c>
      <c r="CF29" s="1161">
        <f>IFERROR(IF(AND($BY$2&lt;&gt;"Enter Spend&gt;&gt;&gt;",BZ2="EXISTING"),SUMIFS('Existing Customers'!$U:$U,'Existing Customers'!$H:$H,$BX29,'Existing Customers'!$A:$A,$BY$1),CP29*BY29),0)</f>
        <v>0</v>
      </c>
      <c r="CG29" s="1164" t="e">
        <f>_xlfn.CONCAT('Customer Inputs'!$AG$7,"_",BX29)</f>
        <v>#N/A</v>
      </c>
      <c r="CH29" s="1164">
        <f t="array" ref="CH29">IFERROR(INDEX('Margin Guidence Table'!$A$1:$AD$30000,MATCH(1,('Margin Guidence Table'!$A$1:$A$10000=$CG29)*('Margin Guidence Table'!$I$1:$I$10000&lt;=ROUND($BY$3,0))*('Margin Guidence Table'!$J$1:$J$10000&gt;=ROUND($BY$3,0)),0),MATCH("DATA_POINTS",'Margin Guidence Table'!$A$1:$AG$1,0)),0)</f>
        <v>0</v>
      </c>
      <c r="CI29" s="1161" t="str">
        <f t="shared" si="25"/>
        <v>DEFAULT</v>
      </c>
      <c r="CJ29" s="1161">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161">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165">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165">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165">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165">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165">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165">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9"/>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96" t="e">
        <f t="shared" si="26"/>
        <v>#DIV/0!</v>
      </c>
      <c r="CU29" s="102" t="s">
        <v>90</v>
      </c>
      <c r="CV29" s="94">
        <f>IFERROR(IF(AND($CV$2&lt;&gt;"Enter Spend&gt;&gt;&gt;",CW17="EXISTING"),SUMIFS('Existing Customers'!$Q:$Q,'Existing Customers'!$A:$A,$CV$1,'Existing Customers'!$H:$H,$CU29)*$CV$4,$CV$3*$CT29),0)</f>
        <v>0</v>
      </c>
      <c r="CW29" s="89">
        <f>IFERROR(IF(AND($CV$2&lt;&gt;"Enter Spend&gt;&gt;&gt;",CW2="EXISTING"),SUMIFS('Existing Customers'!$N:$N,'Existing Customers'!$A:$A,$CV$1,'Existing Customers'!$H:$H,$CU29)*$CV$4,$CV29/$DG29),0)</f>
        <v>0</v>
      </c>
      <c r="CX29" s="95">
        <f>IFERROR(IF(AND($CV$2&lt;&gt;"Enter Spend&gt;&gt;&gt;",BC28="EXISTING"),SUMIFS('Existing Customers'!$O:$O,'Existing Customers'!$H:$H,$CU29,'Existing Customers'!$A:$A,$CV$1)*$CV$4,$CW29*$CV$8),0)</f>
        <v>0</v>
      </c>
      <c r="CY29" s="95">
        <f>IFERROR(IF(AND($CV$2&lt;&gt;"Enter Spend&gt;&gt;&gt;",CW2="EXISTING"),SUMIFS('Existing Customers'!$P:$P,'Existing Customers'!$A:$A,$CV$1,'Existing Customers'!$H:$H,$CU29)*$CV$4,$CV29/$DH29),0)</f>
        <v>0</v>
      </c>
      <c r="CZ29" s="96">
        <f>IFERROR(IF(AND($CV$2&lt;&gt;"Enter Spend&gt;&gt;&gt;",CW2="EXISTING"),SUMIFS('Existing Customers'!$V:$V,'Existing Customers'!$H:$H,$CU29,'Existing Customers'!$A:$A,$CV$1)*$CV$4,0),0)</f>
        <v>0</v>
      </c>
      <c r="DA29" s="96">
        <f>IFERROR(IF(AND($CV$2&lt;&gt;"Enter Spend&gt;&gt;&gt;",CW2="EXISTING"),SUMIFS('Existing Customers'!$R:$R,'Existing Customers'!$H:$H,$BA29,'Existing Customers'!$A:$A,$CV$1)*$CV$4,0),0)</f>
        <v>0</v>
      </c>
      <c r="DB29" s="1161">
        <f>IFERROR(IF(AND($CV$2&lt;&gt;"Enter Spend&gt;&gt;&gt;",CW2="EXISTING"),SUMIFS('Existing Customers'!$S:$S,'Existing Customers'!$H:$H,$CU29,'Existing Customers'!$A:$A,$CV$1),DL29*CV29),0)</f>
        <v>0</v>
      </c>
      <c r="DC29" s="1161">
        <f>IFERROR(IF(AND($CV$2&lt;&gt;"Enter Spend&gt;&gt;&gt;",CW2="EXISTING"),SUMIFS('Existing Customers'!$U:$U,'Existing Customers'!$H:$H,$CU29,'Existing Customers'!$A:$A,$CV$1),DM29*CV29),0)</f>
        <v>0</v>
      </c>
      <c r="DD29" s="1164" t="e">
        <f>_xlfn.CONCAT('Customer Inputs'!$AG$8,"_",CU29)</f>
        <v>#N/A</v>
      </c>
      <c r="DE29" s="1164">
        <f t="array" ref="DE29">IFERROR(INDEX('Margin Guidence Table'!$A$1:$AD$30000,MATCH(1,('Margin Guidence Table'!$A$1:$A$10000=DD29)*('Margin Guidence Table'!$I$1:$I$10000&lt;=ROUND($CV$3,0))*('Margin Guidence Table'!$J$1:$J$10000&gt;=ROUND($CV$3,0)),0),MATCH("DATA_POINTS",'Margin Guidence Table'!$A$1:$AG$1,0)),0)</f>
        <v>0</v>
      </c>
      <c r="DF29" s="1161" t="str">
        <f t="shared" si="27"/>
        <v>DEFAULT</v>
      </c>
      <c r="DG29" s="1161">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161">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165">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165">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165">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165">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165">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165">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9"/>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96" t="e">
        <f t="shared" si="28"/>
        <v>#DIV/0!</v>
      </c>
      <c r="DR29" s="102" t="s">
        <v>90</v>
      </c>
      <c r="DS29" s="94">
        <f>IFERROR(IF(AND($DS$2&lt;&gt;"Enter Spend&gt;&gt;&gt;",DT17="EXISTING"),SUMIFS('Existing Customers'!$Q:$Q,'Existing Customers'!$A:$A,$DS$1,'Existing Customers'!$H:$H,$DR29)*$DS$4,$DS$3*$DQ29),0)</f>
        <v>0</v>
      </c>
      <c r="DT29" s="89">
        <f>IFERROR(IF(AND($DS$2&lt;&gt;"Enter Spend&gt;&gt;&gt;",DT2="EXISTING"),SUMIFS('Existing Customers'!$N:$N,'Existing Customers'!$A:$A,$DS$1,'Existing Customers'!$H:$H,$DR29)*$DS$4,$DS29/$ED29),0)</f>
        <v>0</v>
      </c>
      <c r="DU29" s="95">
        <f>IFERROR(IF(AND($DS$2&lt;&gt;"Enter Spend&gt;&gt;&gt;",DT2="EXISTING"),SUMIFS('Existing Customers'!$O:$O,'Existing Customers'!$H:$H,$DR29,'Existing Customers'!$A:$A,$DS$1)*$DS$4,$DT29*$DS$8),0)</f>
        <v>0</v>
      </c>
      <c r="DV29" s="95">
        <f>IFERROR(IF(AND($DS$2&lt;&gt;"Enter Spend&gt;&gt;&gt;",DT2="EXISTING"),SUMIFS('Existing Customers'!$P:$P,'Existing Customers'!$A:$A,$DS$1,'Existing Customers'!$H:$H,$DR29)*$DS$4,$DS29/$EE29),0)</f>
        <v>0</v>
      </c>
      <c r="DW29" s="96">
        <f>IFERROR(IF(AND($DS$2&lt;&gt;"Enter Spend&gt;&gt;&gt;",EQ2="EXISTING"),SUMIFS('Existing Customers'!$V:$V,'Existing Customers'!$H:$H,$DR29,'Existing Customers'!$A:$A,$DS$1)*$DS$4,0),0)</f>
        <v>0</v>
      </c>
      <c r="DX29" s="96">
        <f>IFERROR(IF(AND($DS$2&lt;&gt;"Enter Spend&gt;&gt;&gt;",DT2="EXISTING"),SUMIFS('Existing Customers'!$R:$R,'Existing Customers'!$H:$H,$DR29,'Existing Customers'!$A:$A,$DS$1)*$DS$4,0),0)</f>
        <v>0</v>
      </c>
      <c r="DY29" s="1161">
        <f>IFERROR(IF(AND($DS$2&lt;&gt;"Enter Spend&gt;&gt;&gt;",DT2="EXISTING"),SUMIFS('Existing Customers'!$S:$S,'Existing Customers'!$H:$H,$DT29,'Existing Customers'!$A:$A,$DS$1),EI29*DS29),0)</f>
        <v>0</v>
      </c>
      <c r="DZ29" s="1161">
        <f>IFERROR(IF(AND($DS$2&lt;&gt;"Enter Spend&gt;&gt;&gt;",DT2="EXISTING"),SUMIFS('Existing Customers'!$U:$U,'Existing Customers'!$H:$H,$DR29,'Existing Customers'!$A:$A,$DS$1),EJ29*DS29),0)</f>
        <v>0</v>
      </c>
      <c r="EA29" s="1164" t="e">
        <f>_xlfn.CONCAT('Customer Inputs'!$AG$9,"_",DR29)</f>
        <v>#N/A</v>
      </c>
      <c r="EB29" s="1164">
        <f t="array" ref="EB29">IFERROR(INDEX('Margin Guidence Table'!$A$1:$AD$30000,MATCH(1,('Margin Guidence Table'!$A$1:$A$10000=EA29)*('Margin Guidence Table'!$I$1:$I$10000&lt;=ROUND($DS$3,0))*('Margin Guidence Table'!$J$1:$J$10000&gt;=ROUND($DS$3,0)),0),MATCH("DATA_POINTS",'Margin Guidence Table'!$A$1:$AG$1,0)),0)</f>
        <v>0</v>
      </c>
      <c r="EC29" s="1161" t="str">
        <f t="shared" si="29"/>
        <v>DEFAULT</v>
      </c>
      <c r="ED29" s="1161">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161">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165">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165">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165">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165">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165">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165">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9"/>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96" t="e">
        <f t="shared" si="30"/>
        <v>#DIV/0!</v>
      </c>
      <c r="EO29" s="102" t="s">
        <v>90</v>
      </c>
      <c r="EP29" s="94">
        <f>IFERROR(IF(AND($EP$2&lt;&gt;"Enter Spend&gt;&gt;&gt;",EQ17="EXISTING"),SUMIFS('Existing Customers'!$Q:$Q,'Existing Customers'!$A:$A,$EP$1,'Existing Customers'!$H:$H,$EO29)*$EP$4,$EP$3*$EN29),0)</f>
        <v>0</v>
      </c>
      <c r="EQ29" s="89">
        <f>IFERROR(IF(AND($EP$2&lt;&gt;"Enter Spend&gt;&gt;&gt;",EQ2="EXISTING"),SUMIFS('Existing Customers'!$N:$N,'Existing Customers'!$A:$A,$EP$1,'Existing Customers'!$H:$H,$EO29)*$EP$4,$EP29/$FA29),0)</f>
        <v>0</v>
      </c>
      <c r="ER29" s="95">
        <f>IFERROR(IF(AND($EP$2&lt;&gt;"Enter Spend&gt;&gt;&gt;",EQ2="EXISTING"),SUMIFS('Existing Customers'!$O:$O,'Existing Customers'!$H:$H,$EO29,'Existing Customers'!$A:$A,$EP$1)*$EP$4,$EQ29*$EP$8),0)</f>
        <v>0</v>
      </c>
      <c r="ES29" s="95">
        <f>IFERROR(IF(AND($EP$2&lt;&gt;"Enter Spend&gt;&gt;&gt;",EQ2="EXISTING"),SUMIFS('Existing Customers'!$P:$P,'Existing Customers'!$A:$A,$EP$1,'Existing Customers'!$H:$H,$EO29)*$EP$4,$EP29/$FB29),0)</f>
        <v>0</v>
      </c>
      <c r="ET29" s="96">
        <f>IFERROR(IF(AND($EP$2&lt;&gt;"Enter Spend&gt;&gt;&gt;",EQ2="EXISTING"),SUMIFS('Existing Customers'!$V:$V,'Existing Customers'!$H:$H,$EO29,'Existing Customers'!$A:$A,$EP$1)*$EP$4,0),0)</f>
        <v>0</v>
      </c>
      <c r="EU29" s="96">
        <f>IFERROR(IF(AND($EP$2&lt;&gt;"Enter Spend&gt;&gt;&gt;",EQ2="EXISTING"),SUMIFS('Existing Customers'!$R:$R,'Existing Customers'!$H:$H,$EO29,'Existing Customers'!$A:$A,$EP$1)*$EP$4,0),0)</f>
        <v>0</v>
      </c>
      <c r="EV29" s="1161">
        <f>IFERROR(IF(AND($EP$2&lt;&gt;"Enter Spend&gt;&gt;&gt;",EQ2="EXISTING"),SUMIFS('Existing Customers'!$S:$S,'Existing Customers'!$H:$H,$EO29,'Existing Customers'!$A:$A,$EP$1),FF29*EP29),0)</f>
        <v>0</v>
      </c>
      <c r="EW29" s="1161">
        <f>IFERROR(IF(AND($EP$2&lt;&gt;"Enter Spend&gt;&gt;&gt;",EQ2="EXISTING"),SUMIFS('Existing Customers'!$U:$U,'Existing Customers'!$H:$H,$EO29,'Existing Customers'!$A:$A,$EP$1),FG29*EP29),0)</f>
        <v>0</v>
      </c>
      <c r="EX29" s="1164" t="e">
        <f>_xlfn.CONCAT('Customer Inputs'!$AG$10,"_",EO29)</f>
        <v>#N/A</v>
      </c>
      <c r="EY29" s="1164">
        <f t="array" ref="EY29">IFERROR(INDEX('Margin Guidence Table'!$A$1:$AD$30000,MATCH(1,('Margin Guidence Table'!$A$1:$A$10000=EX29)*('Margin Guidence Table'!$I$1:$I$10000&lt;=ROUND($EP$3,0))*('Margin Guidence Table'!$J$1:$J$10000&gt;=ROUND($EP$3,0)),0),MATCH("DATA_POINTS",'Margin Guidence Table'!$A$1:$AG$1,0)),0)</f>
        <v>0</v>
      </c>
      <c r="EZ29" s="1161" t="str">
        <f t="shared" si="31"/>
        <v>DEFAULT</v>
      </c>
      <c r="FA29" s="1161">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161"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165">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165">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165">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165">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165">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165">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9"/>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96" t="e">
        <f t="shared" si="32"/>
        <v>#DIV/0!</v>
      </c>
      <c r="FL29" s="102" t="s">
        <v>90</v>
      </c>
      <c r="FM29" s="94">
        <f>IFERROR(IF(AND($FM$2&lt;&gt;"Enter Spend&gt;&gt;&gt;",FN17="EXISTING"),SUMIFS('Existing Customers'!$Q:$Q,'Existing Customers'!$A:$A,$FM$1,'Existing Customers'!$H:$H,$FL29)*$FM$4,$FM$3*$FK29),0)</f>
        <v>0</v>
      </c>
      <c r="FN29" s="89">
        <f>IFERROR(IF(AND($FM$2&lt;&gt;"Enter Spend&gt;&gt;&gt;",FN2="EXISTING"),SUMIFS('Existing Customers'!$N:$N,'Existing Customers'!$A:$A,$FM$1,'Existing Customers'!$H:$H,$FL29)*$FM$4,$FM29/$FX29),0)</f>
        <v>0</v>
      </c>
      <c r="FO29" s="95">
        <f>IFERROR(IF(AND($FM$2&lt;&gt;"Enter Spend&gt;&gt;&gt;",FN2="EXISTING"),SUMIFS('Existing Customers'!$O:$O,'Existing Customers'!$H:$H,$FL29,'Existing Customers'!$A:$A,$FM$1)*$FM$4,$FN29*$FM$8),0)</f>
        <v>0</v>
      </c>
      <c r="FP29" s="95">
        <f>IFERROR(IF(AND($FM$2&lt;&gt;"Enter Spend&gt;&gt;&gt;",FN2="EXISTING"),SUMIFS('Existing Customers'!$P:$P,'Existing Customers'!$A:$A,$FM$1,'Existing Customers'!$H:$H,$FL29)*$FM$4,$FM29/$FY29),0)</f>
        <v>0</v>
      </c>
      <c r="FQ29" s="96">
        <f>IFERROR(IF(AND($FM$2&lt;&gt;"Enter Spend&gt;&gt;&gt;",FN2="EXISTING"),SUMIFS('Existing Customers'!$V:$V,'Existing Customers'!$H:$H,$FL29,'Existing Customers'!$A:$A,$FM$1)*$FM$4,0),0)</f>
        <v>0</v>
      </c>
      <c r="FR29" s="96">
        <f>IFERROR(IF(AND($FM$2&lt;&gt;"Enter Spend&gt;&gt;&gt;",FN2="EXISTING"),SUMIFS('Existing Customers'!$R:$R,'Existing Customers'!$H:$H,$FL29,'Existing Customers'!$A:$A,$FM$1)*$FM$4,0),0)</f>
        <v>0</v>
      </c>
      <c r="FS29" s="1161">
        <f>IFERROR(IF(AND($FM$2&lt;&gt;"Enter Spend&gt;&gt;&gt;",FN2="EXISTING"),SUMIFS('Existing Customers'!$S:$S,'Existing Customers'!$H:$H,$FL29,'Existing Customers'!$A:$A,$FM$1),GC29*FM29),0)</f>
        <v>0</v>
      </c>
      <c r="FT29" s="1161">
        <f>IFERROR(IF(AND($FM$2&lt;&gt;"Enter Spend&gt;&gt;&gt;",FN2="EXISTING"),SUMIFS('Existing Customers'!$U:$U,'Existing Customers'!$H:$H,$FL29,'Existing Customers'!$A:$A,$FM$1),GD29*FM29),0)</f>
        <v>0</v>
      </c>
      <c r="FU29" s="1164" t="e">
        <f>_xlfn.CONCAT('Customer Inputs'!$AG$11,"_",FL29)</f>
        <v>#N/A</v>
      </c>
      <c r="FV29" s="1164">
        <f t="array" ref="FV29">IFERROR(INDEX('Margin Guidence Table'!$A$1:$AD$30000,MATCH(1,('Margin Guidence Table'!$A$1:$A$10000=FU29)*('Margin Guidence Table'!$I$1:$I$10000&lt;=ROUND($FM$3,0))*('Margin Guidence Table'!$J$1:$J$10000&gt;=ROUND($FM$3,0)),0),MATCH("DATA_POINTS",'Margin Guidence Table'!$A$1:$AG$1,0)),0)</f>
        <v>0</v>
      </c>
      <c r="FW29" s="1161" t="str">
        <f t="shared" si="33"/>
        <v>DEFAULT</v>
      </c>
      <c r="FX29" s="1161">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161">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165">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165">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165">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165">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165">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165">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9"/>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96" t="e">
        <f t="shared" si="34"/>
        <v>#DIV/0!</v>
      </c>
      <c r="GI29" s="102" t="s">
        <v>90</v>
      </c>
      <c r="GJ29" s="94">
        <f>IFERROR(IF(AND($GJ$2&lt;&gt;"Enter Spend&gt;&gt;&gt;",GK17="EXISTING"),SUMIFS('Existing Customers'!$Q:$Q,'Existing Customers'!$A:$A,$GJ$1,'Existing Customers'!$H:$H,$GI29)*$GJ$4,$GJ$3*$GH29),0)</f>
        <v>0</v>
      </c>
      <c r="GK29" s="89">
        <f>IFERROR(IF(AND($GJ$2&lt;&gt;"Enter Spend&gt;&gt;&gt;",GK2="EXISTING"),SUMIFS('Existing Customers'!$N:$N,'Existing Customers'!$A:$A,$GJ$1,'Existing Customers'!$H:$H,$GI29)*$GJ$4,$GJ29/$GU29),0)</f>
        <v>0</v>
      </c>
      <c r="GL29" s="95">
        <f>IFERROR(IF(AND($GJ$2&lt;&gt;"Enter Spend&gt;&gt;&gt;",GK2="EXISTING"),SUMIFS('Existing Customers'!$O:$O,'Existing Customers'!$H:$H,$GI29,'Existing Customers'!$A:$A,$GJ$1)*$GJ$4,$GK29*$GJ$8),0)</f>
        <v>0</v>
      </c>
      <c r="GM29" s="95">
        <f>IFERROR(IF(AND($GJ$2&lt;&gt;"Enter Spend&gt;&gt;&gt;",GK2="EXISTING"),SUMIFS('Existing Customers'!$P:$P,'Existing Customers'!$A:$A,$GJ$1,'Existing Customers'!$H:$H,$GI29)*$GJ$4,$GJ29/$GV29),0)</f>
        <v>0</v>
      </c>
      <c r="GN29" s="96">
        <f>IFERROR(IF(AND($GJ$2&lt;&gt;"Enter Spend&gt;&gt;&gt;",GK2="EXISTING"),SUMIFS('Existing Customers'!$V:$V,'Existing Customers'!$H:$H,$GI29,'Existing Customers'!$A:$A,$GJ$1)*$GJ$4,0),0)</f>
        <v>0</v>
      </c>
      <c r="GO29" s="96">
        <f>IFERROR(IF(AND($GJ$2&lt;&gt;"Enter Spend&gt;&gt;&gt;",GK2="EXISTING"),SUMIFS('Existing Customers'!$R:$R,'Existing Customers'!$H:$H,$GI29,'Existing Customers'!$A:$A,$GJ$1)*$GJ$4,0),0)</f>
        <v>0</v>
      </c>
      <c r="GP29" s="1161">
        <f>IFERROR(IF(AND($GJ$2&lt;&gt;"Enter Spend&gt;&gt;&gt;",GK2="EXISTING"),SUMIFS('Existing Customers'!$S:$S,'Existing Customers'!$H:$H,$GI29,'Existing Customers'!$A:$A,$GJ$1),GZ29*GJ29),0)</f>
        <v>0</v>
      </c>
      <c r="GQ29" s="1161">
        <f>IFERROR(IF(AND($GJ$2&lt;&gt;"Enter Spend&gt;&gt;&gt;",GK2="EXISTING"),SUMIFS('Existing Customers'!$U:$U,'Existing Customers'!$H:$H,$GI29,'Existing Customers'!$A:$A,$GJ$1),HA29*GJ29),0)</f>
        <v>0</v>
      </c>
      <c r="GR29" s="1164" t="e">
        <f>_xlfn.CONCAT('Customer Inputs'!$AG$12,"_",GI29)</f>
        <v>#N/A</v>
      </c>
      <c r="GS29" s="1164">
        <f t="array" ref="GS29">IFERROR(INDEX('Margin Guidence Table'!$A$1:$AD$30000,MATCH(1,('Margin Guidence Table'!$A$1:$A$10000=GR29)*('Margin Guidence Table'!$I$1:$I$10000&lt;=ROUND($GJ$3,0))*('Margin Guidence Table'!$J$1:$J$10000&gt;=ROUND($GJ$3,0)),0),MATCH("DATA_POINTS",'Margin Guidence Table'!$A$1:$AG$1,0)),0)</f>
        <v>0</v>
      </c>
      <c r="GT29" s="1161" t="str">
        <f t="shared" si="35"/>
        <v>DEFAULT</v>
      </c>
      <c r="GU29" s="1161">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161">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165">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165">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165">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165">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165">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165">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9"/>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96" t="e">
        <f t="shared" si="36"/>
        <v>#DIV/0!</v>
      </c>
      <c r="HF29" s="102" t="s">
        <v>90</v>
      </c>
      <c r="HG29" s="94">
        <f>IFERROR(IF(AND($HG$2&lt;&gt;"Enter Spend&gt;&gt;&gt;",HH17="EXISTING"),SUMIFS('Existing Customers'!$Q:$Q,'Existing Customers'!$A:$A,$HG$1,'Existing Customers'!$H:$H,$HF29)*$HG$4,$HG$3*$HE29),0)</f>
        <v>0</v>
      </c>
      <c r="HH29" s="89">
        <f>IFERROR(IF(AND($HG$2&lt;&gt;"Enter Spend&gt;&gt;&gt;",HH2="EXISTING"),SUMIFS('Existing Customers'!$N:$N,'Existing Customers'!$A:$A,$HG$1,'Existing Customers'!$H:$H,$HF29)*$HG$4,$HG29/$HR29),0)</f>
        <v>0</v>
      </c>
      <c r="HI29" s="95">
        <f>IFERROR(IF(AND($HG$2&lt;&gt;"Enter Spend&gt;&gt;&gt;",HH2="EXISTING"),SUMIFS('Existing Customers'!$O:$O,'Existing Customers'!$H:$H,$HF29,'Existing Customers'!$A:$A,$HG$1)*$HG$4,$HH29*$HG$8),0)</f>
        <v>0</v>
      </c>
      <c r="HJ29" s="95">
        <f>IFERROR(IF(AND($HG$2&lt;&gt;"Enter Spend&gt;&gt;&gt;",HH2="EXISTING"),SUMIFS('Existing Customers'!$P:$P,'Existing Customers'!$A:$A,$HG$1,'Existing Customers'!$H:$H,$HF29)*$HG$4,$HG29/$HS29),0)</f>
        <v>0</v>
      </c>
      <c r="HK29" s="96">
        <f>IFERROR(IF(AND($HG$2&lt;&gt;"Enter Spend&gt;&gt;&gt;",HH2="EXISTING"),SUMIFS('Existing Customers'!$V:$V,'Existing Customers'!$H:$H,$HF29,'Existing Customers'!$A:$A,$HG$1)*$HG$4,0),0)</f>
        <v>0</v>
      </c>
      <c r="HL29" s="96">
        <f>IFERROR(IF(AND($HG$2&lt;&gt;"Enter Spend&gt;&gt;&gt;",HH2="EXISTING"),SUMIFS('Existing Customers'!$R:$R,'Existing Customers'!$H:$H,$HF29,'Existing Customers'!$A:$A,$HG$1)*$HG$4,0),0)</f>
        <v>0</v>
      </c>
      <c r="HM29" s="1161">
        <f>IFERROR(IF(AND($HG$2&lt;&gt;"Enter Spend&gt;&gt;&gt;",HH2="EXISTING"),SUMIFS('Existing Customers'!$S:$S,'Existing Customers'!$H:$H,$HF29,'Existing Customers'!$A:$A,$HG$1),HW29*HG29),0)</f>
        <v>0</v>
      </c>
      <c r="HN29" s="1161">
        <f>IFERROR(IF(AND($HG$2&lt;&gt;"Enter Spend&gt;&gt;&gt;",HH2="EXISTING"),SUMIFS('Existing Customers'!$U:$U,'Existing Customers'!$H:$H,$HF29,'Existing Customers'!$A:$A,$HG$1),HX29*HG29),0)</f>
        <v>0</v>
      </c>
      <c r="HO29" s="1164" t="e">
        <f>_xlfn.CONCAT('Customer Inputs'!$AG$13,"_",HF29)</f>
        <v>#N/A</v>
      </c>
      <c r="HP29" s="1164">
        <f t="array" ref="HP29">IFERROR(INDEX('Margin Guidence Table'!$A$1:$AD$30000,MATCH(1,('Margin Guidence Table'!$A$1:$A$10000=HO29)*('Margin Guidence Table'!$I$1:$I$10000&lt;=ROUND($HG$3,0))*('Margin Guidence Table'!$J$1:$J$10000&gt;=ROUND($HG$3,0)),0),MATCH("DATA_POINTS",'Margin Guidence Table'!$A$1:$AG$1,0)),0)</f>
        <v>0</v>
      </c>
      <c r="HQ29" s="1161" t="str">
        <f t="shared" si="37"/>
        <v>DEFAULT</v>
      </c>
      <c r="HR29" s="1161">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161">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165">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165">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165">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165">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165">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165">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9"/>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96" t="e">
        <f t="shared" si="38"/>
        <v>#DIV/0!</v>
      </c>
      <c r="IC29" s="102" t="s">
        <v>90</v>
      </c>
      <c r="ID29" s="94">
        <f>IFERROR(IF(AND($ID$2&lt;&gt;"Enter Spend&gt;&gt;&gt;",IE17="EXISTING"),SUMIFS('Existing Customers'!$Q:$Q,'Existing Customers'!$A:$A,$ID$1,'Existing Customers'!$H:$H,$IC29)*$ID$4,$ID$3*$IB29),0)</f>
        <v>0</v>
      </c>
      <c r="IE29" s="89">
        <f>IFERROR(IF(AND($ID$2&lt;&gt;"Enter Spend&gt;&gt;&gt;",IE2="EXISTING"),SUMIFS('Existing Customers'!$N:$N,'Existing Customers'!$A:$A,$ID$1,'Existing Customers'!$H:$H,$IC29)*$ID$4,$ID29/$IO29),0)</f>
        <v>0</v>
      </c>
      <c r="IF29" s="95">
        <f>IFERROR(IF(AND($ID$2&lt;&gt;"Enter Spend&gt;&gt;&gt;",IE2="EXISTING"),SUMIFS('Existing Customers'!$O:$O,'Existing Customers'!$H:$H,$IC29,'Existing Customers'!$A:$A,$ID$1)*$ID$4,$IE29*$ID$8),0)</f>
        <v>0</v>
      </c>
      <c r="IG29" s="95">
        <f>IFERROR(IF(AND($ID$2&lt;&gt;"Enter Spend&gt;&gt;&gt;",IE2="EXISTING"),SUMIFS('Existing Customers'!$P:$P,'Existing Customers'!$A:$A,$ID$1,'Existing Customers'!$H:$H,$IC29)*$ID$4,$ID29/$IP29),0)</f>
        <v>0</v>
      </c>
      <c r="IH29" s="402">
        <f>IFERROR(IF(AND($ID$2&lt;&gt;"Enter Spend&gt;&gt;&gt;",IE2="EXISTING"),SUMIFS('Existing Customers'!$V:$V,'Existing Customers'!$H:$H,$IC29,'Existing Customers'!$A:$A,$ID$1)*$ID$4,0),0)</f>
        <v>0</v>
      </c>
      <c r="II29" s="96">
        <f>IFERROR(IF(AND($ID$2&lt;&gt;"Enter Spend&gt;&gt;&gt;",IE2="EXISTING"),SUMIFS('Existing Customers'!$R:$R,'Existing Customers'!$H:$H,$IC29,'Existing Customers'!$A:$A,$ID$1)*$ID$4,0),0)</f>
        <v>0</v>
      </c>
      <c r="IJ29" s="1161">
        <f>IFERROR(IF(AND($ID$2&lt;&gt;"Enter Spend&gt;&gt;&gt;",IE2="EXISTING"),SUMIFS('Existing Customers'!$S:$S,'Existing Customers'!$H:$H,$IC29,'Existing Customers'!$A:$A,$ID$1),IT29*ID29),0)</f>
        <v>0</v>
      </c>
      <c r="IK29" s="1161">
        <f>IFERROR(IF(AND($ID$2&lt;&gt;"Enter Spend&gt;&gt;&gt;",IE2="EXISTING"),SUMIFS('Existing Customers'!$U:$U,'Existing Customers'!$H:$H,$IC29,'Existing Customers'!$A:$A,$ID$1),IU29*ID29),0)</f>
        <v>0</v>
      </c>
      <c r="IL29" s="1164" t="e">
        <f>_xlfn.CONCAT('Customer Inputs'!$AG$14,"_",IC29)</f>
        <v>#N/A</v>
      </c>
      <c r="IM29" s="1164">
        <f t="array" ref="IM29">IFERROR(INDEX('Margin Guidence Table'!$A$1:$AD$30000,MATCH(1,('Margin Guidence Table'!$A$1:$A$10000=IL29)*('Margin Guidence Table'!$I$1:$I$10000&lt;=ROUND($ID$3,0))*('Margin Guidence Table'!$J$1:$J$10000&gt;=ROUND($ID$3,0)),0),MATCH("DATA_POINTS",'Margin Guidence Table'!$A$1:$AG$1,0)),0)</f>
        <v>0</v>
      </c>
      <c r="IN29" s="1161" t="str">
        <f t="shared" si="39"/>
        <v>DEFAULT</v>
      </c>
      <c r="IO29" s="1161">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161">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165">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165">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165">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165">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165">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165">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9"/>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96" t="e">
        <f t="shared" si="40"/>
        <v>#DIV/0!</v>
      </c>
      <c r="IZ29" s="102" t="s">
        <v>90</v>
      </c>
      <c r="JA29" s="94">
        <f>IFERROR(IF(AND($JA$2&lt;&gt;"Enter Spend&gt;&gt;&gt;",JB17="EXISTING"),SUMIFS('Existing Customers'!$Q:$Q,'Existing Customers'!$A:$A,$JA$1,'Existing Customers'!$H:$H,$IZ29)*$JA$4,$JA$3*$IY29),0)</f>
        <v>0</v>
      </c>
      <c r="JB29" s="89">
        <f>IFERROR(IF(AND($JA$2&lt;&gt;"Enter Spend&gt;&gt;&gt;",JB2="EXISTING"),SUMIFS('Existing Customers'!$N:$N,'Existing Customers'!$A:$A,$JA$1,'Existing Customers'!$H:$H,$IZ29)*$JA$4,$JA29/$JL29),0)</f>
        <v>0</v>
      </c>
      <c r="JC29" s="95">
        <f>IFERROR(IF(AND($JA$2&lt;&gt;"Enter Spend&gt;&gt;&gt;",JB2="EXISTING"),SUMIFS('Existing Customers'!$O:$O,'Existing Customers'!$H:$H,$IZ29,'Existing Customers'!$A:$A,$JA$1)*$JA$4,$JB29*$JA$8),0)</f>
        <v>0</v>
      </c>
      <c r="JD29" s="95">
        <f>IFERROR(IF(AND($JA$2&lt;&gt;"Enter Spend&gt;&gt;&gt;",JB2="EXISTING"),SUMIFS('Existing Customers'!$P:$P,'Existing Customers'!$A:$A,$JA$1,'Existing Customers'!$H:$H,$IZ29)*$JA$4,$JA29/$JM29),0)</f>
        <v>0</v>
      </c>
      <c r="JE29" s="402">
        <f>IFERROR(IF(AND($JA$2&lt;&gt;"Enter Spend&gt;&gt;&gt;",JB2="EXISTING"),SUMIFS('Existing Customers'!$V:$V,'Existing Customers'!$H:$H,$IZ29,'Existing Customers'!$A:$A,$JA$1)*$JA$4,0),0)</f>
        <v>0</v>
      </c>
      <c r="JF29" s="96">
        <f>IFERROR(IF(AND($JA$2&lt;&gt;"Enter Spend&gt;&gt;&gt;",JB2="EXISTING"),SUMIFS('Existing Customers'!$R:$R,'Existing Customers'!$H:$H,$IZ29,'Existing Customers'!$A:$A,$JA$1)*$JA$4,0),0)</f>
        <v>0</v>
      </c>
      <c r="JG29" s="1161">
        <f>IFERROR(IF(AND($JA$2&lt;&gt;"Enter Spend&gt;&gt;&gt;",JB2="EXISTING"),SUMIFS('Existing Customers'!$S:$S,'Existing Customers'!$H:$H,$IZ29,'Existing Customers'!$A:$A,$JA$1),JQ29*JA29),0)</f>
        <v>0</v>
      </c>
      <c r="JH29" s="1161">
        <f>IFERROR(IF(AND($JA$2&lt;&gt;"Enter Spend&gt;&gt;&gt;",JB2="EXISTING"),SUMIFS('Existing Customers'!$U:$U,'Existing Customers'!$H:$H,$IZ29,'Existing Customers'!$A:$A,$JA$1),JR29*JA29),0)</f>
        <v>0</v>
      </c>
      <c r="JI29" s="1164" t="e">
        <f>_xlfn.CONCAT('Customer Inputs'!$AG$15,"_",IZ29)</f>
        <v>#N/A</v>
      </c>
      <c r="JJ29" s="1164">
        <f t="array" ref="JJ29">IFERROR(INDEX('Margin Guidence Table'!$A$1:$AD$30000,MATCH(1,('Margin Guidence Table'!$A$1:$A$10000=JI29)*('Margin Guidence Table'!$I$1:$I$10000&lt;=ROUND($JA$3,0))*('Margin Guidence Table'!$J$1:$J$10000&gt;=ROUND($JA$3,0)),0),MATCH("DATA_POINTS",'Margin Guidence Table'!$A$1:$AG$1,0)),0)</f>
        <v>0</v>
      </c>
      <c r="JK29" s="1161" t="str">
        <f t="shared" si="41"/>
        <v>DEFAULT</v>
      </c>
      <c r="JL29" s="1161">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161">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165">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165">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165">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165">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165">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165">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102" t="s">
        <v>90</v>
      </c>
      <c r="JV29" s="97"/>
      <c r="JW29" s="89"/>
      <c r="JX29" s="89"/>
      <c r="JY29" s="89"/>
      <c r="JZ29" s="114"/>
      <c r="KA29" s="98"/>
      <c r="KB29" s="129"/>
      <c r="KD29" s="102" t="s">
        <v>90</v>
      </c>
      <c r="KE29" s="97"/>
      <c r="KF29" s="89"/>
      <c r="KG29" s="89"/>
      <c r="KH29" s="89"/>
      <c r="KI29" s="114"/>
      <c r="KJ29" s="98"/>
    </row>
    <row r="30" spans="2:296" ht="15.75" thickBot="1" x14ac:dyDescent="0.3">
      <c r="B30" s="102" t="s">
        <v>89</v>
      </c>
      <c r="C30" s="480">
        <f t="shared" si="7"/>
        <v>0</v>
      </c>
      <c r="D30" s="496">
        <f t="shared" si="8"/>
        <v>0</v>
      </c>
      <c r="E30" s="496">
        <f t="shared" si="9"/>
        <v>0</v>
      </c>
      <c r="F30" s="496">
        <f t="shared" si="10"/>
        <v>0</v>
      </c>
      <c r="G30" s="497">
        <f t="shared" si="11"/>
        <v>0</v>
      </c>
      <c r="H30" s="496">
        <f t="shared" si="12"/>
        <v>0</v>
      </c>
      <c r="I30" s="1157" t="e">
        <f>ROUND(SUM($BB30*BO30+$BY30*CL30+$CV30*DI30+$DS30*EF30+$EP30*FC30+$FM30*FZ30+$GJ30*GW30+$HG30*HT30+$ID30*IQ30+$JA30*JN30)/$C30,2)</f>
        <v>#DIV/0!</v>
      </c>
      <c r="J30" s="1157" t="e">
        <f>ROUND(SUM($BB30*BP30+$BY30*CM30+$CV30*DJ30+$DS30*EG30+$EP30*FD30+$FM30*GA30+$GJ30*GX30+$HG30*HU30+$ID30*IR30+$JA30*JO30)/$C30,2)</f>
        <v>#DIV/0!</v>
      </c>
      <c r="K30" s="1157" t="e">
        <f>ROUND(SUM($BB30*BQ30+$BY30*CN30+$CV30*DK30+$DS30*EH30+$EP30*FE30+$FM30*GB30+$GJ30*GY30+$HG30*HV30+$ID30*IS30+$JA30*JP30)/$C30,2)</f>
        <v>#DIV/0!</v>
      </c>
      <c r="L30" s="496" t="e">
        <f t="shared" si="0"/>
        <v>#DIV/0!</v>
      </c>
      <c r="M30" s="496" t="e">
        <f t="shared" si="13"/>
        <v>#DIV/0!</v>
      </c>
      <c r="N30" s="1158" t="e">
        <f t="shared" si="1"/>
        <v>#DIV/0!</v>
      </c>
      <c r="P30" t="str">
        <f>'PIM Model'!E26</f>
        <v>INCLUDE</v>
      </c>
      <c r="Q30">
        <f t="shared" si="14"/>
        <v>0</v>
      </c>
      <c r="R30">
        <f t="shared" si="15"/>
        <v>0</v>
      </c>
      <c r="S30" s="102" t="s">
        <v>89</v>
      </c>
      <c r="T30" s="97">
        <f t="shared" si="16"/>
        <v>0</v>
      </c>
      <c r="U30" s="89">
        <f t="shared" si="2"/>
        <v>0</v>
      </c>
      <c r="V30" s="89">
        <f t="shared" si="3"/>
        <v>0</v>
      </c>
      <c r="W30" s="89">
        <f t="shared" si="4"/>
        <v>0</v>
      </c>
      <c r="X30" s="114">
        <f t="shared" si="5"/>
        <v>0</v>
      </c>
      <c r="Y30" s="117">
        <f t="shared" si="17"/>
        <v>0</v>
      </c>
      <c r="Z30" s="400"/>
      <c r="AA30" s="102" t="s">
        <v>89</v>
      </c>
      <c r="AB30" s="484">
        <f>SUMIFS($BB30:$JF30,$BB$12:$JF$12,AB$12)</f>
        <v>0</v>
      </c>
      <c r="AC30" s="485">
        <f>SUMIFS($BB30:$JF30,$BB$12:$JF$12,AC$12)</f>
        <v>0</v>
      </c>
      <c r="AD30" s="485">
        <f>SUMIFS($BB30:$JF30,$BB$12:$JF$12,AD$12)</f>
        <v>0</v>
      </c>
      <c r="AE30" s="486">
        <f t="shared" si="18"/>
        <v>0</v>
      </c>
      <c r="AF30" s="487">
        <f t="shared" si="19"/>
        <v>0</v>
      </c>
      <c r="AG30" s="400"/>
      <c r="AH30" s="102" t="s">
        <v>89</v>
      </c>
      <c r="AI30" s="484">
        <f t="shared" si="6"/>
        <v>0</v>
      </c>
      <c r="AJ30" s="481">
        <f t="shared" si="20"/>
        <v>0</v>
      </c>
      <c r="AK30" s="487"/>
      <c r="AL30" s="400"/>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400">
        <f>VLOOKUP($AH30&amp;$AM30,'IMargin Quartiles'!$A:$F,6,FALSE)</f>
        <v>0.17</v>
      </c>
      <c r="AO30" s="400"/>
      <c r="AP30"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Q30" s="400" t="e">
        <f t="shared" si="21"/>
        <v>#DIV/0!</v>
      </c>
      <c r="AR30">
        <f>'PIM Model'!C26</f>
        <v>0</v>
      </c>
      <c r="AS30" s="400"/>
      <c r="AT30" s="400"/>
      <c r="AU30" s="400" t="e">
        <f t="shared" si="42"/>
        <v>#DIV/0!</v>
      </c>
      <c r="AV30" s="400"/>
      <c r="AW30" s="400"/>
      <c r="AX30" s="108">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96" t="e">
        <f t="shared" si="22"/>
        <v>#DIV/0!</v>
      </c>
      <c r="BA30" s="102" t="s">
        <v>89</v>
      </c>
      <c r="BB30" s="94">
        <f>IFERROR(IF(AND($BB$2&lt;&gt;"Enter Spend&gt;&gt;&gt;",BC18="EXISTING"),SUMIFS('Existing Customers'!$Q:$Q,'Existing Customers'!$A:$A,$BB$1,'Existing Customers'!$H:$H,$BA30)*$BB$4,$BB$3*$AZ30),0)</f>
        <v>0</v>
      </c>
      <c r="BC30" s="95">
        <f>IFERROR(IF(AND($BB$2&lt;&gt;"Enter Spend&gt;&gt;&gt;",BC2="EXISTING"),SUMIFS('Existing Customers'!$N:$N,'Existing Customers'!$A:$A,$BB$1,'Existing Customers'!$H:$H,$BA30)*$BB$4,$BB30/$BM30),0)</f>
        <v>0</v>
      </c>
      <c r="BD30" s="95">
        <f>IFERROR(IF(AND($BB$2&lt;&gt;"Enter Spend&gt;&gt;&gt;",BC2="EXISTING"),SUMIFS('Existing Customers'!$O:$O,'Existing Customers'!$H:$H,$BA30,'Existing Customers'!$A:$A,$BB$1)*$BB$4,$BC30*$BB$8),0)</f>
        <v>0</v>
      </c>
      <c r="BE30" s="95">
        <f>IFERROR(IF(AND($BB$2&lt;&gt;"Enter Spend&gt;&gt;&gt;",BC2="EXISTING"),SUMIFS('Existing Customers'!$P:$P,'Existing Customers'!$A:$A,$BB$1,'Existing Customers'!$H:$H,$BA30)*$BB$4,$BB30/$BN30),0)</f>
        <v>0</v>
      </c>
      <c r="BF30" s="402">
        <f>IFERROR(IF(AND($BB$2&lt;&gt;"Enter Spend&gt;&gt;&gt;",BC2="EXISTING"),SUMIFS('Existing Customers'!$V:$V,'Existing Customers'!$H:$H,$BA30,'Existing Customers'!$A:$A,$BB$1)*$BB$4,0),0)</f>
        <v>0</v>
      </c>
      <c r="BG30" s="96">
        <f>IFERROR(IF(AND($BB$2&lt;&gt;"Enter Spend&gt;&gt;&gt;",BC2="EXISTING"),SUMIFS('Existing Customers'!$R:$R,'Existing Customers'!$H:$H,$BA30,'Existing Customers'!$A:$A,$BB$1)*$BB$4,0),0)</f>
        <v>0</v>
      </c>
      <c r="BH30" s="96">
        <f>IFERROR(IF(AND($BB$2&lt;&gt;"Enter Spend&gt;&gt;&gt;",BC2="EXISTING"),SUMIFS('Existing Customers'!$S:$S,'Existing Customers'!$H:$H,$BA30,'Existing Customers'!$A:$A,$BB$1),BR30*BB30),0)</f>
        <v>0</v>
      </c>
      <c r="BI30" s="96">
        <f>IFERROR(IF(AND($BB$2&lt;&gt;"Enter Spend&gt;&gt;&gt;",BC2="EXISTING"),SUMIFS('Existing Customers'!$U:$U,'Existing Customers'!$H:$H,$BA30,'Existing Customers'!$A:$A,$BB$1),BS30*BB30),0)</f>
        <v>0</v>
      </c>
      <c r="BJ30" s="1163" t="e">
        <f>_xlfn.CONCAT('Customer Inputs'!$AG$6,"_",BA30)</f>
        <v>#N/A</v>
      </c>
      <c r="BK30" s="1164">
        <f t="array" ref="BK30">IFERROR(INDEX('Margin Guidence Table'!$A$1:$AD$30000,MATCH(1,('Margin Guidence Table'!$A$1:$A$10000=$BJ30)*('Margin Guidence Table'!$I$1:$I$10000&lt;=ROUND($BB$3,0))*('Margin Guidence Table'!$J$1:$J$10000&gt;=ROUND($BB$3,0)),0),MATCH("DATA_POINTS",'Margin Guidence Table'!$A$1:$AG$1,0)),0)</f>
        <v>0</v>
      </c>
      <c r="BL30" s="1161" t="str">
        <f t="shared" si="23"/>
        <v>DEFAULT</v>
      </c>
      <c r="BM30" s="1161">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161">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165">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165">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165">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165">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165">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165">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9"/>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96" t="e">
        <f t="shared" si="24"/>
        <v>#DIV/0!</v>
      </c>
      <c r="BX30" s="102" t="s">
        <v>89</v>
      </c>
      <c r="BY30" s="94">
        <f>IFERROR(IF(AND($BY$2&lt;&gt;"Enter Spend&gt;&gt;&gt;",BZ18="EXISTING"),SUMIFS('Existing Customers'!$Q:$Q,'Existing Customers'!$A:$A,$BY$1,'Existing Customers'!$H:$H,$BX30)*$BY$4,$BY$3*$BW30),0)</f>
        <v>0</v>
      </c>
      <c r="BZ30" s="89">
        <f>IFERROR(IF(AND($BY$2&lt;&gt;"Enter Spend&gt;&gt;&gt;",BZ2="EXISTING"),SUMIFS('Existing Customers'!$N:$N,'Existing Customers'!$A:$A,$BY$1,'Existing Customers'!$H:$H,$BX30)*$BY$4,$BY30/$CJ30),0)</f>
        <v>0</v>
      </c>
      <c r="CA30" s="95">
        <f>IFERROR(IF(AND($BY$2&lt;&gt;"Enter Spend&gt;&gt;&gt;",BZ2="EXISTING"),SUMIFS('Existing Customers'!$O:$O,'Existing Customers'!$H:$H,$BX30,'Existing Customers'!$A:$A,$BY$1)*$BY$4,$BZ30*$BY$8),0)</f>
        <v>0</v>
      </c>
      <c r="CB30" s="95">
        <f>IFERROR(IF(AND($BY$2&lt;&gt;"Enter Spend&gt;&gt;&gt;",BZ2="EXISTING"),SUMIFS('Existing Customers'!$P:$P,'Existing Customers'!$A:$A,$BY$1,'Existing Customers'!$H:$H,$BX30)*$BY$4,$BY30/$CK30),0)</f>
        <v>0</v>
      </c>
      <c r="CC30" s="96">
        <f>IFERROR(IF(AND($BY$2&lt;&gt;"Enter Spend&gt;&gt;&gt;",BZ2="EXISTING"),SUMIFS('Existing Customers'!$V:$V,'Existing Customers'!$H:$H,$BX30,'Existing Customers'!$A:$A,$BY$1)*$BY$4,0),0)</f>
        <v>0</v>
      </c>
      <c r="CD30" s="96">
        <f>IFERROR(IF(AND($BY$2&lt;&gt;"Enter Spend&gt;&gt;&gt;",BZ2="EXISTING"),SUMIFS('Existing Customers'!$R:$R,'Existing Customers'!$H:$H,$BX30,'Existing Customers'!$A:$A,$BY$1)*$BY$4,0),0)</f>
        <v>0</v>
      </c>
      <c r="CE30" s="1161">
        <f>IFERROR(IF(AND($BY$2&lt;&gt;"Enter Spend&gt;&gt;&gt;",BZ2="EXISTING"),SUMIFS('Existing Customers'!$S:$S,'Existing Customers'!$H:$H,$BX30,'Existing Customers'!$A:$A,$BY$1),CO30*BY30),0)</f>
        <v>0</v>
      </c>
      <c r="CF30" s="1161">
        <f>IFERROR(IF(AND($BY$2&lt;&gt;"Enter Spend&gt;&gt;&gt;",BZ2="EXISTING"),SUMIFS('Existing Customers'!$U:$U,'Existing Customers'!$H:$H,$BX30,'Existing Customers'!$A:$A,$BY$1),CP30*BY30),0)</f>
        <v>0</v>
      </c>
      <c r="CG30" s="1164" t="e">
        <f>_xlfn.CONCAT('Customer Inputs'!$AG$7,"_",BX30)</f>
        <v>#N/A</v>
      </c>
      <c r="CH30" s="1164">
        <f t="array" ref="CH30">IFERROR(INDEX('Margin Guidence Table'!$A$1:$AD$30000,MATCH(1,('Margin Guidence Table'!$A$1:$A$10000=$CG30)*('Margin Guidence Table'!$I$1:$I$10000&lt;=ROUND($BY$3,0))*('Margin Guidence Table'!$J$1:$J$10000&gt;=ROUND($BY$3,0)),0),MATCH("DATA_POINTS",'Margin Guidence Table'!$A$1:$AG$1,0)),0)</f>
        <v>0</v>
      </c>
      <c r="CI30" s="1161" t="str">
        <f t="shared" si="25"/>
        <v>DEFAULT</v>
      </c>
      <c r="CJ30" s="1161">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161">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165">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165">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165">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165">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165">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165">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9"/>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96" t="e">
        <f t="shared" si="26"/>
        <v>#DIV/0!</v>
      </c>
      <c r="CU30" s="102" t="s">
        <v>89</v>
      </c>
      <c r="CV30" s="94">
        <f>IFERROR(IF(AND($CV$2&lt;&gt;"Enter Spend&gt;&gt;&gt;",CW18="EXISTING"),SUMIFS('Existing Customers'!$Q:$Q,'Existing Customers'!$A:$A,$CV$1,'Existing Customers'!$H:$H,$CU30)*$CV$4,$CV$3*$CT30),0)</f>
        <v>0</v>
      </c>
      <c r="CW30" s="89">
        <f>IFERROR(IF(AND($CV$2&lt;&gt;"Enter Spend&gt;&gt;&gt;",CW2="EXISTING"),SUMIFS('Existing Customers'!$N:$N,'Existing Customers'!$A:$A,$CV$1,'Existing Customers'!$H:$H,$CU30)*$CV$4,$CV30/$DG30),0)</f>
        <v>0</v>
      </c>
      <c r="CX30" s="95">
        <f>IFERROR(IF(AND($CV$2&lt;&gt;"Enter Spend&gt;&gt;&gt;",BC28="EXISTING"),SUMIFS('Existing Customers'!$O:$O,'Existing Customers'!$H:$H,$CU30,'Existing Customers'!$A:$A,$CV$1)*$CV$4,$CW30*$CV$8),0)</f>
        <v>0</v>
      </c>
      <c r="CY30" s="95">
        <f>IFERROR(IF(AND($CV$2&lt;&gt;"Enter Spend&gt;&gt;&gt;",CW2="EXISTING"),SUMIFS('Existing Customers'!$P:$P,'Existing Customers'!$A:$A,$CV$1,'Existing Customers'!$H:$H,$CU30)*$CV$4,$CV30/$DH30),0)</f>
        <v>0</v>
      </c>
      <c r="CZ30" s="96">
        <f>IFERROR(IF(AND($CV$2&lt;&gt;"Enter Spend&gt;&gt;&gt;",CW2="EXISTING"),SUMIFS('Existing Customers'!$V:$V,'Existing Customers'!$H:$H,$CU30,'Existing Customers'!$A:$A,$CV$1)*$CV$4,0),0)</f>
        <v>0</v>
      </c>
      <c r="DA30" s="96">
        <f>IFERROR(IF(AND($CV$2&lt;&gt;"Enter Spend&gt;&gt;&gt;",CW2="EXISTING"),SUMIFS('Existing Customers'!$R:$R,'Existing Customers'!$H:$H,$BA30,'Existing Customers'!$A:$A,$CV$1)*$CV$4,0),0)</f>
        <v>0</v>
      </c>
      <c r="DB30" s="1161">
        <f>IFERROR(IF(AND($CV$2&lt;&gt;"Enter Spend&gt;&gt;&gt;",CW2="EXISTING"),SUMIFS('Existing Customers'!$S:$S,'Existing Customers'!$H:$H,$CU30,'Existing Customers'!$A:$A,$CV$1),DL30*CV30),0)</f>
        <v>0</v>
      </c>
      <c r="DC30" s="1161">
        <f>IFERROR(IF(AND($CV$2&lt;&gt;"Enter Spend&gt;&gt;&gt;",CW2="EXISTING"),SUMIFS('Existing Customers'!$U:$U,'Existing Customers'!$H:$H,$CU30,'Existing Customers'!$A:$A,$CV$1),DM30*CV30),0)</f>
        <v>0</v>
      </c>
      <c r="DD30" s="1164" t="e">
        <f>_xlfn.CONCAT('Customer Inputs'!$AG$8,"_",CU30)</f>
        <v>#N/A</v>
      </c>
      <c r="DE30" s="1164">
        <f t="array" ref="DE30">IFERROR(INDEX('Margin Guidence Table'!$A$1:$AD$30000,MATCH(1,('Margin Guidence Table'!$A$1:$A$10000=DD30)*('Margin Guidence Table'!$I$1:$I$10000&lt;=ROUND($CV$3,0))*('Margin Guidence Table'!$J$1:$J$10000&gt;=ROUND($CV$3,0)),0),MATCH("DATA_POINTS",'Margin Guidence Table'!$A$1:$AG$1,0)),0)</f>
        <v>0</v>
      </c>
      <c r="DF30" s="1161" t="str">
        <f t="shared" si="27"/>
        <v>DEFAULT</v>
      </c>
      <c r="DG30" s="1161">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161">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165">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165">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165">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165">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165">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165">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9"/>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96" t="e">
        <f t="shared" si="28"/>
        <v>#DIV/0!</v>
      </c>
      <c r="DR30" s="102" t="s">
        <v>89</v>
      </c>
      <c r="DS30" s="94">
        <f>IFERROR(IF(AND($DS$2&lt;&gt;"Enter Spend&gt;&gt;&gt;",DT18="EXISTING"),SUMIFS('Existing Customers'!$Q:$Q,'Existing Customers'!$A:$A,$DS$1,'Existing Customers'!$H:$H,$DR30)*$DS$4,$DS$3*$DQ30),0)</f>
        <v>0</v>
      </c>
      <c r="DT30" s="89">
        <f>IFERROR(IF(AND($DS$2&lt;&gt;"Enter Spend&gt;&gt;&gt;",DT2="EXISTING"),SUMIFS('Existing Customers'!$N:$N,'Existing Customers'!$A:$A,$DS$1,'Existing Customers'!$H:$H,$DR30)*$DS$4,$DS30/$ED30),0)</f>
        <v>0</v>
      </c>
      <c r="DU30" s="95">
        <f>IFERROR(IF(AND($DS$2&lt;&gt;"Enter Spend&gt;&gt;&gt;",DT2="EXISTING"),SUMIFS('Existing Customers'!$O:$O,'Existing Customers'!$H:$H,$DR30,'Existing Customers'!$A:$A,$DS$1)*$DS$4,$DT30*$DS$8),0)</f>
        <v>0</v>
      </c>
      <c r="DV30" s="95">
        <f>IFERROR(IF(AND($DS$2&lt;&gt;"Enter Spend&gt;&gt;&gt;",DT2="EXISTING"),SUMIFS('Existing Customers'!$P:$P,'Existing Customers'!$A:$A,$DS$1,'Existing Customers'!$H:$H,$DR30)*$DS$4,$DS30/$EE30),0)</f>
        <v>0</v>
      </c>
      <c r="DW30" s="96">
        <f>IFERROR(IF(AND($DS$2&lt;&gt;"Enter Spend&gt;&gt;&gt;",EQ2="EXISTING"),SUMIFS('Existing Customers'!$V:$V,'Existing Customers'!$H:$H,$DR30,'Existing Customers'!$A:$A,$DS$1)*$DS$4,0),0)</f>
        <v>0</v>
      </c>
      <c r="DX30" s="96">
        <f>IFERROR(IF(AND($DS$2&lt;&gt;"Enter Spend&gt;&gt;&gt;",DT2="EXISTING"),SUMIFS('Existing Customers'!$R:$R,'Existing Customers'!$H:$H,$DR30,'Existing Customers'!$A:$A,$DS$1)*$DS$4,0),0)</f>
        <v>0</v>
      </c>
      <c r="DY30" s="1161">
        <f>IFERROR(IF(AND($DS$2&lt;&gt;"Enter Spend&gt;&gt;&gt;",DT2="EXISTING"),SUMIFS('Existing Customers'!$S:$S,'Existing Customers'!$H:$H,$DT30,'Existing Customers'!$A:$A,$DS$1),EI30*DS30),0)</f>
        <v>0</v>
      </c>
      <c r="DZ30" s="1161">
        <f>IFERROR(IF(AND($DS$2&lt;&gt;"Enter Spend&gt;&gt;&gt;",DT2="EXISTING"),SUMIFS('Existing Customers'!$U:$U,'Existing Customers'!$H:$H,$DR30,'Existing Customers'!$A:$A,$DS$1),EJ30*DS30),0)</f>
        <v>0</v>
      </c>
      <c r="EA30" s="1164" t="e">
        <f>_xlfn.CONCAT('Customer Inputs'!$AG$9,"_",DR30)</f>
        <v>#N/A</v>
      </c>
      <c r="EB30" s="1164">
        <f t="array" ref="EB30">IFERROR(INDEX('Margin Guidence Table'!$A$1:$AD$30000,MATCH(1,('Margin Guidence Table'!$A$1:$A$10000=EA30)*('Margin Guidence Table'!$I$1:$I$10000&lt;=ROUND($DS$3,0))*('Margin Guidence Table'!$J$1:$J$10000&gt;=ROUND($DS$3,0)),0),MATCH("DATA_POINTS",'Margin Guidence Table'!$A$1:$AG$1,0)),0)</f>
        <v>0</v>
      </c>
      <c r="EC30" s="1161" t="str">
        <f t="shared" si="29"/>
        <v>DEFAULT</v>
      </c>
      <c r="ED30" s="1161">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161">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165">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165">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165">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165">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165">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165">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9"/>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96" t="e">
        <f t="shared" si="30"/>
        <v>#DIV/0!</v>
      </c>
      <c r="EO30" s="102" t="s">
        <v>89</v>
      </c>
      <c r="EP30" s="94">
        <f>IFERROR(IF(AND($EP$2&lt;&gt;"Enter Spend&gt;&gt;&gt;",EQ18="EXISTING"),SUMIFS('Existing Customers'!$Q:$Q,'Existing Customers'!$A:$A,$EP$1,'Existing Customers'!$H:$H,$EO30)*$EP$4,$EP$3*$EN30),0)</f>
        <v>0</v>
      </c>
      <c r="EQ30" s="89">
        <f>IFERROR(IF(AND($EP$2&lt;&gt;"Enter Spend&gt;&gt;&gt;",EQ2="EXISTING"),SUMIFS('Existing Customers'!$N:$N,'Existing Customers'!$A:$A,$EP$1,'Existing Customers'!$H:$H,$EO30)*$EP$4,$EP30/$FA30),0)</f>
        <v>0</v>
      </c>
      <c r="ER30" s="95">
        <f>IFERROR(IF(AND($EP$2&lt;&gt;"Enter Spend&gt;&gt;&gt;",EQ2="EXISTING"),SUMIFS('Existing Customers'!$O:$O,'Existing Customers'!$H:$H,$EO30,'Existing Customers'!$A:$A,$EP$1)*$EP$4,$EQ30*$EP$8),0)</f>
        <v>0</v>
      </c>
      <c r="ES30" s="95">
        <f>IFERROR(IF(AND($EP$2&lt;&gt;"Enter Spend&gt;&gt;&gt;",EQ2="EXISTING"),SUMIFS('Existing Customers'!$P:$P,'Existing Customers'!$A:$A,$EP$1,'Existing Customers'!$H:$H,$EO30)*$EP$4,$EP30/$FB30),0)</f>
        <v>0</v>
      </c>
      <c r="ET30" s="96">
        <f>IFERROR(IF(AND($EP$2&lt;&gt;"Enter Spend&gt;&gt;&gt;",EQ2="EXISTING"),SUMIFS('Existing Customers'!$V:$V,'Existing Customers'!$H:$H,$EO30,'Existing Customers'!$A:$A,$EP$1)*$EP$4,0),0)</f>
        <v>0</v>
      </c>
      <c r="EU30" s="96">
        <f>IFERROR(IF(AND($EP$2&lt;&gt;"Enter Spend&gt;&gt;&gt;",EQ2="EXISTING"),SUMIFS('Existing Customers'!$R:$R,'Existing Customers'!$H:$H,$EO30,'Existing Customers'!$A:$A,$EP$1)*$EP$4,0),0)</f>
        <v>0</v>
      </c>
      <c r="EV30" s="1161">
        <f>IFERROR(IF(AND($EP$2&lt;&gt;"Enter Spend&gt;&gt;&gt;",EQ2="EXISTING"),SUMIFS('Existing Customers'!$S:$S,'Existing Customers'!$H:$H,$EO30,'Existing Customers'!$A:$A,$EP$1),FF30*EP30),0)</f>
        <v>0</v>
      </c>
      <c r="EW30" s="1161">
        <f>IFERROR(IF(AND($EP$2&lt;&gt;"Enter Spend&gt;&gt;&gt;",EQ2="EXISTING"),SUMIFS('Existing Customers'!$U:$U,'Existing Customers'!$H:$H,$EO30,'Existing Customers'!$A:$A,$EP$1),FG30*EP30),0)</f>
        <v>0</v>
      </c>
      <c r="EX30" s="1164" t="e">
        <f>_xlfn.CONCAT('Customer Inputs'!$AG$10,"_",EO30)</f>
        <v>#N/A</v>
      </c>
      <c r="EY30" s="1164">
        <f t="array" ref="EY30">IFERROR(INDEX('Margin Guidence Table'!$A$1:$AD$30000,MATCH(1,('Margin Guidence Table'!$A$1:$A$10000=EX30)*('Margin Guidence Table'!$I$1:$I$10000&lt;=ROUND($EP$3,0))*('Margin Guidence Table'!$J$1:$J$10000&gt;=ROUND($EP$3,0)),0),MATCH("DATA_POINTS",'Margin Guidence Table'!$A$1:$AG$1,0)),0)</f>
        <v>0</v>
      </c>
      <c r="EZ30" s="1161" t="str">
        <f t="shared" si="31"/>
        <v>DEFAULT</v>
      </c>
      <c r="FA30" s="1161">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161"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165">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165">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165">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165">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165">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165">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9"/>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96" t="e">
        <f t="shared" si="32"/>
        <v>#DIV/0!</v>
      </c>
      <c r="FL30" s="102" t="s">
        <v>89</v>
      </c>
      <c r="FM30" s="94">
        <f>IFERROR(IF(AND($FM$2&lt;&gt;"Enter Spend&gt;&gt;&gt;",FN18="EXISTING"),SUMIFS('Existing Customers'!$Q:$Q,'Existing Customers'!$A:$A,$FM$1,'Existing Customers'!$H:$H,$FL30)*$FM$4,$FM$3*$FK30),0)</f>
        <v>0</v>
      </c>
      <c r="FN30" s="89">
        <f>IFERROR(IF(AND($FM$2&lt;&gt;"Enter Spend&gt;&gt;&gt;",FN2="EXISTING"),SUMIFS('Existing Customers'!$N:$N,'Existing Customers'!$A:$A,$FM$1,'Existing Customers'!$H:$H,$FL30)*$FM$4,$FM30/$FX30),0)</f>
        <v>0</v>
      </c>
      <c r="FO30" s="95">
        <f>IFERROR(IF(AND($FM$2&lt;&gt;"Enter Spend&gt;&gt;&gt;",FN2="EXISTING"),SUMIFS('Existing Customers'!$O:$O,'Existing Customers'!$H:$H,$FL30,'Existing Customers'!$A:$A,$FM$1)*$FM$4,$FN30*$FM$8),0)</f>
        <v>0</v>
      </c>
      <c r="FP30" s="95">
        <f>IFERROR(IF(AND($FM$2&lt;&gt;"Enter Spend&gt;&gt;&gt;",FN2="EXISTING"),SUMIFS('Existing Customers'!$P:$P,'Existing Customers'!$A:$A,$FM$1,'Existing Customers'!$H:$H,$FL30)*$FM$4,$FM30/$FY30),0)</f>
        <v>0</v>
      </c>
      <c r="FQ30" s="96">
        <f>IFERROR(IF(AND($FM$2&lt;&gt;"Enter Spend&gt;&gt;&gt;",FN2="EXISTING"),SUMIFS('Existing Customers'!$V:$V,'Existing Customers'!$H:$H,$FL30,'Existing Customers'!$A:$A,$FM$1)*$FM$4,0),0)</f>
        <v>0</v>
      </c>
      <c r="FR30" s="96">
        <f>IFERROR(IF(AND($FM$2&lt;&gt;"Enter Spend&gt;&gt;&gt;",FN2="EXISTING"),SUMIFS('Existing Customers'!$R:$R,'Existing Customers'!$H:$H,$FL30,'Existing Customers'!$A:$A,$FM$1)*$FM$4,0),0)</f>
        <v>0</v>
      </c>
      <c r="FS30" s="1161">
        <f>IFERROR(IF(AND($FM$2&lt;&gt;"Enter Spend&gt;&gt;&gt;",FN2="EXISTING"),SUMIFS('Existing Customers'!$S:$S,'Existing Customers'!$H:$H,$FL30,'Existing Customers'!$A:$A,$FM$1),GC30*FM30),0)</f>
        <v>0</v>
      </c>
      <c r="FT30" s="1161">
        <f>IFERROR(IF(AND($FM$2&lt;&gt;"Enter Spend&gt;&gt;&gt;",FN2="EXISTING"),SUMIFS('Existing Customers'!$U:$U,'Existing Customers'!$H:$H,$FL30,'Existing Customers'!$A:$A,$FM$1),GD30*FM30),0)</f>
        <v>0</v>
      </c>
      <c r="FU30" s="1164" t="e">
        <f>_xlfn.CONCAT('Customer Inputs'!$AG$11,"_",FL30)</f>
        <v>#N/A</v>
      </c>
      <c r="FV30" s="1164">
        <f t="array" ref="FV30">IFERROR(INDEX('Margin Guidence Table'!$A$1:$AD$30000,MATCH(1,('Margin Guidence Table'!$A$1:$A$10000=FU30)*('Margin Guidence Table'!$I$1:$I$10000&lt;=ROUND($FM$3,0))*('Margin Guidence Table'!$J$1:$J$10000&gt;=ROUND($FM$3,0)),0),MATCH("DATA_POINTS",'Margin Guidence Table'!$A$1:$AG$1,0)),0)</f>
        <v>0</v>
      </c>
      <c r="FW30" s="1161" t="str">
        <f t="shared" si="33"/>
        <v>DEFAULT</v>
      </c>
      <c r="FX30" s="1161">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161">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165">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165">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165">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165">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165">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165">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9"/>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96" t="e">
        <f t="shared" si="34"/>
        <v>#DIV/0!</v>
      </c>
      <c r="GI30" s="102" t="s">
        <v>89</v>
      </c>
      <c r="GJ30" s="94">
        <f>IFERROR(IF(AND($GJ$2&lt;&gt;"Enter Spend&gt;&gt;&gt;",GK18="EXISTING"),SUMIFS('Existing Customers'!$Q:$Q,'Existing Customers'!$A:$A,$GJ$1,'Existing Customers'!$H:$H,$GI30)*$GJ$4,$GJ$3*$GH30),0)</f>
        <v>0</v>
      </c>
      <c r="GK30" s="89">
        <f>IFERROR(IF(AND($GJ$2&lt;&gt;"Enter Spend&gt;&gt;&gt;",GK2="EXISTING"),SUMIFS('Existing Customers'!$N:$N,'Existing Customers'!$A:$A,$GJ$1,'Existing Customers'!$H:$H,$GI30)*$GJ$4,$GJ30/$GU30),0)</f>
        <v>0</v>
      </c>
      <c r="GL30" s="95">
        <f>IFERROR(IF(AND($GJ$2&lt;&gt;"Enter Spend&gt;&gt;&gt;",GK2="EXISTING"),SUMIFS('Existing Customers'!$O:$O,'Existing Customers'!$H:$H,$GI30,'Existing Customers'!$A:$A,$GJ$1)*$GJ$4,$GK30*$GJ$8),0)</f>
        <v>0</v>
      </c>
      <c r="GM30" s="95">
        <f>IFERROR(IF(AND($GJ$2&lt;&gt;"Enter Spend&gt;&gt;&gt;",GK2="EXISTING"),SUMIFS('Existing Customers'!$P:$P,'Existing Customers'!$A:$A,$GJ$1,'Existing Customers'!$H:$H,$GI30)*$GJ$4,$GJ30/$GV30),0)</f>
        <v>0</v>
      </c>
      <c r="GN30" s="96">
        <f>IFERROR(IF(AND($GJ$2&lt;&gt;"Enter Spend&gt;&gt;&gt;",GK2="EXISTING"),SUMIFS('Existing Customers'!$V:$V,'Existing Customers'!$H:$H,$GI30,'Existing Customers'!$A:$A,$GJ$1)*$GJ$4,0),0)</f>
        <v>0</v>
      </c>
      <c r="GO30" s="96">
        <f>IFERROR(IF(AND($GJ$2&lt;&gt;"Enter Spend&gt;&gt;&gt;",GK2="EXISTING"),SUMIFS('Existing Customers'!$R:$R,'Existing Customers'!$H:$H,$GI30,'Existing Customers'!$A:$A,$GJ$1)*$GJ$4,0),0)</f>
        <v>0</v>
      </c>
      <c r="GP30" s="1161">
        <f>IFERROR(IF(AND($GJ$2&lt;&gt;"Enter Spend&gt;&gt;&gt;",GK2="EXISTING"),SUMIFS('Existing Customers'!$S:$S,'Existing Customers'!$H:$H,$GI30,'Existing Customers'!$A:$A,$GJ$1),GZ30*GJ30),0)</f>
        <v>0</v>
      </c>
      <c r="GQ30" s="1161">
        <f>IFERROR(IF(AND($GJ$2&lt;&gt;"Enter Spend&gt;&gt;&gt;",GK2="EXISTING"),SUMIFS('Existing Customers'!$U:$U,'Existing Customers'!$H:$H,$GI30,'Existing Customers'!$A:$A,$GJ$1),HA30*GJ30),0)</f>
        <v>0</v>
      </c>
      <c r="GR30" s="1164" t="e">
        <f>_xlfn.CONCAT('Customer Inputs'!$AG$12,"_",GI30)</f>
        <v>#N/A</v>
      </c>
      <c r="GS30" s="1164">
        <f t="array" ref="GS30">IFERROR(INDEX('Margin Guidence Table'!$A$1:$AD$30000,MATCH(1,('Margin Guidence Table'!$A$1:$A$10000=GR30)*('Margin Guidence Table'!$I$1:$I$10000&lt;=ROUND($GJ$3,0))*('Margin Guidence Table'!$J$1:$J$10000&gt;=ROUND($GJ$3,0)),0),MATCH("DATA_POINTS",'Margin Guidence Table'!$A$1:$AG$1,0)),0)</f>
        <v>0</v>
      </c>
      <c r="GT30" s="1161" t="str">
        <f t="shared" si="35"/>
        <v>DEFAULT</v>
      </c>
      <c r="GU30" s="1161">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161">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165">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165">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165">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165">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165">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165">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9"/>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96" t="e">
        <f t="shared" si="36"/>
        <v>#DIV/0!</v>
      </c>
      <c r="HF30" s="102" t="s">
        <v>89</v>
      </c>
      <c r="HG30" s="94">
        <f>IFERROR(IF(AND($HG$2&lt;&gt;"Enter Spend&gt;&gt;&gt;",HH18="EXISTING"),SUMIFS('Existing Customers'!$Q:$Q,'Existing Customers'!$A:$A,$HG$1,'Existing Customers'!$H:$H,$HF30)*$HG$4,$HG$3*$HE30),0)</f>
        <v>0</v>
      </c>
      <c r="HH30" s="89">
        <f>IFERROR(IF(AND($HG$2&lt;&gt;"Enter Spend&gt;&gt;&gt;",HH2="EXISTING"),SUMIFS('Existing Customers'!$N:$N,'Existing Customers'!$A:$A,$HG$1,'Existing Customers'!$H:$H,$HF30)*$HG$4,$HG30/$HR30),0)</f>
        <v>0</v>
      </c>
      <c r="HI30" s="95">
        <f>IFERROR(IF(AND($HG$2&lt;&gt;"Enter Spend&gt;&gt;&gt;",HH2="EXISTING"),SUMIFS('Existing Customers'!$O:$O,'Existing Customers'!$H:$H,$HF30,'Existing Customers'!$A:$A,$HG$1)*$HG$4,$HH30*$HG$8),0)</f>
        <v>0</v>
      </c>
      <c r="HJ30" s="95">
        <f>IFERROR(IF(AND($HG$2&lt;&gt;"Enter Spend&gt;&gt;&gt;",HH2="EXISTING"),SUMIFS('Existing Customers'!$P:$P,'Existing Customers'!$A:$A,$HG$1,'Existing Customers'!$H:$H,$HF30)*$HG$4,$HG30/$HS30),0)</f>
        <v>0</v>
      </c>
      <c r="HK30" s="96">
        <f>IFERROR(IF(AND($HG$2&lt;&gt;"Enter Spend&gt;&gt;&gt;",HH2="EXISTING"),SUMIFS('Existing Customers'!$V:$V,'Existing Customers'!$H:$H,$HF30,'Existing Customers'!$A:$A,$HG$1)*$HG$4,0),0)</f>
        <v>0</v>
      </c>
      <c r="HL30" s="96">
        <f>IFERROR(IF(AND($HG$2&lt;&gt;"Enter Spend&gt;&gt;&gt;",HH2="EXISTING"),SUMIFS('Existing Customers'!$R:$R,'Existing Customers'!$H:$H,$HF30,'Existing Customers'!$A:$A,$HG$1)*$HG$4,0),0)</f>
        <v>0</v>
      </c>
      <c r="HM30" s="1161">
        <f>IFERROR(IF(AND($HG$2&lt;&gt;"Enter Spend&gt;&gt;&gt;",HH2="EXISTING"),SUMIFS('Existing Customers'!$S:$S,'Existing Customers'!$H:$H,$HF30,'Existing Customers'!$A:$A,$HG$1),HW30*HG30),0)</f>
        <v>0</v>
      </c>
      <c r="HN30" s="1161">
        <f>IFERROR(IF(AND($HG$2&lt;&gt;"Enter Spend&gt;&gt;&gt;",HH2="EXISTING"),SUMIFS('Existing Customers'!$U:$U,'Existing Customers'!$H:$H,$HF30,'Existing Customers'!$A:$A,$HG$1),HX30*HG30),0)</f>
        <v>0</v>
      </c>
      <c r="HO30" s="1164" t="e">
        <f>_xlfn.CONCAT('Customer Inputs'!$AG$13,"_",HF30)</f>
        <v>#N/A</v>
      </c>
      <c r="HP30" s="1164">
        <f t="array" ref="HP30">IFERROR(INDEX('Margin Guidence Table'!$A$1:$AD$30000,MATCH(1,('Margin Guidence Table'!$A$1:$A$10000=HO30)*('Margin Guidence Table'!$I$1:$I$10000&lt;=ROUND($HG$3,0))*('Margin Guidence Table'!$J$1:$J$10000&gt;=ROUND($HG$3,0)),0),MATCH("DATA_POINTS",'Margin Guidence Table'!$A$1:$AG$1,0)),0)</f>
        <v>0</v>
      </c>
      <c r="HQ30" s="1161" t="str">
        <f t="shared" si="37"/>
        <v>DEFAULT</v>
      </c>
      <c r="HR30" s="1161">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161">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165">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165">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165">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165">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165">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165">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9"/>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96" t="e">
        <f t="shared" si="38"/>
        <v>#DIV/0!</v>
      </c>
      <c r="IC30" s="102" t="s">
        <v>89</v>
      </c>
      <c r="ID30" s="94">
        <f>IFERROR(IF(AND($ID$2&lt;&gt;"Enter Spend&gt;&gt;&gt;",IE18="EXISTING"),SUMIFS('Existing Customers'!$Q:$Q,'Existing Customers'!$A:$A,$ID$1,'Existing Customers'!$H:$H,$IC30)*$ID$4,$ID$3*$IB30),0)</f>
        <v>0</v>
      </c>
      <c r="IE30" s="89">
        <f>IFERROR(IF(AND($ID$2&lt;&gt;"Enter Spend&gt;&gt;&gt;",IE2="EXISTING"),SUMIFS('Existing Customers'!$N:$N,'Existing Customers'!$A:$A,$ID$1,'Existing Customers'!$H:$H,$IC30)*$ID$4,$ID30/$IO30),0)</f>
        <v>0</v>
      </c>
      <c r="IF30" s="95">
        <f>IFERROR(IF(AND($ID$2&lt;&gt;"Enter Spend&gt;&gt;&gt;",IE2="EXISTING"),SUMIFS('Existing Customers'!$O:$O,'Existing Customers'!$H:$H,$IC30,'Existing Customers'!$A:$A,$ID$1)*$ID$4,$IE30*$ID$8),0)</f>
        <v>0</v>
      </c>
      <c r="IG30" s="95">
        <f>IFERROR(IF(AND($ID$2&lt;&gt;"Enter Spend&gt;&gt;&gt;",IE2="EXISTING"),SUMIFS('Existing Customers'!$P:$P,'Existing Customers'!$A:$A,$ID$1,'Existing Customers'!$H:$H,$IC30)*$ID$4,$ID30/$IP30),0)</f>
        <v>0</v>
      </c>
      <c r="IH30" s="402">
        <f>IFERROR(IF(AND($ID$2&lt;&gt;"Enter Spend&gt;&gt;&gt;",IE2="EXISTING"),SUMIFS('Existing Customers'!$V:$V,'Existing Customers'!$H:$H,$IC30,'Existing Customers'!$A:$A,$ID$1)*$ID$4,0),0)</f>
        <v>0</v>
      </c>
      <c r="II30" s="96">
        <f>IFERROR(IF(AND($ID$2&lt;&gt;"Enter Spend&gt;&gt;&gt;",IE2="EXISTING"),SUMIFS('Existing Customers'!$R:$R,'Existing Customers'!$H:$H,$IC30,'Existing Customers'!$A:$A,$ID$1)*$ID$4,0),0)</f>
        <v>0</v>
      </c>
      <c r="IJ30" s="1161">
        <f>IFERROR(IF(AND($ID$2&lt;&gt;"Enter Spend&gt;&gt;&gt;",IE2="EXISTING"),SUMIFS('Existing Customers'!$S:$S,'Existing Customers'!$H:$H,$IC30,'Existing Customers'!$A:$A,$ID$1),IT30*ID30),0)</f>
        <v>0</v>
      </c>
      <c r="IK30" s="1161">
        <f>IFERROR(IF(AND($ID$2&lt;&gt;"Enter Spend&gt;&gt;&gt;",IE2="EXISTING"),SUMIFS('Existing Customers'!$U:$U,'Existing Customers'!$H:$H,$IC30,'Existing Customers'!$A:$A,$ID$1),IU30*ID30),0)</f>
        <v>0</v>
      </c>
      <c r="IL30" s="1164" t="e">
        <f>_xlfn.CONCAT('Customer Inputs'!$AG$14,"_",IC30)</f>
        <v>#N/A</v>
      </c>
      <c r="IM30" s="1164">
        <f t="array" ref="IM30">IFERROR(INDEX('Margin Guidence Table'!$A$1:$AD$30000,MATCH(1,('Margin Guidence Table'!$A$1:$A$10000=IL30)*('Margin Guidence Table'!$I$1:$I$10000&lt;=ROUND($ID$3,0))*('Margin Guidence Table'!$J$1:$J$10000&gt;=ROUND($ID$3,0)),0),MATCH("DATA_POINTS",'Margin Guidence Table'!$A$1:$AG$1,0)),0)</f>
        <v>0</v>
      </c>
      <c r="IN30" s="1161" t="str">
        <f t="shared" si="39"/>
        <v>DEFAULT</v>
      </c>
      <c r="IO30" s="1161">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161">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165">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165">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165">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165">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165">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165">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9"/>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96" t="e">
        <f t="shared" si="40"/>
        <v>#DIV/0!</v>
      </c>
      <c r="IZ30" s="102" t="s">
        <v>89</v>
      </c>
      <c r="JA30" s="94">
        <f>IFERROR(IF(AND($JA$2&lt;&gt;"Enter Spend&gt;&gt;&gt;",JB18="EXISTING"),SUMIFS('Existing Customers'!$Q:$Q,'Existing Customers'!$A:$A,$JA$1,'Existing Customers'!$H:$H,$IZ30)*$JA$4,$JA$3*$IY30),0)</f>
        <v>0</v>
      </c>
      <c r="JB30" s="89">
        <f>IFERROR(IF(AND($JA$2&lt;&gt;"Enter Spend&gt;&gt;&gt;",JB2="EXISTING"),SUMIFS('Existing Customers'!$N:$N,'Existing Customers'!$A:$A,$JA$1,'Existing Customers'!$H:$H,$IZ30)*$JA$4,$JA30/$JL30),0)</f>
        <v>0</v>
      </c>
      <c r="JC30" s="95">
        <f>IFERROR(IF(AND($JA$2&lt;&gt;"Enter Spend&gt;&gt;&gt;",JB2="EXISTING"),SUMIFS('Existing Customers'!$O:$O,'Existing Customers'!$H:$H,$IZ30,'Existing Customers'!$A:$A,$JA$1)*$JA$4,$JB30*$JA$8),0)</f>
        <v>0</v>
      </c>
      <c r="JD30" s="95">
        <f>IFERROR(IF(AND($JA$2&lt;&gt;"Enter Spend&gt;&gt;&gt;",JB2="EXISTING"),SUMIFS('Existing Customers'!$P:$P,'Existing Customers'!$A:$A,$JA$1,'Existing Customers'!$H:$H,$IZ30)*$JA$4,$JA30/$JM30),0)</f>
        <v>0</v>
      </c>
      <c r="JE30" s="402">
        <f>IFERROR(IF(AND($JA$2&lt;&gt;"Enter Spend&gt;&gt;&gt;",JB2="EXISTING"),SUMIFS('Existing Customers'!$V:$V,'Existing Customers'!$H:$H,$IZ30,'Existing Customers'!$A:$A,$JA$1)*$JA$4,0),0)</f>
        <v>0</v>
      </c>
      <c r="JF30" s="96">
        <f>IFERROR(IF(AND($JA$2&lt;&gt;"Enter Spend&gt;&gt;&gt;",JB2="EXISTING"),SUMIFS('Existing Customers'!$R:$R,'Existing Customers'!$H:$H,$IZ30,'Existing Customers'!$A:$A,$JA$1)*$JA$4,0),0)</f>
        <v>0</v>
      </c>
      <c r="JG30" s="1161">
        <f>IFERROR(IF(AND($JA$2&lt;&gt;"Enter Spend&gt;&gt;&gt;",JB2="EXISTING"),SUMIFS('Existing Customers'!$S:$S,'Existing Customers'!$H:$H,$IZ30,'Existing Customers'!$A:$A,$JA$1),JQ30*JA30),0)</f>
        <v>0</v>
      </c>
      <c r="JH30" s="1161">
        <f>IFERROR(IF(AND($JA$2&lt;&gt;"Enter Spend&gt;&gt;&gt;",JB2="EXISTING"),SUMIFS('Existing Customers'!$U:$U,'Existing Customers'!$H:$H,$IZ30,'Existing Customers'!$A:$A,$JA$1),JR30*JA30),0)</f>
        <v>0</v>
      </c>
      <c r="JI30" s="1164" t="e">
        <f>_xlfn.CONCAT('Customer Inputs'!$AG$15,"_",IZ30)</f>
        <v>#N/A</v>
      </c>
      <c r="JJ30" s="1164">
        <f t="array" ref="JJ30">IFERROR(INDEX('Margin Guidence Table'!$A$1:$AD$30000,MATCH(1,('Margin Guidence Table'!$A$1:$A$10000=JI30)*('Margin Guidence Table'!$I$1:$I$10000&lt;=ROUND($JA$3,0))*('Margin Guidence Table'!$J$1:$J$10000&gt;=ROUND($JA$3,0)),0),MATCH("DATA_POINTS",'Margin Guidence Table'!$A$1:$AG$1,0)),0)</f>
        <v>0</v>
      </c>
      <c r="JK30" s="1161" t="str">
        <f t="shared" si="41"/>
        <v>DEFAULT</v>
      </c>
      <c r="JL30" s="1161">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161">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165">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165">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165">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165">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165">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165">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102" t="s">
        <v>89</v>
      </c>
      <c r="JV30" s="97"/>
      <c r="JW30" s="89"/>
      <c r="JX30" s="89"/>
      <c r="JY30" s="89"/>
      <c r="JZ30" s="114"/>
      <c r="KA30" s="98"/>
      <c r="KB30" s="129"/>
      <c r="KD30" s="102" t="s">
        <v>89</v>
      </c>
      <c r="KE30" s="97"/>
      <c r="KF30" s="89"/>
      <c r="KG30" s="89"/>
      <c r="KH30" s="89"/>
      <c r="KI30" s="114"/>
      <c r="KJ30" s="98"/>
    </row>
    <row r="31" spans="2:296" ht="15.75" thickBot="1" x14ac:dyDescent="0.3">
      <c r="B31" s="102" t="s">
        <v>94</v>
      </c>
      <c r="C31" s="480">
        <f t="shared" si="7"/>
        <v>0</v>
      </c>
      <c r="D31" s="496">
        <f t="shared" si="8"/>
        <v>0</v>
      </c>
      <c r="E31" s="496">
        <f t="shared" si="9"/>
        <v>0</v>
      </c>
      <c r="F31" s="496">
        <f t="shared" si="10"/>
        <v>0</v>
      </c>
      <c r="G31" s="497">
        <f t="shared" si="11"/>
        <v>0</v>
      </c>
      <c r="H31" s="496">
        <f t="shared" si="12"/>
        <v>0</v>
      </c>
      <c r="I31" s="1157" t="e">
        <f>ROUND(SUM($BB31*BO31+$BY31*CL31+$CV31*DI31+$DS31*EF31+$EP31*FC31+$FM31*FZ31+$GJ31*GW31+$HG31*HT31+$ID31*IQ31+$JA31*JN31)/$C31,2)</f>
        <v>#DIV/0!</v>
      </c>
      <c r="J31" s="1157" t="e">
        <f>ROUND(SUM($BB31*BP31+$BY31*CM31+$CV31*DJ31+$DS31*EG31+$EP31*FD31+$FM31*GA31+$GJ31*GX31+$HG31*HU31+$ID31*IR31+$JA31*JO31)/$C31,2)</f>
        <v>#DIV/0!</v>
      </c>
      <c r="K31" s="1157" t="e">
        <f>ROUND(SUM($BB31*BQ31+$BY31*CN31+$CV31*DK31+$DS31*EH31+$EP31*FE31+$FM31*GB31+$GJ31*GY31+$HG31*HV31+$ID31*IS31+$JA31*JP31)/$C31,2)</f>
        <v>#DIV/0!</v>
      </c>
      <c r="L31" s="496" t="e">
        <f t="shared" si="0"/>
        <v>#DIV/0!</v>
      </c>
      <c r="M31" s="496" t="e">
        <f t="shared" si="13"/>
        <v>#DIV/0!</v>
      </c>
      <c r="N31" s="1158" t="e">
        <f t="shared" si="1"/>
        <v>#DIV/0!</v>
      </c>
      <c r="P31" t="str">
        <f>'PIM Model'!E27</f>
        <v>INCLUDE</v>
      </c>
      <c r="Q31">
        <f t="shared" si="14"/>
        <v>0</v>
      </c>
      <c r="R31">
        <f t="shared" si="15"/>
        <v>0</v>
      </c>
      <c r="S31" s="102" t="s">
        <v>94</v>
      </c>
      <c r="T31" s="97">
        <f t="shared" si="16"/>
        <v>0</v>
      </c>
      <c r="U31" s="89">
        <f t="shared" si="2"/>
        <v>0</v>
      </c>
      <c r="V31" s="89">
        <f t="shared" si="3"/>
        <v>0</v>
      </c>
      <c r="W31" s="89">
        <f t="shared" si="4"/>
        <v>0</v>
      </c>
      <c r="X31" s="114">
        <f t="shared" si="5"/>
        <v>0</v>
      </c>
      <c r="Y31" s="117">
        <f t="shared" si="17"/>
        <v>0</v>
      </c>
      <c r="Z31" s="400"/>
      <c r="AA31" s="102" t="s">
        <v>94</v>
      </c>
      <c r="AB31" s="484">
        <f>SUMIFS($BB31:$JF31,$BB$12:$JF$12,AB$12)</f>
        <v>0</v>
      </c>
      <c r="AC31" s="485">
        <f>SUMIFS($BB31:$JF31,$BB$12:$JF$12,AC$12)</f>
        <v>0</v>
      </c>
      <c r="AD31" s="485">
        <f>SUMIFS($BB31:$JF31,$BB$12:$JF$12,AD$12)</f>
        <v>0</v>
      </c>
      <c r="AE31" s="486">
        <f t="shared" si="18"/>
        <v>0</v>
      </c>
      <c r="AF31" s="487">
        <f t="shared" si="19"/>
        <v>0</v>
      </c>
      <c r="AG31" s="400"/>
      <c r="AH31" s="102" t="s">
        <v>94</v>
      </c>
      <c r="AI31" s="484">
        <f t="shared" si="6"/>
        <v>0</v>
      </c>
      <c r="AJ31" s="481">
        <f t="shared" si="20"/>
        <v>0</v>
      </c>
      <c r="AK31" s="487"/>
      <c r="AL31" s="400"/>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400">
        <f>VLOOKUP($AH31&amp;$AM31,'IMargin Quartiles'!$A:$F,6,FALSE)</f>
        <v>0.16</v>
      </c>
      <c r="AO31" s="400"/>
      <c r="AP31"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Q31" s="400" t="e">
        <f t="shared" si="21"/>
        <v>#DIV/0!</v>
      </c>
      <c r="AR31">
        <f>'PIM Model'!C27</f>
        <v>0</v>
      </c>
      <c r="AS31" s="400"/>
      <c r="AT31" s="400"/>
      <c r="AU31" s="400" t="e">
        <f t="shared" si="42"/>
        <v>#DIV/0!</v>
      </c>
      <c r="AV31" s="400"/>
      <c r="AW31" s="400"/>
      <c r="AX31" s="108">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96" t="e">
        <f t="shared" si="22"/>
        <v>#DIV/0!</v>
      </c>
      <c r="BA31" s="102" t="s">
        <v>94</v>
      </c>
      <c r="BB31" s="94">
        <f>IFERROR(IF(AND($BB$2&lt;&gt;"Enter Spend&gt;&gt;&gt;",BC19="EXISTING"),SUMIFS('Existing Customers'!$Q:$Q,'Existing Customers'!$A:$A,$BB$1,'Existing Customers'!$H:$H,$BA31)*$BB$4,$BB$3*$AZ31),0)</f>
        <v>0</v>
      </c>
      <c r="BC31" s="95">
        <f>IFERROR(IF(AND($BB$2&lt;&gt;"Enter Spend&gt;&gt;&gt;",BC2="EXISTING"),SUMIFS('Existing Customers'!$N:$N,'Existing Customers'!$A:$A,$BB$1,'Existing Customers'!$H:$H,$BA31)*$BB$4,$BB31/$BM31),0)</f>
        <v>0</v>
      </c>
      <c r="BD31" s="95">
        <f>IFERROR(IF(AND($BB$2&lt;&gt;"Enter Spend&gt;&gt;&gt;",BC2="EXISTING"),SUMIFS('Existing Customers'!$O:$O,'Existing Customers'!$H:$H,$BA31,'Existing Customers'!$A:$A,$BB$1)*$BB$4,$BC31*$BB$8),0)</f>
        <v>0</v>
      </c>
      <c r="BE31" s="95">
        <f>IFERROR(IF(AND($BB$2&lt;&gt;"Enter Spend&gt;&gt;&gt;",BC2="EXISTING"),SUMIFS('Existing Customers'!$P:$P,'Existing Customers'!$A:$A,$BB$1,'Existing Customers'!$H:$H,$BA31)*$BB$4,$BB31/$BN31),0)</f>
        <v>0</v>
      </c>
      <c r="BF31" s="402">
        <f>IFERROR(IF(AND($BB$2&lt;&gt;"Enter Spend&gt;&gt;&gt;",BC2="EXISTING"),SUMIFS('Existing Customers'!$V:$V,'Existing Customers'!$H:$H,$BA31,'Existing Customers'!$A:$A,$BB$1)*$BB$4,0),0)</f>
        <v>0</v>
      </c>
      <c r="BG31" s="96">
        <f>IFERROR(IF(AND($BB$2&lt;&gt;"Enter Spend&gt;&gt;&gt;",BC2="EXISTING"),SUMIFS('Existing Customers'!$R:$R,'Existing Customers'!$H:$H,$BA31,'Existing Customers'!$A:$A,$BB$1)*$BB$4,0),0)</f>
        <v>0</v>
      </c>
      <c r="BH31" s="96">
        <f>IFERROR(IF(AND($BB$2&lt;&gt;"Enter Spend&gt;&gt;&gt;",BC2="EXISTING"),SUMIFS('Existing Customers'!$S:$S,'Existing Customers'!$H:$H,$BA31,'Existing Customers'!$A:$A,$BB$1),BR31*BB31),0)</f>
        <v>0</v>
      </c>
      <c r="BI31" s="96">
        <f>IFERROR(IF(AND($BB$2&lt;&gt;"Enter Spend&gt;&gt;&gt;",BC2="EXISTING"),SUMIFS('Existing Customers'!$U:$U,'Existing Customers'!$H:$H,$BA31,'Existing Customers'!$A:$A,$BB$1),BS31*BB31),0)</f>
        <v>0</v>
      </c>
      <c r="BJ31" s="1163" t="e">
        <f>_xlfn.CONCAT('Customer Inputs'!$AG$6,"_",BA31)</f>
        <v>#N/A</v>
      </c>
      <c r="BK31" s="1164">
        <f t="array" ref="BK31">IFERROR(INDEX('Margin Guidence Table'!$A$1:$AD$30000,MATCH(1,('Margin Guidence Table'!$A$1:$A$10000=$BJ31)*('Margin Guidence Table'!$I$1:$I$10000&lt;=ROUND($BB$3,0))*('Margin Guidence Table'!$J$1:$J$10000&gt;=ROUND($BB$3,0)),0),MATCH("DATA_POINTS",'Margin Guidence Table'!$A$1:$AG$1,0)),0)</f>
        <v>0</v>
      </c>
      <c r="BL31" s="1161" t="str">
        <f t="shared" si="23"/>
        <v>DEFAULT</v>
      </c>
      <c r="BM31" s="1161">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161">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165">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165">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165">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165">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165">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165">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9"/>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96" t="e">
        <f t="shared" si="24"/>
        <v>#DIV/0!</v>
      </c>
      <c r="BX31" s="102" t="s">
        <v>94</v>
      </c>
      <c r="BY31" s="94">
        <f>IFERROR(IF(AND($BY$2&lt;&gt;"Enter Spend&gt;&gt;&gt;",BZ19="EXISTING"),SUMIFS('Existing Customers'!$Q:$Q,'Existing Customers'!$A:$A,$BY$1,'Existing Customers'!$H:$H,$BX31)*$BY$4,$BY$3*$BW31),0)</f>
        <v>0</v>
      </c>
      <c r="BZ31" s="89">
        <f>IFERROR(IF(AND($BY$2&lt;&gt;"Enter Spend&gt;&gt;&gt;",BZ2="EXISTING"),SUMIFS('Existing Customers'!$N:$N,'Existing Customers'!$A:$A,$BY$1,'Existing Customers'!$H:$H,$BX31)*$BY$4,$BY31/$CJ31),0)</f>
        <v>0</v>
      </c>
      <c r="CA31" s="95">
        <f>IFERROR(IF(AND($BY$2&lt;&gt;"Enter Spend&gt;&gt;&gt;",BZ2="EXISTING"),SUMIFS('Existing Customers'!$O:$O,'Existing Customers'!$H:$H,$BX31,'Existing Customers'!$A:$A,$BY$1)*$BY$4,$BZ31*$BY$8),0)</f>
        <v>0</v>
      </c>
      <c r="CB31" s="95">
        <f>IFERROR(IF(AND($BY$2&lt;&gt;"Enter Spend&gt;&gt;&gt;",BZ2="EXISTING"),SUMIFS('Existing Customers'!$P:$P,'Existing Customers'!$A:$A,$BY$1,'Existing Customers'!$H:$H,$BX31)*$BY$4,$BY31/$CK31),0)</f>
        <v>0</v>
      </c>
      <c r="CC31" s="96">
        <f>IFERROR(IF(AND($BY$2&lt;&gt;"Enter Spend&gt;&gt;&gt;",BZ2="EXISTING"),SUMIFS('Existing Customers'!$V:$V,'Existing Customers'!$H:$H,$BX31,'Existing Customers'!$A:$A,$BY$1)*$BY$4,0),0)</f>
        <v>0</v>
      </c>
      <c r="CD31" s="96">
        <f>IFERROR(IF(AND($BY$2&lt;&gt;"Enter Spend&gt;&gt;&gt;",BZ2="EXISTING"),SUMIFS('Existing Customers'!$R:$R,'Existing Customers'!$H:$H,$BX31,'Existing Customers'!$A:$A,$BY$1)*$BY$4,0),0)</f>
        <v>0</v>
      </c>
      <c r="CE31" s="1161">
        <f>IFERROR(IF(AND($BY$2&lt;&gt;"Enter Spend&gt;&gt;&gt;",BZ2="EXISTING"),SUMIFS('Existing Customers'!$S:$S,'Existing Customers'!$H:$H,$BX31,'Existing Customers'!$A:$A,$BY$1),CO31*BY31),0)</f>
        <v>0</v>
      </c>
      <c r="CF31" s="1161">
        <f>IFERROR(IF(AND($BY$2&lt;&gt;"Enter Spend&gt;&gt;&gt;",BZ2="EXISTING"),SUMIFS('Existing Customers'!$U:$U,'Existing Customers'!$H:$H,$BX31,'Existing Customers'!$A:$A,$BY$1),CP31*BY31),0)</f>
        <v>0</v>
      </c>
      <c r="CG31" s="1164" t="e">
        <f>_xlfn.CONCAT('Customer Inputs'!$AG$7,"_",BX31)</f>
        <v>#N/A</v>
      </c>
      <c r="CH31" s="1164">
        <f t="array" ref="CH31">IFERROR(INDEX('Margin Guidence Table'!$A$1:$AD$30000,MATCH(1,('Margin Guidence Table'!$A$1:$A$10000=$CG31)*('Margin Guidence Table'!$I$1:$I$10000&lt;=ROUND($BY$3,0))*('Margin Guidence Table'!$J$1:$J$10000&gt;=ROUND($BY$3,0)),0),MATCH("DATA_POINTS",'Margin Guidence Table'!$A$1:$AG$1,0)),0)</f>
        <v>0</v>
      </c>
      <c r="CI31" s="1161" t="str">
        <f t="shared" si="25"/>
        <v>DEFAULT</v>
      </c>
      <c r="CJ31" s="1161">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161">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165">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165">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165">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165">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165">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165">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9"/>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96" t="e">
        <f t="shared" si="26"/>
        <v>#DIV/0!</v>
      </c>
      <c r="CU31" s="102" t="s">
        <v>94</v>
      </c>
      <c r="CV31" s="94">
        <f>IFERROR(IF(AND($CV$2&lt;&gt;"Enter Spend&gt;&gt;&gt;",CW19="EXISTING"),SUMIFS('Existing Customers'!$Q:$Q,'Existing Customers'!$A:$A,$CV$1,'Existing Customers'!$H:$H,$CU31)*$CV$4,$CV$3*$CT31),0)</f>
        <v>0</v>
      </c>
      <c r="CW31" s="89">
        <f>IFERROR(IF(AND($CV$2&lt;&gt;"Enter Spend&gt;&gt;&gt;",CW2="EXISTING"),SUMIFS('Existing Customers'!$N:$N,'Existing Customers'!$A:$A,$CV$1,'Existing Customers'!$H:$H,$CU31)*$CV$4,$CV31/$DG31),0)</f>
        <v>0</v>
      </c>
      <c r="CX31" s="95">
        <f>IFERROR(IF(AND($CV$2&lt;&gt;"Enter Spend&gt;&gt;&gt;",BC28="EXISTING"),SUMIFS('Existing Customers'!$O:$O,'Existing Customers'!$H:$H,$CU31,'Existing Customers'!$A:$A,$CV$1)*$CV$4,$CW31*$CV$8),0)</f>
        <v>0</v>
      </c>
      <c r="CY31" s="95">
        <f>IFERROR(IF(AND($CV$2&lt;&gt;"Enter Spend&gt;&gt;&gt;",CW2="EXISTING"),SUMIFS('Existing Customers'!$P:$P,'Existing Customers'!$A:$A,$CV$1,'Existing Customers'!$H:$H,$CU31)*$CV$4,$CV31/$DH31),0)</f>
        <v>0</v>
      </c>
      <c r="CZ31" s="96">
        <f>IFERROR(IF(AND($CV$2&lt;&gt;"Enter Spend&gt;&gt;&gt;",CW2="EXISTING"),SUMIFS('Existing Customers'!$V:$V,'Existing Customers'!$H:$H,$CU31,'Existing Customers'!$A:$A,$CV$1)*$CV$4,0),0)</f>
        <v>0</v>
      </c>
      <c r="DA31" s="96">
        <f>IFERROR(IF(AND($CV$2&lt;&gt;"Enter Spend&gt;&gt;&gt;",CW2="EXISTING"),SUMIFS('Existing Customers'!$R:$R,'Existing Customers'!$H:$H,$BA31,'Existing Customers'!$A:$A,$CV$1)*$CV$4,0),0)</f>
        <v>0</v>
      </c>
      <c r="DB31" s="1161">
        <f>IFERROR(IF(AND($CV$2&lt;&gt;"Enter Spend&gt;&gt;&gt;",CW2="EXISTING"),SUMIFS('Existing Customers'!$S:$S,'Existing Customers'!$H:$H,$CU31,'Existing Customers'!$A:$A,$CV$1),DL31*CV31),0)</f>
        <v>0</v>
      </c>
      <c r="DC31" s="1161">
        <f>IFERROR(IF(AND($CV$2&lt;&gt;"Enter Spend&gt;&gt;&gt;",CW2="EXISTING"),SUMIFS('Existing Customers'!$U:$U,'Existing Customers'!$H:$H,$CU31,'Existing Customers'!$A:$A,$CV$1),DM31*CV31),0)</f>
        <v>0</v>
      </c>
      <c r="DD31" s="1164" t="e">
        <f>_xlfn.CONCAT('Customer Inputs'!$AG$8,"_",CU31)</f>
        <v>#N/A</v>
      </c>
      <c r="DE31" s="1164">
        <f t="array" ref="DE31">IFERROR(INDEX('Margin Guidence Table'!$A$1:$AD$30000,MATCH(1,('Margin Guidence Table'!$A$1:$A$10000=DD31)*('Margin Guidence Table'!$I$1:$I$10000&lt;=ROUND($CV$3,0))*('Margin Guidence Table'!$J$1:$J$10000&gt;=ROUND($CV$3,0)),0),MATCH("DATA_POINTS",'Margin Guidence Table'!$A$1:$AG$1,0)),0)</f>
        <v>0</v>
      </c>
      <c r="DF31" s="1161" t="str">
        <f t="shared" si="27"/>
        <v>DEFAULT</v>
      </c>
      <c r="DG31" s="1161">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161">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165">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165">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165">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165">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165">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165">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9"/>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96" t="e">
        <f t="shared" si="28"/>
        <v>#DIV/0!</v>
      </c>
      <c r="DR31" s="102" t="s">
        <v>94</v>
      </c>
      <c r="DS31" s="94">
        <f>IFERROR(IF(AND($DS$2&lt;&gt;"Enter Spend&gt;&gt;&gt;",DT19="EXISTING"),SUMIFS('Existing Customers'!$Q:$Q,'Existing Customers'!$A:$A,$DS$1,'Existing Customers'!$H:$H,$DR31)*$DS$4,$DS$3*$DQ31),0)</f>
        <v>0</v>
      </c>
      <c r="DT31" s="89">
        <f>IFERROR(IF(AND($DS$2&lt;&gt;"Enter Spend&gt;&gt;&gt;",DT2="EXISTING"),SUMIFS('Existing Customers'!$N:$N,'Existing Customers'!$A:$A,$DS$1,'Existing Customers'!$H:$H,$DR31)*$DS$4,$DS31/$ED31),0)</f>
        <v>0</v>
      </c>
      <c r="DU31" s="95">
        <f>IFERROR(IF(AND($DS$2&lt;&gt;"Enter Spend&gt;&gt;&gt;",DT2="EXISTING"),SUMIFS('Existing Customers'!$O:$O,'Existing Customers'!$H:$H,$DR31,'Existing Customers'!$A:$A,$DS$1)*$DS$4,$DT31*$DS$8),0)</f>
        <v>0</v>
      </c>
      <c r="DV31" s="95">
        <f>IFERROR(IF(AND($DS$2&lt;&gt;"Enter Spend&gt;&gt;&gt;",DT2="EXISTING"),SUMIFS('Existing Customers'!$P:$P,'Existing Customers'!$A:$A,$DS$1,'Existing Customers'!$H:$H,$DR31)*$DS$4,$DS31/$EE31),0)</f>
        <v>0</v>
      </c>
      <c r="DW31" s="96">
        <f>IFERROR(IF(AND($DS$2&lt;&gt;"Enter Spend&gt;&gt;&gt;",EQ2="EXISTING"),SUMIFS('Existing Customers'!$V:$V,'Existing Customers'!$H:$H,$DR31,'Existing Customers'!$A:$A,$DS$1)*$DS$4,0),0)</f>
        <v>0</v>
      </c>
      <c r="DX31" s="96">
        <f>IFERROR(IF(AND($DS$2&lt;&gt;"Enter Spend&gt;&gt;&gt;",DT2="EXISTING"),SUMIFS('Existing Customers'!$R:$R,'Existing Customers'!$H:$H,$DR31,'Existing Customers'!$A:$A,$DS$1)*$DS$4,0),0)</f>
        <v>0</v>
      </c>
      <c r="DY31" s="1161">
        <f>IFERROR(IF(AND($DS$2&lt;&gt;"Enter Spend&gt;&gt;&gt;",DT2="EXISTING"),SUMIFS('Existing Customers'!$S:$S,'Existing Customers'!$H:$H,$DT31,'Existing Customers'!$A:$A,$DS$1),EI31*DS31),0)</f>
        <v>0</v>
      </c>
      <c r="DZ31" s="1161">
        <f>IFERROR(IF(AND($DS$2&lt;&gt;"Enter Spend&gt;&gt;&gt;",DT2="EXISTING"),SUMIFS('Existing Customers'!$U:$U,'Existing Customers'!$H:$H,$DR31,'Existing Customers'!$A:$A,$DS$1),EJ31*DS31),0)</f>
        <v>0</v>
      </c>
      <c r="EA31" s="1164" t="e">
        <f>_xlfn.CONCAT('Customer Inputs'!$AG$9,"_",DR31)</f>
        <v>#N/A</v>
      </c>
      <c r="EB31" s="1164">
        <f t="array" ref="EB31">IFERROR(INDEX('Margin Guidence Table'!$A$1:$AD$30000,MATCH(1,('Margin Guidence Table'!$A$1:$A$10000=EA31)*('Margin Guidence Table'!$I$1:$I$10000&lt;=ROUND($DS$3,0))*('Margin Guidence Table'!$J$1:$J$10000&gt;=ROUND($DS$3,0)),0),MATCH("DATA_POINTS",'Margin Guidence Table'!$A$1:$AG$1,0)),0)</f>
        <v>0</v>
      </c>
      <c r="EC31" s="1161" t="str">
        <f t="shared" si="29"/>
        <v>DEFAULT</v>
      </c>
      <c r="ED31" s="1161">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161">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165">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165">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165">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165">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165">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165">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9"/>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96" t="e">
        <f t="shared" si="30"/>
        <v>#DIV/0!</v>
      </c>
      <c r="EO31" s="102" t="s">
        <v>94</v>
      </c>
      <c r="EP31" s="94">
        <f>IFERROR(IF(AND($EP$2&lt;&gt;"Enter Spend&gt;&gt;&gt;",EQ19="EXISTING"),SUMIFS('Existing Customers'!$Q:$Q,'Existing Customers'!$A:$A,$EP$1,'Existing Customers'!$H:$H,$EO31)*$EP$4,$EP$3*$EN31),0)</f>
        <v>0</v>
      </c>
      <c r="EQ31" s="89">
        <f>IFERROR(IF(AND($EP$2&lt;&gt;"Enter Spend&gt;&gt;&gt;",EQ2="EXISTING"),SUMIFS('Existing Customers'!$N:$N,'Existing Customers'!$A:$A,$EP$1,'Existing Customers'!$H:$H,$EO31)*$EP$4,$EP31/$FA31),0)</f>
        <v>0</v>
      </c>
      <c r="ER31" s="95">
        <f>IFERROR(IF(AND($EP$2&lt;&gt;"Enter Spend&gt;&gt;&gt;",EQ2="EXISTING"),SUMIFS('Existing Customers'!$O:$O,'Existing Customers'!$H:$H,$EO31,'Existing Customers'!$A:$A,$EP$1)*$EP$4,$EQ31*$EP$8),0)</f>
        <v>0</v>
      </c>
      <c r="ES31" s="95">
        <f>IFERROR(IF(AND($EP$2&lt;&gt;"Enter Spend&gt;&gt;&gt;",EQ2="EXISTING"),SUMIFS('Existing Customers'!$P:$P,'Existing Customers'!$A:$A,$EP$1,'Existing Customers'!$H:$H,$EO31)*$EP$4,$EP31/$FB31),0)</f>
        <v>0</v>
      </c>
      <c r="ET31" s="96">
        <f>IFERROR(IF(AND($EP$2&lt;&gt;"Enter Spend&gt;&gt;&gt;",EQ2="EXISTING"),SUMIFS('Existing Customers'!$V:$V,'Existing Customers'!$H:$H,$EO31,'Existing Customers'!$A:$A,$EP$1)*$EP$4,0),0)</f>
        <v>0</v>
      </c>
      <c r="EU31" s="96">
        <f>IFERROR(IF(AND($EP$2&lt;&gt;"Enter Spend&gt;&gt;&gt;",EQ2="EXISTING"),SUMIFS('Existing Customers'!$R:$R,'Existing Customers'!$H:$H,$EO31,'Existing Customers'!$A:$A,$EP$1)*$EP$4,0),0)</f>
        <v>0</v>
      </c>
      <c r="EV31" s="1161">
        <f>IFERROR(IF(AND($EP$2&lt;&gt;"Enter Spend&gt;&gt;&gt;",EQ2="EXISTING"),SUMIFS('Existing Customers'!$S:$S,'Existing Customers'!$H:$H,$EO31,'Existing Customers'!$A:$A,$EP$1),FF31*EP31),0)</f>
        <v>0</v>
      </c>
      <c r="EW31" s="1161">
        <f>IFERROR(IF(AND($EP$2&lt;&gt;"Enter Spend&gt;&gt;&gt;",EQ2="EXISTING"),SUMIFS('Existing Customers'!$U:$U,'Existing Customers'!$H:$H,$EO31,'Existing Customers'!$A:$A,$EP$1),FG31*EP31),0)</f>
        <v>0</v>
      </c>
      <c r="EX31" s="1164" t="e">
        <f>_xlfn.CONCAT('Customer Inputs'!$AG$10,"_",EO31)</f>
        <v>#N/A</v>
      </c>
      <c r="EY31" s="1164">
        <f t="array" ref="EY31">IFERROR(INDEX('Margin Guidence Table'!$A$1:$AD$30000,MATCH(1,('Margin Guidence Table'!$A$1:$A$10000=EX31)*('Margin Guidence Table'!$I$1:$I$10000&lt;=ROUND($EP$3,0))*('Margin Guidence Table'!$J$1:$J$10000&gt;=ROUND($EP$3,0)),0),MATCH("DATA_POINTS",'Margin Guidence Table'!$A$1:$AG$1,0)),0)</f>
        <v>0</v>
      </c>
      <c r="EZ31" s="1161" t="str">
        <f t="shared" si="31"/>
        <v>DEFAULT</v>
      </c>
      <c r="FA31" s="1161">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161"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165">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165">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165">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165">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165">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165">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9"/>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96" t="e">
        <f t="shared" si="32"/>
        <v>#DIV/0!</v>
      </c>
      <c r="FL31" s="102" t="s">
        <v>94</v>
      </c>
      <c r="FM31" s="94">
        <f>IFERROR(IF(AND($FM$2&lt;&gt;"Enter Spend&gt;&gt;&gt;",FN19="EXISTING"),SUMIFS('Existing Customers'!$Q:$Q,'Existing Customers'!$A:$A,$FM$1,'Existing Customers'!$H:$H,$FL31)*$FM$4,$FM$3*$FK31),0)</f>
        <v>0</v>
      </c>
      <c r="FN31" s="89">
        <f>IFERROR(IF(AND($FM$2&lt;&gt;"Enter Spend&gt;&gt;&gt;",FN2="EXISTING"),SUMIFS('Existing Customers'!$N:$N,'Existing Customers'!$A:$A,$FM$1,'Existing Customers'!$H:$H,$FL31)*$FM$4,$FM31/$FX31),0)</f>
        <v>0</v>
      </c>
      <c r="FO31" s="95">
        <f>IFERROR(IF(AND($FM$2&lt;&gt;"Enter Spend&gt;&gt;&gt;",FN2="EXISTING"),SUMIFS('Existing Customers'!$O:$O,'Existing Customers'!$H:$H,$FL31,'Existing Customers'!$A:$A,$FM$1)*$FM$4,$FN31*$FM$8),0)</f>
        <v>0</v>
      </c>
      <c r="FP31" s="95">
        <f>IFERROR(IF(AND($FM$2&lt;&gt;"Enter Spend&gt;&gt;&gt;",FN2="EXISTING"),SUMIFS('Existing Customers'!$P:$P,'Existing Customers'!$A:$A,$FM$1,'Existing Customers'!$H:$H,$FL31)*$FM$4,$FM31/$FY31),0)</f>
        <v>0</v>
      </c>
      <c r="FQ31" s="96">
        <f>IFERROR(IF(AND($FM$2&lt;&gt;"Enter Spend&gt;&gt;&gt;",FN2="EXISTING"),SUMIFS('Existing Customers'!$V:$V,'Existing Customers'!$H:$H,$FL31,'Existing Customers'!$A:$A,$FM$1)*$FM$4,0),0)</f>
        <v>0</v>
      </c>
      <c r="FR31" s="96">
        <f>IFERROR(IF(AND($FM$2&lt;&gt;"Enter Spend&gt;&gt;&gt;",FN2="EXISTING"),SUMIFS('Existing Customers'!$R:$R,'Existing Customers'!$H:$H,$FL31,'Existing Customers'!$A:$A,$FM$1)*$FM$4,0),0)</f>
        <v>0</v>
      </c>
      <c r="FS31" s="1161">
        <f>IFERROR(IF(AND($FM$2&lt;&gt;"Enter Spend&gt;&gt;&gt;",FN2="EXISTING"),SUMIFS('Existing Customers'!$S:$S,'Existing Customers'!$H:$H,$FL31,'Existing Customers'!$A:$A,$FM$1),GC31*FM31),0)</f>
        <v>0</v>
      </c>
      <c r="FT31" s="1161">
        <f>IFERROR(IF(AND($FM$2&lt;&gt;"Enter Spend&gt;&gt;&gt;",FN2="EXISTING"),SUMIFS('Existing Customers'!$U:$U,'Existing Customers'!$H:$H,$FL31,'Existing Customers'!$A:$A,$FM$1),GD31*FM31),0)</f>
        <v>0</v>
      </c>
      <c r="FU31" s="1164" t="e">
        <f>_xlfn.CONCAT('Customer Inputs'!$AG$11,"_",FL31)</f>
        <v>#N/A</v>
      </c>
      <c r="FV31" s="1164">
        <f t="array" ref="FV31">IFERROR(INDEX('Margin Guidence Table'!$A$1:$AD$30000,MATCH(1,('Margin Guidence Table'!$A$1:$A$10000=FU31)*('Margin Guidence Table'!$I$1:$I$10000&lt;=ROUND($FM$3,0))*('Margin Guidence Table'!$J$1:$J$10000&gt;=ROUND($FM$3,0)),0),MATCH("DATA_POINTS",'Margin Guidence Table'!$A$1:$AG$1,0)),0)</f>
        <v>0</v>
      </c>
      <c r="FW31" s="1161" t="str">
        <f t="shared" si="33"/>
        <v>DEFAULT</v>
      </c>
      <c r="FX31" s="1161">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161">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165">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165">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165">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165">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165">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165">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9"/>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96" t="e">
        <f t="shared" si="34"/>
        <v>#DIV/0!</v>
      </c>
      <c r="GI31" s="102" t="s">
        <v>94</v>
      </c>
      <c r="GJ31" s="94">
        <f>IFERROR(IF(AND($GJ$2&lt;&gt;"Enter Spend&gt;&gt;&gt;",GK19="EXISTING"),SUMIFS('Existing Customers'!$Q:$Q,'Existing Customers'!$A:$A,$GJ$1,'Existing Customers'!$H:$H,$GI31)*$GJ$4,$GJ$3*$GH31),0)</f>
        <v>0</v>
      </c>
      <c r="GK31" s="89">
        <f>IFERROR(IF(AND($GJ$2&lt;&gt;"Enter Spend&gt;&gt;&gt;",GK2="EXISTING"),SUMIFS('Existing Customers'!$N:$N,'Existing Customers'!$A:$A,$GJ$1,'Existing Customers'!$H:$H,$GI31)*$GJ$4,$GJ31/$GU31),0)</f>
        <v>0</v>
      </c>
      <c r="GL31" s="95">
        <f>IFERROR(IF(AND($GJ$2&lt;&gt;"Enter Spend&gt;&gt;&gt;",GK2="EXISTING"),SUMIFS('Existing Customers'!$O:$O,'Existing Customers'!$H:$H,$GI31,'Existing Customers'!$A:$A,$GJ$1)*$GJ$4,$GK31*$GJ$8),0)</f>
        <v>0</v>
      </c>
      <c r="GM31" s="95">
        <f>IFERROR(IF(AND($GJ$2&lt;&gt;"Enter Spend&gt;&gt;&gt;",GK2="EXISTING"),SUMIFS('Existing Customers'!$P:$P,'Existing Customers'!$A:$A,$GJ$1,'Existing Customers'!$H:$H,$GI31)*$GJ$4,$GJ31/$GV31),0)</f>
        <v>0</v>
      </c>
      <c r="GN31" s="96">
        <f>IFERROR(IF(AND($GJ$2&lt;&gt;"Enter Spend&gt;&gt;&gt;",GK2="EXISTING"),SUMIFS('Existing Customers'!$V:$V,'Existing Customers'!$H:$H,$GI31,'Existing Customers'!$A:$A,$GJ$1)*$GJ$4,0),0)</f>
        <v>0</v>
      </c>
      <c r="GO31" s="96">
        <f>IFERROR(IF(AND($GJ$2&lt;&gt;"Enter Spend&gt;&gt;&gt;",GK2="EXISTING"),SUMIFS('Existing Customers'!$R:$R,'Existing Customers'!$H:$H,$GI31,'Existing Customers'!$A:$A,$GJ$1)*$GJ$4,0),0)</f>
        <v>0</v>
      </c>
      <c r="GP31" s="1161">
        <f>IFERROR(IF(AND($GJ$2&lt;&gt;"Enter Spend&gt;&gt;&gt;",GK2="EXISTING"),SUMIFS('Existing Customers'!$S:$S,'Existing Customers'!$H:$H,$GI31,'Existing Customers'!$A:$A,$GJ$1),GZ31*GJ31),0)</f>
        <v>0</v>
      </c>
      <c r="GQ31" s="1161">
        <f>IFERROR(IF(AND($GJ$2&lt;&gt;"Enter Spend&gt;&gt;&gt;",GK2="EXISTING"),SUMIFS('Existing Customers'!$U:$U,'Existing Customers'!$H:$H,$GI31,'Existing Customers'!$A:$A,$GJ$1),HA31*GJ31),0)</f>
        <v>0</v>
      </c>
      <c r="GR31" s="1164" t="e">
        <f>_xlfn.CONCAT('Customer Inputs'!$AG$12,"_",GI31)</f>
        <v>#N/A</v>
      </c>
      <c r="GS31" s="1164">
        <f t="array" ref="GS31">IFERROR(INDEX('Margin Guidence Table'!$A$1:$AD$30000,MATCH(1,('Margin Guidence Table'!$A$1:$A$10000=GR31)*('Margin Guidence Table'!$I$1:$I$10000&lt;=ROUND($GJ$3,0))*('Margin Guidence Table'!$J$1:$J$10000&gt;=ROUND($GJ$3,0)),0),MATCH("DATA_POINTS",'Margin Guidence Table'!$A$1:$AG$1,0)),0)</f>
        <v>0</v>
      </c>
      <c r="GT31" s="1161" t="str">
        <f t="shared" si="35"/>
        <v>DEFAULT</v>
      </c>
      <c r="GU31" s="1161">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161">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165">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165">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165">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165">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165">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165">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9"/>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96" t="e">
        <f t="shared" si="36"/>
        <v>#DIV/0!</v>
      </c>
      <c r="HF31" s="102" t="s">
        <v>94</v>
      </c>
      <c r="HG31" s="94">
        <f>IFERROR(IF(AND($HG$2&lt;&gt;"Enter Spend&gt;&gt;&gt;",HH19="EXISTING"),SUMIFS('Existing Customers'!$Q:$Q,'Existing Customers'!$A:$A,$HG$1,'Existing Customers'!$H:$H,$HF31)*$HG$4,$HG$3*$HE31),0)</f>
        <v>0</v>
      </c>
      <c r="HH31" s="89">
        <f>IFERROR(IF(AND($HG$2&lt;&gt;"Enter Spend&gt;&gt;&gt;",HH2="EXISTING"),SUMIFS('Existing Customers'!$N:$N,'Existing Customers'!$A:$A,$HG$1,'Existing Customers'!$H:$H,$HF31)*$HG$4,$HG31/$HR31),0)</f>
        <v>0</v>
      </c>
      <c r="HI31" s="95">
        <f>IFERROR(IF(AND($HG$2&lt;&gt;"Enter Spend&gt;&gt;&gt;",HH2="EXISTING"),SUMIFS('Existing Customers'!$O:$O,'Existing Customers'!$H:$H,$HF31,'Existing Customers'!$A:$A,$HG$1)*$HG$4,$HH31*$HG$8),0)</f>
        <v>0</v>
      </c>
      <c r="HJ31" s="95">
        <f>IFERROR(IF(AND($HG$2&lt;&gt;"Enter Spend&gt;&gt;&gt;",HH2="EXISTING"),SUMIFS('Existing Customers'!$P:$P,'Existing Customers'!$A:$A,$HG$1,'Existing Customers'!$H:$H,$HF31)*$HG$4,$HG31/$HS31),0)</f>
        <v>0</v>
      </c>
      <c r="HK31" s="96">
        <f>IFERROR(IF(AND($HG$2&lt;&gt;"Enter Spend&gt;&gt;&gt;",HH2="EXISTING"),SUMIFS('Existing Customers'!$V:$V,'Existing Customers'!$H:$H,$HF31,'Existing Customers'!$A:$A,$HG$1)*$HG$4,0),0)</f>
        <v>0</v>
      </c>
      <c r="HL31" s="96">
        <f>IFERROR(IF(AND($HG$2&lt;&gt;"Enter Spend&gt;&gt;&gt;",HH2="EXISTING"),SUMIFS('Existing Customers'!$R:$R,'Existing Customers'!$H:$H,$HF31,'Existing Customers'!$A:$A,$HG$1)*$HG$4,0),0)</f>
        <v>0</v>
      </c>
      <c r="HM31" s="1161">
        <f>IFERROR(IF(AND($HG$2&lt;&gt;"Enter Spend&gt;&gt;&gt;",HH2="EXISTING"),SUMIFS('Existing Customers'!$S:$S,'Existing Customers'!$H:$H,$HF31,'Existing Customers'!$A:$A,$HG$1),HW31*HG31),0)</f>
        <v>0</v>
      </c>
      <c r="HN31" s="1161">
        <f>IFERROR(IF(AND($HG$2&lt;&gt;"Enter Spend&gt;&gt;&gt;",HH2="EXISTING"),SUMIFS('Existing Customers'!$U:$U,'Existing Customers'!$H:$H,$HF31,'Existing Customers'!$A:$A,$HG$1),HX31*HG31),0)</f>
        <v>0</v>
      </c>
      <c r="HO31" s="1164" t="e">
        <f>_xlfn.CONCAT('Customer Inputs'!$AG$13,"_",HF31)</f>
        <v>#N/A</v>
      </c>
      <c r="HP31" s="1164">
        <f t="array" ref="HP31">IFERROR(INDEX('Margin Guidence Table'!$A$1:$AD$30000,MATCH(1,('Margin Guidence Table'!$A$1:$A$10000=HO31)*('Margin Guidence Table'!$I$1:$I$10000&lt;=ROUND($HG$3,0))*('Margin Guidence Table'!$J$1:$J$10000&gt;=ROUND($HG$3,0)),0),MATCH("DATA_POINTS",'Margin Guidence Table'!$A$1:$AG$1,0)),0)</f>
        <v>0</v>
      </c>
      <c r="HQ31" s="1161" t="str">
        <f t="shared" si="37"/>
        <v>DEFAULT</v>
      </c>
      <c r="HR31" s="1161">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161">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165">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165">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165">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165">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165">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165">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9"/>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96" t="e">
        <f t="shared" si="38"/>
        <v>#DIV/0!</v>
      </c>
      <c r="IC31" s="102" t="s">
        <v>94</v>
      </c>
      <c r="ID31" s="94">
        <f>IFERROR(IF(AND($ID$2&lt;&gt;"Enter Spend&gt;&gt;&gt;",IE19="EXISTING"),SUMIFS('Existing Customers'!$Q:$Q,'Existing Customers'!$A:$A,$ID$1,'Existing Customers'!$H:$H,$IC31)*$ID$4,$ID$3*$IB31),0)</f>
        <v>0</v>
      </c>
      <c r="IE31" s="89">
        <f>IFERROR(IF(AND($ID$2&lt;&gt;"Enter Spend&gt;&gt;&gt;",IE2="EXISTING"),SUMIFS('Existing Customers'!$N:$N,'Existing Customers'!$A:$A,$ID$1,'Existing Customers'!$H:$H,$IC31)*$ID$4,$ID31/$IO31),0)</f>
        <v>0</v>
      </c>
      <c r="IF31" s="95">
        <f>IFERROR(IF(AND($ID$2&lt;&gt;"Enter Spend&gt;&gt;&gt;",IE2="EXISTING"),SUMIFS('Existing Customers'!$O:$O,'Existing Customers'!$H:$H,$IC31,'Existing Customers'!$A:$A,$ID$1)*$ID$4,$IE31*$ID$8),0)</f>
        <v>0</v>
      </c>
      <c r="IG31" s="95">
        <f>IFERROR(IF(AND($ID$2&lt;&gt;"Enter Spend&gt;&gt;&gt;",IE2="EXISTING"),SUMIFS('Existing Customers'!$P:$P,'Existing Customers'!$A:$A,$ID$1,'Existing Customers'!$H:$H,$IC31)*$ID$4,$ID31/$IP31),0)</f>
        <v>0</v>
      </c>
      <c r="IH31" s="402">
        <f>IFERROR(IF(AND($ID$2&lt;&gt;"Enter Spend&gt;&gt;&gt;",IE2="EXISTING"),SUMIFS('Existing Customers'!$V:$V,'Existing Customers'!$H:$H,$IC31,'Existing Customers'!$A:$A,$ID$1)*$ID$4,0),0)</f>
        <v>0</v>
      </c>
      <c r="II31" s="96">
        <f>IFERROR(IF(AND($ID$2&lt;&gt;"Enter Spend&gt;&gt;&gt;",IE2="EXISTING"),SUMIFS('Existing Customers'!$R:$R,'Existing Customers'!$H:$H,$IC31,'Existing Customers'!$A:$A,$ID$1)*$ID$4,0),0)</f>
        <v>0</v>
      </c>
      <c r="IJ31" s="1161">
        <f>IFERROR(IF(AND($ID$2&lt;&gt;"Enter Spend&gt;&gt;&gt;",IE2="EXISTING"),SUMIFS('Existing Customers'!$S:$S,'Existing Customers'!$H:$H,$IC31,'Existing Customers'!$A:$A,$ID$1),IT31*ID31),0)</f>
        <v>0</v>
      </c>
      <c r="IK31" s="1161">
        <f>IFERROR(IF(AND($ID$2&lt;&gt;"Enter Spend&gt;&gt;&gt;",IE2="EXISTING"),SUMIFS('Existing Customers'!$U:$U,'Existing Customers'!$H:$H,$IC31,'Existing Customers'!$A:$A,$ID$1),IU31*ID31),0)</f>
        <v>0</v>
      </c>
      <c r="IL31" s="1164" t="e">
        <f>_xlfn.CONCAT('Customer Inputs'!$AG$14,"_",IC31)</f>
        <v>#N/A</v>
      </c>
      <c r="IM31" s="1164">
        <f t="array" ref="IM31">IFERROR(INDEX('Margin Guidence Table'!$A$1:$AD$30000,MATCH(1,('Margin Guidence Table'!$A$1:$A$10000=IL31)*('Margin Guidence Table'!$I$1:$I$10000&lt;=ROUND($ID$3,0))*('Margin Guidence Table'!$J$1:$J$10000&gt;=ROUND($ID$3,0)),0),MATCH("DATA_POINTS",'Margin Guidence Table'!$A$1:$AG$1,0)),0)</f>
        <v>0</v>
      </c>
      <c r="IN31" s="1161" t="str">
        <f t="shared" si="39"/>
        <v>DEFAULT</v>
      </c>
      <c r="IO31" s="1161">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161">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165">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165">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165">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165">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165">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165">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9"/>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96" t="e">
        <f t="shared" si="40"/>
        <v>#DIV/0!</v>
      </c>
      <c r="IZ31" s="102" t="s">
        <v>94</v>
      </c>
      <c r="JA31" s="94">
        <f>IFERROR(IF(AND($JA$2&lt;&gt;"Enter Spend&gt;&gt;&gt;",JB19="EXISTING"),SUMIFS('Existing Customers'!$Q:$Q,'Existing Customers'!$A:$A,$JA$1,'Existing Customers'!$H:$H,$IZ31)*$JA$4,$JA$3*$IY31),0)</f>
        <v>0</v>
      </c>
      <c r="JB31" s="89">
        <f>IFERROR(IF(AND($JA$2&lt;&gt;"Enter Spend&gt;&gt;&gt;",JB2="EXISTING"),SUMIFS('Existing Customers'!$N:$N,'Existing Customers'!$A:$A,$JA$1,'Existing Customers'!$H:$H,$IZ31)*$JA$4,$JA31/$JL31),0)</f>
        <v>0</v>
      </c>
      <c r="JC31" s="95">
        <f>IFERROR(IF(AND($JA$2&lt;&gt;"Enter Spend&gt;&gt;&gt;",JB2="EXISTING"),SUMIFS('Existing Customers'!$O:$O,'Existing Customers'!$H:$H,$IZ31,'Existing Customers'!$A:$A,$JA$1)*$JA$4,$JB31*$JA$8),0)</f>
        <v>0</v>
      </c>
      <c r="JD31" s="95">
        <f>IFERROR(IF(AND($JA$2&lt;&gt;"Enter Spend&gt;&gt;&gt;",JB2="EXISTING"),SUMIFS('Existing Customers'!$P:$P,'Existing Customers'!$A:$A,$JA$1,'Existing Customers'!$H:$H,$IZ31)*$JA$4,$JA31/$JM31),0)</f>
        <v>0</v>
      </c>
      <c r="JE31" s="402">
        <f>IFERROR(IF(AND($JA$2&lt;&gt;"Enter Spend&gt;&gt;&gt;",JB2="EXISTING"),SUMIFS('Existing Customers'!$V:$V,'Existing Customers'!$H:$H,$IZ31,'Existing Customers'!$A:$A,$JA$1)*$JA$4,0),0)</f>
        <v>0</v>
      </c>
      <c r="JF31" s="96">
        <f>IFERROR(IF(AND($JA$2&lt;&gt;"Enter Spend&gt;&gt;&gt;",JB2="EXISTING"),SUMIFS('Existing Customers'!$R:$R,'Existing Customers'!$H:$H,$IZ31,'Existing Customers'!$A:$A,$JA$1)*$JA$4,0),0)</f>
        <v>0</v>
      </c>
      <c r="JG31" s="1161">
        <f>IFERROR(IF(AND($JA$2&lt;&gt;"Enter Spend&gt;&gt;&gt;",JB2="EXISTING"),SUMIFS('Existing Customers'!$S:$S,'Existing Customers'!$H:$H,$IZ31,'Existing Customers'!$A:$A,$JA$1),JQ31*JA31),0)</f>
        <v>0</v>
      </c>
      <c r="JH31" s="1161">
        <f>IFERROR(IF(AND($JA$2&lt;&gt;"Enter Spend&gt;&gt;&gt;",JB2="EXISTING"),SUMIFS('Existing Customers'!$U:$U,'Existing Customers'!$H:$H,$IZ31,'Existing Customers'!$A:$A,$JA$1),JR31*JA31),0)</f>
        <v>0</v>
      </c>
      <c r="JI31" s="1164" t="e">
        <f>_xlfn.CONCAT('Customer Inputs'!$AG$15,"_",IZ31)</f>
        <v>#N/A</v>
      </c>
      <c r="JJ31" s="1164">
        <f t="array" ref="JJ31">IFERROR(INDEX('Margin Guidence Table'!$A$1:$AD$30000,MATCH(1,('Margin Guidence Table'!$A$1:$A$10000=JI31)*('Margin Guidence Table'!$I$1:$I$10000&lt;=ROUND($JA$3,0))*('Margin Guidence Table'!$J$1:$J$10000&gt;=ROUND($JA$3,0)),0),MATCH("DATA_POINTS",'Margin Guidence Table'!$A$1:$AG$1,0)),0)</f>
        <v>0</v>
      </c>
      <c r="JK31" s="1161" t="str">
        <f t="shared" si="41"/>
        <v>DEFAULT</v>
      </c>
      <c r="JL31" s="1161">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161">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165">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165">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165">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165">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165">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165">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102" t="s">
        <v>94</v>
      </c>
      <c r="JV31" s="97"/>
      <c r="JW31" s="89"/>
      <c r="JX31" s="89"/>
      <c r="JY31" s="89"/>
      <c r="JZ31" s="114"/>
      <c r="KA31" s="98"/>
      <c r="KB31" s="129"/>
      <c r="KD31" s="102" t="s">
        <v>94</v>
      </c>
      <c r="KE31" s="97"/>
      <c r="KF31" s="89"/>
      <c r="KG31" s="89"/>
      <c r="KH31" s="89"/>
      <c r="KI31" s="114"/>
      <c r="KJ31" s="98"/>
    </row>
    <row r="32" spans="2:296" ht="15.75" thickBot="1" x14ac:dyDescent="0.3">
      <c r="B32" s="102" t="s">
        <v>86</v>
      </c>
      <c r="C32" s="480">
        <f t="shared" si="7"/>
        <v>0</v>
      </c>
      <c r="D32" s="496">
        <f t="shared" si="8"/>
        <v>0</v>
      </c>
      <c r="E32" s="496">
        <f t="shared" si="9"/>
        <v>0</v>
      </c>
      <c r="F32" s="496">
        <f t="shared" si="10"/>
        <v>0</v>
      </c>
      <c r="G32" s="497">
        <f t="shared" si="11"/>
        <v>0</v>
      </c>
      <c r="H32" s="496">
        <f t="shared" si="12"/>
        <v>0</v>
      </c>
      <c r="I32" s="1157" t="e">
        <f>ROUND(SUM($BB32*BO32+$BY32*CL32+$CV32*DI32+$DS32*EF32+$EP32*FC32+$FM32*FZ32+$GJ32*GW32+$HG32*HT32+$ID32*IQ32+$JA32*JN32)/$C32,2)</f>
        <v>#DIV/0!</v>
      </c>
      <c r="J32" s="1157" t="e">
        <f>ROUND(SUM($BB32*BP32+$BY32*CM32+$CV32*DJ32+$DS32*EG32+$EP32*FD32+$FM32*GA32+$GJ32*GX32+$HG32*HU32+$ID32*IR32+$JA32*JO32)/$C32,2)</f>
        <v>#DIV/0!</v>
      </c>
      <c r="K32" s="1157" t="e">
        <f>ROUND(SUM($BB32*BQ32+$BY32*CN32+$CV32*DK32+$DS32*EH32+$EP32*FE32+$FM32*GB32+$GJ32*GY32+$HG32*HV32+$ID32*IS32+$JA32*JP32)/$C32,2)</f>
        <v>#DIV/0!</v>
      </c>
      <c r="L32" s="496" t="e">
        <f t="shared" si="0"/>
        <v>#DIV/0!</v>
      </c>
      <c r="M32" s="496" t="e">
        <f t="shared" si="13"/>
        <v>#DIV/0!</v>
      </c>
      <c r="N32" s="1158" t="e">
        <f t="shared" si="1"/>
        <v>#DIV/0!</v>
      </c>
      <c r="P32" t="str">
        <f>'PIM Model'!E28</f>
        <v>INCLUDE</v>
      </c>
      <c r="Q32">
        <f t="shared" si="14"/>
        <v>0</v>
      </c>
      <c r="R32">
        <f t="shared" si="15"/>
        <v>0</v>
      </c>
      <c r="S32" s="102" t="s">
        <v>86</v>
      </c>
      <c r="T32" s="97">
        <f t="shared" si="16"/>
        <v>0</v>
      </c>
      <c r="U32" s="89">
        <f t="shared" si="2"/>
        <v>0</v>
      </c>
      <c r="V32" s="89">
        <f t="shared" si="3"/>
        <v>0</v>
      </c>
      <c r="W32" s="89">
        <f t="shared" si="4"/>
        <v>0</v>
      </c>
      <c r="X32" s="114">
        <f t="shared" si="5"/>
        <v>0</v>
      </c>
      <c r="Y32" s="117">
        <f t="shared" si="17"/>
        <v>0</v>
      </c>
      <c r="Z32" s="400"/>
      <c r="AA32" s="102" t="s">
        <v>86</v>
      </c>
      <c r="AB32" s="484">
        <f>SUMIFS($BB32:$JF32,$BB$12:$JF$12,AB$12)</f>
        <v>0</v>
      </c>
      <c r="AC32" s="485">
        <f>SUMIFS($BB32:$JF32,$BB$12:$JF$12,AC$12)</f>
        <v>0</v>
      </c>
      <c r="AD32" s="485">
        <f>SUMIFS($BB32:$JF32,$BB$12:$JF$12,AD$12)</f>
        <v>0</v>
      </c>
      <c r="AE32" s="486">
        <f t="shared" si="18"/>
        <v>0</v>
      </c>
      <c r="AF32" s="487">
        <f t="shared" si="19"/>
        <v>0</v>
      </c>
      <c r="AG32" s="400"/>
      <c r="AH32" s="102" t="s">
        <v>86</v>
      </c>
      <c r="AI32" s="484">
        <f t="shared" si="6"/>
        <v>0</v>
      </c>
      <c r="AJ32" s="481">
        <f t="shared" si="20"/>
        <v>0</v>
      </c>
      <c r="AK32" s="487"/>
      <c r="AL32" s="400"/>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400">
        <f>VLOOKUP($AH32&amp;$AM32,'IMargin Quartiles'!$A:$F,6,FALSE)</f>
        <v>0.17</v>
      </c>
      <c r="AO32" s="400"/>
      <c r="AP32"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Q32" s="400" t="e">
        <f t="shared" si="21"/>
        <v>#DIV/0!</v>
      </c>
      <c r="AR32">
        <f>'PIM Model'!C28</f>
        <v>0</v>
      </c>
      <c r="AS32" s="400"/>
      <c r="AT32" s="400"/>
      <c r="AU32" s="400" t="e">
        <f t="shared" si="42"/>
        <v>#DIV/0!</v>
      </c>
      <c r="AV32" s="400"/>
      <c r="AW32" s="400"/>
      <c r="AX32" s="108">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96" t="e">
        <f t="shared" si="22"/>
        <v>#DIV/0!</v>
      </c>
      <c r="BA32" s="102" t="s">
        <v>86</v>
      </c>
      <c r="BB32" s="94">
        <f>IFERROR(IF(AND($BB$2&lt;&gt;"Enter Spend&gt;&gt;&gt;",BC20="EXISTING"),SUMIFS('Existing Customers'!$Q:$Q,'Existing Customers'!$A:$A,$BB$1,'Existing Customers'!$H:$H,$BA32)*$BB$4,$BB$3*$AZ32),0)</f>
        <v>0</v>
      </c>
      <c r="BC32" s="95">
        <f>IFERROR(IF(AND($BB$2&lt;&gt;"Enter Spend&gt;&gt;&gt;",BC2="EXISTING"),SUMIFS('Existing Customers'!$N:$N,'Existing Customers'!$A:$A,$BB$1,'Existing Customers'!$H:$H,$BA32)*$BB$4,$BB32/$BM32),0)</f>
        <v>0</v>
      </c>
      <c r="BD32" s="95">
        <f>IFERROR(IF(AND($BB$2&lt;&gt;"Enter Spend&gt;&gt;&gt;",BC2="EXISTING"),SUMIFS('Existing Customers'!$O:$O,'Existing Customers'!$H:$H,$BA32,'Existing Customers'!$A:$A,$BB$1)*$BB$4,$BC32*$BB$8),0)</f>
        <v>0</v>
      </c>
      <c r="BE32" s="95">
        <f>IFERROR(IF(AND($BB$2&lt;&gt;"Enter Spend&gt;&gt;&gt;",BC2="EXISTING"),SUMIFS('Existing Customers'!$P:$P,'Existing Customers'!$A:$A,$BB$1,'Existing Customers'!$H:$H,$BA32)*$BB$4,$BB32/$BN32),0)</f>
        <v>0</v>
      </c>
      <c r="BF32" s="402">
        <f>IFERROR(IF(AND($BB$2&lt;&gt;"Enter Spend&gt;&gt;&gt;",BC2="EXISTING"),SUMIFS('Existing Customers'!$V:$V,'Existing Customers'!$H:$H,$BA32,'Existing Customers'!$A:$A,$BB$1)*$BB$4,0),0)</f>
        <v>0</v>
      </c>
      <c r="BG32" s="96">
        <f>IFERROR(IF(AND($BB$2&lt;&gt;"Enter Spend&gt;&gt;&gt;",BC2="EXISTING"),SUMIFS('Existing Customers'!$R:$R,'Existing Customers'!$H:$H,$BA32,'Existing Customers'!$A:$A,$BB$1)*$BB$4,0),0)</f>
        <v>0</v>
      </c>
      <c r="BH32" s="96">
        <f>IFERROR(IF(AND($BB$2&lt;&gt;"Enter Spend&gt;&gt;&gt;",BC2="EXISTING"),SUMIFS('Existing Customers'!$S:$S,'Existing Customers'!$H:$H,$BA32,'Existing Customers'!$A:$A,$BB$1),BR32*BB32),0)</f>
        <v>0</v>
      </c>
      <c r="BI32" s="96">
        <f>IFERROR(IF(AND($BB$2&lt;&gt;"Enter Spend&gt;&gt;&gt;",BC2="EXISTING"),SUMIFS('Existing Customers'!$U:$U,'Existing Customers'!$H:$H,$BA32,'Existing Customers'!$A:$A,$BB$1),BS32*BB32),0)</f>
        <v>0</v>
      </c>
      <c r="BJ32" s="1163" t="e">
        <f>_xlfn.CONCAT('Customer Inputs'!$AG$6,"_",BA32)</f>
        <v>#N/A</v>
      </c>
      <c r="BK32" s="1164">
        <f t="array" ref="BK32">IFERROR(INDEX('Margin Guidence Table'!$A$1:$AD$30000,MATCH(1,('Margin Guidence Table'!$A$1:$A$10000=$BJ32)*('Margin Guidence Table'!$I$1:$I$10000&lt;=ROUND($BB$3,0))*('Margin Guidence Table'!$J$1:$J$10000&gt;=ROUND($BB$3,0)),0),MATCH("DATA_POINTS",'Margin Guidence Table'!$A$1:$AG$1,0)),0)</f>
        <v>0</v>
      </c>
      <c r="BL32" s="1161" t="str">
        <f t="shared" si="23"/>
        <v>DEFAULT</v>
      </c>
      <c r="BM32" s="1161">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161">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165">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165">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165">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165">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165">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165">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9"/>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96" t="e">
        <f t="shared" si="24"/>
        <v>#DIV/0!</v>
      </c>
      <c r="BX32" s="102" t="s">
        <v>86</v>
      </c>
      <c r="BY32" s="94">
        <f>IFERROR(IF(AND($BY$2&lt;&gt;"Enter Spend&gt;&gt;&gt;",BZ20="EXISTING"),SUMIFS('Existing Customers'!$Q:$Q,'Existing Customers'!$A:$A,$BY$1,'Existing Customers'!$H:$H,$BX32)*$BY$4,$BY$3*$BW32),0)</f>
        <v>0</v>
      </c>
      <c r="BZ32" s="89">
        <f>IFERROR(IF(AND($BY$2&lt;&gt;"Enter Spend&gt;&gt;&gt;",BZ2="EXISTING"),SUMIFS('Existing Customers'!$N:$N,'Existing Customers'!$A:$A,$BY$1,'Existing Customers'!$H:$H,$BX32)*$BY$4,$BY32/$CJ32),0)</f>
        <v>0</v>
      </c>
      <c r="CA32" s="95">
        <f>IFERROR(IF(AND($BY$2&lt;&gt;"Enter Spend&gt;&gt;&gt;",BZ2="EXISTING"),SUMIFS('Existing Customers'!$O:$O,'Existing Customers'!$H:$H,$BX32,'Existing Customers'!$A:$A,$BY$1)*$BY$4,$BZ32*$BY$8),0)</f>
        <v>0</v>
      </c>
      <c r="CB32" s="95">
        <f>IFERROR(IF(AND($BY$2&lt;&gt;"Enter Spend&gt;&gt;&gt;",BZ2="EXISTING"),SUMIFS('Existing Customers'!$P:$P,'Existing Customers'!$A:$A,$BY$1,'Existing Customers'!$H:$H,$BX32)*$BY$4,$BY32/$CK32),0)</f>
        <v>0</v>
      </c>
      <c r="CC32" s="96">
        <f>IFERROR(IF(AND($BY$2&lt;&gt;"Enter Spend&gt;&gt;&gt;",BZ2="EXISTING"),SUMIFS('Existing Customers'!$V:$V,'Existing Customers'!$H:$H,$BX32,'Existing Customers'!$A:$A,$BY$1)*$BY$4,0),0)</f>
        <v>0</v>
      </c>
      <c r="CD32" s="96">
        <f>IFERROR(IF(AND($BY$2&lt;&gt;"Enter Spend&gt;&gt;&gt;",BZ2="EXISTING"),SUMIFS('Existing Customers'!$R:$R,'Existing Customers'!$H:$H,$BX32,'Existing Customers'!$A:$A,$BY$1)*$BY$4,0),0)</f>
        <v>0</v>
      </c>
      <c r="CE32" s="1161">
        <f>IFERROR(IF(AND($BY$2&lt;&gt;"Enter Spend&gt;&gt;&gt;",BZ2="EXISTING"),SUMIFS('Existing Customers'!$S:$S,'Existing Customers'!$H:$H,$BX32,'Existing Customers'!$A:$A,$BY$1),CO32*BY32),0)</f>
        <v>0</v>
      </c>
      <c r="CF32" s="1161">
        <f>IFERROR(IF(AND($BY$2&lt;&gt;"Enter Spend&gt;&gt;&gt;",BZ2="EXISTING"),SUMIFS('Existing Customers'!$U:$U,'Existing Customers'!$H:$H,$BX32,'Existing Customers'!$A:$A,$BY$1),CP32*BY32),0)</f>
        <v>0</v>
      </c>
      <c r="CG32" s="1164" t="e">
        <f>_xlfn.CONCAT('Customer Inputs'!$AG$7,"_",BX32)</f>
        <v>#N/A</v>
      </c>
      <c r="CH32" s="1164">
        <f t="array" ref="CH32">IFERROR(INDEX('Margin Guidence Table'!$A$1:$AD$30000,MATCH(1,('Margin Guidence Table'!$A$1:$A$10000=$CG32)*('Margin Guidence Table'!$I$1:$I$10000&lt;=ROUND($BY$3,0))*('Margin Guidence Table'!$J$1:$J$10000&gt;=ROUND($BY$3,0)),0),MATCH("DATA_POINTS",'Margin Guidence Table'!$A$1:$AG$1,0)),0)</f>
        <v>0</v>
      </c>
      <c r="CI32" s="1161" t="str">
        <f t="shared" si="25"/>
        <v>DEFAULT</v>
      </c>
      <c r="CJ32" s="1161">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161">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165">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165">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165">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165">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165">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165">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9"/>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96" t="e">
        <f t="shared" si="26"/>
        <v>#DIV/0!</v>
      </c>
      <c r="CU32" s="102" t="s">
        <v>86</v>
      </c>
      <c r="CV32" s="94">
        <f>IFERROR(IF(AND($CV$2&lt;&gt;"Enter Spend&gt;&gt;&gt;",CW20="EXISTING"),SUMIFS('Existing Customers'!$Q:$Q,'Existing Customers'!$A:$A,$CV$1,'Existing Customers'!$H:$H,$CU32)*$CV$4,$CV$3*$CT32),0)</f>
        <v>0</v>
      </c>
      <c r="CW32" s="89">
        <f>IFERROR(IF(AND($CV$2&lt;&gt;"Enter Spend&gt;&gt;&gt;",CW2="EXISTING"),SUMIFS('Existing Customers'!$N:$N,'Existing Customers'!$A:$A,$CV$1,'Existing Customers'!$H:$H,$CU32)*$CV$4,$CV32/$DG32),0)</f>
        <v>0</v>
      </c>
      <c r="CX32" s="95">
        <f>IFERROR(IF(AND($CV$2&lt;&gt;"Enter Spend&gt;&gt;&gt;",BC28="EXISTING"),SUMIFS('Existing Customers'!$O:$O,'Existing Customers'!$H:$H,$CU32,'Existing Customers'!$A:$A,$CV$1)*$CV$4,$CW32*$CV$8),0)</f>
        <v>0</v>
      </c>
      <c r="CY32" s="95">
        <f>IFERROR(IF(AND($CV$2&lt;&gt;"Enter Spend&gt;&gt;&gt;",CW2="EXISTING"),SUMIFS('Existing Customers'!$P:$P,'Existing Customers'!$A:$A,$CV$1,'Existing Customers'!$H:$H,$CU32)*$CV$4,$CV32/$DH32),0)</f>
        <v>0</v>
      </c>
      <c r="CZ32" s="96">
        <f>IFERROR(IF(AND($CV$2&lt;&gt;"Enter Spend&gt;&gt;&gt;",CW2="EXISTING"),SUMIFS('Existing Customers'!$V:$V,'Existing Customers'!$H:$H,$CU32,'Existing Customers'!$A:$A,$CV$1)*$CV$4,0),0)</f>
        <v>0</v>
      </c>
      <c r="DA32" s="96">
        <f>IFERROR(IF(AND($CV$2&lt;&gt;"Enter Spend&gt;&gt;&gt;",CW2="EXISTING"),SUMIFS('Existing Customers'!$R:$R,'Existing Customers'!$H:$H,$BA32,'Existing Customers'!$A:$A,$CV$1)*$CV$4,0),0)</f>
        <v>0</v>
      </c>
      <c r="DB32" s="1161">
        <f>IFERROR(IF(AND($CV$2&lt;&gt;"Enter Spend&gt;&gt;&gt;",CW2="EXISTING"),SUMIFS('Existing Customers'!$S:$S,'Existing Customers'!$H:$H,$CU32,'Existing Customers'!$A:$A,$CV$1),DL32*CV32),0)</f>
        <v>0</v>
      </c>
      <c r="DC32" s="1161">
        <f>IFERROR(IF(AND($CV$2&lt;&gt;"Enter Spend&gt;&gt;&gt;",CW2="EXISTING"),SUMIFS('Existing Customers'!$U:$U,'Existing Customers'!$H:$H,$CU32,'Existing Customers'!$A:$A,$CV$1),DM32*CV32),0)</f>
        <v>0</v>
      </c>
      <c r="DD32" s="1164" t="e">
        <f>_xlfn.CONCAT('Customer Inputs'!$AG$8,"_",CU32)</f>
        <v>#N/A</v>
      </c>
      <c r="DE32" s="1164">
        <f t="array" ref="DE32">IFERROR(INDEX('Margin Guidence Table'!$A$1:$AD$30000,MATCH(1,('Margin Guidence Table'!$A$1:$A$10000=DD32)*('Margin Guidence Table'!$I$1:$I$10000&lt;=ROUND($CV$3,0))*('Margin Guidence Table'!$J$1:$J$10000&gt;=ROUND($CV$3,0)),0),MATCH("DATA_POINTS",'Margin Guidence Table'!$A$1:$AG$1,0)),0)</f>
        <v>0</v>
      </c>
      <c r="DF32" s="1161" t="str">
        <f t="shared" si="27"/>
        <v>DEFAULT</v>
      </c>
      <c r="DG32" s="1161">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161">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165">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165">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165">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165">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165">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165">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9"/>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96" t="e">
        <f t="shared" si="28"/>
        <v>#DIV/0!</v>
      </c>
      <c r="DR32" s="102" t="s">
        <v>86</v>
      </c>
      <c r="DS32" s="94">
        <f>IFERROR(IF(AND($DS$2&lt;&gt;"Enter Spend&gt;&gt;&gt;",DT20="EXISTING"),SUMIFS('Existing Customers'!$Q:$Q,'Existing Customers'!$A:$A,$DS$1,'Existing Customers'!$H:$H,$DR32)*$DS$4,$DS$3*$DQ32),0)</f>
        <v>0</v>
      </c>
      <c r="DT32" s="89">
        <f>IFERROR(IF(AND($DS$2&lt;&gt;"Enter Spend&gt;&gt;&gt;",DT2="EXISTING"),SUMIFS('Existing Customers'!$N:$N,'Existing Customers'!$A:$A,$DS$1,'Existing Customers'!$H:$H,$DR32)*$DS$4,$DS32/$ED32),0)</f>
        <v>0</v>
      </c>
      <c r="DU32" s="95">
        <f>IFERROR(IF(AND($DS$2&lt;&gt;"Enter Spend&gt;&gt;&gt;",DT2="EXISTING"),SUMIFS('Existing Customers'!$O:$O,'Existing Customers'!$H:$H,$DR32,'Existing Customers'!$A:$A,$DS$1)*$DS$4,$DT32*$DS$8),0)</f>
        <v>0</v>
      </c>
      <c r="DV32" s="95">
        <f>IFERROR(IF(AND($DS$2&lt;&gt;"Enter Spend&gt;&gt;&gt;",DT2="EXISTING"),SUMIFS('Existing Customers'!$P:$P,'Existing Customers'!$A:$A,$DS$1,'Existing Customers'!$H:$H,$DR32)*$DS$4,$DS32/$EE32),0)</f>
        <v>0</v>
      </c>
      <c r="DW32" s="96">
        <f>IFERROR(IF(AND($DS$2&lt;&gt;"Enter Spend&gt;&gt;&gt;",EQ2="EXISTING"),SUMIFS('Existing Customers'!$V:$V,'Existing Customers'!$H:$H,$DR32,'Existing Customers'!$A:$A,$DS$1)*$DS$4,0),0)</f>
        <v>0</v>
      </c>
      <c r="DX32" s="96">
        <f>IFERROR(IF(AND($DS$2&lt;&gt;"Enter Spend&gt;&gt;&gt;",DT2="EXISTING"),SUMIFS('Existing Customers'!$R:$R,'Existing Customers'!$H:$H,$DR32,'Existing Customers'!$A:$A,$DS$1)*$DS$4,0),0)</f>
        <v>0</v>
      </c>
      <c r="DY32" s="1161">
        <f>IFERROR(IF(AND($DS$2&lt;&gt;"Enter Spend&gt;&gt;&gt;",DT2="EXISTING"),SUMIFS('Existing Customers'!$S:$S,'Existing Customers'!$H:$H,$DT32,'Existing Customers'!$A:$A,$DS$1),EI32*DS32),0)</f>
        <v>0</v>
      </c>
      <c r="DZ32" s="1161">
        <f>IFERROR(IF(AND($DS$2&lt;&gt;"Enter Spend&gt;&gt;&gt;",DT2="EXISTING"),SUMIFS('Existing Customers'!$U:$U,'Existing Customers'!$H:$H,$DR32,'Existing Customers'!$A:$A,$DS$1),EJ32*DS32),0)</f>
        <v>0</v>
      </c>
      <c r="EA32" s="1164" t="e">
        <f>_xlfn.CONCAT('Customer Inputs'!$AG$9,"_",DR32)</f>
        <v>#N/A</v>
      </c>
      <c r="EB32" s="1164">
        <f t="array" ref="EB32">IFERROR(INDEX('Margin Guidence Table'!$A$1:$AD$30000,MATCH(1,('Margin Guidence Table'!$A$1:$A$10000=EA32)*('Margin Guidence Table'!$I$1:$I$10000&lt;=ROUND($DS$3,0))*('Margin Guidence Table'!$J$1:$J$10000&gt;=ROUND($DS$3,0)),0),MATCH("DATA_POINTS",'Margin Guidence Table'!$A$1:$AG$1,0)),0)</f>
        <v>0</v>
      </c>
      <c r="EC32" s="1161" t="str">
        <f t="shared" si="29"/>
        <v>DEFAULT</v>
      </c>
      <c r="ED32" s="1161">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161">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165">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165">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165">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165">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165">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165">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9"/>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96" t="e">
        <f t="shared" si="30"/>
        <v>#DIV/0!</v>
      </c>
      <c r="EO32" s="102" t="s">
        <v>86</v>
      </c>
      <c r="EP32" s="94">
        <f>IFERROR(IF(AND($EP$2&lt;&gt;"Enter Spend&gt;&gt;&gt;",EQ20="EXISTING"),SUMIFS('Existing Customers'!$Q:$Q,'Existing Customers'!$A:$A,$EP$1,'Existing Customers'!$H:$H,$EO32)*$EP$4,$EP$3*$EN32),0)</f>
        <v>0</v>
      </c>
      <c r="EQ32" s="89">
        <f>IFERROR(IF(AND($EP$2&lt;&gt;"Enter Spend&gt;&gt;&gt;",EQ2="EXISTING"),SUMIFS('Existing Customers'!$N:$N,'Existing Customers'!$A:$A,$EP$1,'Existing Customers'!$H:$H,$EO32)*$EP$4,$EP32/$FA32),0)</f>
        <v>0</v>
      </c>
      <c r="ER32" s="95">
        <f>IFERROR(IF(AND($EP$2&lt;&gt;"Enter Spend&gt;&gt;&gt;",EQ2="EXISTING"),SUMIFS('Existing Customers'!$O:$O,'Existing Customers'!$H:$H,$EO32,'Existing Customers'!$A:$A,$EP$1)*$EP$4,$EQ32*$EP$8),0)</f>
        <v>0</v>
      </c>
      <c r="ES32" s="95">
        <f>IFERROR(IF(AND($EP$2&lt;&gt;"Enter Spend&gt;&gt;&gt;",EQ2="EXISTING"),SUMIFS('Existing Customers'!$P:$P,'Existing Customers'!$A:$A,$EP$1,'Existing Customers'!$H:$H,$EO32)*$EP$4,$EP32/$FB32),0)</f>
        <v>0</v>
      </c>
      <c r="ET32" s="96">
        <f>IFERROR(IF(AND($EP$2&lt;&gt;"Enter Spend&gt;&gt;&gt;",EQ2="EXISTING"),SUMIFS('Existing Customers'!$V:$V,'Existing Customers'!$H:$H,$EO32,'Existing Customers'!$A:$A,$EP$1)*$EP$4,0),0)</f>
        <v>0</v>
      </c>
      <c r="EU32" s="96">
        <f>IFERROR(IF(AND($EP$2&lt;&gt;"Enter Spend&gt;&gt;&gt;",EQ2="EXISTING"),SUMIFS('Existing Customers'!$R:$R,'Existing Customers'!$H:$H,$EO32,'Existing Customers'!$A:$A,$EP$1)*$EP$4,0),0)</f>
        <v>0</v>
      </c>
      <c r="EV32" s="1161">
        <f>IFERROR(IF(AND($EP$2&lt;&gt;"Enter Spend&gt;&gt;&gt;",EQ2="EXISTING"),SUMIFS('Existing Customers'!$S:$S,'Existing Customers'!$H:$H,$EO32,'Existing Customers'!$A:$A,$EP$1),FF32*EP32),0)</f>
        <v>0</v>
      </c>
      <c r="EW32" s="1161">
        <f>IFERROR(IF(AND($EP$2&lt;&gt;"Enter Spend&gt;&gt;&gt;",EQ2="EXISTING"),SUMIFS('Existing Customers'!$U:$U,'Existing Customers'!$H:$H,$EO32,'Existing Customers'!$A:$A,$EP$1),FG32*EP32),0)</f>
        <v>0</v>
      </c>
      <c r="EX32" s="1164" t="e">
        <f>_xlfn.CONCAT('Customer Inputs'!$AG$10,"_",EO32)</f>
        <v>#N/A</v>
      </c>
      <c r="EY32" s="1164">
        <f t="array" ref="EY32">IFERROR(INDEX('Margin Guidence Table'!$A$1:$AD$30000,MATCH(1,('Margin Guidence Table'!$A$1:$A$10000=EX32)*('Margin Guidence Table'!$I$1:$I$10000&lt;=ROUND($EP$3,0))*('Margin Guidence Table'!$J$1:$J$10000&gt;=ROUND($EP$3,0)),0),MATCH("DATA_POINTS",'Margin Guidence Table'!$A$1:$AG$1,0)),0)</f>
        <v>0</v>
      </c>
      <c r="EZ32" s="1161" t="str">
        <f t="shared" si="31"/>
        <v>DEFAULT</v>
      </c>
      <c r="FA32" s="1161">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161"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165">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165">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165">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165">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165">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165">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9"/>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96" t="e">
        <f t="shared" si="32"/>
        <v>#DIV/0!</v>
      </c>
      <c r="FL32" s="102" t="s">
        <v>86</v>
      </c>
      <c r="FM32" s="94">
        <f>IFERROR(IF(AND($FM$2&lt;&gt;"Enter Spend&gt;&gt;&gt;",FN20="EXISTING"),SUMIFS('Existing Customers'!$Q:$Q,'Existing Customers'!$A:$A,$FM$1,'Existing Customers'!$H:$H,$FL32)*$FM$4,$FM$3*$FK32),0)</f>
        <v>0</v>
      </c>
      <c r="FN32" s="89">
        <f>IFERROR(IF(AND($FM$2&lt;&gt;"Enter Spend&gt;&gt;&gt;",FN2="EXISTING"),SUMIFS('Existing Customers'!$N:$N,'Existing Customers'!$A:$A,$FM$1,'Existing Customers'!$H:$H,$FL32)*$FM$4,$FM32/$FX32),0)</f>
        <v>0</v>
      </c>
      <c r="FO32" s="95">
        <f>IFERROR(IF(AND($FM$2&lt;&gt;"Enter Spend&gt;&gt;&gt;",FN2="EXISTING"),SUMIFS('Existing Customers'!$O:$O,'Existing Customers'!$H:$H,$FL32,'Existing Customers'!$A:$A,$FM$1)*$FM$4,$FN32*$FM$8),0)</f>
        <v>0</v>
      </c>
      <c r="FP32" s="95">
        <f>IFERROR(IF(AND($FM$2&lt;&gt;"Enter Spend&gt;&gt;&gt;",FN2="EXISTING"),SUMIFS('Existing Customers'!$P:$P,'Existing Customers'!$A:$A,$FM$1,'Existing Customers'!$H:$H,$FL32)*$FM$4,$FM32/$FY32),0)</f>
        <v>0</v>
      </c>
      <c r="FQ32" s="96">
        <f>IFERROR(IF(AND($FM$2&lt;&gt;"Enter Spend&gt;&gt;&gt;",FN2="EXISTING"),SUMIFS('Existing Customers'!$V:$V,'Existing Customers'!$H:$H,$FL32,'Existing Customers'!$A:$A,$FM$1)*$FM$4,0),0)</f>
        <v>0</v>
      </c>
      <c r="FR32" s="96">
        <f>IFERROR(IF(AND($FM$2&lt;&gt;"Enter Spend&gt;&gt;&gt;",FN2="EXISTING"),SUMIFS('Existing Customers'!$R:$R,'Existing Customers'!$H:$H,$FL32,'Existing Customers'!$A:$A,$FM$1)*$FM$4,0),0)</f>
        <v>0</v>
      </c>
      <c r="FS32" s="1161">
        <f>IFERROR(IF(AND($FM$2&lt;&gt;"Enter Spend&gt;&gt;&gt;",FN2="EXISTING"),SUMIFS('Existing Customers'!$S:$S,'Existing Customers'!$H:$H,$FL32,'Existing Customers'!$A:$A,$FM$1),GC32*FM32),0)</f>
        <v>0</v>
      </c>
      <c r="FT32" s="1161">
        <f>IFERROR(IF(AND($FM$2&lt;&gt;"Enter Spend&gt;&gt;&gt;",FN2="EXISTING"),SUMIFS('Existing Customers'!$U:$U,'Existing Customers'!$H:$H,$FL32,'Existing Customers'!$A:$A,$FM$1),GD32*FM32),0)</f>
        <v>0</v>
      </c>
      <c r="FU32" s="1164" t="e">
        <f>_xlfn.CONCAT('Customer Inputs'!$AG$11,"_",FL32)</f>
        <v>#N/A</v>
      </c>
      <c r="FV32" s="1164">
        <f t="array" ref="FV32">IFERROR(INDEX('Margin Guidence Table'!$A$1:$AD$30000,MATCH(1,('Margin Guidence Table'!$A$1:$A$10000=FU32)*('Margin Guidence Table'!$I$1:$I$10000&lt;=ROUND($FM$3,0))*('Margin Guidence Table'!$J$1:$J$10000&gt;=ROUND($FM$3,0)),0),MATCH("DATA_POINTS",'Margin Guidence Table'!$A$1:$AG$1,0)),0)</f>
        <v>0</v>
      </c>
      <c r="FW32" s="1161" t="str">
        <f t="shared" si="33"/>
        <v>DEFAULT</v>
      </c>
      <c r="FX32" s="1161">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161">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165">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165">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165">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165">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165">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165">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9"/>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96" t="e">
        <f t="shared" si="34"/>
        <v>#DIV/0!</v>
      </c>
      <c r="GI32" s="102" t="s">
        <v>86</v>
      </c>
      <c r="GJ32" s="94">
        <f>IFERROR(IF(AND($GJ$2&lt;&gt;"Enter Spend&gt;&gt;&gt;",GK20="EXISTING"),SUMIFS('Existing Customers'!$Q:$Q,'Existing Customers'!$A:$A,$GJ$1,'Existing Customers'!$H:$H,$GI32)*$GJ$4,$GJ$3*$GH32),0)</f>
        <v>0</v>
      </c>
      <c r="GK32" s="89">
        <f>IFERROR(IF(AND($GJ$2&lt;&gt;"Enter Spend&gt;&gt;&gt;",GK2="EXISTING"),SUMIFS('Existing Customers'!$N:$N,'Existing Customers'!$A:$A,$GJ$1,'Existing Customers'!$H:$H,$GI32)*$GJ$4,$GJ32/$GU32),0)</f>
        <v>0</v>
      </c>
      <c r="GL32" s="95">
        <f>IFERROR(IF(AND($GJ$2&lt;&gt;"Enter Spend&gt;&gt;&gt;",GK2="EXISTING"),SUMIFS('Existing Customers'!$O:$O,'Existing Customers'!$H:$H,$GI32,'Existing Customers'!$A:$A,$GJ$1)*$GJ$4,$GK32*$GJ$8),0)</f>
        <v>0</v>
      </c>
      <c r="GM32" s="95">
        <f>IFERROR(IF(AND($GJ$2&lt;&gt;"Enter Spend&gt;&gt;&gt;",GK2="EXISTING"),SUMIFS('Existing Customers'!$P:$P,'Existing Customers'!$A:$A,$GJ$1,'Existing Customers'!$H:$H,$GI32)*$GJ$4,$GJ32/$GV32),0)</f>
        <v>0</v>
      </c>
      <c r="GN32" s="96">
        <f>IFERROR(IF(AND($GJ$2&lt;&gt;"Enter Spend&gt;&gt;&gt;",GK2="EXISTING"),SUMIFS('Existing Customers'!$V:$V,'Existing Customers'!$H:$H,$GI32,'Existing Customers'!$A:$A,$GJ$1)*$GJ$4,0),0)</f>
        <v>0</v>
      </c>
      <c r="GO32" s="96">
        <f>IFERROR(IF(AND($GJ$2&lt;&gt;"Enter Spend&gt;&gt;&gt;",GK2="EXISTING"),SUMIFS('Existing Customers'!$R:$R,'Existing Customers'!$H:$H,$GI32,'Existing Customers'!$A:$A,$GJ$1)*$GJ$4,0),0)</f>
        <v>0</v>
      </c>
      <c r="GP32" s="1161">
        <f>IFERROR(IF(AND($GJ$2&lt;&gt;"Enter Spend&gt;&gt;&gt;",GK2="EXISTING"),SUMIFS('Existing Customers'!$S:$S,'Existing Customers'!$H:$H,$GI32,'Existing Customers'!$A:$A,$GJ$1),GZ32*GJ32),0)</f>
        <v>0</v>
      </c>
      <c r="GQ32" s="1161">
        <f>IFERROR(IF(AND($GJ$2&lt;&gt;"Enter Spend&gt;&gt;&gt;",GK2="EXISTING"),SUMIFS('Existing Customers'!$U:$U,'Existing Customers'!$H:$H,$GI32,'Existing Customers'!$A:$A,$GJ$1),HA32*GJ32),0)</f>
        <v>0</v>
      </c>
      <c r="GR32" s="1164" t="e">
        <f>_xlfn.CONCAT('Customer Inputs'!$AG$12,"_",GI32)</f>
        <v>#N/A</v>
      </c>
      <c r="GS32" s="1164">
        <f t="array" ref="GS32">IFERROR(INDEX('Margin Guidence Table'!$A$1:$AD$30000,MATCH(1,('Margin Guidence Table'!$A$1:$A$10000=GR32)*('Margin Guidence Table'!$I$1:$I$10000&lt;=ROUND($GJ$3,0))*('Margin Guidence Table'!$J$1:$J$10000&gt;=ROUND($GJ$3,0)),0),MATCH("DATA_POINTS",'Margin Guidence Table'!$A$1:$AG$1,0)),0)</f>
        <v>0</v>
      </c>
      <c r="GT32" s="1161" t="str">
        <f t="shared" si="35"/>
        <v>DEFAULT</v>
      </c>
      <c r="GU32" s="1161">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161">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165">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165">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165">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165">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165">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165">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9"/>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96" t="e">
        <f t="shared" si="36"/>
        <v>#DIV/0!</v>
      </c>
      <c r="HF32" s="102" t="s">
        <v>86</v>
      </c>
      <c r="HG32" s="94">
        <f>IFERROR(IF(AND($HG$2&lt;&gt;"Enter Spend&gt;&gt;&gt;",HH20="EXISTING"),SUMIFS('Existing Customers'!$Q:$Q,'Existing Customers'!$A:$A,$HG$1,'Existing Customers'!$H:$H,$HF32)*$HG$4,$HG$3*$HE32),0)</f>
        <v>0</v>
      </c>
      <c r="HH32" s="89">
        <f>IFERROR(IF(AND($HG$2&lt;&gt;"Enter Spend&gt;&gt;&gt;",HH2="EXISTING"),SUMIFS('Existing Customers'!$N:$N,'Existing Customers'!$A:$A,$HG$1,'Existing Customers'!$H:$H,$HF32)*$HG$4,$HG32/$HR32),0)</f>
        <v>0</v>
      </c>
      <c r="HI32" s="95">
        <f>IFERROR(IF(AND($HG$2&lt;&gt;"Enter Spend&gt;&gt;&gt;",HH2="EXISTING"),SUMIFS('Existing Customers'!$O:$O,'Existing Customers'!$H:$H,$HF32,'Existing Customers'!$A:$A,$HG$1)*$HG$4,$HH32*$HG$8),0)</f>
        <v>0</v>
      </c>
      <c r="HJ32" s="95">
        <f>IFERROR(IF(AND($HG$2&lt;&gt;"Enter Spend&gt;&gt;&gt;",HH2="EXISTING"),SUMIFS('Existing Customers'!$P:$P,'Existing Customers'!$A:$A,$HG$1,'Existing Customers'!$H:$H,$HF32)*$HG$4,$HG32/$HS32),0)</f>
        <v>0</v>
      </c>
      <c r="HK32" s="96">
        <f>IFERROR(IF(AND($HG$2&lt;&gt;"Enter Spend&gt;&gt;&gt;",HH2="EXISTING"),SUMIFS('Existing Customers'!$V:$V,'Existing Customers'!$H:$H,$HF32,'Existing Customers'!$A:$A,$HG$1)*$HG$4,0),0)</f>
        <v>0</v>
      </c>
      <c r="HL32" s="96">
        <f>IFERROR(IF(AND($HG$2&lt;&gt;"Enter Spend&gt;&gt;&gt;",HH2="EXISTING"),SUMIFS('Existing Customers'!$R:$R,'Existing Customers'!$H:$H,$HF32,'Existing Customers'!$A:$A,$HG$1)*$HG$4,0),0)</f>
        <v>0</v>
      </c>
      <c r="HM32" s="1161">
        <f>IFERROR(IF(AND($HG$2&lt;&gt;"Enter Spend&gt;&gt;&gt;",HH2="EXISTING"),SUMIFS('Existing Customers'!$S:$S,'Existing Customers'!$H:$H,$HF32,'Existing Customers'!$A:$A,$HG$1),HW32*HG32),0)</f>
        <v>0</v>
      </c>
      <c r="HN32" s="1161">
        <f>IFERROR(IF(AND($HG$2&lt;&gt;"Enter Spend&gt;&gt;&gt;",HH2="EXISTING"),SUMIFS('Existing Customers'!$U:$U,'Existing Customers'!$H:$H,$HF32,'Existing Customers'!$A:$A,$HG$1),HX32*HG32),0)</f>
        <v>0</v>
      </c>
      <c r="HO32" s="1164" t="e">
        <f>_xlfn.CONCAT('Customer Inputs'!$AG$13,"_",HF32)</f>
        <v>#N/A</v>
      </c>
      <c r="HP32" s="1164">
        <f t="array" ref="HP32">IFERROR(INDEX('Margin Guidence Table'!$A$1:$AD$30000,MATCH(1,('Margin Guidence Table'!$A$1:$A$10000=HO32)*('Margin Guidence Table'!$I$1:$I$10000&lt;=ROUND($HG$3,0))*('Margin Guidence Table'!$J$1:$J$10000&gt;=ROUND($HG$3,0)),0),MATCH("DATA_POINTS",'Margin Guidence Table'!$A$1:$AG$1,0)),0)</f>
        <v>0</v>
      </c>
      <c r="HQ32" s="1161" t="str">
        <f t="shared" si="37"/>
        <v>DEFAULT</v>
      </c>
      <c r="HR32" s="1161">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161">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165">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165">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165">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165">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165">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165">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9"/>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96" t="e">
        <f t="shared" si="38"/>
        <v>#DIV/0!</v>
      </c>
      <c r="IC32" s="102" t="s">
        <v>86</v>
      </c>
      <c r="ID32" s="94">
        <f>IFERROR(IF(AND($ID$2&lt;&gt;"Enter Spend&gt;&gt;&gt;",IE20="EXISTING"),SUMIFS('Existing Customers'!$Q:$Q,'Existing Customers'!$A:$A,$ID$1,'Existing Customers'!$H:$H,$IC32)*$ID$4,$ID$3*$IB32),0)</f>
        <v>0</v>
      </c>
      <c r="IE32" s="89">
        <f>IFERROR(IF(AND($ID$2&lt;&gt;"Enter Spend&gt;&gt;&gt;",IE2="EXISTING"),SUMIFS('Existing Customers'!$N:$N,'Existing Customers'!$A:$A,$ID$1,'Existing Customers'!$H:$H,$IC32)*$ID$4,$ID32/$IO32),0)</f>
        <v>0</v>
      </c>
      <c r="IF32" s="95">
        <f>IFERROR(IF(AND($ID$2&lt;&gt;"Enter Spend&gt;&gt;&gt;",IE2="EXISTING"),SUMIFS('Existing Customers'!$O:$O,'Existing Customers'!$H:$H,$IC32,'Existing Customers'!$A:$A,$ID$1)*$ID$4,$IE32*$ID$8),0)</f>
        <v>0</v>
      </c>
      <c r="IG32" s="95">
        <f>IFERROR(IF(AND($ID$2&lt;&gt;"Enter Spend&gt;&gt;&gt;",IE2="EXISTING"),SUMIFS('Existing Customers'!$P:$P,'Existing Customers'!$A:$A,$ID$1,'Existing Customers'!$H:$H,$IC32)*$ID$4,$ID32/$IP32),0)</f>
        <v>0</v>
      </c>
      <c r="IH32" s="402">
        <f>IFERROR(IF(AND($ID$2&lt;&gt;"Enter Spend&gt;&gt;&gt;",IE2="EXISTING"),SUMIFS('Existing Customers'!$V:$V,'Existing Customers'!$H:$H,$IC32,'Existing Customers'!$A:$A,$ID$1)*$ID$4,0),0)</f>
        <v>0</v>
      </c>
      <c r="II32" s="96">
        <f>IFERROR(IF(AND($ID$2&lt;&gt;"Enter Spend&gt;&gt;&gt;",IE2="EXISTING"),SUMIFS('Existing Customers'!$R:$R,'Existing Customers'!$H:$H,$IC32,'Existing Customers'!$A:$A,$ID$1)*$ID$4,0),0)</f>
        <v>0</v>
      </c>
      <c r="IJ32" s="1161">
        <f>IFERROR(IF(AND($ID$2&lt;&gt;"Enter Spend&gt;&gt;&gt;",IE2="EXISTING"),SUMIFS('Existing Customers'!$S:$S,'Existing Customers'!$H:$H,$IC32,'Existing Customers'!$A:$A,$ID$1),IT32*ID32),0)</f>
        <v>0</v>
      </c>
      <c r="IK32" s="1161">
        <f>IFERROR(IF(AND($ID$2&lt;&gt;"Enter Spend&gt;&gt;&gt;",IE2="EXISTING"),SUMIFS('Existing Customers'!$U:$U,'Existing Customers'!$H:$H,$IC32,'Existing Customers'!$A:$A,$ID$1),IU32*ID32),0)</f>
        <v>0</v>
      </c>
      <c r="IL32" s="1164" t="e">
        <f>_xlfn.CONCAT('Customer Inputs'!$AG$14,"_",IC32)</f>
        <v>#N/A</v>
      </c>
      <c r="IM32" s="1164">
        <f t="array" ref="IM32">IFERROR(INDEX('Margin Guidence Table'!$A$1:$AD$30000,MATCH(1,('Margin Guidence Table'!$A$1:$A$10000=IL32)*('Margin Guidence Table'!$I$1:$I$10000&lt;=ROUND($ID$3,0))*('Margin Guidence Table'!$J$1:$J$10000&gt;=ROUND($ID$3,0)),0),MATCH("DATA_POINTS",'Margin Guidence Table'!$A$1:$AG$1,0)),0)</f>
        <v>0</v>
      </c>
      <c r="IN32" s="1161" t="str">
        <f t="shared" si="39"/>
        <v>DEFAULT</v>
      </c>
      <c r="IO32" s="1161">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161">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165">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165">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165">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165">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165">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165">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9"/>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96" t="e">
        <f t="shared" si="40"/>
        <v>#DIV/0!</v>
      </c>
      <c r="IZ32" s="102" t="s">
        <v>86</v>
      </c>
      <c r="JA32" s="94">
        <f>IFERROR(IF(AND($JA$2&lt;&gt;"Enter Spend&gt;&gt;&gt;",JB20="EXISTING"),SUMIFS('Existing Customers'!$Q:$Q,'Existing Customers'!$A:$A,$JA$1,'Existing Customers'!$H:$H,$IZ32)*$JA$4,$JA$3*$IY32),0)</f>
        <v>0</v>
      </c>
      <c r="JB32" s="89">
        <f>IFERROR(IF(AND($JA$2&lt;&gt;"Enter Spend&gt;&gt;&gt;",JB2="EXISTING"),SUMIFS('Existing Customers'!$N:$N,'Existing Customers'!$A:$A,$JA$1,'Existing Customers'!$H:$H,$IZ32)*$JA$4,$JA32/$JL32),0)</f>
        <v>0</v>
      </c>
      <c r="JC32" s="95">
        <f>IFERROR(IF(AND($JA$2&lt;&gt;"Enter Spend&gt;&gt;&gt;",JB2="EXISTING"),SUMIFS('Existing Customers'!$O:$O,'Existing Customers'!$H:$H,$IZ32,'Existing Customers'!$A:$A,$JA$1)*$JA$4,$JB32*$JA$8),0)</f>
        <v>0</v>
      </c>
      <c r="JD32" s="95">
        <f>IFERROR(IF(AND($JA$2&lt;&gt;"Enter Spend&gt;&gt;&gt;",JB2="EXISTING"),SUMIFS('Existing Customers'!$P:$P,'Existing Customers'!$A:$A,$JA$1,'Existing Customers'!$H:$H,$IZ32)*$JA$4,$JA32/$JM32),0)</f>
        <v>0</v>
      </c>
      <c r="JE32" s="402">
        <f>IFERROR(IF(AND($JA$2&lt;&gt;"Enter Spend&gt;&gt;&gt;",JB2="EXISTING"),SUMIFS('Existing Customers'!$V:$V,'Existing Customers'!$H:$H,$IZ32,'Existing Customers'!$A:$A,$JA$1)*$JA$4,0),0)</f>
        <v>0</v>
      </c>
      <c r="JF32" s="96">
        <f>IFERROR(IF(AND($JA$2&lt;&gt;"Enter Spend&gt;&gt;&gt;",JB2="EXISTING"),SUMIFS('Existing Customers'!$R:$R,'Existing Customers'!$H:$H,$IZ32,'Existing Customers'!$A:$A,$JA$1)*$JA$4,0),0)</f>
        <v>0</v>
      </c>
      <c r="JG32" s="1161">
        <f>IFERROR(IF(AND($JA$2&lt;&gt;"Enter Spend&gt;&gt;&gt;",JB2="EXISTING"),SUMIFS('Existing Customers'!$S:$S,'Existing Customers'!$H:$H,$IZ32,'Existing Customers'!$A:$A,$JA$1),JQ32*JA32),0)</f>
        <v>0</v>
      </c>
      <c r="JH32" s="1161">
        <f>IFERROR(IF(AND($JA$2&lt;&gt;"Enter Spend&gt;&gt;&gt;",JB2="EXISTING"),SUMIFS('Existing Customers'!$U:$U,'Existing Customers'!$H:$H,$IZ32,'Existing Customers'!$A:$A,$JA$1),JR32*JA32),0)</f>
        <v>0</v>
      </c>
      <c r="JI32" s="1164" t="e">
        <f>_xlfn.CONCAT('Customer Inputs'!$AG$15,"_",IZ32)</f>
        <v>#N/A</v>
      </c>
      <c r="JJ32" s="1164">
        <f t="array" ref="JJ32">IFERROR(INDEX('Margin Guidence Table'!$A$1:$AD$30000,MATCH(1,('Margin Guidence Table'!$A$1:$A$10000=JI32)*('Margin Guidence Table'!$I$1:$I$10000&lt;=ROUND($JA$3,0))*('Margin Guidence Table'!$J$1:$J$10000&gt;=ROUND($JA$3,0)),0),MATCH("DATA_POINTS",'Margin Guidence Table'!$A$1:$AG$1,0)),0)</f>
        <v>0</v>
      </c>
      <c r="JK32" s="1161" t="str">
        <f t="shared" si="41"/>
        <v>DEFAULT</v>
      </c>
      <c r="JL32" s="1161">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161">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165">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165">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165">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165">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165">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165">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102" t="s">
        <v>86</v>
      </c>
      <c r="JV32" s="97"/>
      <c r="JW32" s="89"/>
      <c r="JX32" s="89"/>
      <c r="JY32" s="89"/>
      <c r="JZ32" s="114"/>
      <c r="KA32" s="98"/>
      <c r="KB32" s="129"/>
      <c r="KD32" s="102" t="s">
        <v>86</v>
      </c>
      <c r="KE32" s="97"/>
      <c r="KF32" s="89"/>
      <c r="KG32" s="89"/>
      <c r="KH32" s="89"/>
      <c r="KI32" s="114"/>
      <c r="KJ32" s="98"/>
    </row>
    <row r="33" spans="2:296" ht="15.75" thickBot="1" x14ac:dyDescent="0.3">
      <c r="B33" s="102" t="s">
        <v>88</v>
      </c>
      <c r="C33" s="480">
        <f t="shared" si="7"/>
        <v>0</v>
      </c>
      <c r="D33" s="496">
        <f t="shared" si="8"/>
        <v>0</v>
      </c>
      <c r="E33" s="496">
        <f t="shared" si="9"/>
        <v>0</v>
      </c>
      <c r="F33" s="496">
        <f t="shared" si="10"/>
        <v>0</v>
      </c>
      <c r="G33" s="497">
        <f t="shared" si="11"/>
        <v>0</v>
      </c>
      <c r="H33" s="496">
        <f t="shared" si="12"/>
        <v>0</v>
      </c>
      <c r="I33" s="1157" t="e">
        <f>ROUND(SUM($BB33*BO33+$BY33*CL33+$CV33*DI33+$DS33*EF33+$EP33*FC33+$FM33*FZ33+$GJ33*GW33+$HG33*HT33+$ID33*IQ33+$JA33*JN33)/$C33,2)</f>
        <v>#DIV/0!</v>
      </c>
      <c r="J33" s="1157" t="e">
        <f>ROUND(SUM($BB33*BP33+$BY33*CM33+$CV33*DJ33+$DS33*EG33+$EP33*FD33+$FM33*GA33+$GJ33*GX33+$HG33*HU33+$ID33*IR33+$JA33*JO33)/$C33,2)</f>
        <v>#DIV/0!</v>
      </c>
      <c r="K33" s="1157" t="e">
        <f>ROUND(SUM($BB33*BQ33+$BY33*CN33+$CV33*DK33+$DS33*EH33+$EP33*FE33+$FM33*GB33+$GJ33*GY33+$HG33*HV33+$ID33*IS33+$JA33*JP33)/$C33,2)</f>
        <v>#DIV/0!</v>
      </c>
      <c r="L33" s="496" t="e">
        <f t="shared" si="0"/>
        <v>#DIV/0!</v>
      </c>
      <c r="M33" s="496" t="e">
        <f t="shared" si="13"/>
        <v>#DIV/0!</v>
      </c>
      <c r="N33" s="1158" t="e">
        <f t="shared" si="1"/>
        <v>#DIV/0!</v>
      </c>
      <c r="P33" t="str">
        <f>'PIM Model'!E29</f>
        <v>INCLUDE</v>
      </c>
      <c r="Q33">
        <f t="shared" si="14"/>
        <v>0</v>
      </c>
      <c r="R33">
        <f t="shared" si="15"/>
        <v>0</v>
      </c>
      <c r="S33" s="102" t="s">
        <v>88</v>
      </c>
      <c r="T33" s="97">
        <f t="shared" si="16"/>
        <v>0</v>
      </c>
      <c r="U33" s="89">
        <f t="shared" si="2"/>
        <v>0</v>
      </c>
      <c r="V33" s="89">
        <f t="shared" si="3"/>
        <v>0</v>
      </c>
      <c r="W33" s="89">
        <f t="shared" si="4"/>
        <v>0</v>
      </c>
      <c r="X33" s="114">
        <f t="shared" si="5"/>
        <v>0</v>
      </c>
      <c r="Y33" s="117">
        <f t="shared" si="17"/>
        <v>0</v>
      </c>
      <c r="Z33" s="400"/>
      <c r="AA33" s="102" t="s">
        <v>88</v>
      </c>
      <c r="AB33" s="484">
        <f>SUMIFS($BB33:$JF33,$BB$12:$JF$12,AB$12)</f>
        <v>0</v>
      </c>
      <c r="AC33" s="485">
        <f>SUMIFS($BB33:$JF33,$BB$12:$JF$12,AC$12)</f>
        <v>0</v>
      </c>
      <c r="AD33" s="485">
        <f>SUMIFS($BB33:$JF33,$BB$12:$JF$12,AD$12)</f>
        <v>0</v>
      </c>
      <c r="AE33" s="486">
        <f t="shared" si="18"/>
        <v>0</v>
      </c>
      <c r="AF33" s="487">
        <f t="shared" si="19"/>
        <v>0</v>
      </c>
      <c r="AG33" s="400"/>
      <c r="AH33" s="102" t="s">
        <v>88</v>
      </c>
      <c r="AI33" s="484">
        <f t="shared" si="6"/>
        <v>0</v>
      </c>
      <c r="AJ33" s="481">
        <f t="shared" si="20"/>
        <v>0</v>
      </c>
      <c r="AK33" s="487"/>
      <c r="AL33" s="400"/>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400">
        <f>VLOOKUP($AH33&amp;$AM33,'IMargin Quartiles'!$A:$F,6,FALSE)</f>
        <v>0.13</v>
      </c>
      <c r="AO33" s="400"/>
      <c r="AP33"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Q33" s="400" t="e">
        <f t="shared" si="21"/>
        <v>#DIV/0!</v>
      </c>
      <c r="AR33">
        <f>'PIM Model'!C29</f>
        <v>0</v>
      </c>
      <c r="AS33" s="400"/>
      <c r="AT33" s="400"/>
      <c r="AU33" s="400" t="e">
        <f t="shared" si="42"/>
        <v>#DIV/0!</v>
      </c>
      <c r="AV33" s="400"/>
      <c r="AW33" s="400"/>
      <c r="AX33" s="108">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96" t="e">
        <f t="shared" si="22"/>
        <v>#DIV/0!</v>
      </c>
      <c r="BA33" s="102" t="s">
        <v>88</v>
      </c>
      <c r="BB33" s="94">
        <f>IFERROR(IF(AND($BB$2&lt;&gt;"Enter Spend&gt;&gt;&gt;",BC21="EXISTING"),SUMIFS('Existing Customers'!$Q:$Q,'Existing Customers'!$A:$A,$BB$1,'Existing Customers'!$H:$H,$BA33)*$BB$4,$BB$3*$AZ33),0)</f>
        <v>0</v>
      </c>
      <c r="BC33" s="95">
        <f>IFERROR(IF(AND($BB$2&lt;&gt;"Enter Spend&gt;&gt;&gt;",BC2="EXISTING"),SUMIFS('Existing Customers'!$N:$N,'Existing Customers'!$A:$A,$BB$1,'Existing Customers'!$H:$H,$BA33)*$BB$4,$BB33/$BM33),0)</f>
        <v>0</v>
      </c>
      <c r="BD33" s="95">
        <f>IFERROR(IF(AND($BB$2&lt;&gt;"Enter Spend&gt;&gt;&gt;",BC2="EXISTING"),SUMIFS('Existing Customers'!$O:$O,'Existing Customers'!$H:$H,$BA33,'Existing Customers'!$A:$A,$BB$1)*$BB$4,$BC33*$BB$8),0)</f>
        <v>0</v>
      </c>
      <c r="BE33" s="95">
        <f>IFERROR(IF(AND($BB$2&lt;&gt;"Enter Spend&gt;&gt;&gt;",BC2="EXISTING"),SUMIFS('Existing Customers'!$P:$P,'Existing Customers'!$A:$A,$BB$1,'Existing Customers'!$H:$H,$BA33)*$BB$4,$BB33/$BN33),0)</f>
        <v>0</v>
      </c>
      <c r="BF33" s="402">
        <f>IFERROR(IF(AND($BB$2&lt;&gt;"Enter Spend&gt;&gt;&gt;",BC2="EXISTING"),SUMIFS('Existing Customers'!$V:$V,'Existing Customers'!$H:$H,$BA33,'Existing Customers'!$A:$A,$BB$1)*$BB$4,0),0)</f>
        <v>0</v>
      </c>
      <c r="BG33" s="96">
        <f>IFERROR(IF(AND($BB$2&lt;&gt;"Enter Spend&gt;&gt;&gt;",BC2="EXISTING"),SUMIFS('Existing Customers'!$R:$R,'Existing Customers'!$H:$H,$BA33,'Existing Customers'!$A:$A,$BB$1)*$BB$4,0),0)</f>
        <v>0</v>
      </c>
      <c r="BH33" s="96">
        <f>IFERROR(IF(AND($BB$2&lt;&gt;"Enter Spend&gt;&gt;&gt;",BC2="EXISTING"),SUMIFS('Existing Customers'!$S:$S,'Existing Customers'!$H:$H,$BA33,'Existing Customers'!$A:$A,$BB$1),BR33*BB33),0)</f>
        <v>0</v>
      </c>
      <c r="BI33" s="96">
        <f>IFERROR(IF(AND($BB$2&lt;&gt;"Enter Spend&gt;&gt;&gt;",BC2="EXISTING"),SUMIFS('Existing Customers'!$U:$U,'Existing Customers'!$H:$H,$BA33,'Existing Customers'!$A:$A,$BB$1),BS33*BB33),0)</f>
        <v>0</v>
      </c>
      <c r="BJ33" s="1163" t="e">
        <f>_xlfn.CONCAT('Customer Inputs'!$AG$6,"_",BA33)</f>
        <v>#N/A</v>
      </c>
      <c r="BK33" s="1164">
        <f t="array" ref="BK33">IFERROR(INDEX('Margin Guidence Table'!$A$1:$AD$30000,MATCH(1,('Margin Guidence Table'!$A$1:$A$10000=$BJ33)*('Margin Guidence Table'!$I$1:$I$10000&lt;=ROUND($BB$3,0))*('Margin Guidence Table'!$J$1:$J$10000&gt;=ROUND($BB$3,0)),0),MATCH("DATA_POINTS",'Margin Guidence Table'!$A$1:$AG$1,0)),0)</f>
        <v>0</v>
      </c>
      <c r="BL33" s="1161" t="str">
        <f t="shared" si="23"/>
        <v>DEFAULT</v>
      </c>
      <c r="BM33" s="1161">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161">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165">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165">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165">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165">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165">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165">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9"/>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96" t="e">
        <f t="shared" si="24"/>
        <v>#DIV/0!</v>
      </c>
      <c r="BX33" s="102" t="s">
        <v>88</v>
      </c>
      <c r="BY33" s="94">
        <f>IFERROR(IF(AND($BY$2&lt;&gt;"Enter Spend&gt;&gt;&gt;",BZ21="EXISTING"),SUMIFS('Existing Customers'!$Q:$Q,'Existing Customers'!$A:$A,$BY$1,'Existing Customers'!$H:$H,$BX33)*$BY$4,$BY$3*$BW33),0)</f>
        <v>0</v>
      </c>
      <c r="BZ33" s="89">
        <f>IFERROR(IF(AND($BY$2&lt;&gt;"Enter Spend&gt;&gt;&gt;",BZ2="EXISTING"),SUMIFS('Existing Customers'!$N:$N,'Existing Customers'!$A:$A,$BY$1,'Existing Customers'!$H:$H,$BX33)*$BY$4,$BY33/$CJ33),0)</f>
        <v>0</v>
      </c>
      <c r="CA33" s="95">
        <f>IFERROR(IF(AND($BY$2&lt;&gt;"Enter Spend&gt;&gt;&gt;",BZ2="EXISTING"),SUMIFS('Existing Customers'!$O:$O,'Existing Customers'!$H:$H,$BX33,'Existing Customers'!$A:$A,$BY$1)*$BY$4,$BZ33*$BY$8),0)</f>
        <v>0</v>
      </c>
      <c r="CB33" s="95">
        <f>IFERROR(IF(AND($BY$2&lt;&gt;"Enter Spend&gt;&gt;&gt;",BZ2="EXISTING"),SUMIFS('Existing Customers'!$P:$P,'Existing Customers'!$A:$A,$BY$1,'Existing Customers'!$H:$H,$BX33)*$BY$4,$BY33/$CK33),0)</f>
        <v>0</v>
      </c>
      <c r="CC33" s="96">
        <f>IFERROR(IF(AND($BY$2&lt;&gt;"Enter Spend&gt;&gt;&gt;",BZ2="EXISTING"),SUMIFS('Existing Customers'!$V:$V,'Existing Customers'!$H:$H,$BX33,'Existing Customers'!$A:$A,$BY$1)*$BY$4,0),0)</f>
        <v>0</v>
      </c>
      <c r="CD33" s="96">
        <f>IFERROR(IF(AND($BY$2&lt;&gt;"Enter Spend&gt;&gt;&gt;",BZ2="EXISTING"),SUMIFS('Existing Customers'!$R:$R,'Existing Customers'!$H:$H,$BX33,'Existing Customers'!$A:$A,$BY$1)*$BY$4,0),0)</f>
        <v>0</v>
      </c>
      <c r="CE33" s="1161">
        <f>IFERROR(IF(AND($BY$2&lt;&gt;"Enter Spend&gt;&gt;&gt;",BZ2="EXISTING"),SUMIFS('Existing Customers'!$S:$S,'Existing Customers'!$H:$H,$BX33,'Existing Customers'!$A:$A,$BY$1),CO33*BY33),0)</f>
        <v>0</v>
      </c>
      <c r="CF33" s="1161">
        <f>IFERROR(IF(AND($BY$2&lt;&gt;"Enter Spend&gt;&gt;&gt;",BZ2="EXISTING"),SUMIFS('Existing Customers'!$U:$U,'Existing Customers'!$H:$H,$BX33,'Existing Customers'!$A:$A,$BY$1),CP33*BY33),0)</f>
        <v>0</v>
      </c>
      <c r="CG33" s="1164" t="e">
        <f>_xlfn.CONCAT('Customer Inputs'!$AG$7,"_",BX33)</f>
        <v>#N/A</v>
      </c>
      <c r="CH33" s="1164">
        <f t="array" ref="CH33">IFERROR(INDEX('Margin Guidence Table'!$A$1:$AD$30000,MATCH(1,('Margin Guidence Table'!$A$1:$A$10000=$CG33)*('Margin Guidence Table'!$I$1:$I$10000&lt;=ROUND($BY$3,0))*('Margin Guidence Table'!$J$1:$J$10000&gt;=ROUND($BY$3,0)),0),MATCH("DATA_POINTS",'Margin Guidence Table'!$A$1:$AG$1,0)),0)</f>
        <v>0</v>
      </c>
      <c r="CI33" s="1161" t="str">
        <f t="shared" si="25"/>
        <v>DEFAULT</v>
      </c>
      <c r="CJ33" s="1161">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161">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165">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165">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165">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165">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165">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165">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9"/>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96" t="e">
        <f t="shared" si="26"/>
        <v>#DIV/0!</v>
      </c>
      <c r="CU33" s="102" t="s">
        <v>88</v>
      </c>
      <c r="CV33" s="94">
        <f>IFERROR(IF(AND($CV$2&lt;&gt;"Enter Spend&gt;&gt;&gt;",CW21="EXISTING"),SUMIFS('Existing Customers'!$Q:$Q,'Existing Customers'!$A:$A,$CV$1,'Existing Customers'!$H:$H,$CU33)*$CV$4,$CV$3*$CT33),0)</f>
        <v>0</v>
      </c>
      <c r="CW33" s="89">
        <f>IFERROR(IF(AND($CV$2&lt;&gt;"Enter Spend&gt;&gt;&gt;",CW2="EXISTING"),SUMIFS('Existing Customers'!$N:$N,'Existing Customers'!$A:$A,$CV$1,'Existing Customers'!$H:$H,$CU33)*$CV$4,$CV33/$DG33),0)</f>
        <v>0</v>
      </c>
      <c r="CX33" s="95">
        <f>IFERROR(IF(AND($CV$2&lt;&gt;"Enter Spend&gt;&gt;&gt;",BC28="EXISTING"),SUMIFS('Existing Customers'!$O:$O,'Existing Customers'!$H:$H,$CU33,'Existing Customers'!$A:$A,$CV$1)*$CV$4,$CW33*$CV$8),0)</f>
        <v>0</v>
      </c>
      <c r="CY33" s="95">
        <f>IFERROR(IF(AND($CV$2&lt;&gt;"Enter Spend&gt;&gt;&gt;",CW2="EXISTING"),SUMIFS('Existing Customers'!$P:$P,'Existing Customers'!$A:$A,$CV$1,'Existing Customers'!$H:$H,$CU33)*$CV$4,$CV33/$DH33),0)</f>
        <v>0</v>
      </c>
      <c r="CZ33" s="96">
        <f>IFERROR(IF(AND($CV$2&lt;&gt;"Enter Spend&gt;&gt;&gt;",CW2="EXISTING"),SUMIFS('Existing Customers'!$V:$V,'Existing Customers'!$H:$H,$CU33,'Existing Customers'!$A:$A,$CV$1)*$CV$4,0),0)</f>
        <v>0</v>
      </c>
      <c r="DA33" s="96">
        <f>IFERROR(IF(AND($CV$2&lt;&gt;"Enter Spend&gt;&gt;&gt;",CW2="EXISTING"),SUMIFS('Existing Customers'!$R:$R,'Existing Customers'!$H:$H,$BA33,'Existing Customers'!$A:$A,$CV$1)*$CV$4,0),0)</f>
        <v>0</v>
      </c>
      <c r="DB33" s="1161">
        <f>IFERROR(IF(AND($CV$2&lt;&gt;"Enter Spend&gt;&gt;&gt;",CW2="EXISTING"),SUMIFS('Existing Customers'!$S:$S,'Existing Customers'!$H:$H,$CU33,'Existing Customers'!$A:$A,$CV$1),DL33*CV33),0)</f>
        <v>0</v>
      </c>
      <c r="DC33" s="1161">
        <f>IFERROR(IF(AND($CV$2&lt;&gt;"Enter Spend&gt;&gt;&gt;",CW2="EXISTING"),SUMIFS('Existing Customers'!$U:$U,'Existing Customers'!$H:$H,$CU33,'Existing Customers'!$A:$A,$CV$1),DM33*CV33),0)</f>
        <v>0</v>
      </c>
      <c r="DD33" s="1164" t="e">
        <f>_xlfn.CONCAT('Customer Inputs'!$AG$8,"_",CU33)</f>
        <v>#N/A</v>
      </c>
      <c r="DE33" s="1164">
        <f t="array" ref="DE33">IFERROR(INDEX('Margin Guidence Table'!$A$1:$AD$30000,MATCH(1,('Margin Guidence Table'!$A$1:$A$10000=DD33)*('Margin Guidence Table'!$I$1:$I$10000&lt;=ROUND($CV$3,0))*('Margin Guidence Table'!$J$1:$J$10000&gt;=ROUND($CV$3,0)),0),MATCH("DATA_POINTS",'Margin Guidence Table'!$A$1:$AG$1,0)),0)</f>
        <v>0</v>
      </c>
      <c r="DF33" s="1161" t="str">
        <f t="shared" si="27"/>
        <v>DEFAULT</v>
      </c>
      <c r="DG33" s="1161">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161">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165">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165">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165">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165">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165">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165">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9"/>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96" t="e">
        <f t="shared" si="28"/>
        <v>#DIV/0!</v>
      </c>
      <c r="DR33" s="102" t="s">
        <v>88</v>
      </c>
      <c r="DS33" s="94">
        <f>IFERROR(IF(AND($DS$2&lt;&gt;"Enter Spend&gt;&gt;&gt;",DT21="EXISTING"),SUMIFS('Existing Customers'!$Q:$Q,'Existing Customers'!$A:$A,$DS$1,'Existing Customers'!$H:$H,$DR33)*$DS$4,$DS$3*$DQ33),0)</f>
        <v>0</v>
      </c>
      <c r="DT33" s="89">
        <f>IFERROR(IF(AND($DS$2&lt;&gt;"Enter Spend&gt;&gt;&gt;",DT2="EXISTING"),SUMIFS('Existing Customers'!$N:$N,'Existing Customers'!$A:$A,$DS$1,'Existing Customers'!$H:$H,$DR33)*$DS$4,$DS33/$ED33),0)</f>
        <v>0</v>
      </c>
      <c r="DU33" s="95">
        <f>IFERROR(IF(AND($DS$2&lt;&gt;"Enter Spend&gt;&gt;&gt;",DT2="EXISTING"),SUMIFS('Existing Customers'!$O:$O,'Existing Customers'!$H:$H,$DR33,'Existing Customers'!$A:$A,$DS$1)*$DS$4,$DT33*$DS$8),0)</f>
        <v>0</v>
      </c>
      <c r="DV33" s="95">
        <f>IFERROR(IF(AND($DS$2&lt;&gt;"Enter Spend&gt;&gt;&gt;",DT2="EXISTING"),SUMIFS('Existing Customers'!$P:$P,'Existing Customers'!$A:$A,$DS$1,'Existing Customers'!$H:$H,$DR33)*$DS$4,$DS33/$EE33),0)</f>
        <v>0</v>
      </c>
      <c r="DW33" s="96">
        <f>IFERROR(IF(AND($DS$2&lt;&gt;"Enter Spend&gt;&gt;&gt;",EQ2="EXISTING"),SUMIFS('Existing Customers'!$V:$V,'Existing Customers'!$H:$H,$DR33,'Existing Customers'!$A:$A,$DS$1)*$DS$4,0),0)</f>
        <v>0</v>
      </c>
      <c r="DX33" s="96">
        <f>IFERROR(IF(AND($DS$2&lt;&gt;"Enter Spend&gt;&gt;&gt;",DT2="EXISTING"),SUMIFS('Existing Customers'!$R:$R,'Existing Customers'!$H:$H,$DR33,'Existing Customers'!$A:$A,$DS$1)*$DS$4,0),0)</f>
        <v>0</v>
      </c>
      <c r="DY33" s="1161">
        <f>IFERROR(IF(AND($DS$2&lt;&gt;"Enter Spend&gt;&gt;&gt;",DT2="EXISTING"),SUMIFS('Existing Customers'!$S:$S,'Existing Customers'!$H:$H,$DT33,'Existing Customers'!$A:$A,$DS$1),EI33*DS33),0)</f>
        <v>0</v>
      </c>
      <c r="DZ33" s="1161">
        <f>IFERROR(IF(AND($DS$2&lt;&gt;"Enter Spend&gt;&gt;&gt;",DT2="EXISTING"),SUMIFS('Existing Customers'!$U:$U,'Existing Customers'!$H:$H,$DR33,'Existing Customers'!$A:$A,$DS$1),EJ33*DS33),0)</f>
        <v>0</v>
      </c>
      <c r="EA33" s="1164" t="e">
        <f>_xlfn.CONCAT('Customer Inputs'!$AG$9,"_",DR33)</f>
        <v>#N/A</v>
      </c>
      <c r="EB33" s="1164">
        <f t="array" ref="EB33">IFERROR(INDEX('Margin Guidence Table'!$A$1:$AD$30000,MATCH(1,('Margin Guidence Table'!$A$1:$A$10000=EA33)*('Margin Guidence Table'!$I$1:$I$10000&lt;=ROUND($DS$3,0))*('Margin Guidence Table'!$J$1:$J$10000&gt;=ROUND($DS$3,0)),0),MATCH("DATA_POINTS",'Margin Guidence Table'!$A$1:$AG$1,0)),0)</f>
        <v>0</v>
      </c>
      <c r="EC33" s="1161" t="str">
        <f t="shared" si="29"/>
        <v>DEFAULT</v>
      </c>
      <c r="ED33" s="1161">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161">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165">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165">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165">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165">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165">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165">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9"/>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96" t="e">
        <f t="shared" si="30"/>
        <v>#DIV/0!</v>
      </c>
      <c r="EO33" s="102" t="s">
        <v>88</v>
      </c>
      <c r="EP33" s="94">
        <f>IFERROR(IF(AND($EP$2&lt;&gt;"Enter Spend&gt;&gt;&gt;",EQ21="EXISTING"),SUMIFS('Existing Customers'!$Q:$Q,'Existing Customers'!$A:$A,$EP$1,'Existing Customers'!$H:$H,$EO33)*$EP$4,$EP$3*$EN33),0)</f>
        <v>0</v>
      </c>
      <c r="EQ33" s="89">
        <f>IFERROR(IF(AND($EP$2&lt;&gt;"Enter Spend&gt;&gt;&gt;",EQ2="EXISTING"),SUMIFS('Existing Customers'!$N:$N,'Existing Customers'!$A:$A,$EP$1,'Existing Customers'!$H:$H,$EO33)*$EP$4,$EP33/$FA33),0)</f>
        <v>0</v>
      </c>
      <c r="ER33" s="95">
        <f>IFERROR(IF(AND($EP$2&lt;&gt;"Enter Spend&gt;&gt;&gt;",EQ2="EXISTING"),SUMIFS('Existing Customers'!$O:$O,'Existing Customers'!$H:$H,$EO33,'Existing Customers'!$A:$A,$EP$1)*$EP$4,$EQ33*$EP$8),0)</f>
        <v>0</v>
      </c>
      <c r="ES33" s="95">
        <f>IFERROR(IF(AND($EP$2&lt;&gt;"Enter Spend&gt;&gt;&gt;",EQ2="EXISTING"),SUMIFS('Existing Customers'!$P:$P,'Existing Customers'!$A:$A,$EP$1,'Existing Customers'!$H:$H,$EO33)*$EP$4,$EP33/$FB33),0)</f>
        <v>0</v>
      </c>
      <c r="ET33" s="96">
        <f>IFERROR(IF(AND($EP$2&lt;&gt;"Enter Spend&gt;&gt;&gt;",EQ2="EXISTING"),SUMIFS('Existing Customers'!$V:$V,'Existing Customers'!$H:$H,$EO33,'Existing Customers'!$A:$A,$EP$1)*$EP$4,0),0)</f>
        <v>0</v>
      </c>
      <c r="EU33" s="96">
        <f>IFERROR(IF(AND($EP$2&lt;&gt;"Enter Spend&gt;&gt;&gt;",EQ2="EXISTING"),SUMIFS('Existing Customers'!$R:$R,'Existing Customers'!$H:$H,$EO33,'Existing Customers'!$A:$A,$EP$1)*$EP$4,0),0)</f>
        <v>0</v>
      </c>
      <c r="EV33" s="1161">
        <f>IFERROR(IF(AND($EP$2&lt;&gt;"Enter Spend&gt;&gt;&gt;",EQ2="EXISTING"),SUMIFS('Existing Customers'!$S:$S,'Existing Customers'!$H:$H,$EO33,'Existing Customers'!$A:$A,$EP$1),FF33*EP33),0)</f>
        <v>0</v>
      </c>
      <c r="EW33" s="1161">
        <f>IFERROR(IF(AND($EP$2&lt;&gt;"Enter Spend&gt;&gt;&gt;",EQ2="EXISTING"),SUMIFS('Existing Customers'!$U:$U,'Existing Customers'!$H:$H,$EO33,'Existing Customers'!$A:$A,$EP$1),FG33*EP33),0)</f>
        <v>0</v>
      </c>
      <c r="EX33" s="1164" t="e">
        <f>_xlfn.CONCAT('Customer Inputs'!$AG$10,"_",EO33)</f>
        <v>#N/A</v>
      </c>
      <c r="EY33" s="1164">
        <f t="array" ref="EY33">IFERROR(INDEX('Margin Guidence Table'!$A$1:$AD$30000,MATCH(1,('Margin Guidence Table'!$A$1:$A$10000=EX33)*('Margin Guidence Table'!$I$1:$I$10000&lt;=ROUND($EP$3,0))*('Margin Guidence Table'!$J$1:$J$10000&gt;=ROUND($EP$3,0)),0),MATCH("DATA_POINTS",'Margin Guidence Table'!$A$1:$AG$1,0)),0)</f>
        <v>0</v>
      </c>
      <c r="EZ33" s="1161" t="str">
        <f t="shared" si="31"/>
        <v>DEFAULT</v>
      </c>
      <c r="FA33" s="1161">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161"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165">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165">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165">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165">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165">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165">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9"/>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96" t="e">
        <f t="shared" si="32"/>
        <v>#DIV/0!</v>
      </c>
      <c r="FL33" s="102" t="s">
        <v>88</v>
      </c>
      <c r="FM33" s="94">
        <f>IFERROR(IF(AND($FM$2&lt;&gt;"Enter Spend&gt;&gt;&gt;",FN21="EXISTING"),SUMIFS('Existing Customers'!$Q:$Q,'Existing Customers'!$A:$A,$FM$1,'Existing Customers'!$H:$H,$FL33)*$FM$4,$FM$3*$FK33),0)</f>
        <v>0</v>
      </c>
      <c r="FN33" s="89">
        <f>IFERROR(IF(AND($FM$2&lt;&gt;"Enter Spend&gt;&gt;&gt;",FN2="EXISTING"),SUMIFS('Existing Customers'!$N:$N,'Existing Customers'!$A:$A,$FM$1,'Existing Customers'!$H:$H,$FL33)*$FM$4,$FM33/$FX33),0)</f>
        <v>0</v>
      </c>
      <c r="FO33" s="95">
        <f>IFERROR(IF(AND($FM$2&lt;&gt;"Enter Spend&gt;&gt;&gt;",FN2="EXISTING"),SUMIFS('Existing Customers'!$O:$O,'Existing Customers'!$H:$H,$FL33,'Existing Customers'!$A:$A,$FM$1)*$FM$4,$FN33*$FM$8),0)</f>
        <v>0</v>
      </c>
      <c r="FP33" s="95">
        <f>IFERROR(IF(AND($FM$2&lt;&gt;"Enter Spend&gt;&gt;&gt;",FN2="EXISTING"),SUMIFS('Existing Customers'!$P:$P,'Existing Customers'!$A:$A,$FM$1,'Existing Customers'!$H:$H,$FL33)*$FM$4,$FM33/$FY33),0)</f>
        <v>0</v>
      </c>
      <c r="FQ33" s="96">
        <f>IFERROR(IF(AND($FM$2&lt;&gt;"Enter Spend&gt;&gt;&gt;",FN2="EXISTING"),SUMIFS('Existing Customers'!$V:$V,'Existing Customers'!$H:$H,$FL33,'Existing Customers'!$A:$A,$FM$1)*$FM$4,0),0)</f>
        <v>0</v>
      </c>
      <c r="FR33" s="96">
        <f>IFERROR(IF(AND($FM$2&lt;&gt;"Enter Spend&gt;&gt;&gt;",FN2="EXISTING"),SUMIFS('Existing Customers'!$R:$R,'Existing Customers'!$H:$H,$FL33,'Existing Customers'!$A:$A,$FM$1)*$FM$4,0),0)</f>
        <v>0</v>
      </c>
      <c r="FS33" s="1161">
        <f>IFERROR(IF(AND($FM$2&lt;&gt;"Enter Spend&gt;&gt;&gt;",FN2="EXISTING"),SUMIFS('Existing Customers'!$S:$S,'Existing Customers'!$H:$H,$FL33,'Existing Customers'!$A:$A,$FM$1),GC33*FM33),0)</f>
        <v>0</v>
      </c>
      <c r="FT33" s="1161">
        <f>IFERROR(IF(AND($FM$2&lt;&gt;"Enter Spend&gt;&gt;&gt;",FN2="EXISTING"),SUMIFS('Existing Customers'!$U:$U,'Existing Customers'!$H:$H,$FL33,'Existing Customers'!$A:$A,$FM$1),GD33*FM33),0)</f>
        <v>0</v>
      </c>
      <c r="FU33" s="1164" t="e">
        <f>_xlfn.CONCAT('Customer Inputs'!$AG$11,"_",FL33)</f>
        <v>#N/A</v>
      </c>
      <c r="FV33" s="1164">
        <f t="array" ref="FV33">IFERROR(INDEX('Margin Guidence Table'!$A$1:$AD$30000,MATCH(1,('Margin Guidence Table'!$A$1:$A$10000=FU33)*('Margin Guidence Table'!$I$1:$I$10000&lt;=ROUND($FM$3,0))*('Margin Guidence Table'!$J$1:$J$10000&gt;=ROUND($FM$3,0)),0),MATCH("DATA_POINTS",'Margin Guidence Table'!$A$1:$AG$1,0)),0)</f>
        <v>0</v>
      </c>
      <c r="FW33" s="1161" t="str">
        <f t="shared" si="33"/>
        <v>DEFAULT</v>
      </c>
      <c r="FX33" s="1161">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161">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165">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165">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165">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165">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165">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165">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9"/>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96" t="e">
        <f t="shared" si="34"/>
        <v>#DIV/0!</v>
      </c>
      <c r="GI33" s="102" t="s">
        <v>88</v>
      </c>
      <c r="GJ33" s="94">
        <f>IFERROR(IF(AND($GJ$2&lt;&gt;"Enter Spend&gt;&gt;&gt;",GK21="EXISTING"),SUMIFS('Existing Customers'!$Q:$Q,'Existing Customers'!$A:$A,$GJ$1,'Existing Customers'!$H:$H,$GI33)*$GJ$4,$GJ$3*$GH33),0)</f>
        <v>0</v>
      </c>
      <c r="GK33" s="89">
        <f>IFERROR(IF(AND($GJ$2&lt;&gt;"Enter Spend&gt;&gt;&gt;",GK2="EXISTING"),SUMIFS('Existing Customers'!$N:$N,'Existing Customers'!$A:$A,$GJ$1,'Existing Customers'!$H:$H,$GI33)*$GJ$4,$GJ33/$GU33),0)</f>
        <v>0</v>
      </c>
      <c r="GL33" s="95">
        <f>IFERROR(IF(AND($GJ$2&lt;&gt;"Enter Spend&gt;&gt;&gt;",GK2="EXISTING"),SUMIFS('Existing Customers'!$O:$O,'Existing Customers'!$H:$H,$GI33,'Existing Customers'!$A:$A,$GJ$1)*$GJ$4,$GK33*$GJ$8),0)</f>
        <v>0</v>
      </c>
      <c r="GM33" s="95">
        <f>IFERROR(IF(AND($GJ$2&lt;&gt;"Enter Spend&gt;&gt;&gt;",GK2="EXISTING"),SUMIFS('Existing Customers'!$P:$P,'Existing Customers'!$A:$A,$GJ$1,'Existing Customers'!$H:$H,$GI33)*$GJ$4,$GJ33/$GV33),0)</f>
        <v>0</v>
      </c>
      <c r="GN33" s="96">
        <f>IFERROR(IF(AND($GJ$2&lt;&gt;"Enter Spend&gt;&gt;&gt;",GK2="EXISTING"),SUMIFS('Existing Customers'!$V:$V,'Existing Customers'!$H:$H,$GI33,'Existing Customers'!$A:$A,$GJ$1)*$GJ$4,0),0)</f>
        <v>0</v>
      </c>
      <c r="GO33" s="96">
        <f>IFERROR(IF(AND($GJ$2&lt;&gt;"Enter Spend&gt;&gt;&gt;",GK2="EXISTING"),SUMIFS('Existing Customers'!$R:$R,'Existing Customers'!$H:$H,$GI33,'Existing Customers'!$A:$A,$GJ$1)*$GJ$4,0),0)</f>
        <v>0</v>
      </c>
      <c r="GP33" s="1161">
        <f>IFERROR(IF(AND($GJ$2&lt;&gt;"Enter Spend&gt;&gt;&gt;",GK2="EXISTING"),SUMIFS('Existing Customers'!$S:$S,'Existing Customers'!$H:$H,$GI33,'Existing Customers'!$A:$A,$GJ$1),GZ33*GJ33),0)</f>
        <v>0</v>
      </c>
      <c r="GQ33" s="1161">
        <f>IFERROR(IF(AND($GJ$2&lt;&gt;"Enter Spend&gt;&gt;&gt;",GK2="EXISTING"),SUMIFS('Existing Customers'!$U:$U,'Existing Customers'!$H:$H,$GI33,'Existing Customers'!$A:$A,$GJ$1),HA33*GJ33),0)</f>
        <v>0</v>
      </c>
      <c r="GR33" s="1164" t="e">
        <f>_xlfn.CONCAT('Customer Inputs'!$AG$12,"_",GI33)</f>
        <v>#N/A</v>
      </c>
      <c r="GS33" s="1164">
        <f t="array" ref="GS33">IFERROR(INDEX('Margin Guidence Table'!$A$1:$AD$30000,MATCH(1,('Margin Guidence Table'!$A$1:$A$10000=GR33)*('Margin Guidence Table'!$I$1:$I$10000&lt;=ROUND($GJ$3,0))*('Margin Guidence Table'!$J$1:$J$10000&gt;=ROUND($GJ$3,0)),0),MATCH("DATA_POINTS",'Margin Guidence Table'!$A$1:$AG$1,0)),0)</f>
        <v>0</v>
      </c>
      <c r="GT33" s="1161" t="str">
        <f t="shared" si="35"/>
        <v>DEFAULT</v>
      </c>
      <c r="GU33" s="1161">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161">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165">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165">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165">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165">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165">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165">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9"/>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96" t="e">
        <f t="shared" si="36"/>
        <v>#DIV/0!</v>
      </c>
      <c r="HF33" s="102" t="s">
        <v>88</v>
      </c>
      <c r="HG33" s="94">
        <f>IFERROR(IF(AND($HG$2&lt;&gt;"Enter Spend&gt;&gt;&gt;",HH21="EXISTING"),SUMIFS('Existing Customers'!$Q:$Q,'Existing Customers'!$A:$A,$HG$1,'Existing Customers'!$H:$H,$HF33)*$HG$4,$HG$3*$HE33),0)</f>
        <v>0</v>
      </c>
      <c r="HH33" s="89">
        <f>IFERROR(IF(AND($HG$2&lt;&gt;"Enter Spend&gt;&gt;&gt;",HH2="EXISTING"),SUMIFS('Existing Customers'!$N:$N,'Existing Customers'!$A:$A,$HG$1,'Existing Customers'!$H:$H,$HF33)*$HG$4,$HG33/$HR33),0)</f>
        <v>0</v>
      </c>
      <c r="HI33" s="95">
        <f>IFERROR(IF(AND($HG$2&lt;&gt;"Enter Spend&gt;&gt;&gt;",HH2="EXISTING"),SUMIFS('Existing Customers'!$O:$O,'Existing Customers'!$H:$H,$HF33,'Existing Customers'!$A:$A,$HG$1)*$HG$4,$HH33*$HG$8),0)</f>
        <v>0</v>
      </c>
      <c r="HJ33" s="95">
        <f>IFERROR(IF(AND($HG$2&lt;&gt;"Enter Spend&gt;&gt;&gt;",HH2="EXISTING"),SUMIFS('Existing Customers'!$P:$P,'Existing Customers'!$A:$A,$HG$1,'Existing Customers'!$H:$H,$HF33)*$HG$4,$HG33/$HS33),0)</f>
        <v>0</v>
      </c>
      <c r="HK33" s="96">
        <f>IFERROR(IF(AND($HG$2&lt;&gt;"Enter Spend&gt;&gt;&gt;",HH2="EXISTING"),SUMIFS('Existing Customers'!$V:$V,'Existing Customers'!$H:$H,$HF33,'Existing Customers'!$A:$A,$HG$1)*$HG$4,0),0)</f>
        <v>0</v>
      </c>
      <c r="HL33" s="96">
        <f>IFERROR(IF(AND($HG$2&lt;&gt;"Enter Spend&gt;&gt;&gt;",HH2="EXISTING"),SUMIFS('Existing Customers'!$R:$R,'Existing Customers'!$H:$H,$HF33,'Existing Customers'!$A:$A,$HG$1)*$HG$4,0),0)</f>
        <v>0</v>
      </c>
      <c r="HM33" s="1161">
        <f>IFERROR(IF(AND($HG$2&lt;&gt;"Enter Spend&gt;&gt;&gt;",HH2="EXISTING"),SUMIFS('Existing Customers'!$S:$S,'Existing Customers'!$H:$H,$HF33,'Existing Customers'!$A:$A,$HG$1),HW33*HG33),0)</f>
        <v>0</v>
      </c>
      <c r="HN33" s="1161">
        <f>IFERROR(IF(AND($HG$2&lt;&gt;"Enter Spend&gt;&gt;&gt;",HH2="EXISTING"),SUMIFS('Existing Customers'!$U:$U,'Existing Customers'!$H:$H,$HF33,'Existing Customers'!$A:$A,$HG$1),HX33*HG33),0)</f>
        <v>0</v>
      </c>
      <c r="HO33" s="1164" t="e">
        <f>_xlfn.CONCAT('Customer Inputs'!$AG$13,"_",HF33)</f>
        <v>#N/A</v>
      </c>
      <c r="HP33" s="1164">
        <f t="array" ref="HP33">IFERROR(INDEX('Margin Guidence Table'!$A$1:$AD$30000,MATCH(1,('Margin Guidence Table'!$A$1:$A$10000=HO33)*('Margin Guidence Table'!$I$1:$I$10000&lt;=ROUND($HG$3,0))*('Margin Guidence Table'!$J$1:$J$10000&gt;=ROUND($HG$3,0)),0),MATCH("DATA_POINTS",'Margin Guidence Table'!$A$1:$AG$1,0)),0)</f>
        <v>0</v>
      </c>
      <c r="HQ33" s="1161" t="str">
        <f t="shared" si="37"/>
        <v>DEFAULT</v>
      </c>
      <c r="HR33" s="1161">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161">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165">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165">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165">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165">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165">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165">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9"/>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96" t="e">
        <f t="shared" si="38"/>
        <v>#DIV/0!</v>
      </c>
      <c r="IC33" s="102" t="s">
        <v>88</v>
      </c>
      <c r="ID33" s="94">
        <f>IFERROR(IF(AND($ID$2&lt;&gt;"Enter Spend&gt;&gt;&gt;",IE21="EXISTING"),SUMIFS('Existing Customers'!$Q:$Q,'Existing Customers'!$A:$A,$ID$1,'Existing Customers'!$H:$H,$IC33)*$ID$4,$ID$3*$IB33),0)</f>
        <v>0</v>
      </c>
      <c r="IE33" s="89">
        <f>IFERROR(IF(AND($ID$2&lt;&gt;"Enter Spend&gt;&gt;&gt;",IE2="EXISTING"),SUMIFS('Existing Customers'!$N:$N,'Existing Customers'!$A:$A,$ID$1,'Existing Customers'!$H:$H,$IC33)*$ID$4,$ID33/$IO33),0)</f>
        <v>0</v>
      </c>
      <c r="IF33" s="95">
        <f>IFERROR(IF(AND($ID$2&lt;&gt;"Enter Spend&gt;&gt;&gt;",IE2="EXISTING"),SUMIFS('Existing Customers'!$O:$O,'Existing Customers'!$H:$H,$IC33,'Existing Customers'!$A:$A,$ID$1)*$ID$4,$IE33*$ID$8),0)</f>
        <v>0</v>
      </c>
      <c r="IG33" s="95">
        <f>IFERROR(IF(AND($ID$2&lt;&gt;"Enter Spend&gt;&gt;&gt;",IE2="EXISTING"),SUMIFS('Existing Customers'!$P:$P,'Existing Customers'!$A:$A,$ID$1,'Existing Customers'!$H:$H,$IC33)*$ID$4,$ID33/$IP33),0)</f>
        <v>0</v>
      </c>
      <c r="IH33" s="402">
        <f>IFERROR(IF(AND($ID$2&lt;&gt;"Enter Spend&gt;&gt;&gt;",IE2="EXISTING"),SUMIFS('Existing Customers'!$V:$V,'Existing Customers'!$H:$H,$IC33,'Existing Customers'!$A:$A,$ID$1)*$ID$4,0),0)</f>
        <v>0</v>
      </c>
      <c r="II33" s="96">
        <f>IFERROR(IF(AND($ID$2&lt;&gt;"Enter Spend&gt;&gt;&gt;",IE2="EXISTING"),SUMIFS('Existing Customers'!$R:$R,'Existing Customers'!$H:$H,$IC33,'Existing Customers'!$A:$A,$ID$1)*$ID$4,0),0)</f>
        <v>0</v>
      </c>
      <c r="IJ33" s="1161">
        <f>IFERROR(IF(AND($ID$2&lt;&gt;"Enter Spend&gt;&gt;&gt;",IE2="EXISTING"),SUMIFS('Existing Customers'!$S:$S,'Existing Customers'!$H:$H,$IC33,'Existing Customers'!$A:$A,$ID$1),IT33*ID33),0)</f>
        <v>0</v>
      </c>
      <c r="IK33" s="1161">
        <f>IFERROR(IF(AND($ID$2&lt;&gt;"Enter Spend&gt;&gt;&gt;",IE2="EXISTING"),SUMIFS('Existing Customers'!$U:$U,'Existing Customers'!$H:$H,$IC33,'Existing Customers'!$A:$A,$ID$1),IU33*ID33),0)</f>
        <v>0</v>
      </c>
      <c r="IL33" s="1164" t="e">
        <f>_xlfn.CONCAT('Customer Inputs'!$AG$14,"_",IC33)</f>
        <v>#N/A</v>
      </c>
      <c r="IM33" s="1164">
        <f t="array" ref="IM33">IFERROR(INDEX('Margin Guidence Table'!$A$1:$AD$30000,MATCH(1,('Margin Guidence Table'!$A$1:$A$10000=IL33)*('Margin Guidence Table'!$I$1:$I$10000&lt;=ROUND($ID$3,0))*('Margin Guidence Table'!$J$1:$J$10000&gt;=ROUND($ID$3,0)),0),MATCH("DATA_POINTS",'Margin Guidence Table'!$A$1:$AG$1,0)),0)</f>
        <v>0</v>
      </c>
      <c r="IN33" s="1161" t="str">
        <f t="shared" si="39"/>
        <v>DEFAULT</v>
      </c>
      <c r="IO33" s="1161">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161">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165">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165">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165">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165">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165">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165">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9"/>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96" t="e">
        <f t="shared" si="40"/>
        <v>#DIV/0!</v>
      </c>
      <c r="IZ33" s="102" t="s">
        <v>88</v>
      </c>
      <c r="JA33" s="94">
        <f>IFERROR(IF(AND($JA$2&lt;&gt;"Enter Spend&gt;&gt;&gt;",JB21="EXISTING"),SUMIFS('Existing Customers'!$Q:$Q,'Existing Customers'!$A:$A,$JA$1,'Existing Customers'!$H:$H,$IZ33)*$JA$4,$JA$3*$IY33),0)</f>
        <v>0</v>
      </c>
      <c r="JB33" s="89">
        <f>IFERROR(IF(AND($JA$2&lt;&gt;"Enter Spend&gt;&gt;&gt;",JB2="EXISTING"),SUMIFS('Existing Customers'!$N:$N,'Existing Customers'!$A:$A,$JA$1,'Existing Customers'!$H:$H,$IZ33)*$JA$4,$JA33/$JL33),0)</f>
        <v>0</v>
      </c>
      <c r="JC33" s="95">
        <f>IFERROR(IF(AND($JA$2&lt;&gt;"Enter Spend&gt;&gt;&gt;",JB2="EXISTING"),SUMIFS('Existing Customers'!$O:$O,'Existing Customers'!$H:$H,$IZ33,'Existing Customers'!$A:$A,$JA$1)*$JA$4,$JB33*$JA$8),0)</f>
        <v>0</v>
      </c>
      <c r="JD33" s="95">
        <f>IFERROR(IF(AND($JA$2&lt;&gt;"Enter Spend&gt;&gt;&gt;",JB2="EXISTING"),SUMIFS('Existing Customers'!$P:$P,'Existing Customers'!$A:$A,$JA$1,'Existing Customers'!$H:$H,$IZ33)*$JA$4,$JA33/$JM33),0)</f>
        <v>0</v>
      </c>
      <c r="JE33" s="402">
        <f>IFERROR(IF(AND($JA$2&lt;&gt;"Enter Spend&gt;&gt;&gt;",JB2="EXISTING"),SUMIFS('Existing Customers'!$V:$V,'Existing Customers'!$H:$H,$IZ33,'Existing Customers'!$A:$A,$JA$1)*$JA$4,0),0)</f>
        <v>0</v>
      </c>
      <c r="JF33" s="96">
        <f>IFERROR(IF(AND($JA$2&lt;&gt;"Enter Spend&gt;&gt;&gt;",JB2="EXISTING"),SUMIFS('Existing Customers'!$R:$R,'Existing Customers'!$H:$H,$IZ33,'Existing Customers'!$A:$A,$JA$1)*$JA$4,0),0)</f>
        <v>0</v>
      </c>
      <c r="JG33" s="1161">
        <f>IFERROR(IF(AND($JA$2&lt;&gt;"Enter Spend&gt;&gt;&gt;",JB2="EXISTING"),SUMIFS('Existing Customers'!$S:$S,'Existing Customers'!$H:$H,$IZ33,'Existing Customers'!$A:$A,$JA$1),JQ33*JA33),0)</f>
        <v>0</v>
      </c>
      <c r="JH33" s="1161">
        <f>IFERROR(IF(AND($JA$2&lt;&gt;"Enter Spend&gt;&gt;&gt;",JB2="EXISTING"),SUMIFS('Existing Customers'!$U:$U,'Existing Customers'!$H:$H,$IZ33,'Existing Customers'!$A:$A,$JA$1),JR33*JA33),0)</f>
        <v>0</v>
      </c>
      <c r="JI33" s="1164" t="e">
        <f>_xlfn.CONCAT('Customer Inputs'!$AG$15,"_",IZ33)</f>
        <v>#N/A</v>
      </c>
      <c r="JJ33" s="1164">
        <f t="array" ref="JJ33">IFERROR(INDEX('Margin Guidence Table'!$A$1:$AD$30000,MATCH(1,('Margin Guidence Table'!$A$1:$A$10000=JI33)*('Margin Guidence Table'!$I$1:$I$10000&lt;=ROUND($JA$3,0))*('Margin Guidence Table'!$J$1:$J$10000&gt;=ROUND($JA$3,0)),0),MATCH("DATA_POINTS",'Margin Guidence Table'!$A$1:$AG$1,0)),0)</f>
        <v>0</v>
      </c>
      <c r="JK33" s="1161" t="str">
        <f t="shared" si="41"/>
        <v>DEFAULT</v>
      </c>
      <c r="JL33" s="1161">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161">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165">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165">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165">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165">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165">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165">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102" t="s">
        <v>88</v>
      </c>
      <c r="JV33" s="97"/>
      <c r="JW33" s="89"/>
      <c r="JX33" s="89"/>
      <c r="JY33" s="89"/>
      <c r="JZ33" s="114"/>
      <c r="KA33" s="98"/>
      <c r="KB33" s="129"/>
      <c r="KD33" s="102" t="s">
        <v>88</v>
      </c>
      <c r="KE33" s="97"/>
      <c r="KF33" s="89"/>
      <c r="KG33" s="89"/>
      <c r="KH33" s="89"/>
      <c r="KI33" s="114"/>
      <c r="KJ33" s="98"/>
    </row>
    <row r="34" spans="2:296" ht="15.75" thickBot="1" x14ac:dyDescent="0.3">
      <c r="B34" s="103" t="s">
        <v>87</v>
      </c>
      <c r="C34" s="480">
        <f t="shared" si="7"/>
        <v>0</v>
      </c>
      <c r="D34" s="496">
        <f t="shared" si="8"/>
        <v>0</v>
      </c>
      <c r="E34" s="496">
        <f t="shared" si="9"/>
        <v>0</v>
      </c>
      <c r="F34" s="496">
        <f t="shared" si="10"/>
        <v>0</v>
      </c>
      <c r="G34" s="497">
        <f t="shared" si="11"/>
        <v>0</v>
      </c>
      <c r="H34" s="496">
        <f t="shared" si="12"/>
        <v>0</v>
      </c>
      <c r="I34" s="1157" t="e">
        <f>ROUND(SUM($BB34*BO34+$BY34*CL34+$CV34*DI34+$DS34*EF34+$EP34*FC34+$FM34*FZ34+$GJ34*GW34+$HG34*HT34+$ID34*IQ34+$JA34*JN34)/$C34,2)</f>
        <v>#DIV/0!</v>
      </c>
      <c r="J34" s="1157" t="e">
        <f>ROUND(SUM($BB34*BP34+$BY34*CM34+$CV34*DJ34+$DS34*EG34+$EP34*FD34+$FM34*GA34+$GJ34*GX34+$HG34*HU34+$ID34*IR34+$JA34*JO34)/$C34,2)</f>
        <v>#DIV/0!</v>
      </c>
      <c r="K34" s="1157" t="e">
        <f>ROUND(SUM($BB34*BQ34+$BY34*CN34+$CV34*DK34+$DS34*EH34+$EP34*FE34+$FM34*GB34+$GJ34*GY34+$HG34*HV34+$ID34*IS34+$JA34*JP34)/$C34,2)</f>
        <v>#DIV/0!</v>
      </c>
      <c r="L34" s="496" t="e">
        <f t="shared" si="0"/>
        <v>#DIV/0!</v>
      </c>
      <c r="M34" s="496" t="e">
        <f t="shared" si="13"/>
        <v>#DIV/0!</v>
      </c>
      <c r="N34" s="1158" t="e">
        <f t="shared" si="1"/>
        <v>#DIV/0!</v>
      </c>
      <c r="P34" t="str">
        <f>'PIM Model'!E30</f>
        <v>INCLUDE</v>
      </c>
      <c r="Q34">
        <f t="shared" si="14"/>
        <v>0</v>
      </c>
      <c r="R34">
        <f t="shared" si="15"/>
        <v>0</v>
      </c>
      <c r="S34" s="103" t="s">
        <v>87</v>
      </c>
      <c r="T34" s="99">
        <f t="shared" si="16"/>
        <v>0</v>
      </c>
      <c r="U34" s="100">
        <f t="shared" si="2"/>
        <v>0</v>
      </c>
      <c r="V34" s="100">
        <f t="shared" si="3"/>
        <v>0</v>
      </c>
      <c r="W34" s="100">
        <f t="shared" si="4"/>
        <v>0</v>
      </c>
      <c r="X34" s="115">
        <f t="shared" si="5"/>
        <v>0</v>
      </c>
      <c r="Y34" s="118">
        <f t="shared" si="17"/>
        <v>0</v>
      </c>
      <c r="Z34" s="400"/>
      <c r="AA34" s="103" t="s">
        <v>87</v>
      </c>
      <c r="AB34" s="488">
        <f>SUMIFS($BB34:$JF34,$BB$12:$JF$12,AB$12)</f>
        <v>0</v>
      </c>
      <c r="AC34" s="489">
        <f>SUMIFS($BB34:$JF34,$BB$12:$JF$12,AC$12)</f>
        <v>0</v>
      </c>
      <c r="AD34" s="489">
        <f>SUMIFS($BB34:$JF34,$BB$12:$JF$12,AD$12)</f>
        <v>0</v>
      </c>
      <c r="AE34" s="490">
        <f t="shared" si="18"/>
        <v>0</v>
      </c>
      <c r="AF34" s="491">
        <f t="shared" si="19"/>
        <v>0</v>
      </c>
      <c r="AG34" s="400"/>
      <c r="AH34" s="103" t="s">
        <v>87</v>
      </c>
      <c r="AI34" s="488">
        <f t="shared" si="6"/>
        <v>0</v>
      </c>
      <c r="AJ34" s="481">
        <f t="shared" si="20"/>
        <v>0</v>
      </c>
      <c r="AK34" s="491"/>
      <c r="AL34" s="400"/>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400">
        <f>VLOOKUP($AH34&amp;$AM34,'IMargin Quartiles'!$A:$F,6,FALSE)</f>
        <v>0.11</v>
      </c>
      <c r="AO34" s="400"/>
      <c r="AP34"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Q34" s="400" t="e">
        <f t="shared" si="21"/>
        <v>#DIV/0!</v>
      </c>
      <c r="AR34">
        <f>'PIM Model'!C30</f>
        <v>0</v>
      </c>
      <c r="AS34" s="400"/>
      <c r="AT34" s="400"/>
      <c r="AU34" s="400" t="e">
        <f t="shared" si="42"/>
        <v>#DIV/0!</v>
      </c>
      <c r="AV34" s="400"/>
      <c r="AW34" s="400"/>
      <c r="AX34" s="108">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96" t="e">
        <f t="shared" si="22"/>
        <v>#DIV/0!</v>
      </c>
      <c r="BA34" s="103" t="s">
        <v>87</v>
      </c>
      <c r="BB34" s="94">
        <f>IFERROR(IF(AND($BB$2&lt;&gt;"Enter Spend&gt;&gt;&gt;",BC22="EXISTING"),SUMIFS('Existing Customers'!$Q:$Q,'Existing Customers'!$A:$A,$BB$1,'Existing Customers'!$H:$H,$BA34)*$BB$4,$BB$3*$AZ34),0)</f>
        <v>0</v>
      </c>
      <c r="BC34" s="95">
        <f>IFERROR(IF(AND($BB$2&lt;&gt;"Enter Spend&gt;&gt;&gt;",BC2="EXISTING"),SUMIFS('Existing Customers'!$N:$N,'Existing Customers'!$A:$A,$BB$1,'Existing Customers'!$H:$H,$BA34)*$BB$4,$BB34/$BM34),0)</f>
        <v>0</v>
      </c>
      <c r="BD34" s="95">
        <f>IFERROR(IF(AND($BB$2&lt;&gt;"Enter Spend&gt;&gt;&gt;",BC2="EXISTING"),SUMIFS('Existing Customers'!$O:$O,'Existing Customers'!$H:$H,$BA34,'Existing Customers'!$A:$A,$BB$1)*$BB$4,$BC34*$BB$8),0)</f>
        <v>0</v>
      </c>
      <c r="BE34" s="95">
        <f>IFERROR(IF(AND($BB$2&lt;&gt;"Enter Spend&gt;&gt;&gt;",BC2="EXISTING"),SUMIFS('Existing Customers'!$P:$P,'Existing Customers'!$A:$A,$BB$1,'Existing Customers'!$H:$H,$BA34)*$BB$4,$BB34/$BN34),0)</f>
        <v>0</v>
      </c>
      <c r="BF34" s="402">
        <f>IFERROR(IF(AND($BB$2&lt;&gt;"Enter Spend&gt;&gt;&gt;",BC2="EXISTING"),SUMIFS('Existing Customers'!$V:$V,'Existing Customers'!$H:$H,$BA34,'Existing Customers'!$A:$A,$BB$1)*$BB$4,0),0)</f>
        <v>0</v>
      </c>
      <c r="BG34" s="96">
        <f>IFERROR(IF(AND($BB$2&lt;&gt;"Enter Spend&gt;&gt;&gt;",BC2="EXISTING"),SUMIFS('Existing Customers'!$R:$R,'Existing Customers'!$H:$H,$BA34,'Existing Customers'!$A:$A,$BB$1)*$BB$4,0),0)</f>
        <v>0</v>
      </c>
      <c r="BH34" s="96">
        <f>IFERROR(IF(AND($BB$2&lt;&gt;"Enter Spend&gt;&gt;&gt;",BC2="EXISTING"),SUMIFS('Existing Customers'!$S:$S,'Existing Customers'!$H:$H,$BA34,'Existing Customers'!$A:$A,$BB$1),BR34*BB34),0)</f>
        <v>0</v>
      </c>
      <c r="BI34" s="96">
        <f>IFERROR(IF(AND($BB$2&lt;&gt;"Enter Spend&gt;&gt;&gt;",BC2="EXISTING"),SUMIFS('Existing Customers'!$U:$U,'Existing Customers'!$H:$H,$BA34,'Existing Customers'!$A:$A,$BB$1),BS34*BB34),0)</f>
        <v>0</v>
      </c>
      <c r="BJ34" s="1163" t="e">
        <f>_xlfn.CONCAT('Customer Inputs'!$AG$6,"_",BA34)</f>
        <v>#N/A</v>
      </c>
      <c r="BK34" s="1164">
        <f t="array" ref="BK34">IFERROR(INDEX('Margin Guidence Table'!$A$1:$AD$30000,MATCH(1,('Margin Guidence Table'!$A$1:$A$10000=$BJ34)*('Margin Guidence Table'!$I$1:$I$10000&lt;=ROUND($BB$3,0))*('Margin Guidence Table'!$J$1:$J$10000&gt;=ROUND($BB$3,0)),0),MATCH("DATA_POINTS",'Margin Guidence Table'!$A$1:$AG$1,0)),0)</f>
        <v>0</v>
      </c>
      <c r="BL34" s="1161" t="str">
        <f t="shared" si="23"/>
        <v>DEFAULT</v>
      </c>
      <c r="BM34" s="1161">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161">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165">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165">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165">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165">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165">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165">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9"/>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96" t="e">
        <f t="shared" si="24"/>
        <v>#DIV/0!</v>
      </c>
      <c r="BX34" s="103" t="s">
        <v>87</v>
      </c>
      <c r="BY34" s="94">
        <f>IFERROR(IF(AND($BY$2&lt;&gt;"Enter Spend&gt;&gt;&gt;",BZ22="EXISTING"),SUMIFS('Existing Customers'!$Q:$Q,'Existing Customers'!$A:$A,$BY$1,'Existing Customers'!$H:$H,$BX34)*$BY$4,$BY$3*$BW34),0)</f>
        <v>0</v>
      </c>
      <c r="BZ34" s="89">
        <f>IFERROR(IF(AND($BY$2&lt;&gt;"Enter Spend&gt;&gt;&gt;",BZ2="EXISTING"),SUMIFS('Existing Customers'!$N:$N,'Existing Customers'!$A:$A,$BY$1,'Existing Customers'!$H:$H,$BX34)*$BY$4,$BY34/$CJ34),0)</f>
        <v>0</v>
      </c>
      <c r="CA34" s="95">
        <f>IFERROR(IF(AND($BY$2&lt;&gt;"Enter Spend&gt;&gt;&gt;",BZ2="EXISTING"),SUMIFS('Existing Customers'!$O:$O,'Existing Customers'!$H:$H,$BX34,'Existing Customers'!$A:$A,$BY$1)*$BY$4,$BZ34*$BY$8),0)</f>
        <v>0</v>
      </c>
      <c r="CB34" s="95">
        <f>IFERROR(IF(AND($BY$2&lt;&gt;"Enter Spend&gt;&gt;&gt;",BZ2="EXISTING"),SUMIFS('Existing Customers'!$P:$P,'Existing Customers'!$A:$A,$BY$1,'Existing Customers'!$H:$H,$BX34)*$BY$4,$BY34/$CK34),0)</f>
        <v>0</v>
      </c>
      <c r="CC34" s="96">
        <f>IFERROR(IF(AND($BY$2&lt;&gt;"Enter Spend&gt;&gt;&gt;",BZ2="EXISTING"),SUMIFS('Existing Customers'!$V:$V,'Existing Customers'!$H:$H,$BX34,'Existing Customers'!$A:$A,$BY$1)*$BY$4,0),0)</f>
        <v>0</v>
      </c>
      <c r="CD34" s="96">
        <f>IFERROR(IF(AND($BY$2&lt;&gt;"Enter Spend&gt;&gt;&gt;",BZ2="EXISTING"),SUMIFS('Existing Customers'!$R:$R,'Existing Customers'!$H:$H,$BX34,'Existing Customers'!$A:$A,$BY$1)*$BY$4,0),0)</f>
        <v>0</v>
      </c>
      <c r="CE34" s="1161">
        <f>IFERROR(IF(AND($BY$2&lt;&gt;"Enter Spend&gt;&gt;&gt;",BZ2="EXISTING"),SUMIFS('Existing Customers'!$S:$S,'Existing Customers'!$H:$H,$BX34,'Existing Customers'!$A:$A,$BY$1),CO34*BY34),0)</f>
        <v>0</v>
      </c>
      <c r="CF34" s="1161">
        <f>IFERROR(IF(AND($BY$2&lt;&gt;"Enter Spend&gt;&gt;&gt;",BZ2="EXISTING"),SUMIFS('Existing Customers'!$U:$U,'Existing Customers'!$H:$H,$BX34,'Existing Customers'!$A:$A,$BY$1),CP34*BY34),0)</f>
        <v>0</v>
      </c>
      <c r="CG34" s="1164" t="e">
        <f>_xlfn.CONCAT('Customer Inputs'!$AG$7,"_",BX34)</f>
        <v>#N/A</v>
      </c>
      <c r="CH34" s="1164">
        <f t="array" ref="CH34">IFERROR(INDEX('Margin Guidence Table'!$A$1:$AD$30000,MATCH(1,('Margin Guidence Table'!$A$1:$A$10000=$CG34)*('Margin Guidence Table'!$I$1:$I$10000&lt;=ROUND($BY$3,0))*('Margin Guidence Table'!$J$1:$J$10000&gt;=ROUND($BY$3,0)),0),MATCH("DATA_POINTS",'Margin Guidence Table'!$A$1:$AG$1,0)),0)</f>
        <v>0</v>
      </c>
      <c r="CI34" s="1161" t="str">
        <f t="shared" si="25"/>
        <v>DEFAULT</v>
      </c>
      <c r="CJ34" s="1161">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161">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165">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165">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165">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165">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165">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165">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9"/>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96" t="e">
        <f t="shared" si="26"/>
        <v>#DIV/0!</v>
      </c>
      <c r="CU34" s="103" t="s">
        <v>87</v>
      </c>
      <c r="CV34" s="94">
        <f>IFERROR(IF(AND($CV$2&lt;&gt;"Enter Spend&gt;&gt;&gt;",CW22="EXISTING"),SUMIFS('Existing Customers'!$Q:$Q,'Existing Customers'!$A:$A,$CV$1,'Existing Customers'!$H:$H,$CU34)*$CV$4,$CV$3*$CT34),0)</f>
        <v>0</v>
      </c>
      <c r="CW34" s="89">
        <f>IFERROR(IF(AND($CV$2&lt;&gt;"Enter Spend&gt;&gt;&gt;",CW2="EXISTING"),SUMIFS('Existing Customers'!$N:$N,'Existing Customers'!$A:$A,$CV$1,'Existing Customers'!$H:$H,$CU34)*$CV$4,$CV34/$DG34),0)</f>
        <v>0</v>
      </c>
      <c r="CX34" s="95">
        <f>IFERROR(IF(AND($CV$2&lt;&gt;"Enter Spend&gt;&gt;&gt;",BC28="EXISTING"),SUMIFS('Existing Customers'!$O:$O,'Existing Customers'!$H:$H,$CU34,'Existing Customers'!$A:$A,$CV$1)*$CV$4,$CW34*$CV$8),0)</f>
        <v>0</v>
      </c>
      <c r="CY34" s="95">
        <f>IFERROR(IF(AND($CV$2&lt;&gt;"Enter Spend&gt;&gt;&gt;",CW2="EXISTING"),SUMIFS('Existing Customers'!$P:$P,'Existing Customers'!$A:$A,$CV$1,'Existing Customers'!$H:$H,$CU34)*$CV$4,$CV34/$DH34),0)</f>
        <v>0</v>
      </c>
      <c r="CZ34" s="96">
        <f>IFERROR(IF(AND($CV$2&lt;&gt;"Enter Spend&gt;&gt;&gt;",CW2="EXISTING"),SUMIFS('Existing Customers'!$V:$V,'Existing Customers'!$H:$H,$CU34,'Existing Customers'!$A:$A,$CV$1)*$CV$4,0),0)</f>
        <v>0</v>
      </c>
      <c r="DA34" s="96">
        <f>IFERROR(IF(AND($CV$2&lt;&gt;"Enter Spend&gt;&gt;&gt;",CW2="EXISTING"),SUMIFS('Existing Customers'!$R:$R,'Existing Customers'!$H:$H,$BA34,'Existing Customers'!$A:$A,$CV$1)*$CV$4,0),0)</f>
        <v>0</v>
      </c>
      <c r="DB34" s="1161">
        <f>IFERROR(IF(AND($CV$2&lt;&gt;"Enter Spend&gt;&gt;&gt;",CW2="EXISTING"),SUMIFS('Existing Customers'!$S:$S,'Existing Customers'!$H:$H,$CU34,'Existing Customers'!$A:$A,$CV$1),DL34*CV34),0)</f>
        <v>0</v>
      </c>
      <c r="DC34" s="1161">
        <f>IFERROR(IF(AND($CV$2&lt;&gt;"Enter Spend&gt;&gt;&gt;",CW2="EXISTING"),SUMIFS('Existing Customers'!$U:$U,'Existing Customers'!$H:$H,$CU34,'Existing Customers'!$A:$A,$CV$1),DM34*CV34),0)</f>
        <v>0</v>
      </c>
      <c r="DD34" s="1164" t="e">
        <f>_xlfn.CONCAT('Customer Inputs'!$AG$8,"_",CU34)</f>
        <v>#N/A</v>
      </c>
      <c r="DE34" s="1164">
        <f t="array" ref="DE34">IFERROR(INDEX('Margin Guidence Table'!$A$1:$AD$30000,MATCH(1,('Margin Guidence Table'!$A$1:$A$10000=DD34)*('Margin Guidence Table'!$I$1:$I$10000&lt;=ROUND($CV$3,0))*('Margin Guidence Table'!$J$1:$J$10000&gt;=ROUND($CV$3,0)),0),MATCH("DATA_POINTS",'Margin Guidence Table'!$A$1:$AG$1,0)),0)</f>
        <v>0</v>
      </c>
      <c r="DF34" s="1161" t="str">
        <f t="shared" si="27"/>
        <v>DEFAULT</v>
      </c>
      <c r="DG34" s="1161">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161">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165">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165">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165">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165">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165">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165">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9"/>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96" t="e">
        <f t="shared" si="28"/>
        <v>#DIV/0!</v>
      </c>
      <c r="DR34" s="103" t="s">
        <v>87</v>
      </c>
      <c r="DS34" s="94">
        <f>IFERROR(IF(AND($DS$2&lt;&gt;"Enter Spend&gt;&gt;&gt;",DT22="EXISTING"),SUMIFS('Existing Customers'!$Q:$Q,'Existing Customers'!$A:$A,$DS$1,'Existing Customers'!$H:$H,$DR34)*$DS$4,$DS$3*$DQ34),0)</f>
        <v>0</v>
      </c>
      <c r="DT34" s="89">
        <f>IFERROR(IF(AND($DS$2&lt;&gt;"Enter Spend&gt;&gt;&gt;",DT2="EXISTING"),SUMIFS('Existing Customers'!$N:$N,'Existing Customers'!$A:$A,$DS$1,'Existing Customers'!$H:$H,$DR34)*$DS$4,$DS34/$ED34),0)</f>
        <v>0</v>
      </c>
      <c r="DU34" s="95">
        <f>IFERROR(IF(AND($DS$2&lt;&gt;"Enter Spend&gt;&gt;&gt;",DT2="EXISTING"),SUMIFS('Existing Customers'!$O:$O,'Existing Customers'!$H:$H,$DR34,'Existing Customers'!$A:$A,$DS$1)*$DS$4,$DT34*$DS$8),0)</f>
        <v>0</v>
      </c>
      <c r="DV34" s="95">
        <f>IFERROR(IF(AND($DS$2&lt;&gt;"Enter Spend&gt;&gt;&gt;",DT2="EXISTING"),SUMIFS('Existing Customers'!$P:$P,'Existing Customers'!$A:$A,$DS$1,'Existing Customers'!$H:$H,$DR34)*$DS$4,$DS34/$EE34),0)</f>
        <v>0</v>
      </c>
      <c r="DW34" s="96">
        <f>IFERROR(IF(AND($DS$2&lt;&gt;"Enter Spend&gt;&gt;&gt;",EQ2="EXISTING"),SUMIFS('Existing Customers'!$V:$V,'Existing Customers'!$H:$H,$DR34,'Existing Customers'!$A:$A,$DS$1)*$DS$4,0),0)</f>
        <v>0</v>
      </c>
      <c r="DX34" s="96">
        <f>IFERROR(IF(AND($DS$2&lt;&gt;"Enter Spend&gt;&gt;&gt;",DT2="EXISTING"),SUMIFS('Existing Customers'!$R:$R,'Existing Customers'!$H:$H,$DR34,'Existing Customers'!$A:$A,$DS$1)*$DS$4,0),0)</f>
        <v>0</v>
      </c>
      <c r="DY34" s="1161">
        <f>IFERROR(IF(AND($DS$2&lt;&gt;"Enter Spend&gt;&gt;&gt;",DT2="EXISTING"),SUMIFS('Existing Customers'!$S:$S,'Existing Customers'!$H:$H,$DT34,'Existing Customers'!$A:$A,$DS$1),EI34*DS34),0)</f>
        <v>0</v>
      </c>
      <c r="DZ34" s="1161">
        <f>IFERROR(IF(AND($DS$2&lt;&gt;"Enter Spend&gt;&gt;&gt;",DT2="EXISTING"),SUMIFS('Existing Customers'!$U:$U,'Existing Customers'!$H:$H,$DR34,'Existing Customers'!$A:$A,$DS$1),EJ34*DS34),0)</f>
        <v>0</v>
      </c>
      <c r="EA34" s="1164" t="e">
        <f>_xlfn.CONCAT('Customer Inputs'!$AG$9,"_",DR34)</f>
        <v>#N/A</v>
      </c>
      <c r="EB34" s="1164">
        <f t="array" ref="EB34">IFERROR(INDEX('Margin Guidence Table'!$A$1:$AD$30000,MATCH(1,('Margin Guidence Table'!$A$1:$A$10000=EA34)*('Margin Guidence Table'!$I$1:$I$10000&lt;=ROUND($DS$3,0))*('Margin Guidence Table'!$J$1:$J$10000&gt;=ROUND($DS$3,0)),0),MATCH("DATA_POINTS",'Margin Guidence Table'!$A$1:$AG$1,0)),0)</f>
        <v>0</v>
      </c>
      <c r="EC34" s="1161" t="str">
        <f t="shared" si="29"/>
        <v>DEFAULT</v>
      </c>
      <c r="ED34" s="1161">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161">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165">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165">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165">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165">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165">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165">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9"/>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96" t="e">
        <f t="shared" si="30"/>
        <v>#DIV/0!</v>
      </c>
      <c r="EO34" s="103" t="s">
        <v>87</v>
      </c>
      <c r="EP34" s="94">
        <f>IFERROR(IF(AND($EP$2&lt;&gt;"Enter Spend&gt;&gt;&gt;",EQ22="EXISTING"),SUMIFS('Existing Customers'!$Q:$Q,'Existing Customers'!$A:$A,$EP$1,'Existing Customers'!$H:$H,$EO34)*$EP$4,$EP$3*$EN34),0)</f>
        <v>0</v>
      </c>
      <c r="EQ34" s="89">
        <f>IFERROR(IF(AND($EP$2&lt;&gt;"Enter Spend&gt;&gt;&gt;",EQ2="EXISTING"),SUMIFS('Existing Customers'!$N:$N,'Existing Customers'!$A:$A,$EP$1,'Existing Customers'!$H:$H,$EO34)*$EP$4,$EP34/$FA34),0)</f>
        <v>0</v>
      </c>
      <c r="ER34" s="95">
        <f>IFERROR(IF(AND($EP$2&lt;&gt;"Enter Spend&gt;&gt;&gt;",EQ2="EXISTING"),SUMIFS('Existing Customers'!$O:$O,'Existing Customers'!$H:$H,$EO34,'Existing Customers'!$A:$A,$EP$1)*$EP$4,$EQ34*$EP$8),0)</f>
        <v>0</v>
      </c>
      <c r="ES34" s="95">
        <f>IFERROR(IF(AND($EP$2&lt;&gt;"Enter Spend&gt;&gt;&gt;",EQ2="EXISTING"),SUMIFS('Existing Customers'!$P:$P,'Existing Customers'!$A:$A,$EP$1,'Existing Customers'!$H:$H,$EO34)*$EP$4,$EP34/$FB34),0)</f>
        <v>0</v>
      </c>
      <c r="ET34" s="96">
        <f>IFERROR(IF(AND($EP$2&lt;&gt;"Enter Spend&gt;&gt;&gt;",EQ2="EXISTING"),SUMIFS('Existing Customers'!$V:$V,'Existing Customers'!$H:$H,$EO34,'Existing Customers'!$A:$A,$EP$1)*$EP$4,0),0)</f>
        <v>0</v>
      </c>
      <c r="EU34" s="96">
        <f>IFERROR(IF(AND($EP$2&lt;&gt;"Enter Spend&gt;&gt;&gt;",EQ2="EXISTING"),SUMIFS('Existing Customers'!$R:$R,'Existing Customers'!$H:$H,$EO34,'Existing Customers'!$A:$A,$EP$1)*$EP$4,0),0)</f>
        <v>0</v>
      </c>
      <c r="EV34" s="1161">
        <f>IFERROR(IF(AND($EP$2&lt;&gt;"Enter Spend&gt;&gt;&gt;",EQ2="EXISTING"),SUMIFS('Existing Customers'!$S:$S,'Existing Customers'!$H:$H,$EO34,'Existing Customers'!$A:$A,$EP$1),FF34*EP34),0)</f>
        <v>0</v>
      </c>
      <c r="EW34" s="1161">
        <f>IFERROR(IF(AND($EP$2&lt;&gt;"Enter Spend&gt;&gt;&gt;",EQ2="EXISTING"),SUMIFS('Existing Customers'!$U:$U,'Existing Customers'!$H:$H,$EO34,'Existing Customers'!$A:$A,$EP$1),FG34*EP34),0)</f>
        <v>0</v>
      </c>
      <c r="EX34" s="1164" t="e">
        <f>_xlfn.CONCAT('Customer Inputs'!$AG$10,"_",EO34)</f>
        <v>#N/A</v>
      </c>
      <c r="EY34" s="1164">
        <f t="array" ref="EY34">IFERROR(INDEX('Margin Guidence Table'!$A$1:$AD$30000,MATCH(1,('Margin Guidence Table'!$A$1:$A$10000=EX34)*('Margin Guidence Table'!$I$1:$I$10000&lt;=ROUND($EP$3,0))*('Margin Guidence Table'!$J$1:$J$10000&gt;=ROUND($EP$3,0)),0),MATCH("DATA_POINTS",'Margin Guidence Table'!$A$1:$AG$1,0)),0)</f>
        <v>0</v>
      </c>
      <c r="EZ34" s="1161" t="str">
        <f t="shared" si="31"/>
        <v>DEFAULT</v>
      </c>
      <c r="FA34" s="1161">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161"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165">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165">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165">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165">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165">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165">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9"/>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96" t="e">
        <f t="shared" si="32"/>
        <v>#DIV/0!</v>
      </c>
      <c r="FL34" s="103" t="s">
        <v>87</v>
      </c>
      <c r="FM34" s="94">
        <f>IFERROR(IF(AND($FM$2&lt;&gt;"Enter Spend&gt;&gt;&gt;",FN22="EXISTING"),SUMIFS('Existing Customers'!$Q:$Q,'Existing Customers'!$A:$A,$FM$1,'Existing Customers'!$H:$H,$FL34)*$FM$4,$FM$3*$FK34),0)</f>
        <v>0</v>
      </c>
      <c r="FN34" s="89">
        <f>IFERROR(IF(AND($FM$2&lt;&gt;"Enter Spend&gt;&gt;&gt;",FN2="EXISTING"),SUMIFS('Existing Customers'!$N:$N,'Existing Customers'!$A:$A,$FM$1,'Existing Customers'!$H:$H,$FL34)*$FM$4,$FM34/$FX34),0)</f>
        <v>0</v>
      </c>
      <c r="FO34" s="95">
        <f>IFERROR(IF(AND($FM$2&lt;&gt;"Enter Spend&gt;&gt;&gt;",FN2="EXISTING"),SUMIFS('Existing Customers'!$O:$O,'Existing Customers'!$H:$H,$FL34,'Existing Customers'!$A:$A,$FM$1)*$FM$4,$FN34*$FM$8),0)</f>
        <v>0</v>
      </c>
      <c r="FP34" s="95">
        <f>IFERROR(IF(AND($FM$2&lt;&gt;"Enter Spend&gt;&gt;&gt;",FN2="EXISTING"),SUMIFS('Existing Customers'!$P:$P,'Existing Customers'!$A:$A,$FM$1,'Existing Customers'!$H:$H,$FL34)*$FM$4,$FM34/$FY34),0)</f>
        <v>0</v>
      </c>
      <c r="FQ34" s="96">
        <f>IFERROR(IF(AND($FM$2&lt;&gt;"Enter Spend&gt;&gt;&gt;",FN2="EXISTING"),SUMIFS('Existing Customers'!$V:$V,'Existing Customers'!$H:$H,$FL34,'Existing Customers'!$A:$A,$FM$1)*$FM$4,0),0)</f>
        <v>0</v>
      </c>
      <c r="FR34" s="96">
        <f>IFERROR(IF(AND($FM$2&lt;&gt;"Enter Spend&gt;&gt;&gt;",FN2="EXISTING"),SUMIFS('Existing Customers'!$R:$R,'Existing Customers'!$H:$H,$FL34,'Existing Customers'!$A:$A,$FM$1)*$FM$4,0),0)</f>
        <v>0</v>
      </c>
      <c r="FS34" s="1161">
        <f>IFERROR(IF(AND($FM$2&lt;&gt;"Enter Spend&gt;&gt;&gt;",FN2="EXISTING"),SUMIFS('Existing Customers'!$S:$S,'Existing Customers'!$H:$H,$FL34,'Existing Customers'!$A:$A,$FM$1),GC34*FM34),0)</f>
        <v>0</v>
      </c>
      <c r="FT34" s="1161">
        <f>IFERROR(IF(AND($FM$2&lt;&gt;"Enter Spend&gt;&gt;&gt;",FN2="EXISTING"),SUMIFS('Existing Customers'!$U:$U,'Existing Customers'!$H:$H,$FL34,'Existing Customers'!$A:$A,$FM$1),GD34*FM34),0)</f>
        <v>0</v>
      </c>
      <c r="FU34" s="1164" t="e">
        <f>_xlfn.CONCAT('Customer Inputs'!$AG$11,"_",FL34)</f>
        <v>#N/A</v>
      </c>
      <c r="FV34" s="1164">
        <f t="array" ref="FV34">IFERROR(INDEX('Margin Guidence Table'!$A$1:$AD$30000,MATCH(1,('Margin Guidence Table'!$A$1:$A$10000=FU34)*('Margin Guidence Table'!$I$1:$I$10000&lt;=ROUND($FM$3,0))*('Margin Guidence Table'!$J$1:$J$10000&gt;=ROUND($FM$3,0)),0),MATCH("DATA_POINTS",'Margin Guidence Table'!$A$1:$AG$1,0)),0)</f>
        <v>0</v>
      </c>
      <c r="FW34" s="1161" t="str">
        <f t="shared" si="33"/>
        <v>DEFAULT</v>
      </c>
      <c r="FX34" s="1161">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161">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165">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165">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165">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165">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165">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165">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9"/>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96" t="e">
        <f t="shared" si="34"/>
        <v>#DIV/0!</v>
      </c>
      <c r="GI34" s="103" t="s">
        <v>87</v>
      </c>
      <c r="GJ34" s="94">
        <f>IFERROR(IF(AND($GJ$2&lt;&gt;"Enter Spend&gt;&gt;&gt;",GK22="EXISTING"),SUMIFS('Existing Customers'!$Q:$Q,'Existing Customers'!$A:$A,$GJ$1,'Existing Customers'!$H:$H,$GI34)*$GJ$4,$GJ$3*$GH34),0)</f>
        <v>0</v>
      </c>
      <c r="GK34" s="89">
        <f>IFERROR(IF(AND($GJ$2&lt;&gt;"Enter Spend&gt;&gt;&gt;",GK2="EXISTING"),SUMIFS('Existing Customers'!$N:$N,'Existing Customers'!$A:$A,$GJ$1,'Existing Customers'!$H:$H,$GI34)*$GJ$4,$GJ34/$GU34),0)</f>
        <v>0</v>
      </c>
      <c r="GL34" s="95">
        <f>IFERROR(IF(AND($GJ$2&lt;&gt;"Enter Spend&gt;&gt;&gt;",GK2="EXISTING"),SUMIFS('Existing Customers'!$O:$O,'Existing Customers'!$H:$H,$GI34,'Existing Customers'!$A:$A,$GJ$1)*$GJ$4,$GK34*$GJ$8),0)</f>
        <v>0</v>
      </c>
      <c r="GM34" s="95">
        <f>IFERROR(IF(AND($GJ$2&lt;&gt;"Enter Spend&gt;&gt;&gt;",GK2="EXISTING"),SUMIFS('Existing Customers'!$P:$P,'Existing Customers'!$A:$A,$GJ$1,'Existing Customers'!$H:$H,$GI34)*$GJ$4,$GJ34/$GV34),0)</f>
        <v>0</v>
      </c>
      <c r="GN34" s="96">
        <f>IFERROR(IF(AND($GJ$2&lt;&gt;"Enter Spend&gt;&gt;&gt;",GK2="EXISTING"),SUMIFS('Existing Customers'!$V:$V,'Existing Customers'!$H:$H,$GI34,'Existing Customers'!$A:$A,$GJ$1)*$GJ$4,0),0)</f>
        <v>0</v>
      </c>
      <c r="GO34" s="96">
        <f>IFERROR(IF(AND($GJ$2&lt;&gt;"Enter Spend&gt;&gt;&gt;",GK2="EXISTING"),SUMIFS('Existing Customers'!$R:$R,'Existing Customers'!$H:$H,$GI34,'Existing Customers'!$A:$A,$GJ$1)*$GJ$4,0),0)</f>
        <v>0</v>
      </c>
      <c r="GP34" s="1161">
        <f>IFERROR(IF(AND($GJ$2&lt;&gt;"Enter Spend&gt;&gt;&gt;",GK2="EXISTING"),SUMIFS('Existing Customers'!$S:$S,'Existing Customers'!$H:$H,$GI34,'Existing Customers'!$A:$A,$GJ$1),GZ34*GJ34),0)</f>
        <v>0</v>
      </c>
      <c r="GQ34" s="1161">
        <f>IFERROR(IF(AND($GJ$2&lt;&gt;"Enter Spend&gt;&gt;&gt;",GK2="EXISTING"),SUMIFS('Existing Customers'!$U:$U,'Existing Customers'!$H:$H,$GI34,'Existing Customers'!$A:$A,$GJ$1),HA34*GJ34),0)</f>
        <v>0</v>
      </c>
      <c r="GR34" s="1164" t="e">
        <f>_xlfn.CONCAT('Customer Inputs'!$AG$12,"_",GI34)</f>
        <v>#N/A</v>
      </c>
      <c r="GS34" s="1164">
        <f t="array" ref="GS34">IFERROR(INDEX('Margin Guidence Table'!$A$1:$AD$30000,MATCH(1,('Margin Guidence Table'!$A$1:$A$10000=GR34)*('Margin Guidence Table'!$I$1:$I$10000&lt;=ROUND($GJ$3,0))*('Margin Guidence Table'!$J$1:$J$10000&gt;=ROUND($GJ$3,0)),0),MATCH("DATA_POINTS",'Margin Guidence Table'!$A$1:$AG$1,0)),0)</f>
        <v>0</v>
      </c>
      <c r="GT34" s="1161" t="str">
        <f t="shared" si="35"/>
        <v>DEFAULT</v>
      </c>
      <c r="GU34" s="1161">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161">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165">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165">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165">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165">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165">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165">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9"/>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96" t="e">
        <f t="shared" si="36"/>
        <v>#DIV/0!</v>
      </c>
      <c r="HF34" s="103" t="s">
        <v>87</v>
      </c>
      <c r="HG34" s="94">
        <f>IFERROR(IF(AND($HG$2&lt;&gt;"Enter Spend&gt;&gt;&gt;",HH22="EXISTING"),SUMIFS('Existing Customers'!$Q:$Q,'Existing Customers'!$A:$A,$HG$1,'Existing Customers'!$H:$H,$HF34)*$HG$4,$HG$3*$HE34),0)</f>
        <v>0</v>
      </c>
      <c r="HH34" s="89">
        <f>IFERROR(IF(AND($HG$2&lt;&gt;"Enter Spend&gt;&gt;&gt;",HH2="EXISTING"),SUMIFS('Existing Customers'!$N:$N,'Existing Customers'!$A:$A,$HG$1,'Existing Customers'!$H:$H,$HF34)*$HG$4,$HG34/$HR34),0)</f>
        <v>0</v>
      </c>
      <c r="HI34" s="95">
        <f>IFERROR(IF(AND($HG$2&lt;&gt;"Enter Spend&gt;&gt;&gt;",HH2="EXISTING"),SUMIFS('Existing Customers'!$O:$O,'Existing Customers'!$H:$H,$HF34,'Existing Customers'!$A:$A,$HG$1)*$HG$4,$HH34*$HG$8),0)</f>
        <v>0</v>
      </c>
      <c r="HJ34" s="95">
        <f>IFERROR(IF(AND($HG$2&lt;&gt;"Enter Spend&gt;&gt;&gt;",HH2="EXISTING"),SUMIFS('Existing Customers'!$P:$P,'Existing Customers'!$A:$A,$HG$1,'Existing Customers'!$H:$H,$HF34)*$HG$4,$HG34/$HS34),0)</f>
        <v>0</v>
      </c>
      <c r="HK34" s="96">
        <f>IFERROR(IF(AND($HG$2&lt;&gt;"Enter Spend&gt;&gt;&gt;",HH2="EXISTING"),SUMIFS('Existing Customers'!$V:$V,'Existing Customers'!$H:$H,$HF34,'Existing Customers'!$A:$A,$HG$1)*$HG$4,0),0)</f>
        <v>0</v>
      </c>
      <c r="HL34" s="96">
        <f>IFERROR(IF(AND($HG$2&lt;&gt;"Enter Spend&gt;&gt;&gt;",HH2="EXISTING"),SUMIFS('Existing Customers'!$R:$R,'Existing Customers'!$H:$H,$HF34,'Existing Customers'!$A:$A,$HG$1)*$HG$4,0),0)</f>
        <v>0</v>
      </c>
      <c r="HM34" s="1161">
        <f>IFERROR(IF(AND($HG$2&lt;&gt;"Enter Spend&gt;&gt;&gt;",HH2="EXISTING"),SUMIFS('Existing Customers'!$S:$S,'Existing Customers'!$H:$H,$HF34,'Existing Customers'!$A:$A,$HG$1),HW34*HG34),0)</f>
        <v>0</v>
      </c>
      <c r="HN34" s="1161">
        <f>IFERROR(IF(AND($HG$2&lt;&gt;"Enter Spend&gt;&gt;&gt;",HH2="EXISTING"),SUMIFS('Existing Customers'!$U:$U,'Existing Customers'!$H:$H,$HF34,'Existing Customers'!$A:$A,$HG$1),HX34*HG34),0)</f>
        <v>0</v>
      </c>
      <c r="HO34" s="1164" t="e">
        <f>_xlfn.CONCAT('Customer Inputs'!$AG$13,"_",HF34)</f>
        <v>#N/A</v>
      </c>
      <c r="HP34" s="1164">
        <f t="array" ref="HP34">IFERROR(INDEX('Margin Guidence Table'!$A$1:$AD$30000,MATCH(1,('Margin Guidence Table'!$A$1:$A$10000=HO34)*('Margin Guidence Table'!$I$1:$I$10000&lt;=ROUND($HG$3,0))*('Margin Guidence Table'!$J$1:$J$10000&gt;=ROUND($HG$3,0)),0),MATCH("DATA_POINTS",'Margin Guidence Table'!$A$1:$AG$1,0)),0)</f>
        <v>0</v>
      </c>
      <c r="HQ34" s="1161" t="str">
        <f t="shared" si="37"/>
        <v>DEFAULT</v>
      </c>
      <c r="HR34" s="1161">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161">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165">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165">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165">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165">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165">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165">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9"/>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96" t="e">
        <f t="shared" si="38"/>
        <v>#DIV/0!</v>
      </c>
      <c r="IC34" s="103" t="s">
        <v>87</v>
      </c>
      <c r="ID34" s="94">
        <f>IFERROR(IF(AND($ID$2&lt;&gt;"Enter Spend&gt;&gt;&gt;",IE22="EXISTING"),SUMIFS('Existing Customers'!$Q:$Q,'Existing Customers'!$A:$A,$ID$1,'Existing Customers'!$H:$H,$IC34)*$ID$4,$ID$3*$IB34),0)</f>
        <v>0</v>
      </c>
      <c r="IE34" s="89">
        <f>IFERROR(IF(AND($ID$2&lt;&gt;"Enter Spend&gt;&gt;&gt;",IE2="EXISTING"),SUMIFS('Existing Customers'!$N:$N,'Existing Customers'!$A:$A,$ID$1,'Existing Customers'!$H:$H,$IC34)*$ID$4,$ID34/$IO34),0)</f>
        <v>0</v>
      </c>
      <c r="IF34" s="95">
        <f>IFERROR(IF(AND($ID$2&lt;&gt;"Enter Spend&gt;&gt;&gt;",IE2="EXISTING"),SUMIFS('Existing Customers'!$O:$O,'Existing Customers'!$H:$H,$IC34,'Existing Customers'!$A:$A,$ID$1)*$ID$4,$IE34*$ID$8),0)</f>
        <v>0</v>
      </c>
      <c r="IG34" s="95">
        <f>IFERROR(IF(AND($ID$2&lt;&gt;"Enter Spend&gt;&gt;&gt;",IE2="EXISTING"),SUMIFS('Existing Customers'!$P:$P,'Existing Customers'!$A:$A,$ID$1,'Existing Customers'!$H:$H,$IC34)*$ID$4,$ID34/$IP34),0)</f>
        <v>0</v>
      </c>
      <c r="IH34" s="402">
        <f>IFERROR(IF(AND($ID$2&lt;&gt;"Enter Spend&gt;&gt;&gt;",IE2="EXISTING"),SUMIFS('Existing Customers'!$V:$V,'Existing Customers'!$H:$H,$IC34,'Existing Customers'!$A:$A,$ID$1)*$ID$4,0),0)</f>
        <v>0</v>
      </c>
      <c r="II34" s="96">
        <f>IFERROR(IF(AND($ID$2&lt;&gt;"Enter Spend&gt;&gt;&gt;",IE2="EXISTING"),SUMIFS('Existing Customers'!$R:$R,'Existing Customers'!$H:$H,$IC34,'Existing Customers'!$A:$A,$ID$1)*$ID$4,0),0)</f>
        <v>0</v>
      </c>
      <c r="IJ34" s="1161">
        <f>IFERROR(IF(AND($ID$2&lt;&gt;"Enter Spend&gt;&gt;&gt;",IE2="EXISTING"),SUMIFS('Existing Customers'!$S:$S,'Existing Customers'!$H:$H,$IC34,'Existing Customers'!$A:$A,$ID$1),IT34*ID34),0)</f>
        <v>0</v>
      </c>
      <c r="IK34" s="1161">
        <f>IFERROR(IF(AND($ID$2&lt;&gt;"Enter Spend&gt;&gt;&gt;",IE2="EXISTING"),SUMIFS('Existing Customers'!$U:$U,'Existing Customers'!$H:$H,$IC34,'Existing Customers'!$A:$A,$ID$1),IU34*ID34),0)</f>
        <v>0</v>
      </c>
      <c r="IL34" s="1164" t="e">
        <f>_xlfn.CONCAT('Customer Inputs'!$AG$14,"_",IC34)</f>
        <v>#N/A</v>
      </c>
      <c r="IM34" s="1164">
        <f t="array" ref="IM34">IFERROR(INDEX('Margin Guidence Table'!$A$1:$AD$30000,MATCH(1,('Margin Guidence Table'!$A$1:$A$10000=IL34)*('Margin Guidence Table'!$I$1:$I$10000&lt;=ROUND($ID$3,0))*('Margin Guidence Table'!$J$1:$J$10000&gt;=ROUND($ID$3,0)),0),MATCH("DATA_POINTS",'Margin Guidence Table'!$A$1:$AG$1,0)),0)</f>
        <v>0</v>
      </c>
      <c r="IN34" s="1161" t="str">
        <f t="shared" si="39"/>
        <v>DEFAULT</v>
      </c>
      <c r="IO34" s="1161">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161">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165">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165">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165">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165">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165">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165">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9"/>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96" t="e">
        <f t="shared" si="40"/>
        <v>#DIV/0!</v>
      </c>
      <c r="IZ34" s="103" t="s">
        <v>87</v>
      </c>
      <c r="JA34" s="94">
        <f>IFERROR(IF(AND($JA$2&lt;&gt;"Enter Spend&gt;&gt;&gt;",JB22="EXISTING"),SUMIFS('Existing Customers'!$Q:$Q,'Existing Customers'!$A:$A,$JA$1,'Existing Customers'!$H:$H,$IZ34)*$JA$4,$JA$3*$IY34),0)</f>
        <v>0</v>
      </c>
      <c r="JB34" s="89">
        <f>IFERROR(IF(AND($JA$2&lt;&gt;"Enter Spend&gt;&gt;&gt;",JB2="EXISTING"),SUMIFS('Existing Customers'!$N:$N,'Existing Customers'!$A:$A,$JA$1,'Existing Customers'!$H:$H,$IZ34)*$JA$4,$JA34/$JL34),0)</f>
        <v>0</v>
      </c>
      <c r="JC34" s="95">
        <f>IFERROR(IF(AND($JA$2&lt;&gt;"Enter Spend&gt;&gt;&gt;",JB2="EXISTING"),SUMIFS('Existing Customers'!$O:$O,'Existing Customers'!$H:$H,$IZ34,'Existing Customers'!$A:$A,$JA$1)*$JA$4,$JB34*$JA$8),0)</f>
        <v>0</v>
      </c>
      <c r="JD34" s="95">
        <f>IFERROR(IF(AND($JA$2&lt;&gt;"Enter Spend&gt;&gt;&gt;",JB2="EXISTING"),SUMIFS('Existing Customers'!$P:$P,'Existing Customers'!$A:$A,$JA$1,'Existing Customers'!$H:$H,$IZ34)*$JA$4,$JA34/$JM34),0)</f>
        <v>0</v>
      </c>
      <c r="JE34" s="402">
        <f>IFERROR(IF(AND($JA$2&lt;&gt;"Enter Spend&gt;&gt;&gt;",JB2="EXISTING"),SUMIFS('Existing Customers'!$V:$V,'Existing Customers'!$H:$H,$IZ34,'Existing Customers'!$A:$A,$JA$1)*$JA$4,0),0)</f>
        <v>0</v>
      </c>
      <c r="JF34" s="96">
        <f>IFERROR(IF(AND($JA$2&lt;&gt;"Enter Spend&gt;&gt;&gt;",JB2="EXISTING"),SUMIFS('Existing Customers'!$R:$R,'Existing Customers'!$H:$H,$IZ34,'Existing Customers'!$A:$A,$JA$1)*$JA$4,0),0)</f>
        <v>0</v>
      </c>
      <c r="JG34" s="1161">
        <f>IFERROR(IF(AND($JA$2&lt;&gt;"Enter Spend&gt;&gt;&gt;",JB2="EXISTING"),SUMIFS('Existing Customers'!$S:$S,'Existing Customers'!$H:$H,$IZ34,'Existing Customers'!$A:$A,$JA$1),JQ34*JA34),0)</f>
        <v>0</v>
      </c>
      <c r="JH34" s="1161">
        <f>IFERROR(IF(AND($JA$2&lt;&gt;"Enter Spend&gt;&gt;&gt;",JB2="EXISTING"),SUMIFS('Existing Customers'!$U:$U,'Existing Customers'!$H:$H,$IZ34,'Existing Customers'!$A:$A,$JA$1),JR34*JA34),0)</f>
        <v>0</v>
      </c>
      <c r="JI34" s="1164" t="e">
        <f>_xlfn.CONCAT('Customer Inputs'!$AG$15,"_",IZ34)</f>
        <v>#N/A</v>
      </c>
      <c r="JJ34" s="1164">
        <f t="array" ref="JJ34">IFERROR(INDEX('Margin Guidence Table'!$A$1:$AD$30000,MATCH(1,('Margin Guidence Table'!$A$1:$A$10000=JI34)*('Margin Guidence Table'!$I$1:$I$10000&lt;=ROUND($JA$3,0))*('Margin Guidence Table'!$J$1:$J$10000&gt;=ROUND($JA$3,0)),0),MATCH("DATA_POINTS",'Margin Guidence Table'!$A$1:$AG$1,0)),0)</f>
        <v>0</v>
      </c>
      <c r="JK34" s="1161" t="str">
        <f t="shared" si="41"/>
        <v>DEFAULT</v>
      </c>
      <c r="JL34" s="1161">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161">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165">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165">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165">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165">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165">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165">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3" t="s">
        <v>87</v>
      </c>
      <c r="JV34" s="99"/>
      <c r="JW34" s="89"/>
      <c r="JX34" s="100"/>
      <c r="JY34" s="100"/>
      <c r="JZ34" s="115"/>
      <c r="KA34" s="101"/>
      <c r="KB34" s="129"/>
      <c r="KD34" s="103" t="s">
        <v>87</v>
      </c>
      <c r="KE34" s="99"/>
      <c r="KF34" s="89"/>
      <c r="KG34" s="100"/>
      <c r="KH34" s="100"/>
      <c r="KI34" s="115"/>
      <c r="KJ34" s="101"/>
    </row>
    <row r="35" spans="2:296" ht="15.75" thickBot="1" x14ac:dyDescent="0.3">
      <c r="C35" s="105">
        <f>SUM(C14:C34)</f>
        <v>0</v>
      </c>
      <c r="D35" s="106">
        <f>SUM(D14:D34)</f>
        <v>0</v>
      </c>
      <c r="E35" s="106">
        <f>SUM(E14:E34)</f>
        <v>0</v>
      </c>
      <c r="F35" s="106">
        <f>SUM(F14:F34)</f>
        <v>0</v>
      </c>
      <c r="G35" s="107">
        <f>SUM(G14:G34)</f>
        <v>0</v>
      </c>
      <c r="H35" s="108"/>
      <c r="I35" s="1159" t="e">
        <f>ROUND(SUM($BB35*BO35+$BY35*CL35+$CV35*DI35+$DS35*EF35+$EP35*FC35+$FM35*FZ35+$GJ35*GW35+$HG35*HT35+$ID35*IQ35+$JA35*JN35)/$C35,2)</f>
        <v>#DIV/0!</v>
      </c>
      <c r="J35" s="1159" t="e">
        <f>ROUND(SUM($BB35*BP35+$BY35*CM35+$CV35*DJ35+$DS35*EG35+$EP35*FD35+$FM35*GA35+$GJ35*GX35+$HG35*HU35+$ID35*IR35+$JA35*JO35)/$C35,2)</f>
        <v>#DIV/0!</v>
      </c>
      <c r="K35" s="1159" t="e">
        <f>ROUND(SUM($BB35*BQ35+$BY35*CN35+$CV35*DK35+$DS35*EH35+$EP35*FE35+$FM35*GB35+$GJ35*GY35+$HG35*HV35+$ID35*IS35+$JA35*JP35)/$C35,2)</f>
        <v>#DIV/0!</v>
      </c>
      <c r="L35" s="1160" t="e">
        <f>SUM(L14:L34)</f>
        <v>#DIV/0!</v>
      </c>
      <c r="M35" s="1159" t="e">
        <f t="shared" si="13"/>
        <v>#DIV/0!</v>
      </c>
      <c r="N35" s="496" t="e">
        <f t="shared" si="1"/>
        <v>#DIV/0!</v>
      </c>
      <c r="Q35">
        <f>SUM(Q14:Q34)</f>
        <v>0</v>
      </c>
      <c r="R35">
        <f>SUM(R14:R34)</f>
        <v>0</v>
      </c>
      <c r="T35" s="105">
        <f>SUM(T14:T34)</f>
        <v>0</v>
      </c>
      <c r="U35" s="106">
        <f>SUM(U14:U34)</f>
        <v>0</v>
      </c>
      <c r="V35" s="106">
        <f>SUM(V14:V34)</f>
        <v>0</v>
      </c>
      <c r="W35" s="106">
        <f>SUM(W14:W34)</f>
        <v>0</v>
      </c>
      <c r="X35" s="107">
        <f>SUM(X14:X34)</f>
        <v>0</v>
      </c>
      <c r="Y35" s="108"/>
      <c r="Z35" s="108"/>
      <c r="AA35" s="108"/>
      <c r="AB35" s="492">
        <f>SUM(AB14:AB34)</f>
        <v>0</v>
      </c>
      <c r="AC35" s="493">
        <f>SUM(AC14:AC34)</f>
        <v>0</v>
      </c>
      <c r="AD35" s="493">
        <f>SUM(AD14:AD34)</f>
        <v>0</v>
      </c>
      <c r="AE35" s="494">
        <f t="shared" ref="AE35" si="43">IFERROR(AC35/AB35,0)</f>
        <v>0</v>
      </c>
      <c r="AF35" s="495">
        <f t="shared" ref="AF35" si="44">IFERROR(AD35/AB35,0)</f>
        <v>0</v>
      </c>
      <c r="AG35" s="108"/>
      <c r="AH35" s="108"/>
      <c r="AI35" s="492">
        <f>SUM(AI14:AI34)</f>
        <v>0</v>
      </c>
      <c r="AJ35" s="655">
        <f>SUM(AJ14:AJ34)</f>
        <v>0</v>
      </c>
      <c r="AK35" s="495">
        <f>IFERROR(#REF!/AI35,0)</f>
        <v>0</v>
      </c>
      <c r="AL35" s="108"/>
      <c r="AM35" s="108"/>
      <c r="AN35" s="108"/>
      <c r="AO35" s="108"/>
      <c r="AP35" s="108"/>
      <c r="AQ35" s="108"/>
      <c r="AR35" s="108"/>
      <c r="AS35" s="108"/>
      <c r="AT35" s="108"/>
      <c r="AU35" s="108"/>
      <c r="AV35" s="108"/>
      <c r="AW35" s="108"/>
      <c r="AX35" s="108"/>
      <c r="AY35" s="396">
        <f>SUM(AY14:AY34)</f>
        <v>0</v>
      </c>
      <c r="AZ35" s="396" t="e">
        <f>SUM(AZ14:AZ34)</f>
        <v>#DIV/0!</v>
      </c>
      <c r="BB35" s="105">
        <f t="shared" ref="BB35:BG35" si="45">SUM(BB14:BB34)</f>
        <v>0</v>
      </c>
      <c r="BC35" s="106">
        <f t="shared" si="45"/>
        <v>0</v>
      </c>
      <c r="BD35" s="106">
        <f t="shared" si="45"/>
        <v>0</v>
      </c>
      <c r="BE35" s="106">
        <f t="shared" si="45"/>
        <v>0</v>
      </c>
      <c r="BF35" s="403">
        <f t="shared" si="45"/>
        <v>0</v>
      </c>
      <c r="BG35" s="107">
        <f t="shared" si="45"/>
        <v>0</v>
      </c>
      <c r="BH35" s="96">
        <f>SUM(BH14:BH34)</f>
        <v>0</v>
      </c>
      <c r="BI35" s="96">
        <f>SUM(BI14:BI34)</f>
        <v>0</v>
      </c>
      <c r="BJ35" s="1155"/>
      <c r="BK35" s="1155"/>
      <c r="BL35" s="1155"/>
      <c r="BM35" s="1155"/>
      <c r="BN35" s="1155"/>
      <c r="BO35" s="1155"/>
      <c r="BP35" s="1155"/>
      <c r="BQ35" s="1155"/>
      <c r="BR35" s="1155"/>
      <c r="BS35" s="1155"/>
      <c r="BT35" s="1155"/>
      <c r="BU35" s="396"/>
      <c r="BV35" s="396">
        <f>SUM(BV14:BV34)</f>
        <v>0</v>
      </c>
      <c r="BW35" s="396" t="e">
        <f>SUM(BW14:BW34)</f>
        <v>#DIV/0!</v>
      </c>
      <c r="BY35" s="105">
        <f t="shared" ref="BY35:CD35" si="46">SUM(BY14:BY34)</f>
        <v>0</v>
      </c>
      <c r="BZ35" s="106">
        <f t="shared" si="46"/>
        <v>0</v>
      </c>
      <c r="CA35" s="106">
        <f t="shared" si="46"/>
        <v>0</v>
      </c>
      <c r="CB35" s="106">
        <f t="shared" si="46"/>
        <v>0</v>
      </c>
      <c r="CC35" s="107">
        <f t="shared" si="46"/>
        <v>0</v>
      </c>
      <c r="CD35" s="107">
        <f t="shared" si="46"/>
        <v>0</v>
      </c>
      <c r="CE35" s="107">
        <f t="shared" ref="CE35:CF35" si="47">SUM(CE14:CE34)</f>
        <v>0</v>
      </c>
      <c r="CF35" s="107">
        <f t="shared" si="47"/>
        <v>0</v>
      </c>
      <c r="CG35" s="1155"/>
      <c r="CH35" s="1155"/>
      <c r="CI35" s="1155"/>
      <c r="CJ35" s="1155"/>
      <c r="CK35" s="1155"/>
      <c r="CL35" s="1155"/>
      <c r="CM35" s="1155"/>
      <c r="CN35" s="1155"/>
      <c r="CO35" s="1155"/>
      <c r="CP35" s="1155"/>
      <c r="CQ35" s="1155"/>
      <c r="CR35" s="108"/>
      <c r="CS35" s="396">
        <f>SUM(CS14:CS34)</f>
        <v>0</v>
      </c>
      <c r="CT35" s="396" t="e">
        <f>SUM(CT14:CT34)</f>
        <v>#DIV/0!</v>
      </c>
      <c r="CV35" s="105">
        <f t="shared" ref="CV35:DA35" si="48">SUM(CV14:CV34)</f>
        <v>0</v>
      </c>
      <c r="CW35" s="106">
        <f t="shared" si="48"/>
        <v>0</v>
      </c>
      <c r="CX35" s="106">
        <f t="shared" si="48"/>
        <v>0</v>
      </c>
      <c r="CY35" s="106">
        <f t="shared" si="48"/>
        <v>0</v>
      </c>
      <c r="CZ35" s="107">
        <f t="shared" si="48"/>
        <v>0</v>
      </c>
      <c r="DA35" s="107">
        <f t="shared" si="48"/>
        <v>0</v>
      </c>
      <c r="DB35" s="107">
        <f t="shared" ref="DB35:DC35" si="49">SUM(DB14:DB34)</f>
        <v>0</v>
      </c>
      <c r="DC35" s="107">
        <f t="shared" si="49"/>
        <v>0</v>
      </c>
      <c r="DD35" s="1155"/>
      <c r="DE35" s="1155"/>
      <c r="DF35" s="1155"/>
      <c r="DG35" s="1155"/>
      <c r="DH35" s="1155"/>
      <c r="DI35" s="1155"/>
      <c r="DJ35" s="1155"/>
      <c r="DK35" s="1155"/>
      <c r="DL35" s="1155"/>
      <c r="DM35" s="1155"/>
      <c r="DN35" s="1155"/>
      <c r="DO35" s="108"/>
      <c r="DP35" s="396">
        <f>SUM(DP14:DP34)</f>
        <v>0</v>
      </c>
      <c r="DQ35" s="396" t="e">
        <f>SUM(DQ14:DQ34)</f>
        <v>#DIV/0!</v>
      </c>
      <c r="DS35" s="105">
        <f t="shared" ref="DS35:DX35" si="50">SUM(DS14:DS34)</f>
        <v>0</v>
      </c>
      <c r="DT35" s="106">
        <f t="shared" si="50"/>
        <v>0</v>
      </c>
      <c r="DU35" s="106">
        <f t="shared" si="50"/>
        <v>0</v>
      </c>
      <c r="DV35" s="106">
        <f t="shared" si="50"/>
        <v>0</v>
      </c>
      <c r="DW35" s="107">
        <f t="shared" si="50"/>
        <v>0</v>
      </c>
      <c r="DX35" s="107">
        <f t="shared" si="50"/>
        <v>0</v>
      </c>
      <c r="DY35" s="107">
        <f t="shared" ref="DY35:DZ35" si="51">SUM(DY14:DY34)</f>
        <v>0</v>
      </c>
      <c r="DZ35" s="107">
        <f t="shared" si="51"/>
        <v>0</v>
      </c>
      <c r="EA35" s="1155"/>
      <c r="EB35" s="1155"/>
      <c r="EC35" s="1155"/>
      <c r="ED35" s="1155"/>
      <c r="EE35" s="1155"/>
      <c r="EF35" s="1155"/>
      <c r="EG35" s="1155"/>
      <c r="EH35" s="1155"/>
      <c r="EI35" s="1155"/>
      <c r="EJ35" s="1155"/>
      <c r="EK35" s="1155"/>
      <c r="EL35" s="108"/>
      <c r="EM35" s="396">
        <f>SUM(EM14:EM34)</f>
        <v>0</v>
      </c>
      <c r="EN35" s="396" t="e">
        <f>SUM(EN14:EN34)</f>
        <v>#DIV/0!</v>
      </c>
      <c r="EP35" s="105">
        <f t="shared" ref="EP35:EU35" si="52">SUM(EP14:EP34)</f>
        <v>0</v>
      </c>
      <c r="EQ35" s="106">
        <f t="shared" si="52"/>
        <v>0</v>
      </c>
      <c r="ER35" s="106">
        <f t="shared" si="52"/>
        <v>0</v>
      </c>
      <c r="ES35" s="106">
        <f t="shared" si="52"/>
        <v>0</v>
      </c>
      <c r="ET35" s="107">
        <f t="shared" si="52"/>
        <v>0</v>
      </c>
      <c r="EU35" s="107">
        <f t="shared" si="52"/>
        <v>0</v>
      </c>
      <c r="EV35" s="107">
        <f t="shared" ref="EV35:EW35" si="53">SUM(EV14:EV34)</f>
        <v>0</v>
      </c>
      <c r="EW35" s="107">
        <f t="shared" si="53"/>
        <v>0</v>
      </c>
      <c r="EX35" s="1155"/>
      <c r="EY35" s="1155"/>
      <c r="EZ35" s="1155"/>
      <c r="FA35" s="1155"/>
      <c r="FB35" s="1155"/>
      <c r="FC35" s="1155"/>
      <c r="FD35" s="1155"/>
      <c r="FE35" s="1155"/>
      <c r="FF35" s="1155"/>
      <c r="FG35" s="1155"/>
      <c r="FH35" s="1155"/>
      <c r="FI35" s="108"/>
      <c r="FJ35" s="396">
        <f>SUM(FJ14:FJ34)</f>
        <v>0</v>
      </c>
      <c r="FK35" s="396" t="e">
        <f>SUM(FK14:FK34)</f>
        <v>#DIV/0!</v>
      </c>
      <c r="FM35" s="105">
        <f t="shared" ref="FM35:FR35" si="54">SUM(FM14:FM34)</f>
        <v>0</v>
      </c>
      <c r="FN35" s="106">
        <f t="shared" si="54"/>
        <v>0</v>
      </c>
      <c r="FO35" s="106">
        <f t="shared" si="54"/>
        <v>0</v>
      </c>
      <c r="FP35" s="106">
        <f t="shared" si="54"/>
        <v>0</v>
      </c>
      <c r="FQ35" s="107">
        <f t="shared" si="54"/>
        <v>0</v>
      </c>
      <c r="FR35" s="107">
        <f t="shared" si="54"/>
        <v>0</v>
      </c>
      <c r="FS35" s="107">
        <f t="shared" ref="FS35:FT35" si="55">SUM(FS14:FS34)</f>
        <v>0</v>
      </c>
      <c r="FT35" s="107">
        <f t="shared" si="55"/>
        <v>0</v>
      </c>
      <c r="FU35" s="1155"/>
      <c r="FV35" s="1155"/>
      <c r="FW35" s="1155"/>
      <c r="FX35" s="1155"/>
      <c r="FY35" s="1155"/>
      <c r="FZ35" s="1155"/>
      <c r="GA35" s="1155"/>
      <c r="GB35" s="1155"/>
      <c r="GC35" s="1155"/>
      <c r="GD35" s="1155"/>
      <c r="GE35" s="1155"/>
      <c r="GF35" s="108"/>
      <c r="GG35" s="396">
        <f>SUM(GG14:GG34)</f>
        <v>0</v>
      </c>
      <c r="GH35" s="396" t="e">
        <f>SUM(GH14:GH34)</f>
        <v>#DIV/0!</v>
      </c>
      <c r="GJ35" s="105">
        <f t="shared" ref="GJ35:GO35" si="56">SUM(GJ14:GJ34)</f>
        <v>0</v>
      </c>
      <c r="GK35" s="106">
        <f t="shared" si="56"/>
        <v>0</v>
      </c>
      <c r="GL35" s="106">
        <f t="shared" si="56"/>
        <v>0</v>
      </c>
      <c r="GM35" s="106">
        <f t="shared" si="56"/>
        <v>0</v>
      </c>
      <c r="GN35" s="107">
        <f t="shared" si="56"/>
        <v>0</v>
      </c>
      <c r="GO35" s="107">
        <f t="shared" si="56"/>
        <v>0</v>
      </c>
      <c r="GP35" s="107">
        <f t="shared" ref="GP35:GQ35" si="57">SUM(GP14:GP34)</f>
        <v>0</v>
      </c>
      <c r="GQ35" s="107">
        <f t="shared" si="57"/>
        <v>0</v>
      </c>
      <c r="GR35" s="1155"/>
      <c r="GS35" s="1155"/>
      <c r="GT35" s="1155"/>
      <c r="GU35" s="1155"/>
      <c r="GV35" s="1155"/>
      <c r="GW35" s="1155"/>
      <c r="GX35" s="1155"/>
      <c r="GY35" s="1155"/>
      <c r="GZ35" s="1155"/>
      <c r="HA35" s="1155"/>
      <c r="HB35" s="1155"/>
      <c r="HC35" s="108"/>
      <c r="HD35" s="396">
        <f>SUM(HD14:HD34)</f>
        <v>0</v>
      </c>
      <c r="HE35" s="396" t="e">
        <f>SUM(HE14:HE34)</f>
        <v>#DIV/0!</v>
      </c>
      <c r="HG35" s="105">
        <f t="shared" ref="HG35:HL35" si="58">SUM(HG14:HG34)</f>
        <v>0</v>
      </c>
      <c r="HH35" s="106">
        <f t="shared" si="58"/>
        <v>0</v>
      </c>
      <c r="HI35" s="106">
        <f t="shared" si="58"/>
        <v>0</v>
      </c>
      <c r="HJ35" s="106">
        <f t="shared" si="58"/>
        <v>0</v>
      </c>
      <c r="HK35" s="107">
        <f t="shared" si="58"/>
        <v>0</v>
      </c>
      <c r="HL35" s="107">
        <f t="shared" si="58"/>
        <v>0</v>
      </c>
      <c r="HM35" s="107">
        <f t="shared" ref="HM35:HN35" si="59">SUM(HM14:HM34)</f>
        <v>0</v>
      </c>
      <c r="HN35" s="107">
        <f t="shared" si="59"/>
        <v>0</v>
      </c>
      <c r="HO35" s="1155"/>
      <c r="HP35" s="1155"/>
      <c r="HQ35" s="1155"/>
      <c r="HR35" s="1155"/>
      <c r="HS35" s="1155"/>
      <c r="HT35" s="1155"/>
      <c r="HU35" s="1155"/>
      <c r="HV35" s="1155"/>
      <c r="HW35" s="1155"/>
      <c r="HX35" s="1155"/>
      <c r="HY35" s="1155"/>
      <c r="HZ35" s="108"/>
      <c r="IA35" s="396">
        <f>SUM(IA14:IA34)</f>
        <v>0</v>
      </c>
      <c r="IB35" s="396" t="e">
        <f>SUM(IB14:IB34)</f>
        <v>#DIV/0!</v>
      </c>
      <c r="ID35" s="105">
        <f t="shared" ref="ID35:II35" si="60">SUM(ID14:ID34)</f>
        <v>0</v>
      </c>
      <c r="IE35" s="106">
        <f t="shared" si="60"/>
        <v>0</v>
      </c>
      <c r="IF35" s="106">
        <f t="shared" si="60"/>
        <v>0</v>
      </c>
      <c r="IG35" s="106">
        <f t="shared" si="60"/>
        <v>0</v>
      </c>
      <c r="IH35" s="403">
        <f t="shared" si="60"/>
        <v>0</v>
      </c>
      <c r="II35" s="107">
        <f t="shared" si="60"/>
        <v>0</v>
      </c>
      <c r="IJ35" s="107">
        <f t="shared" ref="IJ35:IK35" si="61">SUM(IJ14:IJ34)</f>
        <v>0</v>
      </c>
      <c r="IK35" s="107">
        <f t="shared" si="61"/>
        <v>0</v>
      </c>
      <c r="IL35" s="1155"/>
      <c r="IM35" s="1155"/>
      <c r="IN35" s="1155"/>
      <c r="IO35" s="1155"/>
      <c r="IP35" s="1155"/>
      <c r="IQ35" s="1155"/>
      <c r="IR35" s="1155"/>
      <c r="IS35" s="1155"/>
      <c r="IT35" s="1155"/>
      <c r="IU35" s="1155"/>
      <c r="IV35" s="1155"/>
      <c r="IW35" s="108"/>
      <c r="IX35" s="396">
        <f>SUM(IX14:IX34)</f>
        <v>0</v>
      </c>
      <c r="IY35" s="396" t="e">
        <f>SUM(IY14:IY34)</f>
        <v>#DIV/0!</v>
      </c>
      <c r="JA35" s="105">
        <f t="shared" ref="JA35:JF35" si="62">SUM(JA14:JA34)</f>
        <v>0</v>
      </c>
      <c r="JB35" s="106">
        <f t="shared" si="62"/>
        <v>0</v>
      </c>
      <c r="JC35" s="106">
        <f t="shared" si="62"/>
        <v>0</v>
      </c>
      <c r="JD35" s="106">
        <f t="shared" si="62"/>
        <v>0</v>
      </c>
      <c r="JE35" s="403">
        <f t="shared" si="62"/>
        <v>0</v>
      </c>
      <c r="JF35" s="107">
        <f t="shared" si="62"/>
        <v>0</v>
      </c>
      <c r="JG35" s="107">
        <f t="shared" ref="JG35:JH35" si="63">SUM(JG14:JG34)</f>
        <v>0</v>
      </c>
      <c r="JH35" s="107">
        <f t="shared" si="63"/>
        <v>0</v>
      </c>
      <c r="JI35" s="1155"/>
      <c r="JJ35" s="1155"/>
      <c r="JK35" s="1155"/>
      <c r="JL35" s="1155"/>
      <c r="JM35" s="1155"/>
      <c r="JN35" s="1155"/>
      <c r="JO35" s="1155"/>
      <c r="JP35" s="1155"/>
      <c r="JQ35" s="1155"/>
      <c r="JR35" s="1155"/>
      <c r="JS35" s="1155"/>
      <c r="JV35" s="105"/>
      <c r="JW35" s="106"/>
      <c r="JX35" s="106"/>
      <c r="JY35" s="106"/>
      <c r="JZ35" s="403"/>
      <c r="KA35" s="107"/>
      <c r="KB35" s="108"/>
      <c r="KE35" s="105"/>
      <c r="KF35" s="106"/>
      <c r="KG35" s="106"/>
      <c r="KH35" s="106"/>
      <c r="KI35" s="403"/>
      <c r="KJ35" s="107"/>
    </row>
    <row r="36" spans="2:296" ht="15.75" thickBot="1" x14ac:dyDescent="0.3">
      <c r="C36" s="23"/>
      <c r="E36" s="459" t="e">
        <f>E35/D35</f>
        <v>#DIV/0!</v>
      </c>
      <c r="BC36" s="499"/>
    </row>
    <row r="37" spans="2:296" x14ac:dyDescent="0.25">
      <c r="R37" s="358"/>
      <c r="S37" s="461" t="s">
        <v>856</v>
      </c>
      <c r="T37" s="361"/>
      <c r="Z37" s="467">
        <f>RANK(AB37,$AB$36:$AB$38)</f>
        <v>1</v>
      </c>
      <c r="AA37" s="461" t="s">
        <v>1468</v>
      </c>
      <c r="AB37" s="468">
        <f>COUNTIF($BA$51:$IZ$51,AA37)</f>
        <v>0</v>
      </c>
      <c r="AG37" s="358">
        <v>1</v>
      </c>
      <c r="AH37" s="1147" t="str">
        <f>IF($AH$38&gt;1,"MULTIPLE TYPES",VLOOKUP(AG37,$Z$38:$AA$65,2,FALSE))</f>
        <v>MULTIPLE TYPES</v>
      </c>
      <c r="AI37" s="361"/>
    </row>
    <row r="38" spans="2:296" x14ac:dyDescent="0.25">
      <c r="R38" s="462">
        <f>RANK(T38,$T$39:$T$43)</f>
        <v>1</v>
      </c>
      <c r="S38" s="460" t="s">
        <v>951</v>
      </c>
      <c r="T38" s="463">
        <f t="shared" ref="T38" si="64">COUNTIF($BB$47:$JA$47,S38)</f>
        <v>0</v>
      </c>
      <c r="Z38" s="462">
        <f>RANK(AB38,$AB$38:$AB$38)</f>
        <v>1</v>
      </c>
      <c r="AA38" s="460" t="s">
        <v>951</v>
      </c>
      <c r="AB38" s="463">
        <f>COUNTIF($AZ$53:$IP$53,AA38)</f>
        <v>0</v>
      </c>
      <c r="AG38" s="469" t="s">
        <v>861</v>
      </c>
      <c r="AH38" s="470">
        <f>COUNTIF($Z$38:$Z$65,1)</f>
        <v>2</v>
      </c>
      <c r="AI38" s="141"/>
      <c r="BA38" s="104" t="s">
        <v>843</v>
      </c>
      <c r="BB38" s="86">
        <f>BB1</f>
        <v>0</v>
      </c>
      <c r="BX38" s="104" t="s">
        <v>843</v>
      </c>
      <c r="BY38" s="86">
        <f>BY1</f>
        <v>0</v>
      </c>
      <c r="CU38" s="104" t="s">
        <v>843</v>
      </c>
      <c r="CV38" s="86">
        <f>CV1</f>
        <v>0</v>
      </c>
      <c r="DR38" s="104" t="s">
        <v>843</v>
      </c>
      <c r="DS38" s="86">
        <f>DS1</f>
        <v>0</v>
      </c>
      <c r="EO38" s="104" t="s">
        <v>843</v>
      </c>
      <c r="EP38" s="86">
        <f>EP1</f>
        <v>0</v>
      </c>
      <c r="FL38" s="104" t="s">
        <v>843</v>
      </c>
      <c r="FM38" s="86">
        <f>FM1</f>
        <v>0</v>
      </c>
      <c r="GI38" s="104" t="s">
        <v>843</v>
      </c>
      <c r="GJ38" s="86">
        <f>GJ1</f>
        <v>0</v>
      </c>
      <c r="HF38" s="104" t="s">
        <v>843</v>
      </c>
      <c r="HG38" s="86">
        <f>HG1</f>
        <v>0</v>
      </c>
      <c r="IC38" s="104" t="s">
        <v>843</v>
      </c>
      <c r="ID38" s="86">
        <f>ID1</f>
        <v>0</v>
      </c>
      <c r="IZ38" s="104" t="s">
        <v>843</v>
      </c>
      <c r="JA38" s="86">
        <f>JA1</f>
        <v>0</v>
      </c>
    </row>
    <row r="39" spans="2:296" x14ac:dyDescent="0.25">
      <c r="R39" s="462">
        <f t="shared" ref="R39:R47" si="65">RANK(T39,$T$39:$T$47)</f>
        <v>1</v>
      </c>
      <c r="S39" s="460" t="s">
        <v>1</v>
      </c>
      <c r="T39" s="463">
        <f>COUNTIF('Variable Costs (Back)'!$C$15:$C$24,S39)</f>
        <v>0</v>
      </c>
      <c r="Z39" s="462">
        <f t="shared" ref="Z39:Z65" si="66">RANK(AB39,$AB$38:$AB$65)</f>
        <v>1</v>
      </c>
      <c r="AA39" s="460" t="str" cm="1">
        <f t="array" ref="AA39">IF(_xlfn.UNIQUE('Margin Guidence Table'!F2:F1000000)&lt;&gt;0,_xlfn._xlws.SORT(_xlfn.UNIQUE('Margin Guidence Table'!F2:F1000000)),"")</f>
        <v/>
      </c>
      <c r="AB39" s="463">
        <f t="shared" ref="AB38:AB65" si="67">COUNTIF($BA$53:$IZ$53,AA39)</f>
        <v>189</v>
      </c>
      <c r="AG39" s="469" t="s">
        <v>860</v>
      </c>
      <c r="AH39" s="470" t="str">
        <f>VLOOKUP(AG37,$Z$38:$AA$65,2,FALSE)</f>
        <v>Enter Customer(s)</v>
      </c>
      <c r="AI39" s="141"/>
      <c r="BA39" s="104" t="s">
        <v>844</v>
      </c>
      <c r="BB39" s="86" t="e">
        <f>VLOOKUP(BB$1,'Existing Customers'!$A:$AA,2,FALSE)</f>
        <v>#N/A</v>
      </c>
      <c r="BX39" s="104" t="s">
        <v>844</v>
      </c>
      <c r="BY39" s="86" t="e">
        <f>VLOOKUP(BY$1,'Existing Customers'!$A:$AA,2,FALSE)</f>
        <v>#N/A</v>
      </c>
      <c r="CU39" s="104" t="s">
        <v>844</v>
      </c>
      <c r="CV39" s="86" t="e">
        <f>VLOOKUP(CV$1,'Existing Customers'!$A:$AA,2,FALSE)</f>
        <v>#N/A</v>
      </c>
      <c r="DR39" s="104" t="s">
        <v>844</v>
      </c>
      <c r="DS39" s="86" t="e">
        <f>VLOOKUP(DS$1,'Existing Customers'!$A:$AA,2,FALSE)</f>
        <v>#N/A</v>
      </c>
      <c r="EO39" s="104" t="s">
        <v>844</v>
      </c>
      <c r="EP39" s="86" t="e">
        <f>VLOOKUP(EP$1,'Existing Customers'!$A:$AA,2,FALSE)</f>
        <v>#N/A</v>
      </c>
      <c r="FL39" s="104" t="s">
        <v>844</v>
      </c>
      <c r="FM39" s="86" t="e">
        <f>VLOOKUP(FM$1,'Existing Customers'!$A:$AA,2,FALSE)</f>
        <v>#N/A</v>
      </c>
      <c r="GI39" s="104" t="s">
        <v>844</v>
      </c>
      <c r="GJ39" s="86" t="e">
        <f>VLOOKUP(GJ$1,'Existing Customers'!$A:$AA,2,FALSE)</f>
        <v>#N/A</v>
      </c>
      <c r="HF39" s="104" t="s">
        <v>844</v>
      </c>
      <c r="HG39" s="86" t="e">
        <f>VLOOKUP(HG$1,'Existing Customers'!$A:$AA,2,FALSE)</f>
        <v>#N/A</v>
      </c>
      <c r="IC39" s="104" t="s">
        <v>844</v>
      </c>
      <c r="ID39" s="86" t="e">
        <f>VLOOKUP(ID$1,'Existing Customers'!$A:$AA,2,FALSE)</f>
        <v>#N/A</v>
      </c>
      <c r="IZ39" s="104" t="s">
        <v>844</v>
      </c>
      <c r="JA39" s="86" t="e">
        <f>VLOOKUP(JA$1,'Existing Customers'!$A:$AA,2,FALSE)</f>
        <v>#N/A</v>
      </c>
    </row>
    <row r="40" spans="2:296" ht="15.75" thickBot="1" x14ac:dyDescent="0.3">
      <c r="R40" s="462">
        <f t="shared" si="65"/>
        <v>1</v>
      </c>
      <c r="S40" s="460" t="s">
        <v>114</v>
      </c>
      <c r="T40" s="463">
        <f>COUNTIF('Variable Costs (Back)'!$C$15:$C$24,S40)</f>
        <v>0</v>
      </c>
      <c r="Z40" s="462">
        <f t="shared" si="66"/>
        <v>2</v>
      </c>
      <c r="AA40" s="460"/>
      <c r="AB40" s="463">
        <f t="shared" si="67"/>
        <v>9</v>
      </c>
      <c r="AG40" s="471" t="s">
        <v>971</v>
      </c>
      <c r="AH40" s="472" t="str">
        <f>IF(COUNTIF($AB$39:$AB$65,"&gt;0")&gt;1,"MULTIPLE TYPES",$AH$37)</f>
        <v>MULTIPLE TYPES</v>
      </c>
      <c r="AI40" s="289"/>
      <c r="BA40" s="104" t="s">
        <v>120</v>
      </c>
      <c r="BB40" s="86" t="e">
        <f>VLOOKUP(BB$1,'Existing Customers'!$A:$AA,12,FALSE)</f>
        <v>#N/A</v>
      </c>
      <c r="BX40" s="104" t="s">
        <v>120</v>
      </c>
      <c r="BY40" s="86" t="e">
        <f>VLOOKUP(BY$1,'Existing Customers'!$A:$AA,12,FALSE)</f>
        <v>#N/A</v>
      </c>
      <c r="CU40" s="104" t="s">
        <v>120</v>
      </c>
      <c r="CV40" s="86" t="e">
        <f>VLOOKUP(CV$1,'Existing Customers'!$A:$AA,12,FALSE)</f>
        <v>#N/A</v>
      </c>
      <c r="DR40" s="104" t="s">
        <v>120</v>
      </c>
      <c r="DS40" s="86" t="e">
        <f>VLOOKUP(DS$1,'Existing Customers'!$A:$AA,12,FALSE)</f>
        <v>#N/A</v>
      </c>
      <c r="EO40" s="104" t="s">
        <v>120</v>
      </c>
      <c r="EP40" s="86" t="e">
        <f>VLOOKUP(EP$1,'Existing Customers'!$A:$AA,12,FALSE)</f>
        <v>#N/A</v>
      </c>
      <c r="FL40" s="104" t="s">
        <v>120</v>
      </c>
      <c r="FM40" s="86" t="e">
        <f>VLOOKUP(FM$1,'Existing Customers'!$A:$AA,12,FALSE)</f>
        <v>#N/A</v>
      </c>
      <c r="GI40" s="104" t="s">
        <v>120</v>
      </c>
      <c r="GJ40" s="86" t="e">
        <f>VLOOKUP(GJ$1,'Existing Customers'!$A:$AA,12,FALSE)</f>
        <v>#N/A</v>
      </c>
      <c r="HF40" s="104" t="s">
        <v>120</v>
      </c>
      <c r="HG40" s="86" t="e">
        <f>VLOOKUP(HG$1,'Existing Customers'!$A:$AA,12,FALSE)</f>
        <v>#N/A</v>
      </c>
      <c r="IC40" s="104" t="s">
        <v>120</v>
      </c>
      <c r="ID40" s="86" t="e">
        <f>VLOOKUP(ID$1,'Existing Customers'!$A:$AA,12,FALSE)</f>
        <v>#N/A</v>
      </c>
      <c r="IZ40" s="104" t="s">
        <v>120</v>
      </c>
      <c r="JA40" s="86" t="e">
        <f>VLOOKUP(JA$1,'Existing Customers'!$A:$AA,12,FALSE)</f>
        <v>#N/A</v>
      </c>
    </row>
    <row r="41" spans="2:296" x14ac:dyDescent="0.25">
      <c r="R41" s="462">
        <f t="shared" si="65"/>
        <v>1</v>
      </c>
      <c r="S41" s="460" t="s">
        <v>116</v>
      </c>
      <c r="T41" s="463">
        <f>COUNTIF('Variable Costs (Back)'!$C$15:$C$24,S41)</f>
        <v>0</v>
      </c>
      <c r="Z41" s="462">
        <f t="shared" si="66"/>
        <v>2</v>
      </c>
      <c r="AA41" s="460"/>
      <c r="AB41" s="463">
        <f t="shared" si="67"/>
        <v>9</v>
      </c>
      <c r="AG41" s="1142"/>
      <c r="AH41" s="1142"/>
      <c r="AI41" s="1142"/>
      <c r="BA41" s="104" t="s">
        <v>845</v>
      </c>
      <c r="BB41" s="86" t="e">
        <f>VLOOKUP(BB$1,'Existing Customers'!$A:$AA,25,FALSE)</f>
        <v>#N/A</v>
      </c>
      <c r="BX41" s="104" t="s">
        <v>845</v>
      </c>
      <c r="BY41" s="86" t="e">
        <f>VLOOKUP(BY$1,'Existing Customers'!$A:$AA,25,FALSE)</f>
        <v>#N/A</v>
      </c>
      <c r="CU41" s="104" t="s">
        <v>845</v>
      </c>
      <c r="CV41" s="86" t="e">
        <f>VLOOKUP(CV$1,'Existing Customers'!$A:$AA,25,FALSE)</f>
        <v>#N/A</v>
      </c>
      <c r="DR41" s="104" t="s">
        <v>845</v>
      </c>
      <c r="DS41" s="86" t="e">
        <f>VLOOKUP(DS$1,'Existing Customers'!$A:$AA,25,FALSE)</f>
        <v>#N/A</v>
      </c>
      <c r="EO41" s="104" t="s">
        <v>845</v>
      </c>
      <c r="EP41" s="86" t="e">
        <f>VLOOKUP(EP$1,'Existing Customers'!$A:$AA,25,FALSE)</f>
        <v>#N/A</v>
      </c>
      <c r="FL41" s="104" t="s">
        <v>845</v>
      </c>
      <c r="FM41" s="86" t="e">
        <f>VLOOKUP(FM$1,'Existing Customers'!$A:$AA,25,FALSE)</f>
        <v>#N/A</v>
      </c>
      <c r="GI41" s="104" t="s">
        <v>845</v>
      </c>
      <c r="GJ41" s="86" t="e">
        <f>VLOOKUP(GJ$1,'Existing Customers'!$A:$AA,25,FALSE)</f>
        <v>#N/A</v>
      </c>
      <c r="HF41" s="104" t="s">
        <v>845</v>
      </c>
      <c r="HG41" s="86" t="e">
        <f>VLOOKUP(HG$1,'Existing Customers'!$A:$AA,25,FALSE)</f>
        <v>#N/A</v>
      </c>
      <c r="IC41" s="104" t="s">
        <v>845</v>
      </c>
      <c r="ID41" s="86" t="e">
        <f>VLOOKUP(ID$1,'Existing Customers'!$A:$AA,25,FALSE)</f>
        <v>#N/A</v>
      </c>
      <c r="IZ41" s="104" t="s">
        <v>845</v>
      </c>
      <c r="JA41" s="86" t="e">
        <f>VLOOKUP(JA$1,'Existing Customers'!$A:$AA,25,FALSE)</f>
        <v>#N/A</v>
      </c>
    </row>
    <row r="42" spans="2:296" x14ac:dyDescent="0.25">
      <c r="R42" s="462">
        <f t="shared" si="65"/>
        <v>1</v>
      </c>
      <c r="S42" s="460" t="s">
        <v>112</v>
      </c>
      <c r="T42" s="463">
        <f>COUNTIF('Variable Costs (Back)'!$C$15:$C$24,S42)</f>
        <v>0</v>
      </c>
      <c r="Z42" s="462">
        <f t="shared" si="66"/>
        <v>2</v>
      </c>
      <c r="AA42" s="460"/>
      <c r="AB42" s="463">
        <f t="shared" si="67"/>
        <v>9</v>
      </c>
      <c r="BA42" s="104" t="s">
        <v>846</v>
      </c>
      <c r="BB42" s="86" t="e">
        <f>VLOOKUP(BB$1,'Existing Customers'!$A:$AA,26,FALSE)</f>
        <v>#N/A</v>
      </c>
      <c r="BX42" s="104" t="s">
        <v>846</v>
      </c>
      <c r="BY42" s="86" t="e">
        <f>VLOOKUP(BY$1,'Existing Customers'!$A:$AA,26,FALSE)</f>
        <v>#N/A</v>
      </c>
      <c r="CU42" s="104" t="s">
        <v>846</v>
      </c>
      <c r="CV42" s="86" t="e">
        <f>VLOOKUP(CV$1,'Existing Customers'!$A:$AA,26,FALSE)</f>
        <v>#N/A</v>
      </c>
      <c r="DR42" s="104" t="s">
        <v>846</v>
      </c>
      <c r="DS42" s="86" t="e">
        <f>VLOOKUP(DS$1,'Existing Customers'!$A:$AA,26,FALSE)</f>
        <v>#N/A</v>
      </c>
      <c r="EO42" s="104" t="s">
        <v>846</v>
      </c>
      <c r="EP42" s="86" t="e">
        <f>VLOOKUP(EP$1,'Existing Customers'!$A:$AA,26,FALSE)</f>
        <v>#N/A</v>
      </c>
      <c r="FL42" s="104" t="s">
        <v>846</v>
      </c>
      <c r="FM42" s="86" t="e">
        <f>VLOOKUP(FM$1,'Existing Customers'!$A:$AA,26,FALSE)</f>
        <v>#N/A</v>
      </c>
      <c r="GI42" s="104" t="s">
        <v>846</v>
      </c>
      <c r="GJ42" s="86" t="e">
        <f>VLOOKUP(GJ$1,'Existing Customers'!$A:$AA,26,FALSE)</f>
        <v>#N/A</v>
      </c>
      <c r="HF42" s="104" t="s">
        <v>846</v>
      </c>
      <c r="HG42" s="86" t="e">
        <f>VLOOKUP(HG$1,'Existing Customers'!$A:$AA,26,FALSE)</f>
        <v>#N/A</v>
      </c>
      <c r="IC42" s="104" t="s">
        <v>846</v>
      </c>
      <c r="ID42" s="86" t="e">
        <f>VLOOKUP(ID$1,'Existing Customers'!$A:$AA,26,FALSE)</f>
        <v>#N/A</v>
      </c>
      <c r="IZ42" s="104" t="s">
        <v>846</v>
      </c>
      <c r="JA42" s="86" t="e">
        <f>VLOOKUP(JA$1,'Existing Customers'!$A:$AA,26,FALSE)</f>
        <v>#N/A</v>
      </c>
    </row>
    <row r="43" spans="2:296" x14ac:dyDescent="0.25">
      <c r="R43" s="462">
        <f t="shared" si="65"/>
        <v>1</v>
      </c>
      <c r="S43" s="460" t="s">
        <v>113</v>
      </c>
      <c r="T43" s="463">
        <f>COUNTIF('Variable Costs (Back)'!$C$15:$C$24,S43)</f>
        <v>0</v>
      </c>
      <c r="Z43" s="462">
        <f t="shared" si="66"/>
        <v>2</v>
      </c>
      <c r="AA43" s="460"/>
      <c r="AB43" s="463">
        <f t="shared" si="67"/>
        <v>9</v>
      </c>
      <c r="BA43" s="104" t="s">
        <v>847</v>
      </c>
      <c r="BB43" s="86" t="e">
        <f>VLOOKUP(BB$1,'Existing Customers'!$A:$AA,23,FALSE)</f>
        <v>#N/A</v>
      </c>
      <c r="BX43" s="104" t="s">
        <v>847</v>
      </c>
      <c r="BY43" s="86" t="e">
        <f>VLOOKUP(BY$1,'Existing Customers'!$A:$AA,23,FALSE)</f>
        <v>#N/A</v>
      </c>
      <c r="CU43" s="104" t="s">
        <v>847</v>
      </c>
      <c r="CV43" s="86" t="e">
        <f>VLOOKUP(CV$1,'Existing Customers'!$A:$AA,23,FALSE)</f>
        <v>#N/A</v>
      </c>
      <c r="DR43" s="104" t="s">
        <v>847</v>
      </c>
      <c r="DS43" s="86" t="e">
        <f>VLOOKUP(DS$1,'Existing Customers'!$A:$AA,23,FALSE)</f>
        <v>#N/A</v>
      </c>
      <c r="EO43" s="104" t="s">
        <v>847</v>
      </c>
      <c r="EP43" s="86" t="e">
        <f>VLOOKUP(EP$1,'Existing Customers'!$A:$AA,23,FALSE)</f>
        <v>#N/A</v>
      </c>
      <c r="FL43" s="104" t="s">
        <v>847</v>
      </c>
      <c r="FM43" s="86" t="e">
        <f>VLOOKUP(FM$1,'Existing Customers'!$A:$AA,23,FALSE)</f>
        <v>#N/A</v>
      </c>
      <c r="GI43" s="104" t="s">
        <v>847</v>
      </c>
      <c r="GJ43" s="86" t="e">
        <f>VLOOKUP(GJ$1,'Existing Customers'!$A:$AA,23,FALSE)</f>
        <v>#N/A</v>
      </c>
      <c r="HF43" s="104" t="s">
        <v>847</v>
      </c>
      <c r="HG43" s="86" t="e">
        <f>VLOOKUP(HG$1,'Existing Customers'!$A:$AA,23,FALSE)</f>
        <v>#N/A</v>
      </c>
      <c r="IC43" s="104" t="s">
        <v>847</v>
      </c>
      <c r="ID43" s="86" t="e">
        <f>VLOOKUP(ID$1,'Existing Customers'!$A:$AA,23,FALSE)</f>
        <v>#N/A</v>
      </c>
      <c r="IZ43" s="104" t="s">
        <v>847</v>
      </c>
      <c r="JA43" s="86" t="e">
        <f>VLOOKUP(JA$1,'Existing Customers'!$A:$AA,23,FALSE)</f>
        <v>#N/A</v>
      </c>
    </row>
    <row r="44" spans="2:296" x14ac:dyDescent="0.25">
      <c r="R44" s="462">
        <f t="shared" si="65"/>
        <v>1</v>
      </c>
      <c r="S44" s="460" t="s">
        <v>111</v>
      </c>
      <c r="T44" s="463">
        <f>COUNTIF('Variable Costs (Back)'!$C$15:$C$24,S44)</f>
        <v>0</v>
      </c>
      <c r="Z44" s="462">
        <f t="shared" si="66"/>
        <v>2</v>
      </c>
      <c r="AA44" s="460"/>
      <c r="AB44" s="463">
        <f t="shared" si="67"/>
        <v>9</v>
      </c>
      <c r="BA44" s="104" t="s">
        <v>848</v>
      </c>
      <c r="BB44" s="86" t="e">
        <f>VLOOKUP(BB$1,'Existing Customers'!$A:$AA,24,FALSE)</f>
        <v>#N/A</v>
      </c>
      <c r="BX44" s="104" t="s">
        <v>848</v>
      </c>
      <c r="BY44" s="86" t="e">
        <f>VLOOKUP(BY$1,'Existing Customers'!$A:$AA,24,FALSE)</f>
        <v>#N/A</v>
      </c>
      <c r="CU44" s="104" t="s">
        <v>848</v>
      </c>
      <c r="CV44" s="86" t="e">
        <f>VLOOKUP(CV$1,'Existing Customers'!$A:$AA,24,FALSE)</f>
        <v>#N/A</v>
      </c>
      <c r="DR44" s="104" t="s">
        <v>848</v>
      </c>
      <c r="DS44" s="86" t="e">
        <f>VLOOKUP(DS$1,'Existing Customers'!$A:$AA,24,FALSE)</f>
        <v>#N/A</v>
      </c>
      <c r="EO44" s="104" t="s">
        <v>848</v>
      </c>
      <c r="EP44" s="86" t="e">
        <f>VLOOKUP(EP$1,'Existing Customers'!$A:$AA,24,FALSE)</f>
        <v>#N/A</v>
      </c>
      <c r="FL44" s="104" t="s">
        <v>848</v>
      </c>
      <c r="FM44" s="86" t="e">
        <f>VLOOKUP(FM$1,'Existing Customers'!$A:$AA,24,FALSE)</f>
        <v>#N/A</v>
      </c>
      <c r="GI44" s="104" t="s">
        <v>848</v>
      </c>
      <c r="GJ44" s="86" t="e">
        <f>VLOOKUP(GJ$1,'Existing Customers'!$A:$AA,24,FALSE)</f>
        <v>#N/A</v>
      </c>
      <c r="HF44" s="104" t="s">
        <v>848</v>
      </c>
      <c r="HG44" s="86" t="e">
        <f>VLOOKUP(HG$1,'Existing Customers'!$A:$AA,24,FALSE)</f>
        <v>#N/A</v>
      </c>
      <c r="IC44" s="104" t="s">
        <v>848</v>
      </c>
      <c r="ID44" s="86" t="e">
        <f>VLOOKUP(ID$1,'Existing Customers'!$A:$AA,24,FALSE)</f>
        <v>#N/A</v>
      </c>
      <c r="IZ44" s="104" t="s">
        <v>848</v>
      </c>
      <c r="JA44" s="86" t="e">
        <f>VLOOKUP(JA$1,'Existing Customers'!$A:$AA,24,FALSE)</f>
        <v>#N/A</v>
      </c>
    </row>
    <row r="45" spans="2:296" x14ac:dyDescent="0.25">
      <c r="R45" s="462">
        <f t="shared" si="65"/>
        <v>1</v>
      </c>
      <c r="S45" s="460" t="s">
        <v>118</v>
      </c>
      <c r="T45" s="463">
        <f>COUNTIF('Variable Costs (Back)'!$C$15:$C$24,S45)</f>
        <v>0</v>
      </c>
      <c r="Z45" s="462">
        <f t="shared" si="66"/>
        <v>2</v>
      </c>
      <c r="AA45" s="460"/>
      <c r="AB45" s="463">
        <f t="shared" si="67"/>
        <v>9</v>
      </c>
      <c r="BA45" s="104" t="s">
        <v>849</v>
      </c>
      <c r="BB45" s="86" t="e">
        <f>VLOOKUP(BB$1,'Existing Customers'!$A:$AA,9,FALSE)</f>
        <v>#N/A</v>
      </c>
      <c r="BX45" s="104" t="s">
        <v>849</v>
      </c>
      <c r="BY45" s="86" t="e">
        <f>VLOOKUP(BY$1,'Existing Customers'!$A:$AA,9,FALSE)</f>
        <v>#N/A</v>
      </c>
      <c r="CU45" s="104" t="s">
        <v>849</v>
      </c>
      <c r="CV45" s="86" t="e">
        <f>VLOOKUP(CV$1,'Existing Customers'!$A:$AA,9,FALSE)</f>
        <v>#N/A</v>
      </c>
      <c r="DR45" s="104" t="s">
        <v>849</v>
      </c>
      <c r="DS45" s="86" t="e">
        <f>VLOOKUP(DS$1,'Existing Customers'!$A:$AA,9,FALSE)</f>
        <v>#N/A</v>
      </c>
      <c r="EO45" s="104" t="s">
        <v>849</v>
      </c>
      <c r="EP45" s="86" t="e">
        <f>VLOOKUP(EP$1,'Existing Customers'!$A:$AA,9,FALSE)</f>
        <v>#N/A</v>
      </c>
      <c r="FL45" s="104" t="s">
        <v>849</v>
      </c>
      <c r="FM45" s="86" t="e">
        <f>VLOOKUP(FM$1,'Existing Customers'!$A:$AA,9,FALSE)</f>
        <v>#N/A</v>
      </c>
      <c r="GI45" s="104" t="s">
        <v>849</v>
      </c>
      <c r="GJ45" s="86" t="e">
        <f>VLOOKUP(GJ$1,'Existing Customers'!$A:$AA,9,FALSE)</f>
        <v>#N/A</v>
      </c>
      <c r="HF45" s="104" t="s">
        <v>849</v>
      </c>
      <c r="HG45" s="86" t="e">
        <f>VLOOKUP(HG$1,'Existing Customers'!$A:$AA,9,FALSE)</f>
        <v>#N/A</v>
      </c>
      <c r="IC45" s="104" t="s">
        <v>849</v>
      </c>
      <c r="ID45" s="86" t="e">
        <f>VLOOKUP(ID$1,'Existing Customers'!$A:$AA,9,FALSE)</f>
        <v>#N/A</v>
      </c>
      <c r="IZ45" s="104" t="s">
        <v>849</v>
      </c>
      <c r="JA45" s="86" t="e">
        <f>VLOOKUP(JA$1,'Existing Customers'!$A:$AA,9,FALSE)</f>
        <v>#N/A</v>
      </c>
    </row>
    <row r="46" spans="2:296" x14ac:dyDescent="0.25">
      <c r="R46" s="462">
        <f t="shared" si="65"/>
        <v>1</v>
      </c>
      <c r="S46" s="460" t="s">
        <v>115</v>
      </c>
      <c r="T46" s="463">
        <f>COUNTIF('Variable Costs (Back)'!$C$15:$C$24,S46)</f>
        <v>0</v>
      </c>
      <c r="Z46" s="462">
        <f t="shared" si="66"/>
        <v>2</v>
      </c>
      <c r="AA46" s="460"/>
      <c r="AB46" s="463">
        <f t="shared" si="67"/>
        <v>9</v>
      </c>
      <c r="BA46" s="104" t="s">
        <v>850</v>
      </c>
      <c r="BB46" s="86" t="e">
        <f>VLOOKUP(BB$1,'Existing Customers'!$A:$AA,27,FALSE)</f>
        <v>#N/A</v>
      </c>
      <c r="BX46" s="104" t="s">
        <v>850</v>
      </c>
      <c r="BY46" s="86" t="e">
        <f>VLOOKUP(BY$1,'Existing Customers'!$A:$AA,27,FALSE)</f>
        <v>#N/A</v>
      </c>
      <c r="CU46" s="104" t="s">
        <v>850</v>
      </c>
      <c r="CV46" s="86" t="e">
        <f>VLOOKUP(CV$1,'Existing Customers'!$A:$AA,27,FALSE)</f>
        <v>#N/A</v>
      </c>
      <c r="DR46" s="104" t="s">
        <v>850</v>
      </c>
      <c r="DS46" s="86" t="e">
        <f>VLOOKUP(DS$1,'Existing Customers'!$A:$AA,27,FALSE)</f>
        <v>#N/A</v>
      </c>
      <c r="EO46" s="104" t="s">
        <v>850</v>
      </c>
      <c r="EP46" s="86" t="e">
        <f>VLOOKUP(EP$1,'Existing Customers'!$A:$AA,27,FALSE)</f>
        <v>#N/A</v>
      </c>
      <c r="FL46" s="104" t="s">
        <v>850</v>
      </c>
      <c r="FM46" s="86" t="e">
        <f>VLOOKUP(FM$1,'Existing Customers'!$A:$AA,27,FALSE)</f>
        <v>#N/A</v>
      </c>
      <c r="GI46" s="104" t="s">
        <v>850</v>
      </c>
      <c r="GJ46" s="86" t="e">
        <f>VLOOKUP(GJ$1,'Existing Customers'!$A:$AA,27,FALSE)</f>
        <v>#N/A</v>
      </c>
      <c r="HF46" s="104" t="s">
        <v>850</v>
      </c>
      <c r="HG46" s="86" t="e">
        <f>VLOOKUP(HG$1,'Existing Customers'!$A:$AA,27,FALSE)</f>
        <v>#N/A</v>
      </c>
      <c r="IC46" s="104" t="s">
        <v>850</v>
      </c>
      <c r="ID46" s="86" t="e">
        <f>VLOOKUP(ID$1,'Existing Customers'!$A:$AA,27,FALSE)</f>
        <v>#N/A</v>
      </c>
      <c r="IZ46" s="104" t="s">
        <v>850</v>
      </c>
      <c r="JA46" s="86" t="e">
        <f>VLOOKUP(JA$1,'Existing Customers'!$A:$AA,27,FALSE)</f>
        <v>#N/A</v>
      </c>
    </row>
    <row r="47" spans="2:296" x14ac:dyDescent="0.25">
      <c r="R47" s="462">
        <f t="shared" si="65"/>
        <v>1</v>
      </c>
      <c r="S47" s="460" t="s">
        <v>117</v>
      </c>
      <c r="T47" s="463">
        <f>COUNTIF('Variable Costs (Back)'!$C$15:$C$24,S47)</f>
        <v>0</v>
      </c>
      <c r="Z47" s="462">
        <f t="shared" si="66"/>
        <v>2</v>
      </c>
      <c r="AA47" s="460"/>
      <c r="AB47" s="463">
        <f t="shared" si="67"/>
        <v>9</v>
      </c>
      <c r="BA47" s="104" t="s">
        <v>999</v>
      </c>
      <c r="BB47" s="86" t="e">
        <f>VLOOKUP(BB$1,'Existing Customers'!$A:$AA,4,FALSE)</f>
        <v>#N/A</v>
      </c>
      <c r="BX47" s="104" t="s">
        <v>107</v>
      </c>
      <c r="BY47" s="86" t="e">
        <f>VLOOKUP(BY$1,'Existing Customers'!$A:$AA,4,FALSE)</f>
        <v>#N/A</v>
      </c>
      <c r="CU47" s="104" t="s">
        <v>107</v>
      </c>
      <c r="CV47" s="86" t="e">
        <f>VLOOKUP(CV$1,'Existing Customers'!$A:$AA,4,FALSE)</f>
        <v>#N/A</v>
      </c>
      <c r="DR47" s="104" t="s">
        <v>107</v>
      </c>
      <c r="DS47" s="86" t="e">
        <f>VLOOKUP(DS$1,'Existing Customers'!$A:$AA,4,FALSE)</f>
        <v>#N/A</v>
      </c>
      <c r="EO47" s="104" t="s">
        <v>107</v>
      </c>
      <c r="EP47" s="86" t="e">
        <f>VLOOKUP(EP$1,'Existing Customers'!$A:$AA,4,FALSE)</f>
        <v>#N/A</v>
      </c>
      <c r="FL47" s="104" t="s">
        <v>107</v>
      </c>
      <c r="FM47" s="86" t="e">
        <f>VLOOKUP(FM$1,'Existing Customers'!$A:$AA,4,FALSE)</f>
        <v>#N/A</v>
      </c>
      <c r="GI47" s="104" t="s">
        <v>107</v>
      </c>
      <c r="GJ47" s="86" t="e">
        <f>VLOOKUP(GJ$1,'Existing Customers'!$A:$AA,4,FALSE)</f>
        <v>#N/A</v>
      </c>
      <c r="HF47" s="104" t="s">
        <v>107</v>
      </c>
      <c r="HG47" s="86" t="e">
        <f>VLOOKUP(HG$1,'Existing Customers'!$A:$AA,4,FALSE)</f>
        <v>#N/A</v>
      </c>
      <c r="IC47" s="104" t="s">
        <v>107</v>
      </c>
      <c r="ID47" s="86" t="e">
        <f>VLOOKUP(ID$1,'Existing Customers'!$A:$AA,4,FALSE)</f>
        <v>#N/A</v>
      </c>
      <c r="IZ47" s="104" t="s">
        <v>107</v>
      </c>
      <c r="JA47" s="86" t="e">
        <f>VLOOKUP(JA$1,'Existing Customers'!$A:$AA,4,FALSE)</f>
        <v>#N/A</v>
      </c>
    </row>
    <row r="48" spans="2:296" x14ac:dyDescent="0.25">
      <c r="R48" s="140"/>
      <c r="T48" s="141"/>
      <c r="Z48" s="462">
        <f t="shared" si="66"/>
        <v>2</v>
      </c>
      <c r="AA48" s="460"/>
      <c r="AB48" s="463">
        <f t="shared" si="67"/>
        <v>9</v>
      </c>
      <c r="BA48" s="104" t="s">
        <v>855</v>
      </c>
      <c r="BB48" s="86">
        <f>IFERROR(VLOOKUP(BB$1,'Existing Customers'!$A:$AA,6,FALSE),BB6)</f>
        <v>0</v>
      </c>
      <c r="BX48" s="104" t="s">
        <v>855</v>
      </c>
      <c r="BY48" s="86">
        <f>IFERROR(VLOOKUP(BY$1,'Existing Customers'!$A:$AA,6,FALSE),BY5)</f>
        <v>0</v>
      </c>
      <c r="CU48" s="104" t="s">
        <v>855</v>
      </c>
      <c r="CV48" s="86">
        <f>IFERROR(VLOOKUP(CV$1,'Existing Customers'!$A:$AA,6,FALSE),CV6)</f>
        <v>0</v>
      </c>
      <c r="DR48" s="104" t="s">
        <v>855</v>
      </c>
      <c r="DS48" s="86">
        <f>IFERROR(VLOOKUP(DS$1,'Existing Customers'!$A:$AA,6,FALSE),DS6)</f>
        <v>0</v>
      </c>
      <c r="EO48" s="104" t="s">
        <v>855</v>
      </c>
      <c r="EP48" s="86">
        <f>IFERROR(VLOOKUP(EP$1,'Existing Customers'!$A:$AA,6,FALSE),EP6)</f>
        <v>0</v>
      </c>
      <c r="FL48" s="104" t="s">
        <v>855</v>
      </c>
      <c r="FM48" s="86">
        <f>IFERROR(VLOOKUP(FM$1,'Existing Customers'!$A:$AA,6,FALSE),FM6)</f>
        <v>0</v>
      </c>
      <c r="GI48" s="104" t="s">
        <v>855</v>
      </c>
      <c r="GJ48" s="86">
        <f>IFERROR(VLOOKUP(GJ$1,'Existing Customers'!$A:$AA,6,FALSE),GJ6)</f>
        <v>0</v>
      </c>
      <c r="HF48" s="104" t="s">
        <v>855</v>
      </c>
      <c r="HG48" s="86">
        <f>IFERROR(VLOOKUP(HG$1,'Existing Customers'!$A:$AA,6,FALSE),HG6)</f>
        <v>0</v>
      </c>
      <c r="IC48" s="104" t="s">
        <v>855</v>
      </c>
      <c r="ID48" s="86">
        <f>IFERROR(VLOOKUP(ID$1,'Existing Customers'!$A:$AA,6,FALSE),ID6)</f>
        <v>0</v>
      </c>
      <c r="IZ48" s="104" t="s">
        <v>855</v>
      </c>
      <c r="JA48" s="86">
        <f>IFERROR(VLOOKUP(JA$1,'Existing Customers'!$A:$AA,6,FALSE),JA6)</f>
        <v>0</v>
      </c>
    </row>
    <row r="49" spans="18:261" ht="15.75" thickBot="1" x14ac:dyDescent="0.3">
      <c r="R49" s="464">
        <v>1</v>
      </c>
      <c r="S49" s="465" t="str">
        <f>IF(COUNTIF($T$38:$T$47,"&gt;0")&gt;1,"MULTIPLE PYRAMID SEGMENTS",VLOOKUP(R49,$R$38:$S$47,2,FALSE))</f>
        <v>Enter Customer(s)</v>
      </c>
      <c r="T49" s="466"/>
      <c r="Z49" s="462">
        <f t="shared" si="66"/>
        <v>2</v>
      </c>
      <c r="AA49" s="460"/>
      <c r="AB49" s="463">
        <f t="shared" si="67"/>
        <v>9</v>
      </c>
      <c r="BA49" s="104" t="s">
        <v>998</v>
      </c>
      <c r="BB49" s="86" t="str">
        <f>IFERROR(ROUND(VLOOKUP(BB38,'Existing Customer Variable Exp'!$B:$F,5,FALSE)/52,1),"Enter Drops &gt;")</f>
        <v>Enter Drops &gt;</v>
      </c>
      <c r="BX49" s="104" t="s">
        <v>859</v>
      </c>
      <c r="BY49" s="86" t="str">
        <f>IFERROR(ROUND(VLOOKUP(BY38,'Existing Customer Variable Exp'!$B:$F,5,FALSE)/52,1),"Enter Drops &gt;")</f>
        <v>Enter Drops &gt;</v>
      </c>
      <c r="CU49" s="104" t="s">
        <v>859</v>
      </c>
      <c r="CV49" s="86" t="str">
        <f>IFERROR(ROUND(VLOOKUP(CV38,'Existing Customer Variable Exp'!$B:$F,5,FALSE)/52,1),"Enter Drops &gt;")</f>
        <v>Enter Drops &gt;</v>
      </c>
      <c r="DR49" s="104" t="s">
        <v>859</v>
      </c>
      <c r="DS49" s="86" t="str">
        <f>IFERROR(ROUND(VLOOKUP(DS38,'Existing Customer Variable Exp'!$B:$F,5,FALSE)/52,1),"Enter Drops &gt;")</f>
        <v>Enter Drops &gt;</v>
      </c>
      <c r="EO49" s="104" t="s">
        <v>859</v>
      </c>
      <c r="EP49" s="86" t="str">
        <f>IFERROR(ROUND(VLOOKUP(EP38,'Existing Customer Variable Exp'!$B:$F,5,FALSE)/52,1),"Enter Drops &gt;")</f>
        <v>Enter Drops &gt;</v>
      </c>
      <c r="FL49" s="104" t="s">
        <v>859</v>
      </c>
      <c r="FM49" s="86" t="str">
        <f>IFERROR(ROUND(VLOOKUP(FM38,'Existing Customer Variable Exp'!$B:$F,5,FALSE)/52,1),"Enter Drops &gt;")</f>
        <v>Enter Drops &gt;</v>
      </c>
      <c r="GI49" s="104" t="s">
        <v>859</v>
      </c>
      <c r="GJ49" s="86" t="str">
        <f>IFERROR(ROUND(VLOOKUP(GJ38,'Existing Customer Variable Exp'!$B:$F,5,FALSE)/52,1),"Enter Drops &gt;")</f>
        <v>Enter Drops &gt;</v>
      </c>
      <c r="HF49" s="104" t="s">
        <v>859</v>
      </c>
      <c r="HG49" s="86" t="str">
        <f>IFERROR(ROUND(VLOOKUP(HG38,'Existing Customer Variable Exp'!$B:$F,5,FALSE)/52,1),"Enter Drops &gt;")</f>
        <v>Enter Drops &gt;</v>
      </c>
      <c r="IC49" s="104" t="s">
        <v>859</v>
      </c>
      <c r="ID49" s="86" t="str">
        <f>IFERROR(ROUND(VLOOKUP(ID38,'Existing Customer Variable Exp'!$B:$F,5,FALSE)/52,1),"Enter Drops &gt;")</f>
        <v>Enter Drops &gt;</v>
      </c>
      <c r="IZ49" s="104" t="s">
        <v>859</v>
      </c>
      <c r="JA49" s="86" t="str">
        <f>IFERROR(ROUND(VLOOKUP(JA38,'Existing Customer Variable Exp'!$B:$F,5,FALSE)/52,1),"Enter Drops &gt;")</f>
        <v>Enter Drops &gt;</v>
      </c>
    </row>
    <row r="50" spans="18:261" x14ac:dyDescent="0.25">
      <c r="W50" s="104"/>
      <c r="X50" s="129"/>
      <c r="Z50" s="462">
        <f t="shared" si="66"/>
        <v>2</v>
      </c>
      <c r="AA50" s="460"/>
      <c r="AB50" s="463">
        <f t="shared" si="67"/>
        <v>9</v>
      </c>
      <c r="BA50" s="104" t="s">
        <v>470</v>
      </c>
      <c r="BB50" s="130">
        <f>IF(BB2="Enter Spend&gt;&gt;&gt;","Enter EB % &gt;",BB$7)</f>
        <v>0</v>
      </c>
      <c r="BX50" s="104" t="s">
        <v>470</v>
      </c>
      <c r="BY50" s="130">
        <f>IF(BY2="Enter Spend&gt;&gt;&gt;","Enter EB % &gt;",BY$7)</f>
        <v>0</v>
      </c>
      <c r="CU50" s="104" t="s">
        <v>470</v>
      </c>
      <c r="CV50" s="130">
        <f>IF(CV2="Enter Spend&gt;&gt;&gt;","Enter EB % &gt;",CV$7)</f>
        <v>0</v>
      </c>
      <c r="DR50" s="104" t="s">
        <v>470</v>
      </c>
      <c r="DS50" s="130">
        <f>IF(DS2="Enter Spend&gt;&gt;&gt;","Enter EB % &gt;",DS$7)</f>
        <v>0</v>
      </c>
      <c r="EO50" s="104" t="s">
        <v>470</v>
      </c>
      <c r="EP50" s="130">
        <f>IF(EP2="Enter Spend&gt;&gt;&gt;","Enter EB % &gt;",EP$7)</f>
        <v>0</v>
      </c>
      <c r="FL50" s="104" t="s">
        <v>470</v>
      </c>
      <c r="FM50" s="130">
        <f>IF(FM2="Enter Spend&gt;&gt;&gt;","Enter EB % &gt;",FM$7)</f>
        <v>0</v>
      </c>
      <c r="GI50" s="104" t="s">
        <v>470</v>
      </c>
      <c r="GJ50" s="130">
        <f>IF(GJ2="Enter Spend&gt;&gt;&gt;","Enter EB % &gt;",GJ$7)</f>
        <v>0</v>
      </c>
      <c r="HF50" s="104" t="s">
        <v>470</v>
      </c>
      <c r="HG50" s="130">
        <f>IF(HG2="Enter Spend&gt;&gt;&gt;","Enter EB % &gt;",HG$7)</f>
        <v>0</v>
      </c>
      <c r="IC50" s="104" t="s">
        <v>470</v>
      </c>
      <c r="ID50" s="130">
        <f>IF(ID2="Enter Spend&gt;&gt;&gt;","Enter EB % &gt;",ID$7)</f>
        <v>0</v>
      </c>
      <c r="IZ50" s="104" t="s">
        <v>470</v>
      </c>
      <c r="JA50" s="130">
        <f>IF(JA2="Enter Spend&gt;&gt;&gt;","Enter EB % &gt;",JA$7)</f>
        <v>0</v>
      </c>
    </row>
    <row r="51" spans="18:261" x14ac:dyDescent="0.25">
      <c r="R51" s="1142"/>
      <c r="S51" s="1142"/>
      <c r="T51" s="104"/>
      <c r="W51" s="104"/>
      <c r="X51" s="129"/>
      <c r="Z51" s="462">
        <f t="shared" si="66"/>
        <v>2</v>
      </c>
      <c r="AA51" s="460"/>
      <c r="AB51" s="463">
        <f t="shared" si="67"/>
        <v>9</v>
      </c>
      <c r="BA51" s="104" t="s">
        <v>997</v>
      </c>
      <c r="BB51" s="108">
        <f>SUMIFS('Existing Customers'!$N:$N,'Existing Customers'!$A:$A,'Multi-Customer'!BB$38)</f>
        <v>0</v>
      </c>
      <c r="BX51" s="104" t="s">
        <v>991</v>
      </c>
      <c r="BY51" s="108">
        <f>SUMIFS('Existing Customers'!$N:$N,'Existing Customers'!$A:$A,'Multi-Customer'!BY$38)</f>
        <v>0</v>
      </c>
      <c r="CU51" s="104" t="s">
        <v>991</v>
      </c>
      <c r="CV51" s="108">
        <f>SUMIFS('Existing Customers'!$N:$N,'Existing Customers'!$A:$A,'Multi-Customer'!CV$38)</f>
        <v>0</v>
      </c>
      <c r="DR51" s="104" t="s">
        <v>991</v>
      </c>
      <c r="DS51" s="108">
        <f>SUMIFS('Existing Customers'!$N:$N,'Existing Customers'!$A:$A,'Multi-Customer'!DS$38)</f>
        <v>0</v>
      </c>
      <c r="EO51" s="104" t="s">
        <v>991</v>
      </c>
      <c r="EP51" s="108">
        <f>SUMIFS('Existing Customers'!$N:$N,'Existing Customers'!$A:$A,'Multi-Customer'!EP$38)</f>
        <v>0</v>
      </c>
      <c r="FL51" s="104" t="s">
        <v>991</v>
      </c>
      <c r="FM51" s="108">
        <f>SUMIFS('Existing Customers'!$N:$N,'Existing Customers'!$A:$A,'Multi-Customer'!FM$38)</f>
        <v>0</v>
      </c>
      <c r="GI51" s="104" t="s">
        <v>991</v>
      </c>
      <c r="GJ51" s="108">
        <f>SUMIFS('Existing Customers'!$N:$N,'Existing Customers'!$A:$A,'Multi-Customer'!GJ$38)</f>
        <v>0</v>
      </c>
      <c r="HF51" s="104" t="s">
        <v>991</v>
      </c>
      <c r="HG51" s="108">
        <f>SUMIFS('Existing Customers'!$N:$N,'Existing Customers'!$A:$A,'Multi-Customer'!HG$38)</f>
        <v>0</v>
      </c>
      <c r="IC51" s="104" t="s">
        <v>991</v>
      </c>
      <c r="ID51" s="108">
        <f>SUMIFS('Existing Customers'!$N:$N,'Existing Customers'!$A:$A,'Multi-Customer'!ID$38)</f>
        <v>0</v>
      </c>
      <c r="IZ51" s="104" t="s">
        <v>991</v>
      </c>
      <c r="JA51" s="108">
        <f>SUMIFS('Existing Customers'!$N:$N,'Existing Customers'!$A:$A,'Multi-Customer'!JA$38)</f>
        <v>0</v>
      </c>
    </row>
    <row r="52" spans="18:261" x14ac:dyDescent="0.25">
      <c r="R52" s="1142"/>
      <c r="S52" s="1142"/>
      <c r="T52" s="104"/>
      <c r="W52" s="104"/>
      <c r="X52" s="130"/>
      <c r="Z52" s="462">
        <f t="shared" si="66"/>
        <v>2</v>
      </c>
      <c r="AA52" s="460"/>
      <c r="AB52" s="463">
        <f t="shared" si="67"/>
        <v>9</v>
      </c>
      <c r="BA52" s="104" t="s">
        <v>996</v>
      </c>
      <c r="BB52" s="108">
        <f>IFERROR(VLOOKUP(BB$38,'Existing Customer Variable Exp'!$B:$F,5,FALSE),0)</f>
        <v>0</v>
      </c>
      <c r="BX52" s="104" t="s">
        <v>996</v>
      </c>
      <c r="BY52" s="108">
        <f>IFERROR(VLOOKUP(BY$38,'Existing Customer Variable Exp'!$B:$F,5,FALSE),0)</f>
        <v>0</v>
      </c>
      <c r="CU52" s="104" t="s">
        <v>996</v>
      </c>
      <c r="CV52" s="108">
        <f>IFERROR(VLOOKUP(CV$38,'Existing Customer Variable Exp'!$B:$F,5,FALSE),0)</f>
        <v>0</v>
      </c>
      <c r="DR52" s="104" t="s">
        <v>996</v>
      </c>
      <c r="DS52" s="108">
        <f>IFERROR(VLOOKUP(DS$38,'Existing Customer Variable Exp'!$B:$F,5,FALSE),0)</f>
        <v>0</v>
      </c>
      <c r="EO52" s="104" t="s">
        <v>996</v>
      </c>
      <c r="EP52" s="108">
        <f>IFERROR(VLOOKUP(EP$38,'Existing Customer Variable Exp'!$B:$F,5,FALSE),0)</f>
        <v>0</v>
      </c>
      <c r="FL52" s="104" t="s">
        <v>996</v>
      </c>
      <c r="FM52" s="108">
        <f>IFERROR(VLOOKUP(FM$38,'Existing Customer Variable Exp'!$B:$F,5,FALSE),0)</f>
        <v>0</v>
      </c>
      <c r="GI52" s="104" t="s">
        <v>996</v>
      </c>
      <c r="GJ52" s="108">
        <f>IFERROR(VLOOKUP(GJ$38,'Existing Customer Variable Exp'!$B:$F,5,FALSE),0)</f>
        <v>0</v>
      </c>
      <c r="HF52" s="104" t="s">
        <v>996</v>
      </c>
      <c r="HG52" s="108">
        <f>IFERROR(VLOOKUP(HG$38,'Existing Customer Variable Exp'!$B:$F,5,FALSE),0)</f>
        <v>0</v>
      </c>
      <c r="IC52" s="104" t="s">
        <v>996</v>
      </c>
      <c r="ID52" s="108">
        <f>IFERROR(VLOOKUP(ID$38,'Existing Customer Variable Exp'!$B:$F,5,FALSE),0)</f>
        <v>0</v>
      </c>
      <c r="IZ52" s="104" t="s">
        <v>996</v>
      </c>
      <c r="JA52" s="108">
        <f>IFERROR(VLOOKUP(JA$38,'Existing Customer Variable Exp'!$B:$F,5,FALSE),0)</f>
        <v>0</v>
      </c>
    </row>
    <row r="53" spans="18:261" x14ac:dyDescent="0.25">
      <c r="R53" s="1142"/>
      <c r="S53" s="1142"/>
      <c r="T53" s="1142"/>
      <c r="Z53" s="462">
        <f t="shared" si="66"/>
        <v>2</v>
      </c>
      <c r="AA53" s="460"/>
      <c r="AB53" s="463">
        <f t="shared" si="67"/>
        <v>9</v>
      </c>
      <c r="BA53" s="104" t="s">
        <v>1467</v>
      </c>
      <c r="BB53" s="86">
        <f>IFERROR(VLOOKUP(BB$1,'Existing Customers'!$A:$AD,30,FALSE),BB6)</f>
        <v>0</v>
      </c>
      <c r="BC53" s="1142"/>
      <c r="BD53" s="1142"/>
      <c r="BE53" s="1142"/>
      <c r="BF53" s="1142"/>
      <c r="BG53" s="1142"/>
      <c r="BU53" s="1142"/>
      <c r="BV53" s="1142"/>
      <c r="BX53" s="104" t="s">
        <v>1467</v>
      </c>
      <c r="BY53" s="86">
        <f>IFERROR(VLOOKUP(BY$1,'Existing Customers'!$A:$AD,30,FALSE),BY6)</f>
        <v>0</v>
      </c>
      <c r="BZ53" s="1142"/>
      <c r="CA53" s="1142"/>
      <c r="CB53" s="1142"/>
      <c r="CC53" s="1142"/>
      <c r="CD53" s="1142"/>
      <c r="CR53" s="1142"/>
      <c r="CS53" s="1142"/>
      <c r="CU53" s="104" t="s">
        <v>1467</v>
      </c>
      <c r="CV53" s="86">
        <f>IFERROR(VLOOKUP(CV$1,'Existing Customers'!$A:$AD,30,FALSE),CV6)</f>
        <v>0</v>
      </c>
      <c r="CW53" s="1142"/>
      <c r="CX53" s="1142"/>
      <c r="CY53" s="1142"/>
      <c r="CZ53" s="1142"/>
      <c r="DA53" s="1142"/>
      <c r="DO53" s="1142"/>
      <c r="DP53" s="1142"/>
      <c r="DR53" s="104" t="s">
        <v>1467</v>
      </c>
      <c r="DS53" s="86">
        <f>IFERROR(VLOOKUP(DS$1,'Existing Customers'!$A:$AD,30,FALSE),DS6)</f>
        <v>0</v>
      </c>
      <c r="DT53" s="1142"/>
      <c r="DU53" s="1142"/>
      <c r="DV53" s="1142"/>
      <c r="DW53" s="1142"/>
      <c r="DX53" s="1142"/>
      <c r="EL53" s="1142"/>
      <c r="EM53" s="1142"/>
      <c r="EO53" s="104" t="s">
        <v>1467</v>
      </c>
      <c r="EP53" s="86">
        <f>IFERROR(VLOOKUP(EP$1,'Existing Customers'!$A:$AD,30,FALSE),EP6)</f>
        <v>0</v>
      </c>
      <c r="EQ53" s="1142"/>
      <c r="ER53" s="1142"/>
      <c r="ES53" s="1142"/>
      <c r="ET53" s="1142"/>
      <c r="EU53" s="1142"/>
      <c r="FI53" s="1142"/>
      <c r="FJ53" s="1142"/>
      <c r="FL53" s="104" t="s">
        <v>1467</v>
      </c>
      <c r="FM53" s="86">
        <f>IFERROR(VLOOKUP(FM$1,'Existing Customers'!$A:$AD,30,FALSE),FM6)</f>
        <v>0</v>
      </c>
      <c r="FN53" s="1142"/>
      <c r="FO53" s="1142"/>
      <c r="FP53" s="1142"/>
      <c r="FQ53" s="1142"/>
      <c r="FR53" s="1142"/>
      <c r="GF53" s="1142"/>
      <c r="GG53" s="1142"/>
      <c r="GI53" s="104" t="s">
        <v>1467</v>
      </c>
      <c r="GJ53" s="86">
        <f>IFERROR(VLOOKUP(GJ$1,'Existing Customers'!$A:$AD,30,FALSE),GJ6)</f>
        <v>0</v>
      </c>
      <c r="GK53" s="1142"/>
      <c r="GL53" s="1142"/>
      <c r="GM53" s="1142"/>
      <c r="GN53" s="1142"/>
      <c r="GO53" s="1142"/>
      <c r="HC53" s="1142"/>
      <c r="HD53" s="1142"/>
      <c r="HF53" s="104" t="s">
        <v>1467</v>
      </c>
      <c r="HG53" s="86">
        <f>IFERROR(VLOOKUP(HG$1,'Existing Customers'!$A:$AD,30,FALSE),HG6)</f>
        <v>0</v>
      </c>
      <c r="HH53" s="1142"/>
      <c r="HI53" s="1142"/>
      <c r="HJ53" s="1142"/>
      <c r="HK53" s="1142"/>
      <c r="HL53" s="1142"/>
      <c r="HZ53" s="1142"/>
      <c r="IA53" s="1142"/>
      <c r="IC53" s="104" t="s">
        <v>1467</v>
      </c>
      <c r="ID53" s="86">
        <f>IFERROR(VLOOKUP(ID$1,'Existing Customers'!$A:$AD,30,FALSE),ID6)</f>
        <v>0</v>
      </c>
      <c r="IE53" s="1142"/>
      <c r="IF53" s="1142"/>
      <c r="IG53" s="1142"/>
      <c r="IH53" s="1142"/>
      <c r="II53" s="1142"/>
      <c r="IW53" s="1142"/>
      <c r="IX53" s="1142"/>
      <c r="IZ53" s="104" t="s">
        <v>1467</v>
      </c>
      <c r="JA53" s="86">
        <f>IFERROR(VLOOKUP(JA$1,'Existing Customers'!$A:$AD,30,FALSE),JA6)</f>
        <v>0</v>
      </c>
    </row>
    <row r="54" spans="18:261" x14ac:dyDescent="0.25">
      <c r="R54" s="1142"/>
      <c r="S54" s="1142"/>
      <c r="T54" s="1142"/>
      <c r="Z54" s="462">
        <f t="shared" si="66"/>
        <v>2</v>
      </c>
      <c r="AA54" s="460"/>
      <c r="AB54" s="463">
        <f t="shared" si="67"/>
        <v>9</v>
      </c>
    </row>
    <row r="55" spans="18:261" x14ac:dyDescent="0.25">
      <c r="R55" s="1142"/>
      <c r="S55" s="1142"/>
      <c r="T55" s="1142"/>
      <c r="Z55" s="462">
        <f t="shared" si="66"/>
        <v>2</v>
      </c>
      <c r="AA55" s="460"/>
      <c r="AB55" s="463">
        <f t="shared" si="67"/>
        <v>9</v>
      </c>
    </row>
    <row r="56" spans="18:261" x14ac:dyDescent="0.25">
      <c r="R56" s="1142"/>
      <c r="S56" s="1142"/>
      <c r="T56" s="1142"/>
      <c r="Z56" s="462">
        <f t="shared" si="66"/>
        <v>2</v>
      </c>
      <c r="AA56" s="460"/>
      <c r="AB56" s="463">
        <f t="shared" si="67"/>
        <v>9</v>
      </c>
    </row>
    <row r="57" spans="18:261" x14ac:dyDescent="0.25">
      <c r="R57" s="1142"/>
      <c r="S57" s="1142"/>
      <c r="T57" s="1142"/>
      <c r="Z57" s="462">
        <f t="shared" si="66"/>
        <v>2</v>
      </c>
      <c r="AA57" s="460"/>
      <c r="AB57" s="463">
        <f t="shared" si="67"/>
        <v>9</v>
      </c>
    </row>
    <row r="58" spans="18:261" x14ac:dyDescent="0.25">
      <c r="R58" s="1142"/>
      <c r="S58" s="1142"/>
      <c r="T58" s="1142"/>
      <c r="Z58" s="462">
        <f t="shared" si="66"/>
        <v>2</v>
      </c>
      <c r="AA58" s="460"/>
      <c r="AB58" s="463">
        <f t="shared" si="67"/>
        <v>9</v>
      </c>
    </row>
    <row r="59" spans="18:261" x14ac:dyDescent="0.25">
      <c r="R59" s="1142"/>
      <c r="S59" s="1142"/>
      <c r="T59" s="1142"/>
      <c r="Z59" s="462">
        <f t="shared" si="66"/>
        <v>2</v>
      </c>
      <c r="AA59" s="460"/>
      <c r="AB59" s="463">
        <f t="shared" si="67"/>
        <v>9</v>
      </c>
    </row>
    <row r="60" spans="18:261" x14ac:dyDescent="0.25">
      <c r="R60" s="1142"/>
      <c r="S60" s="1142"/>
      <c r="T60" s="1142"/>
      <c r="Z60" s="462">
        <f t="shared" si="66"/>
        <v>2</v>
      </c>
      <c r="AA60" s="460"/>
      <c r="AB60" s="463">
        <f t="shared" si="67"/>
        <v>9</v>
      </c>
    </row>
    <row r="61" spans="18:261" x14ac:dyDescent="0.25">
      <c r="R61" s="1142"/>
      <c r="S61" s="1142"/>
      <c r="T61" s="1142"/>
      <c r="Z61" s="462">
        <f t="shared" si="66"/>
        <v>2</v>
      </c>
      <c r="AA61" s="460"/>
      <c r="AB61" s="463">
        <f t="shared" si="67"/>
        <v>9</v>
      </c>
    </row>
    <row r="62" spans="18:261" x14ac:dyDescent="0.25">
      <c r="R62" s="1142"/>
      <c r="S62" s="1142"/>
      <c r="T62" s="1142"/>
      <c r="Z62" s="462">
        <f t="shared" si="66"/>
        <v>2</v>
      </c>
      <c r="AA62" s="460"/>
      <c r="AB62" s="463">
        <f t="shared" si="67"/>
        <v>9</v>
      </c>
    </row>
    <row r="63" spans="18:261" x14ac:dyDescent="0.25">
      <c r="R63" s="1142"/>
      <c r="S63" s="1142"/>
      <c r="T63" s="1142"/>
      <c r="Z63" s="462">
        <f t="shared" si="66"/>
        <v>2</v>
      </c>
      <c r="AA63" s="460"/>
      <c r="AB63" s="463">
        <f t="shared" si="67"/>
        <v>9</v>
      </c>
    </row>
    <row r="64" spans="18:261" x14ac:dyDescent="0.25">
      <c r="R64" s="1142"/>
      <c r="S64" s="1142"/>
      <c r="T64" s="1142"/>
      <c r="Z64" s="462">
        <f t="shared" si="66"/>
        <v>2</v>
      </c>
      <c r="AA64" s="460"/>
      <c r="AB64" s="463">
        <f t="shared" si="67"/>
        <v>9</v>
      </c>
    </row>
    <row r="65" spans="18:28" x14ac:dyDescent="0.25">
      <c r="R65" s="1142"/>
      <c r="S65" s="1142"/>
      <c r="T65" s="1142"/>
      <c r="Z65" s="462">
        <f t="shared" si="66"/>
        <v>2</v>
      </c>
      <c r="AA65" s="460"/>
      <c r="AB65" s="463">
        <f t="shared" si="67"/>
        <v>9</v>
      </c>
    </row>
    <row r="66" spans="18:28" x14ac:dyDescent="0.25">
      <c r="R66" s="1142"/>
      <c r="S66" s="1142"/>
      <c r="T66" s="1142"/>
      <c r="Z66" s="462"/>
      <c r="AA66" s="460"/>
      <c r="AB66" s="463"/>
    </row>
    <row r="67" spans="18:28" x14ac:dyDescent="0.25">
      <c r="R67" s="1142"/>
      <c r="S67" s="1142"/>
      <c r="T67" s="1142"/>
      <c r="Z67" s="1143"/>
      <c r="AA67" s="1144"/>
      <c r="AB67" s="1145"/>
    </row>
    <row r="68" spans="18:28" x14ac:dyDescent="0.25">
      <c r="R68" s="1142"/>
      <c r="S68" s="1142"/>
      <c r="T68" s="1142"/>
      <c r="Z68" s="1143"/>
      <c r="AA68" s="1144"/>
      <c r="AB68" s="1145"/>
    </row>
    <row r="69" spans="18:28" x14ac:dyDescent="0.25">
      <c r="R69" s="1142"/>
      <c r="S69" s="1142"/>
      <c r="T69" s="1142"/>
      <c r="Z69" s="1143"/>
      <c r="AA69" s="1144"/>
      <c r="AB69" s="1145"/>
    </row>
    <row r="70" spans="18:28" x14ac:dyDescent="0.25">
      <c r="R70" s="1142"/>
      <c r="S70" s="1142"/>
      <c r="T70" s="1142"/>
      <c r="Z70" s="1143"/>
      <c r="AA70" s="1144"/>
      <c r="AB70" s="1145"/>
    </row>
    <row r="71" spans="18:28" x14ac:dyDescent="0.25">
      <c r="R71" s="1142"/>
      <c r="S71" s="1142"/>
      <c r="T71" s="1142"/>
      <c r="Z71" s="1143"/>
      <c r="AA71" s="1144"/>
      <c r="AB71" s="1145"/>
    </row>
    <row r="72" spans="18:28" x14ac:dyDescent="0.25">
      <c r="R72" s="1142"/>
      <c r="S72" s="1142"/>
      <c r="T72" s="1142"/>
      <c r="Z72" s="1143"/>
      <c r="AA72" s="1144"/>
      <c r="AB72" s="1145"/>
    </row>
    <row r="73" spans="18:28" x14ac:dyDescent="0.25">
      <c r="R73" s="1142"/>
      <c r="S73" s="1142"/>
      <c r="T73" s="1142"/>
      <c r="Z73" s="1143"/>
      <c r="AA73" s="1144"/>
      <c r="AB73" s="1145"/>
    </row>
    <row r="74" spans="18:28" x14ac:dyDescent="0.25">
      <c r="R74" s="1142"/>
      <c r="S74" s="1142"/>
      <c r="T74" s="1142"/>
      <c r="Z74" s="1143"/>
      <c r="AA74" s="1144"/>
      <c r="AB74" s="1145"/>
    </row>
    <row r="75" spans="18:28" x14ac:dyDescent="0.25">
      <c r="R75" s="1142"/>
      <c r="S75" s="1142"/>
      <c r="T75" s="1142"/>
      <c r="Z75" s="1143"/>
      <c r="AA75" s="1144"/>
      <c r="AB75" s="1145"/>
    </row>
    <row r="76" spans="18:28" ht="15.75" thickBot="1" x14ac:dyDescent="0.3">
      <c r="R76" s="1142"/>
      <c r="S76" s="1142"/>
      <c r="T76" s="1142"/>
      <c r="Z76" s="32"/>
      <c r="AA76" s="1146"/>
      <c r="AB76" s="1148"/>
    </row>
    <row r="77" spans="18:28" x14ac:dyDescent="0.25">
      <c r="R77" s="1142"/>
      <c r="S77" s="1142"/>
      <c r="T77" s="1142"/>
    </row>
    <row r="78" spans="18:28" x14ac:dyDescent="0.25">
      <c r="R78" s="1142"/>
      <c r="S78" s="1142"/>
      <c r="T78" s="1142"/>
    </row>
    <row r="79" spans="18:28" x14ac:dyDescent="0.25">
      <c r="R79" s="1142"/>
      <c r="S79" s="1142"/>
      <c r="T79" s="1142"/>
    </row>
    <row r="80" spans="18:28" x14ac:dyDescent="0.25">
      <c r="R80" s="1142"/>
      <c r="S80" s="1142"/>
      <c r="T80" s="1142"/>
    </row>
    <row r="81" spans="18:20" x14ac:dyDescent="0.25">
      <c r="R81" s="1142"/>
      <c r="S81" s="1142"/>
      <c r="T81" s="1142"/>
    </row>
    <row r="82" spans="18:20" x14ac:dyDescent="0.25">
      <c r="R82" s="1142"/>
      <c r="S82" s="1142"/>
      <c r="T82" s="1142"/>
    </row>
    <row r="83" spans="18:20" x14ac:dyDescent="0.25">
      <c r="R83" s="1142"/>
      <c r="S83" s="1142"/>
      <c r="T83" s="1142"/>
    </row>
    <row r="84" spans="18:20" x14ac:dyDescent="0.25">
      <c r="R84" s="1142"/>
      <c r="S84" s="1142"/>
      <c r="T84" s="1142"/>
    </row>
    <row r="85" spans="18:20" x14ac:dyDescent="0.25">
      <c r="R85" s="1142"/>
      <c r="S85" s="1142"/>
      <c r="T85" s="1142"/>
    </row>
    <row r="87" spans="18:20" x14ac:dyDescent="0.25">
      <c r="S87" s="104"/>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7" workbookViewId="0">
      <selection activeCell="A12" sqref="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5" t="s">
        <v>952</v>
      </c>
      <c r="AU2" s="38" t="e">
        <f>$AL$33</f>
        <v>#DIV/0!</v>
      </c>
      <c r="AY2" s="525" t="s">
        <v>988</v>
      </c>
      <c r="AZ2" s="288"/>
      <c r="BA2" s="288"/>
      <c r="BB2" s="288"/>
      <c r="BC2" s="288"/>
      <c r="BD2" s="288"/>
      <c r="BE2" s="288"/>
      <c r="BF2" s="288"/>
      <c r="BK2" s="525" t="s">
        <v>988</v>
      </c>
    </row>
    <row r="3" spans="1:70" x14ac:dyDescent="0.25">
      <c r="AT3" s="85" t="s">
        <v>470</v>
      </c>
      <c r="AU3" s="24">
        <f>'Customer Inputs'!$AB$16</f>
        <v>0</v>
      </c>
      <c r="AY3" s="527">
        <v>334319</v>
      </c>
      <c r="AZ3" s="526" t="s">
        <v>214</v>
      </c>
      <c r="BA3" s="52" t="s">
        <v>214</v>
      </c>
      <c r="BB3" s="519">
        <v>0.04</v>
      </c>
      <c r="BC3" s="519">
        <v>0.08</v>
      </c>
      <c r="BD3" s="519">
        <v>9.2999999999999999E-2</v>
      </c>
      <c r="BE3" s="519">
        <v>0.11</v>
      </c>
      <c r="BF3" s="520">
        <v>0.153</v>
      </c>
      <c r="BK3" s="527">
        <v>301441</v>
      </c>
      <c r="BL3" s="526" t="s">
        <v>214</v>
      </c>
      <c r="BM3" s="52" t="s">
        <v>214</v>
      </c>
      <c r="BN3" s="519">
        <v>4.5999999999999999E-2</v>
      </c>
      <c r="BO3" s="519">
        <v>8.8999999999999996E-2</v>
      </c>
      <c r="BP3" s="519">
        <v>0.107</v>
      </c>
      <c r="BQ3" s="519">
        <v>0.127</v>
      </c>
      <c r="BR3" s="519">
        <v>0.17100000000000001</v>
      </c>
    </row>
    <row r="4" spans="1:70" ht="15.75" thickBot="1" x14ac:dyDescent="0.3">
      <c r="AY4" s="528">
        <v>723899</v>
      </c>
      <c r="AZ4" s="314" t="s">
        <v>215</v>
      </c>
      <c r="BA4" s="1" t="s">
        <v>215</v>
      </c>
      <c r="BB4" s="521">
        <v>4.2000000000000003E-2</v>
      </c>
      <c r="BC4" s="521">
        <v>7.4999999999999997E-2</v>
      </c>
      <c r="BD4" s="521">
        <v>8.6999999999999994E-2</v>
      </c>
      <c r="BE4" s="521">
        <v>0.1</v>
      </c>
      <c r="BF4" s="522">
        <v>0.13600000000000001</v>
      </c>
      <c r="BK4" s="528">
        <v>684993</v>
      </c>
      <c r="BL4" s="314" t="s">
        <v>215</v>
      </c>
      <c r="BM4" s="1" t="s">
        <v>215</v>
      </c>
      <c r="BN4" s="521">
        <v>4.8000000000000001E-2</v>
      </c>
      <c r="BO4" s="521">
        <v>8.3000000000000004E-2</v>
      </c>
      <c r="BP4" s="521">
        <v>0.1</v>
      </c>
      <c r="BQ4" s="521">
        <v>0.115</v>
      </c>
      <c r="BR4" s="521">
        <v>0.152</v>
      </c>
    </row>
    <row r="5" spans="1:70" ht="15.75" thickBot="1" x14ac:dyDescent="0.3">
      <c r="AW5" s="1356" t="s">
        <v>986</v>
      </c>
      <c r="AX5" s="1357"/>
      <c r="AY5" s="528">
        <v>1757315</v>
      </c>
      <c r="AZ5" s="314" t="s">
        <v>216</v>
      </c>
      <c r="BA5" s="1" t="s">
        <v>216</v>
      </c>
      <c r="BB5" s="521">
        <v>3.2000000000000001E-2</v>
      </c>
      <c r="BC5" s="521">
        <v>6.9000000000000006E-2</v>
      </c>
      <c r="BD5" s="521">
        <v>8.2000000000000003E-2</v>
      </c>
      <c r="BE5" s="521">
        <v>9.6000000000000002E-2</v>
      </c>
      <c r="BF5" s="522">
        <v>0.13300000000000001</v>
      </c>
      <c r="BI5" s="1356" t="s">
        <v>987</v>
      </c>
      <c r="BJ5" s="1357"/>
      <c r="BK5" s="528">
        <v>1554219</v>
      </c>
      <c r="BL5" s="314" t="s">
        <v>216</v>
      </c>
      <c r="BM5" s="1" t="s">
        <v>216</v>
      </c>
      <c r="BN5" s="521">
        <v>3.6999999999999998E-2</v>
      </c>
      <c r="BO5" s="521">
        <v>7.8E-2</v>
      </c>
      <c r="BP5" s="521">
        <v>9.4E-2</v>
      </c>
      <c r="BQ5" s="521">
        <v>0.11</v>
      </c>
      <c r="BR5" s="521">
        <v>0.151</v>
      </c>
    </row>
    <row r="6" spans="1:70" ht="15.75" thickBot="1" x14ac:dyDescent="0.3">
      <c r="AW6" s="48" t="s">
        <v>501</v>
      </c>
      <c r="AX6" s="49" t="e">
        <f>IF($AU$2&lt;$AY$3,$AZ$3,IF($AU$2&lt;$AY$4,$AZ$4,IF($AU$2&lt;$AY$5,$AZ$5,IF($AU$2&lt;$AY$6,$AZ$6,$AZ$7))))</f>
        <v>#DIV/0!</v>
      </c>
      <c r="AY6" s="528">
        <v>3873056</v>
      </c>
      <c r="AZ6" s="314" t="s">
        <v>270</v>
      </c>
      <c r="BA6" s="1" t="s">
        <v>270</v>
      </c>
      <c r="BB6" s="521">
        <v>2.5000000000000001E-2</v>
      </c>
      <c r="BC6" s="521">
        <v>6.3E-2</v>
      </c>
      <c r="BD6" s="521">
        <v>7.5999999999999998E-2</v>
      </c>
      <c r="BE6" s="521">
        <v>0.09</v>
      </c>
      <c r="BF6" s="522">
        <v>0.13</v>
      </c>
      <c r="BI6" s="48" t="s">
        <v>501</v>
      </c>
      <c r="BJ6" s="49" t="e">
        <f>IF($AU$2&lt;$AY$3,$AZ$3,IF($AU$2&lt;$AY$4,$AZ$4,IF($AU$2&lt;$AY$5,$AZ$5,IF($AU$2&lt;$AY$6,$AZ$6,$AZ$7))))</f>
        <v>#DIV/0!</v>
      </c>
      <c r="BK6" s="528">
        <v>3316405</v>
      </c>
      <c r="BL6" s="314" t="s">
        <v>270</v>
      </c>
      <c r="BM6" s="1" t="s">
        <v>270</v>
      </c>
      <c r="BN6" s="521">
        <v>3.1E-2</v>
      </c>
      <c r="BO6" s="521">
        <v>7.0000000000000007E-2</v>
      </c>
      <c r="BP6" s="521">
        <v>8.6999999999999994E-2</v>
      </c>
      <c r="BQ6" s="521">
        <v>0.104</v>
      </c>
      <c r="BR6" s="521">
        <v>0.14899999999999999</v>
      </c>
    </row>
    <row r="7" spans="1:70" ht="15.75" thickBot="1" x14ac:dyDescent="0.3">
      <c r="AW7" s="48" t="s">
        <v>502</v>
      </c>
      <c r="AX7" s="50" t="e">
        <f>VLOOKUP($AX$6,$BA$3:$BF$7,3,FALSE)</f>
        <v>#DIV/0!</v>
      </c>
      <c r="AY7" s="529"/>
      <c r="AZ7" s="451" t="s">
        <v>271</v>
      </c>
      <c r="BA7" s="33" t="s">
        <v>271</v>
      </c>
      <c r="BB7" s="523">
        <v>2.5999999999999999E-2</v>
      </c>
      <c r="BC7" s="523">
        <v>5.6000000000000001E-2</v>
      </c>
      <c r="BD7" s="523">
        <v>6.8000000000000005E-2</v>
      </c>
      <c r="BE7" s="523">
        <v>8.3000000000000004E-2</v>
      </c>
      <c r="BF7" s="524">
        <v>0.114</v>
      </c>
      <c r="BI7" s="48" t="s">
        <v>502</v>
      </c>
      <c r="BJ7" s="50" t="e">
        <f>VLOOKUP($BJ$6,$BM$3:$BO$7,3,FALSE)</f>
        <v>#DIV/0!</v>
      </c>
      <c r="BK7" s="530"/>
      <c r="BL7" s="451" t="s">
        <v>271</v>
      </c>
      <c r="BM7" s="33" t="s">
        <v>271</v>
      </c>
      <c r="BN7" s="523">
        <v>0.03</v>
      </c>
      <c r="BO7" s="523">
        <v>6.4000000000000001E-2</v>
      </c>
      <c r="BP7" s="523">
        <v>7.8E-2</v>
      </c>
      <c r="BQ7" s="523">
        <v>9.5000000000000001E-2</v>
      </c>
      <c r="BR7" s="523">
        <v>0.13100000000000001</v>
      </c>
    </row>
    <row r="8" spans="1:70" x14ac:dyDescent="0.25">
      <c r="AU8" s="39"/>
    </row>
    <row r="10" spans="1:70" ht="15.75" x14ac:dyDescent="0.25">
      <c r="C10" s="498" t="s">
        <v>977</v>
      </c>
      <c r="D10" s="2" t="s">
        <v>469</v>
      </c>
      <c r="E10" s="2" t="s">
        <v>469</v>
      </c>
      <c r="F10" s="2" t="s">
        <v>469</v>
      </c>
      <c r="G10" s="2" t="s">
        <v>469</v>
      </c>
      <c r="H10" s="2" t="s">
        <v>469</v>
      </c>
      <c r="I10" s="2" t="s">
        <v>469</v>
      </c>
      <c r="J10" s="2"/>
      <c r="K10" s="2"/>
      <c r="L10" s="2"/>
      <c r="N10" s="498" t="s">
        <v>978</v>
      </c>
      <c r="O10" s="2" t="s">
        <v>469</v>
      </c>
      <c r="P10" s="2" t="s">
        <v>469</v>
      </c>
      <c r="Q10" s="2" t="s">
        <v>469</v>
      </c>
      <c r="R10" s="2" t="s">
        <v>469</v>
      </c>
      <c r="S10" s="2" t="s">
        <v>469</v>
      </c>
      <c r="T10" s="2" t="s">
        <v>469</v>
      </c>
      <c r="U10" s="2"/>
      <c r="V10" s="2"/>
      <c r="W10" s="404" t="str">
        <f>IF('Multi-Customer'!$AH$37="MULTIPLE MENU TYPES","INDEPENDENT RESTAURATEURS (PYR)",'Multi-Customer'!$AH$37)</f>
        <v>MULTIPLE TYPES</v>
      </c>
      <c r="X10" s="2"/>
      <c r="Y10" s="2"/>
      <c r="Z10" s="2"/>
      <c r="AA10" s="2"/>
      <c r="AB10" s="2"/>
      <c r="AC10" s="2"/>
      <c r="AD10" s="2" t="s">
        <v>1024</v>
      </c>
      <c r="AE10" s="2"/>
      <c r="AF10" s="2"/>
      <c r="AG10" s="2"/>
      <c r="AH10" s="2"/>
      <c r="AI10" s="2"/>
      <c r="AJ10" s="2"/>
      <c r="AK10" s="498" t="s">
        <v>980</v>
      </c>
      <c r="AL10" s="40" t="s">
        <v>469</v>
      </c>
      <c r="AM10" s="40" t="s">
        <v>469</v>
      </c>
      <c r="AN10" s="40" t="s">
        <v>469</v>
      </c>
      <c r="AO10" s="40" t="s">
        <v>469</v>
      </c>
      <c r="AP10" s="40" t="s">
        <v>469</v>
      </c>
      <c r="AQ10" s="1359" t="s">
        <v>985</v>
      </c>
      <c r="AR10" s="1359"/>
      <c r="AW10" s="1358" t="s">
        <v>983</v>
      </c>
      <c r="AX10" s="1358"/>
      <c r="AY10" s="1358"/>
      <c r="AZ10" s="1358"/>
      <c r="BA10" s="1358"/>
      <c r="BD10" s="1358" t="s">
        <v>984</v>
      </c>
      <c r="BE10" s="1358"/>
      <c r="BF10" s="1358"/>
      <c r="BG10" s="1358"/>
      <c r="BH10" s="1358"/>
    </row>
    <row r="11" spans="1:70" x14ac:dyDescent="0.25">
      <c r="A11" s="2" t="s">
        <v>930</v>
      </c>
      <c r="C11" t="s">
        <v>257</v>
      </c>
      <c r="D11" s="2" t="s">
        <v>402</v>
      </c>
      <c r="E11" s="2" t="s">
        <v>83</v>
      </c>
      <c r="F11" s="2" t="s">
        <v>404</v>
      </c>
      <c r="G11" s="2" t="s">
        <v>508</v>
      </c>
      <c r="H11" s="2" t="s">
        <v>511</v>
      </c>
      <c r="I11" s="2" t="s">
        <v>509</v>
      </c>
      <c r="J11" s="2"/>
      <c r="K11" s="2"/>
      <c r="L11" s="2" t="s">
        <v>930</v>
      </c>
      <c r="N11" s="2" t="s">
        <v>257</v>
      </c>
      <c r="O11" s="2" t="s">
        <v>402</v>
      </c>
      <c r="P11" s="2" t="s">
        <v>83</v>
      </c>
      <c r="Q11" s="2" t="s">
        <v>404</v>
      </c>
      <c r="R11" s="2" t="s">
        <v>508</v>
      </c>
      <c r="S11" s="2" t="s">
        <v>511</v>
      </c>
      <c r="T11" s="2" t="s">
        <v>509</v>
      </c>
      <c r="U11" s="2"/>
      <c r="V11" s="2" t="s">
        <v>1018</v>
      </c>
      <c r="W11" s="2" t="s">
        <v>1019</v>
      </c>
      <c r="X11" s="2" t="s">
        <v>1020</v>
      </c>
      <c r="Y11" s="2"/>
      <c r="Z11" s="2"/>
      <c r="AA11" s="2" t="s">
        <v>979</v>
      </c>
      <c r="AB11" s="2" t="s">
        <v>1023</v>
      </c>
      <c r="AC11" s="2" t="s">
        <v>1021</v>
      </c>
      <c r="AD11" s="2" t="s">
        <v>1022</v>
      </c>
      <c r="AE11" s="2"/>
      <c r="AF11" s="2" t="s">
        <v>979</v>
      </c>
      <c r="AG11" s="2"/>
      <c r="AH11" s="2"/>
      <c r="AI11" s="2"/>
      <c r="AJ11" s="2"/>
      <c r="AK11" s="40" t="s">
        <v>257</v>
      </c>
      <c r="AL11" s="40" t="s">
        <v>402</v>
      </c>
      <c r="AM11" s="40" t="s">
        <v>83</v>
      </c>
      <c r="AN11" s="40" t="s">
        <v>508</v>
      </c>
      <c r="AO11" s="40" t="s">
        <v>511</v>
      </c>
      <c r="AP11" s="40" t="s">
        <v>509</v>
      </c>
      <c r="AQ11" s="511" t="s">
        <v>378</v>
      </c>
      <c r="AR11" s="511" t="s">
        <v>1017</v>
      </c>
      <c r="AV11" s="2"/>
      <c r="AW11" s="53" t="s">
        <v>257</v>
      </c>
      <c r="AX11" s="15" t="s">
        <v>214</v>
      </c>
      <c r="AY11" s="15" t="s">
        <v>215</v>
      </c>
      <c r="AZ11" s="15" t="s">
        <v>216</v>
      </c>
      <c r="BA11" s="15" t="s">
        <v>270</v>
      </c>
      <c r="BC11" s="2"/>
      <c r="BD11" s="53" t="s">
        <v>257</v>
      </c>
      <c r="BE11" s="15" t="s">
        <v>214</v>
      </c>
      <c r="BF11" s="15" t="s">
        <v>215</v>
      </c>
      <c r="BG11" s="15" t="s">
        <v>216</v>
      </c>
      <c r="BH11" s="15" t="s">
        <v>270</v>
      </c>
      <c r="BO11" s="55"/>
    </row>
    <row r="12" spans="1:70" x14ac:dyDescent="0.25">
      <c r="A12" t="e">
        <f>D12/$D$33</f>
        <v>#DIV/0!</v>
      </c>
      <c r="B12">
        <v>3</v>
      </c>
      <c r="C12" t="s">
        <v>99</v>
      </c>
      <c r="D12" s="25">
        <f>'Multi-Customer'!C14</f>
        <v>0</v>
      </c>
      <c r="E12">
        <f>'Multi-Customer'!D14</f>
        <v>0</v>
      </c>
      <c r="F12">
        <f>'Multi-Customer'!E14</f>
        <v>0</v>
      </c>
      <c r="G12" s="351">
        <f>'Multi-Customer'!F14</f>
        <v>0</v>
      </c>
      <c r="H12" s="19">
        <f>IFERROR(D12/E12,0)</f>
        <v>0</v>
      </c>
      <c r="I12" s="19">
        <f>IFERROR(D12/G12,0)</f>
        <v>0</v>
      </c>
      <c r="J12" s="351"/>
      <c r="K12" s="351" t="str">
        <f>'PIM Model'!E10</f>
        <v>INCLUDE</v>
      </c>
      <c r="L12" s="351" t="e">
        <f t="shared" ref="L12:L32" si="0">IF($K12="Exclude",0,$A12)</f>
        <v>#DIV/0!</v>
      </c>
      <c r="M12">
        <v>3</v>
      </c>
      <c r="N12" s="351" t="s">
        <v>99</v>
      </c>
      <c r="O12" s="351" t="e">
        <f t="shared" ref="O12:O32" si="1">IF($K12="Exclude",0,D12/$L$33)</f>
        <v>#DIV/0!</v>
      </c>
      <c r="P12" s="351" t="e">
        <f t="shared" ref="P12:P32" si="2">IF($K12="Exclude",0,E12/$L$33)</f>
        <v>#DIV/0!</v>
      </c>
      <c r="Q12" s="351" t="e">
        <f t="shared" ref="Q12:Q32" si="3">IF($K12="Exclude",0,F12/$L$33)</f>
        <v>#DIV/0!</v>
      </c>
      <c r="R12" s="351" t="e">
        <f t="shared" ref="R12:R32" si="4">IF($K12="Exclude",0,G12/$L$33)</f>
        <v>#DIV/0!</v>
      </c>
      <c r="S12" s="351">
        <f>IFERROR(O12/P12,0)</f>
        <v>0</v>
      </c>
      <c r="T12" s="19">
        <f>IFERROR(O12/R12,0)</f>
        <v>0</v>
      </c>
      <c r="U12" s="19"/>
      <c r="V12" s="2">
        <f>'PIM Model'!$C$10</f>
        <v>0</v>
      </c>
      <c r="W12" s="645" t="e">
        <f>'Multi-Customer'!M14</f>
        <v>#DIV/0!</v>
      </c>
      <c r="X12" s="19" t="e">
        <f>$W12*$Z$33</f>
        <v>#DIV/0!</v>
      </c>
      <c r="Y12" s="351" t="e">
        <f>IF(V12="AVG",X12,O12)</f>
        <v>#DIV/0!</v>
      </c>
      <c r="Z12" s="351" t="e">
        <f>IF($V12="AVG",0,$Y12)</f>
        <v>#DIV/0!</v>
      </c>
      <c r="AA12" s="351" t="e">
        <f>IF($V12="AVG",IF($O12=0,$X12,$X12-$O12),Y12)</f>
        <v>#DIV/0!</v>
      </c>
      <c r="AB12" s="646" t="e">
        <f>$X12/$X$33</f>
        <v>#DIV/0!</v>
      </c>
      <c r="AC12" s="646" t="e">
        <f>IF($AA12=0,AB12,0)</f>
        <v>#DIV/0!</v>
      </c>
      <c r="AD12" s="351" t="e">
        <f t="shared" ref="AD12:AD32" si="5">IF($AA12=0,$O12-($AA$33*($AC12/$AC$33)),$Y12)</f>
        <v>#DIV/0!</v>
      </c>
      <c r="AE12" s="351"/>
      <c r="AF12" s="351" t="e">
        <f>AD12*(1+$AG12)-AD12</f>
        <v>#DIV/0!</v>
      </c>
      <c r="AG12" s="39">
        <f>'PIM Model'!B10</f>
        <v>0</v>
      </c>
      <c r="AH12" s="499" t="e">
        <f t="shared" ref="AH12:AH32" si="6">L12*(1+AG12)</f>
        <v>#DIV/0!</v>
      </c>
      <c r="AI12" s="499" t="e">
        <f>IF(AF12=0,AH12,0)</f>
        <v>#DIV/0!</v>
      </c>
      <c r="AJ12">
        <v>3</v>
      </c>
      <c r="AK12" s="500" t="s">
        <v>99</v>
      </c>
      <c r="AL12" s="500" t="e">
        <f t="shared" ref="AL12:AL32" si="7">IF($AG12=0,$AD12-($AF$33*($AI12/$AI$33)),$AD12+$AF12)</f>
        <v>#DIV/0!</v>
      </c>
      <c r="AM12" s="500">
        <f t="shared" ref="AM12:AM32" si="8">IFERROR($AL12/AO12,0)</f>
        <v>0</v>
      </c>
      <c r="AN12" s="500">
        <f t="shared" ref="AN12:AN32" si="9">IFERROR($AL12/AP12,0)</f>
        <v>0</v>
      </c>
      <c r="AO12" s="501">
        <f t="shared" ref="AO12:AO32" si="10">S12</f>
        <v>0</v>
      </c>
      <c r="AP12" s="501">
        <f t="shared" ref="AP12:AP32" si="11">T12</f>
        <v>0</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31"/>
      <c r="AW12" s="53" t="s">
        <v>99</v>
      </c>
      <c r="AX12" s="532">
        <v>6992</v>
      </c>
      <c r="AY12" s="532">
        <v>18976</v>
      </c>
      <c r="AZ12" s="532">
        <v>35942</v>
      </c>
      <c r="BA12" s="532">
        <v>79246</v>
      </c>
      <c r="BC12" s="2"/>
      <c r="BD12" s="53" t="s">
        <v>99</v>
      </c>
      <c r="BE12" s="532">
        <v>13830</v>
      </c>
      <c r="BF12" s="532">
        <v>40121</v>
      </c>
      <c r="BG12" s="532">
        <v>106847</v>
      </c>
      <c r="BH12" s="532">
        <v>246211</v>
      </c>
    </row>
    <row r="13" spans="1:70" x14ac:dyDescent="0.25">
      <c r="A13" t="e">
        <f t="shared" ref="A13:A32" si="13">D13/$D$33</f>
        <v>#DIV/0!</v>
      </c>
      <c r="B13">
        <v>4</v>
      </c>
      <c r="C13" t="s">
        <v>103</v>
      </c>
      <c r="D13" s="25">
        <f>'Multi-Customer'!C15</f>
        <v>0</v>
      </c>
      <c r="E13">
        <f>'Multi-Customer'!D15</f>
        <v>0</v>
      </c>
      <c r="F13">
        <f>'Multi-Customer'!E15</f>
        <v>0</v>
      </c>
      <c r="G13" s="351">
        <f>'Multi-Customer'!F15</f>
        <v>0</v>
      </c>
      <c r="H13" s="19">
        <f t="shared" ref="H13:H32" si="14">IFERROR(D13/E13,0)</f>
        <v>0</v>
      </c>
      <c r="I13" s="19">
        <f t="shared" ref="I13:I32" si="15">IFERROR(D13/G13,0)</f>
        <v>0</v>
      </c>
      <c r="J13" s="351"/>
      <c r="K13" s="351" t="str">
        <f>'PIM Model'!E11</f>
        <v>INCLUDE</v>
      </c>
      <c r="L13" s="351" t="e">
        <f t="shared" si="0"/>
        <v>#DIV/0!</v>
      </c>
      <c r="M13">
        <v>4</v>
      </c>
      <c r="N13" s="351" t="s">
        <v>103</v>
      </c>
      <c r="O13" s="351" t="e">
        <f t="shared" si="1"/>
        <v>#DIV/0!</v>
      </c>
      <c r="P13" s="351" t="e">
        <f t="shared" si="2"/>
        <v>#DIV/0!</v>
      </c>
      <c r="Q13" s="351" t="e">
        <f t="shared" si="3"/>
        <v>#DIV/0!</v>
      </c>
      <c r="R13" s="351" t="e">
        <f t="shared" si="4"/>
        <v>#DIV/0!</v>
      </c>
      <c r="S13" s="351">
        <f t="shared" ref="S13:S32" si="16">IFERROR(O13/P13,0)</f>
        <v>0</v>
      </c>
      <c r="T13" s="19">
        <f t="shared" ref="T13:T32" si="17">IFERROR(O13/R13,0)</f>
        <v>0</v>
      </c>
      <c r="U13" s="19"/>
      <c r="V13" s="2">
        <f>'PIM Model'!$C$11</f>
        <v>0</v>
      </c>
      <c r="W13" s="645" t="e">
        <f>'Multi-Customer'!M15</f>
        <v>#DIV/0!</v>
      </c>
      <c r="X13" s="19" t="e">
        <f t="shared" ref="X13:X32" si="18">$W13*$Z$33</f>
        <v>#DIV/0!</v>
      </c>
      <c r="Y13" s="351" t="e">
        <f t="shared" ref="Y13:Y32" si="19">IF(V13="AVG",X13,O13)</f>
        <v>#DIV/0!</v>
      </c>
      <c r="Z13" s="351" t="e">
        <f t="shared" ref="Z13:Z32" si="20">IF($V13="AVG",0,$Y13)</f>
        <v>#DIV/0!</v>
      </c>
      <c r="AA13" s="351" t="e">
        <f t="shared" ref="AA13:AA32" si="21">IF($V13="AVG",IF($O13=0,$X13,$X13-$O13),Y13)</f>
        <v>#DIV/0!</v>
      </c>
      <c r="AB13" s="646" t="e">
        <f t="shared" ref="AB13:AB32" si="22">$X13/$X$33</f>
        <v>#DIV/0!</v>
      </c>
      <c r="AC13" s="646" t="e">
        <f t="shared" ref="AC13:AC32" si="23">IF($AA13=0,AB13,0)</f>
        <v>#DIV/0!</v>
      </c>
      <c r="AD13" s="351" t="e">
        <f t="shared" si="5"/>
        <v>#DIV/0!</v>
      </c>
      <c r="AE13" s="351"/>
      <c r="AF13" s="351" t="e">
        <f t="shared" ref="AF13:AF32" si="24">AD13*(1+$AG13)-AD13</f>
        <v>#DIV/0!</v>
      </c>
      <c r="AG13" s="39">
        <f>'PIM Model'!B11</f>
        <v>0</v>
      </c>
      <c r="AH13" s="499" t="e">
        <f t="shared" si="6"/>
        <v>#DIV/0!</v>
      </c>
      <c r="AI13" s="499" t="e">
        <f t="shared" ref="AI13:AI32" si="25">IF(AF13=0,AH13,0)</f>
        <v>#DIV/0!</v>
      </c>
      <c r="AJ13">
        <v>4</v>
      </c>
      <c r="AK13" s="500" t="s">
        <v>103</v>
      </c>
      <c r="AL13" s="500" t="e">
        <f t="shared" si="7"/>
        <v>#DIV/0!</v>
      </c>
      <c r="AM13" s="500">
        <f t="shared" si="8"/>
        <v>0</v>
      </c>
      <c r="AN13" s="500">
        <f t="shared" si="9"/>
        <v>0</v>
      </c>
      <c r="AO13" s="501">
        <f>S13</f>
        <v>0</v>
      </c>
      <c r="AP13" s="501">
        <f t="shared" si="11"/>
        <v>0</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31"/>
      <c r="AW13" s="57" t="s">
        <v>103</v>
      </c>
      <c r="AX13" s="532">
        <v>9726</v>
      </c>
      <c r="AY13" s="532">
        <v>36145</v>
      </c>
      <c r="AZ13" s="532">
        <v>112255</v>
      </c>
      <c r="BA13" s="532">
        <v>235495</v>
      </c>
      <c r="BD13" s="57" t="s">
        <v>103</v>
      </c>
      <c r="BE13" s="532">
        <v>10238</v>
      </c>
      <c r="BF13" s="532">
        <v>41074</v>
      </c>
      <c r="BG13" s="532">
        <v>127563</v>
      </c>
      <c r="BH13" s="532">
        <v>301917</v>
      </c>
    </row>
    <row r="14" spans="1:70" x14ac:dyDescent="0.25">
      <c r="A14" t="e">
        <f t="shared" si="13"/>
        <v>#DIV/0!</v>
      </c>
      <c r="B14">
        <v>5</v>
      </c>
      <c r="C14" t="s">
        <v>1445</v>
      </c>
      <c r="D14" s="25">
        <f>'Multi-Customer'!C16</f>
        <v>0</v>
      </c>
      <c r="E14">
        <f>'Multi-Customer'!D16</f>
        <v>0</v>
      </c>
      <c r="F14">
        <f>'Multi-Customer'!E16</f>
        <v>0</v>
      </c>
      <c r="G14" s="351">
        <f>'Multi-Customer'!F16</f>
        <v>0</v>
      </c>
      <c r="H14" s="19">
        <f t="shared" si="14"/>
        <v>0</v>
      </c>
      <c r="I14" s="19">
        <f t="shared" si="15"/>
        <v>0</v>
      </c>
      <c r="J14" s="351"/>
      <c r="K14" s="351" t="str">
        <f>'PIM Model'!E12</f>
        <v>INCLUDE</v>
      </c>
      <c r="L14" s="351" t="e">
        <f t="shared" si="0"/>
        <v>#DIV/0!</v>
      </c>
      <c r="M14">
        <v>5</v>
      </c>
      <c r="N14" s="351" t="s">
        <v>1445</v>
      </c>
      <c r="O14" s="351" t="e">
        <f t="shared" si="1"/>
        <v>#DIV/0!</v>
      </c>
      <c r="P14" s="351" t="e">
        <f t="shared" si="2"/>
        <v>#DIV/0!</v>
      </c>
      <c r="Q14" s="351" t="e">
        <f t="shared" si="3"/>
        <v>#DIV/0!</v>
      </c>
      <c r="R14" s="351" t="e">
        <f t="shared" si="4"/>
        <v>#DIV/0!</v>
      </c>
      <c r="S14" s="351">
        <f t="shared" si="16"/>
        <v>0</v>
      </c>
      <c r="T14" s="19">
        <f t="shared" si="17"/>
        <v>0</v>
      </c>
      <c r="U14" s="19"/>
      <c r="V14" s="2">
        <f>'PIM Model'!$C$12</f>
        <v>0</v>
      </c>
      <c r="W14" s="645" t="e">
        <f>'Multi-Customer'!M16</f>
        <v>#DIV/0!</v>
      </c>
      <c r="X14" s="19" t="e">
        <f t="shared" si="18"/>
        <v>#DIV/0!</v>
      </c>
      <c r="Y14" s="351" t="e">
        <f t="shared" si="19"/>
        <v>#DIV/0!</v>
      </c>
      <c r="Z14" s="351" t="e">
        <f t="shared" si="20"/>
        <v>#DIV/0!</v>
      </c>
      <c r="AA14" s="351" t="e">
        <f t="shared" si="21"/>
        <v>#DIV/0!</v>
      </c>
      <c r="AB14" s="646" t="e">
        <f t="shared" si="22"/>
        <v>#DIV/0!</v>
      </c>
      <c r="AC14" s="646" t="e">
        <f t="shared" si="23"/>
        <v>#DIV/0!</v>
      </c>
      <c r="AD14" s="351" t="e">
        <f t="shared" si="5"/>
        <v>#DIV/0!</v>
      </c>
      <c r="AE14" s="351"/>
      <c r="AF14" s="351" t="e">
        <f t="shared" si="24"/>
        <v>#DIV/0!</v>
      </c>
      <c r="AG14" s="39">
        <f>'PIM Model'!B12</f>
        <v>0</v>
      </c>
      <c r="AH14" s="499" t="e">
        <f t="shared" si="6"/>
        <v>#DIV/0!</v>
      </c>
      <c r="AI14" s="499" t="e">
        <f t="shared" si="25"/>
        <v>#DIV/0!</v>
      </c>
      <c r="AJ14">
        <v>5</v>
      </c>
      <c r="AK14" s="500" t="s">
        <v>1445</v>
      </c>
      <c r="AL14" s="500" t="e">
        <f t="shared" si="7"/>
        <v>#DIV/0!</v>
      </c>
      <c r="AM14" s="500">
        <f t="shared" si="8"/>
        <v>0</v>
      </c>
      <c r="AN14" s="500">
        <f t="shared" si="9"/>
        <v>0</v>
      </c>
      <c r="AO14" s="501">
        <f t="shared" si="10"/>
        <v>0</v>
      </c>
      <c r="AP14" s="501">
        <f t="shared" si="11"/>
        <v>0</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31"/>
      <c r="AW14" s="57" t="s">
        <v>1445</v>
      </c>
      <c r="AX14" s="532">
        <v>7627</v>
      </c>
      <c r="AY14" s="532">
        <v>25048</v>
      </c>
      <c r="AZ14" s="532">
        <v>65918</v>
      </c>
      <c r="BA14" s="532">
        <v>149490</v>
      </c>
      <c r="BD14" s="57" t="s">
        <v>1445</v>
      </c>
      <c r="BE14" s="532">
        <v>8381</v>
      </c>
      <c r="BF14" s="532">
        <v>27692</v>
      </c>
      <c r="BG14" s="532">
        <v>73242</v>
      </c>
      <c r="BH14" s="532">
        <v>169875</v>
      </c>
    </row>
    <row r="15" spans="1:70" x14ac:dyDescent="0.25">
      <c r="A15" t="e">
        <f t="shared" si="13"/>
        <v>#DIV/0!</v>
      </c>
      <c r="B15">
        <v>6</v>
      </c>
      <c r="C15" t="s">
        <v>102</v>
      </c>
      <c r="D15" s="25">
        <f>'Multi-Customer'!C17</f>
        <v>0</v>
      </c>
      <c r="E15">
        <f>'Multi-Customer'!D17</f>
        <v>0</v>
      </c>
      <c r="F15">
        <f>'Multi-Customer'!E17</f>
        <v>0</v>
      </c>
      <c r="G15" s="351">
        <f>'Multi-Customer'!F17</f>
        <v>0</v>
      </c>
      <c r="H15" s="19">
        <f t="shared" si="14"/>
        <v>0</v>
      </c>
      <c r="I15" s="19">
        <f t="shared" si="15"/>
        <v>0</v>
      </c>
      <c r="J15" s="351"/>
      <c r="K15" s="351" t="str">
        <f>'PIM Model'!E13</f>
        <v>INCLUDE</v>
      </c>
      <c r="L15" s="351" t="e">
        <f t="shared" si="0"/>
        <v>#DIV/0!</v>
      </c>
      <c r="M15">
        <v>6</v>
      </c>
      <c r="N15" s="351" t="s">
        <v>102</v>
      </c>
      <c r="O15" s="351" t="e">
        <f t="shared" si="1"/>
        <v>#DIV/0!</v>
      </c>
      <c r="P15" s="351" t="e">
        <f t="shared" si="2"/>
        <v>#DIV/0!</v>
      </c>
      <c r="Q15" s="351" t="e">
        <f t="shared" si="3"/>
        <v>#DIV/0!</v>
      </c>
      <c r="R15" s="351" t="e">
        <f t="shared" si="4"/>
        <v>#DIV/0!</v>
      </c>
      <c r="S15" s="351">
        <f t="shared" si="16"/>
        <v>0</v>
      </c>
      <c r="T15" s="19">
        <f t="shared" si="17"/>
        <v>0</v>
      </c>
      <c r="U15" s="19"/>
      <c r="V15" s="2">
        <f>'PIM Model'!$C$13</f>
        <v>0</v>
      </c>
      <c r="W15" s="645" t="e">
        <f>'Multi-Customer'!M17</f>
        <v>#DIV/0!</v>
      </c>
      <c r="X15" s="19" t="e">
        <f t="shared" si="18"/>
        <v>#DIV/0!</v>
      </c>
      <c r="Y15" s="351" t="e">
        <f t="shared" si="19"/>
        <v>#DIV/0!</v>
      </c>
      <c r="Z15" s="351" t="e">
        <f t="shared" si="20"/>
        <v>#DIV/0!</v>
      </c>
      <c r="AA15" s="351" t="e">
        <f t="shared" si="21"/>
        <v>#DIV/0!</v>
      </c>
      <c r="AB15" s="646" t="e">
        <f t="shared" si="22"/>
        <v>#DIV/0!</v>
      </c>
      <c r="AC15" s="646" t="e">
        <f t="shared" si="23"/>
        <v>#DIV/0!</v>
      </c>
      <c r="AD15" s="351" t="e">
        <f t="shared" si="5"/>
        <v>#DIV/0!</v>
      </c>
      <c r="AE15" s="351"/>
      <c r="AF15" s="351" t="e">
        <f t="shared" si="24"/>
        <v>#DIV/0!</v>
      </c>
      <c r="AG15" s="39">
        <f>'PIM Model'!B13</f>
        <v>0</v>
      </c>
      <c r="AH15" s="499" t="e">
        <f t="shared" si="6"/>
        <v>#DIV/0!</v>
      </c>
      <c r="AI15" s="499" t="e">
        <f t="shared" si="25"/>
        <v>#DIV/0!</v>
      </c>
      <c r="AJ15">
        <v>6</v>
      </c>
      <c r="AK15" s="500" t="s">
        <v>102</v>
      </c>
      <c r="AL15" s="500" t="e">
        <f t="shared" si="7"/>
        <v>#DIV/0!</v>
      </c>
      <c r="AM15" s="500">
        <f t="shared" si="8"/>
        <v>0</v>
      </c>
      <c r="AN15" s="500">
        <f t="shared" si="9"/>
        <v>0</v>
      </c>
      <c r="AO15" s="501">
        <f t="shared" si="10"/>
        <v>0</v>
      </c>
      <c r="AP15" s="501">
        <f t="shared" si="11"/>
        <v>0</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31"/>
      <c r="AW15" s="53" t="s">
        <v>102</v>
      </c>
      <c r="AX15" s="532">
        <v>2926</v>
      </c>
      <c r="AY15" s="532">
        <v>7075</v>
      </c>
      <c r="AZ15" s="532">
        <v>14145</v>
      </c>
      <c r="BA15" s="532">
        <v>30916</v>
      </c>
      <c r="BD15" s="53" t="s">
        <v>102</v>
      </c>
      <c r="BE15" s="532">
        <v>5828</v>
      </c>
      <c r="BF15" s="532">
        <v>18598</v>
      </c>
      <c r="BG15" s="532">
        <v>52273</v>
      </c>
      <c r="BH15" s="532">
        <v>121106</v>
      </c>
    </row>
    <row r="16" spans="1:70" x14ac:dyDescent="0.25">
      <c r="A16" t="e">
        <f t="shared" si="13"/>
        <v>#DIV/0!</v>
      </c>
      <c r="B16">
        <v>7</v>
      </c>
      <c r="C16" t="s">
        <v>100</v>
      </c>
      <c r="D16" s="25">
        <f>'Multi-Customer'!C18</f>
        <v>0</v>
      </c>
      <c r="E16">
        <f>'Multi-Customer'!D18</f>
        <v>0</v>
      </c>
      <c r="F16">
        <f>'Multi-Customer'!E18</f>
        <v>0</v>
      </c>
      <c r="G16" s="351">
        <f>'Multi-Customer'!F18</f>
        <v>0</v>
      </c>
      <c r="H16" s="19">
        <f t="shared" si="14"/>
        <v>0</v>
      </c>
      <c r="I16" s="19">
        <f t="shared" si="15"/>
        <v>0</v>
      </c>
      <c r="J16" s="351"/>
      <c r="K16" s="351" t="str">
        <f>'PIM Model'!E14</f>
        <v>INCLUDE</v>
      </c>
      <c r="L16" s="351" t="e">
        <f t="shared" si="0"/>
        <v>#DIV/0!</v>
      </c>
      <c r="M16">
        <v>7</v>
      </c>
      <c r="N16" s="351" t="s">
        <v>100</v>
      </c>
      <c r="O16" s="351" t="e">
        <f t="shared" si="1"/>
        <v>#DIV/0!</v>
      </c>
      <c r="P16" s="351" t="e">
        <f t="shared" si="2"/>
        <v>#DIV/0!</v>
      </c>
      <c r="Q16" s="351" t="e">
        <f t="shared" si="3"/>
        <v>#DIV/0!</v>
      </c>
      <c r="R16" s="351" t="e">
        <f t="shared" si="4"/>
        <v>#DIV/0!</v>
      </c>
      <c r="S16" s="351">
        <f t="shared" si="16"/>
        <v>0</v>
      </c>
      <c r="T16" s="19">
        <f t="shared" si="17"/>
        <v>0</v>
      </c>
      <c r="U16" s="19"/>
      <c r="V16" s="2">
        <f>'PIM Model'!$C$14</f>
        <v>0</v>
      </c>
      <c r="W16" s="645" t="e">
        <f>'Multi-Customer'!M18</f>
        <v>#DIV/0!</v>
      </c>
      <c r="X16" s="19" t="e">
        <f t="shared" si="18"/>
        <v>#DIV/0!</v>
      </c>
      <c r="Y16" s="351" t="e">
        <f t="shared" si="19"/>
        <v>#DIV/0!</v>
      </c>
      <c r="Z16" s="351" t="e">
        <f t="shared" si="20"/>
        <v>#DIV/0!</v>
      </c>
      <c r="AA16" s="351" t="e">
        <f t="shared" si="21"/>
        <v>#DIV/0!</v>
      </c>
      <c r="AB16" s="646" t="e">
        <f t="shared" si="22"/>
        <v>#DIV/0!</v>
      </c>
      <c r="AC16" s="646" t="e">
        <f t="shared" si="23"/>
        <v>#DIV/0!</v>
      </c>
      <c r="AD16" s="351" t="e">
        <f t="shared" si="5"/>
        <v>#DIV/0!</v>
      </c>
      <c r="AE16" s="351"/>
      <c r="AF16" s="351" t="e">
        <f t="shared" si="24"/>
        <v>#DIV/0!</v>
      </c>
      <c r="AG16" s="39">
        <f>'PIM Model'!B14</f>
        <v>0</v>
      </c>
      <c r="AH16" s="499" t="e">
        <f t="shared" si="6"/>
        <v>#DIV/0!</v>
      </c>
      <c r="AI16" s="499" t="e">
        <f t="shared" si="25"/>
        <v>#DIV/0!</v>
      </c>
      <c r="AJ16">
        <v>7</v>
      </c>
      <c r="AK16" s="500" t="s">
        <v>100</v>
      </c>
      <c r="AL16" s="500" t="e">
        <f t="shared" si="7"/>
        <v>#DIV/0!</v>
      </c>
      <c r="AM16" s="500">
        <f t="shared" si="8"/>
        <v>0</v>
      </c>
      <c r="AN16" s="500">
        <f t="shared" si="9"/>
        <v>0</v>
      </c>
      <c r="AO16" s="501">
        <f t="shared" si="10"/>
        <v>0</v>
      </c>
      <c r="AP16" s="501">
        <f t="shared" si="11"/>
        <v>0</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31"/>
      <c r="AW16" s="53" t="s">
        <v>100</v>
      </c>
      <c r="AX16" s="532">
        <v>9661</v>
      </c>
      <c r="AY16" s="532">
        <v>18992</v>
      </c>
      <c r="AZ16" s="532">
        <v>36524</v>
      </c>
      <c r="BA16" s="532">
        <v>76773</v>
      </c>
      <c r="BD16" s="53" t="s">
        <v>100</v>
      </c>
      <c r="BE16" s="532">
        <v>14922</v>
      </c>
      <c r="BF16" s="532">
        <v>36880</v>
      </c>
      <c r="BG16" s="532">
        <v>97878</v>
      </c>
      <c r="BH16" s="532">
        <v>221341</v>
      </c>
    </row>
    <row r="17" spans="1:60" x14ac:dyDescent="0.25">
      <c r="A17" t="e">
        <f t="shared" si="13"/>
        <v>#DIV/0!</v>
      </c>
      <c r="B17">
        <v>8</v>
      </c>
      <c r="C17" t="s">
        <v>104</v>
      </c>
      <c r="D17" s="25">
        <f>'Multi-Customer'!C19</f>
        <v>0</v>
      </c>
      <c r="E17">
        <f>'Multi-Customer'!D19</f>
        <v>0</v>
      </c>
      <c r="F17">
        <f>'Multi-Customer'!E19</f>
        <v>0</v>
      </c>
      <c r="G17" s="351">
        <f>'Multi-Customer'!F19</f>
        <v>0</v>
      </c>
      <c r="H17" s="19">
        <f t="shared" si="14"/>
        <v>0</v>
      </c>
      <c r="I17" s="19">
        <f t="shared" si="15"/>
        <v>0</v>
      </c>
      <c r="J17" s="351"/>
      <c r="K17" s="351" t="str">
        <f>'PIM Model'!E15</f>
        <v>INCLUDE</v>
      </c>
      <c r="L17" s="351" t="e">
        <f t="shared" si="0"/>
        <v>#DIV/0!</v>
      </c>
      <c r="M17">
        <v>8</v>
      </c>
      <c r="N17" s="351" t="s">
        <v>104</v>
      </c>
      <c r="O17" s="351" t="e">
        <f t="shared" si="1"/>
        <v>#DIV/0!</v>
      </c>
      <c r="P17" s="351" t="e">
        <f t="shared" si="2"/>
        <v>#DIV/0!</v>
      </c>
      <c r="Q17" s="351" t="e">
        <f t="shared" si="3"/>
        <v>#DIV/0!</v>
      </c>
      <c r="R17" s="351" t="e">
        <f t="shared" si="4"/>
        <v>#DIV/0!</v>
      </c>
      <c r="S17" s="351">
        <f t="shared" si="16"/>
        <v>0</v>
      </c>
      <c r="T17" s="19">
        <f t="shared" si="17"/>
        <v>0</v>
      </c>
      <c r="U17" s="19"/>
      <c r="V17" s="2">
        <f>'PIM Model'!$C$15</f>
        <v>0</v>
      </c>
      <c r="W17" s="645" t="e">
        <f>'Multi-Customer'!M19</f>
        <v>#DIV/0!</v>
      </c>
      <c r="X17" s="19" t="e">
        <f t="shared" si="18"/>
        <v>#DIV/0!</v>
      </c>
      <c r="Y17" s="351" t="e">
        <f t="shared" si="19"/>
        <v>#DIV/0!</v>
      </c>
      <c r="Z17" s="351" t="e">
        <f t="shared" si="20"/>
        <v>#DIV/0!</v>
      </c>
      <c r="AA17" s="351" t="e">
        <f t="shared" si="21"/>
        <v>#DIV/0!</v>
      </c>
      <c r="AB17" s="646" t="e">
        <f t="shared" si="22"/>
        <v>#DIV/0!</v>
      </c>
      <c r="AC17" s="646" t="e">
        <f t="shared" si="23"/>
        <v>#DIV/0!</v>
      </c>
      <c r="AD17" s="351" t="e">
        <f t="shared" si="5"/>
        <v>#DIV/0!</v>
      </c>
      <c r="AE17" s="351"/>
      <c r="AF17" s="351" t="e">
        <f t="shared" si="24"/>
        <v>#DIV/0!</v>
      </c>
      <c r="AG17" s="39">
        <f>'PIM Model'!B15</f>
        <v>0</v>
      </c>
      <c r="AH17" s="499" t="e">
        <f t="shared" si="6"/>
        <v>#DIV/0!</v>
      </c>
      <c r="AI17" s="499" t="e">
        <f t="shared" si="25"/>
        <v>#DIV/0!</v>
      </c>
      <c r="AJ17">
        <v>8</v>
      </c>
      <c r="AK17" s="500" t="s">
        <v>104</v>
      </c>
      <c r="AL17" s="500" t="e">
        <f t="shared" si="7"/>
        <v>#DIV/0!</v>
      </c>
      <c r="AM17" s="500">
        <f t="shared" si="8"/>
        <v>0</v>
      </c>
      <c r="AN17" s="500">
        <f t="shared" si="9"/>
        <v>0</v>
      </c>
      <c r="AO17" s="501">
        <f t="shared" si="10"/>
        <v>0</v>
      </c>
      <c r="AP17" s="501">
        <f t="shared" si="11"/>
        <v>0</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31"/>
      <c r="AW17" s="53" t="s">
        <v>104</v>
      </c>
      <c r="AX17" s="532">
        <v>1374</v>
      </c>
      <c r="AY17" s="532">
        <v>4152</v>
      </c>
      <c r="AZ17" s="532">
        <v>8859</v>
      </c>
      <c r="BA17" s="532">
        <v>20083</v>
      </c>
      <c r="BD17" s="53" t="s">
        <v>104</v>
      </c>
      <c r="BE17" s="532">
        <v>2515</v>
      </c>
      <c r="BF17" s="532">
        <v>9191</v>
      </c>
      <c r="BG17" s="532">
        <v>28229</v>
      </c>
      <c r="BH17" s="532">
        <v>66332</v>
      </c>
    </row>
    <row r="18" spans="1:60" x14ac:dyDescent="0.25">
      <c r="A18" t="e">
        <f t="shared" si="13"/>
        <v>#DIV/0!</v>
      </c>
      <c r="B18">
        <v>9</v>
      </c>
      <c r="C18" t="s">
        <v>98</v>
      </c>
      <c r="D18" s="25">
        <f>'Multi-Customer'!C20</f>
        <v>0</v>
      </c>
      <c r="E18">
        <f>'Multi-Customer'!D20</f>
        <v>0</v>
      </c>
      <c r="F18">
        <f>'Multi-Customer'!E20</f>
        <v>0</v>
      </c>
      <c r="G18" s="351">
        <f>'Multi-Customer'!F20</f>
        <v>0</v>
      </c>
      <c r="H18" s="19">
        <f t="shared" si="14"/>
        <v>0</v>
      </c>
      <c r="I18" s="19">
        <f t="shared" si="15"/>
        <v>0</v>
      </c>
      <c r="J18" s="351"/>
      <c r="K18" s="351" t="str">
        <f>'PIM Model'!E16</f>
        <v>INCLUDE</v>
      </c>
      <c r="L18" s="351" t="e">
        <f t="shared" si="0"/>
        <v>#DIV/0!</v>
      </c>
      <c r="M18">
        <v>9</v>
      </c>
      <c r="N18" s="351" t="s">
        <v>98</v>
      </c>
      <c r="O18" s="351" t="e">
        <f t="shared" si="1"/>
        <v>#DIV/0!</v>
      </c>
      <c r="P18" s="351" t="e">
        <f t="shared" si="2"/>
        <v>#DIV/0!</v>
      </c>
      <c r="Q18" s="351" t="e">
        <f t="shared" si="3"/>
        <v>#DIV/0!</v>
      </c>
      <c r="R18" s="351" t="e">
        <f t="shared" si="4"/>
        <v>#DIV/0!</v>
      </c>
      <c r="S18" s="351">
        <f t="shared" si="16"/>
        <v>0</v>
      </c>
      <c r="T18" s="19">
        <f t="shared" si="17"/>
        <v>0</v>
      </c>
      <c r="U18" s="19"/>
      <c r="V18" s="2">
        <f>'PIM Model'!$C$16</f>
        <v>0</v>
      </c>
      <c r="W18" s="645" t="e">
        <f>'Multi-Customer'!M20</f>
        <v>#DIV/0!</v>
      </c>
      <c r="X18" s="19" t="e">
        <f t="shared" si="18"/>
        <v>#DIV/0!</v>
      </c>
      <c r="Y18" s="351" t="e">
        <f t="shared" si="19"/>
        <v>#DIV/0!</v>
      </c>
      <c r="Z18" s="351" t="e">
        <f t="shared" si="20"/>
        <v>#DIV/0!</v>
      </c>
      <c r="AA18" s="351" t="e">
        <f t="shared" si="21"/>
        <v>#DIV/0!</v>
      </c>
      <c r="AB18" s="646" t="e">
        <f t="shared" si="22"/>
        <v>#DIV/0!</v>
      </c>
      <c r="AC18" s="646" t="e">
        <f t="shared" si="23"/>
        <v>#DIV/0!</v>
      </c>
      <c r="AD18" s="351" t="e">
        <f t="shared" si="5"/>
        <v>#DIV/0!</v>
      </c>
      <c r="AE18" s="351"/>
      <c r="AF18" s="351" t="e">
        <f t="shared" si="24"/>
        <v>#DIV/0!</v>
      </c>
      <c r="AG18" s="39">
        <f>'PIM Model'!B16</f>
        <v>0</v>
      </c>
      <c r="AH18" s="499" t="e">
        <f t="shared" si="6"/>
        <v>#DIV/0!</v>
      </c>
      <c r="AI18" s="499" t="e">
        <f t="shared" si="25"/>
        <v>#DIV/0!</v>
      </c>
      <c r="AJ18">
        <v>9</v>
      </c>
      <c r="AK18" s="500" t="s">
        <v>98</v>
      </c>
      <c r="AL18" s="500" t="e">
        <f t="shared" si="7"/>
        <v>#DIV/0!</v>
      </c>
      <c r="AM18" s="500">
        <f t="shared" si="8"/>
        <v>0</v>
      </c>
      <c r="AN18" s="500">
        <f t="shared" si="9"/>
        <v>0</v>
      </c>
      <c r="AO18" s="501">
        <f t="shared" si="10"/>
        <v>0</v>
      </c>
      <c r="AP18" s="501">
        <f t="shared" si="11"/>
        <v>0</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31"/>
      <c r="AW18" s="53" t="s">
        <v>98</v>
      </c>
      <c r="AX18" s="532">
        <v>5735</v>
      </c>
      <c r="AY18" s="532">
        <v>12048</v>
      </c>
      <c r="AZ18" s="532">
        <v>22223</v>
      </c>
      <c r="BA18" s="532">
        <v>46885</v>
      </c>
      <c r="BD18" s="53" t="s">
        <v>98</v>
      </c>
      <c r="BE18" s="532">
        <v>11588</v>
      </c>
      <c r="BF18" s="532">
        <v>31399</v>
      </c>
      <c r="BG18" s="532">
        <v>78180</v>
      </c>
      <c r="BH18" s="532">
        <v>177577</v>
      </c>
    </row>
    <row r="19" spans="1:60" x14ac:dyDescent="0.25">
      <c r="A19" t="e">
        <f t="shared" si="13"/>
        <v>#DIV/0!</v>
      </c>
      <c r="B19">
        <v>10</v>
      </c>
      <c r="C19" t="s">
        <v>95</v>
      </c>
      <c r="D19" s="25">
        <f>'Multi-Customer'!C21</f>
        <v>0</v>
      </c>
      <c r="E19">
        <f>'Multi-Customer'!D21</f>
        <v>0</v>
      </c>
      <c r="F19">
        <f>'Multi-Customer'!E21</f>
        <v>0</v>
      </c>
      <c r="G19" s="351">
        <f>'Multi-Customer'!F21</f>
        <v>0</v>
      </c>
      <c r="H19" s="19">
        <f t="shared" si="14"/>
        <v>0</v>
      </c>
      <c r="I19" s="19">
        <f t="shared" si="15"/>
        <v>0</v>
      </c>
      <c r="J19" s="351"/>
      <c r="K19" s="351" t="str">
        <f>'PIM Model'!E17</f>
        <v>INCLUDE</v>
      </c>
      <c r="L19" s="351" t="e">
        <f t="shared" si="0"/>
        <v>#DIV/0!</v>
      </c>
      <c r="M19">
        <v>10</v>
      </c>
      <c r="N19" s="351" t="s">
        <v>95</v>
      </c>
      <c r="O19" s="351" t="e">
        <f t="shared" si="1"/>
        <v>#DIV/0!</v>
      </c>
      <c r="P19" s="351" t="e">
        <f t="shared" si="2"/>
        <v>#DIV/0!</v>
      </c>
      <c r="Q19" s="351" t="e">
        <f t="shared" si="3"/>
        <v>#DIV/0!</v>
      </c>
      <c r="R19" s="351" t="e">
        <f t="shared" si="4"/>
        <v>#DIV/0!</v>
      </c>
      <c r="S19" s="351">
        <f t="shared" si="16"/>
        <v>0</v>
      </c>
      <c r="T19" s="19">
        <f t="shared" si="17"/>
        <v>0</v>
      </c>
      <c r="U19" s="19"/>
      <c r="V19" s="2">
        <f>'PIM Model'!$C$17</f>
        <v>0</v>
      </c>
      <c r="W19" s="645" t="e">
        <f>'Multi-Customer'!M21</f>
        <v>#DIV/0!</v>
      </c>
      <c r="X19" s="19" t="e">
        <f t="shared" si="18"/>
        <v>#DIV/0!</v>
      </c>
      <c r="Y19" s="351" t="e">
        <f t="shared" si="19"/>
        <v>#DIV/0!</v>
      </c>
      <c r="Z19" s="351" t="e">
        <f t="shared" si="20"/>
        <v>#DIV/0!</v>
      </c>
      <c r="AA19" s="351" t="e">
        <f t="shared" si="21"/>
        <v>#DIV/0!</v>
      </c>
      <c r="AB19" s="646" t="e">
        <f t="shared" si="22"/>
        <v>#DIV/0!</v>
      </c>
      <c r="AC19" s="646" t="e">
        <f t="shared" si="23"/>
        <v>#DIV/0!</v>
      </c>
      <c r="AD19" s="351" t="e">
        <f t="shared" si="5"/>
        <v>#DIV/0!</v>
      </c>
      <c r="AE19" s="351"/>
      <c r="AF19" s="351" t="e">
        <f t="shared" si="24"/>
        <v>#DIV/0!</v>
      </c>
      <c r="AG19" s="39">
        <f>'PIM Model'!B17</f>
        <v>0</v>
      </c>
      <c r="AH19" s="499" t="e">
        <f t="shared" si="6"/>
        <v>#DIV/0!</v>
      </c>
      <c r="AI19" s="499" t="e">
        <f t="shared" si="25"/>
        <v>#DIV/0!</v>
      </c>
      <c r="AJ19">
        <v>10</v>
      </c>
      <c r="AK19" s="500" t="s">
        <v>95</v>
      </c>
      <c r="AL19" s="500" t="e">
        <f t="shared" si="7"/>
        <v>#DIV/0!</v>
      </c>
      <c r="AM19" s="500">
        <f t="shared" si="8"/>
        <v>0</v>
      </c>
      <c r="AN19" s="500">
        <f t="shared" si="9"/>
        <v>0</v>
      </c>
      <c r="AO19" s="501">
        <f t="shared" si="10"/>
        <v>0</v>
      </c>
      <c r="AP19" s="501">
        <f t="shared" si="11"/>
        <v>0</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31"/>
      <c r="AW19" s="53" t="s">
        <v>95</v>
      </c>
      <c r="AX19" s="532">
        <v>5783</v>
      </c>
      <c r="AY19" s="532">
        <v>15190</v>
      </c>
      <c r="AZ19" s="532">
        <v>28191</v>
      </c>
      <c r="BA19" s="532">
        <v>61587</v>
      </c>
      <c r="BD19" s="53" t="s">
        <v>95</v>
      </c>
      <c r="BE19" s="532">
        <v>11697</v>
      </c>
      <c r="BF19" s="532">
        <v>35019</v>
      </c>
      <c r="BG19" s="532">
        <v>103570</v>
      </c>
      <c r="BH19" s="532">
        <v>238698</v>
      </c>
    </row>
    <row r="20" spans="1:60" x14ac:dyDescent="0.25">
      <c r="A20" t="e">
        <f t="shared" si="13"/>
        <v>#DIV/0!</v>
      </c>
      <c r="B20">
        <v>11</v>
      </c>
      <c r="C20" t="s">
        <v>96</v>
      </c>
      <c r="D20" s="25">
        <f>'Multi-Customer'!C22</f>
        <v>0</v>
      </c>
      <c r="E20">
        <f>'Multi-Customer'!D22</f>
        <v>0</v>
      </c>
      <c r="F20">
        <f>'Multi-Customer'!E22</f>
        <v>0</v>
      </c>
      <c r="G20" s="351">
        <f>'Multi-Customer'!F22</f>
        <v>0</v>
      </c>
      <c r="H20" s="19">
        <f t="shared" si="14"/>
        <v>0</v>
      </c>
      <c r="I20" s="19">
        <f t="shared" si="15"/>
        <v>0</v>
      </c>
      <c r="J20" s="351"/>
      <c r="K20" s="351" t="str">
        <f>'PIM Model'!E18</f>
        <v>INCLUDE</v>
      </c>
      <c r="L20" s="351" t="e">
        <f t="shared" si="0"/>
        <v>#DIV/0!</v>
      </c>
      <c r="M20">
        <v>11</v>
      </c>
      <c r="N20" s="351" t="s">
        <v>96</v>
      </c>
      <c r="O20" s="351" t="e">
        <f t="shared" si="1"/>
        <v>#DIV/0!</v>
      </c>
      <c r="P20" s="351" t="e">
        <f t="shared" si="2"/>
        <v>#DIV/0!</v>
      </c>
      <c r="Q20" s="351" t="e">
        <f t="shared" si="3"/>
        <v>#DIV/0!</v>
      </c>
      <c r="R20" s="351" t="e">
        <f t="shared" si="4"/>
        <v>#DIV/0!</v>
      </c>
      <c r="S20" s="351">
        <f t="shared" si="16"/>
        <v>0</v>
      </c>
      <c r="T20" s="19">
        <f t="shared" si="17"/>
        <v>0</v>
      </c>
      <c r="U20" s="19"/>
      <c r="V20" s="2">
        <f>'PIM Model'!$C$18</f>
        <v>0</v>
      </c>
      <c r="W20" s="645" t="e">
        <f>'Multi-Customer'!M22</f>
        <v>#DIV/0!</v>
      </c>
      <c r="X20" s="19" t="e">
        <f t="shared" si="18"/>
        <v>#DIV/0!</v>
      </c>
      <c r="Y20" s="351" t="e">
        <f t="shared" si="19"/>
        <v>#DIV/0!</v>
      </c>
      <c r="Z20" s="351" t="e">
        <f t="shared" si="20"/>
        <v>#DIV/0!</v>
      </c>
      <c r="AA20" s="351" t="e">
        <f t="shared" si="21"/>
        <v>#DIV/0!</v>
      </c>
      <c r="AB20" s="646" t="e">
        <f t="shared" si="22"/>
        <v>#DIV/0!</v>
      </c>
      <c r="AC20" s="646" t="e">
        <f t="shared" si="23"/>
        <v>#DIV/0!</v>
      </c>
      <c r="AD20" s="351" t="e">
        <f t="shared" si="5"/>
        <v>#DIV/0!</v>
      </c>
      <c r="AE20" s="351"/>
      <c r="AF20" s="351" t="e">
        <f t="shared" si="24"/>
        <v>#DIV/0!</v>
      </c>
      <c r="AG20" s="39">
        <f>'PIM Model'!B18</f>
        <v>0</v>
      </c>
      <c r="AH20" s="499" t="e">
        <f t="shared" si="6"/>
        <v>#DIV/0!</v>
      </c>
      <c r="AI20" s="499" t="e">
        <f t="shared" si="25"/>
        <v>#DIV/0!</v>
      </c>
      <c r="AJ20">
        <v>11</v>
      </c>
      <c r="AK20" s="500" t="s">
        <v>96</v>
      </c>
      <c r="AL20" s="500" t="e">
        <f t="shared" si="7"/>
        <v>#DIV/0!</v>
      </c>
      <c r="AM20" s="500">
        <f t="shared" si="8"/>
        <v>0</v>
      </c>
      <c r="AN20" s="500">
        <f t="shared" si="9"/>
        <v>0</v>
      </c>
      <c r="AO20" s="501">
        <f t="shared" si="10"/>
        <v>0</v>
      </c>
      <c r="AP20" s="501">
        <f t="shared" si="11"/>
        <v>0</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31"/>
      <c r="AW20" s="53" t="s">
        <v>96</v>
      </c>
      <c r="AX20" s="532">
        <v>830</v>
      </c>
      <c r="AY20" s="532">
        <v>2480</v>
      </c>
      <c r="AZ20" s="532">
        <v>6004</v>
      </c>
      <c r="BA20" s="532">
        <v>13761</v>
      </c>
      <c r="BD20" s="53" t="s">
        <v>96</v>
      </c>
      <c r="BE20" s="532">
        <v>1562</v>
      </c>
      <c r="BF20" s="532">
        <v>5701</v>
      </c>
      <c r="BG20" s="532">
        <v>19578</v>
      </c>
      <c r="BH20" s="532">
        <v>45979</v>
      </c>
    </row>
    <row r="21" spans="1:60" x14ac:dyDescent="0.25">
      <c r="A21" t="e">
        <f t="shared" si="13"/>
        <v>#DIV/0!</v>
      </c>
      <c r="B21">
        <v>12</v>
      </c>
      <c r="C21" t="s">
        <v>101</v>
      </c>
      <c r="D21" s="25">
        <f>'Multi-Customer'!C23</f>
        <v>0</v>
      </c>
      <c r="E21">
        <f>'Multi-Customer'!D23</f>
        <v>0</v>
      </c>
      <c r="F21">
        <f>'Multi-Customer'!E23</f>
        <v>0</v>
      </c>
      <c r="G21" s="351">
        <f>'Multi-Customer'!F23</f>
        <v>0</v>
      </c>
      <c r="H21" s="19">
        <f t="shared" si="14"/>
        <v>0</v>
      </c>
      <c r="I21" s="19">
        <f t="shared" si="15"/>
        <v>0</v>
      </c>
      <c r="J21" s="351"/>
      <c r="K21" s="351" t="str">
        <f>'PIM Model'!E19</f>
        <v>INCLUDE</v>
      </c>
      <c r="L21" s="351" t="e">
        <f t="shared" si="0"/>
        <v>#DIV/0!</v>
      </c>
      <c r="M21">
        <v>12</v>
      </c>
      <c r="N21" s="351" t="s">
        <v>101</v>
      </c>
      <c r="O21" s="351" t="e">
        <f t="shared" si="1"/>
        <v>#DIV/0!</v>
      </c>
      <c r="P21" s="351" t="e">
        <f t="shared" si="2"/>
        <v>#DIV/0!</v>
      </c>
      <c r="Q21" s="351" t="e">
        <f t="shared" si="3"/>
        <v>#DIV/0!</v>
      </c>
      <c r="R21" s="351" t="e">
        <f t="shared" si="4"/>
        <v>#DIV/0!</v>
      </c>
      <c r="S21" s="351">
        <f t="shared" si="16"/>
        <v>0</v>
      </c>
      <c r="T21" s="19">
        <f t="shared" si="17"/>
        <v>0</v>
      </c>
      <c r="U21" s="19"/>
      <c r="V21" s="2">
        <f>'PIM Model'!$C$19</f>
        <v>0</v>
      </c>
      <c r="W21" s="645" t="e">
        <f>'Multi-Customer'!M23</f>
        <v>#DIV/0!</v>
      </c>
      <c r="X21" s="19" t="e">
        <f t="shared" si="18"/>
        <v>#DIV/0!</v>
      </c>
      <c r="Y21" s="351" t="e">
        <f t="shared" si="19"/>
        <v>#DIV/0!</v>
      </c>
      <c r="Z21" s="351" t="e">
        <f t="shared" si="20"/>
        <v>#DIV/0!</v>
      </c>
      <c r="AA21" s="351" t="e">
        <f t="shared" si="21"/>
        <v>#DIV/0!</v>
      </c>
      <c r="AB21" s="646" t="e">
        <f t="shared" si="22"/>
        <v>#DIV/0!</v>
      </c>
      <c r="AC21" s="646" t="e">
        <f t="shared" si="23"/>
        <v>#DIV/0!</v>
      </c>
      <c r="AD21" s="351" t="e">
        <f t="shared" si="5"/>
        <v>#DIV/0!</v>
      </c>
      <c r="AE21" s="351"/>
      <c r="AF21" s="351" t="e">
        <f t="shared" si="24"/>
        <v>#DIV/0!</v>
      </c>
      <c r="AG21" s="39">
        <f>'PIM Model'!B19</f>
        <v>0</v>
      </c>
      <c r="AH21" s="499" t="e">
        <f t="shared" si="6"/>
        <v>#DIV/0!</v>
      </c>
      <c r="AI21" s="499" t="e">
        <f t="shared" si="25"/>
        <v>#DIV/0!</v>
      </c>
      <c r="AJ21">
        <v>12</v>
      </c>
      <c r="AK21" s="500" t="s">
        <v>101</v>
      </c>
      <c r="AL21" s="500" t="e">
        <f t="shared" si="7"/>
        <v>#DIV/0!</v>
      </c>
      <c r="AM21" s="500">
        <f t="shared" si="8"/>
        <v>0</v>
      </c>
      <c r="AN21" s="500">
        <f t="shared" si="9"/>
        <v>0</v>
      </c>
      <c r="AO21" s="501">
        <f t="shared" si="10"/>
        <v>0</v>
      </c>
      <c r="AP21" s="501">
        <f t="shared" si="11"/>
        <v>0</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31"/>
      <c r="AW21" s="53" t="s">
        <v>101</v>
      </c>
      <c r="AX21" s="532">
        <v>2353</v>
      </c>
      <c r="AY21" s="532">
        <v>5189</v>
      </c>
      <c r="AZ21" s="532">
        <v>10687</v>
      </c>
      <c r="BA21" s="532">
        <v>23163</v>
      </c>
      <c r="BD21" s="53" t="s">
        <v>101</v>
      </c>
      <c r="BE21" s="532">
        <v>3473</v>
      </c>
      <c r="BF21" s="532">
        <v>9790</v>
      </c>
      <c r="BG21" s="532">
        <v>29037</v>
      </c>
      <c r="BH21" s="532">
        <v>66663</v>
      </c>
    </row>
    <row r="22" spans="1:60" x14ac:dyDescent="0.25">
      <c r="A22" t="e">
        <f t="shared" si="13"/>
        <v>#DIV/0!</v>
      </c>
      <c r="B22">
        <v>13</v>
      </c>
      <c r="C22" t="s">
        <v>97</v>
      </c>
      <c r="D22" s="25">
        <f>'Multi-Customer'!C24</f>
        <v>0</v>
      </c>
      <c r="E22">
        <f>'Multi-Customer'!D24</f>
        <v>0</v>
      </c>
      <c r="F22">
        <f>'Multi-Customer'!E24</f>
        <v>0</v>
      </c>
      <c r="G22" s="351">
        <f>'Multi-Customer'!F24</f>
        <v>0</v>
      </c>
      <c r="H22" s="19">
        <f t="shared" si="14"/>
        <v>0</v>
      </c>
      <c r="I22" s="19">
        <f t="shared" si="15"/>
        <v>0</v>
      </c>
      <c r="J22" s="351"/>
      <c r="K22" s="351" t="str">
        <f>'PIM Model'!E20</f>
        <v>INCLUDE</v>
      </c>
      <c r="L22" s="351" t="e">
        <f t="shared" si="0"/>
        <v>#DIV/0!</v>
      </c>
      <c r="M22">
        <v>13</v>
      </c>
      <c r="N22" s="351" t="s">
        <v>97</v>
      </c>
      <c r="O22" s="351" t="e">
        <f t="shared" si="1"/>
        <v>#DIV/0!</v>
      </c>
      <c r="P22" s="351" t="e">
        <f t="shared" si="2"/>
        <v>#DIV/0!</v>
      </c>
      <c r="Q22" s="351" t="e">
        <f t="shared" si="3"/>
        <v>#DIV/0!</v>
      </c>
      <c r="R22" s="351" t="e">
        <f t="shared" si="4"/>
        <v>#DIV/0!</v>
      </c>
      <c r="S22" s="351">
        <f t="shared" si="16"/>
        <v>0</v>
      </c>
      <c r="T22" s="19">
        <f t="shared" si="17"/>
        <v>0</v>
      </c>
      <c r="U22" s="19"/>
      <c r="V22" s="2">
        <f>'PIM Model'!$C$20</f>
        <v>0</v>
      </c>
      <c r="W22" s="645" t="e">
        <f>'Multi-Customer'!M24</f>
        <v>#DIV/0!</v>
      </c>
      <c r="X22" s="19" t="e">
        <f t="shared" si="18"/>
        <v>#DIV/0!</v>
      </c>
      <c r="Y22" s="351" t="e">
        <f t="shared" si="19"/>
        <v>#DIV/0!</v>
      </c>
      <c r="Z22" s="351" t="e">
        <f t="shared" si="20"/>
        <v>#DIV/0!</v>
      </c>
      <c r="AA22" s="351" t="e">
        <f t="shared" si="21"/>
        <v>#DIV/0!</v>
      </c>
      <c r="AB22" s="646" t="e">
        <f t="shared" si="22"/>
        <v>#DIV/0!</v>
      </c>
      <c r="AC22" s="646" t="e">
        <f t="shared" si="23"/>
        <v>#DIV/0!</v>
      </c>
      <c r="AD22" s="351" t="e">
        <f t="shared" si="5"/>
        <v>#DIV/0!</v>
      </c>
      <c r="AE22" s="351"/>
      <c r="AF22" s="351" t="e">
        <f t="shared" si="24"/>
        <v>#DIV/0!</v>
      </c>
      <c r="AG22" s="39">
        <f>'PIM Model'!B20</f>
        <v>0</v>
      </c>
      <c r="AH22" s="499" t="e">
        <f t="shared" si="6"/>
        <v>#DIV/0!</v>
      </c>
      <c r="AI22" s="499" t="e">
        <f t="shared" si="25"/>
        <v>#DIV/0!</v>
      </c>
      <c r="AJ22">
        <v>13</v>
      </c>
      <c r="AK22" s="500" t="s">
        <v>97</v>
      </c>
      <c r="AL22" s="500" t="e">
        <f t="shared" si="7"/>
        <v>#DIV/0!</v>
      </c>
      <c r="AM22" s="500">
        <f t="shared" si="8"/>
        <v>0</v>
      </c>
      <c r="AN22" s="500">
        <f t="shared" si="9"/>
        <v>0</v>
      </c>
      <c r="AO22" s="501">
        <f t="shared" si="10"/>
        <v>0</v>
      </c>
      <c r="AP22" s="501">
        <f t="shared" si="11"/>
        <v>0</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31"/>
      <c r="AW22" s="53" t="s">
        <v>97</v>
      </c>
      <c r="AX22" s="532">
        <v>26250</v>
      </c>
      <c r="AY22" s="532">
        <v>37715</v>
      </c>
      <c r="AZ22" s="532">
        <v>54986</v>
      </c>
      <c r="BA22" s="532">
        <v>98006</v>
      </c>
      <c r="BD22" s="53" t="s">
        <v>97</v>
      </c>
      <c r="BE22" s="532">
        <v>34732</v>
      </c>
      <c r="BF22" s="532">
        <v>78310</v>
      </c>
      <c r="BG22" s="532">
        <v>203159</v>
      </c>
      <c r="BH22" s="532">
        <v>451886</v>
      </c>
    </row>
    <row r="23" spans="1:60" x14ac:dyDescent="0.25">
      <c r="A23" t="e">
        <f t="shared" si="13"/>
        <v>#DIV/0!</v>
      </c>
      <c r="B23">
        <v>14</v>
      </c>
      <c r="C23" t="s">
        <v>93</v>
      </c>
      <c r="D23" s="25">
        <f>'Multi-Customer'!C25</f>
        <v>0</v>
      </c>
      <c r="E23">
        <f>'Multi-Customer'!D25</f>
        <v>0</v>
      </c>
      <c r="F23">
        <f>'Multi-Customer'!E25</f>
        <v>0</v>
      </c>
      <c r="G23" s="351">
        <f>'Multi-Customer'!F25</f>
        <v>0</v>
      </c>
      <c r="H23" s="19">
        <f t="shared" si="14"/>
        <v>0</v>
      </c>
      <c r="I23" s="19">
        <f t="shared" si="15"/>
        <v>0</v>
      </c>
      <c r="J23" s="351"/>
      <c r="K23" s="351" t="str">
        <f>'PIM Model'!E21</f>
        <v>INCLUDE</v>
      </c>
      <c r="L23" s="351" t="e">
        <f t="shared" si="0"/>
        <v>#DIV/0!</v>
      </c>
      <c r="M23">
        <v>14</v>
      </c>
      <c r="N23" s="351" t="s">
        <v>93</v>
      </c>
      <c r="O23" s="351" t="e">
        <f t="shared" si="1"/>
        <v>#DIV/0!</v>
      </c>
      <c r="P23" s="351" t="e">
        <f t="shared" si="2"/>
        <v>#DIV/0!</v>
      </c>
      <c r="Q23" s="351" t="e">
        <f t="shared" si="3"/>
        <v>#DIV/0!</v>
      </c>
      <c r="R23" s="351" t="e">
        <f t="shared" si="4"/>
        <v>#DIV/0!</v>
      </c>
      <c r="S23" s="351">
        <f t="shared" si="16"/>
        <v>0</v>
      </c>
      <c r="T23" s="19">
        <f t="shared" si="17"/>
        <v>0</v>
      </c>
      <c r="U23" s="19"/>
      <c r="V23" s="2">
        <f>'PIM Model'!$C$21</f>
        <v>0</v>
      </c>
      <c r="W23" s="645" t="e">
        <f>'Multi-Customer'!M25</f>
        <v>#DIV/0!</v>
      </c>
      <c r="X23" s="19" t="e">
        <f t="shared" si="18"/>
        <v>#DIV/0!</v>
      </c>
      <c r="Y23" s="351" t="e">
        <f t="shared" si="19"/>
        <v>#DIV/0!</v>
      </c>
      <c r="Z23" s="351" t="e">
        <f t="shared" si="20"/>
        <v>#DIV/0!</v>
      </c>
      <c r="AA23" s="351" t="e">
        <f t="shared" si="21"/>
        <v>#DIV/0!</v>
      </c>
      <c r="AB23" s="646" t="e">
        <f t="shared" si="22"/>
        <v>#DIV/0!</v>
      </c>
      <c r="AC23" s="646" t="e">
        <f t="shared" si="23"/>
        <v>#DIV/0!</v>
      </c>
      <c r="AD23" s="351" t="e">
        <f t="shared" si="5"/>
        <v>#DIV/0!</v>
      </c>
      <c r="AE23" s="351"/>
      <c r="AF23" s="351" t="e">
        <f t="shared" si="24"/>
        <v>#DIV/0!</v>
      </c>
      <c r="AG23" s="39">
        <f>'PIM Model'!B21</f>
        <v>0</v>
      </c>
      <c r="AH23" s="499" t="e">
        <f t="shared" si="6"/>
        <v>#DIV/0!</v>
      </c>
      <c r="AI23" s="499" t="e">
        <f t="shared" si="25"/>
        <v>#DIV/0!</v>
      </c>
      <c r="AJ23">
        <v>14</v>
      </c>
      <c r="AK23" s="500" t="s">
        <v>93</v>
      </c>
      <c r="AL23" s="500" t="e">
        <f t="shared" si="7"/>
        <v>#DIV/0!</v>
      </c>
      <c r="AM23" s="500">
        <f t="shared" si="8"/>
        <v>0</v>
      </c>
      <c r="AN23" s="500">
        <f t="shared" si="9"/>
        <v>0</v>
      </c>
      <c r="AO23" s="501">
        <f t="shared" si="10"/>
        <v>0</v>
      </c>
      <c r="AP23" s="501">
        <f t="shared" si="11"/>
        <v>0</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31"/>
      <c r="AW23" s="53" t="s">
        <v>93</v>
      </c>
      <c r="AX23" s="532">
        <v>9242</v>
      </c>
      <c r="AY23" s="532">
        <v>18705</v>
      </c>
      <c r="AZ23" s="532">
        <v>31626</v>
      </c>
      <c r="BA23" s="532">
        <v>65192</v>
      </c>
      <c r="BD23" s="53" t="s">
        <v>93</v>
      </c>
      <c r="BE23" s="532">
        <v>19767</v>
      </c>
      <c r="BF23" s="532">
        <v>50065</v>
      </c>
      <c r="BG23" s="532">
        <v>124322</v>
      </c>
      <c r="BH23" s="532">
        <v>278212</v>
      </c>
    </row>
    <row r="24" spans="1:60" x14ac:dyDescent="0.25">
      <c r="A24" t="e">
        <f t="shared" si="13"/>
        <v>#DIV/0!</v>
      </c>
      <c r="B24">
        <v>15</v>
      </c>
      <c r="C24" t="s">
        <v>105</v>
      </c>
      <c r="D24" s="25">
        <f>'Multi-Customer'!C26</f>
        <v>0</v>
      </c>
      <c r="E24">
        <f>'Multi-Customer'!D26</f>
        <v>0</v>
      </c>
      <c r="F24">
        <f>'Multi-Customer'!E26</f>
        <v>0</v>
      </c>
      <c r="G24" s="351">
        <f>'Multi-Customer'!F26</f>
        <v>0</v>
      </c>
      <c r="H24" s="19">
        <f t="shared" si="14"/>
        <v>0</v>
      </c>
      <c r="I24" s="19">
        <f t="shared" si="15"/>
        <v>0</v>
      </c>
      <c r="J24" s="351"/>
      <c r="K24" s="351" t="str">
        <f>'PIM Model'!E22</f>
        <v>INCLUDE</v>
      </c>
      <c r="L24" s="351" t="e">
        <f t="shared" si="0"/>
        <v>#DIV/0!</v>
      </c>
      <c r="M24">
        <v>15</v>
      </c>
      <c r="N24" s="351" t="s">
        <v>105</v>
      </c>
      <c r="O24" s="351" t="e">
        <f t="shared" si="1"/>
        <v>#DIV/0!</v>
      </c>
      <c r="P24" s="351" t="e">
        <f t="shared" si="2"/>
        <v>#DIV/0!</v>
      </c>
      <c r="Q24" s="351" t="e">
        <f t="shared" si="3"/>
        <v>#DIV/0!</v>
      </c>
      <c r="R24" s="351" t="e">
        <f t="shared" si="4"/>
        <v>#DIV/0!</v>
      </c>
      <c r="S24" s="351">
        <f t="shared" si="16"/>
        <v>0</v>
      </c>
      <c r="T24" s="19">
        <f t="shared" si="17"/>
        <v>0</v>
      </c>
      <c r="U24" s="19"/>
      <c r="V24" s="2">
        <f>'PIM Model'!$C$22</f>
        <v>0</v>
      </c>
      <c r="W24" s="645" t="e">
        <f>'Multi-Customer'!M26</f>
        <v>#DIV/0!</v>
      </c>
      <c r="X24" s="19" t="e">
        <f t="shared" si="18"/>
        <v>#DIV/0!</v>
      </c>
      <c r="Y24" s="351" t="e">
        <f t="shared" si="19"/>
        <v>#DIV/0!</v>
      </c>
      <c r="Z24" s="351" t="e">
        <f t="shared" si="20"/>
        <v>#DIV/0!</v>
      </c>
      <c r="AA24" s="351" t="e">
        <f t="shared" si="21"/>
        <v>#DIV/0!</v>
      </c>
      <c r="AB24" s="646" t="e">
        <f t="shared" si="22"/>
        <v>#DIV/0!</v>
      </c>
      <c r="AC24" s="646" t="e">
        <f t="shared" si="23"/>
        <v>#DIV/0!</v>
      </c>
      <c r="AD24" s="351" t="e">
        <f t="shared" si="5"/>
        <v>#DIV/0!</v>
      </c>
      <c r="AE24" s="351"/>
      <c r="AF24" s="351" t="e">
        <f t="shared" si="24"/>
        <v>#DIV/0!</v>
      </c>
      <c r="AG24" s="39">
        <f>'PIM Model'!B22</f>
        <v>0</v>
      </c>
      <c r="AH24" s="499" t="e">
        <f t="shared" si="6"/>
        <v>#DIV/0!</v>
      </c>
      <c r="AI24" s="499" t="e">
        <f t="shared" si="25"/>
        <v>#DIV/0!</v>
      </c>
      <c r="AJ24">
        <v>15</v>
      </c>
      <c r="AK24" s="500" t="s">
        <v>105</v>
      </c>
      <c r="AL24" s="500" t="e">
        <f t="shared" si="7"/>
        <v>#DIV/0!</v>
      </c>
      <c r="AM24" s="500">
        <f t="shared" si="8"/>
        <v>0</v>
      </c>
      <c r="AN24" s="500">
        <f t="shared" si="9"/>
        <v>0</v>
      </c>
      <c r="AO24" s="501">
        <f t="shared" si="10"/>
        <v>0</v>
      </c>
      <c r="AP24" s="501">
        <f t="shared" si="11"/>
        <v>0</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31"/>
      <c r="AW24" s="53" t="s">
        <v>105</v>
      </c>
      <c r="AX24" s="532">
        <v>142</v>
      </c>
      <c r="AY24" s="532">
        <v>469</v>
      </c>
      <c r="AZ24" s="532">
        <v>1089</v>
      </c>
      <c r="BA24" s="532">
        <v>2473</v>
      </c>
      <c r="BD24" s="53" t="s">
        <v>105</v>
      </c>
      <c r="BE24" s="532">
        <v>179</v>
      </c>
      <c r="BF24" s="532">
        <v>732</v>
      </c>
      <c r="BG24" s="532">
        <v>2385</v>
      </c>
      <c r="BH24" s="532">
        <v>5645</v>
      </c>
    </row>
    <row r="25" spans="1:60" x14ac:dyDescent="0.25">
      <c r="A25" t="e">
        <f t="shared" si="13"/>
        <v>#DIV/0!</v>
      </c>
      <c r="B25">
        <v>16</v>
      </c>
      <c r="C25" t="s">
        <v>92</v>
      </c>
      <c r="D25" s="25">
        <f>'Multi-Customer'!C27</f>
        <v>0</v>
      </c>
      <c r="E25">
        <f>'Multi-Customer'!D27</f>
        <v>0</v>
      </c>
      <c r="F25">
        <f>'Multi-Customer'!E27</f>
        <v>0</v>
      </c>
      <c r="G25" s="351">
        <f>'Multi-Customer'!F27</f>
        <v>0</v>
      </c>
      <c r="H25" s="19">
        <f>IFERROR(D25/E25,0)</f>
        <v>0</v>
      </c>
      <c r="I25" s="19">
        <f>IFERROR(D25/G25,0)</f>
        <v>0</v>
      </c>
      <c r="J25" s="351"/>
      <c r="K25" s="351" t="str">
        <f>'PIM Model'!E23</f>
        <v>INCLUDE</v>
      </c>
      <c r="L25" s="351" t="e">
        <f t="shared" si="0"/>
        <v>#DIV/0!</v>
      </c>
      <c r="M25">
        <v>16</v>
      </c>
      <c r="N25" s="351" t="s">
        <v>92</v>
      </c>
      <c r="O25" s="351" t="e">
        <f t="shared" si="1"/>
        <v>#DIV/0!</v>
      </c>
      <c r="P25" s="351" t="e">
        <f t="shared" si="2"/>
        <v>#DIV/0!</v>
      </c>
      <c r="Q25" s="351" t="e">
        <f t="shared" si="3"/>
        <v>#DIV/0!</v>
      </c>
      <c r="R25" s="351" t="e">
        <f t="shared" si="4"/>
        <v>#DIV/0!</v>
      </c>
      <c r="S25" s="351">
        <f t="shared" si="16"/>
        <v>0</v>
      </c>
      <c r="T25" s="19">
        <f t="shared" si="17"/>
        <v>0</v>
      </c>
      <c r="U25" s="19"/>
      <c r="V25" s="2">
        <f>'PIM Model'!$C$23</f>
        <v>0</v>
      </c>
      <c r="W25" s="645" t="e">
        <f>'Multi-Customer'!M27</f>
        <v>#DIV/0!</v>
      </c>
      <c r="X25" s="19" t="e">
        <f t="shared" si="18"/>
        <v>#DIV/0!</v>
      </c>
      <c r="Y25" s="351" t="e">
        <f t="shared" si="19"/>
        <v>#DIV/0!</v>
      </c>
      <c r="Z25" s="351" t="e">
        <f t="shared" si="20"/>
        <v>#DIV/0!</v>
      </c>
      <c r="AA25" s="351" t="e">
        <f t="shared" si="21"/>
        <v>#DIV/0!</v>
      </c>
      <c r="AB25" s="646" t="e">
        <f t="shared" si="22"/>
        <v>#DIV/0!</v>
      </c>
      <c r="AC25" s="646" t="e">
        <f t="shared" si="23"/>
        <v>#DIV/0!</v>
      </c>
      <c r="AD25" s="351" t="e">
        <f t="shared" si="5"/>
        <v>#DIV/0!</v>
      </c>
      <c r="AE25" s="351"/>
      <c r="AF25" s="351" t="e">
        <f t="shared" si="24"/>
        <v>#DIV/0!</v>
      </c>
      <c r="AG25" s="39">
        <f>'PIM Model'!B23</f>
        <v>0</v>
      </c>
      <c r="AH25" s="499" t="e">
        <f t="shared" si="6"/>
        <v>#DIV/0!</v>
      </c>
      <c r="AI25" s="499" t="e">
        <f t="shared" si="25"/>
        <v>#DIV/0!</v>
      </c>
      <c r="AJ25">
        <v>16</v>
      </c>
      <c r="AK25" s="500" t="s">
        <v>92</v>
      </c>
      <c r="AL25" s="500" t="e">
        <f t="shared" si="7"/>
        <v>#DIV/0!</v>
      </c>
      <c r="AM25" s="500">
        <f t="shared" si="8"/>
        <v>0</v>
      </c>
      <c r="AN25" s="500">
        <f t="shared" si="9"/>
        <v>0</v>
      </c>
      <c r="AO25" s="501">
        <f t="shared" si="10"/>
        <v>0</v>
      </c>
      <c r="AP25" s="501">
        <f t="shared" si="11"/>
        <v>0</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31"/>
      <c r="AW25" s="53" t="s">
        <v>92</v>
      </c>
      <c r="AX25" s="532">
        <v>6610</v>
      </c>
      <c r="AY25" s="532">
        <v>11026</v>
      </c>
      <c r="AZ25" s="532">
        <v>16902</v>
      </c>
      <c r="BA25" s="532">
        <v>32235</v>
      </c>
      <c r="BD25" s="53" t="s">
        <v>92</v>
      </c>
      <c r="BE25" s="532">
        <v>7323</v>
      </c>
      <c r="BF25" s="532">
        <v>19194</v>
      </c>
      <c r="BG25" s="532">
        <v>47517</v>
      </c>
      <c r="BH25" s="532">
        <v>107183</v>
      </c>
    </row>
    <row r="26" spans="1:60" x14ac:dyDescent="0.25">
      <c r="A26" t="e">
        <f t="shared" si="13"/>
        <v>#DIV/0!</v>
      </c>
      <c r="B26">
        <v>17</v>
      </c>
      <c r="C26" t="s">
        <v>91</v>
      </c>
      <c r="D26" s="25">
        <f>'Multi-Customer'!C28</f>
        <v>0</v>
      </c>
      <c r="E26">
        <f>'Multi-Customer'!D28</f>
        <v>0</v>
      </c>
      <c r="F26">
        <f>'Multi-Customer'!E28</f>
        <v>0</v>
      </c>
      <c r="G26" s="351">
        <f>'Multi-Customer'!F28</f>
        <v>0</v>
      </c>
      <c r="H26" s="19">
        <f t="shared" si="14"/>
        <v>0</v>
      </c>
      <c r="I26" s="19">
        <f t="shared" si="15"/>
        <v>0</v>
      </c>
      <c r="J26" s="351"/>
      <c r="K26" s="351" t="str">
        <f>'PIM Model'!E24</f>
        <v>INCLUDE</v>
      </c>
      <c r="L26" s="351" t="e">
        <f t="shared" si="0"/>
        <v>#DIV/0!</v>
      </c>
      <c r="M26">
        <v>17</v>
      </c>
      <c r="N26" s="351" t="s">
        <v>91</v>
      </c>
      <c r="O26" s="351" t="e">
        <f t="shared" si="1"/>
        <v>#DIV/0!</v>
      </c>
      <c r="P26" s="351" t="e">
        <f t="shared" si="2"/>
        <v>#DIV/0!</v>
      </c>
      <c r="Q26" s="351" t="e">
        <f t="shared" si="3"/>
        <v>#DIV/0!</v>
      </c>
      <c r="R26" s="351" t="e">
        <f t="shared" si="4"/>
        <v>#DIV/0!</v>
      </c>
      <c r="S26" s="351">
        <f t="shared" si="16"/>
        <v>0</v>
      </c>
      <c r="T26" s="19">
        <f t="shared" si="17"/>
        <v>0</v>
      </c>
      <c r="U26" s="19"/>
      <c r="V26" s="2">
        <f>'PIM Model'!$C$24</f>
        <v>0</v>
      </c>
      <c r="W26" s="645" t="e">
        <f>'Multi-Customer'!M28</f>
        <v>#DIV/0!</v>
      </c>
      <c r="X26" s="19" t="e">
        <f t="shared" si="18"/>
        <v>#DIV/0!</v>
      </c>
      <c r="Y26" s="351" t="e">
        <f t="shared" si="19"/>
        <v>#DIV/0!</v>
      </c>
      <c r="Z26" s="351" t="e">
        <f t="shared" si="20"/>
        <v>#DIV/0!</v>
      </c>
      <c r="AA26" s="351" t="e">
        <f t="shared" si="21"/>
        <v>#DIV/0!</v>
      </c>
      <c r="AB26" s="646" t="e">
        <f t="shared" si="22"/>
        <v>#DIV/0!</v>
      </c>
      <c r="AC26" s="646" t="e">
        <f t="shared" si="23"/>
        <v>#DIV/0!</v>
      </c>
      <c r="AD26" s="351" t="e">
        <f t="shared" si="5"/>
        <v>#DIV/0!</v>
      </c>
      <c r="AE26" s="351"/>
      <c r="AF26" s="351" t="e">
        <f t="shared" si="24"/>
        <v>#DIV/0!</v>
      </c>
      <c r="AG26" s="39">
        <f>'PIM Model'!B24</f>
        <v>0</v>
      </c>
      <c r="AH26" s="499" t="e">
        <f t="shared" si="6"/>
        <v>#DIV/0!</v>
      </c>
      <c r="AI26" s="499" t="e">
        <f t="shared" si="25"/>
        <v>#DIV/0!</v>
      </c>
      <c r="AJ26">
        <v>17</v>
      </c>
      <c r="AK26" s="500" t="s">
        <v>91</v>
      </c>
      <c r="AL26" s="500" t="e">
        <f t="shared" si="7"/>
        <v>#DIV/0!</v>
      </c>
      <c r="AM26" s="500">
        <f t="shared" si="8"/>
        <v>0</v>
      </c>
      <c r="AN26" s="500">
        <f t="shared" si="9"/>
        <v>0</v>
      </c>
      <c r="AO26" s="501">
        <f t="shared" si="10"/>
        <v>0</v>
      </c>
      <c r="AP26" s="501">
        <f t="shared" si="11"/>
        <v>0</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31"/>
      <c r="AW26" s="53" t="s">
        <v>91</v>
      </c>
      <c r="AX26" s="532">
        <v>7459</v>
      </c>
      <c r="AY26" s="532">
        <v>15542</v>
      </c>
      <c r="AZ26" s="532">
        <v>28734</v>
      </c>
      <c r="BA26" s="532">
        <v>60450</v>
      </c>
      <c r="BD26" s="53" t="s">
        <v>91</v>
      </c>
      <c r="BE26" s="532">
        <v>13315</v>
      </c>
      <c r="BF26" s="532">
        <v>33760</v>
      </c>
      <c r="BG26" s="532">
        <v>91382</v>
      </c>
      <c r="BH26" s="532">
        <v>208294</v>
      </c>
    </row>
    <row r="27" spans="1:60" x14ac:dyDescent="0.25">
      <c r="A27" t="e">
        <f t="shared" si="13"/>
        <v>#DIV/0!</v>
      </c>
      <c r="B27">
        <v>18</v>
      </c>
      <c r="C27" t="s">
        <v>90</v>
      </c>
      <c r="D27" s="25">
        <f>'Multi-Customer'!C29</f>
        <v>0</v>
      </c>
      <c r="E27">
        <f>'Multi-Customer'!D29</f>
        <v>0</v>
      </c>
      <c r="F27">
        <f>'Multi-Customer'!E29</f>
        <v>0</v>
      </c>
      <c r="G27" s="351">
        <f>'Multi-Customer'!F29</f>
        <v>0</v>
      </c>
      <c r="H27" s="19">
        <f t="shared" si="14"/>
        <v>0</v>
      </c>
      <c r="I27" s="19">
        <f t="shared" si="15"/>
        <v>0</v>
      </c>
      <c r="J27" s="351"/>
      <c r="K27" s="351" t="str">
        <f>'PIM Model'!E25</f>
        <v>INCLUDE</v>
      </c>
      <c r="L27" s="351" t="e">
        <f t="shared" si="0"/>
        <v>#DIV/0!</v>
      </c>
      <c r="M27">
        <v>18</v>
      </c>
      <c r="N27" s="351" t="s">
        <v>90</v>
      </c>
      <c r="O27" s="351" t="e">
        <f t="shared" si="1"/>
        <v>#DIV/0!</v>
      </c>
      <c r="P27" s="351" t="e">
        <f t="shared" si="2"/>
        <v>#DIV/0!</v>
      </c>
      <c r="Q27" s="351" t="e">
        <f t="shared" si="3"/>
        <v>#DIV/0!</v>
      </c>
      <c r="R27" s="351" t="e">
        <f t="shared" si="4"/>
        <v>#DIV/0!</v>
      </c>
      <c r="S27" s="351">
        <f t="shared" si="16"/>
        <v>0</v>
      </c>
      <c r="T27" s="19">
        <f t="shared" si="17"/>
        <v>0</v>
      </c>
      <c r="U27" s="19"/>
      <c r="V27" s="2">
        <f>'PIM Model'!$C$25</f>
        <v>0</v>
      </c>
      <c r="W27" s="645" t="e">
        <f>'Multi-Customer'!M29</f>
        <v>#DIV/0!</v>
      </c>
      <c r="X27" s="19" t="e">
        <f t="shared" si="18"/>
        <v>#DIV/0!</v>
      </c>
      <c r="Y27" s="351" t="e">
        <f t="shared" si="19"/>
        <v>#DIV/0!</v>
      </c>
      <c r="Z27" s="351" t="e">
        <f t="shared" si="20"/>
        <v>#DIV/0!</v>
      </c>
      <c r="AA27" s="351" t="e">
        <f t="shared" si="21"/>
        <v>#DIV/0!</v>
      </c>
      <c r="AB27" s="646" t="e">
        <f t="shared" si="22"/>
        <v>#DIV/0!</v>
      </c>
      <c r="AC27" s="646" t="e">
        <f t="shared" si="23"/>
        <v>#DIV/0!</v>
      </c>
      <c r="AD27" s="351" t="e">
        <f t="shared" si="5"/>
        <v>#DIV/0!</v>
      </c>
      <c r="AE27" s="351"/>
      <c r="AF27" s="351" t="e">
        <f t="shared" si="24"/>
        <v>#DIV/0!</v>
      </c>
      <c r="AG27" s="39">
        <f>'PIM Model'!B25</f>
        <v>0</v>
      </c>
      <c r="AH27" s="499" t="e">
        <f t="shared" si="6"/>
        <v>#DIV/0!</v>
      </c>
      <c r="AI27" s="499" t="e">
        <f t="shared" si="25"/>
        <v>#DIV/0!</v>
      </c>
      <c r="AJ27">
        <v>18</v>
      </c>
      <c r="AK27" s="500" t="s">
        <v>90</v>
      </c>
      <c r="AL27" s="500" t="e">
        <f t="shared" si="7"/>
        <v>#DIV/0!</v>
      </c>
      <c r="AM27" s="500">
        <f t="shared" si="8"/>
        <v>0</v>
      </c>
      <c r="AN27" s="500">
        <f t="shared" si="9"/>
        <v>0</v>
      </c>
      <c r="AO27" s="501">
        <f t="shared" si="10"/>
        <v>0</v>
      </c>
      <c r="AP27" s="501">
        <f t="shared" si="11"/>
        <v>0</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31"/>
      <c r="AW27" s="53" t="s">
        <v>90</v>
      </c>
      <c r="AX27" s="532">
        <v>17969</v>
      </c>
      <c r="AY27" s="532">
        <v>34626</v>
      </c>
      <c r="AZ27" s="532">
        <v>59214</v>
      </c>
      <c r="BA27" s="532">
        <v>120996</v>
      </c>
      <c r="BD27" s="53" t="s">
        <v>90</v>
      </c>
      <c r="BE27" s="532">
        <v>25337</v>
      </c>
      <c r="BF27" s="532">
        <v>62445</v>
      </c>
      <c r="BG27" s="532">
        <v>178249</v>
      </c>
      <c r="BH27" s="532">
        <v>407116</v>
      </c>
    </row>
    <row r="28" spans="1:60" x14ac:dyDescent="0.25">
      <c r="A28" t="e">
        <f t="shared" si="13"/>
        <v>#DIV/0!</v>
      </c>
      <c r="B28">
        <v>19</v>
      </c>
      <c r="C28" t="s">
        <v>89</v>
      </c>
      <c r="D28" s="25">
        <f>'Multi-Customer'!C30</f>
        <v>0</v>
      </c>
      <c r="E28">
        <f>'Multi-Customer'!D30</f>
        <v>0</v>
      </c>
      <c r="F28">
        <f>'Multi-Customer'!E30</f>
        <v>0</v>
      </c>
      <c r="G28" s="351">
        <f>'Multi-Customer'!F30</f>
        <v>0</v>
      </c>
      <c r="H28" s="19">
        <f t="shared" si="14"/>
        <v>0</v>
      </c>
      <c r="I28" s="19">
        <f t="shared" si="15"/>
        <v>0</v>
      </c>
      <c r="J28" s="351"/>
      <c r="K28" s="351" t="str">
        <f>'PIM Model'!E26</f>
        <v>INCLUDE</v>
      </c>
      <c r="L28" s="351" t="e">
        <f t="shared" si="0"/>
        <v>#DIV/0!</v>
      </c>
      <c r="M28">
        <v>19</v>
      </c>
      <c r="N28" s="351" t="s">
        <v>89</v>
      </c>
      <c r="O28" s="351" t="e">
        <f t="shared" si="1"/>
        <v>#DIV/0!</v>
      </c>
      <c r="P28" s="351" t="e">
        <f t="shared" si="2"/>
        <v>#DIV/0!</v>
      </c>
      <c r="Q28" s="351" t="e">
        <f t="shared" si="3"/>
        <v>#DIV/0!</v>
      </c>
      <c r="R28" s="351" t="e">
        <f t="shared" si="4"/>
        <v>#DIV/0!</v>
      </c>
      <c r="S28" s="351">
        <f t="shared" si="16"/>
        <v>0</v>
      </c>
      <c r="T28" s="19">
        <f t="shared" si="17"/>
        <v>0</v>
      </c>
      <c r="U28" s="19"/>
      <c r="V28" s="2">
        <f>'PIM Model'!$C$26</f>
        <v>0</v>
      </c>
      <c r="W28" s="645" t="e">
        <f>'Multi-Customer'!M30</f>
        <v>#DIV/0!</v>
      </c>
      <c r="X28" s="19" t="e">
        <f t="shared" si="18"/>
        <v>#DIV/0!</v>
      </c>
      <c r="Y28" s="351" t="e">
        <f t="shared" si="19"/>
        <v>#DIV/0!</v>
      </c>
      <c r="Z28" s="351" t="e">
        <f t="shared" si="20"/>
        <v>#DIV/0!</v>
      </c>
      <c r="AA28" s="351" t="e">
        <f t="shared" si="21"/>
        <v>#DIV/0!</v>
      </c>
      <c r="AB28" s="646" t="e">
        <f t="shared" si="22"/>
        <v>#DIV/0!</v>
      </c>
      <c r="AC28" s="646" t="e">
        <f t="shared" si="23"/>
        <v>#DIV/0!</v>
      </c>
      <c r="AD28" s="351" t="e">
        <f t="shared" si="5"/>
        <v>#DIV/0!</v>
      </c>
      <c r="AE28" s="351"/>
      <c r="AF28" s="351" t="e">
        <f t="shared" si="24"/>
        <v>#DIV/0!</v>
      </c>
      <c r="AG28" s="39">
        <f>'PIM Model'!B26</f>
        <v>0</v>
      </c>
      <c r="AH28" s="499" t="e">
        <f t="shared" si="6"/>
        <v>#DIV/0!</v>
      </c>
      <c r="AI28" s="499" t="e">
        <f t="shared" si="25"/>
        <v>#DIV/0!</v>
      </c>
      <c r="AJ28">
        <v>19</v>
      </c>
      <c r="AK28" s="500" t="s">
        <v>89</v>
      </c>
      <c r="AL28" s="500" t="e">
        <f t="shared" si="7"/>
        <v>#DIV/0!</v>
      </c>
      <c r="AM28" s="500">
        <f t="shared" si="8"/>
        <v>0</v>
      </c>
      <c r="AN28" s="500">
        <f t="shared" si="9"/>
        <v>0</v>
      </c>
      <c r="AO28" s="501">
        <f t="shared" si="10"/>
        <v>0</v>
      </c>
      <c r="AP28" s="501">
        <f t="shared" si="11"/>
        <v>0</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31"/>
      <c r="AW28" s="53" t="s">
        <v>89</v>
      </c>
      <c r="AX28" s="532">
        <v>1058</v>
      </c>
      <c r="AY28" s="532">
        <v>3034</v>
      </c>
      <c r="AZ28" s="532">
        <v>8013</v>
      </c>
      <c r="BA28" s="532">
        <v>18443</v>
      </c>
      <c r="BD28" s="53" t="s">
        <v>89</v>
      </c>
      <c r="BE28" s="532">
        <v>2315</v>
      </c>
      <c r="BF28" s="532">
        <v>7746</v>
      </c>
      <c r="BG28" s="532">
        <v>24790</v>
      </c>
      <c r="BH28" s="532">
        <v>58388</v>
      </c>
    </row>
    <row r="29" spans="1:60" x14ac:dyDescent="0.25">
      <c r="A29" t="e">
        <f t="shared" si="13"/>
        <v>#DIV/0!</v>
      </c>
      <c r="B29">
        <v>20</v>
      </c>
      <c r="C29" t="s">
        <v>94</v>
      </c>
      <c r="D29" s="25">
        <f>'Multi-Customer'!C31</f>
        <v>0</v>
      </c>
      <c r="E29">
        <f>'Multi-Customer'!D31</f>
        <v>0</v>
      </c>
      <c r="F29">
        <f>'Multi-Customer'!E31</f>
        <v>0</v>
      </c>
      <c r="G29" s="351">
        <f>'Multi-Customer'!F31</f>
        <v>0</v>
      </c>
      <c r="H29" s="19">
        <f t="shared" si="14"/>
        <v>0</v>
      </c>
      <c r="I29" s="19">
        <f t="shared" si="15"/>
        <v>0</v>
      </c>
      <c r="J29" s="351"/>
      <c r="K29" s="351" t="str">
        <f>'PIM Model'!E27</f>
        <v>INCLUDE</v>
      </c>
      <c r="L29" s="351" t="e">
        <f t="shared" si="0"/>
        <v>#DIV/0!</v>
      </c>
      <c r="M29">
        <v>20</v>
      </c>
      <c r="N29" s="351" t="s">
        <v>94</v>
      </c>
      <c r="O29" s="351" t="e">
        <f t="shared" si="1"/>
        <v>#DIV/0!</v>
      </c>
      <c r="P29" s="351" t="e">
        <f t="shared" si="2"/>
        <v>#DIV/0!</v>
      </c>
      <c r="Q29" s="351" t="e">
        <f t="shared" si="3"/>
        <v>#DIV/0!</v>
      </c>
      <c r="R29" s="351" t="e">
        <f t="shared" si="4"/>
        <v>#DIV/0!</v>
      </c>
      <c r="S29" s="351">
        <f t="shared" si="16"/>
        <v>0</v>
      </c>
      <c r="T29" s="19">
        <f t="shared" si="17"/>
        <v>0</v>
      </c>
      <c r="U29" s="19"/>
      <c r="V29" s="2">
        <f>'PIM Model'!$C$27</f>
        <v>0</v>
      </c>
      <c r="W29" s="645" t="e">
        <f>'Multi-Customer'!M31</f>
        <v>#DIV/0!</v>
      </c>
      <c r="X29" s="19" t="e">
        <f t="shared" si="18"/>
        <v>#DIV/0!</v>
      </c>
      <c r="Y29" s="351" t="e">
        <f t="shared" si="19"/>
        <v>#DIV/0!</v>
      </c>
      <c r="Z29" s="351" t="e">
        <f t="shared" si="20"/>
        <v>#DIV/0!</v>
      </c>
      <c r="AA29" s="351" t="e">
        <f t="shared" si="21"/>
        <v>#DIV/0!</v>
      </c>
      <c r="AB29" s="646" t="e">
        <f t="shared" si="22"/>
        <v>#DIV/0!</v>
      </c>
      <c r="AC29" s="646" t="e">
        <f t="shared" si="23"/>
        <v>#DIV/0!</v>
      </c>
      <c r="AD29" s="351" t="e">
        <f t="shared" si="5"/>
        <v>#DIV/0!</v>
      </c>
      <c r="AE29" s="351"/>
      <c r="AF29" s="351" t="e">
        <f t="shared" si="24"/>
        <v>#DIV/0!</v>
      </c>
      <c r="AG29" s="39">
        <f>'PIM Model'!B27</f>
        <v>0</v>
      </c>
      <c r="AH29" s="499" t="e">
        <f t="shared" si="6"/>
        <v>#DIV/0!</v>
      </c>
      <c r="AI29" s="499" t="e">
        <f t="shared" si="25"/>
        <v>#DIV/0!</v>
      </c>
      <c r="AJ29">
        <v>20</v>
      </c>
      <c r="AK29" s="500" t="s">
        <v>94</v>
      </c>
      <c r="AL29" s="500" t="e">
        <f t="shared" si="7"/>
        <v>#DIV/0!</v>
      </c>
      <c r="AM29" s="500">
        <f t="shared" si="8"/>
        <v>0</v>
      </c>
      <c r="AN29" s="500">
        <f t="shared" si="9"/>
        <v>0</v>
      </c>
      <c r="AO29" s="501">
        <f t="shared" si="10"/>
        <v>0</v>
      </c>
      <c r="AP29" s="501">
        <f t="shared" si="11"/>
        <v>0</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31"/>
      <c r="AW29" s="53" t="s">
        <v>94</v>
      </c>
      <c r="AX29" s="532">
        <v>6052</v>
      </c>
      <c r="AY29" s="532">
        <v>19330</v>
      </c>
      <c r="AZ29" s="532">
        <v>36449</v>
      </c>
      <c r="BA29" s="532">
        <v>81904</v>
      </c>
      <c r="BD29" s="53" t="s">
        <v>94</v>
      </c>
      <c r="BE29" s="532">
        <v>8676</v>
      </c>
      <c r="BF29" s="532">
        <v>33383</v>
      </c>
      <c r="BG29" s="532">
        <v>87871</v>
      </c>
      <c r="BH29" s="532">
        <v>205967</v>
      </c>
    </row>
    <row r="30" spans="1:60" x14ac:dyDescent="0.25">
      <c r="A30" t="e">
        <f t="shared" si="13"/>
        <v>#DIV/0!</v>
      </c>
      <c r="B30">
        <v>21</v>
      </c>
      <c r="C30" t="s">
        <v>86</v>
      </c>
      <c r="D30" s="25">
        <f>'Multi-Customer'!C32</f>
        <v>0</v>
      </c>
      <c r="E30">
        <f>'Multi-Customer'!D32</f>
        <v>0</v>
      </c>
      <c r="F30">
        <f>'Multi-Customer'!E32</f>
        <v>0</v>
      </c>
      <c r="G30" s="351">
        <f>'Multi-Customer'!F32</f>
        <v>0</v>
      </c>
      <c r="H30" s="19">
        <f t="shared" si="14"/>
        <v>0</v>
      </c>
      <c r="I30" s="19">
        <f t="shared" si="15"/>
        <v>0</v>
      </c>
      <c r="J30" s="351"/>
      <c r="K30" s="351" t="str">
        <f>'PIM Model'!E28</f>
        <v>INCLUDE</v>
      </c>
      <c r="L30" s="351" t="e">
        <f t="shared" si="0"/>
        <v>#DIV/0!</v>
      </c>
      <c r="M30">
        <v>21</v>
      </c>
      <c r="N30" s="351" t="s">
        <v>86</v>
      </c>
      <c r="O30" s="351" t="e">
        <f t="shared" si="1"/>
        <v>#DIV/0!</v>
      </c>
      <c r="P30" s="351" t="e">
        <f t="shared" si="2"/>
        <v>#DIV/0!</v>
      </c>
      <c r="Q30" s="351" t="e">
        <f t="shared" si="3"/>
        <v>#DIV/0!</v>
      </c>
      <c r="R30" s="351" t="e">
        <f t="shared" si="4"/>
        <v>#DIV/0!</v>
      </c>
      <c r="S30" s="351">
        <f t="shared" si="16"/>
        <v>0</v>
      </c>
      <c r="T30" s="19">
        <f t="shared" si="17"/>
        <v>0</v>
      </c>
      <c r="U30" s="19"/>
      <c r="V30" s="2">
        <f>'PIM Model'!$C$28</f>
        <v>0</v>
      </c>
      <c r="W30" s="645" t="e">
        <f>'Multi-Customer'!M32</f>
        <v>#DIV/0!</v>
      </c>
      <c r="X30" s="19" t="e">
        <f t="shared" si="18"/>
        <v>#DIV/0!</v>
      </c>
      <c r="Y30" s="351" t="e">
        <f t="shared" si="19"/>
        <v>#DIV/0!</v>
      </c>
      <c r="Z30" s="351" t="e">
        <f t="shared" si="20"/>
        <v>#DIV/0!</v>
      </c>
      <c r="AA30" s="351" t="e">
        <f t="shared" si="21"/>
        <v>#DIV/0!</v>
      </c>
      <c r="AB30" s="646" t="e">
        <f t="shared" si="22"/>
        <v>#DIV/0!</v>
      </c>
      <c r="AC30" s="646" t="e">
        <f t="shared" si="23"/>
        <v>#DIV/0!</v>
      </c>
      <c r="AD30" s="351" t="e">
        <f t="shared" si="5"/>
        <v>#DIV/0!</v>
      </c>
      <c r="AE30" s="351"/>
      <c r="AF30" s="351" t="e">
        <f t="shared" si="24"/>
        <v>#DIV/0!</v>
      </c>
      <c r="AG30" s="39">
        <f>'PIM Model'!B28</f>
        <v>0</v>
      </c>
      <c r="AH30" s="499" t="e">
        <f t="shared" si="6"/>
        <v>#DIV/0!</v>
      </c>
      <c r="AI30" s="499" t="e">
        <f t="shared" si="25"/>
        <v>#DIV/0!</v>
      </c>
      <c r="AJ30">
        <v>21</v>
      </c>
      <c r="AK30" s="500" t="s">
        <v>86</v>
      </c>
      <c r="AL30" s="500" t="e">
        <f t="shared" si="7"/>
        <v>#DIV/0!</v>
      </c>
      <c r="AM30" s="500">
        <f t="shared" si="8"/>
        <v>0</v>
      </c>
      <c r="AN30" s="500">
        <f t="shared" si="9"/>
        <v>0</v>
      </c>
      <c r="AO30" s="501">
        <f t="shared" si="10"/>
        <v>0</v>
      </c>
      <c r="AP30" s="501">
        <f t="shared" si="11"/>
        <v>0</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31"/>
      <c r="AW30" s="53" t="s">
        <v>86</v>
      </c>
      <c r="AX30" s="532">
        <v>88</v>
      </c>
      <c r="AY30" s="532">
        <v>544</v>
      </c>
      <c r="AZ30" s="532">
        <v>2063</v>
      </c>
      <c r="BA30" s="532">
        <v>4981</v>
      </c>
      <c r="BD30" s="53" t="s">
        <v>86</v>
      </c>
      <c r="BE30" s="532">
        <v>151</v>
      </c>
      <c r="BF30" s="532">
        <v>808</v>
      </c>
      <c r="BG30" s="532">
        <v>4097</v>
      </c>
      <c r="BH30" s="532">
        <v>9886</v>
      </c>
    </row>
    <row r="31" spans="1:60" x14ac:dyDescent="0.25">
      <c r="A31" t="e">
        <f t="shared" si="13"/>
        <v>#DIV/0!</v>
      </c>
      <c r="B31">
        <v>22</v>
      </c>
      <c r="C31" t="s">
        <v>88</v>
      </c>
      <c r="D31" s="25">
        <f>'Multi-Customer'!C33</f>
        <v>0</v>
      </c>
      <c r="E31">
        <f>'Multi-Customer'!D33</f>
        <v>0</v>
      </c>
      <c r="F31">
        <f>'Multi-Customer'!E33</f>
        <v>0</v>
      </c>
      <c r="G31" s="351">
        <f>'Multi-Customer'!F33</f>
        <v>0</v>
      </c>
      <c r="H31" s="19">
        <f t="shared" si="14"/>
        <v>0</v>
      </c>
      <c r="I31" s="19">
        <f t="shared" si="15"/>
        <v>0</v>
      </c>
      <c r="J31" s="351"/>
      <c r="K31" s="351" t="str">
        <f>'PIM Model'!E29</f>
        <v>INCLUDE</v>
      </c>
      <c r="L31" s="351" t="e">
        <f t="shared" si="0"/>
        <v>#DIV/0!</v>
      </c>
      <c r="M31">
        <v>22</v>
      </c>
      <c r="N31" s="351" t="s">
        <v>88</v>
      </c>
      <c r="O31" s="351" t="e">
        <f t="shared" si="1"/>
        <v>#DIV/0!</v>
      </c>
      <c r="P31" s="351" t="e">
        <f t="shared" si="2"/>
        <v>#DIV/0!</v>
      </c>
      <c r="Q31" s="351" t="e">
        <f t="shared" si="3"/>
        <v>#DIV/0!</v>
      </c>
      <c r="R31" s="351" t="e">
        <f t="shared" si="4"/>
        <v>#DIV/0!</v>
      </c>
      <c r="S31" s="351">
        <f t="shared" si="16"/>
        <v>0</v>
      </c>
      <c r="T31" s="19">
        <f t="shared" si="17"/>
        <v>0</v>
      </c>
      <c r="U31" s="19"/>
      <c r="V31" s="2">
        <f>'PIM Model'!$C$29</f>
        <v>0</v>
      </c>
      <c r="W31" s="645" t="e">
        <f>'Multi-Customer'!M33</f>
        <v>#DIV/0!</v>
      </c>
      <c r="X31" s="19" t="e">
        <f t="shared" si="18"/>
        <v>#DIV/0!</v>
      </c>
      <c r="Y31" s="351" t="e">
        <f t="shared" si="19"/>
        <v>#DIV/0!</v>
      </c>
      <c r="Z31" s="351" t="e">
        <f t="shared" si="20"/>
        <v>#DIV/0!</v>
      </c>
      <c r="AA31" s="351" t="e">
        <f t="shared" si="21"/>
        <v>#DIV/0!</v>
      </c>
      <c r="AB31" s="646" t="e">
        <f t="shared" si="22"/>
        <v>#DIV/0!</v>
      </c>
      <c r="AC31" s="646" t="e">
        <f t="shared" si="23"/>
        <v>#DIV/0!</v>
      </c>
      <c r="AD31" s="351" t="e">
        <f t="shared" si="5"/>
        <v>#DIV/0!</v>
      </c>
      <c r="AE31" s="351"/>
      <c r="AF31" s="351" t="e">
        <f t="shared" si="24"/>
        <v>#DIV/0!</v>
      </c>
      <c r="AG31" s="39">
        <f>'PIM Model'!B29</f>
        <v>0</v>
      </c>
      <c r="AH31" s="499" t="e">
        <f t="shared" si="6"/>
        <v>#DIV/0!</v>
      </c>
      <c r="AI31" s="499" t="e">
        <f t="shared" si="25"/>
        <v>#DIV/0!</v>
      </c>
      <c r="AJ31">
        <v>22</v>
      </c>
      <c r="AK31" s="500" t="s">
        <v>88</v>
      </c>
      <c r="AL31" s="500" t="e">
        <f t="shared" si="7"/>
        <v>#DIV/0!</v>
      </c>
      <c r="AM31" s="500">
        <f t="shared" si="8"/>
        <v>0</v>
      </c>
      <c r="AN31" s="500">
        <f t="shared" si="9"/>
        <v>0</v>
      </c>
      <c r="AO31" s="501">
        <f t="shared" si="10"/>
        <v>0</v>
      </c>
      <c r="AP31" s="501">
        <f t="shared" si="11"/>
        <v>0</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31"/>
      <c r="AW31" s="53" t="s">
        <v>88</v>
      </c>
      <c r="AX31" s="532">
        <v>6782</v>
      </c>
      <c r="AY31" s="532">
        <v>19966</v>
      </c>
      <c r="AZ31" s="532">
        <v>43486</v>
      </c>
      <c r="BA31" s="532">
        <v>97858</v>
      </c>
      <c r="BD31" s="53" t="s">
        <v>88</v>
      </c>
      <c r="BE31" s="532">
        <v>8688</v>
      </c>
      <c r="BF31" s="532">
        <v>30144</v>
      </c>
      <c r="BG31" s="532">
        <v>100469</v>
      </c>
      <c r="BH31" s="532">
        <v>234604</v>
      </c>
    </row>
    <row r="32" spans="1:60" x14ac:dyDescent="0.25">
      <c r="A32" t="e">
        <f t="shared" si="13"/>
        <v>#DIV/0!</v>
      </c>
      <c r="B32">
        <v>23</v>
      </c>
      <c r="C32" t="s">
        <v>87</v>
      </c>
      <c r="D32" s="25">
        <f>'Multi-Customer'!C34</f>
        <v>0</v>
      </c>
      <c r="E32">
        <f>'Multi-Customer'!D34</f>
        <v>0</v>
      </c>
      <c r="F32">
        <f>'Multi-Customer'!E34</f>
        <v>0</v>
      </c>
      <c r="G32" s="351">
        <f>'Multi-Customer'!F34</f>
        <v>0</v>
      </c>
      <c r="H32" s="19">
        <f t="shared" si="14"/>
        <v>0</v>
      </c>
      <c r="I32" s="19">
        <f t="shared" si="15"/>
        <v>0</v>
      </c>
      <c r="J32" s="351"/>
      <c r="K32" s="351" t="str">
        <f>'PIM Model'!E30</f>
        <v>INCLUDE</v>
      </c>
      <c r="L32" s="351" t="e">
        <f t="shared" si="0"/>
        <v>#DIV/0!</v>
      </c>
      <c r="M32">
        <v>23</v>
      </c>
      <c r="N32" s="351" t="s">
        <v>87</v>
      </c>
      <c r="O32" s="351" t="e">
        <f t="shared" si="1"/>
        <v>#DIV/0!</v>
      </c>
      <c r="P32" s="351" t="e">
        <f t="shared" si="2"/>
        <v>#DIV/0!</v>
      </c>
      <c r="Q32" s="351" t="e">
        <f t="shared" si="3"/>
        <v>#DIV/0!</v>
      </c>
      <c r="R32" s="351" t="e">
        <f t="shared" si="4"/>
        <v>#DIV/0!</v>
      </c>
      <c r="S32" s="351">
        <f t="shared" si="16"/>
        <v>0</v>
      </c>
      <c r="T32" s="19">
        <f t="shared" si="17"/>
        <v>0</v>
      </c>
      <c r="U32" s="19"/>
      <c r="V32" s="2">
        <f>'PIM Model'!$C$30</f>
        <v>0</v>
      </c>
      <c r="W32" s="645" t="e">
        <f>'Multi-Customer'!M34</f>
        <v>#DIV/0!</v>
      </c>
      <c r="X32" s="19" t="e">
        <f t="shared" si="18"/>
        <v>#DIV/0!</v>
      </c>
      <c r="Y32" s="351" t="e">
        <f t="shared" si="19"/>
        <v>#DIV/0!</v>
      </c>
      <c r="Z32" s="351" t="e">
        <f t="shared" si="20"/>
        <v>#DIV/0!</v>
      </c>
      <c r="AA32" s="351" t="e">
        <f t="shared" si="21"/>
        <v>#DIV/0!</v>
      </c>
      <c r="AB32" s="646" t="e">
        <f t="shared" si="22"/>
        <v>#DIV/0!</v>
      </c>
      <c r="AC32" s="646" t="e">
        <f t="shared" si="23"/>
        <v>#DIV/0!</v>
      </c>
      <c r="AD32" s="351" t="e">
        <f t="shared" si="5"/>
        <v>#DIV/0!</v>
      </c>
      <c r="AE32" s="351"/>
      <c r="AF32" s="351" t="e">
        <f t="shared" si="24"/>
        <v>#DIV/0!</v>
      </c>
      <c r="AG32" s="39">
        <f>'PIM Model'!B30</f>
        <v>0</v>
      </c>
      <c r="AH32" s="499" t="e">
        <f t="shared" si="6"/>
        <v>#DIV/0!</v>
      </c>
      <c r="AI32" s="499" t="e">
        <f t="shared" si="25"/>
        <v>#DIV/0!</v>
      </c>
      <c r="AJ32">
        <v>23</v>
      </c>
      <c r="AK32" s="500" t="s">
        <v>87</v>
      </c>
      <c r="AL32" s="500" t="e">
        <f t="shared" si="7"/>
        <v>#DIV/0!</v>
      </c>
      <c r="AM32" s="500">
        <f t="shared" si="8"/>
        <v>0</v>
      </c>
      <c r="AN32" s="500">
        <f t="shared" si="9"/>
        <v>0</v>
      </c>
      <c r="AO32" s="501">
        <f t="shared" si="10"/>
        <v>0</v>
      </c>
      <c r="AP32" s="501">
        <f t="shared" si="11"/>
        <v>0</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31"/>
      <c r="AW32" s="53" t="s">
        <v>87</v>
      </c>
      <c r="AX32" s="532">
        <v>317</v>
      </c>
      <c r="AY32" s="532">
        <v>1177</v>
      </c>
      <c r="AZ32" s="532">
        <v>4361</v>
      </c>
      <c r="BA32" s="532">
        <v>10380</v>
      </c>
      <c r="BD32" s="53" t="s">
        <v>87</v>
      </c>
      <c r="BE32" s="532">
        <v>496</v>
      </c>
      <c r="BF32" s="532">
        <v>2401</v>
      </c>
      <c r="BG32" s="532">
        <v>10817</v>
      </c>
      <c r="BH32" s="532">
        <v>25725</v>
      </c>
    </row>
    <row r="33" spans="1:60" x14ac:dyDescent="0.25">
      <c r="A33" t="e">
        <f>SUM(A12:A32)</f>
        <v>#DIV/0!</v>
      </c>
      <c r="D33" s="25">
        <f>SUM(D$12:D$32)</f>
        <v>0</v>
      </c>
      <c r="E33">
        <f>SUM(E$12:E$32)</f>
        <v>0</v>
      </c>
      <c r="F33">
        <f>SUM(F$12:F$32)</f>
        <v>0</v>
      </c>
      <c r="G33">
        <f>SUM(G$12:G$32)</f>
        <v>0</v>
      </c>
      <c r="L33" s="351" t="e">
        <f>SUM(L12:L32)</f>
        <v>#DIV/0!</v>
      </c>
      <c r="O33" s="25" t="e">
        <f>SUM(O$12:O$32)</f>
        <v>#DIV/0!</v>
      </c>
      <c r="P33" t="e">
        <f>SUM(P$12:P$32)</f>
        <v>#DIV/0!</v>
      </c>
      <c r="Q33" t="e">
        <f>SUM(Q$12:Q$32)</f>
        <v>#DIV/0!</v>
      </c>
      <c r="R33" t="e">
        <f>SUM(R$12:R$32)</f>
        <v>#DIV/0!</v>
      </c>
      <c r="W33" s="351" t="e">
        <f>SUM($W$12:$W$32)</f>
        <v>#DIV/0!</v>
      </c>
      <c r="X33" s="351" t="e">
        <f>SUM(X12:X32)</f>
        <v>#DIV/0!</v>
      </c>
      <c r="Y33" s="351" t="e">
        <f>SUM(Y12:Y32)</f>
        <v>#DIV/0!</v>
      </c>
      <c r="Z33" s="351" t="e">
        <f>SUM($Z$12:$Z$32)</f>
        <v>#DIV/0!</v>
      </c>
      <c r="AA33" s="351" t="e">
        <f>SUM(AA12:AA32)</f>
        <v>#DIV/0!</v>
      </c>
      <c r="AB33" s="646" t="e">
        <f>SUM(AB12:AB32)</f>
        <v>#DIV/0!</v>
      </c>
      <c r="AC33" s="646" t="e">
        <f>SUM(AC12:AC32)</f>
        <v>#DIV/0!</v>
      </c>
      <c r="AD33" s="351" t="e">
        <f>SUM(AD12:AD32)</f>
        <v>#DIV/0!</v>
      </c>
      <c r="AF33" s="351" t="e">
        <f>SUM(AF12:AF32)</f>
        <v>#DIV/0!</v>
      </c>
      <c r="AH33" s="351" t="e">
        <f>SUM(AH12:AH32)</f>
        <v>#DIV/0!</v>
      </c>
      <c r="AI33" s="351" t="e">
        <f>SUM(AI12:AI32)</f>
        <v>#DIV/0!</v>
      </c>
      <c r="AL33" s="351" t="e">
        <f>SUM(AL12:AL32)</f>
        <v>#DIV/0!</v>
      </c>
      <c r="AM33" s="351">
        <f t="shared" ref="AM33:AN33" si="26">SUM(AM12:AM32)</f>
        <v>0</v>
      </c>
      <c r="AN33" s="351">
        <f t="shared" si="26"/>
        <v>0</v>
      </c>
      <c r="AV33" s="531"/>
      <c r="AW33" s="53" t="s">
        <v>258</v>
      </c>
      <c r="AX33" s="532">
        <v>3824</v>
      </c>
      <c r="AY33" s="532">
        <v>15819</v>
      </c>
      <c r="AZ33" s="532">
        <v>31421</v>
      </c>
      <c r="BA33" s="532">
        <v>38852</v>
      </c>
      <c r="BD33" s="53" t="s">
        <v>258</v>
      </c>
      <c r="BE33" s="532">
        <v>3824</v>
      </c>
      <c r="BF33" s="532">
        <v>15819</v>
      </c>
      <c r="BG33" s="532">
        <v>31421</v>
      </c>
      <c r="BH33" s="53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8"/>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4"/>
      <c r="AW60" s="54"/>
      <c r="AX60" s="24"/>
      <c r="AY60" s="24"/>
      <c r="AZ60" s="24"/>
      <c r="BA60" s="24"/>
      <c r="BB60" s="24"/>
      <c r="BC60" s="24"/>
      <c r="BD60" s="24"/>
      <c r="BE60" s="24"/>
      <c r="BF60" s="24"/>
      <c r="BG60" s="24"/>
    </row>
    <row r="61" spans="47:59" x14ac:dyDescent="0.25">
      <c r="AU61" s="25"/>
      <c r="AV61" s="54"/>
      <c r="AW61" s="54"/>
      <c r="AX61" s="24"/>
      <c r="AY61" s="24"/>
      <c r="AZ61" s="24"/>
      <c r="BA61" s="24"/>
      <c r="BB61" s="24"/>
      <c r="BC61" s="24"/>
      <c r="BD61" s="24"/>
      <c r="BE61" s="24"/>
      <c r="BF61" s="24"/>
      <c r="BG61" s="24"/>
    </row>
    <row r="62" spans="47:59" x14ac:dyDescent="0.25">
      <c r="AU62" s="25"/>
      <c r="AV62" s="54"/>
      <c r="AW62" s="54"/>
      <c r="AX62" s="24"/>
      <c r="AY62" s="24"/>
      <c r="AZ62" s="24"/>
      <c r="BA62" s="24"/>
      <c r="BB62" s="24"/>
      <c r="BC62" s="24"/>
      <c r="BD62" s="24"/>
      <c r="BE62" s="24"/>
      <c r="BF62" s="24"/>
      <c r="BG62" s="24"/>
    </row>
    <row r="63" spans="47:59" x14ac:dyDescent="0.25">
      <c r="AU63" s="25"/>
      <c r="AV63" s="54"/>
      <c r="AW63" s="54"/>
      <c r="AX63" s="24"/>
      <c r="AY63" s="24"/>
      <c r="AZ63" s="24"/>
      <c r="BA63" s="24"/>
      <c r="BB63" s="24"/>
      <c r="BC63" s="24"/>
      <c r="BD63" s="24"/>
      <c r="BE63" s="24"/>
      <c r="BF63" s="24"/>
      <c r="BG63" s="24"/>
    </row>
    <row r="64" spans="47:59" x14ac:dyDescent="0.25">
      <c r="AU64" s="25"/>
      <c r="AV64" s="54"/>
      <c r="AW64" s="54"/>
      <c r="AX64" s="24"/>
      <c r="AY64" s="24"/>
      <c r="AZ64" s="24"/>
      <c r="BA64" s="24"/>
      <c r="BB64" s="24"/>
      <c r="BC64" s="24"/>
      <c r="BD64" s="24"/>
      <c r="BE64" s="24"/>
      <c r="BF64" s="24"/>
      <c r="BG64" s="24"/>
    </row>
    <row r="65" spans="47:59" x14ac:dyDescent="0.25">
      <c r="AU65" s="25"/>
      <c r="AV65" s="54"/>
      <c r="AW65" s="54"/>
      <c r="AX65" s="24"/>
      <c r="AY65" s="24"/>
      <c r="AZ65" s="24"/>
      <c r="BA65" s="24"/>
      <c r="BB65" s="24"/>
      <c r="BC65" s="24"/>
      <c r="BD65" s="24"/>
      <c r="BE65" s="24"/>
      <c r="BF65" s="24"/>
      <c r="BG65" s="24"/>
    </row>
    <row r="66" spans="47:59" x14ac:dyDescent="0.25">
      <c r="AU66" s="25"/>
      <c r="AV66" s="54"/>
      <c r="AW66" s="54"/>
      <c r="AX66" s="24"/>
      <c r="AY66" s="24"/>
      <c r="AZ66" s="24"/>
      <c r="BA66" s="24"/>
      <c r="BB66" s="24"/>
      <c r="BC66" s="24"/>
      <c r="BD66" s="24"/>
      <c r="BE66" s="24"/>
      <c r="BF66" s="24"/>
      <c r="BG66" s="24"/>
    </row>
    <row r="67" spans="47:59" x14ac:dyDescent="0.25">
      <c r="AV67" s="54"/>
      <c r="AW67" s="54"/>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07" customWidth="1"/>
    <col min="6" max="6" width="14.140625" customWidth="1"/>
    <col min="7" max="7" width="11.5703125" bestFit="1" customWidth="1"/>
    <col min="8" max="8" width="1.7109375" style="308" customWidth="1"/>
    <col min="9" max="9" width="8.140625" customWidth="1"/>
    <col min="10" max="10" width="20.28515625" bestFit="1" customWidth="1"/>
    <col min="11" max="11" width="20.7109375" bestFit="1" customWidth="1"/>
    <col min="12" max="12" width="12.5703125" customWidth="1"/>
    <col min="13" max="13" width="1.7109375" style="308" customWidth="1"/>
    <col min="14" max="14" width="9.5703125" customWidth="1"/>
    <col min="15" max="15" width="13.7109375" customWidth="1"/>
    <col min="16" max="17" width="14.7109375" customWidth="1"/>
    <col min="18" max="18" width="1.7109375" style="308" customWidth="1"/>
    <col min="19" max="19" width="8.140625" customWidth="1"/>
    <col min="20" max="20" width="15.85546875" customWidth="1"/>
    <col min="21" max="21" width="12.140625" bestFit="1" customWidth="1"/>
    <col min="22" max="22" width="14.7109375" customWidth="1"/>
    <col min="23" max="23" width="1.7109375" style="308" customWidth="1"/>
  </cols>
  <sheetData>
    <row r="1" spans="1:23" ht="29.25" thickBot="1" x14ac:dyDescent="0.5">
      <c r="A1" s="1364" t="s">
        <v>819</v>
      </c>
      <c r="B1" s="1364"/>
      <c r="C1" s="1364"/>
      <c r="D1" s="1364"/>
      <c r="F1" s="1365" t="s">
        <v>748</v>
      </c>
      <c r="G1" s="1365"/>
      <c r="I1" s="1366" t="s">
        <v>818</v>
      </c>
      <c r="J1" s="1367"/>
      <c r="K1" s="1367"/>
      <c r="L1" s="1367"/>
      <c r="M1" s="1367"/>
      <c r="N1" s="1367"/>
      <c r="O1" s="1367"/>
      <c r="P1" s="1367"/>
      <c r="Q1" s="1367"/>
      <c r="R1" s="1367"/>
      <c r="S1" s="1367"/>
      <c r="T1" s="1367"/>
      <c r="U1" s="1367"/>
      <c r="V1" s="1368"/>
    </row>
    <row r="2" spans="1:23" x14ac:dyDescent="0.25">
      <c r="I2" s="358"/>
      <c r="J2" s="138"/>
      <c r="K2" s="138"/>
      <c r="L2" s="138"/>
      <c r="M2" s="138"/>
      <c r="N2" s="138"/>
      <c r="O2" s="138"/>
      <c r="P2" s="138"/>
      <c r="Q2" s="138"/>
      <c r="R2" s="138"/>
      <c r="S2" s="138"/>
      <c r="T2" s="138"/>
      <c r="U2" s="138"/>
      <c r="V2" s="361"/>
    </row>
    <row r="3" spans="1:23" x14ac:dyDescent="0.25">
      <c r="A3" t="s">
        <v>248</v>
      </c>
      <c r="B3" s="1369">
        <f>Welcome!$D$4</f>
        <v>0</v>
      </c>
      <c r="C3" s="1369"/>
      <c r="I3" s="353">
        <v>1</v>
      </c>
      <c r="J3" t="s">
        <v>774</v>
      </c>
      <c r="L3" s="1369" t="str">
        <f>"ALC "&amp;'Required Info to Submit'!$F$6</f>
        <v xml:space="preserve">ALC </v>
      </c>
      <c r="M3" s="1369"/>
      <c r="N3" s="1369"/>
      <c r="O3" s="1369"/>
      <c r="P3" s="1369"/>
      <c r="R3"/>
      <c r="V3" s="141"/>
    </row>
    <row r="4" spans="1:23" ht="45" x14ac:dyDescent="0.25">
      <c r="A4" t="s">
        <v>755</v>
      </c>
      <c r="B4" s="1370">
        <f>'Required Info to Submit'!$F$6</f>
        <v>0</v>
      </c>
      <c r="C4" s="1370"/>
      <c r="D4" s="2" t="s">
        <v>909</v>
      </c>
      <c r="F4" s="268" t="s">
        <v>749</v>
      </c>
      <c r="G4" s="677">
        <f>Incentives!$H$9</f>
        <v>0</v>
      </c>
      <c r="H4" s="310"/>
      <c r="I4" s="353">
        <v>2</v>
      </c>
      <c r="J4" t="s">
        <v>750</v>
      </c>
      <c r="L4" s="362">
        <f>'Required Info to Submit'!$F$14</f>
        <v>0</v>
      </c>
      <c r="M4" s="362"/>
      <c r="N4" s="362"/>
      <c r="O4" s="363">
        <v>3</v>
      </c>
      <c r="P4" s="1369" t="s">
        <v>752</v>
      </c>
      <c r="Q4" s="1369"/>
      <c r="R4" s="1369"/>
      <c r="S4" s="1372" t="e">
        <f>$L$4+(364*$G$5)+6</f>
        <v>#VALUE!</v>
      </c>
      <c r="T4" s="1372"/>
      <c r="U4" s="362"/>
      <c r="V4" s="141"/>
    </row>
    <row r="5" spans="1:23" x14ac:dyDescent="0.25">
      <c r="A5" t="s">
        <v>1043</v>
      </c>
      <c r="B5" s="1374">
        <f>'Required Info to Submit'!$F$8</f>
        <v>0</v>
      </c>
      <c r="C5" s="1374"/>
      <c r="D5" t="e">
        <f>G5*12</f>
        <v>#VALUE!</v>
      </c>
      <c r="F5" s="268" t="s">
        <v>751</v>
      </c>
      <c r="G5" s="309" t="str">
        <f>Welcome!$D$12</f>
        <v>Select Term</v>
      </c>
      <c r="H5" s="310"/>
      <c r="I5" s="354"/>
      <c r="M5"/>
      <c r="O5" s="2"/>
      <c r="P5" s="300"/>
      <c r="Q5" s="300"/>
      <c r="R5" s="300"/>
      <c r="S5" s="300"/>
      <c r="T5" s="300"/>
      <c r="V5" s="141"/>
    </row>
    <row r="6" spans="1:23" x14ac:dyDescent="0.25">
      <c r="A6" t="s">
        <v>813</v>
      </c>
      <c r="B6" s="1371">
        <f>'Required Info to Submit'!$F$14</f>
        <v>0</v>
      </c>
      <c r="C6" s="1371"/>
      <c r="F6" t="s">
        <v>753</v>
      </c>
      <c r="G6" s="772">
        <f>IF(L4&lt;43827,43827-L4+1,IF(L4&lt;43918,43918-L4+1,IF(L4&lt;44009,44009-L4+1,IF(L4&lt;44198,44198-L4+1,IF(L4&lt;44289,44289-L4+1,IF(L4&lt;44380,44380-L4+1,IF(L4&lt;44471,44471-L4+1,44562-L4+1)))))))/7</f>
        <v>6261.1428571428569</v>
      </c>
      <c r="H6" s="311"/>
      <c r="I6" s="353">
        <v>5</v>
      </c>
      <c r="J6" t="s">
        <v>754</v>
      </c>
      <c r="L6" s="300">
        <f>'MDA Worksheet'!$D$95</f>
        <v>0</v>
      </c>
      <c r="M6"/>
      <c r="O6" s="363">
        <v>7</v>
      </c>
      <c r="P6" s="1369" t="s">
        <v>775</v>
      </c>
      <c r="Q6" s="1369"/>
      <c r="R6" s="1369"/>
      <c r="S6" s="1373">
        <f>-('Tracking &amp; Profitability'!$E$22)</f>
        <v>0</v>
      </c>
      <c r="T6" s="1373"/>
      <c r="U6" s="20"/>
      <c r="V6" s="141"/>
    </row>
    <row r="7" spans="1:23" x14ac:dyDescent="0.25">
      <c r="A7" t="s">
        <v>814</v>
      </c>
      <c r="B7" s="1369">
        <f>'Required Info to Submit'!$F$10</f>
        <v>0</v>
      </c>
      <c r="C7" s="1369"/>
      <c r="F7" s="871" t="str">
        <f>IF(Incentives!E15="Yes","VB","")</f>
        <v/>
      </c>
      <c r="G7" s="871" t="str">
        <f>IF(Incentives!E26="YES","DS","")</f>
        <v/>
      </c>
      <c r="I7" s="353">
        <v>6</v>
      </c>
      <c r="J7" t="s">
        <v>776</v>
      </c>
      <c r="L7" s="1369" t="str">
        <f>'MDA Worksheet'!$K$95</f>
        <v/>
      </c>
      <c r="M7" s="1369"/>
      <c r="N7" s="1369"/>
      <c r="O7" s="363">
        <v>8</v>
      </c>
      <c r="P7" s="1369" t="s">
        <v>889</v>
      </c>
      <c r="Q7" s="1369"/>
      <c r="R7" s="1369"/>
      <c r="S7" s="1369">
        <f>'Required Info to Submit'!$F$10</f>
        <v>0</v>
      </c>
      <c r="T7" s="1369"/>
      <c r="V7" s="141"/>
    </row>
    <row r="8" spans="1:23" x14ac:dyDescent="0.25">
      <c r="A8" t="s">
        <v>815</v>
      </c>
      <c r="B8" s="1369">
        <f>'Required Info to Submit'!$F$9</f>
        <v>0</v>
      </c>
      <c r="C8" s="1369"/>
      <c r="F8" s="871" t="str">
        <f>IF(Incentives!E37="Yes","EB","")</f>
        <v/>
      </c>
      <c r="G8" s="871" t="str">
        <f>IF(Incentives!E48="Yes","SG","")</f>
        <v/>
      </c>
      <c r="I8" s="140"/>
      <c r="M8"/>
      <c r="R8"/>
      <c r="V8" s="141"/>
    </row>
    <row r="9" spans="1:23" x14ac:dyDescent="0.25">
      <c r="A9" t="s">
        <v>672</v>
      </c>
      <c r="B9" s="1369">
        <f>'Required Info to Submit'!$F$12</f>
        <v>0</v>
      </c>
      <c r="C9" s="1369"/>
      <c r="F9" s="871" t="str">
        <f>IF(Incentives!E56="Yes","EC","")</f>
        <v/>
      </c>
      <c r="G9" s="871" t="str">
        <f>IF(Incentives!E89="Yes","CC","")</f>
        <v/>
      </c>
      <c r="I9" s="364" t="s">
        <v>891</v>
      </c>
      <c r="J9" s="313" t="s">
        <v>950</v>
      </c>
      <c r="K9" s="312" t="s">
        <v>880</v>
      </c>
      <c r="L9" s="313" t="s">
        <v>892</v>
      </c>
      <c r="M9" s="313"/>
      <c r="N9" s="313"/>
      <c r="O9" s="312" t="s">
        <v>893</v>
      </c>
      <c r="P9" s="313"/>
      <c r="Q9" s="314"/>
      <c r="R9"/>
      <c r="V9" s="141"/>
    </row>
    <row r="10" spans="1:23" ht="15.75" thickBot="1" x14ac:dyDescent="0.3">
      <c r="A10" t="s">
        <v>816</v>
      </c>
      <c r="B10" s="1369">
        <f>'Required Info to Submit'!$F$11</f>
        <v>0</v>
      </c>
      <c r="C10" s="1369"/>
      <c r="F10" s="871" t="str">
        <f>IF(Incentives!E64="Yes","PP","")</f>
        <v/>
      </c>
      <c r="G10" s="871" t="str">
        <f>IF(Incentives!E81="Yes","CBT","")</f>
        <v/>
      </c>
      <c r="I10" s="287"/>
      <c r="J10" s="288"/>
      <c r="K10" s="288"/>
      <c r="L10" s="288"/>
      <c r="M10" s="288"/>
      <c r="N10" s="288"/>
      <c r="O10" s="288"/>
      <c r="P10" s="288"/>
      <c r="Q10" s="288"/>
      <c r="R10" s="288"/>
      <c r="S10" s="288"/>
      <c r="T10" s="288"/>
      <c r="U10" s="288"/>
      <c r="V10" s="289"/>
    </row>
    <row r="11" spans="1:23" ht="16.5" thickBot="1" x14ac:dyDescent="0.3">
      <c r="B11" s="1360"/>
      <c r="C11" s="1360"/>
      <c r="F11" s="943" t="str">
        <f>IF(Incentives!E72="Yes","Roll","")</f>
        <v/>
      </c>
      <c r="I11" s="1361" t="s">
        <v>756</v>
      </c>
      <c r="J11" s="1362"/>
      <c r="K11" s="1362"/>
      <c r="L11" s="1363"/>
      <c r="M11" s="316"/>
      <c r="N11" s="1361" t="s">
        <v>484</v>
      </c>
      <c r="O11" s="1362"/>
      <c r="P11" s="1362"/>
      <c r="Q11" s="1363"/>
      <c r="R11" s="316"/>
      <c r="S11" s="1361" t="s">
        <v>545</v>
      </c>
      <c r="T11" s="1362"/>
      <c r="U11" s="1362"/>
      <c r="V11" s="1363"/>
    </row>
    <row r="12" spans="1:23" ht="15.75" thickBot="1" x14ac:dyDescent="0.3">
      <c r="A12" s="1396" t="s">
        <v>756</v>
      </c>
      <c r="B12" s="1397"/>
      <c r="C12" s="1397"/>
      <c r="D12" s="1398"/>
      <c r="E12" s="910"/>
      <c r="F12" s="138"/>
      <c r="G12" s="138"/>
      <c r="H12" s="834"/>
      <c r="I12" s="1387" t="s">
        <v>757</v>
      </c>
      <c r="J12" s="1388"/>
      <c r="K12" s="1388"/>
      <c r="L12" s="1389"/>
      <c r="M12" s="316"/>
      <c r="N12" s="1387" t="s">
        <v>758</v>
      </c>
      <c r="O12" s="1388"/>
      <c r="P12" s="1388"/>
      <c r="Q12" s="1389"/>
      <c r="R12" s="316"/>
      <c r="S12" s="1387" t="s">
        <v>759</v>
      </c>
      <c r="T12" s="1388"/>
      <c r="U12" s="1388"/>
      <c r="V12" s="1389"/>
    </row>
    <row r="13" spans="1:23" x14ac:dyDescent="0.25">
      <c r="A13" s="317" t="s">
        <v>760</v>
      </c>
      <c r="B13" s="318">
        <f>$L$4</f>
        <v>0</v>
      </c>
      <c r="C13" s="319" t="s">
        <v>761</v>
      </c>
      <c r="D13" s="323" t="e">
        <f>$S$4</f>
        <v>#VALUE!</v>
      </c>
      <c r="E13" s="320"/>
      <c r="F13" s="319"/>
      <c r="G13" s="319"/>
      <c r="H13" s="321"/>
      <c r="I13" s="355" t="s">
        <v>762</v>
      </c>
      <c r="J13" s="318">
        <f>L4</f>
        <v>0</v>
      </c>
      <c r="K13" s="322" t="s">
        <v>763</v>
      </c>
      <c r="L13" s="323" t="e">
        <f>D13</f>
        <v>#VALUE!</v>
      </c>
      <c r="M13" s="321"/>
      <c r="N13" s="347" t="s">
        <v>762</v>
      </c>
      <c r="O13" s="325">
        <f>$L$4</f>
        <v>0</v>
      </c>
      <c r="P13" s="85" t="s">
        <v>763</v>
      </c>
      <c r="Q13" s="348" t="e">
        <f>$S$4</f>
        <v>#VALUE!</v>
      </c>
      <c r="R13" s="321"/>
      <c r="S13" s="140" t="s">
        <v>762</v>
      </c>
      <c r="T13" s="325">
        <f>$L$4</f>
        <v>0</v>
      </c>
      <c r="U13" s="85" t="s">
        <v>763</v>
      </c>
      <c r="V13" s="348" t="e">
        <f>$S$4</f>
        <v>#VALUE!</v>
      </c>
      <c r="W13" s="310"/>
    </row>
    <row r="14" spans="1:23" ht="45" x14ac:dyDescent="0.25">
      <c r="A14" s="324" t="s">
        <v>893</v>
      </c>
      <c r="B14" s="814" t="str">
        <f>Incentives!$I$14</f>
        <v>Select Payment Method</v>
      </c>
      <c r="C14" s="872"/>
      <c r="D14" s="329"/>
      <c r="E14" s="326"/>
      <c r="F14" s="268"/>
      <c r="G14" s="268"/>
      <c r="H14" s="310"/>
      <c r="I14" s="356" t="s">
        <v>911</v>
      </c>
      <c r="J14" s="325" t="str">
        <f>Incentives!$I$14</f>
        <v>Select Payment Method</v>
      </c>
      <c r="K14" s="328" t="str">
        <f>IF(J14="Check","Check","Credit Memo")</f>
        <v>Credit Memo</v>
      </c>
      <c r="L14" s="678" t="str">
        <f>Incentives!$K$14</f>
        <v/>
      </c>
      <c r="M14" s="310"/>
      <c r="N14" s="356" t="s">
        <v>912</v>
      </c>
      <c r="O14" s="325" t="str">
        <f>Incentives!$I$25</f>
        <v>Select Payment Method</v>
      </c>
      <c r="P14" s="328" t="str">
        <f>IF(O14="Check","Check","Credit Memo")</f>
        <v>Credit Memo</v>
      </c>
      <c r="Q14" s="678" t="str">
        <f>Incentives!$K$25</f>
        <v/>
      </c>
      <c r="R14" s="310"/>
      <c r="S14" s="324" t="s">
        <v>912</v>
      </c>
      <c r="T14" s="325" t="str">
        <f>Incentives!$I$36</f>
        <v>Select Payment Method</v>
      </c>
      <c r="U14" s="328" t="str">
        <f>IF(T14="Check","Check","Credit Memo")</f>
        <v>Credit Memo</v>
      </c>
      <c r="V14" s="678" t="str">
        <f>Incentives!$K$36</f>
        <v/>
      </c>
      <c r="W14" s="310"/>
    </row>
    <row r="15" spans="1:23" x14ac:dyDescent="0.25">
      <c r="A15" s="324" t="s">
        <v>1216</v>
      </c>
      <c r="B15" s="814" t="str">
        <f>Incentives!$G$14</f>
        <v>Quarterly</v>
      </c>
      <c r="C15" s="872"/>
      <c r="D15" s="329"/>
      <c r="E15" s="326"/>
      <c r="F15" s="268"/>
      <c r="G15" s="268"/>
      <c r="H15" s="310"/>
      <c r="I15" s="763" t="s">
        <v>1216</v>
      </c>
      <c r="J15" s="325" t="str">
        <f>B15</f>
        <v>Quarterly</v>
      </c>
      <c r="K15" s="328"/>
      <c r="L15" s="329"/>
      <c r="M15" s="310"/>
      <c r="N15" s="140"/>
      <c r="O15" s="85" t="s">
        <v>905</v>
      </c>
      <c r="P15" t="s">
        <v>906</v>
      </c>
      <c r="Q15" s="141"/>
      <c r="R15" s="310"/>
      <c r="S15" s="140"/>
      <c r="T15" s="85" t="s">
        <v>905</v>
      </c>
      <c r="U15" t="s">
        <v>906</v>
      </c>
      <c r="V15" s="141"/>
      <c r="W15" s="310"/>
    </row>
    <row r="16" spans="1:23" x14ac:dyDescent="0.25">
      <c r="A16" s="324"/>
      <c r="B16" s="814"/>
      <c r="C16" s="872"/>
      <c r="D16" s="329"/>
      <c r="E16" s="326"/>
      <c r="F16" s="268"/>
      <c r="G16" s="268"/>
      <c r="H16" s="310"/>
      <c r="I16" s="356"/>
      <c r="J16" s="85" t="s">
        <v>904</v>
      </c>
      <c r="K16" s="327">
        <f>Incentives!$I$18</f>
        <v>0.01</v>
      </c>
      <c r="L16" s="329"/>
      <c r="M16" s="310"/>
      <c r="N16" s="763" t="s">
        <v>1216</v>
      </c>
      <c r="O16" s="889" t="str">
        <f>B27</f>
        <v>Quarterly</v>
      </c>
      <c r="P16" s="328"/>
      <c r="Q16" s="329"/>
      <c r="R16" s="310"/>
      <c r="S16" s="763" t="s">
        <v>1216</v>
      </c>
      <c r="T16" s="889" t="str">
        <f>B37</f>
        <v>Quarterly</v>
      </c>
      <c r="U16" s="328"/>
      <c r="V16" s="329"/>
      <c r="W16" s="310"/>
    </row>
    <row r="17" spans="1:23" x14ac:dyDescent="0.25">
      <c r="A17" s="140"/>
      <c r="B17" s="791"/>
      <c r="C17" s="791"/>
      <c r="D17" s="141"/>
      <c r="I17" s="140"/>
      <c r="J17" s="85" t="s">
        <v>905</v>
      </c>
      <c r="K17" t="s">
        <v>906</v>
      </c>
      <c r="L17" s="141"/>
      <c r="M17" s="330"/>
      <c r="N17" s="140"/>
      <c r="Q17" s="357"/>
      <c r="S17" s="140"/>
      <c r="V17" s="141"/>
    </row>
    <row r="18" spans="1:23" ht="30" x14ac:dyDescent="0.25">
      <c r="A18" s="331"/>
      <c r="B18" s="332" t="s">
        <v>764</v>
      </c>
      <c r="C18" s="332" t="s">
        <v>765</v>
      </c>
      <c r="D18" s="748" t="s">
        <v>766</v>
      </c>
      <c r="E18" s="333"/>
      <c r="F18" s="334"/>
      <c r="G18" s="334" t="s">
        <v>767</v>
      </c>
      <c r="H18" s="335"/>
      <c r="I18" s="763">
        <v>3</v>
      </c>
      <c r="J18" s="334"/>
      <c r="K18" s="764" t="s">
        <v>1078</v>
      </c>
      <c r="L18" s="765" t="s">
        <v>1079</v>
      </c>
      <c r="M18" s="335"/>
      <c r="N18" s="763">
        <v>3</v>
      </c>
      <c r="P18" s="764" t="s">
        <v>1078</v>
      </c>
      <c r="Q18" s="765" t="s">
        <v>1079</v>
      </c>
      <c r="R18" s="335"/>
      <c r="S18" s="763">
        <v>2</v>
      </c>
      <c r="U18" s="764" t="s">
        <v>1080</v>
      </c>
      <c r="V18" s="765" t="s">
        <v>1081</v>
      </c>
      <c r="W18" s="335"/>
    </row>
    <row r="19" spans="1:23" x14ac:dyDescent="0.25">
      <c r="A19" s="140"/>
      <c r="B19" s="897">
        <v>0</v>
      </c>
      <c r="C19" s="373">
        <f>IF(ISERROR(B20-0.01),"",B20-0.01)</f>
        <v>-0.01</v>
      </c>
      <c r="D19" s="911">
        <f>Incentives!$I$17</f>
        <v>0</v>
      </c>
      <c r="E19" s="337"/>
      <c r="I19" s="354" t="s">
        <v>1074</v>
      </c>
      <c r="K19">
        <v>0</v>
      </c>
      <c r="L19" s="752">
        <f>D19</f>
        <v>0</v>
      </c>
      <c r="N19" s="354" t="s">
        <v>1074</v>
      </c>
      <c r="P19" s="370">
        <f>B29</f>
        <v>0</v>
      </c>
      <c r="Q19" s="753">
        <f>D29</f>
        <v>0</v>
      </c>
      <c r="S19" s="354" t="s">
        <v>1074</v>
      </c>
      <c r="U19" s="24">
        <f>B39</f>
        <v>0</v>
      </c>
      <c r="V19" s="753">
        <f>D39</f>
        <v>0</v>
      </c>
    </row>
    <row r="20" spans="1:23" x14ac:dyDescent="0.25">
      <c r="A20" s="140"/>
      <c r="B20" s="367">
        <f>ROUND(Incentives!$G$18,0)</f>
        <v>0</v>
      </c>
      <c r="C20" s="373">
        <f>IF(ISERROR(B21-0.01),"",B21-0.01)</f>
        <v>-0.01</v>
      </c>
      <c r="D20" s="911">
        <f>Incentives!$I$18</f>
        <v>0.01</v>
      </c>
      <c r="E20" s="337"/>
      <c r="F20">
        <v>1</v>
      </c>
      <c r="G20" s="338">
        <f>Incentives!$E$18</f>
        <v>0</v>
      </c>
      <c r="H20" s="339"/>
      <c r="I20" s="354" t="s">
        <v>1075</v>
      </c>
      <c r="J20" t="str">
        <f>IF(AND($B$20=0, B21=0),"Flat Rate",0)</f>
        <v>Flat Rate</v>
      </c>
      <c r="K20" t="str">
        <f>IF($B$20=0,"",ROUND($B$20,0))</f>
        <v/>
      </c>
      <c r="L20" s="753">
        <f t="shared" ref="L20:L22" si="0">D20</f>
        <v>0.01</v>
      </c>
      <c r="N20" s="354" t="s">
        <v>1075</v>
      </c>
      <c r="P20" s="371">
        <f>B30</f>
        <v>0</v>
      </c>
      <c r="Q20" s="753">
        <f>D30</f>
        <v>0.01</v>
      </c>
      <c r="S20" s="354" t="s">
        <v>1075</v>
      </c>
      <c r="U20" s="24">
        <f>B40</f>
        <v>0</v>
      </c>
      <c r="V20" s="753">
        <f>D40</f>
        <v>0.01</v>
      </c>
    </row>
    <row r="21" spans="1:23" x14ac:dyDescent="0.25">
      <c r="A21" s="140"/>
      <c r="B21" s="367">
        <f>IF(D21=0,"",ROUND(Incentives!$G$19,0))</f>
        <v>0</v>
      </c>
      <c r="C21" s="373" t="str">
        <f>IF(OR(ISERROR(B22-0.01),B22=0),"",B22-0.01)</f>
        <v/>
      </c>
      <c r="D21" s="911">
        <f>Incentives!$I$19</f>
        <v>1.4999999999999999E-2</v>
      </c>
      <c r="E21" s="337"/>
      <c r="F21">
        <v>2</v>
      </c>
      <c r="G21" s="338">
        <f>Incentives!$E$19</f>
        <v>0</v>
      </c>
      <c r="H21" s="339"/>
      <c r="I21" s="354" t="s">
        <v>1076</v>
      </c>
      <c r="K21">
        <f>IF($B$21="","",ROUND($B$21,0))</f>
        <v>0</v>
      </c>
      <c r="L21" s="753">
        <f t="shared" si="0"/>
        <v>1.4999999999999999E-2</v>
      </c>
      <c r="N21" s="354" t="s">
        <v>1076</v>
      </c>
      <c r="P21" s="371">
        <f>B31</f>
        <v>0</v>
      </c>
      <c r="Q21" s="753">
        <f>D31</f>
        <v>1.4999999999999999E-2</v>
      </c>
      <c r="S21" s="354" t="s">
        <v>1076</v>
      </c>
      <c r="U21" s="56">
        <f>B41</f>
        <v>0</v>
      </c>
      <c r="V21" s="752">
        <f>D41</f>
        <v>1.4999999999999999E-2</v>
      </c>
    </row>
    <row r="22" spans="1:23" ht="15.75" thickBot="1" x14ac:dyDescent="0.3">
      <c r="A22" s="287"/>
      <c r="B22" s="368">
        <f>IF(D22=0,"",Incentives!$G$20)</f>
        <v>0</v>
      </c>
      <c r="C22" s="341">
        <v>999999.99</v>
      </c>
      <c r="D22" s="912">
        <f>Incentives!$I$20</f>
        <v>0.02</v>
      </c>
      <c r="E22" s="343"/>
      <c r="F22" s="288">
        <v>3</v>
      </c>
      <c r="G22" s="344">
        <f>Incentives!$E$20</f>
        <v>0</v>
      </c>
      <c r="H22" s="345"/>
      <c r="I22" s="354" t="s">
        <v>1077</v>
      </c>
      <c r="J22" s="288"/>
      <c r="K22" s="288">
        <f>IF($B$22="","",ROUND($B$22,0))</f>
        <v>0</v>
      </c>
      <c r="L22" s="842">
        <f t="shared" si="0"/>
        <v>0.02</v>
      </c>
      <c r="M22" s="346"/>
      <c r="N22" s="354" t="s">
        <v>1077</v>
      </c>
      <c r="O22" s="288"/>
      <c r="P22" s="372">
        <f>B32</f>
        <v>0</v>
      </c>
      <c r="Q22" s="842">
        <f>D32</f>
        <v>0.02</v>
      </c>
      <c r="R22" s="346"/>
      <c r="S22" s="354" t="s">
        <v>1077</v>
      </c>
      <c r="U22" s="56">
        <f>B42</f>
        <v>0</v>
      </c>
      <c r="V22" s="752">
        <f>D42</f>
        <v>0.02</v>
      </c>
    </row>
    <row r="23" spans="1:23" ht="16.5" thickBot="1" x14ac:dyDescent="0.3">
      <c r="E23" s="905"/>
      <c r="H23" s="834"/>
      <c r="I23" s="1361" t="s">
        <v>1205</v>
      </c>
      <c r="J23" s="1362"/>
      <c r="K23" s="1362"/>
      <c r="L23" s="1363"/>
      <c r="M23" s="833"/>
      <c r="N23" s="1384" t="s">
        <v>1206</v>
      </c>
      <c r="O23" s="1385"/>
      <c r="P23" s="1385"/>
      <c r="Q23" s="1386"/>
      <c r="R23" s="833"/>
      <c r="S23" s="1361" t="s">
        <v>1194</v>
      </c>
      <c r="T23" s="1362"/>
      <c r="U23" s="1362"/>
      <c r="V23" s="1363"/>
    </row>
    <row r="24" spans="1:23" ht="15.75" thickBot="1" x14ac:dyDescent="0.3">
      <c r="A24" s="1396" t="s">
        <v>484</v>
      </c>
      <c r="B24" s="1397"/>
      <c r="C24" s="1397"/>
      <c r="D24" s="1398"/>
      <c r="E24" s="315"/>
      <c r="F24" s="138"/>
      <c r="G24" s="138"/>
      <c r="H24" s="316"/>
      <c r="I24" s="1387" t="s">
        <v>768</v>
      </c>
      <c r="J24" s="1388"/>
      <c r="K24" s="1388"/>
      <c r="L24" s="1389"/>
      <c r="M24" s="833"/>
      <c r="N24" s="1393" t="s">
        <v>768</v>
      </c>
      <c r="O24" s="1394"/>
      <c r="P24" s="1394"/>
      <c r="Q24" s="1395"/>
      <c r="R24" s="833"/>
      <c r="S24" s="1387" t="s">
        <v>769</v>
      </c>
      <c r="T24" s="1388"/>
      <c r="U24" s="1388"/>
      <c r="V24" s="1389"/>
    </row>
    <row r="25" spans="1:23" x14ac:dyDescent="0.25">
      <c r="A25" s="324" t="s">
        <v>750</v>
      </c>
      <c r="B25" s="814">
        <f>$L$4</f>
        <v>0</v>
      </c>
      <c r="C25" s="872" t="s">
        <v>761</v>
      </c>
      <c r="D25" s="329" t="e">
        <f>$S$4</f>
        <v>#VALUE!</v>
      </c>
      <c r="I25" s="930" t="s">
        <v>762</v>
      </c>
      <c r="J25" s="318">
        <f>$L$4</f>
        <v>0</v>
      </c>
      <c r="K25" s="359" t="s">
        <v>763</v>
      </c>
      <c r="L25" s="360" t="e">
        <f>$S$4</f>
        <v>#VALUE!</v>
      </c>
      <c r="N25" s="140"/>
      <c r="O25" s="791"/>
      <c r="P25" s="791"/>
      <c r="Q25" s="141"/>
      <c r="S25" s="140" t="s">
        <v>762</v>
      </c>
      <c r="T25" s="814">
        <f>$L$4</f>
        <v>0</v>
      </c>
      <c r="U25" s="816" t="s">
        <v>763</v>
      </c>
      <c r="V25" s="348" t="e">
        <f>$S$4</f>
        <v>#VALUE!</v>
      </c>
    </row>
    <row r="26" spans="1:23" ht="30" x14ac:dyDescent="0.25">
      <c r="A26" s="324" t="s">
        <v>893</v>
      </c>
      <c r="B26" s="814" t="str">
        <f>Incentives!$I$25</f>
        <v>Select Payment Method</v>
      </c>
      <c r="C26" s="872"/>
      <c r="D26" s="329"/>
      <c r="I26" s="924"/>
      <c r="J26" s="816" t="str">
        <f>IF(Incentives!$I$63="Check","Check","Credit Memo")</f>
        <v>Credit Memo</v>
      </c>
      <c r="K26" s="791" t="str">
        <f>Incentives!$K$63</f>
        <v/>
      </c>
      <c r="L26" s="348"/>
      <c r="N26" s="140"/>
      <c r="O26" s="820" t="s">
        <v>1186</v>
      </c>
      <c r="P26" s="820"/>
      <c r="Q26" s="821">
        <f>D62</f>
        <v>0</v>
      </c>
      <c r="S26" s="324" t="s">
        <v>912</v>
      </c>
      <c r="T26" s="814" t="str">
        <f>Incentives!$I$80</f>
        <v>Select Payment Method</v>
      </c>
      <c r="U26" s="815" t="str">
        <f>IF($T$26="Check","Check","Credit Memo")</f>
        <v>Credit Memo</v>
      </c>
      <c r="V26" s="678" t="str">
        <f>Incentives!$K$80</f>
        <v/>
      </c>
    </row>
    <row r="27" spans="1:23" x14ac:dyDescent="0.25">
      <c r="A27" s="140" t="s">
        <v>1216</v>
      </c>
      <c r="B27" s="791" t="str">
        <f>Incentives!$G$25</f>
        <v>Quarterly</v>
      </c>
      <c r="C27" s="791"/>
      <c r="D27" s="141"/>
      <c r="I27" s="140"/>
      <c r="J27" s="791"/>
      <c r="K27" s="791"/>
      <c r="L27" s="141"/>
      <c r="N27" s="822" t="s">
        <v>1185</v>
      </c>
      <c r="O27" s="820" t="s">
        <v>762</v>
      </c>
      <c r="P27" s="820" t="s">
        <v>763</v>
      </c>
      <c r="Q27" s="823"/>
      <c r="S27" s="140"/>
      <c r="T27" s="791" t="s">
        <v>890</v>
      </c>
      <c r="U27" s="791"/>
      <c r="V27" s="141"/>
    </row>
    <row r="28" spans="1:23" ht="30" x14ac:dyDescent="0.25">
      <c r="A28" s="140"/>
      <c r="B28" s="332" t="s">
        <v>126</v>
      </c>
      <c r="C28" s="332" t="s">
        <v>128</v>
      </c>
      <c r="D28" s="748" t="s">
        <v>766</v>
      </c>
      <c r="E28" s="349"/>
      <c r="I28" s="140"/>
      <c r="J28" s="791"/>
      <c r="K28" s="791"/>
      <c r="L28" s="141"/>
      <c r="N28" s="824" t="s">
        <v>1189</v>
      </c>
      <c r="O28" s="825">
        <f>L4</f>
        <v>0</v>
      </c>
      <c r="P28" s="825">
        <f>O28+363</f>
        <v>363</v>
      </c>
      <c r="Q28" s="826" t="e">
        <f>$C$62/$B$62</f>
        <v>#VALUE!</v>
      </c>
      <c r="S28" s="140"/>
      <c r="T28" s="791"/>
      <c r="U28" s="791"/>
      <c r="V28" s="141"/>
    </row>
    <row r="29" spans="1:23" ht="30" x14ac:dyDescent="0.25">
      <c r="A29" s="140"/>
      <c r="B29" s="369">
        <v>0</v>
      </c>
      <c r="C29" s="373">
        <f>ROUND(IF(ISERROR(B30-0.01),"",B30-0.01),2)</f>
        <v>-0.01</v>
      </c>
      <c r="D29" s="751">
        <f>Incentives!$I$28</f>
        <v>0</v>
      </c>
      <c r="I29" s="353">
        <v>1</v>
      </c>
      <c r="J29" s="817" t="s">
        <v>771</v>
      </c>
      <c r="K29" s="818">
        <f>IF(B60="YES - Purchase Commitment",Incentives!$M$66,Incentives!$K$66)</f>
        <v>0</v>
      </c>
      <c r="L29" s="141"/>
      <c r="N29" s="824" t="s">
        <v>1190</v>
      </c>
      <c r="O29" s="825">
        <f>P28+1</f>
        <v>364</v>
      </c>
      <c r="P29" s="825">
        <f>O29+370</f>
        <v>734</v>
      </c>
      <c r="Q29" s="826" t="e">
        <f>$C$62/$B$62</f>
        <v>#VALUE!</v>
      </c>
      <c r="S29" s="353">
        <v>2</v>
      </c>
      <c r="T29" s="817" t="s">
        <v>771</v>
      </c>
      <c r="U29" s="818">
        <f>Incentives!$K$83</f>
        <v>3</v>
      </c>
      <c r="V29" s="141"/>
    </row>
    <row r="30" spans="1:23" x14ac:dyDescent="0.25">
      <c r="A30" s="140"/>
      <c r="B30" s="367">
        <f>ROUND(Incentives!$G$29,0)</f>
        <v>0</v>
      </c>
      <c r="C30" s="373">
        <f t="shared" ref="C30:C31" si="1">ROUND(IF(ISERROR(B31-0.01),"",B31-0.01),2)</f>
        <v>-0.01</v>
      </c>
      <c r="D30" s="751">
        <f>Incentives!$I$29</f>
        <v>0.01</v>
      </c>
      <c r="I30" s="931" t="str">
        <f>IF($B$60="YES - Purchase Commitment",3,"")</f>
        <v/>
      </c>
      <c r="J30" s="817" t="str">
        <f>IF($B$60="YES - Purchase Commitment","Min Sales Required","")</f>
        <v/>
      </c>
      <c r="K30" s="819">
        <f>$G$4</f>
        <v>0</v>
      </c>
      <c r="L30" s="141" t="s">
        <v>894</v>
      </c>
      <c r="N30" s="824" t="s">
        <v>1191</v>
      </c>
      <c r="O30" s="825">
        <f>P29+1</f>
        <v>735</v>
      </c>
      <c r="P30" s="825">
        <f>O30+363</f>
        <v>1098</v>
      </c>
      <c r="Q30" s="826" t="e">
        <f>$C$62/$B$62</f>
        <v>#VALUE!</v>
      </c>
      <c r="S30" s="140"/>
      <c r="T30" s="791"/>
      <c r="U30" s="791"/>
      <c r="V30" s="141"/>
    </row>
    <row r="31" spans="1:23" x14ac:dyDescent="0.25">
      <c r="A31" s="140"/>
      <c r="B31" s="367">
        <f>ROUND(Incentives!$G$30,0)</f>
        <v>0</v>
      </c>
      <c r="C31" s="373">
        <f t="shared" si="1"/>
        <v>-0.01</v>
      </c>
      <c r="D31" s="751">
        <f>Incentives!$I$30</f>
        <v>1.4999999999999999E-2</v>
      </c>
      <c r="I31" s="931">
        <f>IF($B$60="YES - Purchase Commitment"," ",3)</f>
        <v>3</v>
      </c>
      <c r="J31" s="817" t="str">
        <f>IF($B$60="YES - Purchase Commitment"," ","Min Sales Required")</f>
        <v>Min Sales Required</v>
      </c>
      <c r="K31" s="819" t="e">
        <f>IF($B$60="YES - Purchase Commitment","",$G$4*$G$5)</f>
        <v>#VALUE!</v>
      </c>
      <c r="L31" s="678" t="s">
        <v>777</v>
      </c>
      <c r="N31" s="824" t="s">
        <v>1192</v>
      </c>
      <c r="O31" s="825">
        <f>P30+1</f>
        <v>1099</v>
      </c>
      <c r="P31" s="825">
        <f>O31+363</f>
        <v>1462</v>
      </c>
      <c r="Q31" s="826" t="e">
        <f>$C$62/$B$62</f>
        <v>#VALUE!</v>
      </c>
      <c r="S31" s="140"/>
      <c r="T31" s="791"/>
      <c r="U31" s="791"/>
      <c r="V31" s="141"/>
    </row>
    <row r="32" spans="1:23" ht="15.75" thickBot="1" x14ac:dyDescent="0.3">
      <c r="A32" s="287"/>
      <c r="B32" s="368">
        <f>ROUND(Incentives!$G$31,0)</f>
        <v>0</v>
      </c>
      <c r="C32" s="341">
        <v>999999.99</v>
      </c>
      <c r="D32" s="750">
        <f>Incentives!$I$31</f>
        <v>0.02</v>
      </c>
      <c r="E32" s="350"/>
      <c r="F32" s="288"/>
      <c r="G32" s="288"/>
      <c r="H32" s="346"/>
      <c r="I32" s="287"/>
      <c r="J32" s="288"/>
      <c r="K32" s="288"/>
      <c r="L32" s="289"/>
      <c r="N32" s="827" t="s">
        <v>1193</v>
      </c>
      <c r="O32" s="828">
        <f>P31+1</f>
        <v>1463</v>
      </c>
      <c r="P32" s="828">
        <f>O32+363</f>
        <v>1826</v>
      </c>
      <c r="Q32" s="829" t="e">
        <f>$C$62/$B$62</f>
        <v>#VALUE!</v>
      </c>
      <c r="S32" s="287"/>
      <c r="T32" s="288"/>
      <c r="U32" s="288"/>
      <c r="V32" s="289"/>
    </row>
    <row r="33" spans="1:22" ht="16.5" thickBot="1" x14ac:dyDescent="0.3">
      <c r="E33" s="905"/>
      <c r="H33" s="834"/>
      <c r="I33" s="1390" t="s">
        <v>770</v>
      </c>
      <c r="J33" s="1391"/>
      <c r="K33" s="1391"/>
      <c r="L33" s="1392"/>
      <c r="M33" s="834"/>
      <c r="N33" s="1378" t="s">
        <v>1086</v>
      </c>
      <c r="O33" s="1379"/>
      <c r="P33" s="1379"/>
      <c r="Q33" s="1380"/>
      <c r="R33" s="834"/>
      <c r="S33" s="1378" t="s">
        <v>1217</v>
      </c>
      <c r="T33" s="1379"/>
      <c r="U33" s="1379"/>
      <c r="V33" s="1380"/>
    </row>
    <row r="34" spans="1:22" ht="15.75" thickBot="1" x14ac:dyDescent="0.3">
      <c r="A34" s="1396" t="s">
        <v>545</v>
      </c>
      <c r="B34" s="1397"/>
      <c r="C34" s="1397"/>
      <c r="D34" s="1398"/>
      <c r="E34" s="315"/>
      <c r="F34" s="138"/>
      <c r="G34" s="138"/>
      <c r="H34" s="316"/>
      <c r="I34" s="1375" t="s">
        <v>773</v>
      </c>
      <c r="J34" s="1376"/>
      <c r="K34" s="1376"/>
      <c r="L34" s="1377"/>
      <c r="M34" s="834"/>
      <c r="N34" s="1381" t="s">
        <v>772</v>
      </c>
      <c r="O34" s="1382"/>
      <c r="P34" s="1382"/>
      <c r="Q34" s="1383"/>
      <c r="R34" s="834"/>
      <c r="S34" s="1387" t="s">
        <v>1225</v>
      </c>
      <c r="T34" s="1388"/>
      <c r="U34" s="1388"/>
      <c r="V34" s="1389"/>
    </row>
    <row r="35" spans="1:22" x14ac:dyDescent="0.25">
      <c r="A35" s="324" t="s">
        <v>750</v>
      </c>
      <c r="B35" s="325">
        <f>$L$4</f>
        <v>0</v>
      </c>
      <c r="C35" s="268" t="s">
        <v>761</v>
      </c>
      <c r="D35" s="329" t="e">
        <f>$S$4</f>
        <v>#VALUE!</v>
      </c>
      <c r="I35" s="358" t="s">
        <v>762</v>
      </c>
      <c r="J35" s="318">
        <f>$L$4</f>
        <v>0</v>
      </c>
      <c r="K35" s="359" t="s">
        <v>763</v>
      </c>
      <c r="L35" s="360" t="e">
        <f>$S$4</f>
        <v>#VALUE!</v>
      </c>
      <c r="N35" s="140" t="s">
        <v>1087</v>
      </c>
      <c r="O35" s="362">
        <f>$L$4</f>
        <v>0</v>
      </c>
      <c r="P35" t="s">
        <v>763</v>
      </c>
      <c r="Q35" s="348" t="e">
        <f>$S$4</f>
        <v>#VALUE!</v>
      </c>
      <c r="S35" s="852" t="s">
        <v>821</v>
      </c>
      <c r="T35" s="858">
        <f>$L$4</f>
        <v>0</v>
      </c>
      <c r="U35" s="860" t="s">
        <v>763</v>
      </c>
      <c r="V35" s="859" t="e">
        <f>$S$4</f>
        <v>#VALUE!</v>
      </c>
    </row>
    <row r="36" spans="1:22" ht="45" x14ac:dyDescent="0.25">
      <c r="A36" s="324" t="s">
        <v>913</v>
      </c>
      <c r="B36" s="325" t="str">
        <f>Incentives!$I$36</f>
        <v>Select Payment Method</v>
      </c>
      <c r="C36" s="268"/>
      <c r="D36" s="329"/>
      <c r="I36" s="324" t="s">
        <v>912</v>
      </c>
      <c r="J36" s="814" t="str">
        <f>Incentives!$I$55</f>
        <v>Select Payment Method</v>
      </c>
      <c r="K36" s="815" t="str">
        <f>IF(J36="Check","Check","Credit Memo")</f>
        <v>Credit Memo</v>
      </c>
      <c r="L36" s="678" t="str">
        <f>Incentives!$K$55</f>
        <v/>
      </c>
      <c r="N36" s="324" t="s">
        <v>912</v>
      </c>
      <c r="O36" s="268" t="str">
        <f>$B$82</f>
        <v>Select Payment Method</v>
      </c>
      <c r="Q36" s="141"/>
      <c r="S36" s="861" t="s">
        <v>1219</v>
      </c>
      <c r="T36" s="862" t="str">
        <f>$B$46</f>
        <v>Select Payment Method</v>
      </c>
      <c r="U36" s="853"/>
      <c r="V36" s="854"/>
    </row>
    <row r="37" spans="1:22" x14ac:dyDescent="0.25">
      <c r="A37" s="852" t="s">
        <v>1216</v>
      </c>
      <c r="B37" s="900" t="str">
        <f>Incentives!$G$36</f>
        <v>Quarterly</v>
      </c>
      <c r="D37" s="141"/>
      <c r="I37" s="763" t="s">
        <v>1216</v>
      </c>
      <c r="J37" s="889" t="str">
        <f>B54</f>
        <v>Quarterly</v>
      </c>
      <c r="K37" s="791"/>
      <c r="L37" s="141"/>
      <c r="N37" s="140"/>
      <c r="Q37" s="141"/>
      <c r="S37" s="852" t="s">
        <v>1220</v>
      </c>
      <c r="T37" s="853" t="str">
        <f>$B$47</f>
        <v>Quarterly</v>
      </c>
      <c r="U37" s="853"/>
      <c r="V37" s="854"/>
    </row>
    <row r="38" spans="1:22" ht="30" x14ac:dyDescent="0.25">
      <c r="A38" s="140"/>
      <c r="B38" s="332" t="s">
        <v>126</v>
      </c>
      <c r="C38" s="332" t="s">
        <v>128</v>
      </c>
      <c r="D38" s="748" t="s">
        <v>533</v>
      </c>
      <c r="I38" s="763">
        <v>3</v>
      </c>
      <c r="J38" s="817" t="s">
        <v>1224</v>
      </c>
      <c r="K38" s="844">
        <f>D55</f>
        <v>0</v>
      </c>
      <c r="L38" s="141"/>
      <c r="N38" s="140"/>
      <c r="O38" t="s">
        <v>771</v>
      </c>
      <c r="P38" s="22">
        <f>D84</f>
        <v>0</v>
      </c>
      <c r="Q38" s="141"/>
      <c r="S38" s="852"/>
      <c r="T38" s="853"/>
      <c r="U38" s="853" t="s">
        <v>1213</v>
      </c>
      <c r="V38" s="864">
        <f>$C$48</f>
        <v>0</v>
      </c>
    </row>
    <row r="39" spans="1:22" x14ac:dyDescent="0.25">
      <c r="A39" s="140"/>
      <c r="B39" s="746">
        <v>0</v>
      </c>
      <c r="C39" s="747">
        <f>IF(ISERROR(B40-0.01),"",(B40-0.0001))</f>
        <v>-1E-4</v>
      </c>
      <c r="D39" s="749">
        <v>0</v>
      </c>
      <c r="I39" s="763">
        <v>4</v>
      </c>
      <c r="J39" s="817" t="s">
        <v>1223</v>
      </c>
      <c r="K39" s="844">
        <f>$C$55</f>
        <v>0</v>
      </c>
      <c r="L39" s="141"/>
      <c r="N39" s="140"/>
      <c r="Q39" s="141"/>
      <c r="S39" s="852"/>
      <c r="T39" s="853"/>
      <c r="U39" s="853" t="s">
        <v>1215</v>
      </c>
      <c r="V39" s="863">
        <f>D48</f>
        <v>0</v>
      </c>
    </row>
    <row r="40" spans="1:22" ht="15.75" thickBot="1" x14ac:dyDescent="0.3">
      <c r="A40" s="140"/>
      <c r="B40" s="336">
        <f>Incentives!$G$40</f>
        <v>0</v>
      </c>
      <c r="C40" s="747" t="str">
        <f>IF(OR(ISERROR(B41-0.01),B41=0),"",(B41-0.0001))</f>
        <v/>
      </c>
      <c r="D40" s="751">
        <f>Incentives!$I$40</f>
        <v>0.01</v>
      </c>
      <c r="F40" s="896"/>
      <c r="G40" s="896"/>
      <c r="I40" s="287"/>
      <c r="J40" s="288"/>
      <c r="K40" s="288"/>
      <c r="L40" s="289"/>
      <c r="N40" s="287"/>
      <c r="O40" s="288"/>
      <c r="P40" s="288"/>
      <c r="Q40" s="289"/>
      <c r="S40" s="855"/>
      <c r="T40" s="856"/>
      <c r="U40" s="856"/>
      <c r="V40" s="857"/>
    </row>
    <row r="41" spans="1:22" ht="16.5" thickBot="1" x14ac:dyDescent="0.3">
      <c r="A41" s="140"/>
      <c r="B41" s="336">
        <f>Incentives!$G$41</f>
        <v>0</v>
      </c>
      <c r="C41" s="747" t="str">
        <f>IF(OR(ISERROR(B42-0.01),B42=0),"",(B42-0.0001))</f>
        <v/>
      </c>
      <c r="D41" s="751">
        <f>Incentives!$I$41</f>
        <v>1.4999999999999999E-2</v>
      </c>
      <c r="F41" s="896"/>
      <c r="G41" s="896"/>
      <c r="H41" s="901"/>
      <c r="I41" s="791"/>
      <c r="N41" s="1361" t="s">
        <v>1267</v>
      </c>
      <c r="O41" s="1362"/>
      <c r="P41" s="1362"/>
      <c r="Q41" s="1363"/>
      <c r="S41" s="1361"/>
      <c r="T41" s="1362"/>
      <c r="U41" s="1362"/>
      <c r="V41" s="1363"/>
    </row>
    <row r="42" spans="1:22" ht="15.75" thickBot="1" x14ac:dyDescent="0.3">
      <c r="A42" s="287"/>
      <c r="B42" s="342">
        <f>Incentives!$G$42</f>
        <v>0</v>
      </c>
      <c r="C42" s="352">
        <v>1</v>
      </c>
      <c r="D42" s="750">
        <f>Incentives!$I$42</f>
        <v>0.02</v>
      </c>
      <c r="E42" s="350"/>
      <c r="F42" s="791"/>
      <c r="G42" s="791"/>
      <c r="H42" s="902"/>
      <c r="I42" s="791"/>
      <c r="N42" s="1387" t="s">
        <v>1268</v>
      </c>
      <c r="O42" s="1388"/>
      <c r="P42" s="1388"/>
      <c r="Q42" s="1389"/>
      <c r="R42" s="952"/>
      <c r="S42" s="1387"/>
      <c r="T42" s="1388"/>
      <c r="U42" s="1388"/>
      <c r="V42" s="1389"/>
    </row>
    <row r="43" spans="1:22" ht="15.75" thickBot="1" x14ac:dyDescent="0.3">
      <c r="E43" s="905"/>
      <c r="F43" s="906"/>
      <c r="G43" s="908"/>
      <c r="H43" s="834"/>
      <c r="I43" s="830"/>
      <c r="J43" s="366" t="s">
        <v>754</v>
      </c>
      <c r="K43" s="831" t="s">
        <v>755</v>
      </c>
      <c r="L43" s="832"/>
      <c r="N43" s="930" t="s">
        <v>762</v>
      </c>
      <c r="O43" s="318">
        <f>$L$4</f>
        <v>0</v>
      </c>
      <c r="P43" s="359" t="s">
        <v>763</v>
      </c>
      <c r="Q43" s="360" t="e">
        <f>$S$4</f>
        <v>#VALUE!</v>
      </c>
      <c r="S43" s="930"/>
      <c r="T43" s="318"/>
      <c r="U43" s="359"/>
      <c r="V43" s="360"/>
    </row>
    <row r="44" spans="1:22" x14ac:dyDescent="0.25">
      <c r="A44" s="1396" t="s">
        <v>1217</v>
      </c>
      <c r="B44" s="1397"/>
      <c r="C44" s="1397"/>
      <c r="D44" s="1398"/>
      <c r="E44" s="315"/>
      <c r="F44" s="791"/>
      <c r="G44" s="791"/>
      <c r="I44" s="903">
        <v>1</v>
      </c>
      <c r="J44" s="293">
        <f>IFERROR('MDA Worksheet'!D95,"")</f>
        <v>0</v>
      </c>
      <c r="K44" s="736" t="str">
        <f>IFERROR('MDA Worksheet'!$K$95,"")</f>
        <v/>
      </c>
      <c r="N44" s="140"/>
      <c r="O44" s="791"/>
      <c r="P44" s="791"/>
      <c r="Q44" s="141"/>
      <c r="S44" s="140"/>
      <c r="T44" s="791"/>
      <c r="U44" s="791"/>
      <c r="V44" s="141"/>
    </row>
    <row r="45" spans="1:22" x14ac:dyDescent="0.25">
      <c r="A45" s="140" t="s">
        <v>760</v>
      </c>
      <c r="B45" s="814">
        <f>$L$4</f>
        <v>0</v>
      </c>
      <c r="C45" s="791"/>
      <c r="D45" s="329" t="e">
        <f>$S$4</f>
        <v>#VALUE!</v>
      </c>
      <c r="I45" s="904">
        <v>2</v>
      </c>
      <c r="J45" s="294">
        <f>IFERROR('MDA Worksheet'!D96,"")</f>
        <v>0</v>
      </c>
      <c r="K45" s="1" t="str">
        <f>IFERROR('MDA Worksheet'!K96,"")</f>
        <v/>
      </c>
      <c r="N45" s="140"/>
      <c r="O45" s="791" t="str">
        <f>B68</f>
        <v>Select Payment Method</v>
      </c>
      <c r="P45" s="791"/>
      <c r="Q45" s="141"/>
      <c r="S45" s="140"/>
      <c r="T45" s="791"/>
      <c r="U45" s="791"/>
      <c r="V45" s="141"/>
    </row>
    <row r="46" spans="1:22" x14ac:dyDescent="0.25">
      <c r="A46" s="875" t="s">
        <v>893</v>
      </c>
      <c r="B46" s="791" t="str">
        <f>Incentives!$I$47</f>
        <v>Select Payment Method</v>
      </c>
      <c r="C46" s="791"/>
      <c r="D46" s="141"/>
      <c r="I46" s="904">
        <v>3</v>
      </c>
      <c r="J46" s="294">
        <f>IFERROR('MDA Worksheet'!D97,"")</f>
        <v>0</v>
      </c>
      <c r="K46" s="1" t="str">
        <f>IFERROR('MDA Worksheet'!K97,"")</f>
        <v/>
      </c>
      <c r="N46" s="140"/>
      <c r="O46" s="791"/>
      <c r="P46" s="791"/>
      <c r="Q46" s="141"/>
      <c r="S46" s="140"/>
      <c r="T46" s="791"/>
      <c r="U46" s="791"/>
      <c r="V46" s="141"/>
    </row>
    <row r="47" spans="1:22" ht="30" x14ac:dyDescent="0.25">
      <c r="A47" s="875" t="s">
        <v>1216</v>
      </c>
      <c r="B47" s="791" t="str">
        <f>Incentives!$G$47</f>
        <v>Quarterly</v>
      </c>
      <c r="C47" s="876" t="s">
        <v>1213</v>
      </c>
      <c r="D47" s="877" t="s">
        <v>1215</v>
      </c>
      <c r="F47" s="896"/>
      <c r="G47" s="896"/>
      <c r="H47" s="902"/>
      <c r="I47" s="904">
        <v>4</v>
      </c>
      <c r="J47" s="294">
        <f>IFERROR('MDA Worksheet'!D98,"")</f>
        <v>0</v>
      </c>
      <c r="K47" s="1" t="str">
        <f>IFERROR('MDA Worksheet'!K98,"")</f>
        <v/>
      </c>
      <c r="N47" s="353">
        <v>1</v>
      </c>
      <c r="O47" s="817" t="s">
        <v>771</v>
      </c>
      <c r="P47" s="954">
        <f>B69</f>
        <v>0</v>
      </c>
      <c r="Q47" s="141"/>
      <c r="S47" s="980"/>
      <c r="T47" s="981"/>
      <c r="U47" s="982"/>
      <c r="V47" s="854"/>
    </row>
    <row r="48" spans="1:22" x14ac:dyDescent="0.25">
      <c r="A48" s="140"/>
      <c r="B48" s="791"/>
      <c r="C48" s="819">
        <f>Incentives!$G$50</f>
        <v>0</v>
      </c>
      <c r="D48" s="753">
        <f>Incentives!$I$50</f>
        <v>0</v>
      </c>
      <c r="H48" s="902"/>
      <c r="I48" s="904">
        <v>5</v>
      </c>
      <c r="J48" s="294">
        <f>IFERROR('MDA Worksheet'!D99,"")</f>
        <v>0</v>
      </c>
      <c r="K48" s="1" t="str">
        <f>IFERROR('MDA Worksheet'!K99,"")</f>
        <v/>
      </c>
      <c r="N48" s="931" t="str">
        <f>IF($B$60="YES - Purchase Commitment",3,"")</f>
        <v/>
      </c>
      <c r="O48" s="817" t="str">
        <f>IF($B$60="YES - Purchase Commitment","Min Sales Required","")</f>
        <v/>
      </c>
      <c r="P48" s="819">
        <f>$G$4</f>
        <v>0</v>
      </c>
      <c r="Q48" s="141" t="s">
        <v>894</v>
      </c>
      <c r="S48" s="983"/>
      <c r="T48" s="981"/>
      <c r="U48" s="984"/>
      <c r="V48" s="854"/>
    </row>
    <row r="49" spans="1:23" ht="30.75" thickBot="1" x14ac:dyDescent="0.3">
      <c r="A49" s="287"/>
      <c r="B49" s="288"/>
      <c r="C49" s="288"/>
      <c r="D49" s="289"/>
      <c r="E49" s="350"/>
      <c r="F49" s="791"/>
      <c r="G49" s="791"/>
      <c r="H49" s="902"/>
      <c r="I49" s="904">
        <v>6</v>
      </c>
      <c r="J49" s="294">
        <f>IFERROR('MDA Worksheet'!D100,"")</f>
        <v>0</v>
      </c>
      <c r="K49" s="1" t="str">
        <f>IFERROR('MDA Worksheet'!K100,"")</f>
        <v/>
      </c>
      <c r="N49" s="953">
        <f>IF($B$60="YES - Purchase Commitment"," ",3)</f>
        <v>3</v>
      </c>
      <c r="O49" s="817" t="str">
        <f>IF($B$60="YES - Purchase Commitment"," ","Min Sales Required")</f>
        <v>Min Sales Required</v>
      </c>
      <c r="P49" s="819" t="e">
        <f>$D$72</f>
        <v>#VALUE!</v>
      </c>
      <c r="Q49" s="678" t="s">
        <v>777</v>
      </c>
      <c r="S49" s="983"/>
      <c r="T49" s="981"/>
      <c r="U49" s="984"/>
      <c r="V49" s="985"/>
    </row>
    <row r="50" spans="1:23" ht="15.75" thickBot="1" x14ac:dyDescent="0.3">
      <c r="A50" s="870"/>
      <c r="B50" s="870"/>
      <c r="C50" s="870"/>
      <c r="D50" s="870"/>
      <c r="E50" s="905"/>
      <c r="F50" s="906"/>
      <c r="G50" s="908"/>
      <c r="H50" s="834"/>
      <c r="I50" s="904">
        <v>7</v>
      </c>
      <c r="J50" s="294">
        <f>IFERROR('MDA Worksheet'!D101,"")</f>
        <v>0</v>
      </c>
      <c r="K50" s="1" t="str">
        <f>IFERROR('MDA Worksheet'!K101,"")</f>
        <v/>
      </c>
      <c r="N50" s="140"/>
      <c r="O50" s="791"/>
      <c r="P50" s="791"/>
      <c r="Q50" s="141"/>
      <c r="S50" s="852"/>
      <c r="T50" s="853"/>
      <c r="U50" s="853"/>
      <c r="V50" s="854"/>
    </row>
    <row r="51" spans="1:23" x14ac:dyDescent="0.25">
      <c r="A51" s="1396" t="s">
        <v>770</v>
      </c>
      <c r="B51" s="1397"/>
      <c r="C51" s="1397"/>
      <c r="D51" s="1398"/>
      <c r="E51" s="315"/>
      <c r="F51" s="791"/>
      <c r="G51" s="791"/>
      <c r="I51" s="904">
        <v>8</v>
      </c>
      <c r="J51" s="294">
        <f>IFERROR('MDA Worksheet'!D102,"")</f>
        <v>0</v>
      </c>
      <c r="K51" s="1" t="str">
        <f>IFERROR('MDA Worksheet'!K102,"")</f>
        <v/>
      </c>
      <c r="N51" s="140" t="s">
        <v>1270</v>
      </c>
      <c r="O51" s="1399" t="str">
        <f>"Amount to be paid to the customer $ "&amp;TEXT(D69,"#,###,###.00")</f>
        <v>Amount to be paid to the customer $ .00</v>
      </c>
      <c r="P51" s="1399"/>
      <c r="Q51" s="1400"/>
      <c r="S51" s="852"/>
      <c r="T51" s="986"/>
      <c r="U51" s="986"/>
      <c r="V51" s="987"/>
    </row>
    <row r="52" spans="1:23" x14ac:dyDescent="0.25">
      <c r="A52" s="324" t="s">
        <v>750</v>
      </c>
      <c r="B52" s="814">
        <f>$L$4</f>
        <v>0</v>
      </c>
      <c r="C52" s="872" t="s">
        <v>761</v>
      </c>
      <c r="D52" s="329" t="e">
        <f>$S$4</f>
        <v>#VALUE!</v>
      </c>
      <c r="E52" s="874"/>
      <c r="I52" s="904">
        <v>9</v>
      </c>
      <c r="J52" s="294">
        <f>IFERROR('MDA Worksheet'!D103,"")</f>
        <v>0</v>
      </c>
      <c r="K52" s="1" t="str">
        <f>IFERROR('MDA Worksheet'!K103,"")</f>
        <v/>
      </c>
      <c r="N52" s="140"/>
      <c r="O52" s="1399" t="str">
        <f>"Claw Back Amount $ "&amp;TEXT(D71,"#,###,###.00")</f>
        <v>Claw Back Amount $ .00</v>
      </c>
      <c r="P52" s="1399"/>
      <c r="Q52" s="1400"/>
      <c r="S52" s="852"/>
      <c r="T52" s="986"/>
      <c r="U52" s="986"/>
      <c r="V52" s="987"/>
    </row>
    <row r="53" spans="1:23" ht="15.75" thickBot="1" x14ac:dyDescent="0.3">
      <c r="A53" s="140" t="s">
        <v>893</v>
      </c>
      <c r="B53" s="791" t="str">
        <f>Incentives!$I$55</f>
        <v>Select Payment Method</v>
      </c>
      <c r="C53" s="791"/>
      <c r="D53" s="141"/>
      <c r="H53" s="902"/>
      <c r="I53" s="529">
        <v>10</v>
      </c>
      <c r="J53" s="296">
        <f>IFERROR('MDA Worksheet'!D104,"")</f>
        <v>0</v>
      </c>
      <c r="K53" s="33" t="str">
        <f>IFERROR('MDA Worksheet'!K104,"")</f>
        <v/>
      </c>
      <c r="L53" s="288"/>
      <c r="M53" s="346"/>
      <c r="N53" s="287"/>
      <c r="O53" s="955"/>
      <c r="P53" s="955"/>
      <c r="Q53" s="956"/>
      <c r="R53" s="346"/>
      <c r="S53" s="855"/>
      <c r="T53" s="988"/>
      <c r="U53" s="988"/>
      <c r="V53" s="989"/>
    </row>
    <row r="54" spans="1:23" x14ac:dyDescent="0.25">
      <c r="A54" s="140" t="s">
        <v>1216</v>
      </c>
      <c r="B54" s="889" t="str">
        <f>Incentives!$G$55</f>
        <v>Quarterly</v>
      </c>
      <c r="C54" s="332" t="s">
        <v>533</v>
      </c>
      <c r="D54" s="873" t="s">
        <v>232</v>
      </c>
      <c r="H54" s="902"/>
    </row>
    <row r="55" spans="1:23" ht="15.75" thickBot="1" x14ac:dyDescent="0.3">
      <c r="A55" s="287"/>
      <c r="B55" s="288"/>
      <c r="C55" s="846">
        <f>Incentives!$K$58</f>
        <v>0</v>
      </c>
      <c r="D55" s="750">
        <f>Incentives!$G$58</f>
        <v>0</v>
      </c>
      <c r="F55" s="791"/>
      <c r="G55" s="791"/>
      <c r="H55" s="902"/>
    </row>
    <row r="56" spans="1:23" ht="15.75" thickBot="1" x14ac:dyDescent="0.3">
      <c r="E56" s="905"/>
      <c r="F56" s="906"/>
      <c r="G56" s="908"/>
      <c r="H56" s="834"/>
    </row>
    <row r="57" spans="1:23" x14ac:dyDescent="0.25">
      <c r="A57" s="1396" t="s">
        <v>1205</v>
      </c>
      <c r="B57" s="1397"/>
      <c r="C57" s="1397"/>
      <c r="D57" s="1398"/>
      <c r="F57" s="791"/>
      <c r="G57" s="791"/>
    </row>
    <row r="58" spans="1:23" x14ac:dyDescent="0.25">
      <c r="A58" s="324" t="s">
        <v>750</v>
      </c>
      <c r="B58" s="814">
        <f>$L$4</f>
        <v>0</v>
      </c>
      <c r="C58" s="872" t="s">
        <v>761</v>
      </c>
      <c r="D58" s="329" t="e">
        <f>$S$4</f>
        <v>#VALUE!</v>
      </c>
      <c r="E58" s="874"/>
    </row>
    <row r="59" spans="1:23" x14ac:dyDescent="0.25">
      <c r="A59" s="140" t="s">
        <v>893</v>
      </c>
      <c r="B59" s="791" t="str">
        <f>Incentives!$I$63</f>
        <v>Select Payment Method</v>
      </c>
      <c r="C59" s="791"/>
      <c r="D59" s="141"/>
      <c r="H59" s="902"/>
    </row>
    <row r="60" spans="1:23" x14ac:dyDescent="0.25">
      <c r="A60" s="140" t="s">
        <v>1165</v>
      </c>
      <c r="B60" s="791" t="str">
        <f>Incentives!G63</f>
        <v>NO</v>
      </c>
      <c r="C60" s="791"/>
      <c r="D60" s="141"/>
    </row>
    <row r="61" spans="1:23" x14ac:dyDescent="0.25">
      <c r="A61" s="140"/>
      <c r="B61" s="944" t="s">
        <v>1265</v>
      </c>
      <c r="C61" s="944" t="s">
        <v>771</v>
      </c>
      <c r="D61" s="873" t="s">
        <v>817</v>
      </c>
      <c r="F61" s="791"/>
      <c r="G61" s="791"/>
    </row>
    <row r="62" spans="1:23" s="921" customFormat="1" x14ac:dyDescent="0.25">
      <c r="A62" s="852"/>
      <c r="B62" s="942" t="str">
        <f>IF(B60="No","",Welcome!D12)</f>
        <v/>
      </c>
      <c r="C62" s="949">
        <f>IF($B$60="YES - Purchase Commitment",Incentives!$K$66/$G$5,Incentives!$K$66)</f>
        <v>0</v>
      </c>
      <c r="D62" s="950">
        <f>$G$4</f>
        <v>0</v>
      </c>
      <c r="E62" s="307"/>
      <c r="F62" s="791"/>
      <c r="G62" s="791"/>
      <c r="H62" s="308"/>
      <c r="M62" s="308"/>
      <c r="R62" s="308"/>
      <c r="W62" s="308"/>
    </row>
    <row r="63" spans="1:23" s="921" customFormat="1" x14ac:dyDescent="0.25">
      <c r="A63" s="852"/>
      <c r="B63" s="853"/>
      <c r="C63" s="934"/>
      <c r="D63" s="951" t="s">
        <v>1266</v>
      </c>
      <c r="E63" s="307"/>
      <c r="F63" s="791"/>
      <c r="G63" s="791"/>
      <c r="H63" s="308"/>
      <c r="M63" s="308"/>
      <c r="R63" s="308"/>
      <c r="W63" s="308"/>
    </row>
    <row r="64" spans="1:23" s="921" customFormat="1" x14ac:dyDescent="0.25">
      <c r="A64" s="852"/>
      <c r="B64" s="853"/>
      <c r="C64" s="934"/>
      <c r="D64" s="751" t="e">
        <f>Incentives!$K$66/(Incentives!$G$5*Incentives!$G$4)</f>
        <v>#VALUE!</v>
      </c>
      <c r="E64" s="307"/>
      <c r="F64" s="791"/>
      <c r="G64" s="791"/>
      <c r="H64" s="308"/>
      <c r="M64" s="308"/>
      <c r="R64" s="308"/>
      <c r="W64" s="308"/>
    </row>
    <row r="65" spans="1:23" ht="15.75" thickBot="1" x14ac:dyDescent="0.3">
      <c r="A65" s="287"/>
      <c r="B65" s="288"/>
      <c r="C65" s="288"/>
      <c r="D65" s="289"/>
      <c r="F65" s="791"/>
      <c r="G65" s="791"/>
      <c r="I65" s="921"/>
    </row>
    <row r="66" spans="1:23" s="916" customFormat="1" ht="15.75" thickBot="1" x14ac:dyDescent="0.3">
      <c r="A66" s="1396" t="s">
        <v>1252</v>
      </c>
      <c r="B66" s="1397"/>
      <c r="C66" s="1397"/>
      <c r="D66" s="1398"/>
      <c r="E66" s="905"/>
      <c r="F66" s="906"/>
      <c r="G66" s="908"/>
      <c r="H66" s="834"/>
      <c r="I66"/>
      <c r="M66" s="308"/>
      <c r="R66" s="308"/>
      <c r="W66" s="308"/>
    </row>
    <row r="67" spans="1:23" s="916" customFormat="1" x14ac:dyDescent="0.25">
      <c r="A67" s="317" t="s">
        <v>750</v>
      </c>
      <c r="B67" s="318">
        <f>$L$4</f>
        <v>0</v>
      </c>
      <c r="C67" s="319" t="s">
        <v>761</v>
      </c>
      <c r="D67" s="323" t="e">
        <f>$S$4</f>
        <v>#VALUE!</v>
      </c>
      <c r="E67" s="874"/>
      <c r="F67" s="791"/>
      <c r="G67" s="791"/>
      <c r="H67" s="902"/>
      <c r="M67" s="308"/>
      <c r="R67" s="308"/>
      <c r="W67" s="308"/>
    </row>
    <row r="68" spans="1:23" s="916" customFormat="1" x14ac:dyDescent="0.25">
      <c r="A68" s="140" t="s">
        <v>893</v>
      </c>
      <c r="B68" s="923" t="str">
        <f>Incentives!$I$71</f>
        <v>Select Payment Method</v>
      </c>
      <c r="C68" s="791"/>
      <c r="D68" s="141"/>
      <c r="E68" s="874"/>
      <c r="F68" s="791"/>
      <c r="G68" s="791"/>
      <c r="H68" s="902"/>
      <c r="M68" s="308"/>
      <c r="R68" s="308"/>
      <c r="W68" s="308"/>
    </row>
    <row r="69" spans="1:23" s="916" customFormat="1" x14ac:dyDescent="0.25">
      <c r="A69" s="945" t="s">
        <v>1263</v>
      </c>
      <c r="B69" s="936">
        <f>Incentives!$M$71</f>
        <v>0</v>
      </c>
      <c r="C69" s="946" t="s">
        <v>1259</v>
      </c>
      <c r="D69" s="939">
        <f>Incentives!$G$71</f>
        <v>0</v>
      </c>
      <c r="E69" s="874"/>
      <c r="F69" s="791"/>
      <c r="G69" s="791"/>
      <c r="H69" s="902"/>
      <c r="M69" s="308"/>
      <c r="R69" s="308"/>
      <c r="W69" s="308"/>
    </row>
    <row r="70" spans="1:23" s="916" customFormat="1" x14ac:dyDescent="0.25">
      <c r="A70" s="945" t="s">
        <v>1260</v>
      </c>
      <c r="B70" s="937">
        <f>Incentives!$G$75</f>
        <v>0</v>
      </c>
      <c r="C70" s="947" t="s">
        <v>813</v>
      </c>
      <c r="D70" s="940">
        <f>Incentives!$I$75</f>
        <v>0</v>
      </c>
      <c r="E70" s="874"/>
      <c r="F70" s="791"/>
      <c r="G70" s="791"/>
      <c r="H70" s="902"/>
      <c r="M70" s="308"/>
      <c r="R70" s="308"/>
      <c r="W70" s="308"/>
    </row>
    <row r="71" spans="1:23" s="921" customFormat="1" x14ac:dyDescent="0.25">
      <c r="A71" s="945" t="s">
        <v>1261</v>
      </c>
      <c r="B71" s="938">
        <f>Incentives!$K$75</f>
        <v>0</v>
      </c>
      <c r="C71" s="947" t="s">
        <v>1262</v>
      </c>
      <c r="D71" s="939">
        <f>Incentives!$K$71</f>
        <v>0</v>
      </c>
      <c r="E71" s="874"/>
      <c r="F71" s="791"/>
      <c r="G71" s="791"/>
      <c r="H71" s="902"/>
      <c r="M71" s="308"/>
      <c r="R71" s="308"/>
      <c r="W71" s="308"/>
    </row>
    <row r="72" spans="1:23" s="916" customFormat="1" ht="15.75" thickBot="1" x14ac:dyDescent="0.3">
      <c r="A72" s="287"/>
      <c r="B72" s="288"/>
      <c r="C72" s="948" t="s">
        <v>1264</v>
      </c>
      <c r="D72" s="941" t="e">
        <f>Incentives!$G$5*Incentives!$G$4</f>
        <v>#VALUE!</v>
      </c>
      <c r="E72" s="874"/>
      <c r="F72" s="791"/>
      <c r="G72" s="791"/>
      <c r="H72" s="902"/>
      <c r="M72" s="308"/>
      <c r="R72" s="308"/>
      <c r="W72" s="308"/>
    </row>
    <row r="73" spans="1:23" ht="15.75" thickBot="1" x14ac:dyDescent="0.3">
      <c r="A73" s="916"/>
      <c r="B73" s="916"/>
      <c r="C73" s="916"/>
      <c r="D73" s="916"/>
      <c r="E73" s="874"/>
      <c r="F73" s="791"/>
      <c r="G73" s="791"/>
      <c r="H73" s="902"/>
      <c r="I73" s="916"/>
    </row>
    <row r="74" spans="1:23" x14ac:dyDescent="0.25">
      <c r="A74" s="1396" t="str">
        <f>Incentives!G80</f>
        <v>CHECK Business Tools (General)</v>
      </c>
      <c r="B74" s="1397"/>
      <c r="C74" s="1397"/>
      <c r="D74" s="1397"/>
      <c r="E74" s="874"/>
      <c r="F74" s="791"/>
      <c r="G74" s="791"/>
      <c r="H74" s="902"/>
    </row>
    <row r="75" spans="1:23" x14ac:dyDescent="0.25">
      <c r="A75" s="324" t="s">
        <v>750</v>
      </c>
      <c r="B75" s="325">
        <f>$L$4</f>
        <v>0</v>
      </c>
      <c r="C75" s="268" t="s">
        <v>761</v>
      </c>
      <c r="D75" s="325" t="e">
        <f>$S$4</f>
        <v>#VALUE!</v>
      </c>
    </row>
    <row r="76" spans="1:23" x14ac:dyDescent="0.25">
      <c r="A76" s="140" t="s">
        <v>893</v>
      </c>
      <c r="B76" t="str">
        <f>Incentives!$I$80</f>
        <v>Select Payment Method</v>
      </c>
    </row>
    <row r="77" spans="1:23" x14ac:dyDescent="0.25">
      <c r="A77" s="140"/>
      <c r="C77" s="1" t="s">
        <v>817</v>
      </c>
      <c r="D77" s="1" t="s">
        <v>771</v>
      </c>
    </row>
    <row r="78" spans="1:23" ht="15.75" thickBot="1" x14ac:dyDescent="0.3">
      <c r="A78" s="287"/>
      <c r="B78" s="288"/>
      <c r="C78" s="365">
        <f>Incentives!$H$9</f>
        <v>0</v>
      </c>
      <c r="D78" s="340">
        <f>Incentives!$K$83</f>
        <v>3</v>
      </c>
    </row>
    <row r="79" spans="1:23" ht="15.75" thickBot="1" x14ac:dyDescent="0.3"/>
    <row r="80" spans="1:23" ht="15.75" thickBot="1" x14ac:dyDescent="0.3">
      <c r="A80" s="1396" t="s">
        <v>1083</v>
      </c>
      <c r="B80" s="1397"/>
      <c r="C80" s="1397"/>
      <c r="D80" s="1398"/>
      <c r="E80" s="905"/>
      <c r="F80" s="906"/>
      <c r="G80" s="907"/>
      <c r="H80" s="909"/>
    </row>
    <row r="81" spans="1:4" x14ac:dyDescent="0.25">
      <c r="A81" s="140" t="s">
        <v>750</v>
      </c>
      <c r="B81" s="791"/>
      <c r="C81" s="791" t="s">
        <v>752</v>
      </c>
      <c r="D81" s="141"/>
    </row>
    <row r="82" spans="1:4" x14ac:dyDescent="0.25">
      <c r="A82" s="140" t="s">
        <v>913</v>
      </c>
      <c r="B82" s="791" t="str">
        <f>Incentives!$I$88</f>
        <v>Select Payment Method</v>
      </c>
      <c r="C82" s="791"/>
      <c r="D82" s="141"/>
    </row>
    <row r="83" spans="1:4" x14ac:dyDescent="0.25">
      <c r="A83" s="140"/>
      <c r="B83" s="791"/>
      <c r="C83" s="897"/>
      <c r="D83" s="899" t="s">
        <v>771</v>
      </c>
    </row>
    <row r="84" spans="1:4" ht="15.75" thickBot="1" x14ac:dyDescent="0.3">
      <c r="A84" s="287"/>
      <c r="B84" s="288"/>
      <c r="C84" s="898"/>
      <c r="D84" s="913">
        <f>Incentives!$G$91</f>
        <v>0</v>
      </c>
    </row>
  </sheetData>
  <sheetProtection algorithmName="SHA-512" hashValue="H+c/0t5ue1Z5KW4+DVKgaJO/l1FWDpyWCfDFlKh6GPSB5nW6N6sL2JmEamY5RGT9o/nBS3CkEJsqIwjNyITr9g==" saltValue="IRvFgSGJ3b/brOK2Zellng==" spinCount="100000" sheet="1" objects="1" scenarios="1"/>
  <mergeCells count="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58"/>
      <c r="C1" s="138"/>
      <c r="D1" s="138"/>
      <c r="E1" s="138"/>
      <c r="F1" s="138"/>
      <c r="G1" s="138"/>
      <c r="H1" s="138"/>
      <c r="I1" s="138"/>
      <c r="J1" s="138"/>
      <c r="K1" s="138"/>
      <c r="L1" s="138"/>
      <c r="M1" s="138"/>
      <c r="N1" s="138"/>
      <c r="O1" s="138"/>
      <c r="P1" s="138"/>
      <c r="Q1" s="138"/>
      <c r="R1" s="138"/>
      <c r="S1" s="138"/>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361"/>
    </row>
    <row r="2" spans="2:68" ht="36" x14ac:dyDescent="0.55000000000000004">
      <c r="B2" s="1487" t="s">
        <v>740</v>
      </c>
      <c r="C2" s="1488"/>
      <c r="D2" s="1488"/>
      <c r="E2" s="1488"/>
      <c r="F2" s="1488"/>
      <c r="G2" s="1488"/>
      <c r="H2" s="1488"/>
      <c r="I2" s="1488"/>
      <c r="J2" s="1488"/>
      <c r="K2" s="1488"/>
      <c r="L2" s="1488"/>
      <c r="M2" s="1488"/>
      <c r="N2" s="1488"/>
      <c r="O2" s="1488"/>
      <c r="P2" s="1488"/>
      <c r="Q2" s="1488"/>
      <c r="R2" s="1488"/>
      <c r="S2" s="1488"/>
      <c r="T2" s="1488"/>
      <c r="U2" s="1488"/>
      <c r="V2" s="1488"/>
      <c r="W2" s="1488"/>
      <c r="X2" s="1488"/>
      <c r="Y2" s="1488"/>
      <c r="Z2" s="1488"/>
      <c r="AA2" s="1488"/>
      <c r="AB2" s="1488"/>
      <c r="AC2" s="1488"/>
      <c r="AD2" s="1488"/>
      <c r="AE2" s="1488"/>
      <c r="AF2" s="1488"/>
      <c r="AG2" s="1488"/>
      <c r="AH2" s="1488"/>
      <c r="AI2" s="1488"/>
      <c r="AJ2" s="1488"/>
      <c r="AK2" s="1488"/>
      <c r="AL2" s="1488"/>
      <c r="AM2" s="1488"/>
      <c r="AN2" s="1488"/>
      <c r="AO2" s="1488"/>
      <c r="AP2" s="1488"/>
      <c r="AQ2" s="1488"/>
      <c r="AR2" s="1488"/>
      <c r="AS2" s="1488"/>
      <c r="AT2" s="1488"/>
      <c r="AU2" s="1488"/>
      <c r="AV2" s="1488"/>
      <c r="AW2" s="1488"/>
      <c r="AX2" s="1488"/>
      <c r="AY2" s="1488"/>
      <c r="AZ2" s="1488"/>
      <c r="BA2" s="1488"/>
      <c r="BB2" s="1488"/>
      <c r="BC2" s="1488"/>
      <c r="BD2" s="1488"/>
      <c r="BE2" s="1488"/>
      <c r="BF2" s="1489"/>
    </row>
    <row r="3" spans="2:68" x14ac:dyDescent="0.25">
      <c r="B3" s="1490"/>
      <c r="C3" s="1455"/>
      <c r="D3" s="1455"/>
      <c r="E3" s="1455"/>
      <c r="F3" s="1455"/>
      <c r="G3" s="1455"/>
      <c r="H3" s="1455"/>
      <c r="I3" s="1455"/>
      <c r="J3" s="1455"/>
      <c r="K3" s="1455"/>
      <c r="L3" s="1455"/>
      <c r="M3" s="1455"/>
      <c r="N3" s="1455"/>
      <c r="O3" s="1455"/>
      <c r="P3" s="1455"/>
      <c r="Q3" s="1455"/>
      <c r="R3" s="1455"/>
      <c r="S3" s="1455"/>
      <c r="T3" s="1455"/>
      <c r="U3" s="1455"/>
      <c r="V3" s="1455"/>
      <c r="W3" s="1455"/>
      <c r="X3" s="1455"/>
      <c r="Y3" s="1455"/>
      <c r="Z3" s="1455"/>
      <c r="AA3" s="1455"/>
      <c r="AB3" s="1455"/>
      <c r="AC3" s="1455"/>
      <c r="AD3" s="1455"/>
      <c r="AE3" s="1455"/>
      <c r="AF3" s="1455"/>
      <c r="AG3" s="1455"/>
      <c r="AH3" s="1455"/>
      <c r="AI3" s="1455"/>
      <c r="AJ3" s="1455"/>
      <c r="AK3" s="1455"/>
      <c r="AL3" s="1455"/>
      <c r="AM3" s="1455"/>
      <c r="AN3" s="1455"/>
      <c r="AO3" s="1455"/>
      <c r="AP3" s="1455"/>
      <c r="AQ3" s="1455"/>
      <c r="AR3" s="1455"/>
      <c r="AS3" s="1455"/>
      <c r="AT3" s="1455"/>
      <c r="AU3" s="1455"/>
      <c r="AV3" s="1455"/>
      <c r="AW3" s="1455"/>
      <c r="AX3" s="1455"/>
      <c r="AY3" s="1455"/>
      <c r="AZ3" s="1455"/>
      <c r="BA3" s="1455"/>
      <c r="BB3" s="1455"/>
      <c r="BC3" s="1455"/>
      <c r="BD3" s="1455"/>
      <c r="BE3" s="1455"/>
      <c r="BF3" s="1491"/>
    </row>
    <row r="4" spans="2:68" x14ac:dyDescent="0.25">
      <c r="B4" s="140"/>
      <c r="BF4" s="141"/>
    </row>
    <row r="5" spans="2:68" x14ac:dyDescent="0.25">
      <c r="B5" s="140"/>
      <c r="BF5" s="141"/>
    </row>
    <row r="6" spans="2:68" x14ac:dyDescent="0.25">
      <c r="B6" s="140"/>
      <c r="BF6" s="141"/>
    </row>
    <row r="7" spans="2:68" x14ac:dyDescent="0.25">
      <c r="B7" s="140"/>
      <c r="BF7" s="141"/>
    </row>
    <row r="8" spans="2:68" ht="18.75" x14ac:dyDescent="0.3">
      <c r="B8" s="1471" t="s">
        <v>667</v>
      </c>
      <c r="C8" s="1472"/>
      <c r="D8" s="1472"/>
      <c r="E8" s="1472"/>
      <c r="F8" s="1472"/>
      <c r="G8" s="1472"/>
      <c r="H8" s="1472"/>
      <c r="I8" s="1472"/>
      <c r="J8" s="1472"/>
      <c r="K8" s="1472"/>
      <c r="L8" s="1472"/>
      <c r="M8" s="1472"/>
      <c r="N8" s="1472"/>
      <c r="O8" s="1472"/>
      <c r="P8" s="1472"/>
      <c r="Q8" s="1472"/>
      <c r="R8" s="1472"/>
      <c r="S8" s="1472"/>
      <c r="T8" s="1472"/>
      <c r="U8" s="1472"/>
      <c r="V8" s="1472"/>
      <c r="W8" s="1472"/>
      <c r="X8" s="1472"/>
      <c r="Y8" s="1472"/>
      <c r="Z8" s="1472"/>
      <c r="AA8" s="1472"/>
      <c r="AB8" s="1472"/>
      <c r="AC8" s="1472"/>
      <c r="AD8" s="1472"/>
      <c r="AE8" s="1472"/>
      <c r="AF8" s="1472"/>
      <c r="AG8" s="1472"/>
      <c r="AH8" s="1472"/>
      <c r="AI8" s="1472"/>
      <c r="AJ8" s="1472"/>
      <c r="AK8" s="1472"/>
      <c r="AL8" s="1472"/>
      <c r="AM8" s="1472"/>
      <c r="AN8" s="1472"/>
      <c r="AO8" s="1472"/>
      <c r="AP8" s="1472"/>
      <c r="AQ8" s="1472"/>
      <c r="AR8" s="1472"/>
      <c r="AS8" s="1472"/>
      <c r="AT8" s="1472"/>
      <c r="AU8" s="1472"/>
      <c r="AV8" s="1472"/>
      <c r="AW8" s="1472"/>
      <c r="AX8" s="1472"/>
      <c r="AY8" s="1472"/>
      <c r="AZ8" s="1472"/>
      <c r="BA8" s="1472"/>
      <c r="BB8" s="1472"/>
      <c r="BC8" s="1472"/>
      <c r="BD8" s="1472"/>
      <c r="BE8" s="1472"/>
      <c r="BF8" s="1473"/>
    </row>
    <row r="9" spans="2:68" x14ac:dyDescent="0.25">
      <c r="B9" s="716"/>
      <c r="C9" s="295"/>
      <c r="D9" s="295"/>
      <c r="E9" s="295"/>
      <c r="F9" s="295"/>
      <c r="G9" s="295"/>
      <c r="H9" s="295"/>
      <c r="I9" s="295"/>
      <c r="J9" s="295"/>
      <c r="K9" s="295"/>
      <c r="L9" s="295"/>
      <c r="M9" s="295"/>
      <c r="N9" s="295"/>
      <c r="O9" s="295"/>
      <c r="P9" s="295"/>
      <c r="Q9" s="295"/>
      <c r="R9" s="295"/>
      <c r="S9" s="295"/>
      <c r="T9" s="295"/>
      <c r="U9" s="295"/>
      <c r="V9" s="295"/>
      <c r="W9" s="295"/>
      <c r="X9" s="295"/>
      <c r="Y9" s="295"/>
      <c r="Z9" s="295"/>
      <c r="AA9" s="295"/>
      <c r="AB9" s="295"/>
      <c r="AC9" s="295"/>
      <c r="AD9" s="295"/>
      <c r="AE9" s="295"/>
      <c r="AF9" s="295"/>
      <c r="AG9" s="295"/>
      <c r="AH9" s="295"/>
      <c r="AI9" s="295"/>
      <c r="AJ9" s="295"/>
      <c r="AK9" s="295"/>
      <c r="AL9" s="292"/>
      <c r="AM9" s="292"/>
      <c r="AN9" s="292"/>
      <c r="AO9" s="292"/>
      <c r="AP9" s="292"/>
      <c r="AQ9" s="292"/>
      <c r="AR9" s="292"/>
      <c r="AS9" s="292"/>
      <c r="AT9" s="292"/>
      <c r="AU9" s="292"/>
      <c r="AV9" s="292"/>
      <c r="AW9" s="292"/>
      <c r="AX9" s="292"/>
      <c r="AY9" s="292"/>
      <c r="AZ9" s="292"/>
      <c r="BA9" s="292"/>
      <c r="BB9" s="292"/>
      <c r="BC9" s="295"/>
      <c r="BD9" s="295"/>
      <c r="BE9" s="295"/>
      <c r="BF9" s="717"/>
    </row>
    <row r="10" spans="2:68" x14ac:dyDescent="0.25">
      <c r="B10" s="1467" t="s">
        <v>901</v>
      </c>
      <c r="C10" s="1354"/>
      <c r="D10" s="1354"/>
      <c r="E10" s="1354"/>
      <c r="F10" s="1354"/>
      <c r="G10" s="1354"/>
      <c r="H10" s="1354"/>
      <c r="I10" s="1354"/>
      <c r="J10" s="1354"/>
      <c r="K10" s="1463">
        <f>'Tracking &amp; Profitability'!$H$5</f>
        <v>0</v>
      </c>
      <c r="L10" s="1463"/>
      <c r="M10" s="1463"/>
      <c r="N10" s="1463"/>
      <c r="O10" s="1463"/>
      <c r="P10" s="1463"/>
      <c r="Q10" s="1463"/>
      <c r="R10" s="1463"/>
      <c r="S10" s="1463"/>
      <c r="T10" s="1463"/>
      <c r="U10" s="1463"/>
      <c r="V10" s="1463"/>
      <c r="W10" s="1463"/>
      <c r="X10" s="1463"/>
      <c r="Y10" s="1463"/>
      <c r="Z10" s="1463"/>
      <c r="AA10" s="1463"/>
      <c r="AB10" s="1463"/>
      <c r="AC10" s="1463"/>
      <c r="AD10" s="1463"/>
      <c r="AE10" s="1463"/>
      <c r="AI10" s="1354" t="s">
        <v>739</v>
      </c>
      <c r="AJ10" s="1354"/>
      <c r="AK10" s="1354"/>
      <c r="AL10" s="1354"/>
      <c r="AM10" s="1354"/>
      <c r="AN10" s="1354"/>
      <c r="AO10" s="1354"/>
      <c r="AP10" s="1354"/>
      <c r="AQ10" s="1354"/>
      <c r="AR10" s="1354"/>
      <c r="AT10" s="1482"/>
      <c r="AU10" s="1482"/>
      <c r="AV10" s="1482"/>
      <c r="AW10" s="1482"/>
      <c r="AX10" s="1482"/>
      <c r="AY10" s="1482"/>
      <c r="AZ10" s="1482"/>
      <c r="BA10" s="1482"/>
      <c r="BB10" s="1482"/>
      <c r="BC10" s="1482"/>
      <c r="BD10" s="1482"/>
      <c r="BF10" s="141"/>
    </row>
    <row r="11" spans="2:68" x14ac:dyDescent="0.25">
      <c r="B11" s="140"/>
      <c r="AL11" s="2"/>
      <c r="AM11" s="2"/>
      <c r="AN11" s="2"/>
      <c r="AO11" s="2"/>
      <c r="AP11" s="2"/>
      <c r="AQ11" s="2"/>
      <c r="AR11" s="2"/>
      <c r="AS11" s="2"/>
      <c r="AT11" s="2"/>
      <c r="AU11" s="2"/>
      <c r="AV11" s="2"/>
      <c r="BF11" s="141"/>
    </row>
    <row r="12" spans="2:68" x14ac:dyDescent="0.25">
      <c r="B12" s="1466" t="s">
        <v>902</v>
      </c>
      <c r="C12" s="1459"/>
      <c r="D12" s="1459"/>
      <c r="E12" s="1459"/>
      <c r="F12" s="1459"/>
      <c r="G12" s="1459"/>
      <c r="H12" s="1459"/>
      <c r="I12" s="1459"/>
      <c r="J12" s="1459"/>
      <c r="K12" s="1438">
        <f>'Required Info to Submit'!$F$4</f>
        <v>0</v>
      </c>
      <c r="L12" s="1438"/>
      <c r="M12" s="1438"/>
      <c r="N12" s="1438"/>
      <c r="O12" s="1438"/>
      <c r="P12" s="1438"/>
      <c r="Q12" s="1438"/>
      <c r="R12" s="1438"/>
      <c r="S12" s="1438"/>
      <c r="T12" s="1438"/>
      <c r="U12" s="1438"/>
      <c r="V12" s="1438"/>
      <c r="W12" s="1438"/>
      <c r="X12" s="1438"/>
      <c r="Y12" s="1438"/>
      <c r="Z12" s="1438"/>
      <c r="AA12" s="1438"/>
      <c r="AB12" s="1438"/>
      <c r="AC12" s="1438"/>
      <c r="AD12" s="1438"/>
      <c r="AE12" s="1438"/>
      <c r="AL12" s="2"/>
      <c r="AM12" s="2"/>
      <c r="AN12" s="2"/>
      <c r="AO12" s="2"/>
      <c r="AP12" s="2"/>
      <c r="AQ12" s="2"/>
      <c r="AR12" s="2"/>
      <c r="AS12" s="2"/>
      <c r="AT12" s="2"/>
      <c r="AU12" s="2"/>
      <c r="AV12" s="2"/>
      <c r="BF12" s="141"/>
    </row>
    <row r="13" spans="2:68" x14ac:dyDescent="0.25">
      <c r="B13" s="140"/>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1"/>
    </row>
    <row r="14" spans="2:68" x14ac:dyDescent="0.25">
      <c r="B14" s="1466" t="s">
        <v>924</v>
      </c>
      <c r="C14" s="1459"/>
      <c r="D14" s="1459"/>
      <c r="E14" s="1459"/>
      <c r="F14" s="1459"/>
      <c r="G14" s="1459"/>
      <c r="H14" s="1459"/>
      <c r="I14" s="1459"/>
      <c r="J14" s="1459"/>
      <c r="K14" s="1459"/>
      <c r="L14" s="1459"/>
      <c r="M14" s="1459"/>
      <c r="N14" s="1459"/>
      <c r="O14" s="1459"/>
      <c r="P14" s="1459"/>
      <c r="Q14" s="1459"/>
      <c r="R14" s="1477">
        <f>'Required Info to Submit'!$F$6</f>
        <v>0</v>
      </c>
      <c r="S14" s="1477"/>
      <c r="T14" s="1477"/>
      <c r="U14" s="1477"/>
      <c r="V14" s="1477"/>
      <c r="W14" s="1477"/>
      <c r="X14" s="1477"/>
      <c r="Y14" s="1477"/>
      <c r="Z14" s="1477"/>
      <c r="AA14" s="1477"/>
      <c r="AB14" s="1477"/>
      <c r="AC14" s="1477"/>
      <c r="AD14" s="1477"/>
      <c r="AE14" s="1477"/>
      <c r="AF14" s="1477"/>
      <c r="AG14" s="1477"/>
      <c r="AH14" s="1477"/>
      <c r="AI14" s="1477"/>
      <c r="AJ14" s="1477"/>
      <c r="AK14" s="1477"/>
      <c r="AL14" s="1477"/>
      <c r="AM14" s="1477"/>
      <c r="AN14" s="1477"/>
      <c r="AO14" s="1477"/>
      <c r="AP14" s="1477"/>
      <c r="AQ14" s="1477"/>
      <c r="AR14" s="1477"/>
      <c r="AS14" s="1477"/>
      <c r="AT14" s="1477"/>
      <c r="AU14" s="1477"/>
      <c r="AV14" s="1477"/>
      <c r="AW14" s="1477"/>
      <c r="AX14" s="1477"/>
      <c r="AY14" s="1477"/>
      <c r="AZ14" s="1477"/>
      <c r="BA14" s="1477"/>
      <c r="BB14" s="1477"/>
      <c r="BC14" s="1477"/>
      <c r="BD14" s="1477"/>
      <c r="BF14" s="141"/>
    </row>
    <row r="15" spans="2:68" x14ac:dyDescent="0.25">
      <c r="B15" s="663"/>
      <c r="C15" s="137"/>
      <c r="D15" s="137"/>
      <c r="E15" s="137"/>
      <c r="F15" s="137"/>
      <c r="G15" s="137"/>
      <c r="H15" s="137"/>
      <c r="I15" s="137"/>
      <c r="J15" s="137"/>
      <c r="K15" s="137"/>
      <c r="L15" s="137"/>
      <c r="M15" s="137"/>
      <c r="N15" s="137"/>
      <c r="O15" s="137"/>
      <c r="P15" s="137"/>
      <c r="Q15" s="137"/>
      <c r="BF15" s="141"/>
    </row>
    <row r="16" spans="2:68" x14ac:dyDescent="0.25">
      <c r="B16" s="1466" t="s">
        <v>738</v>
      </c>
      <c r="C16" s="1459"/>
      <c r="D16" s="1459"/>
      <c r="E16" s="1459"/>
      <c r="F16" s="1459"/>
      <c r="G16" s="1459"/>
      <c r="H16" s="1459"/>
      <c r="I16" s="1459"/>
      <c r="J16" s="1459"/>
      <c r="K16" s="1459"/>
      <c r="L16" s="1459"/>
      <c r="M16" s="1459"/>
      <c r="N16" s="1459"/>
      <c r="O16" s="1459"/>
      <c r="P16" s="1459"/>
      <c r="Q16" s="1459"/>
      <c r="R16" s="1438" t="s">
        <v>244</v>
      </c>
      <c r="S16" s="1438"/>
      <c r="T16" s="1455" t="s">
        <v>668</v>
      </c>
      <c r="U16" s="1455"/>
      <c r="V16" s="1455"/>
      <c r="W16" s="1455"/>
      <c r="X16" s="1455"/>
      <c r="Y16" s="1455"/>
      <c r="Z16" s="1455"/>
      <c r="AA16" s="1455"/>
      <c r="AB16" s="1455"/>
      <c r="AC16" s="1455"/>
      <c r="AD16" s="1455"/>
      <c r="AE16" s="1455"/>
      <c r="AF16" s="1455"/>
      <c r="AG16" s="1455"/>
      <c r="AH16" s="1455"/>
      <c r="AI16" s="1455"/>
      <c r="AJ16" s="1455"/>
      <c r="AK16" s="1455"/>
      <c r="AL16" s="1455"/>
      <c r="AO16" s="1455"/>
      <c r="AP16" s="1455"/>
      <c r="BF16" s="141"/>
      <c r="BP16" s="297"/>
    </row>
    <row r="17" spans="2:68" x14ac:dyDescent="0.25">
      <c r="B17" s="663"/>
      <c r="C17" s="137"/>
      <c r="D17" s="137"/>
      <c r="E17" s="137"/>
      <c r="F17" s="137"/>
      <c r="G17" s="137"/>
      <c r="H17" s="137"/>
      <c r="I17" s="137"/>
      <c r="J17" s="137"/>
      <c r="K17" s="137"/>
      <c r="L17" s="137"/>
      <c r="M17" s="137"/>
      <c r="N17" s="137"/>
      <c r="O17" s="137"/>
      <c r="P17" s="137"/>
      <c r="Q17" s="137"/>
      <c r="BF17" s="141"/>
    </row>
    <row r="18" spans="2:68" x14ac:dyDescent="0.25">
      <c r="B18" s="1478" t="s">
        <v>895</v>
      </c>
      <c r="C18" s="1479"/>
      <c r="D18" s="1479"/>
      <c r="E18" s="1479"/>
      <c r="F18" s="1479"/>
      <c r="G18" s="1479"/>
      <c r="H18" s="1479"/>
      <c r="I18" s="1479"/>
      <c r="J18" s="1479"/>
      <c r="K18" s="1479"/>
      <c r="L18" s="1479"/>
      <c r="M18" s="1479"/>
      <c r="N18" s="1479"/>
      <c r="O18" s="1479"/>
      <c r="P18" s="1479"/>
      <c r="Q18" s="1479"/>
      <c r="R18" s="1463">
        <f>'Required Info to Submit'!$F$8</f>
        <v>0</v>
      </c>
      <c r="S18" s="1463"/>
      <c r="T18" s="1463"/>
      <c r="U18" s="1463"/>
      <c r="V18" s="1463"/>
      <c r="W18" s="1463"/>
      <c r="X18" s="1463"/>
      <c r="Y18" s="1463"/>
      <c r="Z18" s="1463"/>
      <c r="AA18" s="1463"/>
      <c r="AB18" s="1463"/>
      <c r="AC18" s="1463"/>
      <c r="AD18" s="1463"/>
      <c r="AE18" s="1463"/>
      <c r="AF18" s="1463"/>
      <c r="AG18" s="1463"/>
      <c r="AH18" s="1463"/>
      <c r="AI18" s="1463"/>
      <c r="AJ18" s="1463"/>
      <c r="AK18" s="1463"/>
      <c r="AL18" s="1463"/>
      <c r="AN18" s="1459" t="s">
        <v>897</v>
      </c>
      <c r="AO18" s="1459"/>
      <c r="AP18" s="1459"/>
      <c r="AQ18" s="1459"/>
      <c r="AR18" s="1459"/>
      <c r="AS18" s="1459"/>
      <c r="AT18" s="1459"/>
      <c r="AU18" s="1459"/>
      <c r="AV18" s="1463">
        <f>'Required Info to Submit'!F10</f>
        <v>0</v>
      </c>
      <c r="AW18" s="1463"/>
      <c r="AX18" s="1463"/>
      <c r="AY18" s="1463"/>
      <c r="AZ18" s="1463"/>
      <c r="BA18" s="1463"/>
      <c r="BB18" s="1463"/>
      <c r="BC18" s="1463"/>
      <c r="BD18" s="1463"/>
      <c r="BF18" s="141"/>
      <c r="BP18" s="297"/>
    </row>
    <row r="19" spans="2:68" x14ac:dyDescent="0.25">
      <c r="B19" s="663"/>
      <c r="C19" s="137"/>
      <c r="D19" s="137"/>
      <c r="E19" s="137"/>
      <c r="F19" s="137"/>
      <c r="G19" s="137"/>
      <c r="H19" s="137"/>
      <c r="I19" s="137"/>
      <c r="J19" s="137"/>
      <c r="K19" s="137"/>
      <c r="L19" s="137"/>
      <c r="M19" s="137"/>
      <c r="N19" s="137"/>
      <c r="O19" s="137"/>
      <c r="P19" s="137"/>
      <c r="Q19" s="137"/>
      <c r="AN19" s="137"/>
      <c r="AO19" s="137"/>
      <c r="AP19" s="137"/>
      <c r="AQ19" s="137"/>
      <c r="AR19" s="137"/>
      <c r="AS19" s="137"/>
      <c r="AT19" s="137"/>
      <c r="AU19" s="137"/>
      <c r="BF19" s="141"/>
    </row>
    <row r="20" spans="2:68" x14ac:dyDescent="0.25">
      <c r="B20" s="1466" t="s">
        <v>896</v>
      </c>
      <c r="C20" s="1459"/>
      <c r="D20" s="1459"/>
      <c r="E20" s="1459"/>
      <c r="F20" s="1459"/>
      <c r="G20" s="1459"/>
      <c r="H20" s="1459"/>
      <c r="I20" s="1459"/>
      <c r="J20" s="1459"/>
      <c r="K20" s="1459"/>
      <c r="L20" s="1459"/>
      <c r="M20" s="1459"/>
      <c r="N20" s="1459"/>
      <c r="O20" s="1459"/>
      <c r="P20" s="1459"/>
      <c r="Q20" s="1459"/>
      <c r="R20" s="1463">
        <f>'Required Info to Submit'!F9</f>
        <v>0</v>
      </c>
      <c r="S20" s="1463"/>
      <c r="T20" s="1463"/>
      <c r="U20" s="1463"/>
      <c r="V20" s="1463"/>
      <c r="W20" s="1463"/>
      <c r="X20" s="1463"/>
      <c r="Y20" s="1463"/>
      <c r="Z20" s="1463"/>
      <c r="AA20" s="1463"/>
      <c r="AB20" s="1463"/>
      <c r="AC20" s="1463"/>
      <c r="AD20" s="1463"/>
      <c r="AE20" s="1463"/>
      <c r="AF20" s="1463"/>
      <c r="AG20" s="1463"/>
      <c r="AH20" s="1463"/>
      <c r="AI20" s="1463"/>
      <c r="AJ20" s="1463"/>
      <c r="AK20" s="1463"/>
      <c r="AL20" s="1463"/>
      <c r="AN20" s="1459" t="s">
        <v>850</v>
      </c>
      <c r="AO20" s="1459"/>
      <c r="AP20" s="1459"/>
      <c r="AQ20" s="1459"/>
      <c r="AR20" s="1459"/>
      <c r="AS20" s="1459"/>
      <c r="AT20" s="1459"/>
      <c r="AU20" s="1459"/>
      <c r="AV20" s="1463">
        <f>'Required Info to Submit'!F11</f>
        <v>0</v>
      </c>
      <c r="AW20" s="1463"/>
      <c r="AX20" s="1463"/>
      <c r="AY20" s="1463"/>
      <c r="AZ20" s="1463"/>
      <c r="BA20" s="1463"/>
      <c r="BB20" s="1463"/>
      <c r="BC20" s="1463"/>
      <c r="BD20" s="1463"/>
      <c r="BF20" s="141"/>
      <c r="BP20" s="297"/>
    </row>
    <row r="21" spans="2:68" x14ac:dyDescent="0.25">
      <c r="B21" s="663"/>
      <c r="C21" s="137"/>
      <c r="D21" s="137"/>
      <c r="E21" s="137"/>
      <c r="F21" s="137"/>
      <c r="G21" s="137"/>
      <c r="H21" s="137"/>
      <c r="I21" s="137"/>
      <c r="J21" s="137"/>
      <c r="K21" s="137"/>
      <c r="L21" s="137"/>
      <c r="M21" s="137"/>
      <c r="N21" s="137"/>
      <c r="O21" s="137"/>
      <c r="P21" s="137"/>
      <c r="Q21" s="137"/>
      <c r="AN21" s="137"/>
      <c r="AO21" s="137"/>
      <c r="AP21" s="137"/>
      <c r="AQ21" s="137"/>
      <c r="AR21" s="137"/>
      <c r="AS21" s="137"/>
      <c r="AT21" s="137"/>
      <c r="AU21" s="137"/>
      <c r="BF21" s="141"/>
    </row>
    <row r="22" spans="2:68" x14ac:dyDescent="0.25">
      <c r="B22" s="1466" t="s">
        <v>898</v>
      </c>
      <c r="C22" s="1459"/>
      <c r="D22" s="1459"/>
      <c r="E22" s="1459"/>
      <c r="F22" s="1459"/>
      <c r="G22" s="1459"/>
      <c r="H22" s="1459"/>
      <c r="I22" s="1459"/>
      <c r="J22" s="1459"/>
      <c r="K22" s="1459"/>
      <c r="L22" s="1459"/>
      <c r="M22" s="1459"/>
      <c r="N22" s="1459"/>
      <c r="O22" s="1459"/>
      <c r="P22" s="1459"/>
      <c r="Q22" s="1459"/>
      <c r="R22" s="1463">
        <f>'Required Info to Submit'!F12</f>
        <v>0</v>
      </c>
      <c r="S22" s="1463"/>
      <c r="T22" s="1463"/>
      <c r="U22" s="1463"/>
      <c r="V22" s="1463"/>
      <c r="W22" s="1463"/>
      <c r="X22" s="1463"/>
      <c r="Y22" s="1463"/>
      <c r="Z22" s="1463"/>
      <c r="AA22" s="1463"/>
      <c r="AB22" s="1463"/>
      <c r="AC22" s="1463"/>
      <c r="AD22" s="1463"/>
      <c r="AE22" s="1463"/>
      <c r="AF22" s="1463"/>
      <c r="AG22" s="1463"/>
      <c r="AH22" s="1463"/>
      <c r="AI22" s="1463"/>
      <c r="AJ22" s="1463"/>
      <c r="AK22" s="1463"/>
      <c r="AL22" s="1463"/>
      <c r="AN22" s="1459"/>
      <c r="AO22" s="1459"/>
      <c r="AP22" s="1459"/>
      <c r="AQ22" s="1459"/>
      <c r="AR22" s="1459"/>
      <c r="AS22" s="1459"/>
      <c r="AT22" s="1459"/>
      <c r="AU22" s="1459"/>
      <c r="AV22" s="1480"/>
      <c r="AW22" s="1480"/>
      <c r="AX22" s="1480"/>
      <c r="AY22" s="1480"/>
      <c r="AZ22" s="1480"/>
      <c r="BA22" s="1480"/>
      <c r="BB22" s="1480"/>
      <c r="BC22" s="1480"/>
      <c r="BD22" s="1480"/>
      <c r="BF22" s="141"/>
      <c r="BP22" s="297"/>
    </row>
    <row r="23" spans="2:68" x14ac:dyDescent="0.25">
      <c r="B23" s="663"/>
      <c r="C23" s="137"/>
      <c r="D23" s="137"/>
      <c r="E23" s="137"/>
      <c r="F23" s="137"/>
      <c r="G23" s="137"/>
      <c r="H23" s="137"/>
      <c r="I23" s="137"/>
      <c r="J23" s="137"/>
      <c r="K23" s="137"/>
      <c r="L23" s="137"/>
      <c r="M23" s="137"/>
      <c r="N23" s="137"/>
      <c r="O23" s="137"/>
      <c r="P23" s="137"/>
      <c r="Q23" s="137"/>
      <c r="BF23" s="141"/>
    </row>
    <row r="24" spans="2:68" x14ac:dyDescent="0.25">
      <c r="B24" s="1466" t="s">
        <v>899</v>
      </c>
      <c r="C24" s="1459"/>
      <c r="D24" s="1459"/>
      <c r="E24" s="1459"/>
      <c r="F24" s="1459"/>
      <c r="G24" s="1459"/>
      <c r="H24" s="1459"/>
      <c r="I24" s="1459"/>
      <c r="J24" s="1459"/>
      <c r="K24" s="1459"/>
      <c r="L24" s="1459"/>
      <c r="M24" s="1459"/>
      <c r="N24" s="1459"/>
      <c r="O24" s="1459"/>
      <c r="P24" s="1459"/>
      <c r="Q24" s="1459"/>
      <c r="R24" s="1475">
        <f>'Required Info to Submit'!$F$14</f>
        <v>0</v>
      </c>
      <c r="S24" s="1475"/>
      <c r="T24" s="1475"/>
      <c r="U24" s="1475"/>
      <c r="V24" s="1475"/>
      <c r="W24" s="1475"/>
      <c r="X24" s="1475"/>
      <c r="Y24" s="1475"/>
      <c r="Z24" s="1475"/>
      <c r="AA24" s="1475"/>
      <c r="AB24" s="1475"/>
      <c r="AC24" s="1475"/>
      <c r="AN24" s="1354" t="s">
        <v>903</v>
      </c>
      <c r="AO24" s="1354"/>
      <c r="AP24" s="1354"/>
      <c r="AQ24" s="1354"/>
      <c r="AR24" s="1354"/>
      <c r="AS24" s="1354"/>
      <c r="AT24" s="1354"/>
      <c r="AU24" s="1354"/>
      <c r="AV24" s="1481" t="e">
        <f>'Incentive Setup'!$S$4</f>
        <v>#VALUE!</v>
      </c>
      <c r="AW24" s="1481"/>
      <c r="AX24" s="1481"/>
      <c r="AY24" s="1481"/>
      <c r="AZ24" s="1481"/>
      <c r="BA24" s="1481"/>
      <c r="BB24" s="1481"/>
      <c r="BC24" s="1481"/>
      <c r="BD24" s="1481"/>
      <c r="BF24" s="141"/>
    </row>
    <row r="25" spans="2:68" ht="17.25" x14ac:dyDescent="0.25">
      <c r="B25" s="140"/>
      <c r="C25" s="298"/>
      <c r="D25" s="298"/>
      <c r="E25" s="298"/>
      <c r="F25" s="298"/>
      <c r="G25" s="298"/>
      <c r="H25" s="1474" t="s">
        <v>737</v>
      </c>
      <c r="I25" s="1474"/>
      <c r="J25" s="1474"/>
      <c r="K25" s="1474"/>
      <c r="L25" s="1474"/>
      <c r="M25" s="1474"/>
      <c r="N25" s="1474"/>
      <c r="O25" s="1474"/>
      <c r="P25" s="1474"/>
      <c r="Q25" s="298"/>
      <c r="AN25" s="1474" t="s">
        <v>736</v>
      </c>
      <c r="AO25" s="1474"/>
      <c r="AP25" s="1474"/>
      <c r="AQ25" s="1474"/>
      <c r="AR25" s="1474"/>
      <c r="AS25" s="1474"/>
      <c r="AT25" s="1474"/>
      <c r="BF25" s="141"/>
    </row>
    <row r="26" spans="2:68" ht="18.75" x14ac:dyDescent="0.3">
      <c r="B26" s="1471" t="s">
        <v>673</v>
      </c>
      <c r="C26" s="1472"/>
      <c r="D26" s="1472"/>
      <c r="E26" s="1472"/>
      <c r="F26" s="1472"/>
      <c r="G26" s="1472"/>
      <c r="H26" s="1472"/>
      <c r="I26" s="1472"/>
      <c r="J26" s="1472"/>
      <c r="K26" s="1472"/>
      <c r="L26" s="1472"/>
      <c r="M26" s="1472"/>
      <c r="N26" s="1472"/>
      <c r="O26" s="1472"/>
      <c r="P26" s="1472"/>
      <c r="Q26" s="1472"/>
      <c r="R26" s="1472"/>
      <c r="S26" s="1472"/>
      <c r="T26" s="1472"/>
      <c r="U26" s="1472"/>
      <c r="V26" s="1472"/>
      <c r="W26" s="1472"/>
      <c r="X26" s="1472"/>
      <c r="Y26" s="1472"/>
      <c r="Z26" s="1472"/>
      <c r="AA26" s="1472"/>
      <c r="AB26" s="1472"/>
      <c r="AC26" s="1472"/>
      <c r="AD26" s="1472"/>
      <c r="AE26" s="1472"/>
      <c r="AF26" s="1472"/>
      <c r="AG26" s="1472"/>
      <c r="AH26" s="1472"/>
      <c r="AI26" s="1472"/>
      <c r="AJ26" s="1472"/>
      <c r="AK26" s="1472"/>
      <c r="AL26" s="1472"/>
      <c r="AM26" s="1472"/>
      <c r="AN26" s="1472"/>
      <c r="AO26" s="1472"/>
      <c r="AP26" s="1472"/>
      <c r="AQ26" s="1472"/>
      <c r="AR26" s="1472"/>
      <c r="AS26" s="1472"/>
      <c r="AT26" s="1472"/>
      <c r="AU26" s="1472"/>
      <c r="AV26" s="1472"/>
      <c r="AW26" s="1472"/>
      <c r="AX26" s="1472"/>
      <c r="AY26" s="1472"/>
      <c r="AZ26" s="1472"/>
      <c r="BA26" s="1472"/>
      <c r="BB26" s="1472"/>
      <c r="BC26" s="1472"/>
      <c r="BD26" s="1472"/>
      <c r="BE26" s="1472"/>
      <c r="BF26" s="1473"/>
      <c r="BP26" s="297"/>
    </row>
    <row r="27" spans="2:68" x14ac:dyDescent="0.25">
      <c r="B27" s="656"/>
      <c r="C27" s="292"/>
      <c r="D27" s="292"/>
      <c r="E27" s="292"/>
      <c r="F27" s="292"/>
      <c r="G27" s="292"/>
      <c r="H27" s="292"/>
      <c r="I27" s="292"/>
      <c r="J27" s="292"/>
      <c r="K27" s="292"/>
      <c r="L27" s="292"/>
      <c r="M27" s="292"/>
      <c r="N27" s="292"/>
      <c r="O27" s="292"/>
      <c r="P27" s="292"/>
      <c r="Q27" s="292"/>
      <c r="R27" s="292"/>
      <c r="S27" s="292"/>
      <c r="T27" s="292"/>
      <c r="U27" s="292"/>
      <c r="V27" s="292"/>
      <c r="W27" s="292"/>
      <c r="X27" s="292"/>
      <c r="Y27" s="292"/>
      <c r="Z27" s="292"/>
      <c r="AA27" s="292"/>
      <c r="AB27" s="292"/>
      <c r="AC27" s="292"/>
      <c r="AD27" s="292"/>
      <c r="AE27" s="292"/>
      <c r="AF27" s="292"/>
      <c r="AG27" s="292"/>
      <c r="AH27" s="292"/>
      <c r="AI27" s="292"/>
      <c r="AJ27" s="292"/>
      <c r="AK27" s="292"/>
      <c r="AL27" s="292"/>
      <c r="AM27" s="292"/>
      <c r="AN27" s="292"/>
      <c r="AO27" s="292"/>
      <c r="AP27" s="292"/>
      <c r="AQ27" s="292"/>
      <c r="AR27" s="292"/>
      <c r="AS27" s="292"/>
      <c r="AT27" s="292"/>
      <c r="AU27" s="292"/>
      <c r="AV27" s="292"/>
      <c r="AW27" s="292"/>
      <c r="AX27" s="292"/>
      <c r="AY27" s="292"/>
      <c r="AZ27" s="292"/>
      <c r="BA27" s="292"/>
      <c r="BB27" s="292"/>
      <c r="BC27" s="292"/>
      <c r="BD27" s="292"/>
      <c r="BE27" s="292"/>
      <c r="BF27" s="657"/>
    </row>
    <row r="28" spans="2:68" x14ac:dyDescent="0.25">
      <c r="B28" s="1464" t="s">
        <v>674</v>
      </c>
      <c r="C28" s="1465"/>
      <c r="D28" s="1465"/>
      <c r="E28" s="1465"/>
      <c r="F28" s="1465"/>
      <c r="G28" s="1465"/>
      <c r="H28" s="1465"/>
      <c r="I28" s="1465"/>
      <c r="J28" s="1465"/>
      <c r="K28" s="1465"/>
      <c r="L28" s="1465"/>
      <c r="M28" s="1465"/>
      <c r="N28" s="1465"/>
      <c r="O28" s="1465"/>
      <c r="P28" s="1465"/>
      <c r="Q28" s="1465"/>
      <c r="T28" s="1468">
        <f>'Tracking &amp; Profitability'!$E$6</f>
        <v>0</v>
      </c>
      <c r="U28" s="1468"/>
      <c r="V28" s="1468"/>
      <c r="W28" s="1468"/>
      <c r="X28" s="1468"/>
      <c r="Y28" s="1468"/>
      <c r="Z28" s="1468"/>
      <c r="AA28" s="1468"/>
      <c r="AB28" s="1468"/>
      <c r="AF28" t="s">
        <v>735</v>
      </c>
      <c r="AO28" s="1438">
        <v>5</v>
      </c>
      <c r="AP28" s="1438"/>
      <c r="AQ28" s="1438"/>
      <c r="AR28" s="1455" t="s">
        <v>675</v>
      </c>
      <c r="AS28" s="1455"/>
      <c r="AU28" s="1438">
        <v>5</v>
      </c>
      <c r="AV28" s="1438"/>
      <c r="AW28" s="1438"/>
      <c r="AX28" s="1455" t="s">
        <v>734</v>
      </c>
      <c r="AY28" s="1455"/>
      <c r="BA28" s="1438">
        <v>5</v>
      </c>
      <c r="BB28" s="1438"/>
      <c r="BC28" s="1438"/>
      <c r="BD28" s="1455" t="s">
        <v>676</v>
      </c>
      <c r="BE28" s="1455"/>
      <c r="BF28" s="141"/>
    </row>
    <row r="29" spans="2:68" ht="17.25" x14ac:dyDescent="0.25">
      <c r="B29" s="140"/>
      <c r="T29" s="137"/>
      <c r="U29" s="137"/>
      <c r="V29" s="137"/>
      <c r="W29" s="137"/>
      <c r="X29" s="137"/>
      <c r="Y29" s="137"/>
      <c r="Z29" s="137"/>
      <c r="AA29" s="137"/>
      <c r="AB29" s="137"/>
      <c r="AF29" s="1474" t="s">
        <v>733</v>
      </c>
      <c r="AG29" s="1474"/>
      <c r="AH29" s="1474"/>
      <c r="AI29" s="1474"/>
      <c r="AJ29" s="1474"/>
      <c r="AK29" s="1474"/>
      <c r="AL29" s="1474"/>
      <c r="AM29" s="1474"/>
      <c r="AN29" s="1474"/>
      <c r="AO29" s="1474"/>
      <c r="AP29" s="1474"/>
      <c r="AQ29" s="1474"/>
      <c r="AR29" s="1474"/>
      <c r="AS29" s="1474"/>
      <c r="AT29" s="1474"/>
      <c r="AU29" s="1474"/>
      <c r="AV29" s="1474"/>
      <c r="AW29" s="1474"/>
      <c r="AX29" s="1474"/>
      <c r="AY29" s="1474"/>
      <c r="AZ29" s="1474"/>
      <c r="BA29" s="1474"/>
      <c r="BB29" s="1474"/>
      <c r="BC29" s="1474"/>
      <c r="BD29" s="1474"/>
      <c r="BE29" s="1474"/>
      <c r="BF29" s="141"/>
    </row>
    <row r="30" spans="2:68" x14ac:dyDescent="0.25">
      <c r="B30" s="1467" t="s">
        <v>730</v>
      </c>
      <c r="C30" s="1354"/>
      <c r="D30" s="1354"/>
      <c r="E30" s="1354"/>
      <c r="F30" s="1354"/>
      <c r="G30" s="1354"/>
      <c r="H30" s="1354"/>
      <c r="I30" s="1354"/>
      <c r="J30" s="1354"/>
      <c r="K30" s="1354"/>
      <c r="L30" s="1354"/>
      <c r="M30" s="1354"/>
      <c r="N30" s="1354"/>
      <c r="O30" s="1354"/>
      <c r="P30" s="1354"/>
      <c r="Q30" s="1354"/>
      <c r="T30" s="1470">
        <v>1</v>
      </c>
      <c r="U30" s="1470"/>
      <c r="V30" s="1470"/>
      <c r="W30" s="1470"/>
      <c r="AF30" s="1369" t="s">
        <v>732</v>
      </c>
      <c r="AG30" s="1369"/>
      <c r="AH30" s="1369"/>
      <c r="AI30" s="1369"/>
      <c r="AJ30" s="1369"/>
      <c r="AK30" s="1369"/>
      <c r="AL30" s="1369"/>
      <c r="AM30" s="1369"/>
      <c r="AN30" s="1369"/>
      <c r="AO30" s="1369"/>
      <c r="AP30" s="1438" t="s">
        <v>1070</v>
      </c>
      <c r="AQ30" s="1438"/>
      <c r="AR30" s="1438"/>
      <c r="AT30" s="1369" t="s">
        <v>731</v>
      </c>
      <c r="AU30" s="1369"/>
      <c r="AV30" s="1369"/>
      <c r="AW30" s="1369"/>
      <c r="AX30" s="1369"/>
      <c r="AY30" s="1369"/>
      <c r="AZ30" s="1369"/>
      <c r="BA30" s="1369"/>
      <c r="BB30" s="1369"/>
      <c r="BC30" s="1369"/>
      <c r="BF30" s="141"/>
    </row>
    <row r="31" spans="2:68" x14ac:dyDescent="0.25">
      <c r="B31" s="140"/>
      <c r="BF31" s="141"/>
      <c r="BP31" s="297"/>
    </row>
    <row r="32" spans="2:68" x14ac:dyDescent="0.25">
      <c r="B32" s="1467" t="s">
        <v>727</v>
      </c>
      <c r="C32" s="1354"/>
      <c r="D32" s="1354"/>
      <c r="E32" s="1354"/>
      <c r="F32" s="1354"/>
      <c r="G32" s="1354"/>
      <c r="H32" s="1354"/>
      <c r="I32" s="1354"/>
      <c r="J32" s="1354"/>
      <c r="K32" s="1354"/>
      <c r="L32" s="1354"/>
      <c r="M32" s="1354"/>
      <c r="N32" s="1354"/>
      <c r="O32" s="1354"/>
      <c r="P32" s="1354"/>
      <c r="Q32" s="1354"/>
      <c r="T32" s="1476" t="s">
        <v>1044</v>
      </c>
      <c r="U32" s="1476"/>
      <c r="V32" s="1476"/>
      <c r="W32" s="1476"/>
      <c r="X32" s="1476"/>
      <c r="Y32" s="1476"/>
      <c r="Z32" s="1476"/>
      <c r="AA32" s="1476"/>
      <c r="AB32" s="1476"/>
      <c r="AC32" s="1476"/>
      <c r="AD32" s="1476"/>
      <c r="AE32" s="1476"/>
      <c r="AF32" s="1476"/>
      <c r="AG32" s="1476"/>
      <c r="AH32" s="1476"/>
      <c r="AI32" s="1476"/>
      <c r="AJ32" s="1476"/>
      <c r="AK32" s="1476"/>
      <c r="AL32" s="1476"/>
      <c r="AM32" s="1476"/>
      <c r="AN32" s="1476"/>
      <c r="AO32" s="1476"/>
      <c r="BF32" s="141"/>
    </row>
    <row r="33" spans="2:92" x14ac:dyDescent="0.25">
      <c r="B33" s="140"/>
      <c r="BF33" s="141"/>
    </row>
    <row r="34" spans="2:92" x14ac:dyDescent="0.25">
      <c r="B34" s="140"/>
      <c r="C34" s="85"/>
      <c r="D34" s="85"/>
      <c r="E34" s="85"/>
      <c r="F34" s="85"/>
      <c r="G34" s="85"/>
      <c r="H34" s="85"/>
      <c r="I34" s="1438"/>
      <c r="J34" s="1438"/>
      <c r="K34" s="1455" t="s">
        <v>492</v>
      </c>
      <c r="L34" s="1455"/>
      <c r="M34" s="1455"/>
      <c r="N34" s="1455"/>
      <c r="O34" s="1455"/>
      <c r="P34" s="1455"/>
      <c r="Q34" s="1455"/>
      <c r="R34" s="1438" t="s">
        <v>244</v>
      </c>
      <c r="S34" s="1438"/>
      <c r="T34" s="1455" t="s">
        <v>491</v>
      </c>
      <c r="U34" s="1455"/>
      <c r="V34" s="1455"/>
      <c r="W34" s="1455"/>
      <c r="X34" s="1438"/>
      <c r="Y34" s="1438"/>
      <c r="Z34" s="1455" t="s">
        <v>490</v>
      </c>
      <c r="AA34" s="1455"/>
      <c r="AB34" s="1455"/>
      <c r="AF34" t="s">
        <v>729</v>
      </c>
      <c r="AL34" s="1438">
        <v>5</v>
      </c>
      <c r="AM34" s="1438"/>
      <c r="AN34" s="1438"/>
      <c r="AO34" t="s">
        <v>728</v>
      </c>
      <c r="BF34" s="141"/>
    </row>
    <row r="35" spans="2:92" x14ac:dyDescent="0.25">
      <c r="B35" s="140"/>
      <c r="BF35" s="141"/>
      <c r="BP35" s="299"/>
      <c r="CN35" s="297"/>
    </row>
    <row r="36" spans="2:92" x14ac:dyDescent="0.25">
      <c r="B36" s="1464" t="s">
        <v>726</v>
      </c>
      <c r="C36" s="1465"/>
      <c r="D36" s="1465"/>
      <c r="E36" s="1465"/>
      <c r="F36" s="1465"/>
      <c r="G36" s="1465"/>
      <c r="H36" s="1465"/>
      <c r="I36" s="1465"/>
      <c r="J36" s="1465"/>
      <c r="K36" s="1465"/>
      <c r="L36" s="1465"/>
      <c r="M36" s="1465"/>
      <c r="N36" s="1465"/>
      <c r="O36" s="1465"/>
      <c r="P36" s="1465"/>
      <c r="Q36" s="1465"/>
      <c r="R36" s="1465"/>
      <c r="T36" s="1446" t="str">
        <f>IFERROR($T$28/('Tracking &amp; Profitability'!$E$7*52*Welcome!$D$14),"Error on A La Carte")</f>
        <v>Error on A La Carte</v>
      </c>
      <c r="U36" s="1446"/>
      <c r="V36" s="1446"/>
      <c r="W36" s="1446"/>
      <c r="X36" s="1446"/>
      <c r="Y36" s="1446"/>
      <c r="Z36" s="1446"/>
      <c r="AA36" s="1446"/>
      <c r="AB36" s="1446"/>
      <c r="AF36" s="1465" t="s">
        <v>487</v>
      </c>
      <c r="AG36" s="1465"/>
      <c r="AH36" s="1465"/>
      <c r="AI36" s="1465"/>
      <c r="AJ36" s="1465"/>
      <c r="AK36" s="1465"/>
      <c r="AL36" s="1465"/>
      <c r="AM36" s="1465"/>
      <c r="AN36" s="1465"/>
      <c r="AO36" s="1465"/>
      <c r="AP36" s="1465"/>
      <c r="AQ36" s="1465"/>
      <c r="AR36" s="1465"/>
      <c r="AS36" s="1465"/>
      <c r="AU36" s="1438" t="e">
        <f>ROUND(((1-(('PIM Model'!$G$15+'PIM Model'!$G$17+'PIM Model'!$G$18)/'PIM Model'!$G$31))*100),0)&amp;"%/"&amp;ROUND((('PIM Model'!$G$15+'PIM Model'!$G$17+'PIM Model'!$G$18)/'PIM Model'!$G$31*100),0)&amp;"%"</f>
        <v>#DIV/0!</v>
      </c>
      <c r="AV36" s="1438"/>
      <c r="AW36" s="1438"/>
      <c r="AX36" s="1438"/>
      <c r="AY36" s="1438"/>
      <c r="AZ36" s="1438"/>
      <c r="BF36" s="141"/>
    </row>
    <row r="37" spans="2:92" x14ac:dyDescent="0.25">
      <c r="B37" s="347"/>
      <c r="C37" s="85"/>
      <c r="D37" s="85"/>
      <c r="E37" s="85"/>
      <c r="F37" s="85"/>
      <c r="G37" s="85"/>
      <c r="H37" s="85"/>
      <c r="I37" s="85"/>
      <c r="J37" s="85"/>
      <c r="K37" s="85"/>
      <c r="L37" s="85"/>
      <c r="M37" s="85"/>
      <c r="N37" s="85"/>
      <c r="O37" s="85"/>
      <c r="P37" s="85"/>
      <c r="Q37" s="85"/>
      <c r="T37" s="300"/>
      <c r="U37" s="300"/>
      <c r="V37" s="300"/>
      <c r="W37" s="300"/>
      <c r="X37" s="300"/>
      <c r="Y37" s="300"/>
      <c r="Z37" s="300"/>
      <c r="AA37" s="300"/>
      <c r="AB37" s="300"/>
      <c r="AC37" s="300"/>
      <c r="AD37" s="300"/>
      <c r="AF37" s="2"/>
      <c r="AG37" s="2"/>
      <c r="AH37" s="2"/>
      <c r="AI37" s="2"/>
      <c r="AJ37" s="2"/>
      <c r="AK37" s="2"/>
      <c r="AL37" s="2"/>
      <c r="AM37" s="2"/>
      <c r="AN37" s="2"/>
      <c r="AO37" s="2"/>
      <c r="AP37" s="2"/>
      <c r="AQ37" s="2"/>
      <c r="AR37" s="2"/>
      <c r="AS37" s="2"/>
      <c r="AT37" s="2"/>
      <c r="AU37" s="2"/>
      <c r="AV37" s="2"/>
      <c r="AW37" s="2"/>
      <c r="AX37" s="2"/>
      <c r="AY37" s="2"/>
      <c r="BF37" s="141"/>
      <c r="BP37" s="299"/>
      <c r="CN37" s="297"/>
    </row>
    <row r="38" spans="2:92" x14ac:dyDescent="0.25">
      <c r="B38" s="1464" t="s">
        <v>724</v>
      </c>
      <c r="C38" s="1465"/>
      <c r="D38" s="1465"/>
      <c r="E38" s="1465"/>
      <c r="F38" s="1465"/>
      <c r="G38" s="1465"/>
      <c r="H38" s="1465"/>
      <c r="I38" s="1465"/>
      <c r="J38" s="1465"/>
      <c r="K38" s="1465"/>
      <c r="L38" s="1465"/>
      <c r="M38" s="1465"/>
      <c r="N38" s="1465"/>
      <c r="O38" s="1465"/>
      <c r="P38" s="1465"/>
      <c r="Q38" s="1465"/>
      <c r="R38" s="1465"/>
      <c r="T38" s="1447" t="str">
        <f>IFERROR('PIM Model'!$H$31/('PIM Model'!$E$6*52*Welcome!$D$14),"Error on A La Carte")</f>
        <v>Error on A La Carte</v>
      </c>
      <c r="U38" s="1447"/>
      <c r="V38" s="1447"/>
      <c r="W38" s="1447"/>
      <c r="X38" s="1447"/>
      <c r="Y38" s="1447"/>
      <c r="Z38" s="1447"/>
      <c r="AA38" s="1447"/>
      <c r="AB38" s="1447"/>
      <c r="AC38" s="300"/>
      <c r="AD38" s="300"/>
      <c r="AF38" s="1354" t="s">
        <v>677</v>
      </c>
      <c r="AG38" s="1354"/>
      <c r="AH38" s="1354"/>
      <c r="AI38" s="1354"/>
      <c r="AJ38" s="1354"/>
      <c r="AK38" s="1354"/>
      <c r="AL38" s="1354"/>
      <c r="AM38" s="1354"/>
      <c r="AN38" s="1354"/>
      <c r="AO38" s="1354"/>
      <c r="AP38" s="1354"/>
      <c r="AQ38" s="1354"/>
      <c r="AR38" s="1354"/>
      <c r="AS38" s="1354"/>
      <c r="AU38" s="1438">
        <f>COUNTIF('PIM Model'!$E$10:$E$30,"Include")</f>
        <v>21</v>
      </c>
      <c r="AV38" s="1438"/>
      <c r="AW38" s="1438"/>
      <c r="AX38" s="1438"/>
      <c r="AY38" s="1438"/>
      <c r="AZ38" s="1438"/>
      <c r="BF38" s="141"/>
    </row>
    <row r="39" spans="2:92" x14ac:dyDescent="0.25">
      <c r="B39" s="140"/>
      <c r="BF39" s="141"/>
    </row>
    <row r="40" spans="2:92" x14ac:dyDescent="0.25">
      <c r="B40" s="1464" t="s">
        <v>722</v>
      </c>
      <c r="C40" s="1465"/>
      <c r="D40" s="1465"/>
      <c r="E40" s="1465"/>
      <c r="F40" s="1465"/>
      <c r="G40" s="1465"/>
      <c r="H40" s="1465"/>
      <c r="I40" s="1465"/>
      <c r="J40" s="1465"/>
      <c r="K40" s="1465"/>
      <c r="L40" s="1465"/>
      <c r="M40" s="1465"/>
      <c r="N40" s="1465"/>
      <c r="O40" s="1465"/>
      <c r="P40" s="1465"/>
      <c r="Q40" s="1465"/>
      <c r="R40" s="1465"/>
      <c r="T40" s="1468">
        <f>IFERROR('PIM Model'!$G$31/'PIM Model'!$H$31,0)</f>
        <v>0</v>
      </c>
      <c r="U40" s="1468"/>
      <c r="V40" s="1468"/>
      <c r="W40" s="1468"/>
      <c r="X40" s="1468"/>
      <c r="Y40" s="1468"/>
      <c r="Z40" s="1468"/>
      <c r="AA40" s="1468"/>
      <c r="AB40" s="1468"/>
      <c r="AF40" s="1354" t="s">
        <v>725</v>
      </c>
      <c r="AG40" s="1354"/>
      <c r="AH40" s="1354"/>
      <c r="AI40" s="1354"/>
      <c r="AJ40" s="1354"/>
      <c r="AK40" s="1354"/>
      <c r="AL40" s="1354"/>
      <c r="AM40" s="1354"/>
      <c r="AN40" s="1354"/>
      <c r="AO40" s="1354"/>
      <c r="AP40" s="1354"/>
      <c r="AQ40" s="1354"/>
      <c r="AR40" s="1354"/>
      <c r="AS40" s="1354"/>
      <c r="AU40" s="1438">
        <f>$AO$28+$AU$28+$BA$28</f>
        <v>15</v>
      </c>
      <c r="AV40" s="1438"/>
      <c r="AW40" s="1438"/>
      <c r="BC40" s="1455"/>
      <c r="BD40" s="1455"/>
      <c r="BE40" s="1455"/>
      <c r="BF40" s="141"/>
    </row>
    <row r="41" spans="2:92" x14ac:dyDescent="0.25">
      <c r="B41" s="140"/>
      <c r="BF41" s="141"/>
      <c r="BP41" s="297"/>
      <c r="CN41" s="299"/>
    </row>
    <row r="42" spans="2:92" x14ac:dyDescent="0.25">
      <c r="B42" s="1467" t="s">
        <v>720</v>
      </c>
      <c r="C42" s="1354"/>
      <c r="D42" s="1354"/>
      <c r="E42" s="1354"/>
      <c r="F42" s="1354"/>
      <c r="G42" s="1354"/>
      <c r="H42" s="1354"/>
      <c r="I42" s="1354"/>
      <c r="J42" s="1354"/>
      <c r="K42" s="1354"/>
      <c r="L42" s="1354"/>
      <c r="M42" s="1354"/>
      <c r="N42" s="1354"/>
      <c r="O42" s="1354"/>
      <c r="P42" s="1354"/>
      <c r="Q42" s="1354"/>
      <c r="R42" s="1354"/>
      <c r="T42" s="1468" t="s">
        <v>778</v>
      </c>
      <c r="U42" s="1468"/>
      <c r="V42" s="1468"/>
      <c r="W42" s="1468"/>
      <c r="X42" s="1468"/>
      <c r="Y42" s="1468"/>
      <c r="Z42" s="1468"/>
      <c r="AA42" s="1468"/>
      <c r="AB42" s="1468"/>
      <c r="AF42" s="1354" t="s">
        <v>723</v>
      </c>
      <c r="AG42" s="1354"/>
      <c r="AH42" s="1354"/>
      <c r="AI42" s="1354"/>
      <c r="AJ42" s="1354"/>
      <c r="AK42" s="1354"/>
      <c r="AL42" s="1354"/>
      <c r="AM42" s="1354"/>
      <c r="AN42" s="1354"/>
      <c r="AO42" s="1354"/>
      <c r="AP42" s="1354"/>
      <c r="AQ42" s="1354"/>
      <c r="AR42" s="1354"/>
      <c r="AS42" s="1354"/>
      <c r="AU42" s="1438" t="s">
        <v>669</v>
      </c>
      <c r="AV42" s="1438"/>
      <c r="AW42" s="1438"/>
      <c r="BC42" s="1455"/>
      <c r="BD42" s="1455"/>
      <c r="BE42" s="1455"/>
      <c r="BF42" s="141"/>
    </row>
    <row r="43" spans="2:92" x14ac:dyDescent="0.25">
      <c r="B43" s="140"/>
      <c r="BF43" s="141"/>
      <c r="BP43" s="297"/>
      <c r="CN43" s="299"/>
    </row>
    <row r="44" spans="2:92" x14ac:dyDescent="0.25">
      <c r="B44" s="1464" t="s">
        <v>718</v>
      </c>
      <c r="C44" s="1465"/>
      <c r="D44" s="1465"/>
      <c r="E44" s="1465"/>
      <c r="F44" s="1465"/>
      <c r="G44" s="1465"/>
      <c r="H44" s="1465"/>
      <c r="I44" s="1465"/>
      <c r="J44" s="1465"/>
      <c r="K44" s="1465"/>
      <c r="L44" s="1465"/>
      <c r="M44" s="1465"/>
      <c r="N44" s="1465"/>
      <c r="O44" s="1465"/>
      <c r="P44" s="1465"/>
      <c r="Q44" s="1465"/>
      <c r="R44" s="1465"/>
      <c r="T44" s="1469">
        <f>'Tracking &amp; Profitability'!$E$7</f>
        <v>0</v>
      </c>
      <c r="U44" s="1469"/>
      <c r="V44" s="1469"/>
      <c r="W44" s="1469"/>
      <c r="X44" s="1469"/>
      <c r="Y44" s="1469"/>
      <c r="Z44" s="1469"/>
      <c r="AA44" s="1469"/>
      <c r="AB44" s="1469"/>
      <c r="AF44" s="1354" t="s">
        <v>721</v>
      </c>
      <c r="AG44" s="1354"/>
      <c r="AH44" s="1354"/>
      <c r="AI44" s="1354"/>
      <c r="AJ44" s="1354"/>
      <c r="AK44" s="1354"/>
      <c r="AL44" s="1354"/>
      <c r="AM44" s="1354"/>
      <c r="AN44" s="1354"/>
      <c r="AO44" s="1354"/>
      <c r="AP44" s="1354"/>
      <c r="AQ44" s="1354"/>
      <c r="AR44" s="1354"/>
      <c r="AS44" s="1354"/>
      <c r="AU44" s="1438" t="s">
        <v>669</v>
      </c>
      <c r="AV44" s="1438"/>
      <c r="AW44" s="1438"/>
      <c r="BC44" s="1455"/>
      <c r="BD44" s="1455"/>
      <c r="BE44" s="1455"/>
      <c r="BF44" s="141"/>
    </row>
    <row r="45" spans="2:92" x14ac:dyDescent="0.25">
      <c r="B45" s="140"/>
      <c r="BF45" s="141"/>
      <c r="CN45" s="299"/>
    </row>
    <row r="46" spans="2:92" x14ac:dyDescent="0.25">
      <c r="B46" s="1461" t="s">
        <v>678</v>
      </c>
      <c r="C46" s="1462"/>
      <c r="D46" s="1462"/>
      <c r="E46" s="1462"/>
      <c r="F46" s="1462"/>
      <c r="G46" s="1462"/>
      <c r="H46" s="1462"/>
      <c r="I46" s="1462"/>
      <c r="J46" s="1462"/>
      <c r="K46" s="1462"/>
      <c r="L46" s="1462"/>
      <c r="M46" s="1462"/>
      <c r="N46" s="1462"/>
      <c r="O46" s="1462"/>
      <c r="P46" s="1462"/>
      <c r="Q46" s="1462"/>
      <c r="R46" s="1462"/>
      <c r="T46" s="1463">
        <v>150</v>
      </c>
      <c r="U46" s="1463"/>
      <c r="V46" s="1463"/>
      <c r="W46" s="1463"/>
      <c r="X46" s="1463"/>
      <c r="Y46" s="1463"/>
      <c r="Z46" s="1463"/>
      <c r="AA46" s="1463"/>
      <c r="AB46" s="1463"/>
      <c r="AF46" s="1444" t="s">
        <v>719</v>
      </c>
      <c r="AG46" s="1444"/>
      <c r="AH46" s="1444"/>
      <c r="AI46" s="1444"/>
      <c r="AJ46" s="1444"/>
      <c r="AK46" s="1444"/>
      <c r="AL46" s="1444"/>
      <c r="AM46" s="1444"/>
      <c r="AN46" s="1444"/>
      <c r="AO46" s="1444"/>
      <c r="AP46" s="1444"/>
      <c r="AQ46" s="1444"/>
      <c r="AR46" s="1444"/>
      <c r="AS46" s="1444"/>
      <c r="AU46" s="1451">
        <v>0.3</v>
      </c>
      <c r="AV46" s="1451"/>
      <c r="AW46" s="1451"/>
      <c r="AX46" s="1451"/>
      <c r="AY46" s="1451"/>
      <c r="AZ46" s="1451"/>
      <c r="BF46" s="141"/>
    </row>
    <row r="47" spans="2:92" x14ac:dyDescent="0.25">
      <c r="B47" s="140"/>
      <c r="BF47" s="141"/>
      <c r="CN47" s="299"/>
    </row>
    <row r="48" spans="2:92" x14ac:dyDescent="0.25">
      <c r="B48" s="1464" t="s">
        <v>488</v>
      </c>
      <c r="C48" s="1465"/>
      <c r="D48" s="1465"/>
      <c r="E48" s="1465"/>
      <c r="F48" s="1465"/>
      <c r="G48" s="1465"/>
      <c r="H48" s="1465"/>
      <c r="I48" s="1465"/>
      <c r="J48" s="1465"/>
      <c r="K48" s="1465"/>
      <c r="L48" s="1465"/>
      <c r="M48" s="1465"/>
      <c r="N48" s="1465"/>
      <c r="O48" s="1465"/>
      <c r="P48" s="1465"/>
      <c r="Q48" s="1465"/>
      <c r="R48" s="1465"/>
      <c r="T48" s="1463">
        <f>$K$10</f>
        <v>0</v>
      </c>
      <c r="U48" s="1463"/>
      <c r="V48" s="1463"/>
      <c r="W48" s="1463"/>
      <c r="X48" s="1463"/>
      <c r="Y48" s="1463"/>
      <c r="Z48" s="1463"/>
      <c r="AA48" s="1463"/>
      <c r="AB48" s="1463"/>
      <c r="AF48" s="1444" t="s">
        <v>717</v>
      </c>
      <c r="AG48" s="1444"/>
      <c r="AH48" s="1444"/>
      <c r="AI48" s="1444"/>
      <c r="AJ48" s="1444"/>
      <c r="AK48" s="1444"/>
      <c r="AL48" s="1444"/>
      <c r="AM48" s="1444"/>
      <c r="AN48" s="1444"/>
      <c r="AO48" s="1444"/>
      <c r="AP48" s="1444"/>
      <c r="AQ48" s="1444"/>
      <c r="AR48" s="1444"/>
      <c r="AS48" s="1444"/>
      <c r="AU48" s="1436">
        <v>2.25</v>
      </c>
      <c r="AV48" s="1437"/>
      <c r="AW48" s="1437"/>
      <c r="AX48" s="1437"/>
      <c r="AY48" s="1437"/>
      <c r="AZ48" s="1437"/>
      <c r="BF48" s="141"/>
    </row>
    <row r="49" spans="2:92" x14ac:dyDescent="0.25">
      <c r="B49" s="140"/>
      <c r="BF49" s="141"/>
      <c r="CN49" s="299"/>
    </row>
    <row r="50" spans="2:92" x14ac:dyDescent="0.25">
      <c r="B50" s="1443" t="s">
        <v>716</v>
      </c>
      <c r="C50" s="1444"/>
      <c r="D50" s="1444"/>
      <c r="E50" s="1444"/>
      <c r="F50" s="1444"/>
      <c r="G50" s="1444"/>
      <c r="H50" s="1444"/>
      <c r="I50" s="1444"/>
      <c r="J50" s="1444"/>
      <c r="K50" s="1444"/>
      <c r="L50" s="1444"/>
      <c r="M50" s="1444"/>
      <c r="N50" s="1444"/>
      <c r="O50" s="1444"/>
      <c r="P50" s="1444"/>
      <c r="Q50" s="1444"/>
      <c r="R50" s="1444"/>
      <c r="T50" s="1445">
        <v>500</v>
      </c>
      <c r="U50" s="1445"/>
      <c r="V50" s="1445"/>
      <c r="W50" s="1445"/>
      <c r="X50" s="1445"/>
      <c r="Y50" s="1445"/>
      <c r="Z50" s="1354" t="s">
        <v>715</v>
      </c>
      <c r="AA50" s="1354"/>
      <c r="AB50" s="1354"/>
      <c r="AC50" s="1445">
        <v>35</v>
      </c>
      <c r="AD50" s="1445"/>
      <c r="AE50" s="1445"/>
      <c r="AF50" s="1445"/>
      <c r="AG50" s="1445"/>
      <c r="BF50" s="141"/>
    </row>
    <row r="51" spans="2:92" x14ac:dyDescent="0.25">
      <c r="B51" s="140"/>
      <c r="BF51" s="141"/>
      <c r="BP51" s="297"/>
      <c r="CN51" s="299"/>
    </row>
    <row r="52" spans="2:92" ht="15.75" thickBot="1" x14ac:dyDescent="0.3">
      <c r="B52" s="287"/>
      <c r="C52" s="288"/>
      <c r="D52" s="288"/>
      <c r="E52" s="288"/>
      <c r="F52" s="288"/>
      <c r="G52" s="288"/>
      <c r="H52" s="288"/>
      <c r="I52" s="288"/>
      <c r="J52" s="288"/>
      <c r="K52" s="288"/>
      <c r="L52" s="288"/>
      <c r="M52" s="288"/>
      <c r="N52" s="288"/>
      <c r="O52" s="288"/>
      <c r="P52" s="288"/>
      <c r="Q52" s="288"/>
      <c r="R52" s="288"/>
      <c r="S52" s="288"/>
      <c r="T52" s="288"/>
      <c r="U52" s="288"/>
      <c r="V52" s="288"/>
      <c r="W52" s="288"/>
      <c r="X52" s="288"/>
      <c r="Y52" s="288"/>
      <c r="Z52" s="288"/>
      <c r="AA52" s="288"/>
      <c r="AB52" s="288"/>
      <c r="AC52" s="288"/>
      <c r="AD52" s="288"/>
      <c r="AE52" s="288"/>
      <c r="AF52" s="288"/>
      <c r="AG52" s="288"/>
      <c r="AH52" s="288"/>
      <c r="AI52" s="288"/>
      <c r="AJ52" s="288"/>
      <c r="AK52" s="288"/>
      <c r="AL52" s="288"/>
      <c r="AM52" s="288"/>
      <c r="AN52" s="288"/>
      <c r="AO52" s="288"/>
      <c r="AP52" s="288"/>
      <c r="AQ52" s="288"/>
      <c r="AR52" s="288"/>
      <c r="AS52" s="288"/>
      <c r="AT52" s="288"/>
      <c r="AU52" s="288"/>
      <c r="AV52" s="288"/>
      <c r="AW52" s="288"/>
      <c r="AX52" s="288"/>
      <c r="AY52" s="288"/>
      <c r="AZ52" s="288"/>
      <c r="BA52" s="288"/>
      <c r="BB52" s="288"/>
      <c r="BC52" s="288"/>
      <c r="BD52" s="288"/>
      <c r="BE52" s="288"/>
      <c r="BF52" s="289"/>
    </row>
    <row r="53" spans="2:92" ht="18.75" x14ac:dyDescent="0.3">
      <c r="B53" s="1448" t="s">
        <v>699</v>
      </c>
      <c r="C53" s="1449"/>
      <c r="D53" s="1449"/>
      <c r="E53" s="1449"/>
      <c r="F53" s="1449"/>
      <c r="G53" s="1449"/>
      <c r="H53" s="1449"/>
      <c r="I53" s="1449"/>
      <c r="J53" s="1449"/>
      <c r="K53" s="1449"/>
      <c r="L53" s="1449"/>
      <c r="M53" s="1449"/>
      <c r="N53" s="1449"/>
      <c r="O53" s="1449"/>
      <c r="P53" s="1449"/>
      <c r="Q53" s="1449"/>
      <c r="R53" s="1449"/>
      <c r="S53" s="1449"/>
      <c r="T53" s="1449"/>
      <c r="U53" s="1449"/>
      <c r="V53" s="1449"/>
      <c r="W53" s="1449"/>
      <c r="X53" s="1449"/>
      <c r="Y53" s="1449"/>
      <c r="Z53" s="1449"/>
      <c r="AA53" s="1449"/>
      <c r="AB53" s="1449"/>
      <c r="AC53" s="1449"/>
      <c r="AD53" s="1449"/>
      <c r="AE53" s="1449"/>
      <c r="AF53" s="1449"/>
      <c r="AG53" s="1449"/>
      <c r="AH53" s="1449"/>
      <c r="AI53" s="1449"/>
      <c r="AJ53" s="1449"/>
      <c r="AK53" s="1449"/>
      <c r="AL53" s="1449"/>
      <c r="AM53" s="1449"/>
      <c r="AN53" s="1449"/>
      <c r="AO53" s="1449"/>
      <c r="AP53" s="1449"/>
      <c r="AQ53" s="1449"/>
      <c r="AR53" s="1449"/>
      <c r="AS53" s="1449"/>
      <c r="AT53" s="1449"/>
      <c r="AU53" s="1449"/>
      <c r="AV53" s="1449"/>
      <c r="AW53" s="1449"/>
      <c r="AX53" s="1449"/>
      <c r="AY53" s="1449"/>
      <c r="AZ53" s="1449"/>
      <c r="BA53" s="1449"/>
      <c r="BB53" s="1449"/>
      <c r="BC53" s="1449"/>
      <c r="BD53" s="1449"/>
      <c r="BE53" s="1449"/>
      <c r="BF53" s="1450"/>
    </row>
    <row r="54" spans="2:92" x14ac:dyDescent="0.25">
      <c r="B54" s="1452" t="s">
        <v>714</v>
      </c>
      <c r="C54" s="1453"/>
      <c r="D54" s="1453"/>
      <c r="E54" s="1453"/>
      <c r="F54" s="1453"/>
      <c r="G54" s="1453"/>
      <c r="H54" s="1453"/>
      <c r="I54" s="1453"/>
      <c r="J54" s="1453"/>
      <c r="K54" s="1453"/>
      <c r="L54" s="1453"/>
      <c r="M54" s="1453"/>
      <c r="N54" s="1453"/>
      <c r="O54" s="1453"/>
      <c r="P54" s="1453"/>
      <c r="Q54" s="1453"/>
      <c r="R54" s="1453"/>
      <c r="S54" s="1453"/>
      <c r="T54" s="1453"/>
      <c r="U54" s="1453"/>
      <c r="V54" s="1453"/>
      <c r="W54" s="1453"/>
      <c r="X54" s="1453"/>
      <c r="Y54" s="1453"/>
      <c r="Z54" s="1453"/>
      <c r="AA54" s="1453"/>
      <c r="AB54" s="1453"/>
      <c r="AC54" s="1453"/>
      <c r="AD54" s="1453"/>
      <c r="AE54" s="1453"/>
      <c r="AF54" s="1453"/>
      <c r="AG54" s="1453"/>
      <c r="AH54" s="1453"/>
      <c r="AI54" s="1453"/>
      <c r="AJ54" s="1453"/>
      <c r="AK54" s="1453"/>
      <c r="AL54" s="1453"/>
      <c r="AM54" s="1453"/>
      <c r="AN54" s="1453"/>
      <c r="AO54" s="1453"/>
      <c r="AP54" s="1453"/>
      <c r="AQ54" s="1453"/>
      <c r="AR54" s="1453"/>
      <c r="AS54" s="1453"/>
      <c r="AT54" s="1453"/>
      <c r="AU54" s="1453"/>
      <c r="AV54" s="1453"/>
      <c r="AW54" s="1453"/>
      <c r="AX54" s="1453"/>
      <c r="AY54" s="1453"/>
      <c r="AZ54" s="1453"/>
      <c r="BA54" s="1453"/>
      <c r="BB54" s="1453"/>
      <c r="BC54" s="1453"/>
      <c r="BD54" s="1453"/>
      <c r="BE54" s="1453"/>
      <c r="BF54" s="1454"/>
      <c r="BP54" s="297"/>
    </row>
    <row r="55" spans="2:92" x14ac:dyDescent="0.25">
      <c r="B55" s="140"/>
      <c r="AC55" s="302"/>
      <c r="AD55" s="302"/>
      <c r="AE55" s="302"/>
      <c r="AF55" s="302"/>
      <c r="AG55" s="302"/>
      <c r="AH55" s="302"/>
      <c r="AK55" s="1459"/>
      <c r="AL55" s="1459"/>
      <c r="AM55" s="1459"/>
      <c r="AN55" s="1459"/>
      <c r="AO55" s="1331"/>
      <c r="AP55" s="1331"/>
      <c r="AQ55" s="1331"/>
      <c r="AR55" s="137"/>
      <c r="AS55" s="137"/>
      <c r="AT55" s="1331"/>
      <c r="AU55" s="1331"/>
      <c r="AV55" s="1331"/>
      <c r="AW55" s="137"/>
      <c r="AX55" s="137"/>
      <c r="AY55" s="1331"/>
      <c r="AZ55" s="1331"/>
      <c r="BA55" s="1331"/>
      <c r="BB55" s="137"/>
      <c r="BC55" s="137"/>
      <c r="BD55" s="1331"/>
      <c r="BE55" s="1331"/>
      <c r="BF55" s="1435"/>
      <c r="BP55" s="303"/>
    </row>
    <row r="56" spans="2:92" x14ac:dyDescent="0.25">
      <c r="B56" s="140"/>
      <c r="C56" s="1369" t="s">
        <v>103</v>
      </c>
      <c r="D56" s="1369"/>
      <c r="E56" s="1369"/>
      <c r="F56" s="1369"/>
      <c r="G56" s="1369"/>
      <c r="H56" s="1369"/>
      <c r="I56" s="1369"/>
      <c r="J56" s="1369"/>
      <c r="K56" s="1369"/>
      <c r="L56" s="1369"/>
      <c r="M56" s="1369"/>
      <c r="N56" s="1369"/>
      <c r="O56" s="1369"/>
      <c r="P56" s="1369"/>
      <c r="Q56" s="1369"/>
      <c r="R56" s="1369"/>
      <c r="S56" s="1369"/>
      <c r="T56" s="1369"/>
      <c r="U56" s="1369"/>
      <c r="V56" s="1369"/>
      <c r="W56" s="1369"/>
      <c r="X56" s="1369"/>
      <c r="Y56" s="1369"/>
      <c r="Z56" s="1369"/>
      <c r="AC56" s="1438" t="str">
        <f>'PIM Model'!$AD$11</f>
        <v/>
      </c>
      <c r="AD56" s="1438"/>
      <c r="AE56" s="1438" t="str">
        <f>'PIM Model'!$D$11</f>
        <v>%</v>
      </c>
      <c r="AF56" s="1438"/>
      <c r="AG56" s="1438" t="str">
        <f>'PIM Model'!$D$11</f>
        <v>%</v>
      </c>
      <c r="AH56" s="1438"/>
      <c r="AI56" s="1455" t="str">
        <f>'PIM Model'!$D$11</f>
        <v>%</v>
      </c>
      <c r="AJ56" s="1455"/>
      <c r="AK56" s="137"/>
      <c r="AL56" s="137"/>
      <c r="AM56" s="137"/>
      <c r="AN56" s="137"/>
      <c r="AO56" s="1331"/>
      <c r="AP56" s="1331"/>
      <c r="AQ56" s="1331"/>
      <c r="AR56" s="137"/>
      <c r="AS56" s="137"/>
      <c r="AT56" s="1331"/>
      <c r="AU56" s="1331"/>
      <c r="AV56" s="1331"/>
      <c r="AW56" s="137"/>
      <c r="AX56" s="137"/>
      <c r="AY56" s="1331"/>
      <c r="AZ56" s="1331"/>
      <c r="BA56" s="1331"/>
      <c r="BB56" s="137"/>
      <c r="BC56" s="137"/>
      <c r="BD56" s="1331"/>
      <c r="BE56" s="1331"/>
      <c r="BF56" s="1435"/>
      <c r="BP56" s="297"/>
    </row>
    <row r="57" spans="2:92" x14ac:dyDescent="0.25">
      <c r="B57" s="140"/>
      <c r="C57" s="1369" t="s">
        <v>102</v>
      </c>
      <c r="D57" s="1369"/>
      <c r="E57" s="1369"/>
      <c r="F57" s="1369"/>
      <c r="G57" s="1369"/>
      <c r="H57" s="1369"/>
      <c r="I57" s="1369"/>
      <c r="J57" s="1369"/>
      <c r="K57" s="1369"/>
      <c r="L57" s="1369"/>
      <c r="M57" s="1369"/>
      <c r="N57" s="1369"/>
      <c r="O57" s="1369"/>
      <c r="P57" s="1369"/>
      <c r="Q57" s="1369"/>
      <c r="R57" s="1369"/>
      <c r="S57" s="1369"/>
      <c r="T57" s="1369"/>
      <c r="U57" s="1369"/>
      <c r="V57" s="1369"/>
      <c r="W57" s="1369"/>
      <c r="X57" s="1369"/>
      <c r="Y57" s="1369"/>
      <c r="Z57" s="1369"/>
      <c r="AC57" s="1458" t="str">
        <f>'PIM Model'!$AD$13</f>
        <v/>
      </c>
      <c r="AD57" s="1458"/>
      <c r="AE57" s="1458" t="str">
        <f>'PIM Model'!$D$13</f>
        <v>%</v>
      </c>
      <c r="AF57" s="1458"/>
      <c r="AG57" s="1458" t="str">
        <f>'PIM Model'!$D$13</f>
        <v>%</v>
      </c>
      <c r="AH57" s="1458"/>
      <c r="AI57" s="1455" t="str">
        <f>'PIM Model'!$D$13</f>
        <v>%</v>
      </c>
      <c r="AJ57" s="1455"/>
      <c r="AK57" s="137"/>
      <c r="AL57" s="137"/>
      <c r="AM57" s="137"/>
      <c r="AN57" s="137"/>
      <c r="AO57" s="137"/>
      <c r="AP57" s="137"/>
      <c r="AQ57" s="137"/>
      <c r="AR57" s="137"/>
      <c r="AS57" s="137"/>
      <c r="AT57" s="137"/>
      <c r="AU57" s="137"/>
      <c r="AV57" s="137"/>
      <c r="AW57" s="137"/>
      <c r="AX57" s="137"/>
      <c r="AY57" s="137"/>
      <c r="AZ57" s="137"/>
      <c r="BA57" s="137"/>
      <c r="BB57" s="137"/>
      <c r="BC57" s="137"/>
      <c r="BD57" s="137"/>
      <c r="BE57" s="137"/>
      <c r="BF57" s="664"/>
    </row>
    <row r="58" spans="2:92" x14ac:dyDescent="0.25">
      <c r="B58" s="140"/>
      <c r="C58" s="1369" t="s">
        <v>101</v>
      </c>
      <c r="D58" s="1369"/>
      <c r="E58" s="1369"/>
      <c r="F58" s="1369"/>
      <c r="G58" s="1369"/>
      <c r="H58" s="1369"/>
      <c r="I58" s="1369"/>
      <c r="J58" s="1369"/>
      <c r="K58" s="1369"/>
      <c r="L58" s="1369"/>
      <c r="M58" s="1369"/>
      <c r="N58" s="1369"/>
      <c r="O58" s="1369"/>
      <c r="P58" s="1369"/>
      <c r="Q58" s="1369"/>
      <c r="R58" s="1369"/>
      <c r="S58" s="1369"/>
      <c r="T58" s="1369"/>
      <c r="U58" s="1369"/>
      <c r="V58" s="1369"/>
      <c r="W58" s="1369"/>
      <c r="X58" s="1369"/>
      <c r="Y58" s="1369"/>
      <c r="Z58" s="1369"/>
      <c r="AC58" s="1458" t="str">
        <f>'PIM Model'!$AD$19</f>
        <v/>
      </c>
      <c r="AD58" s="1458"/>
      <c r="AE58" s="1458" t="str">
        <f>'PIM Model'!$D$19</f>
        <v>%</v>
      </c>
      <c r="AF58" s="1458"/>
      <c r="AG58" s="1458" t="str">
        <f>'PIM Model'!$D$19</f>
        <v>%</v>
      </c>
      <c r="AH58" s="1458"/>
      <c r="AI58" s="1455" t="str">
        <f>'PIM Model'!$D$19</f>
        <v>%</v>
      </c>
      <c r="AJ58" s="1455"/>
      <c r="AK58" s="137"/>
      <c r="AL58" s="137"/>
      <c r="AM58" s="137"/>
      <c r="AN58" s="137"/>
      <c r="AO58" s="137"/>
      <c r="AP58" s="137"/>
      <c r="AQ58" s="137"/>
      <c r="AR58" s="137"/>
      <c r="AS58" s="137"/>
      <c r="AT58" s="137"/>
      <c r="AU58" s="137"/>
      <c r="AV58" s="137"/>
      <c r="AW58" s="137"/>
      <c r="AX58" s="137"/>
      <c r="AY58" s="137"/>
      <c r="AZ58" s="137"/>
      <c r="BA58" s="137"/>
      <c r="BB58" s="137"/>
      <c r="BC58" s="137"/>
      <c r="BD58" s="137"/>
      <c r="BE58" s="137"/>
      <c r="BF58" s="664"/>
      <c r="BP58" s="297"/>
    </row>
    <row r="59" spans="2:92" x14ac:dyDescent="0.25">
      <c r="B59" s="140"/>
      <c r="C59" s="1369" t="s">
        <v>100</v>
      </c>
      <c r="D59" s="1369"/>
      <c r="E59" s="1369"/>
      <c r="F59" s="1369"/>
      <c r="G59" s="1369"/>
      <c r="H59" s="1369"/>
      <c r="I59" s="1369"/>
      <c r="J59" s="1369"/>
      <c r="K59" s="1369"/>
      <c r="L59" s="1369"/>
      <c r="M59" s="1369"/>
      <c r="N59" s="1369"/>
      <c r="O59" s="1369"/>
      <c r="P59" s="1369"/>
      <c r="Q59" s="1369"/>
      <c r="R59" s="1369"/>
      <c r="S59" s="1369"/>
      <c r="T59" s="1369"/>
      <c r="U59" s="1369"/>
      <c r="V59" s="1369"/>
      <c r="W59" s="1369"/>
      <c r="X59" s="1369"/>
      <c r="Y59" s="1369"/>
      <c r="Z59" s="1369"/>
      <c r="AC59" s="1458" t="str">
        <f>'PIM Model'!$AD$14</f>
        <v/>
      </c>
      <c r="AD59" s="1458"/>
      <c r="AE59" s="1458" t="str">
        <f>'PIM Model'!$D$14</f>
        <v>%</v>
      </c>
      <c r="AF59" s="1458"/>
      <c r="AG59" s="1458" t="str">
        <f>'PIM Model'!$D$14</f>
        <v>%</v>
      </c>
      <c r="AH59" s="1458"/>
      <c r="AI59" s="1455" t="str">
        <f>'PIM Model'!$D$14</f>
        <v>%</v>
      </c>
      <c r="AJ59" s="1455"/>
      <c r="AK59" s="137"/>
      <c r="AL59" s="137"/>
      <c r="AM59" s="137"/>
      <c r="AN59" s="137"/>
      <c r="AO59" s="137"/>
      <c r="AP59" s="137"/>
      <c r="AQ59" s="137"/>
      <c r="AR59" s="137"/>
      <c r="AS59" s="137"/>
      <c r="AT59" s="137"/>
      <c r="AU59" s="137"/>
      <c r="AV59" s="137"/>
      <c r="AW59" s="137"/>
      <c r="AX59" s="137"/>
      <c r="AY59" s="137"/>
      <c r="AZ59" s="137"/>
      <c r="BA59" s="137"/>
      <c r="BB59" s="137"/>
      <c r="BC59" s="137"/>
      <c r="BD59" s="137"/>
      <c r="BE59" s="137"/>
      <c r="BF59" s="664"/>
    </row>
    <row r="60" spans="2:92" x14ac:dyDescent="0.25">
      <c r="B60" s="140"/>
      <c r="C60" s="1369" t="s">
        <v>104</v>
      </c>
      <c r="D60" s="1369"/>
      <c r="E60" s="1369"/>
      <c r="F60" s="1369"/>
      <c r="G60" s="1369"/>
      <c r="H60" s="1369"/>
      <c r="I60" s="1369"/>
      <c r="J60" s="1369"/>
      <c r="K60" s="1369"/>
      <c r="L60" s="1369"/>
      <c r="M60" s="1369"/>
      <c r="N60" s="1369"/>
      <c r="O60" s="1369"/>
      <c r="P60" s="1369"/>
      <c r="Q60" s="1369"/>
      <c r="R60" s="1369"/>
      <c r="S60" s="1369"/>
      <c r="T60" s="1369"/>
      <c r="U60" s="1369"/>
      <c r="V60" s="1369"/>
      <c r="W60" s="1369"/>
      <c r="X60" s="1369"/>
      <c r="Y60" s="1369"/>
      <c r="Z60" s="1369"/>
      <c r="AC60" s="1458" t="str">
        <f>'PIM Model'!$AD$15</f>
        <v/>
      </c>
      <c r="AD60" s="1458"/>
      <c r="AE60" s="1458" t="str">
        <f>'PIM Model'!$D$15</f>
        <v>%</v>
      </c>
      <c r="AF60" s="1458"/>
      <c r="AG60" s="1458" t="str">
        <f>'PIM Model'!$D$15</f>
        <v>%</v>
      </c>
      <c r="AH60" s="1458"/>
      <c r="AI60" s="1455" t="str">
        <f>'PIM Model'!$D$15</f>
        <v>%</v>
      </c>
      <c r="AJ60" s="1455"/>
      <c r="AK60" s="137"/>
      <c r="AL60" s="137"/>
      <c r="AM60" s="137"/>
      <c r="AN60" s="137"/>
      <c r="AO60" s="137"/>
      <c r="AP60" s="137"/>
      <c r="AQ60" s="137"/>
      <c r="AR60" s="137"/>
      <c r="AS60" s="137"/>
      <c r="AT60" s="137"/>
      <c r="AU60" s="137"/>
      <c r="AV60" s="137"/>
      <c r="AW60" s="137"/>
      <c r="AX60" s="137"/>
      <c r="AY60" s="137"/>
      <c r="AZ60" s="137"/>
      <c r="BA60" s="137"/>
      <c r="BB60" s="137"/>
      <c r="BC60" s="137"/>
      <c r="BD60" s="137"/>
      <c r="BE60" s="137"/>
      <c r="BF60" s="664"/>
    </row>
    <row r="61" spans="2:92" x14ac:dyDescent="0.25">
      <c r="B61" s="140"/>
      <c r="C61" s="1369" t="s">
        <v>99</v>
      </c>
      <c r="D61" s="1369"/>
      <c r="E61" s="1369"/>
      <c r="F61" s="1369"/>
      <c r="G61" s="1369"/>
      <c r="H61" s="1369"/>
      <c r="I61" s="1369"/>
      <c r="J61" s="1369"/>
      <c r="K61" s="1369"/>
      <c r="L61" s="1369"/>
      <c r="M61" s="1369"/>
      <c r="N61" s="1369"/>
      <c r="O61" s="1369"/>
      <c r="P61" s="1369"/>
      <c r="Q61" s="1369"/>
      <c r="R61" s="1369"/>
      <c r="S61" s="1369"/>
      <c r="T61" s="1369"/>
      <c r="U61" s="1369"/>
      <c r="V61" s="1369"/>
      <c r="W61" s="1369"/>
      <c r="X61" s="1369"/>
      <c r="Y61" s="1369"/>
      <c r="Z61" s="1369"/>
      <c r="AC61" s="1458" t="str">
        <f>'PIM Model'!$AD$10</f>
        <v/>
      </c>
      <c r="AD61" s="1458"/>
      <c r="AE61" s="1458" t="str">
        <f>'PIM Model'!$D$10</f>
        <v>%</v>
      </c>
      <c r="AF61" s="1458"/>
      <c r="AG61" s="1458" t="str">
        <f>'PIM Model'!$D$10</f>
        <v>%</v>
      </c>
      <c r="AH61" s="1458"/>
      <c r="AI61" s="1455" t="str">
        <f>'PIM Model'!$D$10</f>
        <v>%</v>
      </c>
      <c r="AJ61" s="1455"/>
      <c r="AK61" s="137"/>
      <c r="AL61" s="137"/>
      <c r="AM61" s="137"/>
      <c r="AN61" s="137"/>
      <c r="AO61" s="137"/>
      <c r="AP61" s="137"/>
      <c r="AQ61" s="137"/>
      <c r="AR61" s="137"/>
      <c r="AS61" s="137"/>
      <c r="AT61" s="137"/>
      <c r="AU61" s="137"/>
      <c r="AV61" s="137"/>
      <c r="AW61" s="137"/>
      <c r="AX61" s="137"/>
      <c r="AY61" s="137"/>
      <c r="AZ61" s="137"/>
      <c r="BA61" s="137"/>
      <c r="BB61" s="137"/>
      <c r="BC61" s="137"/>
      <c r="BD61" s="137"/>
      <c r="BE61" s="137"/>
      <c r="BF61" s="664"/>
    </row>
    <row r="62" spans="2:92" x14ac:dyDescent="0.25">
      <c r="B62" s="140"/>
      <c r="C62" s="1274" t="s">
        <v>98</v>
      </c>
      <c r="D62" s="1274"/>
      <c r="E62" s="1274"/>
      <c r="F62" s="1274"/>
      <c r="G62" s="1274"/>
      <c r="H62" s="1274"/>
      <c r="I62" s="1274"/>
      <c r="J62" s="1274"/>
      <c r="K62" s="1274"/>
      <c r="L62" s="1274"/>
      <c r="M62" s="1274"/>
      <c r="N62" s="1274"/>
      <c r="O62" s="1274"/>
      <c r="P62" s="1274"/>
      <c r="Q62" s="1274"/>
      <c r="R62" s="1274"/>
      <c r="S62" s="1274"/>
      <c r="T62" s="1274"/>
      <c r="U62" s="1274"/>
      <c r="V62" s="1274"/>
      <c r="W62" s="1274"/>
      <c r="X62" s="1274"/>
      <c r="Y62" s="1274"/>
      <c r="Z62" s="1274"/>
      <c r="AC62" s="1458" t="str">
        <f>'PIM Model'!$AD$16</f>
        <v/>
      </c>
      <c r="AD62" s="1458"/>
      <c r="AE62" s="1458" t="str">
        <f>'PIM Model'!$D$16</f>
        <v>%</v>
      </c>
      <c r="AF62" s="1458"/>
      <c r="AG62" s="1458" t="str">
        <f>'PIM Model'!$D$16</f>
        <v>%</v>
      </c>
      <c r="AH62" s="1458"/>
      <c r="AI62" s="1455" t="str">
        <f>'PIM Model'!$D$16</f>
        <v>%</v>
      </c>
      <c r="AJ62" s="1455"/>
      <c r="AK62" s="137"/>
      <c r="AL62" s="137"/>
      <c r="AM62" s="137"/>
      <c r="AN62" s="137"/>
      <c r="AO62" s="137"/>
      <c r="AP62" s="137"/>
      <c r="AQ62" s="137"/>
      <c r="AR62" s="137"/>
      <c r="AS62" s="137"/>
      <c r="AT62" s="137"/>
      <c r="AU62" s="137"/>
      <c r="AV62" s="137"/>
      <c r="AW62" s="137"/>
      <c r="AX62" s="137"/>
      <c r="AY62" s="137"/>
      <c r="AZ62" s="137"/>
      <c r="BA62" s="137"/>
      <c r="BB62" s="137"/>
      <c r="BC62" s="137"/>
      <c r="BD62" s="137"/>
      <c r="BE62" s="137"/>
      <c r="BF62" s="664"/>
    </row>
    <row r="63" spans="2:92" x14ac:dyDescent="0.25">
      <c r="B63" s="140"/>
      <c r="C63" s="1274" t="s">
        <v>97</v>
      </c>
      <c r="D63" s="1274"/>
      <c r="E63" s="1274"/>
      <c r="F63" s="1274"/>
      <c r="G63" s="1274"/>
      <c r="H63" s="1274"/>
      <c r="I63" s="1274"/>
      <c r="J63" s="1274"/>
      <c r="K63" s="1274"/>
      <c r="L63" s="1274"/>
      <c r="M63" s="1274"/>
      <c r="N63" s="1274"/>
      <c r="O63" s="1274"/>
      <c r="P63" s="1274"/>
      <c r="Q63" s="1274"/>
      <c r="R63" s="1274"/>
      <c r="S63" s="1274"/>
      <c r="T63" s="1274"/>
      <c r="U63" s="1274"/>
      <c r="V63" s="1274"/>
      <c r="W63" s="1274"/>
      <c r="X63" s="1274"/>
      <c r="Y63" s="1274"/>
      <c r="Z63" s="1274"/>
      <c r="AC63" s="1458" t="str">
        <f>'PIM Model'!$AD$20</f>
        <v/>
      </c>
      <c r="AD63" s="1458"/>
      <c r="AE63" s="1458" t="str">
        <f>'PIM Model'!$D$20</f>
        <v>%</v>
      </c>
      <c r="AF63" s="1458"/>
      <c r="AG63" s="1458" t="str">
        <f>'PIM Model'!$D$20</f>
        <v>%</v>
      </c>
      <c r="AH63" s="1458"/>
      <c r="AI63" s="1455" t="str">
        <f>'PIM Model'!$D$20</f>
        <v>%</v>
      </c>
      <c r="AJ63" s="1455"/>
      <c r="AK63" s="137"/>
      <c r="AL63" s="137"/>
      <c r="AM63" s="137"/>
      <c r="AN63" s="137"/>
      <c r="AO63" s="137"/>
      <c r="AP63" s="137"/>
      <c r="AQ63" s="137"/>
      <c r="AR63" s="137"/>
      <c r="AS63" s="137"/>
      <c r="AT63" s="137"/>
      <c r="AU63" s="137"/>
      <c r="AV63" s="137"/>
      <c r="AW63" s="137"/>
      <c r="AX63" s="137"/>
      <c r="AY63" s="137"/>
      <c r="AZ63" s="137"/>
      <c r="BA63" s="137"/>
      <c r="BB63" s="137"/>
      <c r="BC63" s="137"/>
      <c r="BD63" s="137"/>
      <c r="BE63" s="137"/>
      <c r="BF63" s="664"/>
    </row>
    <row r="64" spans="2:92" x14ac:dyDescent="0.25">
      <c r="B64" s="140"/>
      <c r="C64" s="1274" t="s">
        <v>96</v>
      </c>
      <c r="D64" s="1274"/>
      <c r="E64" s="1274"/>
      <c r="F64" s="1274"/>
      <c r="G64" s="1274"/>
      <c r="H64" s="1274"/>
      <c r="I64" s="1274"/>
      <c r="J64" s="1274"/>
      <c r="K64" s="1274"/>
      <c r="L64" s="1274"/>
      <c r="M64" s="1274"/>
      <c r="N64" s="1274"/>
      <c r="O64" s="1274"/>
      <c r="P64" s="1274"/>
      <c r="Q64" s="1274"/>
      <c r="R64" s="1274"/>
      <c r="S64" s="1274"/>
      <c r="T64" s="1274"/>
      <c r="U64" s="1274"/>
      <c r="V64" s="1274"/>
      <c r="W64" s="1274"/>
      <c r="X64" s="1274"/>
      <c r="Y64" s="1274"/>
      <c r="Z64" s="1274"/>
      <c r="AC64" s="1458" t="str">
        <f>'PIM Model'!$AD$18</f>
        <v/>
      </c>
      <c r="AD64" s="1458"/>
      <c r="AE64" s="1458" t="str">
        <f>'PIM Model'!$D$18</f>
        <v>%</v>
      </c>
      <c r="AF64" s="1458"/>
      <c r="AG64" s="1458" t="str">
        <f>'PIM Model'!$D$18</f>
        <v>%</v>
      </c>
      <c r="AH64" s="1458"/>
      <c r="AI64" s="1455" t="str">
        <f>'PIM Model'!$D$18</f>
        <v>%</v>
      </c>
      <c r="AJ64" s="1455"/>
      <c r="AK64" s="137"/>
      <c r="AL64" s="137"/>
      <c r="AM64" s="137"/>
      <c r="AN64" s="137"/>
      <c r="AO64" s="137"/>
      <c r="AP64" s="137"/>
      <c r="AQ64" s="137"/>
      <c r="AR64" s="137"/>
      <c r="AS64" s="137"/>
      <c r="AT64" s="137"/>
      <c r="AU64" s="137"/>
      <c r="AV64" s="137"/>
      <c r="AW64" s="137"/>
      <c r="AX64" s="137"/>
      <c r="AY64" s="137"/>
      <c r="AZ64" s="137"/>
      <c r="BA64" s="137"/>
      <c r="BB64" s="137"/>
      <c r="BC64" s="137"/>
      <c r="BD64" s="137"/>
      <c r="BE64" s="137"/>
      <c r="BF64" s="664"/>
    </row>
    <row r="65" spans="2:70" x14ac:dyDescent="0.25">
      <c r="B65" s="140"/>
      <c r="C65" s="1274" t="s">
        <v>95</v>
      </c>
      <c r="D65" s="1274"/>
      <c r="E65" s="1274"/>
      <c r="F65" s="1274"/>
      <c r="G65" s="1274"/>
      <c r="H65" s="1274"/>
      <c r="I65" s="1274"/>
      <c r="J65" s="1274"/>
      <c r="K65" s="1274"/>
      <c r="L65" s="1274"/>
      <c r="M65" s="1274"/>
      <c r="N65" s="1274"/>
      <c r="O65" s="1274"/>
      <c r="P65" s="1274"/>
      <c r="Q65" s="1274"/>
      <c r="R65" s="1274"/>
      <c r="S65" s="1274"/>
      <c r="T65" s="1274"/>
      <c r="U65" s="1274"/>
      <c r="V65" s="1274"/>
      <c r="W65" s="1274"/>
      <c r="X65" s="1274"/>
      <c r="Y65" s="1274"/>
      <c r="Z65" s="1274"/>
      <c r="AC65" s="1458" t="str">
        <f>'PIM Model'!$AD$17</f>
        <v/>
      </c>
      <c r="AD65" s="1458"/>
      <c r="AE65" s="1458" t="str">
        <f>'PIM Model'!$D$17</f>
        <v>%</v>
      </c>
      <c r="AF65" s="1458"/>
      <c r="AG65" s="1458" t="str">
        <f>'PIM Model'!$D$17</f>
        <v>%</v>
      </c>
      <c r="AH65" s="1458"/>
      <c r="AI65" s="1455" t="str">
        <f>'PIM Model'!$D$17</f>
        <v>%</v>
      </c>
      <c r="AJ65" s="1455"/>
      <c r="AK65" s="137"/>
      <c r="AL65" s="137"/>
      <c r="AM65" s="137"/>
      <c r="AN65" s="137"/>
      <c r="AO65" s="137"/>
      <c r="AP65" s="137"/>
      <c r="AQ65" s="137"/>
      <c r="AR65" s="137"/>
      <c r="AS65" s="137"/>
      <c r="AT65" s="137"/>
      <c r="AU65" s="137"/>
      <c r="AV65" s="137"/>
      <c r="AW65" s="137"/>
      <c r="AX65" s="137"/>
      <c r="AY65" s="137"/>
      <c r="AZ65" s="137"/>
      <c r="BA65" s="137"/>
      <c r="BB65" s="137"/>
      <c r="BC65" s="137"/>
      <c r="BD65" s="137"/>
      <c r="BE65" s="137"/>
      <c r="BF65" s="664"/>
    </row>
    <row r="66" spans="2:70" x14ac:dyDescent="0.25">
      <c r="B66" s="140"/>
      <c r="C66" s="1274" t="s">
        <v>94</v>
      </c>
      <c r="D66" s="1274"/>
      <c r="E66" s="1274"/>
      <c r="F66" s="1274"/>
      <c r="G66" s="1274"/>
      <c r="H66" s="1274"/>
      <c r="I66" s="1274"/>
      <c r="J66" s="1274"/>
      <c r="K66" s="1274"/>
      <c r="L66" s="1274"/>
      <c r="M66" s="1274"/>
      <c r="N66" s="1274"/>
      <c r="O66" s="1274"/>
      <c r="P66" s="1274"/>
      <c r="Q66" s="1274"/>
      <c r="R66" s="1274"/>
      <c r="S66" s="1274"/>
      <c r="T66" s="1274"/>
      <c r="U66" s="1274"/>
      <c r="V66" s="1274"/>
      <c r="W66" s="1274"/>
      <c r="X66" s="1274"/>
      <c r="Y66" s="1274"/>
      <c r="Z66" s="1274"/>
      <c r="AC66" s="1458" t="str">
        <f>'PIM Model'!$AD$27</f>
        <v/>
      </c>
      <c r="AD66" s="1458"/>
      <c r="AE66" s="1458" t="str">
        <f>'PIM Model'!$D$27</f>
        <v>%</v>
      </c>
      <c r="AF66" s="1458"/>
      <c r="AG66" s="1458" t="str">
        <f>'PIM Model'!$D$27</f>
        <v>%</v>
      </c>
      <c r="AH66" s="1458"/>
      <c r="AI66" s="1455" t="str">
        <f>'PIM Model'!$D$27</f>
        <v>%</v>
      </c>
      <c r="AJ66" s="1455"/>
      <c r="AK66" s="137"/>
      <c r="AL66" s="137"/>
      <c r="AM66" s="137"/>
      <c r="AN66" s="137"/>
      <c r="AO66" s="137"/>
      <c r="AP66" s="137"/>
      <c r="AQ66" s="137"/>
      <c r="AR66" s="137"/>
      <c r="AS66" s="137"/>
      <c r="AT66" s="137"/>
      <c r="AU66" s="137"/>
      <c r="AV66" s="137"/>
      <c r="AW66" s="137"/>
      <c r="AX66" s="137"/>
      <c r="AY66" s="137"/>
      <c r="AZ66" s="137"/>
      <c r="BA66" s="137"/>
      <c r="BB66" s="137"/>
      <c r="BC66" s="137"/>
      <c r="BD66" s="137"/>
      <c r="BE66" s="137"/>
      <c r="BF66" s="664"/>
    </row>
    <row r="67" spans="2:70" x14ac:dyDescent="0.25">
      <c r="B67" s="140"/>
      <c r="E67" s="1455" t="s">
        <v>713</v>
      </c>
      <c r="F67" s="1455"/>
      <c r="G67" s="1455"/>
      <c r="H67" s="1455"/>
      <c r="I67" s="1455"/>
      <c r="J67" s="1455"/>
      <c r="K67" s="1455"/>
      <c r="M67" s="1456" t="s">
        <v>244</v>
      </c>
      <c r="N67" s="1456"/>
      <c r="O67" s="1456"/>
      <c r="P67" t="s">
        <v>669</v>
      </c>
      <c r="S67" s="1457"/>
      <c r="T67" s="1457"/>
      <c r="U67" s="1457"/>
      <c r="V67" s="1455" t="s">
        <v>671</v>
      </c>
      <c r="W67" s="1455"/>
      <c r="AJ67" s="137"/>
      <c r="AK67" s="137"/>
      <c r="AL67" s="137"/>
      <c r="AM67" s="137"/>
      <c r="AN67" s="137"/>
      <c r="AO67" s="137"/>
      <c r="AP67" s="137"/>
      <c r="AQ67" s="137"/>
      <c r="AR67" s="137"/>
      <c r="AS67" s="137"/>
      <c r="AT67" s="137"/>
      <c r="AU67" s="137"/>
      <c r="AV67" s="137"/>
      <c r="AW67" s="137"/>
      <c r="AX67" s="137"/>
      <c r="AY67" s="137"/>
      <c r="AZ67" s="137"/>
      <c r="BA67" s="137"/>
      <c r="BB67" s="137"/>
      <c r="BC67" s="137"/>
      <c r="BD67" s="137"/>
      <c r="BE67" s="137"/>
      <c r="BF67" s="664"/>
    </row>
    <row r="68" spans="2:70" x14ac:dyDescent="0.25">
      <c r="B68" s="140"/>
      <c r="C68" s="1274" t="s">
        <v>93</v>
      </c>
      <c r="D68" s="1274"/>
      <c r="E68" s="1274"/>
      <c r="F68" s="1274"/>
      <c r="G68" s="1274"/>
      <c r="H68" s="1274"/>
      <c r="I68" s="1274"/>
      <c r="J68" s="1274"/>
      <c r="K68" s="1274"/>
      <c r="L68" s="1274"/>
      <c r="M68" s="1274"/>
      <c r="N68" s="1274"/>
      <c r="O68" s="1274"/>
      <c r="P68" s="1274"/>
      <c r="Q68" s="1274"/>
      <c r="R68" s="1274"/>
      <c r="S68" s="1274"/>
      <c r="T68" s="1274"/>
      <c r="U68" s="1274"/>
      <c r="V68" s="1274"/>
      <c r="W68" s="1274"/>
      <c r="X68" s="1274"/>
      <c r="Y68" s="1274"/>
      <c r="Z68" s="1274"/>
      <c r="AC68" s="1458" t="str">
        <f>'PIM Model'!$AD$21</f>
        <v/>
      </c>
      <c r="AD68" s="1458"/>
      <c r="AE68" s="1458" t="str">
        <f>'PIM Model'!$D$21</f>
        <v>%</v>
      </c>
      <c r="AF68" s="1458"/>
      <c r="AG68" s="1458" t="str">
        <f>'PIM Model'!$D$21</f>
        <v>%</v>
      </c>
      <c r="AH68" s="1458"/>
      <c r="AI68" s="1455" t="str">
        <f>'PIM Model'!$D$21</f>
        <v>%</v>
      </c>
      <c r="AJ68" s="1455"/>
      <c r="AK68" s="137"/>
      <c r="AL68" s="137"/>
      <c r="AM68" s="137"/>
      <c r="AN68" s="137"/>
      <c r="AO68" s="137"/>
      <c r="AP68" s="137"/>
      <c r="AQ68" s="137"/>
      <c r="AR68" s="137"/>
      <c r="AS68" s="137"/>
      <c r="AT68" s="137"/>
      <c r="AU68" s="137"/>
      <c r="AV68" s="137"/>
      <c r="AW68" s="137"/>
      <c r="AX68" s="137"/>
      <c r="AY68" s="137"/>
      <c r="AZ68" s="137"/>
      <c r="BA68" s="137"/>
      <c r="BB68" s="137"/>
      <c r="BC68" s="137"/>
      <c r="BD68" s="137"/>
      <c r="BE68" s="137"/>
      <c r="BF68" s="664"/>
    </row>
    <row r="69" spans="2:70" x14ac:dyDescent="0.25">
      <c r="B69" s="140"/>
      <c r="C69" s="1274" t="s">
        <v>92</v>
      </c>
      <c r="D69" s="1274"/>
      <c r="E69" s="1274"/>
      <c r="F69" s="1274"/>
      <c r="G69" s="1274"/>
      <c r="H69" s="1274"/>
      <c r="I69" s="1274"/>
      <c r="J69" s="1274"/>
      <c r="K69" s="1274"/>
      <c r="L69" s="1274"/>
      <c r="M69" s="1274"/>
      <c r="N69" s="1274"/>
      <c r="O69" s="1274"/>
      <c r="P69" s="1274"/>
      <c r="Q69" s="1274"/>
      <c r="R69" s="1274"/>
      <c r="S69" s="1274"/>
      <c r="T69" s="1274"/>
      <c r="U69" s="1274"/>
      <c r="V69" s="1274"/>
      <c r="W69" s="1274"/>
      <c r="X69" s="1274"/>
      <c r="Y69" s="1274"/>
      <c r="Z69" s="1274"/>
      <c r="AC69" s="1458" t="str">
        <f>'PIM Model'!$AD$23</f>
        <v/>
      </c>
      <c r="AD69" s="1458"/>
      <c r="AE69" s="1458" t="str">
        <f>'PIM Model'!$D$23</f>
        <v>%</v>
      </c>
      <c r="AF69" s="1458"/>
      <c r="AG69" s="1458" t="str">
        <f>'PIM Model'!$D$23</f>
        <v>%</v>
      </c>
      <c r="AH69" s="1458"/>
      <c r="AI69" s="1455" t="str">
        <f>'PIM Model'!$D$23</f>
        <v>%</v>
      </c>
      <c r="AJ69" s="1455"/>
      <c r="AK69" s="137"/>
      <c r="AL69" s="137"/>
      <c r="AM69" s="137"/>
      <c r="AN69" s="137"/>
      <c r="AO69" s="137"/>
      <c r="AP69" s="137"/>
      <c r="AQ69" s="137"/>
      <c r="AR69" s="137"/>
      <c r="AS69" s="137"/>
      <c r="AT69" s="137"/>
      <c r="AU69" s="137"/>
      <c r="AV69" s="137"/>
      <c r="AW69" s="137"/>
      <c r="AX69" s="137"/>
      <c r="AY69" s="137"/>
      <c r="AZ69" s="137"/>
      <c r="BA69" s="137"/>
      <c r="BB69" s="137"/>
      <c r="BC69" s="137"/>
      <c r="BD69" s="137"/>
      <c r="BE69" s="137"/>
      <c r="BF69" s="664"/>
    </row>
    <row r="70" spans="2:70" x14ac:dyDescent="0.25">
      <c r="B70" s="140"/>
      <c r="C70" s="1274" t="s">
        <v>91</v>
      </c>
      <c r="D70" s="1274"/>
      <c r="E70" s="1274"/>
      <c r="F70" s="1274"/>
      <c r="G70" s="1274"/>
      <c r="H70" s="1274"/>
      <c r="I70" s="1274"/>
      <c r="J70" s="1274"/>
      <c r="K70" s="1274"/>
      <c r="L70" s="1274"/>
      <c r="M70" s="1274"/>
      <c r="N70" s="1274"/>
      <c r="O70" s="1274"/>
      <c r="P70" s="1274"/>
      <c r="Q70" s="1274"/>
      <c r="R70" s="1274"/>
      <c r="S70" s="1274"/>
      <c r="T70" s="1274"/>
      <c r="U70" s="1274"/>
      <c r="V70" s="1274"/>
      <c r="W70" s="1274"/>
      <c r="X70" s="1274"/>
      <c r="Y70" s="1274"/>
      <c r="Z70" s="1274"/>
      <c r="AC70" s="1458" t="str">
        <f>'PIM Model'!$AD$24</f>
        <v/>
      </c>
      <c r="AD70" s="1458"/>
      <c r="AE70" s="1458" t="str">
        <f>'PIM Model'!$D$24</f>
        <v>%</v>
      </c>
      <c r="AF70" s="1458"/>
      <c r="AG70" s="1458" t="str">
        <f>'PIM Model'!$D$24</f>
        <v>%</v>
      </c>
      <c r="AH70" s="1458"/>
      <c r="AI70" s="1455" t="str">
        <f>'PIM Model'!$D$24</f>
        <v>%</v>
      </c>
      <c r="AJ70" s="1455"/>
      <c r="AK70" s="137"/>
      <c r="AL70" s="137"/>
      <c r="AM70" s="137"/>
      <c r="AN70" s="137"/>
      <c r="AO70" s="1331"/>
      <c r="AP70" s="1331"/>
      <c r="AQ70" s="1331"/>
      <c r="AR70" s="137"/>
      <c r="AS70" s="137"/>
      <c r="AT70" s="1331"/>
      <c r="AU70" s="1331"/>
      <c r="AV70" s="1331"/>
      <c r="AW70" s="137"/>
      <c r="AX70" s="137"/>
      <c r="AY70" s="1331"/>
      <c r="AZ70" s="1331"/>
      <c r="BA70" s="1331"/>
      <c r="BB70" s="137"/>
      <c r="BC70" s="137"/>
      <c r="BD70" s="1331"/>
      <c r="BE70" s="1331"/>
      <c r="BF70" s="1435"/>
    </row>
    <row r="71" spans="2:70" x14ac:dyDescent="0.25">
      <c r="B71" s="140"/>
      <c r="C71" s="1274" t="s">
        <v>90</v>
      </c>
      <c r="D71" s="1274"/>
      <c r="E71" s="1274"/>
      <c r="F71" s="1274"/>
      <c r="G71" s="1274"/>
      <c r="H71" s="1274"/>
      <c r="I71" s="1274"/>
      <c r="J71" s="1274"/>
      <c r="K71" s="1274"/>
      <c r="L71" s="1274"/>
      <c r="M71" s="1274"/>
      <c r="N71" s="1274"/>
      <c r="O71" s="1274"/>
      <c r="P71" s="1274"/>
      <c r="Q71" s="1274"/>
      <c r="R71" s="1274"/>
      <c r="S71" s="1274"/>
      <c r="T71" s="1274"/>
      <c r="U71" s="1274"/>
      <c r="V71" s="1274"/>
      <c r="W71" s="1274"/>
      <c r="X71" s="1274"/>
      <c r="Y71" s="1274"/>
      <c r="Z71" s="1274"/>
      <c r="AC71" s="1458" t="str">
        <f>'PIM Model'!$AD$25</f>
        <v/>
      </c>
      <c r="AD71" s="1458"/>
      <c r="AE71" s="1458" t="str">
        <f>'PIM Model'!$D$25</f>
        <v>%</v>
      </c>
      <c r="AF71" s="1458"/>
      <c r="AG71" s="1458" t="str">
        <f>'PIM Model'!$D$25</f>
        <v>%</v>
      </c>
      <c r="AH71" s="1458"/>
      <c r="AI71" s="1455" t="str">
        <f>'PIM Model'!$D$25</f>
        <v>%</v>
      </c>
      <c r="AJ71" s="1455"/>
      <c r="AK71" s="137"/>
      <c r="AL71" s="137"/>
      <c r="AM71" s="137"/>
      <c r="AN71" s="137"/>
      <c r="AO71" s="1331"/>
      <c r="AP71" s="1331"/>
      <c r="AQ71" s="1331"/>
      <c r="AR71" s="137"/>
      <c r="AS71" s="137"/>
      <c r="AT71" s="1331"/>
      <c r="AU71" s="1331"/>
      <c r="AV71" s="1331"/>
      <c r="AW71" s="137"/>
      <c r="AX71" s="137"/>
      <c r="AY71" s="1331"/>
      <c r="AZ71" s="1331"/>
      <c r="BA71" s="1331"/>
      <c r="BB71" s="137"/>
      <c r="BC71" s="137"/>
      <c r="BD71" s="1331"/>
      <c r="BE71" s="1331"/>
      <c r="BF71" s="1435"/>
    </row>
    <row r="72" spans="2:70" x14ac:dyDescent="0.25">
      <c r="B72" s="140"/>
      <c r="C72" s="1274" t="s">
        <v>89</v>
      </c>
      <c r="D72" s="1274"/>
      <c r="E72" s="1274"/>
      <c r="F72" s="1274"/>
      <c r="G72" s="1274"/>
      <c r="H72" s="1274"/>
      <c r="I72" s="1274"/>
      <c r="J72" s="1274"/>
      <c r="K72" s="1274"/>
      <c r="L72" s="1274"/>
      <c r="M72" s="1274"/>
      <c r="N72" s="1274"/>
      <c r="O72" s="1274"/>
      <c r="P72" s="1274"/>
      <c r="Q72" s="1274"/>
      <c r="R72" s="1274"/>
      <c r="S72" s="1274"/>
      <c r="T72" s="1274"/>
      <c r="U72" s="1274"/>
      <c r="V72" s="1274"/>
      <c r="W72" s="1274"/>
      <c r="X72" s="1274"/>
      <c r="Y72" s="1274"/>
      <c r="Z72" s="1274"/>
      <c r="AC72" s="1458" t="str">
        <f>'PIM Model'!$AD$26</f>
        <v/>
      </c>
      <c r="AD72" s="1458"/>
      <c r="AE72" s="1458" t="str">
        <f>'PIM Model'!$D$26</f>
        <v>%</v>
      </c>
      <c r="AF72" s="1458"/>
      <c r="AG72" s="1458" t="str">
        <f>'PIM Model'!$D$26</f>
        <v>%</v>
      </c>
      <c r="AH72" s="1458"/>
      <c r="AI72" s="1455" t="str">
        <f>'PIM Model'!$D$26</f>
        <v>%</v>
      </c>
      <c r="AJ72" s="1455"/>
      <c r="AK72" s="137"/>
      <c r="AL72" s="137"/>
      <c r="AM72" s="137"/>
      <c r="AN72" s="137"/>
      <c r="AO72" s="1331"/>
      <c r="AP72" s="1331"/>
      <c r="AQ72" s="1331"/>
      <c r="AR72" s="137"/>
      <c r="AS72" s="137"/>
      <c r="AT72" s="1331"/>
      <c r="AU72" s="1331"/>
      <c r="AV72" s="1331"/>
      <c r="AW72" s="137"/>
      <c r="AX72" s="137"/>
      <c r="AY72" s="1331"/>
      <c r="AZ72" s="1331"/>
      <c r="BA72" s="1331"/>
      <c r="BB72" s="137"/>
      <c r="BC72" s="137"/>
      <c r="BD72" s="1331"/>
      <c r="BE72" s="1331"/>
      <c r="BF72" s="1435"/>
    </row>
    <row r="73" spans="2:70" x14ac:dyDescent="0.25">
      <c r="B73" s="140"/>
      <c r="C73" s="1274" t="s">
        <v>88</v>
      </c>
      <c r="D73" s="1274"/>
      <c r="E73" s="1274"/>
      <c r="F73" s="1274"/>
      <c r="G73" s="1274"/>
      <c r="H73" s="1274"/>
      <c r="I73" s="1274"/>
      <c r="J73" s="1274"/>
      <c r="K73" s="1274"/>
      <c r="L73" s="1274"/>
      <c r="M73" s="1274"/>
      <c r="N73" s="1274"/>
      <c r="O73" s="1274"/>
      <c r="P73" s="1274"/>
      <c r="Q73" s="1274"/>
      <c r="R73" s="1274"/>
      <c r="S73" s="1274"/>
      <c r="T73" s="1274"/>
      <c r="U73" s="1274"/>
      <c r="V73" s="1274"/>
      <c r="W73" s="1274"/>
      <c r="X73" s="1274"/>
      <c r="Y73" s="1274"/>
      <c r="Z73" s="1274"/>
      <c r="AC73" s="1458" t="str">
        <f>'PIM Model'!$AD$29</f>
        <v/>
      </c>
      <c r="AD73" s="1458"/>
      <c r="AE73" s="1458" t="str">
        <f>'PIM Model'!$D$29</f>
        <v>%</v>
      </c>
      <c r="AF73" s="1458"/>
      <c r="AG73" s="1458" t="str">
        <f>'PIM Model'!$D$29</f>
        <v>%</v>
      </c>
      <c r="AH73" s="1458"/>
      <c r="AI73" s="1455" t="str">
        <f>'PIM Model'!$D$29</f>
        <v>%</v>
      </c>
      <c r="AJ73" s="1455"/>
      <c r="AK73" s="137"/>
      <c r="AL73" s="137"/>
      <c r="AM73" s="137"/>
      <c r="AN73" s="137"/>
      <c r="AO73" s="1331"/>
      <c r="AP73" s="1331"/>
      <c r="AQ73" s="1331"/>
      <c r="AR73" s="137"/>
      <c r="AS73" s="137"/>
      <c r="AT73" s="1331"/>
      <c r="AU73" s="1331"/>
      <c r="AV73" s="1331"/>
      <c r="AW73" s="137"/>
      <c r="AX73" s="137"/>
      <c r="AY73" s="1331"/>
      <c r="AZ73" s="1331"/>
      <c r="BA73" s="1331"/>
      <c r="BB73" s="137"/>
      <c r="BC73" s="137"/>
      <c r="BD73" s="1331"/>
      <c r="BE73" s="1331"/>
      <c r="BF73" s="1435"/>
    </row>
    <row r="74" spans="2:70" x14ac:dyDescent="0.25">
      <c r="B74" s="140"/>
      <c r="C74" s="1274" t="s">
        <v>87</v>
      </c>
      <c r="D74" s="1274"/>
      <c r="E74" s="1274"/>
      <c r="F74" s="1274"/>
      <c r="G74" s="1274"/>
      <c r="H74" s="1274"/>
      <c r="I74" s="1274"/>
      <c r="J74" s="1274"/>
      <c r="K74" s="1274"/>
      <c r="L74" s="1274"/>
      <c r="M74" s="1274"/>
      <c r="N74" s="1274"/>
      <c r="O74" s="1274"/>
      <c r="P74" s="1274"/>
      <c r="Q74" s="1274"/>
      <c r="R74" s="1274"/>
      <c r="S74" s="1274"/>
      <c r="T74" s="1274"/>
      <c r="U74" s="1274"/>
      <c r="V74" s="1274"/>
      <c r="W74" s="1274"/>
      <c r="X74" s="1274"/>
      <c r="Y74" s="1274"/>
      <c r="Z74" s="1274"/>
      <c r="AC74" s="1458" t="str">
        <f>'PIM Model'!$AD$30</f>
        <v/>
      </c>
      <c r="AD74" s="1458"/>
      <c r="AE74" s="1458" t="str">
        <f>'PIM Model'!$D$30</f>
        <v>%</v>
      </c>
      <c r="AF74" s="1458"/>
      <c r="AG74" s="1458" t="str">
        <f>'PIM Model'!$D$30</f>
        <v>%</v>
      </c>
      <c r="AH74" s="1458"/>
      <c r="AI74" s="1455" t="str">
        <f>'PIM Model'!$D$30</f>
        <v>%</v>
      </c>
      <c r="AJ74" s="1455"/>
      <c r="AK74" s="137"/>
      <c r="AL74" s="137"/>
      <c r="AM74" s="137"/>
      <c r="AN74" s="137"/>
      <c r="AO74" s="1331"/>
      <c r="AP74" s="1331"/>
      <c r="AQ74" s="1331"/>
      <c r="AR74" s="137"/>
      <c r="AS74" s="137"/>
      <c r="AT74" s="1331"/>
      <c r="AU74" s="1331"/>
      <c r="AV74" s="1331"/>
      <c r="AW74" s="137"/>
      <c r="AX74" s="137"/>
      <c r="AY74" s="1331"/>
      <c r="AZ74" s="1331"/>
      <c r="BA74" s="1331"/>
      <c r="BB74" s="137"/>
      <c r="BC74" s="137"/>
      <c r="BD74" s="1331"/>
      <c r="BE74" s="1331"/>
      <c r="BF74" s="1435"/>
    </row>
    <row r="75" spans="2:70" x14ac:dyDescent="0.25">
      <c r="B75" s="140"/>
      <c r="C75" s="1274" t="s">
        <v>86</v>
      </c>
      <c r="D75" s="1274"/>
      <c r="E75" s="1274"/>
      <c r="F75" s="1274"/>
      <c r="G75" s="1274"/>
      <c r="H75" s="1274"/>
      <c r="I75" s="1274"/>
      <c r="J75" s="1274"/>
      <c r="K75" s="1274"/>
      <c r="L75" s="1274"/>
      <c r="M75" s="1274"/>
      <c r="N75" s="1274"/>
      <c r="O75" s="1274"/>
      <c r="P75" s="1274"/>
      <c r="Q75" s="1274"/>
      <c r="R75" s="1274"/>
      <c r="S75" s="1274"/>
      <c r="T75" s="1274"/>
      <c r="U75" s="1274"/>
      <c r="V75" s="1274"/>
      <c r="W75" s="1274"/>
      <c r="X75" s="1274"/>
      <c r="Y75" s="1274"/>
      <c r="Z75" s="1274"/>
      <c r="AC75" s="1458" t="str">
        <f>'PIM Model'!$AD$28</f>
        <v/>
      </c>
      <c r="AD75" s="1458"/>
      <c r="AE75" s="1458" t="str">
        <f>'PIM Model'!$D$28</f>
        <v>%</v>
      </c>
      <c r="AF75" s="1458"/>
      <c r="AG75" s="1458" t="str">
        <f>'PIM Model'!$D$28</f>
        <v>%</v>
      </c>
      <c r="AH75" s="1458"/>
      <c r="AI75" s="1455" t="str">
        <f>'PIM Model'!$D$28</f>
        <v>%</v>
      </c>
      <c r="AJ75" s="1455"/>
      <c r="BF75" s="141"/>
    </row>
    <row r="76" spans="2:70" x14ac:dyDescent="0.25">
      <c r="B76" s="140"/>
      <c r="C76" s="1274" t="s">
        <v>105</v>
      </c>
      <c r="D76" s="1274"/>
      <c r="E76" s="1274"/>
      <c r="F76" s="1274"/>
      <c r="G76" s="1274"/>
      <c r="H76" s="1274"/>
      <c r="I76" s="1274"/>
      <c r="J76" s="1274"/>
      <c r="K76" s="1274"/>
      <c r="L76" s="1274"/>
      <c r="M76" s="1274"/>
      <c r="N76" s="1274"/>
      <c r="O76" s="1274"/>
      <c r="P76" s="1274"/>
      <c r="Q76" s="1274"/>
      <c r="R76" s="1274"/>
      <c r="S76" s="1274"/>
      <c r="T76" s="1274"/>
      <c r="U76" s="1274"/>
      <c r="V76" s="1274"/>
      <c r="W76" s="1274"/>
      <c r="X76" s="1274"/>
      <c r="Y76" s="1274"/>
      <c r="Z76" s="1274"/>
      <c r="AC76" s="1458" t="str">
        <f>'PIM Model'!$AD$22</f>
        <v/>
      </c>
      <c r="AD76" s="1458"/>
      <c r="AE76" s="1458" t="str">
        <f>'PIM Model'!$D$22</f>
        <v>%</v>
      </c>
      <c r="AF76" s="1458"/>
      <c r="AG76" s="1458" t="str">
        <f>'PIM Model'!$D$22</f>
        <v>%</v>
      </c>
      <c r="AH76" s="1458"/>
      <c r="AI76" s="1455" t="str">
        <f>'PIM Model'!$D$22</f>
        <v>%</v>
      </c>
      <c r="AJ76" s="1455"/>
      <c r="BF76" s="141"/>
    </row>
    <row r="77" spans="2:70" x14ac:dyDescent="0.25">
      <c r="B77" s="718"/>
      <c r="C77" s="1460" t="s">
        <v>746</v>
      </c>
      <c r="D77" s="1460"/>
      <c r="E77" s="1460"/>
      <c r="F77" s="1460"/>
      <c r="G77" s="1460"/>
      <c r="H77" s="1460"/>
      <c r="I77" s="1460"/>
      <c r="J77" s="1460"/>
      <c r="K77" s="1460"/>
      <c r="L77" s="1460"/>
      <c r="M77" s="1460"/>
      <c r="N77" s="1460"/>
      <c r="O77" s="1460"/>
      <c r="P77" s="1460"/>
      <c r="Q77" s="1460"/>
      <c r="R77" s="1460"/>
      <c r="S77" s="1460"/>
      <c r="T77" s="1460"/>
      <c r="U77" s="1460"/>
      <c r="V77" s="1460"/>
      <c r="W77" s="1460"/>
      <c r="X77" s="1460"/>
      <c r="Y77" s="1460"/>
      <c r="Z77" s="1460"/>
      <c r="AC77" s="1458" t="str">
        <f>'PIM Model'!$AD$12</f>
        <v/>
      </c>
      <c r="AD77" s="1458"/>
      <c r="AE77" s="1458" t="str">
        <f>'PIM Model'!$D$12</f>
        <v>%</v>
      </c>
      <c r="AF77" s="1458"/>
      <c r="AG77" s="1458" t="str">
        <f>'PIM Model'!$D$12</f>
        <v>%</v>
      </c>
      <c r="AH77" s="1458"/>
      <c r="AI77" s="1455" t="str">
        <f>'PIM Model'!$D$12</f>
        <v>%</v>
      </c>
      <c r="AJ77" s="1455"/>
      <c r="BF77" s="141"/>
    </row>
    <row r="78" spans="2:70" x14ac:dyDescent="0.25">
      <c r="B78" s="140"/>
      <c r="C78" s="1460" t="s">
        <v>747</v>
      </c>
      <c r="D78" s="1460"/>
      <c r="E78" s="1460"/>
      <c r="F78" s="1460"/>
      <c r="G78" s="1460"/>
      <c r="H78" s="1460"/>
      <c r="I78" s="1460"/>
      <c r="J78" s="1460"/>
      <c r="K78" s="1460"/>
      <c r="L78" s="1460"/>
      <c r="M78" s="1460"/>
      <c r="N78" s="1460"/>
      <c r="O78" s="1460"/>
      <c r="P78" s="1460"/>
      <c r="Q78" s="1460"/>
      <c r="R78" s="1460"/>
      <c r="S78" s="1460"/>
      <c r="T78" s="1460"/>
      <c r="U78" s="1460"/>
      <c r="V78" s="1460"/>
      <c r="W78" s="1460"/>
      <c r="X78" s="1460"/>
      <c r="Y78" s="1460"/>
      <c r="Z78" s="1460"/>
      <c r="AC78" s="701"/>
      <c r="AD78" s="701"/>
      <c r="AE78" s="701"/>
      <c r="AF78" s="701"/>
      <c r="AG78" s="701"/>
      <c r="AH78" s="701"/>
      <c r="BF78" s="141"/>
      <c r="BR78" s="297"/>
    </row>
    <row r="79" spans="2:70" x14ac:dyDescent="0.25">
      <c r="B79" s="140"/>
      <c r="BF79" s="141"/>
    </row>
    <row r="80" spans="2:70" x14ac:dyDescent="0.25">
      <c r="B80" s="140"/>
      <c r="BF80" s="141"/>
    </row>
    <row r="81" spans="1:70" x14ac:dyDescent="0.25">
      <c r="B81" s="140"/>
      <c r="D81" s="1455" t="s">
        <v>712</v>
      </c>
      <c r="E81" s="1455"/>
      <c r="F81" s="1455"/>
      <c r="G81" s="1455"/>
      <c r="H81" s="1455"/>
      <c r="I81" s="1455"/>
      <c r="J81" s="1455"/>
      <c r="K81" s="1455"/>
      <c r="L81" s="1455"/>
      <c r="M81" s="1455"/>
      <c r="N81" s="1455"/>
      <c r="O81" s="1455"/>
      <c r="P81" s="1455"/>
      <c r="Q81" s="1455"/>
      <c r="R81" s="1455"/>
      <c r="S81" s="1455"/>
      <c r="T81" s="1455"/>
      <c r="U81" s="1455"/>
      <c r="V81" s="1455"/>
      <c r="W81" s="1455"/>
      <c r="X81" s="1455"/>
      <c r="Y81" s="1455"/>
      <c r="Z81" s="1455"/>
      <c r="AA81" s="1455"/>
      <c r="AB81" s="1455"/>
      <c r="AC81" s="1455"/>
      <c r="AD81" s="1455"/>
      <c r="AE81" s="1455"/>
      <c r="AF81" s="1455"/>
      <c r="AG81" s="1455"/>
      <c r="AH81" s="1455"/>
      <c r="AI81" s="1455"/>
      <c r="AJ81" s="1455"/>
      <c r="AK81" s="1455"/>
      <c r="AL81" s="1455"/>
      <c r="AM81" s="1455"/>
      <c r="AN81" s="1455"/>
      <c r="AO81" s="1455"/>
      <c r="AP81" s="1455"/>
      <c r="AQ81" s="1455"/>
      <c r="AR81" s="1455"/>
      <c r="AS81" s="1455"/>
      <c r="AT81" s="1455"/>
      <c r="AU81" s="1455"/>
      <c r="AV81" s="1455"/>
      <c r="AW81" s="1455"/>
      <c r="AX81" s="1455"/>
      <c r="AY81" s="1455"/>
      <c r="AZ81" s="1455"/>
      <c r="BA81" s="1455"/>
      <c r="BB81" s="1455"/>
      <c r="BC81" s="1455"/>
      <c r="BD81" s="1455"/>
      <c r="BF81" s="141"/>
    </row>
    <row r="82" spans="1:70" x14ac:dyDescent="0.25">
      <c r="B82" s="140"/>
      <c r="D82" s="1456" t="s">
        <v>244</v>
      </c>
      <c r="E82" s="1456"/>
      <c r="F82" s="1455" t="s">
        <v>711</v>
      </c>
      <c r="G82" s="1455"/>
      <c r="H82" s="1455"/>
      <c r="I82" s="1455"/>
      <c r="J82" s="1455"/>
      <c r="K82" s="1455"/>
      <c r="L82" s="1455"/>
      <c r="M82" s="1455"/>
      <c r="N82" s="1455"/>
      <c r="O82" s="1455"/>
      <c r="P82" s="1455"/>
      <c r="Q82" s="1455"/>
      <c r="R82" s="1455"/>
      <c r="S82" s="1455"/>
      <c r="T82" s="1455"/>
      <c r="U82" s="1455"/>
      <c r="V82" s="1455"/>
      <c r="W82" s="1455"/>
      <c r="X82" s="1455"/>
      <c r="Y82" s="1455"/>
      <c r="Z82" s="1455"/>
      <c r="AA82" s="1455"/>
      <c r="AB82" s="1455"/>
      <c r="AC82" s="1455"/>
      <c r="AD82" s="1455"/>
      <c r="AE82" s="1455"/>
      <c r="AF82" s="1455"/>
      <c r="AG82" s="1455"/>
      <c r="AH82" s="1455"/>
      <c r="AI82" s="1455"/>
      <c r="AJ82" s="1455"/>
      <c r="AK82" s="1455"/>
      <c r="AL82" s="1455"/>
      <c r="AM82" s="1455"/>
      <c r="AN82" s="1455"/>
      <c r="AO82" s="1455"/>
      <c r="AP82" s="1455"/>
      <c r="AQ82" s="1455"/>
      <c r="AR82" s="1455"/>
      <c r="AS82" s="1455"/>
      <c r="AT82" s="1455"/>
      <c r="AU82" s="1455"/>
      <c r="AV82" s="1455"/>
      <c r="AW82" s="1455"/>
      <c r="AX82" s="1455"/>
      <c r="AY82" s="1455"/>
      <c r="AZ82" s="1455"/>
      <c r="BA82" s="1455"/>
      <c r="BB82" s="1455"/>
      <c r="BC82" s="1455"/>
      <c r="BD82" s="1455"/>
      <c r="BF82" s="141"/>
    </row>
    <row r="83" spans="1:70" x14ac:dyDescent="0.25">
      <c r="B83" s="140"/>
      <c r="D83" s="1457"/>
      <c r="E83" s="1457"/>
      <c r="F83" s="1455" t="s">
        <v>710</v>
      </c>
      <c r="G83" s="1455"/>
      <c r="H83" s="1455"/>
      <c r="I83" s="1455"/>
      <c r="J83" s="1455"/>
      <c r="K83" s="1455"/>
      <c r="L83" s="1455"/>
      <c r="M83" s="1455"/>
      <c r="N83" s="1455"/>
      <c r="O83" s="1455"/>
      <c r="P83" s="1455"/>
      <c r="Q83" s="1455"/>
      <c r="R83" s="1455"/>
      <c r="S83" s="1455"/>
      <c r="T83" s="1455"/>
      <c r="U83" s="1455"/>
      <c r="V83" s="1455"/>
      <c r="W83" s="1455"/>
      <c r="X83" s="1455"/>
      <c r="Y83" s="1455"/>
      <c r="Z83" s="1455"/>
      <c r="AA83" s="1455"/>
      <c r="AB83" s="1455"/>
      <c r="AC83" s="1455"/>
      <c r="AD83" s="1455"/>
      <c r="AE83" s="1455"/>
      <c r="AF83" s="1455"/>
      <c r="AG83" s="1455"/>
      <c r="AH83" s="1455"/>
      <c r="AI83" s="1455"/>
      <c r="AJ83" s="1455"/>
      <c r="AK83" s="1455"/>
      <c r="AL83" s="1455"/>
      <c r="AM83" s="1455"/>
      <c r="AN83" s="1455"/>
      <c r="AO83" s="1455"/>
      <c r="AP83" s="1455"/>
      <c r="AQ83" s="1455"/>
      <c r="AR83" s="1455"/>
      <c r="AS83" s="1455"/>
      <c r="AT83" s="1455"/>
      <c r="AU83" s="1455"/>
      <c r="AV83" s="1455"/>
      <c r="AW83" s="1455"/>
      <c r="AX83" s="1455"/>
      <c r="AY83" s="1455"/>
      <c r="AZ83" s="1455"/>
      <c r="BA83" s="1455"/>
      <c r="BB83" s="1455"/>
      <c r="BC83" s="1455"/>
      <c r="BD83" s="1455"/>
      <c r="BF83" s="141"/>
    </row>
    <row r="84" spans="1:70" x14ac:dyDescent="0.25">
      <c r="A84" s="304"/>
      <c r="B84" s="140"/>
      <c r="D84" s="1457"/>
      <c r="E84" s="1457"/>
      <c r="F84" s="1455" t="s">
        <v>709</v>
      </c>
      <c r="G84" s="1455"/>
      <c r="H84" s="1455"/>
      <c r="I84" s="1455"/>
      <c r="J84" s="1455"/>
      <c r="K84" s="1455"/>
      <c r="L84" s="1455"/>
      <c r="M84" s="1455"/>
      <c r="N84" s="1455"/>
      <c r="O84" s="1455"/>
      <c r="P84" s="1455"/>
      <c r="Q84" s="1455"/>
      <c r="R84" s="1455"/>
      <c r="S84" s="1455"/>
      <c r="T84" s="1455"/>
      <c r="U84" s="1455"/>
      <c r="V84" s="1455"/>
      <c r="W84" s="1455"/>
      <c r="X84" s="1455"/>
      <c r="Y84" s="1455"/>
      <c r="Z84" s="1455"/>
      <c r="AA84" s="1455"/>
      <c r="AB84" s="1455"/>
      <c r="AC84" s="1455"/>
      <c r="AD84" s="1455"/>
      <c r="AE84" s="1455"/>
      <c r="AF84" s="1455"/>
      <c r="AG84" s="1455"/>
      <c r="AH84" s="1455"/>
      <c r="AI84" s="1455"/>
      <c r="AJ84" s="1455"/>
      <c r="AK84" s="1455"/>
      <c r="AL84" s="1455"/>
      <c r="AM84" s="1455"/>
      <c r="AN84" s="1455"/>
      <c r="AO84" s="1455"/>
      <c r="AP84" s="1455"/>
      <c r="AQ84" s="1455"/>
      <c r="AR84" s="1455"/>
      <c r="AS84" s="1455"/>
      <c r="AT84" s="1455"/>
      <c r="AU84" s="1455"/>
      <c r="AV84" s="1455"/>
      <c r="AW84" s="1455"/>
      <c r="AX84" s="1455"/>
      <c r="AY84" s="1455"/>
      <c r="AZ84" s="1455"/>
      <c r="BA84" s="1455"/>
      <c r="BB84" s="1455"/>
      <c r="BC84" s="1455"/>
      <c r="BD84" s="1455"/>
      <c r="BF84" s="141"/>
    </row>
    <row r="85" spans="1:70" x14ac:dyDescent="0.25">
      <c r="B85" s="140"/>
      <c r="BF85" s="141"/>
    </row>
    <row r="86" spans="1:70" x14ac:dyDescent="0.25">
      <c r="B86" s="140"/>
      <c r="D86" s="1455" t="s">
        <v>708</v>
      </c>
      <c r="E86" s="1455"/>
      <c r="F86" s="1455"/>
      <c r="G86" s="1455"/>
      <c r="H86" s="1455"/>
      <c r="I86" s="1455"/>
      <c r="J86" s="1455"/>
      <c r="K86" s="1455"/>
      <c r="L86" s="1455"/>
      <c r="M86" s="1455"/>
      <c r="N86" s="1455"/>
      <c r="O86" s="1455"/>
      <c r="P86" s="1455"/>
      <c r="Q86" s="1455"/>
      <c r="R86" s="1455"/>
      <c r="S86" s="1455"/>
      <c r="T86" s="1455"/>
      <c r="U86" s="1455"/>
      <c r="V86" s="1455"/>
      <c r="W86" s="1455"/>
      <c r="X86" s="1455"/>
      <c r="Y86" s="1455"/>
      <c r="Z86" s="1455"/>
      <c r="AA86" s="1455"/>
      <c r="AB86" s="1455"/>
      <c r="AC86" s="1455"/>
      <c r="AD86" s="1455"/>
      <c r="AE86" s="1455"/>
      <c r="AF86" s="1455"/>
      <c r="AG86" s="1455"/>
      <c r="AH86" s="1455"/>
      <c r="AI86" s="1455"/>
      <c r="AJ86" s="1455"/>
      <c r="AK86" s="1455"/>
      <c r="AL86" s="1455"/>
      <c r="AM86" s="1455"/>
      <c r="AN86" s="1455"/>
      <c r="AO86" s="1455"/>
      <c r="AP86" s="1455"/>
      <c r="AQ86" s="1455"/>
      <c r="AR86" s="1455"/>
      <c r="AS86" s="1455"/>
      <c r="AT86" s="1455"/>
      <c r="AU86" s="1455"/>
      <c r="AV86" s="1455"/>
      <c r="AW86" s="1455"/>
      <c r="AX86" s="1455"/>
      <c r="AY86" s="1455"/>
      <c r="AZ86" s="1455"/>
      <c r="BA86" s="1455"/>
      <c r="BB86" s="1455"/>
      <c r="BC86" s="1455"/>
      <c r="BD86" s="1455"/>
      <c r="BF86" s="141"/>
    </row>
    <row r="87" spans="1:70" x14ac:dyDescent="0.25">
      <c r="B87" s="140"/>
      <c r="D87" s="1456" t="s">
        <v>244</v>
      </c>
      <c r="E87" s="1456"/>
      <c r="F87" s="1455" t="s">
        <v>707</v>
      </c>
      <c r="G87" s="1455"/>
      <c r="H87" s="1455"/>
      <c r="I87" s="1455"/>
      <c r="J87" s="1455"/>
      <c r="K87" s="1455"/>
      <c r="L87" s="1455"/>
      <c r="M87" s="1455"/>
      <c r="N87" s="1455"/>
      <c r="O87" s="1455"/>
      <c r="P87" s="1455"/>
      <c r="Q87" s="1455"/>
      <c r="R87" s="1455"/>
      <c r="S87" s="1455"/>
      <c r="T87" s="1455"/>
      <c r="U87" s="1455"/>
      <c r="V87" s="1455"/>
      <c r="W87" s="1455"/>
      <c r="X87" s="1455"/>
      <c r="Y87" s="1455"/>
      <c r="Z87" s="1455"/>
      <c r="AA87" s="1455"/>
      <c r="AB87" s="1455"/>
      <c r="AC87" s="1455"/>
      <c r="AD87" s="1455"/>
      <c r="AE87" s="1455"/>
      <c r="AF87" s="1455"/>
      <c r="AG87" s="1455"/>
      <c r="AH87" s="1455"/>
      <c r="AI87" s="1455"/>
      <c r="AJ87" s="1455"/>
      <c r="AK87" s="1455"/>
      <c r="AL87" s="1455"/>
      <c r="AM87" s="1455"/>
      <c r="AN87" s="1455"/>
      <c r="AO87" s="1455"/>
      <c r="AP87" s="1455"/>
      <c r="AQ87" s="1455"/>
      <c r="AR87" s="1455"/>
      <c r="AS87" s="1455"/>
      <c r="AT87" s="1455"/>
      <c r="AU87" s="1455"/>
      <c r="AV87" s="1455"/>
      <c r="AW87" s="1455"/>
      <c r="AX87" s="1455"/>
      <c r="AY87" s="1455"/>
      <c r="AZ87" s="1455"/>
      <c r="BA87" s="1455"/>
      <c r="BB87" s="1455"/>
      <c r="BC87" s="1455"/>
      <c r="BD87" s="1455"/>
      <c r="BF87" s="141"/>
    </row>
    <row r="88" spans="1:70" x14ac:dyDescent="0.25">
      <c r="B88" s="140"/>
      <c r="D88" s="1457"/>
      <c r="E88" s="1457"/>
      <c r="F88" s="1455" t="s">
        <v>706</v>
      </c>
      <c r="G88" s="1455"/>
      <c r="H88" s="1455"/>
      <c r="I88" s="1455"/>
      <c r="J88" s="1455"/>
      <c r="K88" s="1455"/>
      <c r="L88" s="1455"/>
      <c r="M88" s="1455"/>
      <c r="N88" s="1455"/>
      <c r="O88" s="1455"/>
      <c r="P88" s="1455"/>
      <c r="Q88" s="1455"/>
      <c r="R88" s="1455"/>
      <c r="S88" s="1455"/>
      <c r="T88" s="1455"/>
      <c r="U88" s="1455"/>
      <c r="V88" s="1455"/>
      <c r="W88" s="1455"/>
      <c r="X88" s="1455"/>
      <c r="Y88" s="1455"/>
      <c r="Z88" s="1455"/>
      <c r="AA88" s="1455"/>
      <c r="AB88" s="1455"/>
      <c r="AC88" s="1455"/>
      <c r="AD88" s="1455"/>
      <c r="AE88" s="1455"/>
      <c r="AF88" s="1455"/>
      <c r="AG88" s="1455"/>
      <c r="AH88" s="1455"/>
      <c r="AI88" s="1455"/>
      <c r="AJ88" s="1455"/>
      <c r="AK88" s="1455"/>
      <c r="AL88" s="1455"/>
      <c r="AM88" s="1455"/>
      <c r="AN88" s="1455"/>
      <c r="AO88" s="1455"/>
      <c r="AP88" s="1455"/>
      <c r="AQ88" s="1455"/>
      <c r="AR88" s="1455"/>
      <c r="AS88" s="1455"/>
      <c r="AT88" s="1455"/>
      <c r="AU88" s="1455"/>
      <c r="AV88" s="1455"/>
      <c r="AW88" s="1455"/>
      <c r="AX88" s="1455"/>
      <c r="AY88" s="1455"/>
      <c r="AZ88" s="1455"/>
      <c r="BA88" s="1455"/>
      <c r="BB88" s="1455"/>
      <c r="BC88" s="1455"/>
      <c r="BD88" s="1455"/>
      <c r="BF88" s="141"/>
    </row>
    <row r="89" spans="1:70" x14ac:dyDescent="0.25">
      <c r="B89" s="140"/>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1"/>
    </row>
    <row r="90" spans="1:70" x14ac:dyDescent="0.25">
      <c r="B90" s="719"/>
      <c r="C90" s="301"/>
      <c r="D90" s="301"/>
      <c r="E90" s="301"/>
      <c r="F90" s="301"/>
      <c r="G90" s="301"/>
      <c r="H90" s="301"/>
      <c r="I90" s="301"/>
      <c r="J90" s="301"/>
      <c r="K90" s="301"/>
      <c r="L90" s="301"/>
      <c r="M90" s="301"/>
      <c r="N90" s="301"/>
      <c r="O90" s="301"/>
      <c r="P90" s="301"/>
      <c r="Q90" s="301"/>
      <c r="R90" s="301"/>
      <c r="S90" s="301"/>
      <c r="T90" s="301"/>
      <c r="U90" s="301"/>
      <c r="V90" s="301"/>
      <c r="W90" s="301"/>
      <c r="X90" s="301"/>
      <c r="Y90" s="301"/>
      <c r="Z90" s="301"/>
      <c r="AA90" s="301"/>
      <c r="AB90" s="301"/>
      <c r="AC90" s="301"/>
      <c r="AD90" s="301"/>
      <c r="AE90" s="301"/>
      <c r="AF90" s="301"/>
      <c r="AG90" s="301"/>
      <c r="AH90" s="301"/>
      <c r="AI90" s="301"/>
      <c r="AJ90" s="301"/>
      <c r="AK90" s="301"/>
      <c r="AL90" s="301"/>
      <c r="AM90" s="301"/>
      <c r="AN90" s="301"/>
      <c r="AO90" s="301"/>
      <c r="AP90" s="301"/>
      <c r="AQ90" s="301"/>
      <c r="AR90" s="301"/>
      <c r="AS90" s="301"/>
      <c r="AT90" s="301"/>
      <c r="AU90" s="301"/>
      <c r="AV90" s="301"/>
      <c r="AW90" s="301"/>
      <c r="AX90" s="301"/>
      <c r="AY90" s="301"/>
      <c r="AZ90" s="301"/>
      <c r="BA90" s="301"/>
      <c r="BB90" s="301"/>
      <c r="BC90" s="301"/>
      <c r="BD90" s="301"/>
      <c r="BE90" s="301"/>
      <c r="BF90" s="700"/>
    </row>
    <row r="91" spans="1:70" x14ac:dyDescent="0.25">
      <c r="B91" s="140"/>
      <c r="BF91" s="141"/>
    </row>
    <row r="92" spans="1:70" ht="18.75" x14ac:dyDescent="0.3">
      <c r="B92" s="1471" t="s">
        <v>1033</v>
      </c>
      <c r="C92" s="1472"/>
      <c r="D92" s="1472"/>
      <c r="E92" s="1472"/>
      <c r="F92" s="1472"/>
      <c r="G92" s="1472"/>
      <c r="H92" s="1472"/>
      <c r="I92" s="1472"/>
      <c r="J92" s="1472"/>
      <c r="K92" s="1472"/>
      <c r="L92" s="1472"/>
      <c r="M92" s="1472"/>
      <c r="N92" s="1472"/>
      <c r="O92" s="1472"/>
      <c r="P92" s="1472"/>
      <c r="Q92" s="1472"/>
      <c r="R92" s="1472"/>
      <c r="S92" s="1472"/>
      <c r="T92" s="1472"/>
      <c r="U92" s="1472"/>
      <c r="V92" s="1472"/>
      <c r="W92" s="1472"/>
      <c r="X92" s="1472"/>
      <c r="Y92" s="1472"/>
      <c r="Z92" s="1472"/>
      <c r="AA92" s="1472"/>
      <c r="AB92" s="1472"/>
      <c r="AC92" s="1472"/>
      <c r="AD92" s="1472"/>
      <c r="AE92" s="1472"/>
      <c r="AF92" s="1472"/>
      <c r="AG92" s="1472"/>
      <c r="AH92" s="1472"/>
      <c r="AI92" s="1472"/>
      <c r="AJ92" s="1472"/>
      <c r="AK92" s="1472"/>
      <c r="AL92" s="1472"/>
      <c r="AM92" s="1472"/>
      <c r="AN92" s="1472"/>
      <c r="AO92" s="1472"/>
      <c r="AP92" s="1472"/>
      <c r="AQ92" s="1472"/>
      <c r="AR92" s="1472"/>
      <c r="AS92" s="1472"/>
      <c r="AT92" s="1472"/>
      <c r="AU92" s="1472"/>
      <c r="AV92" s="1472"/>
      <c r="AW92" s="1472"/>
      <c r="AX92" s="1472"/>
      <c r="AY92" s="1472"/>
      <c r="AZ92" s="1472"/>
      <c r="BA92" s="1472"/>
      <c r="BB92" s="1472"/>
      <c r="BC92" s="1472"/>
      <c r="BD92" s="1472"/>
      <c r="BE92" s="1472"/>
      <c r="BF92" s="1473"/>
    </row>
    <row r="93" spans="1:70" ht="15.75" thickBot="1" x14ac:dyDescent="0.3">
      <c r="B93" s="140"/>
      <c r="BF93" s="141"/>
      <c r="BR93" s="297"/>
    </row>
    <row r="94" spans="1:70" ht="15.75" thickBot="1" x14ac:dyDescent="0.3">
      <c r="B94" s="140"/>
      <c r="D94" s="1485" t="s">
        <v>754</v>
      </c>
      <c r="E94" s="1486"/>
      <c r="F94" s="1486"/>
      <c r="G94" s="1486"/>
      <c r="H94" s="1486"/>
      <c r="I94" s="1486"/>
      <c r="J94" s="1486"/>
      <c r="K94" s="1492" t="s">
        <v>755</v>
      </c>
      <c r="L94" s="1486"/>
      <c r="M94" s="1486"/>
      <c r="N94" s="1486"/>
      <c r="O94" s="1486"/>
      <c r="P94" s="1486"/>
      <c r="Q94" s="1486"/>
      <c r="R94" s="1486"/>
      <c r="S94" s="1486"/>
      <c r="T94" s="1486"/>
      <c r="U94" s="1492" t="s">
        <v>815</v>
      </c>
      <c r="V94" s="1486"/>
      <c r="W94" s="1486"/>
      <c r="X94" s="1486"/>
      <c r="Y94" s="1486"/>
      <c r="Z94" s="1486"/>
      <c r="AA94" s="1486"/>
      <c r="AB94" s="1486"/>
      <c r="AC94" s="1486"/>
      <c r="AD94" s="1486"/>
      <c r="AE94" s="1486"/>
      <c r="AF94" s="1486"/>
      <c r="AG94" s="1486"/>
      <c r="AH94" s="1486"/>
      <c r="AI94" s="1486"/>
      <c r="AJ94" s="1492" t="s">
        <v>820</v>
      </c>
      <c r="AK94" s="1486"/>
      <c r="AL94" s="1486"/>
      <c r="AM94" s="1486"/>
      <c r="AN94" s="1486"/>
      <c r="AO94" s="1486"/>
      <c r="AP94" s="1486"/>
      <c r="AQ94" s="1486"/>
      <c r="AR94" s="1486"/>
      <c r="AS94" s="1486"/>
      <c r="AT94" s="1504"/>
      <c r="AU94" s="1492" t="s">
        <v>821</v>
      </c>
      <c r="AV94" s="1486"/>
      <c r="AW94" s="1486"/>
      <c r="AX94" s="1504"/>
      <c r="AY94" s="1492" t="s">
        <v>865</v>
      </c>
      <c r="AZ94" s="1486"/>
      <c r="BA94" s="1486"/>
      <c r="BB94" s="1486"/>
      <c r="BC94" s="1514"/>
      <c r="BF94" s="141"/>
    </row>
    <row r="95" spans="1:70" x14ac:dyDescent="0.25">
      <c r="B95" s="140"/>
      <c r="C95" s="672">
        <v>1</v>
      </c>
      <c r="D95" s="1484">
        <f>'Customer Inputs'!$B$6</f>
        <v>0</v>
      </c>
      <c r="E95" s="1484"/>
      <c r="F95" s="1484"/>
      <c r="G95" s="1484"/>
      <c r="H95" s="1484"/>
      <c r="I95" s="1484"/>
      <c r="J95" s="1484"/>
      <c r="K95" s="1440" t="str">
        <f>IFERROR(IFERROR('Multi-Customer'!$BB$39,VLOOKUP($D95,'Required Info to Submit'!$E$23:$J$32,2,FALSE)),"")</f>
        <v/>
      </c>
      <c r="L95" s="1440"/>
      <c r="M95" s="1440"/>
      <c r="N95" s="1440"/>
      <c r="O95" s="1440"/>
      <c r="P95" s="1440"/>
      <c r="Q95" s="1440"/>
      <c r="R95" s="1440"/>
      <c r="S95" s="1440"/>
      <c r="T95" s="1440"/>
      <c r="U95" s="1440" t="str">
        <f>IFERROR(IFERROR('Multi-Customer'!$BB$41&amp;" "&amp;'Multi-Customer'!$BB$42,VLOOKUP($D95,'Required Info to Submit'!$E$23:$J$32,3,FALSE)),"")</f>
        <v/>
      </c>
      <c r="V95" s="1440"/>
      <c r="W95" s="1440"/>
      <c r="X95" s="1440"/>
      <c r="Y95" s="1440"/>
      <c r="Z95" s="1440"/>
      <c r="AA95" s="1440"/>
      <c r="AB95" s="1440"/>
      <c r="AC95" s="1440"/>
      <c r="AD95" s="1440"/>
      <c r="AE95" s="1440"/>
      <c r="AF95" s="1440"/>
      <c r="AG95" s="1440"/>
      <c r="AH95" s="1440"/>
      <c r="AI95" s="1440"/>
      <c r="AJ95" s="1501" t="str">
        <f>IFERROR(IFERROR('Multi-Customer'!$BB$43,VLOOKUP($D95,'Required Info to Submit'!$E$23:$J$32,4,FALSE)),"")</f>
        <v/>
      </c>
      <c r="AK95" s="1502"/>
      <c r="AL95" s="1502"/>
      <c r="AM95" s="1502"/>
      <c r="AN95" s="1502"/>
      <c r="AO95" s="1502"/>
      <c r="AP95" s="1502"/>
      <c r="AQ95" s="1502"/>
      <c r="AR95" s="1502"/>
      <c r="AS95" s="1502"/>
      <c r="AT95" s="1503"/>
      <c r="AU95" s="1505" t="str">
        <f>IFERROR(IFERROR('Multi-Customer'!$BB$44,VLOOKUP($D95,'Required Info to Submit'!$E$23:$J$32,5,FALSE)),"")</f>
        <v/>
      </c>
      <c r="AV95" s="1506"/>
      <c r="AW95" s="1506"/>
      <c r="AX95" s="1507"/>
      <c r="AY95" s="1511" t="str">
        <f>IFERROR(IFERROR('Multi-Customer'!$BB$45,VLOOKUP($D95,'Required Info to Submit'!$E$23:$J$32,6,FALSE)),"")</f>
        <v/>
      </c>
      <c r="AZ95" s="1512"/>
      <c r="BA95" s="1512"/>
      <c r="BB95" s="1512"/>
      <c r="BC95" s="1513"/>
      <c r="BF95" s="141"/>
    </row>
    <row r="96" spans="1:70" x14ac:dyDescent="0.25">
      <c r="B96" s="140"/>
      <c r="C96" s="673">
        <v>2</v>
      </c>
      <c r="D96" s="1483">
        <f>'Customer Inputs'!$B$7</f>
        <v>0</v>
      </c>
      <c r="E96" s="1483"/>
      <c r="F96" s="1483"/>
      <c r="G96" s="1483"/>
      <c r="H96" s="1483"/>
      <c r="I96" s="1483"/>
      <c r="J96" s="1483"/>
      <c r="K96" s="1427" t="str">
        <f>IFERROR(IFERROR('Multi-Customer'!$BY$39,VLOOKUP($D96,'Required Info to Submit'!$E$23:$J$32,2,FALSE)),"")</f>
        <v/>
      </c>
      <c r="L96" s="1427"/>
      <c r="M96" s="1427"/>
      <c r="N96" s="1427"/>
      <c r="O96" s="1427"/>
      <c r="P96" s="1427"/>
      <c r="Q96" s="1427"/>
      <c r="R96" s="1427"/>
      <c r="S96" s="1427"/>
      <c r="T96" s="1427"/>
      <c r="U96" s="1427" t="str">
        <f>IFERROR(IFERROR('Multi-Customer'!$BY$41&amp;" "&amp;'Multi-Customer'!$BY$42,VLOOKUP($D96,'Required Info to Submit'!$E$23:$J$32,3,FALSE)),"")</f>
        <v/>
      </c>
      <c r="V96" s="1427"/>
      <c r="W96" s="1427"/>
      <c r="X96" s="1427"/>
      <c r="Y96" s="1427"/>
      <c r="Z96" s="1427"/>
      <c r="AA96" s="1427"/>
      <c r="AB96" s="1427"/>
      <c r="AC96" s="1427"/>
      <c r="AD96" s="1427"/>
      <c r="AE96" s="1427"/>
      <c r="AF96" s="1427"/>
      <c r="AG96" s="1427"/>
      <c r="AH96" s="1427"/>
      <c r="AI96" s="1427"/>
      <c r="AJ96" s="1498" t="str">
        <f>IFERROR(IFERROR('Multi-Customer'!$BY$43,VLOOKUP($D96,'Required Info to Submit'!$E$23:$J$32,4,FALSE)),"")</f>
        <v/>
      </c>
      <c r="AK96" s="1499"/>
      <c r="AL96" s="1499"/>
      <c r="AM96" s="1499"/>
      <c r="AN96" s="1499"/>
      <c r="AO96" s="1499"/>
      <c r="AP96" s="1499"/>
      <c r="AQ96" s="1499"/>
      <c r="AR96" s="1499"/>
      <c r="AS96" s="1499"/>
      <c r="AT96" s="1500"/>
      <c r="AU96" s="1351" t="str">
        <f>IFERROR(IFERROR('Multi-Customer'!$BY$44,VLOOKUP($D96,'Required Info to Submit'!$E$23:$J$32,5,FALSE)),"")</f>
        <v/>
      </c>
      <c r="AV96" s="1352"/>
      <c r="AW96" s="1352"/>
      <c r="AX96" s="1353"/>
      <c r="AY96" s="1418" t="str">
        <f>IFERROR(IFERROR('Multi-Customer'!$BY$45,VLOOKUP($D96,'Required Info to Submit'!$E$23:$J$32,6,FALSE)),"")</f>
        <v/>
      </c>
      <c r="AZ96" s="1419"/>
      <c r="BA96" s="1419"/>
      <c r="BB96" s="1419"/>
      <c r="BC96" s="1420"/>
      <c r="BF96" s="141"/>
    </row>
    <row r="97" spans="2:58" x14ac:dyDescent="0.25">
      <c r="B97" s="140"/>
      <c r="C97" s="673">
        <v>3</v>
      </c>
      <c r="D97" s="1483">
        <f>'Customer Inputs'!$B$8</f>
        <v>0</v>
      </c>
      <c r="E97" s="1483"/>
      <c r="F97" s="1483"/>
      <c r="G97" s="1483"/>
      <c r="H97" s="1483"/>
      <c r="I97" s="1483"/>
      <c r="J97" s="1483"/>
      <c r="K97" s="1427" t="str">
        <f>IFERROR(IFERROR('Multi-Customer'!$CV$39,VLOOKUP($D97,'Required Info to Submit'!$E$23:$J$32,2,FALSE)),"")</f>
        <v/>
      </c>
      <c r="L97" s="1427"/>
      <c r="M97" s="1427"/>
      <c r="N97" s="1427"/>
      <c r="O97" s="1427"/>
      <c r="P97" s="1427"/>
      <c r="Q97" s="1427"/>
      <c r="R97" s="1427"/>
      <c r="S97" s="1427"/>
      <c r="T97" s="1427"/>
      <c r="U97" s="1427" t="str">
        <f>IFERROR(IFERROR('Multi-Customer'!$CV$41&amp;" "&amp;'Multi-Customer'!$CV$42,VLOOKUP($D97,'Required Info to Submit'!$E$23:$J$32,3,FALSE)),"")</f>
        <v/>
      </c>
      <c r="V97" s="1427"/>
      <c r="W97" s="1427"/>
      <c r="X97" s="1427"/>
      <c r="Y97" s="1427"/>
      <c r="Z97" s="1427"/>
      <c r="AA97" s="1427"/>
      <c r="AB97" s="1427"/>
      <c r="AC97" s="1427"/>
      <c r="AD97" s="1427"/>
      <c r="AE97" s="1427"/>
      <c r="AF97" s="1427"/>
      <c r="AG97" s="1427"/>
      <c r="AH97" s="1427"/>
      <c r="AI97" s="1427"/>
      <c r="AJ97" s="1498" t="str">
        <f>IFERROR(IFERROR('Multi-Customer'!$CV$43,VLOOKUP($D97,'Required Info to Submit'!$E$23:$J$32,4,FALSE)),"")</f>
        <v/>
      </c>
      <c r="AK97" s="1499"/>
      <c r="AL97" s="1499"/>
      <c r="AM97" s="1499"/>
      <c r="AN97" s="1499"/>
      <c r="AO97" s="1499"/>
      <c r="AP97" s="1499"/>
      <c r="AQ97" s="1499"/>
      <c r="AR97" s="1499"/>
      <c r="AS97" s="1499"/>
      <c r="AT97" s="1500"/>
      <c r="AU97" s="1351" t="str">
        <f>IFERROR(IFERROR('Multi-Customer'!$CV$44,VLOOKUP($D97,'Required Info to Submit'!$E$23:$J$32,5,FALSE)),"")</f>
        <v/>
      </c>
      <c r="AV97" s="1352"/>
      <c r="AW97" s="1352"/>
      <c r="AX97" s="1353"/>
      <c r="AY97" s="1418" t="str">
        <f>IFERROR(IFERROR('Multi-Customer'!$CV$45,VLOOKUP($D97,'Required Info to Submit'!$E$23:$J$32,6,FALSE)),"")</f>
        <v/>
      </c>
      <c r="AZ97" s="1419"/>
      <c r="BA97" s="1419"/>
      <c r="BB97" s="1419"/>
      <c r="BC97" s="1420"/>
      <c r="BF97" s="141"/>
    </row>
    <row r="98" spans="2:58" x14ac:dyDescent="0.25">
      <c r="B98" s="140"/>
      <c r="C98" s="673">
        <v>4</v>
      </c>
      <c r="D98" s="1483">
        <f>'Customer Inputs'!$B$9</f>
        <v>0</v>
      </c>
      <c r="E98" s="1483"/>
      <c r="F98" s="1483"/>
      <c r="G98" s="1483"/>
      <c r="H98" s="1483"/>
      <c r="I98" s="1483"/>
      <c r="J98" s="1483"/>
      <c r="K98" s="1427" t="str">
        <f>IFERROR(IFERROR('Multi-Customer'!$DS$39,VLOOKUP($D98,'Required Info to Submit'!$E$23:$J$32,2,FALSE)),"")</f>
        <v/>
      </c>
      <c r="L98" s="1427"/>
      <c r="M98" s="1427"/>
      <c r="N98" s="1427"/>
      <c r="O98" s="1427"/>
      <c r="P98" s="1427"/>
      <c r="Q98" s="1427"/>
      <c r="R98" s="1427"/>
      <c r="S98" s="1427"/>
      <c r="T98" s="1427"/>
      <c r="U98" s="1427" t="str">
        <f>IFERROR(IFERROR('Multi-Customer'!$DS$41&amp;" "&amp;'Multi-Customer'!$DS$42,VLOOKUP($D98,'Required Info to Submit'!$E$23:$J$32,3,FALSE)),"")</f>
        <v/>
      </c>
      <c r="V98" s="1427"/>
      <c r="W98" s="1427"/>
      <c r="X98" s="1427"/>
      <c r="Y98" s="1427"/>
      <c r="Z98" s="1427"/>
      <c r="AA98" s="1427"/>
      <c r="AB98" s="1427"/>
      <c r="AC98" s="1427"/>
      <c r="AD98" s="1427"/>
      <c r="AE98" s="1427"/>
      <c r="AF98" s="1427"/>
      <c r="AG98" s="1427"/>
      <c r="AH98" s="1427"/>
      <c r="AI98" s="1427"/>
      <c r="AJ98" s="1498" t="str">
        <f>IFERROR(IFERROR('Multi-Customer'!$DS$43,VLOOKUP($D98,'Required Info to Submit'!$E$23:$J$32,4,FALSE)),"")</f>
        <v/>
      </c>
      <c r="AK98" s="1499"/>
      <c r="AL98" s="1499"/>
      <c r="AM98" s="1499"/>
      <c r="AN98" s="1499"/>
      <c r="AO98" s="1499"/>
      <c r="AP98" s="1499"/>
      <c r="AQ98" s="1499"/>
      <c r="AR98" s="1499"/>
      <c r="AS98" s="1499"/>
      <c r="AT98" s="1500"/>
      <c r="AU98" s="1351" t="str">
        <f>IFERROR(IFERROR('Multi-Customer'!$DS$44,VLOOKUP($D98,'Required Info to Submit'!$E$23:$J$32,5,FALSE)),"")</f>
        <v/>
      </c>
      <c r="AV98" s="1352"/>
      <c r="AW98" s="1352"/>
      <c r="AX98" s="1353"/>
      <c r="AY98" s="1418" t="str">
        <f>IFERROR(IFERROR('Multi-Customer'!$DS$45,VLOOKUP($D98,'Required Info to Submit'!$E$23:$J$32,6,FALSE)),"")</f>
        <v/>
      </c>
      <c r="AZ98" s="1419"/>
      <c r="BA98" s="1419"/>
      <c r="BB98" s="1419"/>
      <c r="BC98" s="1420"/>
      <c r="BF98" s="141"/>
    </row>
    <row r="99" spans="2:58" x14ac:dyDescent="0.25">
      <c r="B99" s="140"/>
      <c r="C99" s="673">
        <v>5</v>
      </c>
      <c r="D99" s="1483">
        <f>'Customer Inputs'!$B$10</f>
        <v>0</v>
      </c>
      <c r="E99" s="1483"/>
      <c r="F99" s="1483"/>
      <c r="G99" s="1483"/>
      <c r="H99" s="1483"/>
      <c r="I99" s="1483"/>
      <c r="J99" s="1483"/>
      <c r="K99" s="1427" t="str">
        <f>IFERROR(IFERROR('Multi-Customer'!$EP$39,VLOOKUP($D99,'Required Info to Submit'!$E$23:$J$32,2,FALSE)),"")</f>
        <v/>
      </c>
      <c r="L99" s="1427"/>
      <c r="M99" s="1427"/>
      <c r="N99" s="1427"/>
      <c r="O99" s="1427"/>
      <c r="P99" s="1427"/>
      <c r="Q99" s="1427"/>
      <c r="R99" s="1427"/>
      <c r="S99" s="1427"/>
      <c r="T99" s="1427"/>
      <c r="U99" s="1427" t="str">
        <f>IFERROR(IFERROR('Multi-Customer'!$EP$41&amp;" "&amp;'Multi-Customer'!$EP$42,VLOOKUP($D99,'Required Info to Submit'!$E$23:$J$32,3,FALSE)),"")</f>
        <v/>
      </c>
      <c r="V99" s="1427"/>
      <c r="W99" s="1427"/>
      <c r="X99" s="1427"/>
      <c r="Y99" s="1427"/>
      <c r="Z99" s="1427"/>
      <c r="AA99" s="1427"/>
      <c r="AB99" s="1427"/>
      <c r="AC99" s="1427"/>
      <c r="AD99" s="1427"/>
      <c r="AE99" s="1427"/>
      <c r="AF99" s="1427"/>
      <c r="AG99" s="1427"/>
      <c r="AH99" s="1427"/>
      <c r="AI99" s="1427"/>
      <c r="AJ99" s="1498" t="str">
        <f>IFERROR(IFERROR('Multi-Customer'!$EP$43,VLOOKUP($D99,'Required Info to Submit'!$E$23:$J$32,4,FALSE)),"")</f>
        <v/>
      </c>
      <c r="AK99" s="1499"/>
      <c r="AL99" s="1499"/>
      <c r="AM99" s="1499"/>
      <c r="AN99" s="1499"/>
      <c r="AO99" s="1499"/>
      <c r="AP99" s="1499"/>
      <c r="AQ99" s="1499"/>
      <c r="AR99" s="1499"/>
      <c r="AS99" s="1499"/>
      <c r="AT99" s="1500"/>
      <c r="AU99" s="1351" t="str">
        <f>IFERROR(IFERROR('Multi-Customer'!$EP$44,VLOOKUP($D99,'Required Info to Submit'!$E$23:$J$32,5,FALSE)),"")</f>
        <v/>
      </c>
      <c r="AV99" s="1352"/>
      <c r="AW99" s="1352"/>
      <c r="AX99" s="1353"/>
      <c r="AY99" s="1418" t="str">
        <f>IFERROR(IFERROR('Multi-Customer'!$EP$45,VLOOKUP($D99,'Required Info to Submit'!$E$23:$J$32,6,FALSE)),"")</f>
        <v/>
      </c>
      <c r="AZ99" s="1419"/>
      <c r="BA99" s="1419"/>
      <c r="BB99" s="1419"/>
      <c r="BC99" s="1420"/>
      <c r="BF99" s="141"/>
    </row>
    <row r="100" spans="2:58" x14ac:dyDescent="0.25">
      <c r="B100" s="140"/>
      <c r="C100" s="673">
        <v>6</v>
      </c>
      <c r="D100" s="1483">
        <f>'Customer Inputs'!$B$11</f>
        <v>0</v>
      </c>
      <c r="E100" s="1483"/>
      <c r="F100" s="1483"/>
      <c r="G100" s="1483"/>
      <c r="H100" s="1483"/>
      <c r="I100" s="1483"/>
      <c r="J100" s="1483"/>
      <c r="K100" s="1427" t="str">
        <f>IFERROR(IFERROR('Multi-Customer'!$FM$39,VLOOKUP($D100,'Required Info to Submit'!$E$23:$J$32,2,FALSE)),"")</f>
        <v/>
      </c>
      <c r="L100" s="1427"/>
      <c r="M100" s="1427"/>
      <c r="N100" s="1427"/>
      <c r="O100" s="1427"/>
      <c r="P100" s="1427"/>
      <c r="Q100" s="1427"/>
      <c r="R100" s="1427"/>
      <c r="S100" s="1427"/>
      <c r="T100" s="1427"/>
      <c r="U100" s="1427" t="str">
        <f>IFERROR(IFERROR('Multi-Customer'!$FM$41&amp;" "&amp;'Multi-Customer'!$FM$42,VLOOKUP($D100,'Required Info to Submit'!$E$23:$J$32,3,FALSE)),"")</f>
        <v/>
      </c>
      <c r="V100" s="1427"/>
      <c r="W100" s="1427"/>
      <c r="X100" s="1427"/>
      <c r="Y100" s="1427"/>
      <c r="Z100" s="1427"/>
      <c r="AA100" s="1427"/>
      <c r="AB100" s="1427"/>
      <c r="AC100" s="1427"/>
      <c r="AD100" s="1427"/>
      <c r="AE100" s="1427"/>
      <c r="AF100" s="1427"/>
      <c r="AG100" s="1427"/>
      <c r="AH100" s="1427"/>
      <c r="AI100" s="1427"/>
      <c r="AJ100" s="1498" t="str">
        <f>IFERROR(IFERROR('Multi-Customer'!$FM$43,VLOOKUP($D100,'Required Info to Submit'!$E$23:$J$32,4,FALSE)),"")</f>
        <v/>
      </c>
      <c r="AK100" s="1499"/>
      <c r="AL100" s="1499"/>
      <c r="AM100" s="1499"/>
      <c r="AN100" s="1499"/>
      <c r="AO100" s="1499"/>
      <c r="AP100" s="1499"/>
      <c r="AQ100" s="1499"/>
      <c r="AR100" s="1499"/>
      <c r="AS100" s="1499"/>
      <c r="AT100" s="1500"/>
      <c r="AU100" s="1351" t="str">
        <f>IFERROR(IFERROR('Multi-Customer'!$FM$44,VLOOKUP($D100,'Required Info to Submit'!$E$23:$J$32,5,FALSE)),"")</f>
        <v/>
      </c>
      <c r="AV100" s="1352"/>
      <c r="AW100" s="1352"/>
      <c r="AX100" s="1353"/>
      <c r="AY100" s="1418" t="str">
        <f>IFERROR(IFERROR('Multi-Customer'!$FM$45,VLOOKUP($D100,'Required Info to Submit'!$E$23:$J$32,6,FALSE)),"")</f>
        <v/>
      </c>
      <c r="AZ100" s="1419"/>
      <c r="BA100" s="1419"/>
      <c r="BB100" s="1419"/>
      <c r="BC100" s="1420"/>
      <c r="BF100" s="141"/>
    </row>
    <row r="101" spans="2:58" x14ac:dyDescent="0.25">
      <c r="B101" s="140"/>
      <c r="C101" s="673">
        <v>7</v>
      </c>
      <c r="D101" s="1483">
        <f>'Customer Inputs'!$B$12</f>
        <v>0</v>
      </c>
      <c r="E101" s="1483"/>
      <c r="F101" s="1483"/>
      <c r="G101" s="1483"/>
      <c r="H101" s="1483"/>
      <c r="I101" s="1483"/>
      <c r="J101" s="1483"/>
      <c r="K101" s="1427" t="str">
        <f>IFERROR(IFERROR('Multi-Customer'!$GJ$39,VLOOKUP($D101,'Required Info to Submit'!$E$23:$J$32,2,FALSE)),"")</f>
        <v/>
      </c>
      <c r="L101" s="1427"/>
      <c r="M101" s="1427"/>
      <c r="N101" s="1427"/>
      <c r="O101" s="1427"/>
      <c r="P101" s="1427"/>
      <c r="Q101" s="1427"/>
      <c r="R101" s="1427"/>
      <c r="S101" s="1427"/>
      <c r="T101" s="1427"/>
      <c r="U101" s="1427" t="str">
        <f>IFERROR(IFERROR('Multi-Customer'!$GJ$41&amp;" "&amp;'Multi-Customer'!$GJ$42,VLOOKUP($D101,'Required Info to Submit'!$E$23:$J$32,3,FALSE)),"")</f>
        <v/>
      </c>
      <c r="V101" s="1427"/>
      <c r="W101" s="1427"/>
      <c r="X101" s="1427"/>
      <c r="Y101" s="1427"/>
      <c r="Z101" s="1427"/>
      <c r="AA101" s="1427"/>
      <c r="AB101" s="1427"/>
      <c r="AC101" s="1427"/>
      <c r="AD101" s="1427"/>
      <c r="AE101" s="1427"/>
      <c r="AF101" s="1427"/>
      <c r="AG101" s="1427"/>
      <c r="AH101" s="1427"/>
      <c r="AI101" s="1427"/>
      <c r="AJ101" s="1498" t="str">
        <f>IFERROR(IFERROR('Multi-Customer'!$GJ$43,VLOOKUP($D101,'Required Info to Submit'!$E$23:$J$32,4,FALSE)),"")</f>
        <v/>
      </c>
      <c r="AK101" s="1499"/>
      <c r="AL101" s="1499"/>
      <c r="AM101" s="1499"/>
      <c r="AN101" s="1499"/>
      <c r="AO101" s="1499"/>
      <c r="AP101" s="1499"/>
      <c r="AQ101" s="1499"/>
      <c r="AR101" s="1499"/>
      <c r="AS101" s="1499"/>
      <c r="AT101" s="1500"/>
      <c r="AU101" s="1351" t="str">
        <f>IFERROR(IFERROR('Multi-Customer'!$GJ$44,VLOOKUP($D101,'Required Info to Submit'!$E$23:$J$32,5,FALSE)),"")</f>
        <v/>
      </c>
      <c r="AV101" s="1352"/>
      <c r="AW101" s="1352"/>
      <c r="AX101" s="1353"/>
      <c r="AY101" s="1418" t="str">
        <f>IFERROR(IFERROR('Multi-Customer'!$GJ$45,VLOOKUP($D101,'Required Info to Submit'!$E$23:$J$32,6,FALSE)),"")</f>
        <v/>
      </c>
      <c r="AZ101" s="1419"/>
      <c r="BA101" s="1419"/>
      <c r="BB101" s="1419"/>
      <c r="BC101" s="1420"/>
      <c r="BF101" s="141"/>
    </row>
    <row r="102" spans="2:58" x14ac:dyDescent="0.25">
      <c r="B102" s="140"/>
      <c r="C102" s="673">
        <v>8</v>
      </c>
      <c r="D102" s="1483">
        <f>'Customer Inputs'!$B$13</f>
        <v>0</v>
      </c>
      <c r="E102" s="1483"/>
      <c r="F102" s="1483"/>
      <c r="G102" s="1483"/>
      <c r="H102" s="1483"/>
      <c r="I102" s="1483"/>
      <c r="J102" s="1483"/>
      <c r="K102" s="1427" t="str">
        <f>IFERROR(IFERROR('Multi-Customer'!$HG$39,VLOOKUP($D102,'Required Info to Submit'!$E$23:$J$32,2,FALSE)),"")</f>
        <v/>
      </c>
      <c r="L102" s="1427"/>
      <c r="M102" s="1427"/>
      <c r="N102" s="1427"/>
      <c r="O102" s="1427"/>
      <c r="P102" s="1427"/>
      <c r="Q102" s="1427"/>
      <c r="R102" s="1427"/>
      <c r="S102" s="1427"/>
      <c r="T102" s="1427"/>
      <c r="U102" s="1427" t="str">
        <f>IFERROR(IFERROR('Multi-Customer'!$HG$41&amp;" "&amp;'Multi-Customer'!$HG$42,VLOOKUP($D102,'Required Info to Submit'!$E$23:$J$32,3,FALSE)),"")</f>
        <v/>
      </c>
      <c r="V102" s="1427"/>
      <c r="W102" s="1427"/>
      <c r="X102" s="1427"/>
      <c r="Y102" s="1427"/>
      <c r="Z102" s="1427"/>
      <c r="AA102" s="1427"/>
      <c r="AB102" s="1427"/>
      <c r="AC102" s="1427"/>
      <c r="AD102" s="1427"/>
      <c r="AE102" s="1427"/>
      <c r="AF102" s="1427"/>
      <c r="AG102" s="1427"/>
      <c r="AH102" s="1427"/>
      <c r="AI102" s="1427"/>
      <c r="AJ102" s="1498" t="str">
        <f>IFERROR(IFERROR('Multi-Customer'!$HG$43,VLOOKUP($D102,'Required Info to Submit'!$E$23:$J$32,4,FALSE)),"")</f>
        <v/>
      </c>
      <c r="AK102" s="1499"/>
      <c r="AL102" s="1499"/>
      <c r="AM102" s="1499"/>
      <c r="AN102" s="1499"/>
      <c r="AO102" s="1499"/>
      <c r="AP102" s="1499"/>
      <c r="AQ102" s="1499"/>
      <c r="AR102" s="1499"/>
      <c r="AS102" s="1499"/>
      <c r="AT102" s="1500"/>
      <c r="AU102" s="1351" t="str">
        <f>IFERROR(IFERROR('Multi-Customer'!$HG$44,VLOOKUP($D102,'Required Info to Submit'!$E$23:$J$32,5,FALSE)),"")</f>
        <v/>
      </c>
      <c r="AV102" s="1352"/>
      <c r="AW102" s="1352"/>
      <c r="AX102" s="1353"/>
      <c r="AY102" s="1418" t="str">
        <f>IFERROR(IFERROR('Multi-Customer'!$HG$45,VLOOKUP($D102,'Required Info to Submit'!$E$23:$J$32,6,FALSE)),"")</f>
        <v/>
      </c>
      <c r="AZ102" s="1419"/>
      <c r="BA102" s="1419"/>
      <c r="BB102" s="1419"/>
      <c r="BC102" s="1420"/>
      <c r="BF102" s="141"/>
    </row>
    <row r="103" spans="2:58" x14ac:dyDescent="0.25">
      <c r="B103" s="140"/>
      <c r="C103" s="673">
        <v>9</v>
      </c>
      <c r="D103" s="1483">
        <f>'Customer Inputs'!$B$14</f>
        <v>0</v>
      </c>
      <c r="E103" s="1483"/>
      <c r="F103" s="1483"/>
      <c r="G103" s="1483"/>
      <c r="H103" s="1483"/>
      <c r="I103" s="1483"/>
      <c r="J103" s="1483"/>
      <c r="K103" s="1427" t="str">
        <f>IFERROR(IFERROR('Multi-Customer'!$ID$39,VLOOKUP($D103,'Required Info to Submit'!$E$23:$J$32,2,FALSE)),"")</f>
        <v/>
      </c>
      <c r="L103" s="1427"/>
      <c r="M103" s="1427"/>
      <c r="N103" s="1427"/>
      <c r="O103" s="1427"/>
      <c r="P103" s="1427"/>
      <c r="Q103" s="1427"/>
      <c r="R103" s="1427"/>
      <c r="S103" s="1427"/>
      <c r="T103" s="1427"/>
      <c r="U103" s="1427" t="str">
        <f>IFERROR(IFERROR('Multi-Customer'!$ID$41&amp;" "&amp;'Multi-Customer'!$ID$42,VLOOKUP($D103,'Required Info to Submit'!$E$23:$J$32,3,FALSE)),"")</f>
        <v/>
      </c>
      <c r="V103" s="1427"/>
      <c r="W103" s="1427"/>
      <c r="X103" s="1427"/>
      <c r="Y103" s="1427"/>
      <c r="Z103" s="1427"/>
      <c r="AA103" s="1427"/>
      <c r="AB103" s="1427"/>
      <c r="AC103" s="1427"/>
      <c r="AD103" s="1427"/>
      <c r="AE103" s="1427"/>
      <c r="AF103" s="1427"/>
      <c r="AG103" s="1427"/>
      <c r="AH103" s="1427"/>
      <c r="AI103" s="1427"/>
      <c r="AJ103" s="1498" t="str">
        <f>IFERROR(IFERROR('Multi-Customer'!$ID$43,VLOOKUP($D103,'Required Info to Submit'!$E$23:$J$32,4,FALSE)),"")</f>
        <v/>
      </c>
      <c r="AK103" s="1499"/>
      <c r="AL103" s="1499"/>
      <c r="AM103" s="1499"/>
      <c r="AN103" s="1499"/>
      <c r="AO103" s="1499"/>
      <c r="AP103" s="1499"/>
      <c r="AQ103" s="1499"/>
      <c r="AR103" s="1499"/>
      <c r="AS103" s="1499"/>
      <c r="AT103" s="1500"/>
      <c r="AU103" s="1351" t="str">
        <f>IFERROR(IFERROR('Multi-Customer'!$ID$44,VLOOKUP($D103,'Required Info to Submit'!$E$23:$J$32,5,FALSE)),"")</f>
        <v/>
      </c>
      <c r="AV103" s="1352"/>
      <c r="AW103" s="1352"/>
      <c r="AX103" s="1353"/>
      <c r="AY103" s="1418" t="str">
        <f>IFERROR(IFERROR('Multi-Customer'!$ID$45,VLOOKUP($D103,'Required Info to Submit'!$E$23:$J$32,6,FALSE)),"")</f>
        <v/>
      </c>
      <c r="AZ103" s="1419"/>
      <c r="BA103" s="1419"/>
      <c r="BB103" s="1419"/>
      <c r="BC103" s="1420"/>
      <c r="BF103" s="141"/>
    </row>
    <row r="104" spans="2:58" ht="15.75" thickBot="1" x14ac:dyDescent="0.3">
      <c r="B104" s="140"/>
      <c r="C104" s="674">
        <v>10</v>
      </c>
      <c r="D104" s="1494">
        <f>'Customer Inputs'!$B$15</f>
        <v>0</v>
      </c>
      <c r="E104" s="1494"/>
      <c r="F104" s="1494"/>
      <c r="G104" s="1494"/>
      <c r="H104" s="1494"/>
      <c r="I104" s="1494"/>
      <c r="J104" s="1494"/>
      <c r="K104" s="1493" t="str">
        <f>IFERROR(IFERROR('Multi-Customer'!$JA$39,VLOOKUP($D104,'Required Info to Submit'!$E$23:$J$32,2,FALSE)),"")</f>
        <v/>
      </c>
      <c r="L104" s="1493"/>
      <c r="M104" s="1493"/>
      <c r="N104" s="1493"/>
      <c r="O104" s="1493"/>
      <c r="P104" s="1493"/>
      <c r="Q104" s="1493"/>
      <c r="R104" s="1493"/>
      <c r="S104" s="1493"/>
      <c r="T104" s="1493"/>
      <c r="U104" s="1493" t="str">
        <f>IFERROR(IFERROR('Multi-Customer'!$JA$41&amp;" "&amp;'Multi-Customer'!$JA$42,VLOOKUP($D104,'Required Info to Submit'!$E$23:$J$32,3,FALSE)),"")</f>
        <v/>
      </c>
      <c r="V104" s="1493"/>
      <c r="W104" s="1493"/>
      <c r="X104" s="1493"/>
      <c r="Y104" s="1493"/>
      <c r="Z104" s="1493"/>
      <c r="AA104" s="1493"/>
      <c r="AB104" s="1493"/>
      <c r="AC104" s="1493"/>
      <c r="AD104" s="1493"/>
      <c r="AE104" s="1493"/>
      <c r="AF104" s="1493"/>
      <c r="AG104" s="1493"/>
      <c r="AH104" s="1493"/>
      <c r="AI104" s="1493"/>
      <c r="AJ104" s="1495" t="str">
        <f>IFERROR(IFERROR('Multi-Customer'!$JA$43,VLOOKUP($D104,'Required Info to Submit'!$E$23:$J$32,4,FALSE)),"")</f>
        <v/>
      </c>
      <c r="AK104" s="1496"/>
      <c r="AL104" s="1496"/>
      <c r="AM104" s="1496"/>
      <c r="AN104" s="1496"/>
      <c r="AO104" s="1496"/>
      <c r="AP104" s="1496"/>
      <c r="AQ104" s="1496"/>
      <c r="AR104" s="1496"/>
      <c r="AS104" s="1496"/>
      <c r="AT104" s="1497"/>
      <c r="AU104" s="1515" t="str">
        <f>IFERROR(IFERROR('Multi-Customer'!$JA$44,VLOOKUP($D104,'Required Info to Submit'!$E$23:$J$32,5,FALSE)),"")</f>
        <v/>
      </c>
      <c r="AV104" s="1516"/>
      <c r="AW104" s="1516"/>
      <c r="AX104" s="1517"/>
      <c r="AY104" s="1508" t="str">
        <f>IFERROR(IFERROR('Multi-Customer'!$JA$45,VLOOKUP($D104,'Required Info to Submit'!$E$23:$J$32,6,FALSE)),"")</f>
        <v/>
      </c>
      <c r="AZ104" s="1509"/>
      <c r="BA104" s="1509"/>
      <c r="BB104" s="1509"/>
      <c r="BC104" s="1510"/>
      <c r="BF104" s="141"/>
    </row>
    <row r="105" spans="2:58" x14ac:dyDescent="0.25">
      <c r="B105" s="140"/>
      <c r="BF105" s="141"/>
    </row>
    <row r="106" spans="2:58" x14ac:dyDescent="0.25">
      <c r="B106" s="140"/>
      <c r="BF106" s="141"/>
    </row>
    <row r="107" spans="2:58" ht="18.75" x14ac:dyDescent="0.3">
      <c r="B107" s="1471" t="s">
        <v>1041</v>
      </c>
      <c r="C107" s="1472"/>
      <c r="D107" s="1472"/>
      <c r="E107" s="1472"/>
      <c r="F107" s="1472"/>
      <c r="G107" s="1472"/>
      <c r="H107" s="1472"/>
      <c r="I107" s="1472"/>
      <c r="J107" s="1472"/>
      <c r="K107" s="1472"/>
      <c r="L107" s="1472"/>
      <c r="M107" s="1472"/>
      <c r="N107" s="1472"/>
      <c r="O107" s="1472"/>
      <c r="P107" s="1472"/>
      <c r="Q107" s="1472"/>
      <c r="R107" s="1472"/>
      <c r="S107" s="1472"/>
      <c r="T107" s="1472"/>
      <c r="U107" s="1472"/>
      <c r="V107" s="1472"/>
      <c r="W107" s="1472"/>
      <c r="X107" s="1472"/>
      <c r="Y107" s="1472"/>
      <c r="Z107" s="1472"/>
      <c r="AA107" s="1472"/>
      <c r="AB107" s="1472"/>
      <c r="AC107" s="1472"/>
      <c r="AD107" s="1472"/>
      <c r="AE107" s="1472"/>
      <c r="AF107" s="1472"/>
      <c r="AG107" s="1472"/>
      <c r="AH107" s="1472"/>
      <c r="AI107" s="1472"/>
      <c r="AJ107" s="1472"/>
      <c r="AK107" s="1472"/>
      <c r="AL107" s="1472"/>
      <c r="AM107" s="1472"/>
      <c r="AN107" s="1472"/>
      <c r="AO107" s="1472"/>
      <c r="AP107" s="1472"/>
      <c r="AQ107" s="1472"/>
      <c r="AR107" s="1472"/>
      <c r="AS107" s="1472"/>
      <c r="AT107" s="1472"/>
      <c r="AU107" s="1472"/>
      <c r="AV107" s="1472"/>
      <c r="AW107" s="1472"/>
      <c r="AX107" s="1472"/>
      <c r="AY107" s="1472"/>
      <c r="AZ107" s="1472"/>
      <c r="BA107" s="1472"/>
      <c r="BB107" s="1472"/>
      <c r="BC107" s="1472"/>
      <c r="BD107" s="1472"/>
      <c r="BE107" s="1472"/>
      <c r="BF107" s="1473"/>
    </row>
    <row r="108" spans="2:58" ht="15.75" thickBot="1" x14ac:dyDescent="0.3">
      <c r="B108" s="140"/>
      <c r="BF108" s="141"/>
    </row>
    <row r="109" spans="2:58" ht="29.45" customHeight="1" thickBot="1" x14ac:dyDescent="0.3">
      <c r="B109" s="720" t="s">
        <v>1034</v>
      </c>
      <c r="D109" s="268"/>
      <c r="E109" s="268"/>
      <c r="F109" s="268"/>
      <c r="G109" s="268"/>
      <c r="H109" s="268"/>
      <c r="I109" s="268"/>
      <c r="J109" s="268"/>
      <c r="K109" s="268"/>
      <c r="L109" s="268"/>
      <c r="M109" s="268"/>
      <c r="N109" s="268"/>
      <c r="O109" s="268"/>
      <c r="P109" s="268"/>
      <c r="Q109" s="268"/>
      <c r="R109" s="268"/>
      <c r="S109" s="268"/>
      <c r="T109" s="268"/>
      <c r="U109" s="1442" t="s">
        <v>1042</v>
      </c>
      <c r="V109" s="1413"/>
      <c r="W109" s="1413"/>
      <c r="X109" s="1413"/>
      <c r="Y109" s="1413"/>
      <c r="Z109" s="1413" t="s">
        <v>1035</v>
      </c>
      <c r="AA109" s="1413"/>
      <c r="AB109" s="1413"/>
      <c r="AC109" s="1413"/>
      <c r="AD109" s="1413"/>
      <c r="AE109" s="1413"/>
      <c r="AF109" s="1413" t="s">
        <v>1036</v>
      </c>
      <c r="AG109" s="1413"/>
      <c r="AH109" s="1413"/>
      <c r="AI109" s="1413"/>
      <c r="AJ109" s="1413"/>
      <c r="AK109" s="1413"/>
      <c r="AL109" s="1413"/>
      <c r="AM109" s="1413" t="s">
        <v>1039</v>
      </c>
      <c r="AN109" s="1413"/>
      <c r="AO109" s="1413"/>
      <c r="AP109" s="1413"/>
      <c r="AQ109" s="1413"/>
      <c r="AR109" s="1413"/>
      <c r="AS109" s="1414"/>
      <c r="AT109" s="268"/>
      <c r="AU109" s="268"/>
      <c r="AV109" s="268"/>
      <c r="AW109" s="268"/>
      <c r="AX109" s="268"/>
      <c r="AY109" s="268"/>
      <c r="AZ109" s="268"/>
      <c r="BA109" s="268"/>
      <c r="BB109" s="268"/>
      <c r="BC109" s="268"/>
      <c r="BD109" s="268"/>
      <c r="BE109" s="268"/>
      <c r="BF109" s="678"/>
    </row>
    <row r="110" spans="2:58" x14ac:dyDescent="0.25">
      <c r="B110" s="140"/>
      <c r="D110" s="1439" t="s">
        <v>99</v>
      </c>
      <c r="E110" s="1440"/>
      <c r="F110" s="1440"/>
      <c r="G110" s="1440"/>
      <c r="H110" s="1440"/>
      <c r="I110" s="1440"/>
      <c r="J110" s="1440"/>
      <c r="K110" s="1440"/>
      <c r="L110" s="1440"/>
      <c r="M110" s="1440"/>
      <c r="N110" s="1440"/>
      <c r="O110" s="1440"/>
      <c r="P110" s="1440"/>
      <c r="Q110" s="1440"/>
      <c r="R110" s="1440"/>
      <c r="S110" s="1440"/>
      <c r="T110" s="1441"/>
      <c r="U110" s="1430" t="str">
        <f>IF('PIM Model'!$B$10=0,"",'PIM Model'!$B$10)</f>
        <v/>
      </c>
      <c r="V110" s="1431"/>
      <c r="W110" s="1431"/>
      <c r="X110" s="1431"/>
      <c r="Y110" s="1431"/>
      <c r="Z110" s="1431" t="str">
        <f>'PIM Model'!$AF$10</f>
        <v/>
      </c>
      <c r="AA110" s="1431"/>
      <c r="AB110" s="1431"/>
      <c r="AC110" s="1431"/>
      <c r="AD110" s="1431"/>
      <c r="AE110" s="1431"/>
      <c r="AF110" s="1415" t="str">
        <f>'PIM Model'!$AG$10</f>
        <v/>
      </c>
      <c r="AG110" s="1416"/>
      <c r="AH110" s="1416"/>
      <c r="AI110" s="1416"/>
      <c r="AJ110" s="1416"/>
      <c r="AK110" s="1416"/>
      <c r="AL110" s="1423"/>
      <c r="AM110" s="1415" t="str">
        <f>'PIM Model'!$AH$10</f>
        <v/>
      </c>
      <c r="AN110" s="1416"/>
      <c r="AO110" s="1416"/>
      <c r="AP110" s="1416"/>
      <c r="AQ110" s="1416"/>
      <c r="AR110" s="1416"/>
      <c r="AS110" s="1417"/>
      <c r="BF110" s="141"/>
    </row>
    <row r="111" spans="2:58" x14ac:dyDescent="0.25">
      <c r="B111" s="140"/>
      <c r="D111" s="1426" t="s">
        <v>103</v>
      </c>
      <c r="E111" s="1427"/>
      <c r="F111" s="1427"/>
      <c r="G111" s="1427"/>
      <c r="H111" s="1427"/>
      <c r="I111" s="1427"/>
      <c r="J111" s="1427"/>
      <c r="K111" s="1427"/>
      <c r="L111" s="1427"/>
      <c r="M111" s="1427"/>
      <c r="N111" s="1427"/>
      <c r="O111" s="1427"/>
      <c r="P111" s="1427"/>
      <c r="Q111" s="1427"/>
      <c r="R111" s="1427"/>
      <c r="S111" s="1427"/>
      <c r="T111" s="1428"/>
      <c r="U111" s="1425" t="str">
        <f>IF('PIM Model'!$B$11=0,"",'PIM Model'!$B$11)</f>
        <v/>
      </c>
      <c r="V111" s="1350"/>
      <c r="W111" s="1350"/>
      <c r="X111" s="1350"/>
      <c r="Y111" s="1350"/>
      <c r="Z111" s="1350" t="str">
        <f>'PIM Model'!$AF$11</f>
        <v/>
      </c>
      <c r="AA111" s="1350"/>
      <c r="AB111" s="1350"/>
      <c r="AC111" s="1350"/>
      <c r="AD111" s="1350"/>
      <c r="AE111" s="1350"/>
      <c r="AF111" s="1418" t="str">
        <f>'PIM Model'!$AG$11</f>
        <v/>
      </c>
      <c r="AG111" s="1419"/>
      <c r="AH111" s="1419"/>
      <c r="AI111" s="1419"/>
      <c r="AJ111" s="1419"/>
      <c r="AK111" s="1419"/>
      <c r="AL111" s="1424"/>
      <c r="AM111" s="1418" t="str">
        <f>'PIM Model'!$AH$11</f>
        <v/>
      </c>
      <c r="AN111" s="1419"/>
      <c r="AO111" s="1419"/>
      <c r="AP111" s="1419"/>
      <c r="AQ111" s="1419"/>
      <c r="AR111" s="1419"/>
      <c r="AS111" s="1420"/>
      <c r="BF111" s="141"/>
    </row>
    <row r="112" spans="2:58" x14ac:dyDescent="0.25">
      <c r="B112" s="140"/>
      <c r="D112" s="1426" t="s">
        <v>1445</v>
      </c>
      <c r="E112" s="1427"/>
      <c r="F112" s="1427"/>
      <c r="G112" s="1427"/>
      <c r="H112" s="1427"/>
      <c r="I112" s="1427"/>
      <c r="J112" s="1427"/>
      <c r="K112" s="1427"/>
      <c r="L112" s="1427"/>
      <c r="M112" s="1427"/>
      <c r="N112" s="1427"/>
      <c r="O112" s="1427"/>
      <c r="P112" s="1427"/>
      <c r="Q112" s="1427"/>
      <c r="R112" s="1427"/>
      <c r="S112" s="1427"/>
      <c r="T112" s="1428"/>
      <c r="U112" s="1425" t="str">
        <f>IF('PIM Model'!$B$12=0,"",'PIM Model'!$B$12)</f>
        <v/>
      </c>
      <c r="V112" s="1350"/>
      <c r="W112" s="1350"/>
      <c r="X112" s="1350"/>
      <c r="Y112" s="1350"/>
      <c r="Z112" s="1350" t="str">
        <f>'PIM Model'!$AF$12</f>
        <v/>
      </c>
      <c r="AA112" s="1350"/>
      <c r="AB112" s="1350"/>
      <c r="AC112" s="1350"/>
      <c r="AD112" s="1350"/>
      <c r="AE112" s="1350"/>
      <c r="AF112" s="1418" t="str">
        <f>'PIM Model'!$AG$12</f>
        <v/>
      </c>
      <c r="AG112" s="1419"/>
      <c r="AH112" s="1419"/>
      <c r="AI112" s="1419"/>
      <c r="AJ112" s="1419"/>
      <c r="AK112" s="1419"/>
      <c r="AL112" s="1424"/>
      <c r="AM112" s="1418" t="str">
        <f>'PIM Model'!$AH$12</f>
        <v/>
      </c>
      <c r="AN112" s="1419"/>
      <c r="AO112" s="1419"/>
      <c r="AP112" s="1419"/>
      <c r="AQ112" s="1419"/>
      <c r="AR112" s="1419"/>
      <c r="AS112" s="1420"/>
      <c r="BF112" s="141"/>
    </row>
    <row r="113" spans="2:58" x14ac:dyDescent="0.25">
      <c r="B113" s="140"/>
      <c r="D113" s="1426" t="s">
        <v>102</v>
      </c>
      <c r="E113" s="1427"/>
      <c r="F113" s="1427"/>
      <c r="G113" s="1427"/>
      <c r="H113" s="1427"/>
      <c r="I113" s="1427"/>
      <c r="J113" s="1427"/>
      <c r="K113" s="1427"/>
      <c r="L113" s="1427"/>
      <c r="M113" s="1427"/>
      <c r="N113" s="1427"/>
      <c r="O113" s="1427"/>
      <c r="P113" s="1427"/>
      <c r="Q113" s="1427"/>
      <c r="R113" s="1427"/>
      <c r="S113" s="1427"/>
      <c r="T113" s="1428"/>
      <c r="U113" s="1425" t="str">
        <f>IF('PIM Model'!$B$13=0,"",'PIM Model'!$B$13)</f>
        <v/>
      </c>
      <c r="V113" s="1350"/>
      <c r="W113" s="1350"/>
      <c r="X113" s="1350"/>
      <c r="Y113" s="1350"/>
      <c r="Z113" s="1350" t="str">
        <f>'PIM Model'!$AF$13</f>
        <v/>
      </c>
      <c r="AA113" s="1350"/>
      <c r="AB113" s="1350"/>
      <c r="AC113" s="1350"/>
      <c r="AD113" s="1350"/>
      <c r="AE113" s="1350"/>
      <c r="AF113" s="1418" t="str">
        <f>'PIM Model'!$AG$13</f>
        <v/>
      </c>
      <c r="AG113" s="1419"/>
      <c r="AH113" s="1419"/>
      <c r="AI113" s="1419"/>
      <c r="AJ113" s="1419"/>
      <c r="AK113" s="1419"/>
      <c r="AL113" s="1424"/>
      <c r="AM113" s="1418" t="str">
        <f>'PIM Model'!$AH$13</f>
        <v/>
      </c>
      <c r="AN113" s="1419"/>
      <c r="AO113" s="1419"/>
      <c r="AP113" s="1419"/>
      <c r="AQ113" s="1419"/>
      <c r="AR113" s="1419"/>
      <c r="AS113" s="1420"/>
      <c r="BF113" s="141"/>
    </row>
    <row r="114" spans="2:58" x14ac:dyDescent="0.25">
      <c r="B114" s="140"/>
      <c r="D114" s="1426" t="s">
        <v>100</v>
      </c>
      <c r="E114" s="1427"/>
      <c r="F114" s="1427"/>
      <c r="G114" s="1427"/>
      <c r="H114" s="1427"/>
      <c r="I114" s="1427"/>
      <c r="J114" s="1427"/>
      <c r="K114" s="1427"/>
      <c r="L114" s="1427"/>
      <c r="M114" s="1427"/>
      <c r="N114" s="1427"/>
      <c r="O114" s="1427"/>
      <c r="P114" s="1427"/>
      <c r="Q114" s="1427"/>
      <c r="R114" s="1427"/>
      <c r="S114" s="1427"/>
      <c r="T114" s="1428"/>
      <c r="U114" s="1425" t="str">
        <f>IF('PIM Model'!$B$14=0,"",'PIM Model'!$B$14)</f>
        <v/>
      </c>
      <c r="V114" s="1350"/>
      <c r="W114" s="1350"/>
      <c r="X114" s="1350"/>
      <c r="Y114" s="1350"/>
      <c r="Z114" s="1350" t="str">
        <f>'PIM Model'!$AF$14</f>
        <v/>
      </c>
      <c r="AA114" s="1350"/>
      <c r="AB114" s="1350"/>
      <c r="AC114" s="1350"/>
      <c r="AD114" s="1350"/>
      <c r="AE114" s="1350"/>
      <c r="AF114" s="1418" t="str">
        <f>'PIM Model'!$AG$14</f>
        <v/>
      </c>
      <c r="AG114" s="1419"/>
      <c r="AH114" s="1419"/>
      <c r="AI114" s="1419"/>
      <c r="AJ114" s="1419"/>
      <c r="AK114" s="1419"/>
      <c r="AL114" s="1424"/>
      <c r="AM114" s="1418" t="str">
        <f>'PIM Model'!$AH$14</f>
        <v/>
      </c>
      <c r="AN114" s="1419"/>
      <c r="AO114" s="1419"/>
      <c r="AP114" s="1419"/>
      <c r="AQ114" s="1419"/>
      <c r="AR114" s="1419"/>
      <c r="AS114" s="1420"/>
      <c r="BF114" s="141"/>
    </row>
    <row r="115" spans="2:58" x14ac:dyDescent="0.25">
      <c r="B115" s="140"/>
      <c r="D115" s="1426" t="s">
        <v>104</v>
      </c>
      <c r="E115" s="1427"/>
      <c r="F115" s="1427"/>
      <c r="G115" s="1427"/>
      <c r="H115" s="1427"/>
      <c r="I115" s="1427"/>
      <c r="J115" s="1427"/>
      <c r="K115" s="1427"/>
      <c r="L115" s="1427"/>
      <c r="M115" s="1427"/>
      <c r="N115" s="1427"/>
      <c r="O115" s="1427"/>
      <c r="P115" s="1427"/>
      <c r="Q115" s="1427"/>
      <c r="R115" s="1427"/>
      <c r="S115" s="1427"/>
      <c r="T115" s="1428"/>
      <c r="U115" s="1425" t="str">
        <f>IF('PIM Model'!$B$15=0,"",'PIM Model'!$B$15)</f>
        <v/>
      </c>
      <c r="V115" s="1350"/>
      <c r="W115" s="1350"/>
      <c r="X115" s="1350"/>
      <c r="Y115" s="1350"/>
      <c r="Z115" s="1350" t="str">
        <f>'PIM Model'!$AF$15</f>
        <v/>
      </c>
      <c r="AA115" s="1350"/>
      <c r="AB115" s="1350"/>
      <c r="AC115" s="1350"/>
      <c r="AD115" s="1350"/>
      <c r="AE115" s="1350"/>
      <c r="AF115" s="1418" t="str">
        <f>'PIM Model'!$AG$15</f>
        <v/>
      </c>
      <c r="AG115" s="1419"/>
      <c r="AH115" s="1419"/>
      <c r="AI115" s="1419"/>
      <c r="AJ115" s="1419"/>
      <c r="AK115" s="1419"/>
      <c r="AL115" s="1424"/>
      <c r="AM115" s="1418" t="str">
        <f>'PIM Model'!$AH$15</f>
        <v/>
      </c>
      <c r="AN115" s="1419"/>
      <c r="AO115" s="1419"/>
      <c r="AP115" s="1419"/>
      <c r="AQ115" s="1419"/>
      <c r="AR115" s="1419"/>
      <c r="AS115" s="1420"/>
      <c r="BF115" s="141"/>
    </row>
    <row r="116" spans="2:58" x14ac:dyDescent="0.25">
      <c r="B116" s="140"/>
      <c r="D116" s="1426" t="s">
        <v>98</v>
      </c>
      <c r="E116" s="1427"/>
      <c r="F116" s="1427"/>
      <c r="G116" s="1427"/>
      <c r="H116" s="1427"/>
      <c r="I116" s="1427"/>
      <c r="J116" s="1427"/>
      <c r="K116" s="1427"/>
      <c r="L116" s="1427"/>
      <c r="M116" s="1427"/>
      <c r="N116" s="1427"/>
      <c r="O116" s="1427"/>
      <c r="P116" s="1427"/>
      <c r="Q116" s="1427"/>
      <c r="R116" s="1427"/>
      <c r="S116" s="1427"/>
      <c r="T116" s="1428"/>
      <c r="U116" s="1425" t="str">
        <f>IF('PIM Model'!$B$16=0,"",'PIM Model'!$B$16)</f>
        <v/>
      </c>
      <c r="V116" s="1350"/>
      <c r="W116" s="1350"/>
      <c r="X116" s="1350"/>
      <c r="Y116" s="1350"/>
      <c r="Z116" s="1350" t="str">
        <f>'PIM Model'!$AF$16</f>
        <v/>
      </c>
      <c r="AA116" s="1350"/>
      <c r="AB116" s="1350"/>
      <c r="AC116" s="1350"/>
      <c r="AD116" s="1350"/>
      <c r="AE116" s="1350"/>
      <c r="AF116" s="1418" t="str">
        <f>'PIM Model'!$AG$16</f>
        <v/>
      </c>
      <c r="AG116" s="1419"/>
      <c r="AH116" s="1419"/>
      <c r="AI116" s="1419"/>
      <c r="AJ116" s="1419"/>
      <c r="AK116" s="1419"/>
      <c r="AL116" s="1424"/>
      <c r="AM116" s="1418" t="str">
        <f>'PIM Model'!$AH$16</f>
        <v/>
      </c>
      <c r="AN116" s="1419"/>
      <c r="AO116" s="1419"/>
      <c r="AP116" s="1419"/>
      <c r="AQ116" s="1419"/>
      <c r="AR116" s="1419"/>
      <c r="AS116" s="1420"/>
      <c r="BF116" s="141"/>
    </row>
    <row r="117" spans="2:58" x14ac:dyDescent="0.25">
      <c r="B117" s="140"/>
      <c r="D117" s="1426" t="s">
        <v>95</v>
      </c>
      <c r="E117" s="1427"/>
      <c r="F117" s="1427"/>
      <c r="G117" s="1427"/>
      <c r="H117" s="1427"/>
      <c r="I117" s="1427"/>
      <c r="J117" s="1427"/>
      <c r="K117" s="1427"/>
      <c r="L117" s="1427"/>
      <c r="M117" s="1427"/>
      <c r="N117" s="1427"/>
      <c r="O117" s="1427"/>
      <c r="P117" s="1427"/>
      <c r="Q117" s="1427"/>
      <c r="R117" s="1427"/>
      <c r="S117" s="1427"/>
      <c r="T117" s="1428"/>
      <c r="U117" s="1425" t="str">
        <f>IF('PIM Model'!$B$17=0,"",'PIM Model'!$B$17)</f>
        <v/>
      </c>
      <c r="V117" s="1350"/>
      <c r="W117" s="1350"/>
      <c r="X117" s="1350"/>
      <c r="Y117" s="1350"/>
      <c r="Z117" s="1350" t="str">
        <f>'PIM Model'!$AF$17</f>
        <v/>
      </c>
      <c r="AA117" s="1350"/>
      <c r="AB117" s="1350"/>
      <c r="AC117" s="1350"/>
      <c r="AD117" s="1350"/>
      <c r="AE117" s="1350"/>
      <c r="AF117" s="1418" t="str">
        <f>'PIM Model'!$AG$17</f>
        <v/>
      </c>
      <c r="AG117" s="1419"/>
      <c r="AH117" s="1419"/>
      <c r="AI117" s="1419"/>
      <c r="AJ117" s="1419"/>
      <c r="AK117" s="1419"/>
      <c r="AL117" s="1424"/>
      <c r="AM117" s="1418" t="str">
        <f>'PIM Model'!$AH$17</f>
        <v/>
      </c>
      <c r="AN117" s="1419"/>
      <c r="AO117" s="1419"/>
      <c r="AP117" s="1419"/>
      <c r="AQ117" s="1419"/>
      <c r="AR117" s="1419"/>
      <c r="AS117" s="1420"/>
      <c r="BF117" s="141"/>
    </row>
    <row r="118" spans="2:58" x14ac:dyDescent="0.25">
      <c r="B118" s="140"/>
      <c r="D118" s="1426" t="s">
        <v>96</v>
      </c>
      <c r="E118" s="1427"/>
      <c r="F118" s="1427"/>
      <c r="G118" s="1427"/>
      <c r="H118" s="1427"/>
      <c r="I118" s="1427"/>
      <c r="J118" s="1427"/>
      <c r="K118" s="1427"/>
      <c r="L118" s="1427"/>
      <c r="M118" s="1427"/>
      <c r="N118" s="1427"/>
      <c r="O118" s="1427"/>
      <c r="P118" s="1427"/>
      <c r="Q118" s="1427"/>
      <c r="R118" s="1427"/>
      <c r="S118" s="1427"/>
      <c r="T118" s="1428"/>
      <c r="U118" s="1425" t="str">
        <f>IF('PIM Model'!$B$18=0,"",'PIM Model'!$B$18)</f>
        <v/>
      </c>
      <c r="V118" s="1350"/>
      <c r="W118" s="1350"/>
      <c r="X118" s="1350"/>
      <c r="Y118" s="1350"/>
      <c r="Z118" s="1350" t="str">
        <f>'PIM Model'!$AF$18</f>
        <v/>
      </c>
      <c r="AA118" s="1350"/>
      <c r="AB118" s="1350"/>
      <c r="AC118" s="1350"/>
      <c r="AD118" s="1350"/>
      <c r="AE118" s="1350"/>
      <c r="AF118" s="1418" t="str">
        <f>'PIM Model'!$AG$18</f>
        <v/>
      </c>
      <c r="AG118" s="1419"/>
      <c r="AH118" s="1419"/>
      <c r="AI118" s="1419"/>
      <c r="AJ118" s="1419"/>
      <c r="AK118" s="1419"/>
      <c r="AL118" s="1424"/>
      <c r="AM118" s="1418" t="str">
        <f>'PIM Model'!$AH$18</f>
        <v/>
      </c>
      <c r="AN118" s="1419"/>
      <c r="AO118" s="1419"/>
      <c r="AP118" s="1419"/>
      <c r="AQ118" s="1419"/>
      <c r="AR118" s="1419"/>
      <c r="AS118" s="1420"/>
      <c r="BF118" s="141"/>
    </row>
    <row r="119" spans="2:58" x14ac:dyDescent="0.25">
      <c r="B119" s="140"/>
      <c r="D119" s="1426" t="s">
        <v>101</v>
      </c>
      <c r="E119" s="1427"/>
      <c r="F119" s="1427"/>
      <c r="G119" s="1427"/>
      <c r="H119" s="1427"/>
      <c r="I119" s="1427"/>
      <c r="J119" s="1427"/>
      <c r="K119" s="1427"/>
      <c r="L119" s="1427"/>
      <c r="M119" s="1427"/>
      <c r="N119" s="1427"/>
      <c r="O119" s="1427"/>
      <c r="P119" s="1427"/>
      <c r="Q119" s="1427"/>
      <c r="R119" s="1427"/>
      <c r="S119" s="1427"/>
      <c r="T119" s="1428"/>
      <c r="U119" s="1425" t="str">
        <f>IF('PIM Model'!$B$19=0,"",'PIM Model'!$B$19)</f>
        <v/>
      </c>
      <c r="V119" s="1350"/>
      <c r="W119" s="1350"/>
      <c r="X119" s="1350"/>
      <c r="Y119" s="1350"/>
      <c r="Z119" s="1350" t="str">
        <f>'PIM Model'!$AF$19</f>
        <v/>
      </c>
      <c r="AA119" s="1350"/>
      <c r="AB119" s="1350"/>
      <c r="AC119" s="1350"/>
      <c r="AD119" s="1350"/>
      <c r="AE119" s="1350"/>
      <c r="AF119" s="1418" t="str">
        <f>'PIM Model'!$AG$19</f>
        <v/>
      </c>
      <c r="AG119" s="1419"/>
      <c r="AH119" s="1419"/>
      <c r="AI119" s="1419"/>
      <c r="AJ119" s="1419"/>
      <c r="AK119" s="1419"/>
      <c r="AL119" s="1424"/>
      <c r="AM119" s="1418" t="str">
        <f>'PIM Model'!$AH$19</f>
        <v/>
      </c>
      <c r="AN119" s="1419"/>
      <c r="AO119" s="1419"/>
      <c r="AP119" s="1419"/>
      <c r="AQ119" s="1419"/>
      <c r="AR119" s="1419"/>
      <c r="AS119" s="1420"/>
      <c r="BF119" s="141"/>
    </row>
    <row r="120" spans="2:58" x14ac:dyDescent="0.25">
      <c r="B120" s="140"/>
      <c r="D120" s="1426" t="s">
        <v>97</v>
      </c>
      <c r="E120" s="1427"/>
      <c r="F120" s="1427"/>
      <c r="G120" s="1427"/>
      <c r="H120" s="1427"/>
      <c r="I120" s="1427"/>
      <c r="J120" s="1427"/>
      <c r="K120" s="1427"/>
      <c r="L120" s="1427"/>
      <c r="M120" s="1427"/>
      <c r="N120" s="1427"/>
      <c r="O120" s="1427"/>
      <c r="P120" s="1427"/>
      <c r="Q120" s="1427"/>
      <c r="R120" s="1427"/>
      <c r="S120" s="1427"/>
      <c r="T120" s="1428"/>
      <c r="U120" s="1425" t="str">
        <f>IF('PIM Model'!$B$20=0,"",'PIM Model'!$B$20)</f>
        <v/>
      </c>
      <c r="V120" s="1350"/>
      <c r="W120" s="1350"/>
      <c r="X120" s="1350"/>
      <c r="Y120" s="1350"/>
      <c r="Z120" s="1350" t="str">
        <f>'PIM Model'!$AF$20</f>
        <v/>
      </c>
      <c r="AA120" s="1350"/>
      <c r="AB120" s="1350"/>
      <c r="AC120" s="1350"/>
      <c r="AD120" s="1350"/>
      <c r="AE120" s="1350"/>
      <c r="AF120" s="1418" t="str">
        <f>'PIM Model'!$AG$20</f>
        <v/>
      </c>
      <c r="AG120" s="1419"/>
      <c r="AH120" s="1419"/>
      <c r="AI120" s="1419"/>
      <c r="AJ120" s="1419"/>
      <c r="AK120" s="1419"/>
      <c r="AL120" s="1424"/>
      <c r="AM120" s="1418" t="str">
        <f>'PIM Model'!$AH$20</f>
        <v/>
      </c>
      <c r="AN120" s="1419"/>
      <c r="AO120" s="1419"/>
      <c r="AP120" s="1419"/>
      <c r="AQ120" s="1419"/>
      <c r="AR120" s="1419"/>
      <c r="AS120" s="1420"/>
      <c r="BF120" s="141"/>
    </row>
    <row r="121" spans="2:58" x14ac:dyDescent="0.25">
      <c r="B121" s="140"/>
      <c r="D121" s="1426" t="s">
        <v>93</v>
      </c>
      <c r="E121" s="1427"/>
      <c r="F121" s="1427"/>
      <c r="G121" s="1427"/>
      <c r="H121" s="1427"/>
      <c r="I121" s="1427"/>
      <c r="J121" s="1427"/>
      <c r="K121" s="1427"/>
      <c r="L121" s="1427"/>
      <c r="M121" s="1427"/>
      <c r="N121" s="1427"/>
      <c r="O121" s="1427"/>
      <c r="P121" s="1427"/>
      <c r="Q121" s="1427"/>
      <c r="R121" s="1427"/>
      <c r="S121" s="1427"/>
      <c r="T121" s="1428"/>
      <c r="U121" s="1425" t="str">
        <f>IF('PIM Model'!$B$21=0,"",'PIM Model'!$B$21)</f>
        <v/>
      </c>
      <c r="V121" s="1350"/>
      <c r="W121" s="1350"/>
      <c r="X121" s="1350"/>
      <c r="Y121" s="1350"/>
      <c r="Z121" s="1350" t="str">
        <f>'PIM Model'!$AF$21</f>
        <v/>
      </c>
      <c r="AA121" s="1350"/>
      <c r="AB121" s="1350"/>
      <c r="AC121" s="1350"/>
      <c r="AD121" s="1350"/>
      <c r="AE121" s="1350"/>
      <c r="AF121" s="1418" t="str">
        <f>'PIM Model'!$AG$21</f>
        <v/>
      </c>
      <c r="AG121" s="1419"/>
      <c r="AH121" s="1419"/>
      <c r="AI121" s="1419"/>
      <c r="AJ121" s="1419"/>
      <c r="AK121" s="1419"/>
      <c r="AL121" s="1424"/>
      <c r="AM121" s="1418" t="str">
        <f>'PIM Model'!$AH$21</f>
        <v/>
      </c>
      <c r="AN121" s="1419"/>
      <c r="AO121" s="1419"/>
      <c r="AP121" s="1419"/>
      <c r="AQ121" s="1419"/>
      <c r="AR121" s="1419"/>
      <c r="AS121" s="1420"/>
      <c r="BF121" s="141"/>
    </row>
    <row r="122" spans="2:58" x14ac:dyDescent="0.25">
      <c r="B122" s="140"/>
      <c r="D122" s="1426" t="s">
        <v>105</v>
      </c>
      <c r="E122" s="1427"/>
      <c r="F122" s="1427"/>
      <c r="G122" s="1427"/>
      <c r="H122" s="1427"/>
      <c r="I122" s="1427"/>
      <c r="J122" s="1427"/>
      <c r="K122" s="1427"/>
      <c r="L122" s="1427"/>
      <c r="M122" s="1427"/>
      <c r="N122" s="1427"/>
      <c r="O122" s="1427"/>
      <c r="P122" s="1427"/>
      <c r="Q122" s="1427"/>
      <c r="R122" s="1427"/>
      <c r="S122" s="1427"/>
      <c r="T122" s="1428"/>
      <c r="U122" s="1425" t="str">
        <f>IF('PIM Model'!$B$22=0,"",'PIM Model'!$B$22)</f>
        <v/>
      </c>
      <c r="V122" s="1350"/>
      <c r="W122" s="1350"/>
      <c r="X122" s="1350"/>
      <c r="Y122" s="1350"/>
      <c r="Z122" s="1350" t="str">
        <f>'PIM Model'!$AF$22</f>
        <v/>
      </c>
      <c r="AA122" s="1350"/>
      <c r="AB122" s="1350"/>
      <c r="AC122" s="1350"/>
      <c r="AD122" s="1350"/>
      <c r="AE122" s="1350"/>
      <c r="AF122" s="1418" t="str">
        <f>'PIM Model'!$AG$22</f>
        <v/>
      </c>
      <c r="AG122" s="1419"/>
      <c r="AH122" s="1419"/>
      <c r="AI122" s="1419"/>
      <c r="AJ122" s="1419"/>
      <c r="AK122" s="1419"/>
      <c r="AL122" s="1424"/>
      <c r="AM122" s="1418" t="str">
        <f>'PIM Model'!$AH$22</f>
        <v/>
      </c>
      <c r="AN122" s="1419"/>
      <c r="AO122" s="1419"/>
      <c r="AP122" s="1419"/>
      <c r="AQ122" s="1419"/>
      <c r="AR122" s="1419"/>
      <c r="AS122" s="1420"/>
      <c r="BF122" s="141"/>
    </row>
    <row r="123" spans="2:58" x14ac:dyDescent="0.25">
      <c r="B123" s="140"/>
      <c r="D123" s="1426" t="s">
        <v>92</v>
      </c>
      <c r="E123" s="1427"/>
      <c r="F123" s="1427"/>
      <c r="G123" s="1427"/>
      <c r="H123" s="1427"/>
      <c r="I123" s="1427"/>
      <c r="J123" s="1427"/>
      <c r="K123" s="1427"/>
      <c r="L123" s="1427"/>
      <c r="M123" s="1427"/>
      <c r="N123" s="1427"/>
      <c r="O123" s="1427"/>
      <c r="P123" s="1427"/>
      <c r="Q123" s="1427"/>
      <c r="R123" s="1427"/>
      <c r="S123" s="1427"/>
      <c r="T123" s="1428"/>
      <c r="U123" s="1425" t="str">
        <f>IF('PIM Model'!$B$23=0,"",'PIM Model'!$B$23)</f>
        <v/>
      </c>
      <c r="V123" s="1350"/>
      <c r="W123" s="1350"/>
      <c r="X123" s="1350"/>
      <c r="Y123" s="1350"/>
      <c r="Z123" s="1350" t="str">
        <f>'PIM Model'!$AF$23</f>
        <v/>
      </c>
      <c r="AA123" s="1350"/>
      <c r="AB123" s="1350"/>
      <c r="AC123" s="1350"/>
      <c r="AD123" s="1350"/>
      <c r="AE123" s="1350"/>
      <c r="AF123" s="1418" t="str">
        <f>'PIM Model'!$AG$23</f>
        <v/>
      </c>
      <c r="AG123" s="1419"/>
      <c r="AH123" s="1419"/>
      <c r="AI123" s="1419"/>
      <c r="AJ123" s="1419"/>
      <c r="AK123" s="1419"/>
      <c r="AL123" s="1424"/>
      <c r="AM123" s="1418" t="str">
        <f>'PIM Model'!$AH$23</f>
        <v/>
      </c>
      <c r="AN123" s="1419"/>
      <c r="AO123" s="1419"/>
      <c r="AP123" s="1419"/>
      <c r="AQ123" s="1419"/>
      <c r="AR123" s="1419"/>
      <c r="AS123" s="1420"/>
      <c r="BF123" s="141"/>
    </row>
    <row r="124" spans="2:58" x14ac:dyDescent="0.25">
      <c r="B124" s="140"/>
      <c r="D124" s="1426" t="s">
        <v>91</v>
      </c>
      <c r="E124" s="1427"/>
      <c r="F124" s="1427"/>
      <c r="G124" s="1427"/>
      <c r="H124" s="1427"/>
      <c r="I124" s="1427"/>
      <c r="J124" s="1427"/>
      <c r="K124" s="1427"/>
      <c r="L124" s="1427"/>
      <c r="M124" s="1427"/>
      <c r="N124" s="1427"/>
      <c r="O124" s="1427"/>
      <c r="P124" s="1427"/>
      <c r="Q124" s="1427"/>
      <c r="R124" s="1427"/>
      <c r="S124" s="1427"/>
      <c r="T124" s="1428"/>
      <c r="U124" s="1425" t="str">
        <f>IF('PIM Model'!$B$24=0,"",'PIM Model'!$B$24)</f>
        <v/>
      </c>
      <c r="V124" s="1350"/>
      <c r="W124" s="1350"/>
      <c r="X124" s="1350"/>
      <c r="Y124" s="1350"/>
      <c r="Z124" s="1350" t="str">
        <f>'PIM Model'!$AF$24</f>
        <v/>
      </c>
      <c r="AA124" s="1350"/>
      <c r="AB124" s="1350"/>
      <c r="AC124" s="1350"/>
      <c r="AD124" s="1350"/>
      <c r="AE124" s="1350"/>
      <c r="AF124" s="1418" t="str">
        <f>'PIM Model'!$AG$24</f>
        <v/>
      </c>
      <c r="AG124" s="1419"/>
      <c r="AH124" s="1419"/>
      <c r="AI124" s="1419"/>
      <c r="AJ124" s="1419"/>
      <c r="AK124" s="1419"/>
      <c r="AL124" s="1424"/>
      <c r="AM124" s="1418" t="str">
        <f>'PIM Model'!$AH$24</f>
        <v/>
      </c>
      <c r="AN124" s="1419"/>
      <c r="AO124" s="1419"/>
      <c r="AP124" s="1419"/>
      <c r="AQ124" s="1419"/>
      <c r="AR124" s="1419"/>
      <c r="AS124" s="1420"/>
      <c r="BF124" s="141"/>
    </row>
    <row r="125" spans="2:58" x14ac:dyDescent="0.25">
      <c r="B125" s="140"/>
      <c r="D125" s="1426" t="s">
        <v>90</v>
      </c>
      <c r="E125" s="1427"/>
      <c r="F125" s="1427"/>
      <c r="G125" s="1427"/>
      <c r="H125" s="1427"/>
      <c r="I125" s="1427"/>
      <c r="J125" s="1427"/>
      <c r="K125" s="1427"/>
      <c r="L125" s="1427"/>
      <c r="M125" s="1427"/>
      <c r="N125" s="1427"/>
      <c r="O125" s="1427"/>
      <c r="P125" s="1427"/>
      <c r="Q125" s="1427"/>
      <c r="R125" s="1427"/>
      <c r="S125" s="1427"/>
      <c r="T125" s="1428"/>
      <c r="U125" s="1425" t="str">
        <f>IF('PIM Model'!$B$25=0,"",'PIM Model'!$B$25)</f>
        <v/>
      </c>
      <c r="V125" s="1350"/>
      <c r="W125" s="1350"/>
      <c r="X125" s="1350"/>
      <c r="Y125" s="1350"/>
      <c r="Z125" s="1350" t="str">
        <f>'PIM Model'!$AF$25</f>
        <v/>
      </c>
      <c r="AA125" s="1350"/>
      <c r="AB125" s="1350"/>
      <c r="AC125" s="1350"/>
      <c r="AD125" s="1350"/>
      <c r="AE125" s="1350"/>
      <c r="AF125" s="1418" t="str">
        <f>'PIM Model'!$AG$25</f>
        <v/>
      </c>
      <c r="AG125" s="1419"/>
      <c r="AH125" s="1419"/>
      <c r="AI125" s="1419"/>
      <c r="AJ125" s="1419"/>
      <c r="AK125" s="1419"/>
      <c r="AL125" s="1424"/>
      <c r="AM125" s="1418" t="str">
        <f>'PIM Model'!$AH$25</f>
        <v/>
      </c>
      <c r="AN125" s="1419"/>
      <c r="AO125" s="1419"/>
      <c r="AP125" s="1419"/>
      <c r="AQ125" s="1419"/>
      <c r="AR125" s="1419"/>
      <c r="AS125" s="1420"/>
      <c r="BF125" s="141"/>
    </row>
    <row r="126" spans="2:58" x14ac:dyDescent="0.25">
      <c r="B126" s="140"/>
      <c r="D126" s="1426" t="s">
        <v>89</v>
      </c>
      <c r="E126" s="1427"/>
      <c r="F126" s="1427"/>
      <c r="G126" s="1427"/>
      <c r="H126" s="1427"/>
      <c r="I126" s="1427"/>
      <c r="J126" s="1427"/>
      <c r="K126" s="1427"/>
      <c r="L126" s="1427"/>
      <c r="M126" s="1427"/>
      <c r="N126" s="1427"/>
      <c r="O126" s="1427"/>
      <c r="P126" s="1427"/>
      <c r="Q126" s="1427"/>
      <c r="R126" s="1427"/>
      <c r="S126" s="1427"/>
      <c r="T126" s="1428"/>
      <c r="U126" s="1425" t="str">
        <f>IF('PIM Model'!$B$26=0,"",'PIM Model'!$B$26)</f>
        <v/>
      </c>
      <c r="V126" s="1350"/>
      <c r="W126" s="1350"/>
      <c r="X126" s="1350"/>
      <c r="Y126" s="1350"/>
      <c r="Z126" s="1350" t="str">
        <f>'PIM Model'!$AF$26</f>
        <v/>
      </c>
      <c r="AA126" s="1350"/>
      <c r="AB126" s="1350"/>
      <c r="AC126" s="1350"/>
      <c r="AD126" s="1350"/>
      <c r="AE126" s="1350"/>
      <c r="AF126" s="1418" t="str">
        <f>'PIM Model'!$AG$26</f>
        <v/>
      </c>
      <c r="AG126" s="1419"/>
      <c r="AH126" s="1419"/>
      <c r="AI126" s="1419"/>
      <c r="AJ126" s="1419"/>
      <c r="AK126" s="1419"/>
      <c r="AL126" s="1424"/>
      <c r="AM126" s="1418" t="str">
        <f>'PIM Model'!$AH$26</f>
        <v/>
      </c>
      <c r="AN126" s="1419"/>
      <c r="AO126" s="1419"/>
      <c r="AP126" s="1419"/>
      <c r="AQ126" s="1419"/>
      <c r="AR126" s="1419"/>
      <c r="AS126" s="1420"/>
      <c r="BF126" s="141"/>
    </row>
    <row r="127" spans="2:58" x14ac:dyDescent="0.25">
      <c r="B127" s="140"/>
      <c r="D127" s="1426" t="s">
        <v>94</v>
      </c>
      <c r="E127" s="1427"/>
      <c r="F127" s="1427"/>
      <c r="G127" s="1427"/>
      <c r="H127" s="1427"/>
      <c r="I127" s="1427"/>
      <c r="J127" s="1427"/>
      <c r="K127" s="1427"/>
      <c r="L127" s="1427"/>
      <c r="M127" s="1427"/>
      <c r="N127" s="1427"/>
      <c r="O127" s="1427"/>
      <c r="P127" s="1427"/>
      <c r="Q127" s="1427"/>
      <c r="R127" s="1427"/>
      <c r="S127" s="1427"/>
      <c r="T127" s="1428"/>
      <c r="U127" s="1425" t="str">
        <f>IF('PIM Model'!$B$27=0,"",'PIM Model'!$B$27)</f>
        <v/>
      </c>
      <c r="V127" s="1350"/>
      <c r="W127" s="1350"/>
      <c r="X127" s="1350"/>
      <c r="Y127" s="1350"/>
      <c r="Z127" s="1350" t="str">
        <f>'PIM Model'!$AF$27</f>
        <v/>
      </c>
      <c r="AA127" s="1350"/>
      <c r="AB127" s="1350"/>
      <c r="AC127" s="1350"/>
      <c r="AD127" s="1350"/>
      <c r="AE127" s="1350"/>
      <c r="AF127" s="1418" t="str">
        <f>'PIM Model'!$AG$27</f>
        <v/>
      </c>
      <c r="AG127" s="1419"/>
      <c r="AH127" s="1419"/>
      <c r="AI127" s="1419"/>
      <c r="AJ127" s="1419"/>
      <c r="AK127" s="1419"/>
      <c r="AL127" s="1424"/>
      <c r="AM127" s="1418" t="str">
        <f>'PIM Model'!$AH$27</f>
        <v/>
      </c>
      <c r="AN127" s="1419"/>
      <c r="AO127" s="1419"/>
      <c r="AP127" s="1419"/>
      <c r="AQ127" s="1419"/>
      <c r="AR127" s="1419"/>
      <c r="AS127" s="1420"/>
      <c r="BF127" s="141"/>
    </row>
    <row r="128" spans="2:58" x14ac:dyDescent="0.25">
      <c r="B128" s="140"/>
      <c r="D128" s="1426" t="s">
        <v>86</v>
      </c>
      <c r="E128" s="1427"/>
      <c r="F128" s="1427"/>
      <c r="G128" s="1427"/>
      <c r="H128" s="1427"/>
      <c r="I128" s="1427"/>
      <c r="J128" s="1427"/>
      <c r="K128" s="1427"/>
      <c r="L128" s="1427"/>
      <c r="M128" s="1427"/>
      <c r="N128" s="1427"/>
      <c r="O128" s="1427"/>
      <c r="P128" s="1427"/>
      <c r="Q128" s="1427"/>
      <c r="R128" s="1427"/>
      <c r="S128" s="1427"/>
      <c r="T128" s="1428"/>
      <c r="U128" s="1425" t="str">
        <f>IF('PIM Model'!$B$28=0,"",'PIM Model'!$B$28)</f>
        <v/>
      </c>
      <c r="V128" s="1350"/>
      <c r="W128" s="1350"/>
      <c r="X128" s="1350"/>
      <c r="Y128" s="1350"/>
      <c r="Z128" s="1350" t="str">
        <f>'PIM Model'!$AF$28</f>
        <v/>
      </c>
      <c r="AA128" s="1350"/>
      <c r="AB128" s="1350"/>
      <c r="AC128" s="1350"/>
      <c r="AD128" s="1350"/>
      <c r="AE128" s="1350"/>
      <c r="AF128" s="1418" t="str">
        <f>'PIM Model'!$AG$28</f>
        <v/>
      </c>
      <c r="AG128" s="1419"/>
      <c r="AH128" s="1419"/>
      <c r="AI128" s="1419"/>
      <c r="AJ128" s="1419"/>
      <c r="AK128" s="1419"/>
      <c r="AL128" s="1424"/>
      <c r="AM128" s="1418" t="str">
        <f>'PIM Model'!$AH$28</f>
        <v/>
      </c>
      <c r="AN128" s="1419"/>
      <c r="AO128" s="1419"/>
      <c r="AP128" s="1419"/>
      <c r="AQ128" s="1419"/>
      <c r="AR128" s="1419"/>
      <c r="AS128" s="1420"/>
      <c r="BF128" s="141"/>
    </row>
    <row r="129" spans="2:58" x14ac:dyDescent="0.25">
      <c r="B129" s="140"/>
      <c r="D129" s="1426" t="s">
        <v>88</v>
      </c>
      <c r="E129" s="1427"/>
      <c r="F129" s="1427"/>
      <c r="G129" s="1427"/>
      <c r="H129" s="1427"/>
      <c r="I129" s="1427"/>
      <c r="J129" s="1427"/>
      <c r="K129" s="1427"/>
      <c r="L129" s="1427"/>
      <c r="M129" s="1427"/>
      <c r="N129" s="1427"/>
      <c r="O129" s="1427"/>
      <c r="P129" s="1427"/>
      <c r="Q129" s="1427"/>
      <c r="R129" s="1427"/>
      <c r="S129" s="1427"/>
      <c r="T129" s="1428"/>
      <c r="U129" s="1425" t="str">
        <f>IF('PIM Model'!$B$29=0,"",'PIM Model'!$B$29)</f>
        <v/>
      </c>
      <c r="V129" s="1350"/>
      <c r="W129" s="1350"/>
      <c r="X129" s="1350"/>
      <c r="Y129" s="1350"/>
      <c r="Z129" s="1350" t="str">
        <f>'PIM Model'!$AF$29</f>
        <v/>
      </c>
      <c r="AA129" s="1350"/>
      <c r="AB129" s="1350"/>
      <c r="AC129" s="1350"/>
      <c r="AD129" s="1350"/>
      <c r="AE129" s="1350"/>
      <c r="AF129" s="1418" t="str">
        <f>'PIM Model'!$AG$29</f>
        <v/>
      </c>
      <c r="AG129" s="1419"/>
      <c r="AH129" s="1419"/>
      <c r="AI129" s="1419"/>
      <c r="AJ129" s="1419"/>
      <c r="AK129" s="1419"/>
      <c r="AL129" s="1424"/>
      <c r="AM129" s="1418" t="str">
        <f>'PIM Model'!$AH$29</f>
        <v/>
      </c>
      <c r="AN129" s="1419"/>
      <c r="AO129" s="1419"/>
      <c r="AP129" s="1419"/>
      <c r="AQ129" s="1419"/>
      <c r="AR129" s="1419"/>
      <c r="AS129" s="1420"/>
      <c r="BF129" s="141"/>
    </row>
    <row r="130" spans="2:58" ht="15.75" thickBot="1" x14ac:dyDescent="0.3">
      <c r="B130" s="140"/>
      <c r="D130" s="1432" t="s">
        <v>87</v>
      </c>
      <c r="E130" s="1433"/>
      <c r="F130" s="1433"/>
      <c r="G130" s="1433"/>
      <c r="H130" s="1433"/>
      <c r="I130" s="1433"/>
      <c r="J130" s="1433"/>
      <c r="K130" s="1433"/>
      <c r="L130" s="1433"/>
      <c r="M130" s="1433"/>
      <c r="N130" s="1433"/>
      <c r="O130" s="1433"/>
      <c r="P130" s="1433"/>
      <c r="Q130" s="1433"/>
      <c r="R130" s="1433"/>
      <c r="S130" s="1433"/>
      <c r="T130" s="1434"/>
      <c r="U130" s="1429" t="str">
        <f>IF('PIM Model'!$B$30=0,"",'PIM Model'!$B$30)</f>
        <v/>
      </c>
      <c r="V130" s="1422"/>
      <c r="W130" s="1422"/>
      <c r="X130" s="1422"/>
      <c r="Y130" s="1422"/>
      <c r="Z130" s="1422" t="str">
        <f>'PIM Model'!$AF$30</f>
        <v/>
      </c>
      <c r="AA130" s="1422"/>
      <c r="AB130" s="1422"/>
      <c r="AC130" s="1422"/>
      <c r="AD130" s="1422"/>
      <c r="AE130" s="1422"/>
      <c r="AF130" s="1410" t="str">
        <f>'PIM Model'!$AG$30</f>
        <v/>
      </c>
      <c r="AG130" s="1411"/>
      <c r="AH130" s="1411"/>
      <c r="AI130" s="1411"/>
      <c r="AJ130" s="1411"/>
      <c r="AK130" s="1411"/>
      <c r="AL130" s="1412"/>
      <c r="AM130" s="1410" t="str">
        <f>'PIM Model'!$AH$30</f>
        <v/>
      </c>
      <c r="AN130" s="1411"/>
      <c r="AO130" s="1411"/>
      <c r="AP130" s="1411"/>
      <c r="AQ130" s="1411"/>
      <c r="AR130" s="1411"/>
      <c r="AS130" s="1421"/>
      <c r="BF130" s="141"/>
    </row>
    <row r="131" spans="2:58" ht="16.5" thickTop="1" thickBot="1" x14ac:dyDescent="0.3">
      <c r="B131" s="140"/>
      <c r="D131" s="1401" t="s">
        <v>1040</v>
      </c>
      <c r="E131" s="1402"/>
      <c r="F131" s="1402"/>
      <c r="G131" s="1402"/>
      <c r="H131" s="1402"/>
      <c r="I131" s="1402"/>
      <c r="J131" s="1402"/>
      <c r="K131" s="1402"/>
      <c r="L131" s="1402"/>
      <c r="M131" s="1402"/>
      <c r="N131" s="1402"/>
      <c r="O131" s="1402"/>
      <c r="P131" s="1402"/>
      <c r="Q131" s="1402"/>
      <c r="R131" s="1402"/>
      <c r="S131" s="1402"/>
      <c r="T131" s="1403"/>
      <c r="U131" s="1404">
        <f>COUNT($U$110:$Y$130)</f>
        <v>0</v>
      </c>
      <c r="V131" s="1405"/>
      <c r="W131" s="1405"/>
      <c r="X131" s="1405"/>
      <c r="Y131" s="1405"/>
      <c r="Z131" s="1402">
        <f>COUNTIF($Z$110:$AE$130,"ABOVE")+COUNTIF($Z$110:$AE$130,"BELOW")</f>
        <v>0</v>
      </c>
      <c r="AA131" s="1402"/>
      <c r="AB131" s="1402"/>
      <c r="AC131" s="1402"/>
      <c r="AD131" s="1402"/>
      <c r="AE131" s="1402"/>
      <c r="AF131" s="1406"/>
      <c r="AG131" s="1407"/>
      <c r="AH131" s="1407"/>
      <c r="AI131" s="1407"/>
      <c r="AJ131" s="1407"/>
      <c r="AK131" s="1407"/>
      <c r="AL131" s="1408"/>
      <c r="AM131" s="1406"/>
      <c r="AN131" s="1407"/>
      <c r="AO131" s="1407"/>
      <c r="AP131" s="1407"/>
      <c r="AQ131" s="1407"/>
      <c r="AR131" s="1407"/>
      <c r="AS131" s="1409"/>
      <c r="BF131" s="141"/>
    </row>
    <row r="132" spans="2:58" ht="15.75" thickBot="1" x14ac:dyDescent="0.3">
      <c r="B132" s="287"/>
      <c r="C132" s="288"/>
      <c r="D132" s="288"/>
      <c r="E132" s="288"/>
      <c r="F132" s="288"/>
      <c r="G132" s="288"/>
      <c r="H132" s="288"/>
      <c r="I132" s="288"/>
      <c r="J132" s="288"/>
      <c r="K132" s="288"/>
      <c r="L132" s="288"/>
      <c r="M132" s="288"/>
      <c r="N132" s="288"/>
      <c r="O132" s="288"/>
      <c r="P132" s="288"/>
      <c r="Q132" s="288"/>
      <c r="R132" s="288"/>
      <c r="S132" s="288"/>
      <c r="T132" s="288"/>
      <c r="U132" s="288"/>
      <c r="V132" s="288"/>
      <c r="W132" s="288"/>
      <c r="X132" s="288"/>
      <c r="Y132" s="288"/>
      <c r="Z132" s="288"/>
      <c r="AA132" s="288"/>
      <c r="AB132" s="288"/>
      <c r="AC132" s="288"/>
      <c r="AD132" s="288"/>
      <c r="AE132" s="288"/>
      <c r="AF132" s="288"/>
      <c r="AG132" s="288"/>
      <c r="AH132" s="288"/>
      <c r="AI132" s="288"/>
      <c r="AJ132" s="288"/>
      <c r="AK132" s="288"/>
      <c r="AL132" s="288"/>
      <c r="AM132" s="288"/>
      <c r="AN132" s="288"/>
      <c r="AO132" s="288"/>
      <c r="AP132" s="288"/>
      <c r="AQ132" s="288"/>
      <c r="AR132" s="288"/>
      <c r="AS132" s="288"/>
      <c r="AT132" s="288"/>
      <c r="AU132" s="288"/>
      <c r="AV132" s="288"/>
      <c r="AW132" s="288"/>
      <c r="AX132" s="288"/>
      <c r="AY132" s="288"/>
      <c r="AZ132" s="288"/>
      <c r="BA132" s="288"/>
      <c r="BB132" s="288"/>
      <c r="BC132" s="288"/>
      <c r="BD132" s="288"/>
      <c r="BE132" s="288"/>
      <c r="BF132" s="289"/>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60" bestFit="1" customWidth="1"/>
    <col min="2" max="2" width="9" style="60" bestFit="1" customWidth="1"/>
    <col min="3" max="3" width="6.5703125" style="60" bestFit="1" customWidth="1"/>
    <col min="4" max="4" width="5.7109375" style="60" bestFit="1" customWidth="1"/>
    <col min="5" max="5" width="10.7109375" style="60" bestFit="1" customWidth="1"/>
    <col min="6" max="6" width="14.85546875" style="60" bestFit="1" customWidth="1"/>
    <col min="7" max="7" width="18.140625" style="60" bestFit="1" customWidth="1"/>
    <col min="8" max="8" width="16.85546875" style="60" bestFit="1" customWidth="1"/>
    <col min="9" max="9" width="4.7109375" style="60" bestFit="1" customWidth="1"/>
    <col min="10" max="10" width="18.5703125" style="60" bestFit="1" customWidth="1"/>
    <col min="11" max="11" width="19.85546875" style="60" bestFit="1" customWidth="1"/>
    <col min="12" max="12" width="16" style="60" bestFit="1" customWidth="1"/>
    <col min="13" max="16" width="19" style="60" bestFit="1" customWidth="1"/>
    <col min="17" max="16384" width="8.85546875" style="60"/>
  </cols>
  <sheetData>
    <row r="1" spans="1:16" x14ac:dyDescent="0.25">
      <c r="A1" s="61" t="s">
        <v>700</v>
      </c>
      <c r="B1" s="61" t="s">
        <v>699</v>
      </c>
      <c r="C1" s="61" t="s">
        <v>745</v>
      </c>
      <c r="D1" s="61" t="s">
        <v>698</v>
      </c>
      <c r="E1" s="61" t="s">
        <v>697</v>
      </c>
      <c r="F1" s="63" t="s">
        <v>696</v>
      </c>
      <c r="G1" s="63" t="s">
        <v>695</v>
      </c>
      <c r="H1" s="61" t="s">
        <v>694</v>
      </c>
      <c r="I1" s="61" t="s">
        <v>693</v>
      </c>
      <c r="J1" s="61" t="s">
        <v>692</v>
      </c>
      <c r="K1" s="62" t="s">
        <v>691</v>
      </c>
      <c r="L1" s="61" t="s">
        <v>690</v>
      </c>
      <c r="M1" s="61" t="s">
        <v>689</v>
      </c>
      <c r="N1" s="61" t="s">
        <v>688</v>
      </c>
      <c r="O1" s="61" t="s">
        <v>687</v>
      </c>
      <c r="P1" s="61" t="s">
        <v>686</v>
      </c>
    </row>
    <row r="2" spans="1:16" x14ac:dyDescent="0.25">
      <c r="A2" s="60">
        <v>15</v>
      </c>
      <c r="B2" s="60">
        <v>0</v>
      </c>
      <c r="C2" s="60">
        <v>0</v>
      </c>
      <c r="D2" s="60" t="s">
        <v>683</v>
      </c>
      <c r="E2" s="60" t="s">
        <v>682</v>
      </c>
      <c r="F2" s="73" t="str">
        <f>'PIM Model'!$AD$11</f>
        <v/>
      </c>
      <c r="G2" s="66" t="str">
        <f>F2</f>
        <v/>
      </c>
      <c r="H2" s="73" t="str">
        <f>IF('PIM Model'!$D$11="$/LB","#","%")</f>
        <v>%</v>
      </c>
      <c r="I2" s="69" t="s">
        <v>685</v>
      </c>
      <c r="J2">
        <f>'MDA Worksheet'!$AU$48</f>
        <v>2.25</v>
      </c>
      <c r="K2" s="1048">
        <f>'MDA Worksheet'!$AU$46*100</f>
        <v>30</v>
      </c>
      <c r="L2" s="60" t="s">
        <v>489</v>
      </c>
    </row>
    <row r="3" spans="1:16" x14ac:dyDescent="0.25">
      <c r="A3" s="60">
        <v>15</v>
      </c>
      <c r="B3" s="60">
        <v>131</v>
      </c>
      <c r="C3" s="60">
        <v>0</v>
      </c>
      <c r="D3" s="60" t="s">
        <v>683</v>
      </c>
      <c r="E3" s="60" t="s">
        <v>682</v>
      </c>
      <c r="F3" s="73" t="str">
        <f>'PIM Model'!$AD$12</f>
        <v/>
      </c>
      <c r="G3" s="66" t="str">
        <f t="shared" ref="G3:G68" si="0">F3</f>
        <v/>
      </c>
      <c r="H3" s="73" t="str">
        <f>IF('PIM Model'!$D$12="$/LB","#","%")</f>
        <v>%</v>
      </c>
      <c r="I3" s="69" t="s">
        <v>685</v>
      </c>
      <c r="J3" s="1029">
        <f>'MDA Worksheet'!$AU$48</f>
        <v>2.25</v>
      </c>
      <c r="K3" s="1048">
        <f>'MDA Worksheet'!$AU$46*100</f>
        <v>30</v>
      </c>
      <c r="L3" s="60" t="s">
        <v>489</v>
      </c>
    </row>
    <row r="4" spans="1:16" x14ac:dyDescent="0.25">
      <c r="A4" s="60">
        <v>15</v>
      </c>
      <c r="B4" s="60">
        <v>254</v>
      </c>
      <c r="C4" s="60">
        <v>0</v>
      </c>
      <c r="D4" s="60" t="s">
        <v>683</v>
      </c>
      <c r="E4" s="60" t="s">
        <v>682</v>
      </c>
      <c r="F4" s="73" t="str">
        <f>'PIM Model'!$AD$12</f>
        <v/>
      </c>
      <c r="G4" s="66" t="str">
        <f t="shared" si="0"/>
        <v/>
      </c>
      <c r="H4" s="73" t="str">
        <f>IF('PIM Model'!$D$12="$/LB","#","%")</f>
        <v>%</v>
      </c>
      <c r="I4" s="69" t="s">
        <v>685</v>
      </c>
      <c r="J4" s="1029">
        <f>'MDA Worksheet'!$AU$48</f>
        <v>2.25</v>
      </c>
      <c r="K4" s="1048">
        <f>'MDA Worksheet'!$AU$46*100</f>
        <v>30</v>
      </c>
      <c r="L4" s="60" t="s">
        <v>489</v>
      </c>
    </row>
    <row r="5" spans="1:16" x14ac:dyDescent="0.25">
      <c r="A5" s="60">
        <v>15</v>
      </c>
      <c r="B5" s="60">
        <v>373</v>
      </c>
      <c r="C5" s="60">
        <v>0</v>
      </c>
      <c r="D5" s="60" t="s">
        <v>683</v>
      </c>
      <c r="E5" s="60" t="s">
        <v>682</v>
      </c>
      <c r="F5" s="73" t="str">
        <f>'PIM Model'!$AD$12</f>
        <v/>
      </c>
      <c r="G5" s="66" t="str">
        <f t="shared" si="0"/>
        <v/>
      </c>
      <c r="H5" s="73" t="str">
        <f>IF('PIM Model'!$D$12="$/LB","#","%")</f>
        <v>%</v>
      </c>
      <c r="I5" s="69" t="s">
        <v>685</v>
      </c>
      <c r="J5" s="1029">
        <f>'MDA Worksheet'!$AU$48</f>
        <v>2.25</v>
      </c>
      <c r="K5" s="1048">
        <f>'MDA Worksheet'!$AU$46*100</f>
        <v>30</v>
      </c>
      <c r="L5" s="60" t="s">
        <v>489</v>
      </c>
    </row>
    <row r="6" spans="1:16" x14ac:dyDescent="0.25">
      <c r="A6" s="60">
        <v>15</v>
      </c>
      <c r="B6" s="60">
        <v>132</v>
      </c>
      <c r="C6" s="60">
        <v>0</v>
      </c>
      <c r="D6" s="60" t="s">
        <v>683</v>
      </c>
      <c r="E6" s="60" t="s">
        <v>682</v>
      </c>
      <c r="F6" s="73" t="str">
        <f>'PIM Model'!$AD$12</f>
        <v/>
      </c>
      <c r="G6" s="66" t="str">
        <f t="shared" si="0"/>
        <v/>
      </c>
      <c r="H6" s="73" t="str">
        <f>IF('PIM Model'!$D$12="$/LB","#","%")</f>
        <v>%</v>
      </c>
      <c r="I6" s="69" t="s">
        <v>685</v>
      </c>
      <c r="J6" s="1029">
        <f>'MDA Worksheet'!$AU$48</f>
        <v>2.25</v>
      </c>
      <c r="K6" s="1048">
        <f>'MDA Worksheet'!$AU$46*100</f>
        <v>30</v>
      </c>
      <c r="L6" s="60" t="s">
        <v>489</v>
      </c>
    </row>
    <row r="7" spans="1:16" x14ac:dyDescent="0.25">
      <c r="A7" s="60">
        <v>15</v>
      </c>
      <c r="B7" s="60">
        <v>368</v>
      </c>
      <c r="C7" s="60">
        <v>0</v>
      </c>
      <c r="D7" s="60" t="s">
        <v>683</v>
      </c>
      <c r="E7" s="60" t="s">
        <v>682</v>
      </c>
      <c r="F7" s="73" t="str">
        <f>'PIM Model'!$AD$12</f>
        <v/>
      </c>
      <c r="G7" s="66" t="str">
        <f t="shared" si="0"/>
        <v/>
      </c>
      <c r="H7" s="73" t="str">
        <f>IF('PIM Model'!$D$12="$/LB","#","%")</f>
        <v>%</v>
      </c>
      <c r="I7" s="69" t="s">
        <v>685</v>
      </c>
      <c r="J7" s="1029">
        <f>'MDA Worksheet'!$AU$48</f>
        <v>2.25</v>
      </c>
      <c r="K7" s="1048">
        <f>'MDA Worksheet'!$AU$46*100</f>
        <v>30</v>
      </c>
      <c r="L7" s="60" t="s">
        <v>489</v>
      </c>
    </row>
    <row r="8" spans="1:16" x14ac:dyDescent="0.25">
      <c r="A8" s="60">
        <v>15</v>
      </c>
      <c r="B8" s="60">
        <v>369</v>
      </c>
      <c r="C8" s="60">
        <v>0</v>
      </c>
      <c r="D8" s="60" t="s">
        <v>683</v>
      </c>
      <c r="E8" s="60" t="s">
        <v>682</v>
      </c>
      <c r="F8" s="73" t="str">
        <f>'PIM Model'!$AD$12</f>
        <v/>
      </c>
      <c r="G8" s="66" t="str">
        <f t="shared" si="0"/>
        <v/>
      </c>
      <c r="H8" s="73" t="str">
        <f>IF('PIM Model'!$D$12="$/LB","#","%")</f>
        <v>%</v>
      </c>
      <c r="I8" s="69" t="s">
        <v>685</v>
      </c>
      <c r="J8" s="1029">
        <f>'MDA Worksheet'!$AU$48</f>
        <v>2.25</v>
      </c>
      <c r="K8" s="1048">
        <f>'MDA Worksheet'!$AU$46*100</f>
        <v>30</v>
      </c>
      <c r="L8" s="60" t="s">
        <v>489</v>
      </c>
    </row>
    <row r="9" spans="1:16" x14ac:dyDescent="0.25">
      <c r="A9" s="60">
        <v>15</v>
      </c>
      <c r="B9" s="60">
        <v>384</v>
      </c>
      <c r="C9" s="60">
        <v>0</v>
      </c>
      <c r="D9" s="60" t="s">
        <v>683</v>
      </c>
      <c r="E9" s="60" t="s">
        <v>682</v>
      </c>
      <c r="F9" s="73" t="str">
        <f>'PIM Model'!$AD$12</f>
        <v/>
      </c>
      <c r="G9" s="66" t="str">
        <f t="shared" si="0"/>
        <v/>
      </c>
      <c r="H9" s="73" t="str">
        <f>IF('PIM Model'!$D$12="$/LB","#","%")</f>
        <v>%</v>
      </c>
      <c r="I9" s="69" t="s">
        <v>685</v>
      </c>
      <c r="J9" s="1029">
        <f>'MDA Worksheet'!$AU$48</f>
        <v>2.25</v>
      </c>
      <c r="K9" s="1048">
        <f>'MDA Worksheet'!$AU$46*100</f>
        <v>30</v>
      </c>
      <c r="L9" s="60" t="s">
        <v>489</v>
      </c>
    </row>
    <row r="10" spans="1:16" x14ac:dyDescent="0.25">
      <c r="A10" s="60">
        <v>15</v>
      </c>
      <c r="B10" s="60">
        <v>381</v>
      </c>
      <c r="C10" s="60">
        <v>0</v>
      </c>
      <c r="D10" s="60" t="s">
        <v>683</v>
      </c>
      <c r="E10" s="60" t="s">
        <v>682</v>
      </c>
      <c r="F10" s="73" t="str">
        <f>'PIM Model'!$AD$12</f>
        <v/>
      </c>
      <c r="G10" s="66" t="str">
        <f t="shared" si="0"/>
        <v/>
      </c>
      <c r="H10" s="73" t="str">
        <f>IF('PIM Model'!$D$12="$/LB","#","%")</f>
        <v>%</v>
      </c>
      <c r="I10" s="69" t="s">
        <v>685</v>
      </c>
      <c r="J10" s="1029">
        <f>'MDA Worksheet'!$AU$48</f>
        <v>2.25</v>
      </c>
      <c r="K10" s="1048">
        <f>'MDA Worksheet'!$AU$46*100</f>
        <v>30</v>
      </c>
      <c r="L10" s="60" t="s">
        <v>489</v>
      </c>
    </row>
    <row r="11" spans="1:16" x14ac:dyDescent="0.25">
      <c r="A11" s="60">
        <v>15</v>
      </c>
      <c r="B11" s="60">
        <v>377</v>
      </c>
      <c r="C11" s="60">
        <v>0</v>
      </c>
      <c r="D11" s="60" t="s">
        <v>683</v>
      </c>
      <c r="E11" s="60" t="s">
        <v>682</v>
      </c>
      <c r="F11" s="73" t="str">
        <f>'PIM Model'!$AD$12</f>
        <v/>
      </c>
      <c r="G11" s="66" t="str">
        <f t="shared" si="0"/>
        <v/>
      </c>
      <c r="H11" s="73" t="str">
        <f>IF('PIM Model'!$D$12="$/LB","#","%")</f>
        <v>%</v>
      </c>
      <c r="I11" s="69" t="s">
        <v>685</v>
      </c>
      <c r="J11" s="1029">
        <f>'MDA Worksheet'!$AU$48</f>
        <v>2.25</v>
      </c>
      <c r="K11" s="1048">
        <f>'MDA Worksheet'!$AU$46*100</f>
        <v>30</v>
      </c>
      <c r="L11" s="60" t="s">
        <v>489</v>
      </c>
    </row>
    <row r="12" spans="1:16" x14ac:dyDescent="0.25">
      <c r="A12" s="60">
        <v>15</v>
      </c>
      <c r="B12" s="60">
        <v>388</v>
      </c>
      <c r="C12" s="60">
        <v>0</v>
      </c>
      <c r="D12" s="60" t="s">
        <v>683</v>
      </c>
      <c r="E12" s="60" t="s">
        <v>682</v>
      </c>
      <c r="F12" s="73" t="str">
        <f>'PIM Model'!$AD$12</f>
        <v/>
      </c>
      <c r="G12" s="66" t="str">
        <f t="shared" si="0"/>
        <v/>
      </c>
      <c r="H12" s="73" t="str">
        <f>IF('PIM Model'!$D$12="$/LB","#","%")</f>
        <v>%</v>
      </c>
      <c r="I12" s="69" t="s">
        <v>685</v>
      </c>
      <c r="J12" s="1029">
        <f>'MDA Worksheet'!$AU$48</f>
        <v>2.25</v>
      </c>
      <c r="K12" s="1048">
        <f>'MDA Worksheet'!$AU$46*100</f>
        <v>30</v>
      </c>
      <c r="L12" s="60" t="s">
        <v>489</v>
      </c>
    </row>
    <row r="13" spans="1:16" x14ac:dyDescent="0.25">
      <c r="A13" s="60">
        <v>16</v>
      </c>
      <c r="B13" s="60">
        <v>0</v>
      </c>
      <c r="C13" s="60">
        <v>0</v>
      </c>
      <c r="D13" s="60" t="s">
        <v>681</v>
      </c>
      <c r="E13" s="60" t="str">
        <f>IF('PRIME Headers'!$C$20="No","PWW","P07")</f>
        <v>P07</v>
      </c>
      <c r="F13" s="67" t="str">
        <f>'PIM Model'!$AD$13</f>
        <v/>
      </c>
      <c r="G13" s="66" t="str">
        <f t="shared" si="0"/>
        <v/>
      </c>
      <c r="H13" s="73" t="str">
        <f>'PIM Model'!$D$13</f>
        <v>%</v>
      </c>
      <c r="I13" s="69" t="s">
        <v>685</v>
      </c>
      <c r="J13" s="1029">
        <f>'MDA Worksheet'!$AU$48</f>
        <v>2.25</v>
      </c>
      <c r="K13" s="1048">
        <f>'MDA Worksheet'!$AU$46*100</f>
        <v>30</v>
      </c>
      <c r="L13" s="60" t="s">
        <v>489</v>
      </c>
    </row>
    <row r="14" spans="1:16" x14ac:dyDescent="0.25">
      <c r="A14" s="60">
        <v>16</v>
      </c>
      <c r="B14" s="60">
        <v>135</v>
      </c>
      <c r="C14" s="60">
        <v>0</v>
      </c>
      <c r="D14" s="60" t="s">
        <v>683</v>
      </c>
      <c r="E14" s="60" t="s">
        <v>682</v>
      </c>
      <c r="F14" s="67" t="str">
        <f>'PIM Model'!$AD$13</f>
        <v/>
      </c>
      <c r="G14" s="66" t="str">
        <f t="shared" si="0"/>
        <v/>
      </c>
      <c r="H14" s="73" t="str">
        <f>'PIM Model'!$D$13</f>
        <v>%</v>
      </c>
      <c r="I14" s="69" t="s">
        <v>685</v>
      </c>
      <c r="J14" s="1029">
        <f>'MDA Worksheet'!$AU$48</f>
        <v>2.25</v>
      </c>
      <c r="K14" s="1048">
        <f>'MDA Worksheet'!$AU$46*100</f>
        <v>30</v>
      </c>
      <c r="L14" s="60" t="s">
        <v>489</v>
      </c>
    </row>
    <row r="15" spans="1:16" x14ac:dyDescent="0.25">
      <c r="A15" s="60">
        <v>16</v>
      </c>
      <c r="B15" s="60">
        <v>136</v>
      </c>
      <c r="C15" s="60">
        <v>7626</v>
      </c>
      <c r="D15" s="60" t="s">
        <v>683</v>
      </c>
      <c r="E15" s="60" t="s">
        <v>682</v>
      </c>
      <c r="F15" s="67" t="str">
        <f>'PIM Model'!$AD$13</f>
        <v/>
      </c>
      <c r="G15" s="66" t="str">
        <f t="shared" si="0"/>
        <v/>
      </c>
      <c r="H15" s="73" t="str">
        <f>'PIM Model'!$D$13</f>
        <v>%</v>
      </c>
      <c r="I15" s="69" t="s">
        <v>685</v>
      </c>
      <c r="J15" s="1029">
        <f>'MDA Worksheet'!$AU$48</f>
        <v>2.25</v>
      </c>
      <c r="K15" s="1048">
        <f>'MDA Worksheet'!$AU$46*100</f>
        <v>30</v>
      </c>
      <c r="L15" s="60" t="s">
        <v>489</v>
      </c>
    </row>
    <row r="16" spans="1:16" x14ac:dyDescent="0.25">
      <c r="A16" s="60">
        <v>16</v>
      </c>
      <c r="B16" s="60">
        <v>136</v>
      </c>
      <c r="C16" s="60">
        <v>7627</v>
      </c>
      <c r="D16" s="60" t="s">
        <v>683</v>
      </c>
      <c r="E16" s="60" t="s">
        <v>682</v>
      </c>
      <c r="F16" s="67" t="str">
        <f>'PIM Model'!$AD$13</f>
        <v/>
      </c>
      <c r="G16" s="66" t="str">
        <f t="shared" si="0"/>
        <v/>
      </c>
      <c r="H16" s="73" t="str">
        <f>'PIM Model'!$D$13</f>
        <v>%</v>
      </c>
      <c r="I16" s="69" t="s">
        <v>685</v>
      </c>
      <c r="J16" s="1029">
        <f>'MDA Worksheet'!$AU$48</f>
        <v>2.25</v>
      </c>
      <c r="K16" s="1048">
        <f>'MDA Worksheet'!$AU$46*100</f>
        <v>30</v>
      </c>
      <c r="L16" s="60" t="s">
        <v>489</v>
      </c>
    </row>
    <row r="17" spans="1:12" x14ac:dyDescent="0.25">
      <c r="A17" s="60">
        <v>16</v>
      </c>
      <c r="B17" s="60">
        <v>136</v>
      </c>
      <c r="C17" s="60">
        <v>7628</v>
      </c>
      <c r="D17" s="60" t="s">
        <v>683</v>
      </c>
      <c r="E17" s="60" t="s">
        <v>682</v>
      </c>
      <c r="F17" s="67" t="str">
        <f>'PIM Model'!$AD$13</f>
        <v/>
      </c>
      <c r="G17" s="66" t="str">
        <f t="shared" si="0"/>
        <v/>
      </c>
      <c r="H17" s="73" t="str">
        <f>'PIM Model'!$D$13</f>
        <v>%</v>
      </c>
      <c r="I17" s="69" t="s">
        <v>685</v>
      </c>
      <c r="J17" s="1029">
        <f>'MDA Worksheet'!$AU$48</f>
        <v>2.25</v>
      </c>
      <c r="K17" s="1048">
        <f>'MDA Worksheet'!$AU$46*100</f>
        <v>30</v>
      </c>
      <c r="L17" s="60" t="s">
        <v>489</v>
      </c>
    </row>
    <row r="18" spans="1:12" x14ac:dyDescent="0.25">
      <c r="A18" s="60">
        <v>16</v>
      </c>
      <c r="B18" s="60">
        <v>136</v>
      </c>
      <c r="C18" s="60">
        <v>7629</v>
      </c>
      <c r="D18" s="60" t="s">
        <v>683</v>
      </c>
      <c r="E18" s="60" t="s">
        <v>682</v>
      </c>
      <c r="F18" s="67" t="str">
        <f>'PIM Model'!$AD$13</f>
        <v/>
      </c>
      <c r="G18" s="66" t="str">
        <f t="shared" si="0"/>
        <v/>
      </c>
      <c r="H18" s="73" t="str">
        <f>'PIM Model'!$D$13</f>
        <v>%</v>
      </c>
      <c r="I18" s="69" t="s">
        <v>685</v>
      </c>
      <c r="J18" s="1029">
        <f>'MDA Worksheet'!$AU$48</f>
        <v>2.25</v>
      </c>
      <c r="K18" s="1048">
        <f>'MDA Worksheet'!$AU$46*100</f>
        <v>30</v>
      </c>
      <c r="L18" s="60" t="s">
        <v>489</v>
      </c>
    </row>
    <row r="19" spans="1:12" x14ac:dyDescent="0.25">
      <c r="A19" s="60">
        <v>16</v>
      </c>
      <c r="B19" s="60">
        <v>136</v>
      </c>
      <c r="C19" s="60">
        <v>7643</v>
      </c>
      <c r="D19" s="60" t="s">
        <v>683</v>
      </c>
      <c r="E19" s="60" t="s">
        <v>682</v>
      </c>
      <c r="F19" s="67" t="str">
        <f>'PIM Model'!$AD$13</f>
        <v/>
      </c>
      <c r="G19" s="66" t="str">
        <f t="shared" si="0"/>
        <v/>
      </c>
      <c r="H19" s="73" t="str">
        <f>'PIM Model'!$D$13</f>
        <v>%</v>
      </c>
      <c r="I19" s="69" t="s">
        <v>685</v>
      </c>
      <c r="J19" s="1029">
        <f>'MDA Worksheet'!$AU$48</f>
        <v>2.25</v>
      </c>
      <c r="K19" s="1048">
        <f>'MDA Worksheet'!$AU$46*100</f>
        <v>30</v>
      </c>
      <c r="L19" s="60" t="s">
        <v>489</v>
      </c>
    </row>
    <row r="20" spans="1:12" x14ac:dyDescent="0.25">
      <c r="A20" s="60">
        <v>16</v>
      </c>
      <c r="B20" s="60">
        <v>136</v>
      </c>
      <c r="C20" s="60">
        <v>7644</v>
      </c>
      <c r="D20" s="60" t="s">
        <v>683</v>
      </c>
      <c r="E20" s="60" t="s">
        <v>682</v>
      </c>
      <c r="F20" s="67" t="str">
        <f>'PIM Model'!$AD$13</f>
        <v/>
      </c>
      <c r="G20" s="66" t="str">
        <f t="shared" si="0"/>
        <v/>
      </c>
      <c r="H20" s="73" t="str">
        <f>'PIM Model'!$D$13</f>
        <v>%</v>
      </c>
      <c r="I20" s="69" t="s">
        <v>685</v>
      </c>
      <c r="J20" s="1029">
        <f>'MDA Worksheet'!$AU$48</f>
        <v>2.25</v>
      </c>
      <c r="K20" s="1048">
        <f>'MDA Worksheet'!$AU$46*100</f>
        <v>30</v>
      </c>
      <c r="L20" s="60" t="s">
        <v>489</v>
      </c>
    </row>
    <row r="21" spans="1:12" x14ac:dyDescent="0.25">
      <c r="A21" s="60">
        <v>16</v>
      </c>
      <c r="B21" s="60">
        <v>136</v>
      </c>
      <c r="C21" s="60">
        <v>7645</v>
      </c>
      <c r="D21" s="60" t="s">
        <v>683</v>
      </c>
      <c r="E21" s="60" t="s">
        <v>682</v>
      </c>
      <c r="F21" s="67" t="str">
        <f>'PIM Model'!$AD$13</f>
        <v/>
      </c>
      <c r="G21" s="66" t="str">
        <f t="shared" si="0"/>
        <v/>
      </c>
      <c r="H21" s="73" t="str">
        <f>'PIM Model'!$D$13</f>
        <v>%</v>
      </c>
      <c r="I21" s="69" t="s">
        <v>685</v>
      </c>
      <c r="J21" s="1029">
        <f>'MDA Worksheet'!$AU$48</f>
        <v>2.25</v>
      </c>
      <c r="K21" s="1048">
        <f>'MDA Worksheet'!$AU$46*100</f>
        <v>30</v>
      </c>
      <c r="L21" s="60" t="s">
        <v>489</v>
      </c>
    </row>
    <row r="22" spans="1:12" x14ac:dyDescent="0.25">
      <c r="A22" s="60">
        <v>16</v>
      </c>
      <c r="B22" s="60">
        <v>136</v>
      </c>
      <c r="C22" s="60">
        <v>7646</v>
      </c>
      <c r="D22" s="60" t="s">
        <v>683</v>
      </c>
      <c r="E22" s="60" t="s">
        <v>682</v>
      </c>
      <c r="F22" s="67" t="str">
        <f>'PIM Model'!$AD$13</f>
        <v/>
      </c>
      <c r="G22" s="66" t="str">
        <f t="shared" si="0"/>
        <v/>
      </c>
      <c r="H22" s="73" t="str">
        <f>'PIM Model'!$D$13</f>
        <v>%</v>
      </c>
      <c r="I22" s="69" t="s">
        <v>685</v>
      </c>
      <c r="J22" s="1029">
        <f>'MDA Worksheet'!$AU$48</f>
        <v>2.25</v>
      </c>
      <c r="K22" s="1048">
        <f>'MDA Worksheet'!$AU$46*100</f>
        <v>30</v>
      </c>
      <c r="L22" s="60" t="s">
        <v>489</v>
      </c>
    </row>
    <row r="23" spans="1:12" x14ac:dyDescent="0.25">
      <c r="A23" s="60">
        <v>16</v>
      </c>
      <c r="B23" s="60">
        <v>136</v>
      </c>
      <c r="C23" s="60">
        <v>7647</v>
      </c>
      <c r="D23" s="60" t="s">
        <v>683</v>
      </c>
      <c r="E23" s="60" t="s">
        <v>682</v>
      </c>
      <c r="F23" s="67" t="str">
        <f>'PIM Model'!$AD$13</f>
        <v/>
      </c>
      <c r="G23" s="66" t="str">
        <f t="shared" si="0"/>
        <v/>
      </c>
      <c r="H23" s="73" t="str">
        <f>'PIM Model'!$D$13</f>
        <v>%</v>
      </c>
      <c r="I23" s="69" t="s">
        <v>685</v>
      </c>
      <c r="J23" s="1029">
        <f>'MDA Worksheet'!$AU$48</f>
        <v>2.25</v>
      </c>
      <c r="K23" s="1048">
        <f>'MDA Worksheet'!$AU$46*100</f>
        <v>30</v>
      </c>
      <c r="L23" s="60" t="s">
        <v>489</v>
      </c>
    </row>
    <row r="24" spans="1:12" x14ac:dyDescent="0.25">
      <c r="A24" s="60">
        <v>16</v>
      </c>
      <c r="B24" s="60">
        <v>136</v>
      </c>
      <c r="C24" s="60">
        <v>7648</v>
      </c>
      <c r="D24" s="60" t="s">
        <v>683</v>
      </c>
      <c r="E24" s="60" t="s">
        <v>682</v>
      </c>
      <c r="F24" s="67" t="str">
        <f>'PIM Model'!$AD$13</f>
        <v/>
      </c>
      <c r="G24" s="66" t="str">
        <f t="shared" si="0"/>
        <v/>
      </c>
      <c r="H24" s="73" t="str">
        <f>'PIM Model'!$D$13</f>
        <v>%</v>
      </c>
      <c r="I24" s="69" t="s">
        <v>685</v>
      </c>
      <c r="J24" s="1029">
        <f>'MDA Worksheet'!$AU$48</f>
        <v>2.25</v>
      </c>
      <c r="K24" s="1048">
        <f>'MDA Worksheet'!$AU$46*100</f>
        <v>30</v>
      </c>
      <c r="L24" s="60" t="s">
        <v>489</v>
      </c>
    </row>
    <row r="25" spans="1:12" x14ac:dyDescent="0.25">
      <c r="A25" s="60">
        <v>16</v>
      </c>
      <c r="B25" s="60">
        <v>136</v>
      </c>
      <c r="C25" s="60">
        <v>7649</v>
      </c>
      <c r="D25" s="60" t="s">
        <v>683</v>
      </c>
      <c r="E25" s="60" t="s">
        <v>682</v>
      </c>
      <c r="F25" s="67" t="str">
        <f>'PIM Model'!$AD$13</f>
        <v/>
      </c>
      <c r="G25" s="66" t="str">
        <f t="shared" si="0"/>
        <v/>
      </c>
      <c r="H25" s="73" t="str">
        <f>'PIM Model'!$D$13</f>
        <v>%</v>
      </c>
      <c r="I25" s="69" t="s">
        <v>685</v>
      </c>
      <c r="J25" s="1029">
        <f>'MDA Worksheet'!$AU$48</f>
        <v>2.25</v>
      </c>
      <c r="K25" s="1048">
        <f>'MDA Worksheet'!$AU$46*100</f>
        <v>30</v>
      </c>
      <c r="L25" s="60" t="s">
        <v>489</v>
      </c>
    </row>
    <row r="26" spans="1:12" x14ac:dyDescent="0.25">
      <c r="A26" s="60">
        <v>16</v>
      </c>
      <c r="B26" s="60">
        <v>136</v>
      </c>
      <c r="C26" s="60">
        <v>7738</v>
      </c>
      <c r="D26" s="60" t="s">
        <v>683</v>
      </c>
      <c r="E26" s="60" t="s">
        <v>682</v>
      </c>
      <c r="F26" s="67" t="str">
        <f>'PIM Model'!$AD$13</f>
        <v/>
      </c>
      <c r="G26" s="66" t="str">
        <f t="shared" si="0"/>
        <v/>
      </c>
      <c r="H26" s="73" t="str">
        <f>'PIM Model'!$D$13</f>
        <v>%</v>
      </c>
      <c r="I26" s="69" t="s">
        <v>685</v>
      </c>
      <c r="J26" s="1029">
        <f>'MDA Worksheet'!$AU$48</f>
        <v>2.25</v>
      </c>
      <c r="K26" s="1048">
        <f>'MDA Worksheet'!$AU$46*100</f>
        <v>30</v>
      </c>
      <c r="L26" s="60" t="s">
        <v>489</v>
      </c>
    </row>
    <row r="27" spans="1:12" x14ac:dyDescent="0.25">
      <c r="A27" s="60">
        <v>16</v>
      </c>
      <c r="B27" s="60">
        <v>136</v>
      </c>
      <c r="C27" s="60">
        <v>7739</v>
      </c>
      <c r="D27" s="60" t="s">
        <v>683</v>
      </c>
      <c r="E27" s="60" t="s">
        <v>682</v>
      </c>
      <c r="F27" s="67" t="str">
        <f>'PIM Model'!$AD$13</f>
        <v/>
      </c>
      <c r="G27" s="66" t="str">
        <f t="shared" si="0"/>
        <v/>
      </c>
      <c r="H27" s="73" t="str">
        <f>'PIM Model'!$D$13</f>
        <v>%</v>
      </c>
      <c r="I27" s="69" t="s">
        <v>685</v>
      </c>
      <c r="J27" s="1029">
        <f>'MDA Worksheet'!$AU$48</f>
        <v>2.25</v>
      </c>
      <c r="K27" s="1048">
        <f>'MDA Worksheet'!$AU$46*100</f>
        <v>30</v>
      </c>
      <c r="L27" s="60" t="s">
        <v>489</v>
      </c>
    </row>
    <row r="28" spans="1:12" x14ac:dyDescent="0.25">
      <c r="A28" s="60">
        <v>16</v>
      </c>
      <c r="B28" s="60">
        <v>136</v>
      </c>
      <c r="C28" s="60">
        <v>7744</v>
      </c>
      <c r="D28" s="60" t="s">
        <v>683</v>
      </c>
      <c r="E28" s="60" t="s">
        <v>682</v>
      </c>
      <c r="F28" s="67" t="str">
        <f>'PIM Model'!$AD$13</f>
        <v/>
      </c>
      <c r="G28" s="66" t="str">
        <f t="shared" si="0"/>
        <v/>
      </c>
      <c r="H28" s="73" t="str">
        <f>'PIM Model'!$D$13</f>
        <v>%</v>
      </c>
      <c r="I28" s="69" t="s">
        <v>685</v>
      </c>
      <c r="J28" s="1029">
        <f>'MDA Worksheet'!$AU$48</f>
        <v>2.25</v>
      </c>
      <c r="K28" s="1048">
        <f>'MDA Worksheet'!$AU$46*100</f>
        <v>30</v>
      </c>
      <c r="L28" s="60" t="s">
        <v>489</v>
      </c>
    </row>
    <row r="29" spans="1:12" x14ac:dyDescent="0.25">
      <c r="A29" s="60">
        <v>16</v>
      </c>
      <c r="B29" s="60">
        <v>136</v>
      </c>
      <c r="C29" s="60">
        <v>7745</v>
      </c>
      <c r="D29" s="60" t="s">
        <v>683</v>
      </c>
      <c r="E29" s="60" t="s">
        <v>682</v>
      </c>
      <c r="F29" s="67" t="str">
        <f>'PIM Model'!$AD$13</f>
        <v/>
      </c>
      <c r="G29" s="66" t="str">
        <f t="shared" si="0"/>
        <v/>
      </c>
      <c r="H29" s="73" t="str">
        <f>'PIM Model'!$D$13</f>
        <v>%</v>
      </c>
      <c r="I29" s="69" t="s">
        <v>685</v>
      </c>
      <c r="J29" s="1029">
        <f>'MDA Worksheet'!$AU$48</f>
        <v>2.25</v>
      </c>
      <c r="K29" s="1048">
        <f>'MDA Worksheet'!$AU$46*100</f>
        <v>30</v>
      </c>
      <c r="L29" s="60" t="s">
        <v>489</v>
      </c>
    </row>
    <row r="30" spans="1:12" x14ac:dyDescent="0.25">
      <c r="A30" s="60">
        <v>16</v>
      </c>
      <c r="B30" s="60">
        <v>136</v>
      </c>
      <c r="C30" s="60">
        <v>7746</v>
      </c>
      <c r="D30" s="60" t="s">
        <v>683</v>
      </c>
      <c r="E30" s="60" t="s">
        <v>682</v>
      </c>
      <c r="F30" s="67" t="str">
        <f>'PIM Model'!$AD$13</f>
        <v/>
      </c>
      <c r="G30" s="66" t="str">
        <f t="shared" si="0"/>
        <v/>
      </c>
      <c r="H30" s="73" t="str">
        <f>'PIM Model'!$D$13</f>
        <v>%</v>
      </c>
      <c r="I30" s="69" t="s">
        <v>685</v>
      </c>
      <c r="J30" s="1029">
        <f>'MDA Worksheet'!$AU$48</f>
        <v>2.25</v>
      </c>
      <c r="K30" s="1048">
        <f>'MDA Worksheet'!$AU$46*100</f>
        <v>30</v>
      </c>
      <c r="L30" s="60" t="s">
        <v>489</v>
      </c>
    </row>
    <row r="31" spans="1:12" x14ac:dyDescent="0.25">
      <c r="A31" s="60">
        <v>16</v>
      </c>
      <c r="B31" s="60">
        <v>136</v>
      </c>
      <c r="C31" s="60">
        <v>8216</v>
      </c>
      <c r="D31" s="60" t="s">
        <v>683</v>
      </c>
      <c r="E31" s="60" t="s">
        <v>682</v>
      </c>
      <c r="F31" s="67" t="str">
        <f>'PIM Model'!$AD$13</f>
        <v/>
      </c>
      <c r="G31" s="66" t="str">
        <f t="shared" ref="G31:G32" si="1">F31</f>
        <v/>
      </c>
      <c r="H31" s="73" t="str">
        <f>'PIM Model'!$D$13</f>
        <v>%</v>
      </c>
      <c r="I31" s="69" t="s">
        <v>685</v>
      </c>
      <c r="J31" s="1029">
        <f>'MDA Worksheet'!$AU$48</f>
        <v>2.25</v>
      </c>
      <c r="K31" s="1048">
        <f>'MDA Worksheet'!$AU$46*100</f>
        <v>30</v>
      </c>
      <c r="L31" s="60" t="s">
        <v>489</v>
      </c>
    </row>
    <row r="32" spans="1:12" x14ac:dyDescent="0.25">
      <c r="A32" s="60">
        <v>16</v>
      </c>
      <c r="B32" s="60">
        <v>136</v>
      </c>
      <c r="C32" s="60">
        <v>8219</v>
      </c>
      <c r="D32" s="60" t="s">
        <v>683</v>
      </c>
      <c r="E32" s="60" t="s">
        <v>682</v>
      </c>
      <c r="F32" s="67" t="str">
        <f>'PIM Model'!$AD$13</f>
        <v/>
      </c>
      <c r="G32" s="66" t="str">
        <f t="shared" si="1"/>
        <v/>
      </c>
      <c r="H32" s="73" t="str">
        <f>'PIM Model'!$D$13</f>
        <v>%</v>
      </c>
      <c r="I32" s="69" t="s">
        <v>685</v>
      </c>
      <c r="J32" s="1029">
        <f>'MDA Worksheet'!$AU$48</f>
        <v>2.25</v>
      </c>
      <c r="K32" s="1048">
        <f>'MDA Worksheet'!$AU$46*100</f>
        <v>30</v>
      </c>
      <c r="L32" s="60" t="s">
        <v>489</v>
      </c>
    </row>
    <row r="33" spans="1:12" x14ac:dyDescent="0.25">
      <c r="A33" s="60">
        <v>17</v>
      </c>
      <c r="B33" s="60">
        <v>0</v>
      </c>
      <c r="C33" s="60">
        <v>0</v>
      </c>
      <c r="D33" s="60" t="s">
        <v>681</v>
      </c>
      <c r="E33" s="60" t="str">
        <f>IF('PRIME Headers'!$C$20="No","PWW","P07")</f>
        <v>P07</v>
      </c>
      <c r="F33" s="67" t="str">
        <f>'PIM Model'!$AD$19</f>
        <v/>
      </c>
      <c r="G33" s="66" t="str">
        <f t="shared" si="0"/>
        <v/>
      </c>
      <c r="H33" s="73" t="str">
        <f>'PIM Model'!$D$19</f>
        <v>%</v>
      </c>
      <c r="I33" s="69" t="s">
        <v>685</v>
      </c>
      <c r="J33" s="1029">
        <f>'MDA Worksheet'!$AU$48</f>
        <v>2.25</v>
      </c>
      <c r="K33" s="1048">
        <f>'MDA Worksheet'!$AU$46*100</f>
        <v>30</v>
      </c>
      <c r="L33" s="60" t="s">
        <v>489</v>
      </c>
    </row>
    <row r="34" spans="1:12" x14ac:dyDescent="0.25">
      <c r="A34" s="60">
        <v>18</v>
      </c>
      <c r="B34" s="60">
        <v>0</v>
      </c>
      <c r="C34" s="60">
        <v>0</v>
      </c>
      <c r="D34" s="60" t="s">
        <v>683</v>
      </c>
      <c r="E34" s="60" t="s">
        <v>682</v>
      </c>
      <c r="F34" s="67" t="str">
        <f>'PIM Model'!$AD$14</f>
        <v/>
      </c>
      <c r="G34" s="66" t="str">
        <f t="shared" si="0"/>
        <v/>
      </c>
      <c r="H34" s="73" t="str">
        <f>'PIM Model'!$D$14</f>
        <v>%</v>
      </c>
      <c r="I34" s="69" t="s">
        <v>685</v>
      </c>
      <c r="J34" s="1029">
        <f>'MDA Worksheet'!$AU$48</f>
        <v>2.25</v>
      </c>
      <c r="K34" s="1048">
        <f>'MDA Worksheet'!$AU$46*100</f>
        <v>30</v>
      </c>
      <c r="L34" s="60" t="s">
        <v>489</v>
      </c>
    </row>
    <row r="35" spans="1:12" x14ac:dyDescent="0.25">
      <c r="A35" s="60">
        <v>19</v>
      </c>
      <c r="B35" s="60">
        <v>0</v>
      </c>
      <c r="C35" s="60">
        <v>0</v>
      </c>
      <c r="D35" s="60" t="s">
        <v>681</v>
      </c>
      <c r="E35" s="60" t="str">
        <f>IF('PRIME Headers'!$C$20="No","PWW","P07")</f>
        <v>P07</v>
      </c>
      <c r="F35" s="67" t="str">
        <f>'PIM Model'!$AD$15</f>
        <v/>
      </c>
      <c r="G35" s="66" t="str">
        <f t="shared" si="0"/>
        <v/>
      </c>
      <c r="H35" s="73" t="str">
        <f>'PIM Model'!$D$15</f>
        <v>%</v>
      </c>
      <c r="I35" s="69" t="s">
        <v>685</v>
      </c>
      <c r="J35" s="1029">
        <f>'MDA Worksheet'!$AU$48</f>
        <v>2.25</v>
      </c>
      <c r="K35" s="1048">
        <f>'MDA Worksheet'!$AU$46*100</f>
        <v>30</v>
      </c>
      <c r="L35" s="60" t="s">
        <v>489</v>
      </c>
    </row>
    <row r="36" spans="1:12" x14ac:dyDescent="0.25">
      <c r="A36" s="60">
        <v>20</v>
      </c>
      <c r="B36" s="60">
        <v>0</v>
      </c>
      <c r="C36" s="60">
        <v>0</v>
      </c>
      <c r="D36" s="60" t="s">
        <v>681</v>
      </c>
      <c r="E36" s="60" t="str">
        <f>IF('PRIME Headers'!$C$20="No","PWW","P07")</f>
        <v>P07</v>
      </c>
      <c r="F36" s="66" t="str">
        <f>'PIM Model'!$AD$10</f>
        <v/>
      </c>
      <c r="G36" s="66" t="str">
        <f t="shared" si="0"/>
        <v/>
      </c>
      <c r="H36" s="73" t="str">
        <f>'PIM Model'!$D$10</f>
        <v>%</v>
      </c>
      <c r="I36" s="69" t="s">
        <v>685</v>
      </c>
      <c r="J36" s="1029">
        <f>'MDA Worksheet'!$AU$48</f>
        <v>2.25</v>
      </c>
      <c r="K36" s="1048">
        <f>'MDA Worksheet'!$AU$46*100</f>
        <v>30</v>
      </c>
      <c r="L36" s="60" t="s">
        <v>489</v>
      </c>
    </row>
    <row r="37" spans="1:12" x14ac:dyDescent="0.25">
      <c r="A37" s="60">
        <v>21</v>
      </c>
      <c r="B37" s="60">
        <v>0</v>
      </c>
      <c r="C37" s="60">
        <v>0</v>
      </c>
      <c r="D37" s="60" t="s">
        <v>683</v>
      </c>
      <c r="E37" s="60" t="s">
        <v>682</v>
      </c>
      <c r="F37" s="67" t="str">
        <f>'PIM Model'!$AD$16</f>
        <v/>
      </c>
      <c r="G37" s="66" t="str">
        <f>F37</f>
        <v/>
      </c>
      <c r="H37" s="73" t="str">
        <f>'PIM Model'!$D$16</f>
        <v>%</v>
      </c>
      <c r="I37" s="69" t="s">
        <v>685</v>
      </c>
      <c r="J37" s="1029">
        <f>'MDA Worksheet'!$AU$48</f>
        <v>2.25</v>
      </c>
      <c r="K37" s="1048">
        <f>'MDA Worksheet'!$AU$46*100</f>
        <v>30</v>
      </c>
      <c r="L37" s="60" t="s">
        <v>489</v>
      </c>
    </row>
    <row r="38" spans="1:12" x14ac:dyDescent="0.25">
      <c r="A38" s="60">
        <v>21</v>
      </c>
      <c r="B38" s="60">
        <v>158</v>
      </c>
      <c r="C38" s="60">
        <v>1957</v>
      </c>
      <c r="D38" s="60" t="s">
        <v>681</v>
      </c>
      <c r="E38" s="60" t="str">
        <f>IF('PRIME Headers'!$C$20="No","PWW","P07")</f>
        <v>P07</v>
      </c>
      <c r="F38" s="67" t="str">
        <f>'PIM Model'!$AD$16</f>
        <v/>
      </c>
      <c r="G38" s="66" t="str">
        <f t="shared" si="0"/>
        <v/>
      </c>
      <c r="H38" s="73" t="str">
        <f>'PIM Model'!$D$16</f>
        <v>%</v>
      </c>
      <c r="I38" s="69" t="s">
        <v>685</v>
      </c>
      <c r="J38" s="1029">
        <f>'MDA Worksheet'!$AU$48</f>
        <v>2.25</v>
      </c>
      <c r="K38" s="1048">
        <f>'MDA Worksheet'!$AU$46*100</f>
        <v>30</v>
      </c>
      <c r="L38" s="60" t="s">
        <v>489</v>
      </c>
    </row>
    <row r="39" spans="1:12" x14ac:dyDescent="0.25">
      <c r="A39" s="60">
        <v>21</v>
      </c>
      <c r="B39" s="60">
        <v>158</v>
      </c>
      <c r="C39" s="60">
        <v>5800</v>
      </c>
      <c r="D39" s="60" t="s">
        <v>681</v>
      </c>
      <c r="E39" s="60" t="str">
        <f>IF('PRIME Headers'!$C$20="No","PWW","P07")</f>
        <v>P07</v>
      </c>
      <c r="F39" s="67" t="str">
        <f>'PIM Model'!$AD$16</f>
        <v/>
      </c>
      <c r="G39" s="66" t="str">
        <f t="shared" si="0"/>
        <v/>
      </c>
      <c r="H39" s="73" t="str">
        <f>'PIM Model'!$D$16</f>
        <v>%</v>
      </c>
      <c r="I39" s="69" t="s">
        <v>685</v>
      </c>
      <c r="J39" s="1029">
        <f>'MDA Worksheet'!$AU$48</f>
        <v>2.25</v>
      </c>
      <c r="K39" s="1048">
        <f>'MDA Worksheet'!$AU$46*100</f>
        <v>30</v>
      </c>
      <c r="L39" s="60" t="s">
        <v>489</v>
      </c>
    </row>
    <row r="40" spans="1:12" x14ac:dyDescent="0.25">
      <c r="A40" s="60">
        <v>21</v>
      </c>
      <c r="B40" s="60">
        <v>161</v>
      </c>
      <c r="C40" s="60">
        <v>0</v>
      </c>
      <c r="D40" s="60" t="s">
        <v>681</v>
      </c>
      <c r="E40" s="60" t="str">
        <f>IF('PRIME Headers'!$C$20="No","PWW","P07")</f>
        <v>P07</v>
      </c>
      <c r="F40" s="67" t="str">
        <f>'PIM Model'!$AD$16</f>
        <v/>
      </c>
      <c r="G40" s="66" t="str">
        <f t="shared" si="0"/>
        <v/>
      </c>
      <c r="H40" s="73" t="str">
        <f>'PIM Model'!$D$16</f>
        <v>%</v>
      </c>
      <c r="I40" s="69" t="s">
        <v>685</v>
      </c>
      <c r="J40" s="1029">
        <f>'MDA Worksheet'!$AU$48</f>
        <v>2.25</v>
      </c>
      <c r="K40" s="1048">
        <f>'MDA Worksheet'!$AU$46*100</f>
        <v>30</v>
      </c>
      <c r="L40" s="60" t="s">
        <v>489</v>
      </c>
    </row>
    <row r="41" spans="1:12" x14ac:dyDescent="0.25">
      <c r="A41" s="60">
        <v>21</v>
      </c>
      <c r="B41" s="60">
        <v>162</v>
      </c>
      <c r="C41" s="60">
        <v>1622</v>
      </c>
      <c r="D41" s="60" t="s">
        <v>681</v>
      </c>
      <c r="E41" s="60" t="str">
        <f>IF('PRIME Headers'!$C$20="No","PWW","P07")</f>
        <v>P07</v>
      </c>
      <c r="F41" s="67" t="str">
        <f>'PIM Model'!$AD$16</f>
        <v/>
      </c>
      <c r="G41" s="66" t="str">
        <f t="shared" si="0"/>
        <v/>
      </c>
      <c r="H41" s="73" t="str">
        <f>'PIM Model'!$D$16</f>
        <v>%</v>
      </c>
      <c r="I41" s="69" t="s">
        <v>685</v>
      </c>
      <c r="J41" s="1029">
        <f>'MDA Worksheet'!$AU$48</f>
        <v>2.25</v>
      </c>
      <c r="K41" s="1048">
        <f>'MDA Worksheet'!$AU$46*100</f>
        <v>30</v>
      </c>
      <c r="L41" s="60" t="s">
        <v>489</v>
      </c>
    </row>
    <row r="42" spans="1:12" x14ac:dyDescent="0.25">
      <c r="A42" s="60">
        <v>21</v>
      </c>
      <c r="B42" s="60">
        <v>162</v>
      </c>
      <c r="C42" s="60">
        <v>1623</v>
      </c>
      <c r="D42" s="60" t="s">
        <v>681</v>
      </c>
      <c r="E42" s="60" t="str">
        <f>IF('PRIME Headers'!$C$20="No","PWW","P07")</f>
        <v>P07</v>
      </c>
      <c r="F42" s="67" t="str">
        <f>'PIM Model'!$AD$16</f>
        <v/>
      </c>
      <c r="G42" s="66" t="str">
        <f t="shared" si="0"/>
        <v/>
      </c>
      <c r="H42" s="73" t="str">
        <f>'PIM Model'!$D$16</f>
        <v>%</v>
      </c>
      <c r="I42" s="69" t="s">
        <v>685</v>
      </c>
      <c r="J42" s="1029">
        <f>'MDA Worksheet'!$AU$48</f>
        <v>2.25</v>
      </c>
      <c r="K42" s="1048">
        <f>'MDA Worksheet'!$AU$46*100</f>
        <v>30</v>
      </c>
      <c r="L42" s="60" t="s">
        <v>489</v>
      </c>
    </row>
    <row r="43" spans="1:12" x14ac:dyDescent="0.25">
      <c r="A43" s="60">
        <v>21</v>
      </c>
      <c r="B43" s="60">
        <v>162</v>
      </c>
      <c r="C43" s="60">
        <v>3490</v>
      </c>
      <c r="D43" s="60" t="s">
        <v>681</v>
      </c>
      <c r="E43" s="60" t="str">
        <f>IF('PRIME Headers'!$C$20="No","PWW","P07")</f>
        <v>P07</v>
      </c>
      <c r="F43" s="67" t="str">
        <f>'PIM Model'!$AD$16</f>
        <v/>
      </c>
      <c r="G43" s="66" t="str">
        <f t="shared" si="0"/>
        <v/>
      </c>
      <c r="H43" s="73" t="str">
        <f>'PIM Model'!$D$16</f>
        <v>%</v>
      </c>
      <c r="I43" s="69" t="s">
        <v>685</v>
      </c>
      <c r="J43" s="1029">
        <f>'MDA Worksheet'!$AU$48</f>
        <v>2.25</v>
      </c>
      <c r="K43" s="1048">
        <f>'MDA Worksheet'!$AU$46*100</f>
        <v>30</v>
      </c>
      <c r="L43" s="60" t="s">
        <v>489</v>
      </c>
    </row>
    <row r="44" spans="1:12" x14ac:dyDescent="0.25">
      <c r="A44" s="60">
        <v>21</v>
      </c>
      <c r="B44" s="60">
        <v>162</v>
      </c>
      <c r="C44" s="60">
        <v>3500</v>
      </c>
      <c r="D44" s="60" t="s">
        <v>681</v>
      </c>
      <c r="E44" s="60" t="str">
        <f>IF('PRIME Headers'!$C$20="No","PWW","P07")</f>
        <v>P07</v>
      </c>
      <c r="F44" s="67" t="str">
        <f>'PIM Model'!$AD$16</f>
        <v/>
      </c>
      <c r="G44" s="66" t="str">
        <f t="shared" si="0"/>
        <v/>
      </c>
      <c r="H44" s="73" t="str">
        <f>'PIM Model'!$D$16</f>
        <v>%</v>
      </c>
      <c r="I44" s="69" t="s">
        <v>685</v>
      </c>
      <c r="J44" s="1029">
        <f>'MDA Worksheet'!$AU$48</f>
        <v>2.25</v>
      </c>
      <c r="K44" s="1048">
        <f>'MDA Worksheet'!$AU$46*100</f>
        <v>30</v>
      </c>
      <c r="L44" s="60" t="s">
        <v>489</v>
      </c>
    </row>
    <row r="45" spans="1:12" x14ac:dyDescent="0.25">
      <c r="A45" s="60">
        <v>21</v>
      </c>
      <c r="B45" s="60">
        <v>162</v>
      </c>
      <c r="C45" s="60">
        <v>7625</v>
      </c>
      <c r="D45" s="60" t="s">
        <v>681</v>
      </c>
      <c r="E45" s="60" t="str">
        <f>IF('PRIME Headers'!$C$20="No","PWW","P07")</f>
        <v>P07</v>
      </c>
      <c r="F45" s="67" t="str">
        <f>'PIM Model'!$AD$16</f>
        <v/>
      </c>
      <c r="G45" s="66" t="str">
        <f t="shared" si="0"/>
        <v/>
      </c>
      <c r="H45" s="73" t="str">
        <f>'PIM Model'!$D$16</f>
        <v>%</v>
      </c>
      <c r="I45" s="69" t="s">
        <v>685</v>
      </c>
      <c r="J45" s="1029">
        <f>'MDA Worksheet'!$AU$48</f>
        <v>2.25</v>
      </c>
      <c r="K45" s="1048">
        <f>'MDA Worksheet'!$AU$46*100</f>
        <v>30</v>
      </c>
      <c r="L45" s="60" t="s">
        <v>489</v>
      </c>
    </row>
    <row r="46" spans="1:12" x14ac:dyDescent="0.25">
      <c r="A46" s="60">
        <v>21</v>
      </c>
      <c r="B46" s="60">
        <v>162</v>
      </c>
      <c r="C46" s="60">
        <v>7636</v>
      </c>
      <c r="D46" s="60" t="s">
        <v>681</v>
      </c>
      <c r="E46" s="60" t="str">
        <f>IF('PRIME Headers'!$C$20="No","PWW","P07")</f>
        <v>P07</v>
      </c>
      <c r="F46" s="67" t="str">
        <f>'PIM Model'!$AD$16</f>
        <v/>
      </c>
      <c r="G46" s="66" t="str">
        <f t="shared" si="0"/>
        <v/>
      </c>
      <c r="H46" s="73" t="str">
        <f>'PIM Model'!$D$16</f>
        <v>%</v>
      </c>
      <c r="I46" s="69" t="s">
        <v>685</v>
      </c>
      <c r="J46" s="1029">
        <f>'MDA Worksheet'!$AU$48</f>
        <v>2.25</v>
      </c>
      <c r="K46" s="1048">
        <f>'MDA Worksheet'!$AU$46*100</f>
        <v>30</v>
      </c>
      <c r="L46" s="60" t="s">
        <v>489</v>
      </c>
    </row>
    <row r="47" spans="1:12" x14ac:dyDescent="0.25">
      <c r="A47" s="60">
        <v>22</v>
      </c>
      <c r="B47" s="60">
        <v>0</v>
      </c>
      <c r="C47" s="60">
        <v>0</v>
      </c>
      <c r="D47" s="60" t="s">
        <v>681</v>
      </c>
      <c r="E47" s="60" t="str">
        <f>IF('PRIME Headers'!$C$20="No","PWW","P07")</f>
        <v>P07</v>
      </c>
      <c r="F47" s="67" t="str">
        <f>'PIM Model'!$AD$20</f>
        <v/>
      </c>
      <c r="G47" s="66" t="str">
        <f t="shared" si="0"/>
        <v/>
      </c>
      <c r="H47" s="73" t="str">
        <f>'PIM Model'!$D$20</f>
        <v>%</v>
      </c>
      <c r="I47" s="69" t="s">
        <v>685</v>
      </c>
      <c r="J47" s="1029">
        <f>'MDA Worksheet'!$AU$48</f>
        <v>2.25</v>
      </c>
      <c r="K47" s="1048">
        <f>'MDA Worksheet'!$AU$46*100</f>
        <v>30</v>
      </c>
      <c r="L47" s="60" t="s">
        <v>489</v>
      </c>
    </row>
    <row r="48" spans="1:12" x14ac:dyDescent="0.25">
      <c r="A48" s="60">
        <v>22</v>
      </c>
      <c r="B48" s="60">
        <v>171</v>
      </c>
      <c r="C48" s="60">
        <v>1400</v>
      </c>
      <c r="D48" s="60" t="s">
        <v>683</v>
      </c>
      <c r="E48" s="60" t="s">
        <v>682</v>
      </c>
      <c r="F48" s="67" t="str">
        <f>'PIM Model'!$AD$20</f>
        <v/>
      </c>
      <c r="G48" s="66" t="str">
        <f t="shared" si="0"/>
        <v/>
      </c>
      <c r="H48" s="73" t="str">
        <f>'PIM Model'!$D$20</f>
        <v>%</v>
      </c>
      <c r="I48" s="69" t="s">
        <v>685</v>
      </c>
      <c r="J48" s="1029">
        <f>'MDA Worksheet'!$AU$48</f>
        <v>2.25</v>
      </c>
      <c r="K48" s="1048">
        <f>'MDA Worksheet'!$AU$46*100</f>
        <v>30</v>
      </c>
      <c r="L48" s="60" t="s">
        <v>489</v>
      </c>
    </row>
    <row r="49" spans="1:12" x14ac:dyDescent="0.25">
      <c r="A49" s="60">
        <v>22</v>
      </c>
      <c r="B49" s="60">
        <v>174</v>
      </c>
      <c r="C49" s="60">
        <v>1414</v>
      </c>
      <c r="D49" s="60" t="s">
        <v>683</v>
      </c>
      <c r="E49" s="60" t="s">
        <v>682</v>
      </c>
      <c r="F49" s="67" t="str">
        <f>'PIM Model'!$AD$20</f>
        <v/>
      </c>
      <c r="G49" s="66" t="str">
        <f t="shared" si="0"/>
        <v/>
      </c>
      <c r="H49" s="73" t="str">
        <f>'PIM Model'!$D$20</f>
        <v>%</v>
      </c>
      <c r="I49" s="69" t="s">
        <v>685</v>
      </c>
      <c r="J49" s="1029">
        <f>'MDA Worksheet'!$AU$48</f>
        <v>2.25</v>
      </c>
      <c r="K49" s="1048">
        <f>'MDA Worksheet'!$AU$46*100</f>
        <v>30</v>
      </c>
      <c r="L49" s="60" t="s">
        <v>489</v>
      </c>
    </row>
    <row r="50" spans="1:12" x14ac:dyDescent="0.25">
      <c r="A50" s="60">
        <v>22</v>
      </c>
      <c r="B50" s="60">
        <v>176</v>
      </c>
      <c r="C50" s="60">
        <v>0</v>
      </c>
      <c r="D50" s="60" t="s">
        <v>683</v>
      </c>
      <c r="E50" s="60" t="s">
        <v>682</v>
      </c>
      <c r="F50" s="67" t="str">
        <f>'PIM Model'!$AD$20</f>
        <v/>
      </c>
      <c r="G50" s="66" t="str">
        <f t="shared" si="0"/>
        <v/>
      </c>
      <c r="H50" s="73" t="str">
        <f>'PIM Model'!$D$20</f>
        <v>%</v>
      </c>
      <c r="I50" s="69" t="s">
        <v>685</v>
      </c>
      <c r="J50" s="1029">
        <f>'MDA Worksheet'!$AU$48</f>
        <v>2.25</v>
      </c>
      <c r="K50" s="1048">
        <f>'MDA Worksheet'!$AU$46*100</f>
        <v>30</v>
      </c>
      <c r="L50" s="60" t="s">
        <v>489</v>
      </c>
    </row>
    <row r="51" spans="1:12" x14ac:dyDescent="0.25">
      <c r="A51" s="60">
        <v>22</v>
      </c>
      <c r="B51" s="60">
        <v>177</v>
      </c>
      <c r="C51" s="60">
        <v>1886</v>
      </c>
      <c r="D51" s="60" t="s">
        <v>681</v>
      </c>
      <c r="E51" s="60" t="str">
        <f>IF('PRIME Headers'!$C$20="No","PWW","P07")</f>
        <v>P07</v>
      </c>
      <c r="F51" s="67" t="str">
        <f>'PIM Model'!$AD$20</f>
        <v/>
      </c>
      <c r="G51" s="66" t="str">
        <f t="shared" si="0"/>
        <v/>
      </c>
      <c r="H51" s="73" t="str">
        <f>'PIM Model'!$D$20</f>
        <v>%</v>
      </c>
      <c r="I51" s="69" t="s">
        <v>685</v>
      </c>
      <c r="J51" s="1029">
        <f>'MDA Worksheet'!$AU$48</f>
        <v>2.25</v>
      </c>
      <c r="K51" s="72">
        <v>0</v>
      </c>
      <c r="L51" s="72" t="s">
        <v>245</v>
      </c>
    </row>
    <row r="52" spans="1:12" x14ac:dyDescent="0.25">
      <c r="A52" s="60">
        <v>22</v>
      </c>
      <c r="B52" s="60">
        <v>177</v>
      </c>
      <c r="C52" s="60">
        <v>1908</v>
      </c>
      <c r="D52" s="60" t="s">
        <v>681</v>
      </c>
      <c r="E52" s="60" t="str">
        <f>IF('PRIME Headers'!$C$20="No","PWW","P07")</f>
        <v>P07</v>
      </c>
      <c r="F52" s="67" t="str">
        <f>'PIM Model'!$AD$20</f>
        <v/>
      </c>
      <c r="G52" s="66" t="str">
        <f t="shared" si="0"/>
        <v/>
      </c>
      <c r="H52" s="73" t="str">
        <f>'PIM Model'!$D$20</f>
        <v>%</v>
      </c>
      <c r="I52" s="69" t="s">
        <v>685</v>
      </c>
      <c r="J52" s="1029">
        <f>'MDA Worksheet'!$AU$48</f>
        <v>2.25</v>
      </c>
      <c r="K52" s="72">
        <v>0</v>
      </c>
      <c r="L52" s="72" t="s">
        <v>245</v>
      </c>
    </row>
    <row r="53" spans="1:12" x14ac:dyDescent="0.25">
      <c r="A53" s="60">
        <v>22</v>
      </c>
      <c r="B53" s="60">
        <v>177</v>
      </c>
      <c r="C53" s="60">
        <v>3340</v>
      </c>
      <c r="D53" s="60" t="s">
        <v>681</v>
      </c>
      <c r="E53" s="60" t="str">
        <f>IF('PRIME Headers'!$C$20="No","PWW","P07")</f>
        <v>P07</v>
      </c>
      <c r="F53" s="67" t="str">
        <f>'PIM Model'!$AD$20</f>
        <v/>
      </c>
      <c r="G53" s="66" t="str">
        <f t="shared" si="0"/>
        <v/>
      </c>
      <c r="H53" s="73" t="str">
        <f>'PIM Model'!$D$20</f>
        <v>%</v>
      </c>
      <c r="I53" s="69" t="s">
        <v>685</v>
      </c>
      <c r="J53" s="1029">
        <f>'MDA Worksheet'!$AU$48</f>
        <v>2.25</v>
      </c>
      <c r="K53" s="72">
        <v>0</v>
      </c>
      <c r="L53" s="72" t="s">
        <v>245</v>
      </c>
    </row>
    <row r="54" spans="1:12" x14ac:dyDescent="0.25">
      <c r="A54" s="60">
        <v>22</v>
      </c>
      <c r="B54" s="60">
        <v>177</v>
      </c>
      <c r="C54" s="60">
        <v>3820</v>
      </c>
      <c r="D54" s="60" t="s">
        <v>681</v>
      </c>
      <c r="E54" s="60" t="str">
        <f>IF('PRIME Headers'!$C$20="No","PWW","P07")</f>
        <v>P07</v>
      </c>
      <c r="F54" s="67" t="str">
        <f>'PIM Model'!$AD$20</f>
        <v/>
      </c>
      <c r="G54" s="66" t="str">
        <f t="shared" si="0"/>
        <v/>
      </c>
      <c r="H54" s="73" t="str">
        <f>'PIM Model'!$D$20</f>
        <v>%</v>
      </c>
      <c r="I54" s="69" t="s">
        <v>685</v>
      </c>
      <c r="J54" s="1029">
        <f>'MDA Worksheet'!$AU$48</f>
        <v>2.25</v>
      </c>
      <c r="K54" s="72">
        <v>0</v>
      </c>
      <c r="L54" s="72" t="s">
        <v>245</v>
      </c>
    </row>
    <row r="55" spans="1:12" x14ac:dyDescent="0.25">
      <c r="A55" s="60">
        <v>22</v>
      </c>
      <c r="B55" s="60">
        <v>177</v>
      </c>
      <c r="C55" s="60">
        <v>7733</v>
      </c>
      <c r="D55" s="60" t="s">
        <v>681</v>
      </c>
      <c r="E55" s="60" t="str">
        <f>IF('PRIME Headers'!$C$20="No","PWW","P07")</f>
        <v>P07</v>
      </c>
      <c r="F55" s="67" t="str">
        <f>'PIM Model'!$AD$20</f>
        <v/>
      </c>
      <c r="G55" s="66" t="str">
        <f t="shared" si="0"/>
        <v/>
      </c>
      <c r="H55" s="73" t="str">
        <f>'PIM Model'!$D$20</f>
        <v>%</v>
      </c>
      <c r="I55" s="69" t="s">
        <v>685</v>
      </c>
      <c r="J55" s="1029">
        <f>'MDA Worksheet'!$AU$48</f>
        <v>2.25</v>
      </c>
      <c r="K55" s="72">
        <v>0</v>
      </c>
      <c r="L55" s="72" t="s">
        <v>245</v>
      </c>
    </row>
    <row r="56" spans="1:12" x14ac:dyDescent="0.25">
      <c r="A56" s="60">
        <v>22</v>
      </c>
      <c r="B56" s="60">
        <v>180</v>
      </c>
      <c r="C56" s="60">
        <v>0</v>
      </c>
      <c r="D56" s="60" t="s">
        <v>683</v>
      </c>
      <c r="E56" s="60" t="s">
        <v>682</v>
      </c>
      <c r="F56" s="67" t="str">
        <f>'PIM Model'!$AD$20</f>
        <v/>
      </c>
      <c r="G56" s="66" t="str">
        <f t="shared" si="0"/>
        <v/>
      </c>
      <c r="H56" s="73" t="str">
        <f>'PIM Model'!$D$20</f>
        <v>%</v>
      </c>
      <c r="I56" s="69" t="s">
        <v>685</v>
      </c>
      <c r="J56" s="1029">
        <f>'MDA Worksheet'!$AU$48</f>
        <v>2.25</v>
      </c>
      <c r="K56" s="1048">
        <f>'MDA Worksheet'!$AU$46*100</f>
        <v>30</v>
      </c>
      <c r="L56" s="60" t="s">
        <v>489</v>
      </c>
    </row>
    <row r="57" spans="1:12" x14ac:dyDescent="0.25">
      <c r="A57" s="60">
        <v>22</v>
      </c>
      <c r="B57" s="60">
        <v>232</v>
      </c>
      <c r="C57" s="60">
        <v>1727</v>
      </c>
      <c r="D57" s="60" t="s">
        <v>683</v>
      </c>
      <c r="E57" s="60" t="s">
        <v>682</v>
      </c>
      <c r="F57" s="67" t="str">
        <f>'PIM Model'!$AD$20</f>
        <v/>
      </c>
      <c r="G57" s="66" t="str">
        <f t="shared" si="0"/>
        <v/>
      </c>
      <c r="H57" s="73" t="str">
        <f>'PIM Model'!$D$20</f>
        <v>%</v>
      </c>
      <c r="I57" s="69" t="s">
        <v>685</v>
      </c>
      <c r="J57" s="1029">
        <f>'MDA Worksheet'!$AU$48</f>
        <v>2.25</v>
      </c>
      <c r="K57" s="1048">
        <f>'MDA Worksheet'!$AU$46*100</f>
        <v>30</v>
      </c>
      <c r="L57" s="60" t="s">
        <v>489</v>
      </c>
    </row>
    <row r="58" spans="1:12" x14ac:dyDescent="0.25">
      <c r="A58" s="60">
        <v>22</v>
      </c>
      <c r="B58" s="60">
        <v>235</v>
      </c>
      <c r="C58" s="60">
        <v>1728</v>
      </c>
      <c r="D58" s="60" t="s">
        <v>683</v>
      </c>
      <c r="E58" s="60" t="s">
        <v>682</v>
      </c>
      <c r="F58" s="67" t="str">
        <f>'PIM Model'!$AD$20</f>
        <v/>
      </c>
      <c r="G58" s="66" t="str">
        <f t="shared" si="0"/>
        <v/>
      </c>
      <c r="H58" s="73" t="str">
        <f>'PIM Model'!$D$20</f>
        <v>%</v>
      </c>
      <c r="I58" s="69" t="s">
        <v>685</v>
      </c>
      <c r="J58" s="1029">
        <f>'MDA Worksheet'!$AU$48</f>
        <v>2.25</v>
      </c>
      <c r="K58" s="1048">
        <f>'MDA Worksheet'!$AU$46*100</f>
        <v>30</v>
      </c>
      <c r="L58" s="60" t="s">
        <v>489</v>
      </c>
    </row>
    <row r="59" spans="1:12" x14ac:dyDescent="0.25">
      <c r="A59" s="60">
        <v>23</v>
      </c>
      <c r="B59" s="60">
        <v>0</v>
      </c>
      <c r="C59" s="60">
        <v>0</v>
      </c>
      <c r="D59" s="60" t="s">
        <v>681</v>
      </c>
      <c r="E59" s="60" t="str">
        <f>IF('PRIME Headers'!$C$20="No","PWW","P07")</f>
        <v>P07</v>
      </c>
      <c r="F59" s="67" t="str">
        <f>'PIM Model'!$AD$18</f>
        <v/>
      </c>
      <c r="G59" s="66" t="str">
        <f>F59</f>
        <v/>
      </c>
      <c r="H59" s="73" t="str">
        <f>'PIM Model'!$D$18</f>
        <v>%</v>
      </c>
      <c r="I59" s="69" t="s">
        <v>685</v>
      </c>
      <c r="J59" s="1029">
        <f>'MDA Worksheet'!$AU$48</f>
        <v>2.25</v>
      </c>
      <c r="K59" s="1048">
        <f>'MDA Worksheet'!$AU$46*100</f>
        <v>30</v>
      </c>
      <c r="L59" s="60" t="s">
        <v>489</v>
      </c>
    </row>
    <row r="60" spans="1:12" x14ac:dyDescent="0.25">
      <c r="A60" s="60">
        <v>24</v>
      </c>
      <c r="B60" s="60">
        <v>0</v>
      </c>
      <c r="C60" s="60">
        <v>0</v>
      </c>
      <c r="D60" s="60" t="s">
        <v>681</v>
      </c>
      <c r="E60" s="60" t="str">
        <f>IF('PRIME Headers'!$C$20="No","PWW","P07")</f>
        <v>P07</v>
      </c>
      <c r="F60" s="67" t="str">
        <f>'PIM Model'!$AD$17</f>
        <v/>
      </c>
      <c r="G60" s="66" t="str">
        <f t="shared" si="0"/>
        <v/>
      </c>
      <c r="H60" s="73" t="str">
        <f>'PIM Model'!$D$17</f>
        <v>%</v>
      </c>
      <c r="I60" s="69" t="s">
        <v>685</v>
      </c>
      <c r="J60" s="1029">
        <f>'MDA Worksheet'!$AU$48</f>
        <v>2.25</v>
      </c>
      <c r="K60" s="1048">
        <f>'MDA Worksheet'!$AU$46*100</f>
        <v>30</v>
      </c>
      <c r="L60" s="60" t="s">
        <v>489</v>
      </c>
    </row>
    <row r="61" spans="1:12" x14ac:dyDescent="0.25">
      <c r="A61" s="60">
        <v>25</v>
      </c>
      <c r="B61" s="60">
        <v>0</v>
      </c>
      <c r="C61" s="60">
        <v>0</v>
      </c>
      <c r="D61" s="60" t="s">
        <v>683</v>
      </c>
      <c r="E61" s="60" t="s">
        <v>684</v>
      </c>
      <c r="F61" s="67" t="str">
        <f>'PIM Model'!$AD$27</f>
        <v/>
      </c>
      <c r="G61" s="66" t="str">
        <f t="shared" si="0"/>
        <v/>
      </c>
      <c r="H61" s="73" t="str">
        <f>IF('PIM Model'!$D$27="$/CS","$","%")</f>
        <v>%</v>
      </c>
      <c r="I61" s="69" t="s">
        <v>685</v>
      </c>
      <c r="J61" s="1029">
        <f>'MDA Worksheet'!$AU$48</f>
        <v>2.25</v>
      </c>
      <c r="K61" s="1048">
        <f>'MDA Worksheet'!$AU$46*100</f>
        <v>30</v>
      </c>
      <c r="L61" s="60" t="s">
        <v>489</v>
      </c>
    </row>
    <row r="62" spans="1:12" x14ac:dyDescent="0.25">
      <c r="A62" s="60">
        <v>26</v>
      </c>
      <c r="B62" s="60">
        <v>0</v>
      </c>
      <c r="C62" s="60">
        <v>0</v>
      </c>
      <c r="D62" s="60" t="s">
        <v>681</v>
      </c>
      <c r="E62" s="60" t="str">
        <f>IF('PRIME Headers'!$C$20="No","PWW","P07")</f>
        <v>P07</v>
      </c>
      <c r="F62" s="67" t="str">
        <f>'PIM Model'!$AD$21</f>
        <v/>
      </c>
      <c r="G62" s="66" t="str">
        <f t="shared" si="0"/>
        <v/>
      </c>
      <c r="H62" s="73" t="str">
        <f>'PIM Model'!$D$21</f>
        <v>%</v>
      </c>
      <c r="I62" s="69" t="s">
        <v>685</v>
      </c>
      <c r="J62" s="1029">
        <f>'MDA Worksheet'!$AU$48</f>
        <v>2.25</v>
      </c>
      <c r="K62" s="1048">
        <f>'MDA Worksheet'!$AU$46*100</f>
        <v>30</v>
      </c>
      <c r="L62" s="60" t="s">
        <v>489</v>
      </c>
    </row>
    <row r="63" spans="1:12" x14ac:dyDescent="0.25">
      <c r="A63" s="60">
        <v>26</v>
      </c>
      <c r="B63" s="60">
        <v>310</v>
      </c>
      <c r="C63" s="60">
        <v>5390</v>
      </c>
      <c r="D63" s="60" t="s">
        <v>683</v>
      </c>
      <c r="E63" s="60" t="s">
        <v>682</v>
      </c>
      <c r="F63" s="67" t="str">
        <f>'PIM Model'!$AD$21</f>
        <v/>
      </c>
      <c r="G63" s="66" t="str">
        <f t="shared" si="0"/>
        <v/>
      </c>
      <c r="H63" s="73" t="str">
        <f>'PIM Model'!$D$22</f>
        <v>%</v>
      </c>
      <c r="I63" s="69" t="s">
        <v>685</v>
      </c>
      <c r="J63" s="1029">
        <f>'MDA Worksheet'!$AU$48</f>
        <v>2.25</v>
      </c>
      <c r="K63" s="1048">
        <f>'MDA Worksheet'!$AU$46*100</f>
        <v>30</v>
      </c>
      <c r="L63" s="60" t="s">
        <v>489</v>
      </c>
    </row>
    <row r="64" spans="1:12" x14ac:dyDescent="0.25">
      <c r="A64" s="60">
        <v>29</v>
      </c>
      <c r="B64" s="60">
        <v>0</v>
      </c>
      <c r="C64" s="60">
        <v>0</v>
      </c>
      <c r="D64" s="60" t="s">
        <v>683</v>
      </c>
      <c r="E64" s="60" t="s">
        <v>682</v>
      </c>
      <c r="F64" s="67" t="str">
        <f>'PIM Model'!$AD$23</f>
        <v/>
      </c>
      <c r="G64" s="66" t="str">
        <f t="shared" si="0"/>
        <v/>
      </c>
      <c r="H64" s="73" t="str">
        <f>'PIM Model'!$D$23</f>
        <v>%</v>
      </c>
      <c r="I64" s="69" t="s">
        <v>685</v>
      </c>
      <c r="J64" s="1029">
        <f>'MDA Worksheet'!$AU$48</f>
        <v>2.25</v>
      </c>
      <c r="K64" s="1048">
        <f>'MDA Worksheet'!$AU$46*100</f>
        <v>30</v>
      </c>
      <c r="L64" s="60" t="s">
        <v>489</v>
      </c>
    </row>
    <row r="65" spans="1:12" x14ac:dyDescent="0.25">
      <c r="A65" s="60">
        <v>30</v>
      </c>
      <c r="B65" s="60">
        <v>0</v>
      </c>
      <c r="C65" s="60">
        <v>0</v>
      </c>
      <c r="D65" s="60" t="s">
        <v>683</v>
      </c>
      <c r="E65" s="60" t="s">
        <v>682</v>
      </c>
      <c r="F65" s="67" t="str">
        <f>'PIM Model'!$AD$24</f>
        <v/>
      </c>
      <c r="G65" s="66" t="str">
        <f t="shared" si="0"/>
        <v/>
      </c>
      <c r="H65" s="73" t="str">
        <f>IF('PIM Model'!$D$24="$/LB","#","%")</f>
        <v>%</v>
      </c>
      <c r="I65" s="69" t="s">
        <v>685</v>
      </c>
      <c r="J65" s="1029">
        <f>'MDA Worksheet'!$AU$48</f>
        <v>2.25</v>
      </c>
      <c r="K65" s="1048">
        <f>'MDA Worksheet'!$AU$46*100</f>
        <v>30</v>
      </c>
      <c r="L65" s="60" t="s">
        <v>489</v>
      </c>
    </row>
    <row r="66" spans="1:12" x14ac:dyDescent="0.25">
      <c r="A66" s="60">
        <v>31</v>
      </c>
      <c r="B66" s="60">
        <v>0</v>
      </c>
      <c r="C66" s="60">
        <v>0</v>
      </c>
      <c r="D66" s="60" t="s">
        <v>683</v>
      </c>
      <c r="E66" s="60" t="s">
        <v>682</v>
      </c>
      <c r="F66" s="67" t="str">
        <f>'PIM Model'!$AD$25</f>
        <v/>
      </c>
      <c r="G66" s="66" t="str">
        <f t="shared" si="0"/>
        <v/>
      </c>
      <c r="H66" s="73" t="str">
        <f>IF('PIM Model'!$D$25="$/LB","#","%")</f>
        <v>%</v>
      </c>
      <c r="I66" s="69" t="s">
        <v>685</v>
      </c>
      <c r="J66" s="1029">
        <f>'MDA Worksheet'!$AU$48</f>
        <v>2.25</v>
      </c>
      <c r="K66" s="1048">
        <f>'MDA Worksheet'!$AU$46*100</f>
        <v>30</v>
      </c>
      <c r="L66" s="60" t="s">
        <v>489</v>
      </c>
    </row>
    <row r="67" spans="1:12" x14ac:dyDescent="0.25">
      <c r="A67" s="60">
        <v>32</v>
      </c>
      <c r="B67" s="60">
        <v>0</v>
      </c>
      <c r="C67" s="60">
        <v>0</v>
      </c>
      <c r="D67" s="60" t="s">
        <v>683</v>
      </c>
      <c r="E67" s="60" t="s">
        <v>682</v>
      </c>
      <c r="F67" s="67" t="str">
        <f>'PIM Model'!$AD$26</f>
        <v/>
      </c>
      <c r="G67" s="66" t="str">
        <f t="shared" si="0"/>
        <v/>
      </c>
      <c r="H67" s="73" t="str">
        <f>IF('PIM Model'!$D$26="$/LB","#","%")</f>
        <v>%</v>
      </c>
      <c r="I67" s="69" t="s">
        <v>685</v>
      </c>
      <c r="J67" s="1029">
        <f>'MDA Worksheet'!$AU$48</f>
        <v>2.25</v>
      </c>
      <c r="K67" s="1048">
        <f>'MDA Worksheet'!$AU$46*100</f>
        <v>30</v>
      </c>
      <c r="L67" s="60" t="s">
        <v>489</v>
      </c>
    </row>
    <row r="68" spans="1:12" x14ac:dyDescent="0.25">
      <c r="A68" s="60">
        <v>33</v>
      </c>
      <c r="B68" s="60">
        <v>0</v>
      </c>
      <c r="C68" s="60">
        <v>0</v>
      </c>
      <c r="D68" s="60" t="s">
        <v>683</v>
      </c>
      <c r="E68" s="60" t="s">
        <v>682</v>
      </c>
      <c r="F68" s="67" t="str">
        <f>'PIM Model'!$AD$29</f>
        <v/>
      </c>
      <c r="G68" s="66" t="str">
        <f t="shared" si="0"/>
        <v/>
      </c>
      <c r="H68" s="73" t="str">
        <f>IF('PIM Model'!$D$29="$/LB","#","%")</f>
        <v>%</v>
      </c>
      <c r="I68" s="69" t="s">
        <v>685</v>
      </c>
      <c r="J68" s="1029">
        <f>'MDA Worksheet'!$AU$48</f>
        <v>2.25</v>
      </c>
      <c r="K68" s="1048">
        <f>'MDA Worksheet'!$AU$46*100</f>
        <v>30</v>
      </c>
      <c r="L68" s="60" t="s">
        <v>489</v>
      </c>
    </row>
    <row r="69" spans="1:12" x14ac:dyDescent="0.25">
      <c r="A69" s="60">
        <v>34</v>
      </c>
      <c r="B69" s="60">
        <v>0</v>
      </c>
      <c r="C69" s="60">
        <v>0</v>
      </c>
      <c r="D69" s="60" t="s">
        <v>683</v>
      </c>
      <c r="E69" s="60" t="s">
        <v>682</v>
      </c>
      <c r="F69" s="67" t="str">
        <f>'PIM Model'!$AD$30</f>
        <v/>
      </c>
      <c r="G69" s="66" t="str">
        <f t="shared" ref="G69:G72" si="2">F69</f>
        <v/>
      </c>
      <c r="H69" s="73" t="str">
        <f>IF('PIM Model'!$D$30="$/LB","#","%")</f>
        <v>%</v>
      </c>
      <c r="I69" s="69" t="s">
        <v>685</v>
      </c>
      <c r="J69" s="1029">
        <f>'MDA Worksheet'!$AU$48</f>
        <v>2.25</v>
      </c>
      <c r="K69" s="1048">
        <f>'MDA Worksheet'!$AU$46*100</f>
        <v>30</v>
      </c>
      <c r="L69" s="60" t="s">
        <v>489</v>
      </c>
    </row>
    <row r="70" spans="1:12" x14ac:dyDescent="0.25">
      <c r="A70" s="60">
        <v>35</v>
      </c>
      <c r="B70" s="60">
        <v>0</v>
      </c>
      <c r="C70" s="60">
        <v>0</v>
      </c>
      <c r="D70" s="60" t="s">
        <v>683</v>
      </c>
      <c r="E70" s="60" t="s">
        <v>682</v>
      </c>
      <c r="F70" s="67" t="str">
        <f>'PIM Model'!$AD$28</f>
        <v/>
      </c>
      <c r="G70" s="66" t="str">
        <f t="shared" si="2"/>
        <v/>
      </c>
      <c r="H70" s="73" t="str">
        <f>'PIM Model'!$D$28</f>
        <v>%</v>
      </c>
      <c r="I70" s="69" t="s">
        <v>685</v>
      </c>
      <c r="J70" s="1029">
        <f>'MDA Worksheet'!$AU$48</f>
        <v>2.25</v>
      </c>
      <c r="K70" s="1048">
        <f>'MDA Worksheet'!$AU$46*100</f>
        <v>30</v>
      </c>
      <c r="L70" s="60" t="s">
        <v>489</v>
      </c>
    </row>
    <row r="71" spans="1:12" x14ac:dyDescent="0.25">
      <c r="A71" s="60">
        <v>35</v>
      </c>
      <c r="B71" s="60">
        <v>272</v>
      </c>
      <c r="C71" s="60">
        <v>3470</v>
      </c>
      <c r="D71" s="60" t="s">
        <v>681</v>
      </c>
      <c r="E71" s="60" t="str">
        <f>IF('PRIME Headers'!$C$20="No","PWW","P07")</f>
        <v>P07</v>
      </c>
      <c r="F71" s="67" t="str">
        <f>'PIM Model'!$AD$28</f>
        <v/>
      </c>
      <c r="G71" s="66" t="str">
        <f t="shared" ref="G71" si="3">F71</f>
        <v/>
      </c>
      <c r="H71" s="73" t="str">
        <f>'PIM Model'!$D$28</f>
        <v>%</v>
      </c>
      <c r="I71" s="69" t="s">
        <v>685</v>
      </c>
      <c r="J71" s="1029">
        <f>'MDA Worksheet'!$AU$48</f>
        <v>2.25</v>
      </c>
      <c r="K71" s="1048">
        <f>'MDA Worksheet'!$AU$46*100</f>
        <v>30</v>
      </c>
      <c r="L71" s="60" t="s">
        <v>489</v>
      </c>
    </row>
    <row r="72" spans="1:12" x14ac:dyDescent="0.25">
      <c r="A72" s="60">
        <v>37</v>
      </c>
      <c r="B72" s="60">
        <v>0</v>
      </c>
      <c r="C72" s="60">
        <v>0</v>
      </c>
      <c r="D72" s="60" t="s">
        <v>681</v>
      </c>
      <c r="E72" s="60" t="str">
        <f>IF('PRIME Headers'!$C$20="No","PWW","P07")</f>
        <v>P07</v>
      </c>
      <c r="F72" s="67" t="str">
        <f>'PIM Model'!$AD$22</f>
        <v/>
      </c>
      <c r="G72" s="66" t="str">
        <f t="shared" si="2"/>
        <v/>
      </c>
      <c r="H72" s="73" t="str">
        <f>IF('PIM Model'!$D$22="$/LB","#","%")</f>
        <v>%</v>
      </c>
      <c r="I72" s="69" t="s">
        <v>685</v>
      </c>
      <c r="J72" s="1029">
        <f>'MDA Worksheet'!$AU$48</f>
        <v>2.25</v>
      </c>
      <c r="K72" s="1048">
        <f>'MDA Worksheet'!$AU$46*100</f>
        <v>30</v>
      </c>
      <c r="L72" s="60" t="s">
        <v>489</v>
      </c>
    </row>
    <row r="73" spans="1:12" x14ac:dyDescent="0.25">
      <c r="A73" s="60">
        <v>996</v>
      </c>
      <c r="B73" s="60">
        <v>0</v>
      </c>
      <c r="C73" s="60">
        <v>0</v>
      </c>
      <c r="D73" s="60" t="s">
        <v>681</v>
      </c>
      <c r="E73" s="60" t="str">
        <f>IF('PRIME Headers'!$C$20="No","PWW","P07")</f>
        <v>P07</v>
      </c>
      <c r="F73" s="67" t="str">
        <f>IF(COUNTIF('PIM Model'!$E$10:$E$30,"Exclude"),"",'PIM Model'!$AD$20)</f>
        <v/>
      </c>
      <c r="G73" s="66" t="str">
        <f>F73</f>
        <v/>
      </c>
      <c r="H73" s="73" t="str">
        <f>'PIM Model'!$D$20</f>
        <v>%</v>
      </c>
      <c r="I73" s="69" t="s">
        <v>685</v>
      </c>
      <c r="J73" s="1029">
        <f>'MDA Worksheet'!$AU$48</f>
        <v>2.25</v>
      </c>
      <c r="K73" s="1048">
        <f>'MDA Worksheet'!$AU$46*100</f>
        <v>30</v>
      </c>
      <c r="L73" s="60" t="s">
        <v>489</v>
      </c>
    </row>
    <row r="74" spans="1:12" x14ac:dyDescent="0.25">
      <c r="A74" s="60">
        <v>997</v>
      </c>
      <c r="B74" s="60">
        <v>0</v>
      </c>
      <c r="C74" s="60">
        <v>0</v>
      </c>
      <c r="D74" s="60" t="s">
        <v>681</v>
      </c>
      <c r="E74" s="60" t="str">
        <f>IF('PRIME Headers'!$C$20="No","PWW","P07")</f>
        <v>P07</v>
      </c>
      <c r="F74" s="67" t="str">
        <f>IF(COUNTIF('PIM Model'!$E$10:$E$30,"Exclude"),"",'PIM Model'!$AD$21)</f>
        <v/>
      </c>
      <c r="G74" s="66" t="str">
        <f t="shared" ref="G74:G76" si="4">F74</f>
        <v/>
      </c>
      <c r="H74" s="73" t="str">
        <f>'PIM Model'!$D$21</f>
        <v>%</v>
      </c>
      <c r="I74" s="69" t="s">
        <v>685</v>
      </c>
      <c r="J74" s="1029">
        <f>'MDA Worksheet'!$AU$48</f>
        <v>2.25</v>
      </c>
      <c r="K74" s="1048">
        <f>'MDA Worksheet'!$AU$46*100</f>
        <v>30</v>
      </c>
      <c r="L74" s="60" t="s">
        <v>489</v>
      </c>
    </row>
    <row r="75" spans="1:12" x14ac:dyDescent="0.25">
      <c r="A75" s="60">
        <v>998</v>
      </c>
      <c r="B75" s="60">
        <v>0</v>
      </c>
      <c r="C75" s="60">
        <v>0</v>
      </c>
      <c r="D75" s="60" t="s">
        <v>681</v>
      </c>
      <c r="E75" s="60" t="str">
        <f>IF('PRIME Headers'!$C$20="No","PWW","P07")</f>
        <v>P07</v>
      </c>
      <c r="F75" s="67" t="str">
        <f>IF(COUNTIF('PIM Model'!$E$10:$E$30,"Exclude"),"",'PIM Model'!$AD$21)</f>
        <v/>
      </c>
      <c r="G75" s="66" t="str">
        <f t="shared" si="4"/>
        <v/>
      </c>
      <c r="H75" s="73" t="str">
        <f>'PIM Model'!$D$21</f>
        <v>%</v>
      </c>
      <c r="I75" s="69" t="s">
        <v>685</v>
      </c>
      <c r="J75" s="1029">
        <f>'MDA Worksheet'!$AU$48</f>
        <v>2.25</v>
      </c>
      <c r="K75" s="1048">
        <f>'MDA Worksheet'!$AU$46*100</f>
        <v>30</v>
      </c>
      <c r="L75" s="60" t="s">
        <v>489</v>
      </c>
    </row>
    <row r="76" spans="1:12" x14ac:dyDescent="0.25">
      <c r="A76" s="60">
        <v>999</v>
      </c>
      <c r="B76" s="60">
        <v>0</v>
      </c>
      <c r="C76" s="60">
        <v>0</v>
      </c>
      <c r="D76" s="60" t="s">
        <v>680</v>
      </c>
      <c r="E76" s="60" t="s">
        <v>679</v>
      </c>
      <c r="F76" s="67" t="str">
        <f>IF(COUNTIF('PIM Model'!$E$10:$E$30,"Exclude"),"",'PIM Model'!$AD$20)</f>
        <v/>
      </c>
      <c r="G76" s="66" t="str">
        <f t="shared" si="4"/>
        <v/>
      </c>
      <c r="H76" s="73" t="str">
        <f>'PIM Model'!$D$20</f>
        <v>%</v>
      </c>
      <c r="I76" s="69" t="s">
        <v>685</v>
      </c>
      <c r="J76" s="1029">
        <f>'MDA Worksheet'!$AU$48</f>
        <v>2.25</v>
      </c>
      <c r="K76" s="1048">
        <f>'MDA Worksheet'!$AU$46*100</f>
        <v>30</v>
      </c>
      <c r="L76" s="60" t="s">
        <v>489</v>
      </c>
    </row>
    <row r="84" spans="1:7" x14ac:dyDescent="0.25">
      <c r="A84"/>
      <c r="F84" s="67"/>
      <c r="G84" s="68"/>
    </row>
    <row r="85" spans="1:7" x14ac:dyDescent="0.25">
      <c r="A85"/>
      <c r="F85" s="67"/>
      <c r="G85" s="68"/>
    </row>
    <row r="86" spans="1:7" x14ac:dyDescent="0.25">
      <c r="A86"/>
      <c r="F86" s="67"/>
      <c r="G86" s="68"/>
    </row>
    <row r="87" spans="1:7" x14ac:dyDescent="0.25">
      <c r="A87"/>
      <c r="F87" s="67"/>
      <c r="G87" s="68"/>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259</v>
      </c>
      <c r="B2" s="1"/>
      <c r="C2" s="378" t="s">
        <v>99</v>
      </c>
      <c r="D2" s="378" t="s">
        <v>103</v>
      </c>
      <c r="E2" s="378" t="s">
        <v>1445</v>
      </c>
      <c r="F2" s="378" t="s">
        <v>102</v>
      </c>
      <c r="G2" s="378" t="s">
        <v>100</v>
      </c>
      <c r="H2" s="378" t="s">
        <v>104</v>
      </c>
      <c r="I2" s="378" t="s">
        <v>98</v>
      </c>
      <c r="J2" s="378" t="s">
        <v>95</v>
      </c>
      <c r="K2" s="378" t="s">
        <v>96</v>
      </c>
      <c r="L2" s="378" t="s">
        <v>101</v>
      </c>
      <c r="M2" s="378" t="s">
        <v>97</v>
      </c>
      <c r="N2" s="378" t="s">
        <v>93</v>
      </c>
      <c r="O2" s="378" t="s">
        <v>105</v>
      </c>
      <c r="P2" s="378" t="s">
        <v>92</v>
      </c>
      <c r="Q2" s="378" t="s">
        <v>91</v>
      </c>
      <c r="R2" s="378" t="s">
        <v>90</v>
      </c>
      <c r="S2" s="378" t="s">
        <v>89</v>
      </c>
      <c r="T2" s="378" t="s">
        <v>94</v>
      </c>
      <c r="U2" s="378" t="s">
        <v>86</v>
      </c>
      <c r="V2" s="378" t="s">
        <v>88</v>
      </c>
      <c r="W2" s="378" t="s">
        <v>87</v>
      </c>
      <c r="X2" s="378" t="s">
        <v>269</v>
      </c>
    </row>
    <row r="3" spans="1:49" x14ac:dyDescent="0.25">
      <c r="A3" s="1" t="s">
        <v>14</v>
      </c>
      <c r="B3" s="1"/>
      <c r="C3" s="46">
        <v>8.1000000000000003E-2</v>
      </c>
      <c r="D3" s="46">
        <v>4.1300000000000003E-2</v>
      </c>
      <c r="E3" s="46">
        <v>0.1036</v>
      </c>
      <c r="F3" s="46">
        <v>3.27E-2</v>
      </c>
      <c r="G3" s="46">
        <v>5.5199999999999999E-2</v>
      </c>
      <c r="H3" s="46">
        <v>1.43E-2</v>
      </c>
      <c r="I3" s="46">
        <v>6.1800000000000001E-2</v>
      </c>
      <c r="J3" s="46">
        <v>4.5199999999999997E-2</v>
      </c>
      <c r="K3" s="46">
        <v>1.1900000000000001E-2</v>
      </c>
      <c r="L3" s="46">
        <v>1.35E-2</v>
      </c>
      <c r="M3" s="46">
        <v>0.10629999999999995</v>
      </c>
      <c r="N3" s="46">
        <v>8.3699999999999997E-2</v>
      </c>
      <c r="O3" s="46">
        <v>3.1999999999999997E-3</v>
      </c>
      <c r="P3" s="46">
        <v>3.0099999999999998E-2</v>
      </c>
      <c r="Q3" s="46">
        <v>7.1099999999999997E-2</v>
      </c>
      <c r="R3" s="46">
        <v>0.10340000000000001</v>
      </c>
      <c r="S3" s="46">
        <v>1.55E-2</v>
      </c>
      <c r="T3" s="46">
        <v>4.6100000000000002E-2</v>
      </c>
      <c r="U3" s="46">
        <v>3.0000000000000001E-3</v>
      </c>
      <c r="V3" s="46">
        <v>7.4499999999999997E-2</v>
      </c>
      <c r="W3" s="46">
        <v>2.5999999999999999E-3</v>
      </c>
      <c r="X3" s="3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6">
        <v>4.8300000000000003E-2</v>
      </c>
      <c r="D4" s="46">
        <v>0.06</v>
      </c>
      <c r="E4" s="46">
        <v>7.17E-2</v>
      </c>
      <c r="F4" s="46">
        <v>3.4299999999999997E-2</v>
      </c>
      <c r="G4" s="46">
        <v>5.57E-2</v>
      </c>
      <c r="H4" s="46">
        <v>1.61E-2</v>
      </c>
      <c r="I4" s="46">
        <v>4.2599999999999999E-2</v>
      </c>
      <c r="J4" s="46">
        <v>4.7E-2</v>
      </c>
      <c r="K4" s="46">
        <v>7.4000000000000003E-3</v>
      </c>
      <c r="L4" s="46">
        <v>2.3400000000000001E-2</v>
      </c>
      <c r="M4" s="46">
        <v>0.10860000000000028</v>
      </c>
      <c r="N4" s="46">
        <v>7.9299999999999995E-2</v>
      </c>
      <c r="O4" s="46">
        <v>2.5000000000000001E-3</v>
      </c>
      <c r="P4" s="46">
        <v>3.4500000000000003E-2</v>
      </c>
      <c r="Q4" s="46">
        <v>6.1899999999999997E-2</v>
      </c>
      <c r="R4" s="46">
        <v>0.105</v>
      </c>
      <c r="S4" s="46">
        <v>7.4999999999999997E-3</v>
      </c>
      <c r="T4" s="46">
        <v>5.2499999999999998E-2</v>
      </c>
      <c r="U4" s="46">
        <v>1.5E-3</v>
      </c>
      <c r="V4" s="46">
        <v>0.13550000000000001</v>
      </c>
      <c r="W4" s="46">
        <v>4.7000000000000002E-3</v>
      </c>
      <c r="X4" s="3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6">
        <v>8.2500000000000004E-2</v>
      </c>
      <c r="D5" s="46">
        <v>2.41E-2</v>
      </c>
      <c r="E5" s="46">
        <v>3.6499999999999998E-2</v>
      </c>
      <c r="F5" s="46">
        <v>4.4299999999999999E-2</v>
      </c>
      <c r="G5" s="46">
        <v>6.4100000000000004E-2</v>
      </c>
      <c r="H5" s="46">
        <v>1.9599999999999999E-2</v>
      </c>
      <c r="I5" s="46">
        <v>8.9700000000000002E-2</v>
      </c>
      <c r="J5" s="46">
        <v>5.8099999999999999E-2</v>
      </c>
      <c r="K5" s="46">
        <v>2.3999999999999998E-3</v>
      </c>
      <c r="L5" s="46">
        <v>1.7600000000000001E-2</v>
      </c>
      <c r="M5" s="46">
        <v>0.15635000000000018</v>
      </c>
      <c r="N5" s="46">
        <v>9.4299999999999995E-2</v>
      </c>
      <c r="O5" s="46">
        <v>2.2000000000000001E-3</v>
      </c>
      <c r="P5" s="46">
        <v>2.7E-2</v>
      </c>
      <c r="Q5" s="46">
        <v>5.6000000000000001E-2</v>
      </c>
      <c r="R5" s="46">
        <v>0.12770000000000001</v>
      </c>
      <c r="S5" s="46">
        <v>1.46E-2</v>
      </c>
      <c r="T5" s="46">
        <v>4.1599999999999998E-2</v>
      </c>
      <c r="U5" s="46">
        <v>1.3500000000000001E-3</v>
      </c>
      <c r="V5" s="46">
        <v>3.7999999999999999E-2</v>
      </c>
      <c r="W5" s="46">
        <v>2E-3</v>
      </c>
      <c r="X5" s="3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6">
        <v>8.0399999999999999E-2</v>
      </c>
      <c r="D6" s="46">
        <v>3.8800000000000001E-2</v>
      </c>
      <c r="E6" s="46">
        <v>8.9899999999999994E-2</v>
      </c>
      <c r="F6" s="46">
        <v>3.2599999999999997E-2</v>
      </c>
      <c r="G6" s="46">
        <v>6.2E-2</v>
      </c>
      <c r="H6" s="46">
        <v>2.01E-2</v>
      </c>
      <c r="I6" s="46">
        <v>3.7600000000000001E-2</v>
      </c>
      <c r="J6" s="46">
        <v>5.3400000000000003E-2</v>
      </c>
      <c r="K6" s="46">
        <v>1.5299999999999999E-2</v>
      </c>
      <c r="L6" s="46">
        <v>1.1299999999999999E-2</v>
      </c>
      <c r="M6" s="46">
        <v>0.10069999999999972</v>
      </c>
      <c r="N6" s="46">
        <v>7.2300000000000003E-2</v>
      </c>
      <c r="O6" s="46">
        <v>3.0000000000000001E-3</v>
      </c>
      <c r="P6" s="46">
        <v>2.8500000000000001E-2</v>
      </c>
      <c r="Q6" s="46">
        <v>4.5400000000000003E-2</v>
      </c>
      <c r="R6" s="46">
        <v>0.1694</v>
      </c>
      <c r="S6" s="46">
        <v>8.8999999999999999E-3</v>
      </c>
      <c r="T6" s="46">
        <v>5.8000000000000003E-2</v>
      </c>
      <c r="U6" s="46">
        <v>1E-3</v>
      </c>
      <c r="V6" s="46">
        <v>6.8099999999999994E-2</v>
      </c>
      <c r="W6" s="46">
        <v>3.3E-3</v>
      </c>
      <c r="X6" s="3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6">
        <v>4.6399999999999997E-2</v>
      </c>
      <c r="D7" s="46">
        <v>0.17730000000000001</v>
      </c>
      <c r="E7" s="46">
        <v>2.7699999999999999E-2</v>
      </c>
      <c r="F7" s="46">
        <v>2.7799999999999998E-2</v>
      </c>
      <c r="G7" s="46">
        <v>1.44E-2</v>
      </c>
      <c r="H7" s="46">
        <v>9.7999999999999997E-3</v>
      </c>
      <c r="I7" s="46">
        <v>2.24E-2</v>
      </c>
      <c r="J7" s="46">
        <v>8.3900000000000002E-2</v>
      </c>
      <c r="K7" s="46">
        <v>7.9000000000000008E-3</v>
      </c>
      <c r="L7" s="46">
        <v>2.2200000000000001E-2</v>
      </c>
      <c r="M7" s="46">
        <v>0.12330000000000024</v>
      </c>
      <c r="N7" s="46">
        <v>4.0099999999999997E-2</v>
      </c>
      <c r="O7" s="46">
        <v>2.3E-3</v>
      </c>
      <c r="P7" s="46">
        <v>1.83E-2</v>
      </c>
      <c r="Q7" s="46">
        <v>0.19289999999999999</v>
      </c>
      <c r="R7" s="46">
        <v>0.1009</v>
      </c>
      <c r="S7" s="46">
        <v>2.2599999999999999E-2</v>
      </c>
      <c r="T7" s="46">
        <v>0.03</v>
      </c>
      <c r="U7" s="46">
        <v>1.46E-2</v>
      </c>
      <c r="V7" s="46">
        <v>1.35E-2</v>
      </c>
      <c r="W7" s="46">
        <v>1.6999999999999999E-3</v>
      </c>
      <c r="X7" s="3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6">
        <v>5.4199999999999998E-2</v>
      </c>
      <c r="D8" s="46">
        <v>9.9000000000000008E-3</v>
      </c>
      <c r="E8" s="46">
        <v>1.7000000000000001E-2</v>
      </c>
      <c r="F8" s="46">
        <v>8.5800000000000001E-2</v>
      </c>
      <c r="G8" s="46">
        <v>3.2599999999999997E-2</v>
      </c>
      <c r="H8" s="46">
        <v>9.5999999999999992E-3</v>
      </c>
      <c r="I8" s="46">
        <v>0.1457</v>
      </c>
      <c r="J8" s="46">
        <v>0.1346</v>
      </c>
      <c r="K8" s="46">
        <v>1.03E-2</v>
      </c>
      <c r="L8" s="46">
        <v>7.3000000000000001E-3</v>
      </c>
      <c r="M8" s="46">
        <v>0.11985000000000007</v>
      </c>
      <c r="N8" s="46">
        <v>0.17269999999999999</v>
      </c>
      <c r="O8" s="46">
        <v>4.3999999999999994E-3</v>
      </c>
      <c r="P8" s="46">
        <v>9.7999999999999997E-3</v>
      </c>
      <c r="Q8" s="46">
        <v>3.1300000000000001E-2</v>
      </c>
      <c r="R8" s="46">
        <v>4.8000000000000001E-2</v>
      </c>
      <c r="S8" s="46">
        <v>1.15E-2</v>
      </c>
      <c r="T8" s="46">
        <v>8.3699999999999997E-2</v>
      </c>
      <c r="U8" s="46">
        <v>1.65E-3</v>
      </c>
      <c r="V8" s="46">
        <v>9.1000000000000004E-3</v>
      </c>
      <c r="W8" s="46">
        <v>1E-3</v>
      </c>
      <c r="X8" s="3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6">
        <v>5.5300000000000002E-2</v>
      </c>
      <c r="D9" s="46">
        <v>3.8999999999999998E-3</v>
      </c>
      <c r="E9" s="46">
        <v>1.6199999999999999E-2</v>
      </c>
      <c r="F9" s="46">
        <v>2.93E-2</v>
      </c>
      <c r="G9" s="46">
        <v>2.81E-2</v>
      </c>
      <c r="H9" s="46">
        <v>9.4000000000000004E-3</v>
      </c>
      <c r="I9" s="46">
        <v>1.6299999999999999E-2</v>
      </c>
      <c r="J9" s="46">
        <v>8.72E-2</v>
      </c>
      <c r="K9" s="46">
        <v>7.3000000000000001E-3</v>
      </c>
      <c r="L9" s="46">
        <v>9.7000000000000003E-3</v>
      </c>
      <c r="M9" s="46">
        <v>0.1449000000000002</v>
      </c>
      <c r="N9" s="46">
        <v>4.9399999999999999E-2</v>
      </c>
      <c r="O9" s="46">
        <v>2.0999999999999999E-3</v>
      </c>
      <c r="P9" s="46">
        <v>4.1000000000000002E-2</v>
      </c>
      <c r="Q9" s="46">
        <v>1.52E-2</v>
      </c>
      <c r="R9" s="46">
        <v>0.41470000000000001</v>
      </c>
      <c r="S9" s="46">
        <v>1.9E-3</v>
      </c>
      <c r="T9" s="46">
        <v>5.2699999999999997E-2</v>
      </c>
      <c r="U9" s="46">
        <v>3.0000000000000001E-3</v>
      </c>
      <c r="V9" s="46">
        <v>1.14E-2</v>
      </c>
      <c r="W9" s="46">
        <v>1E-3</v>
      </c>
      <c r="X9" s="3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6">
        <v>3.5999999999999997E-2</v>
      </c>
      <c r="D10" s="46">
        <v>6.9500000000000006E-2</v>
      </c>
      <c r="E10" s="46">
        <v>8.6599999999999996E-2</v>
      </c>
      <c r="F10" s="46">
        <v>9.5299999999999996E-2</v>
      </c>
      <c r="G10" s="46">
        <v>1.9900000000000001E-2</v>
      </c>
      <c r="H10" s="46">
        <v>1.3100000000000001E-2</v>
      </c>
      <c r="I10" s="46">
        <v>6.8000000000000005E-2</v>
      </c>
      <c r="J10" s="46">
        <v>6.7900000000000002E-2</v>
      </c>
      <c r="K10" s="46">
        <v>5.4999999999999997E-3</v>
      </c>
      <c r="L10" s="46">
        <v>7.9000000000000008E-3</v>
      </c>
      <c r="M10" s="46">
        <v>9.9100000000000091E-2</v>
      </c>
      <c r="N10" s="46">
        <v>7.3700000000000002E-2</v>
      </c>
      <c r="O10" s="46">
        <v>2E-3</v>
      </c>
      <c r="P10" s="46">
        <v>4.8399999999999999E-2</v>
      </c>
      <c r="Q10" s="46">
        <v>6.0499999999999998E-2</v>
      </c>
      <c r="R10" s="46">
        <v>0.12540000000000001</v>
      </c>
      <c r="S10" s="46">
        <v>3.5000000000000001E-3</v>
      </c>
      <c r="T10" s="46">
        <v>3.9699999999999999E-2</v>
      </c>
      <c r="U10" s="46">
        <v>1E-3</v>
      </c>
      <c r="V10" s="46">
        <v>7.5999999999999998E-2</v>
      </c>
      <c r="W10" s="46">
        <v>1E-3</v>
      </c>
      <c r="X10" s="3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6">
        <v>8.1100000000000005E-2</v>
      </c>
      <c r="D11" s="46">
        <v>3.5200000000000002E-2</v>
      </c>
      <c r="E11" s="46">
        <v>9.9500000000000005E-2</v>
      </c>
      <c r="F11" s="46">
        <v>4.2500000000000003E-2</v>
      </c>
      <c r="G11" s="46">
        <v>4.4900000000000002E-2</v>
      </c>
      <c r="H11" s="46">
        <v>1.78E-2</v>
      </c>
      <c r="I11" s="46">
        <v>5.8799999999999998E-2</v>
      </c>
      <c r="J11" s="46">
        <v>5.7599999999999998E-2</v>
      </c>
      <c r="K11" s="46">
        <v>7.9000000000000008E-3</v>
      </c>
      <c r="L11" s="46">
        <v>1.5699999999999999E-2</v>
      </c>
      <c r="M11" s="46">
        <v>0.11489999999999999</v>
      </c>
      <c r="N11" s="46">
        <v>9.8900000000000002E-2</v>
      </c>
      <c r="O11" s="46">
        <v>3.1999999999999997E-3</v>
      </c>
      <c r="P11" s="46">
        <v>2.8500000000000001E-2</v>
      </c>
      <c r="Q11" s="46">
        <v>6.6500000000000004E-2</v>
      </c>
      <c r="R11" s="46">
        <v>0.1021</v>
      </c>
      <c r="S11" s="46">
        <v>1.61E-2</v>
      </c>
      <c r="T11" s="46">
        <v>5.2200000000000003E-2</v>
      </c>
      <c r="U11" s="46">
        <v>2.4000000000000002E-3</v>
      </c>
      <c r="V11" s="46">
        <v>5.0900000000000001E-2</v>
      </c>
      <c r="W11" s="46">
        <v>3.3E-3</v>
      </c>
      <c r="X11" s="3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260</v>
      </c>
      <c r="B12" s="1"/>
      <c r="C12" s="46">
        <v>6.7000000000000004E-2</v>
      </c>
      <c r="D12" s="46">
        <v>9.2999999999999992E-3</v>
      </c>
      <c r="E12" s="46">
        <v>6.4100000000000004E-2</v>
      </c>
      <c r="F12" s="46">
        <v>3.7199999999999997E-2</v>
      </c>
      <c r="G12" s="46">
        <v>6.1499999999999999E-2</v>
      </c>
      <c r="H12" s="46">
        <v>1.8200000000000001E-2</v>
      </c>
      <c r="I12" s="46">
        <v>7.0499999999999993E-2</v>
      </c>
      <c r="J12" s="46">
        <v>4.3099999999999999E-2</v>
      </c>
      <c r="K12" s="46">
        <v>7.7000000000000002E-3</v>
      </c>
      <c r="L12" s="46">
        <v>3.85E-2</v>
      </c>
      <c r="M12" s="46">
        <v>0.18390000000000006</v>
      </c>
      <c r="N12" s="46">
        <v>0.11269999999999999</v>
      </c>
      <c r="O12" s="46">
        <v>5.3E-3</v>
      </c>
      <c r="P12" s="46">
        <v>1.8200000000000001E-2</v>
      </c>
      <c r="Q12" s="46">
        <v>4.2900000000000001E-2</v>
      </c>
      <c r="R12" s="46">
        <v>0.12130000000000001</v>
      </c>
      <c r="S12" s="46">
        <v>3.3000000000000002E-2</v>
      </c>
      <c r="T12" s="46">
        <v>3.9E-2</v>
      </c>
      <c r="U12" s="46">
        <v>2.0999999999999999E-3</v>
      </c>
      <c r="V12" s="46">
        <v>2.1700000000000001E-2</v>
      </c>
      <c r="W12" s="46">
        <v>2.8E-3</v>
      </c>
      <c r="X12" s="3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6">
        <v>5.67E-2</v>
      </c>
      <c r="D13" s="46">
        <v>3.8600000000000002E-2</v>
      </c>
      <c r="E13" s="46">
        <v>6.5600000000000006E-2</v>
      </c>
      <c r="F13" s="46">
        <v>2.9899999999999999E-2</v>
      </c>
      <c r="G13" s="46">
        <v>5.3400000000000003E-2</v>
      </c>
      <c r="H13" s="46">
        <v>1.6799999999999999E-2</v>
      </c>
      <c r="I13" s="46">
        <v>5.1400000000000001E-2</v>
      </c>
      <c r="J13" s="46">
        <v>7.0000000000000007E-2</v>
      </c>
      <c r="K13" s="46">
        <v>1.0200000000000001E-2</v>
      </c>
      <c r="L13" s="46">
        <v>1.6500000000000001E-2</v>
      </c>
      <c r="M13" s="46">
        <v>9.4700000000000048E-2</v>
      </c>
      <c r="N13" s="46">
        <v>0.1089</v>
      </c>
      <c r="O13" s="46">
        <v>2.5000000000000001E-3</v>
      </c>
      <c r="P13" s="46">
        <v>3.9800000000000002E-2</v>
      </c>
      <c r="Q13" s="46">
        <v>3.5000000000000003E-2</v>
      </c>
      <c r="R13" s="46">
        <v>9.6199999999999994E-2</v>
      </c>
      <c r="S13" s="46">
        <v>7.7999999999999996E-3</v>
      </c>
      <c r="T13" s="46">
        <v>6.8000000000000005E-2</v>
      </c>
      <c r="U13" s="46">
        <v>1.5E-3</v>
      </c>
      <c r="V13" s="46">
        <v>6.2399999999999997E-2</v>
      </c>
      <c r="W13" s="46">
        <v>7.4099999999999999E-2</v>
      </c>
      <c r="X13" s="3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6">
        <v>5.6000000000000001E-2</v>
      </c>
      <c r="D14" s="46">
        <v>6.3E-3</v>
      </c>
      <c r="E14" s="46">
        <v>9.1200000000000003E-2</v>
      </c>
      <c r="F14" s="46">
        <v>1.52E-2</v>
      </c>
      <c r="G14" s="46">
        <v>8.6999999999999994E-3</v>
      </c>
      <c r="H14" s="46">
        <v>5.8999999999999999E-3</v>
      </c>
      <c r="I14" s="46">
        <v>0.37090000000000001</v>
      </c>
      <c r="J14" s="46">
        <v>7.22E-2</v>
      </c>
      <c r="K14" s="46">
        <v>3.0000000000000001E-3</v>
      </c>
      <c r="L14" s="46">
        <v>8.3999999999999995E-3</v>
      </c>
      <c r="M14" s="46">
        <v>0.14455000000000001</v>
      </c>
      <c r="N14" s="46">
        <v>8.72E-2</v>
      </c>
      <c r="O14" s="46">
        <v>2.5000000000000001E-3</v>
      </c>
      <c r="P14" s="46">
        <v>1.0500000000000001E-2</v>
      </c>
      <c r="Q14" s="46">
        <v>1.5900000000000001E-2</v>
      </c>
      <c r="R14" s="46">
        <v>4.2900000000000001E-2</v>
      </c>
      <c r="S14" s="46">
        <v>1.18E-2</v>
      </c>
      <c r="T14" s="46">
        <v>2.1100000000000001E-2</v>
      </c>
      <c r="U14" s="46">
        <v>1.9499999999999999E-3</v>
      </c>
      <c r="V14" s="46">
        <v>2.2800000000000001E-2</v>
      </c>
      <c r="W14" s="46">
        <v>1E-3</v>
      </c>
      <c r="X14" s="3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261</v>
      </c>
      <c r="B15" s="1"/>
      <c r="C15" s="46">
        <v>7.8799999999999995E-2</v>
      </c>
      <c r="D15" s="46">
        <v>1.12E-2</v>
      </c>
      <c r="E15" s="46">
        <v>4.7500000000000001E-2</v>
      </c>
      <c r="F15" s="46">
        <v>4.3700000000000003E-2</v>
      </c>
      <c r="G15" s="46">
        <v>2.69E-2</v>
      </c>
      <c r="H15" s="46">
        <v>1.35E-2</v>
      </c>
      <c r="I15" s="46">
        <v>4.1399999999999999E-2</v>
      </c>
      <c r="J15" s="46">
        <v>0.1071</v>
      </c>
      <c r="K15" s="46">
        <v>8.8000000000000005E-3</v>
      </c>
      <c r="L15" s="46">
        <v>6.2E-2</v>
      </c>
      <c r="M15" s="46">
        <v>0.19440000000000007</v>
      </c>
      <c r="N15" s="46">
        <v>0.1578</v>
      </c>
      <c r="O15" s="46">
        <v>3.1999999999999997E-3</v>
      </c>
      <c r="P15" s="46">
        <v>1.2999999999999999E-2</v>
      </c>
      <c r="Q15" s="46">
        <v>3.2000000000000001E-2</v>
      </c>
      <c r="R15" s="46">
        <v>7.0400000000000004E-2</v>
      </c>
      <c r="S15" s="46">
        <v>2.87E-2</v>
      </c>
      <c r="T15" s="46">
        <v>4.5100000000000001E-2</v>
      </c>
      <c r="U15" s="46">
        <v>2.0999999999999999E-3</v>
      </c>
      <c r="V15" s="46">
        <v>1.14E-2</v>
      </c>
      <c r="W15" s="46">
        <v>1E-3</v>
      </c>
      <c r="X15" s="3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6">
        <v>9.3299999999999994E-2</v>
      </c>
      <c r="D16" s="46">
        <v>1.78E-2</v>
      </c>
      <c r="E16" s="46">
        <v>0.14399999999999999</v>
      </c>
      <c r="F16" s="46">
        <v>5.45E-2</v>
      </c>
      <c r="G16" s="46">
        <v>6.0900000000000003E-2</v>
      </c>
      <c r="H16" s="46">
        <v>1.34E-2</v>
      </c>
      <c r="I16" s="46">
        <v>5.0900000000000001E-2</v>
      </c>
      <c r="J16" s="46">
        <v>8.7499999999999994E-2</v>
      </c>
      <c r="K16" s="46">
        <v>9.5999999999999992E-3</v>
      </c>
      <c r="L16" s="46">
        <v>5.7999999999999996E-3</v>
      </c>
      <c r="M16" s="46">
        <v>0.10080000000000007</v>
      </c>
      <c r="N16" s="46">
        <v>6.7199999999999996E-2</v>
      </c>
      <c r="O16" s="46">
        <v>8.3000000000000001E-3</v>
      </c>
      <c r="P16" s="46">
        <v>3.5299999999999998E-2</v>
      </c>
      <c r="Q16" s="46">
        <v>4.5900000000000003E-2</v>
      </c>
      <c r="R16" s="46">
        <v>7.8100000000000003E-2</v>
      </c>
      <c r="S16" s="46">
        <v>8.3000000000000001E-3</v>
      </c>
      <c r="T16" s="46">
        <v>6.0100000000000001E-2</v>
      </c>
      <c r="U16" s="46">
        <v>1.8E-3</v>
      </c>
      <c r="V16" s="46">
        <v>2.0799999999999999E-2</v>
      </c>
      <c r="W16" s="46">
        <v>3.5700000000000003E-2</v>
      </c>
      <c r="X16" s="3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262</v>
      </c>
      <c r="B17" s="1"/>
      <c r="C17" s="46">
        <v>5.4100000000000002E-2</v>
      </c>
      <c r="D17" s="46">
        <v>1.6899999999999998E-2</v>
      </c>
      <c r="E17" s="46">
        <v>5.4800000000000001E-2</v>
      </c>
      <c r="F17" s="46">
        <v>0.1016</v>
      </c>
      <c r="G17" s="46">
        <v>2.07E-2</v>
      </c>
      <c r="H17" s="46">
        <v>1.89E-2</v>
      </c>
      <c r="I17" s="46">
        <v>7.8700000000000006E-2</v>
      </c>
      <c r="J17" s="46">
        <v>5.5300000000000002E-2</v>
      </c>
      <c r="K17" s="46">
        <v>1.2699999999999999E-2</v>
      </c>
      <c r="L17" s="46">
        <v>4.3299999999999998E-2</v>
      </c>
      <c r="M17" s="46">
        <v>0.15809999999999999</v>
      </c>
      <c r="N17" s="46">
        <v>0.1239</v>
      </c>
      <c r="O17" s="46">
        <v>3.0000000000000001E-3</v>
      </c>
      <c r="P17" s="46">
        <v>1.04E-2</v>
      </c>
      <c r="Q17" s="46">
        <v>3.9399999999999998E-2</v>
      </c>
      <c r="R17" s="46">
        <v>7.7899999999999997E-2</v>
      </c>
      <c r="S17" s="46">
        <v>2.75E-2</v>
      </c>
      <c r="T17" s="46">
        <v>6.7900000000000002E-2</v>
      </c>
      <c r="U17" s="46">
        <v>5.8999999999999999E-3</v>
      </c>
      <c r="V17" s="46">
        <v>2.7799999999999998E-2</v>
      </c>
      <c r="W17" s="46">
        <v>1.1999999999999999E-3</v>
      </c>
      <c r="X17" s="3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263</v>
      </c>
      <c r="B18" s="1"/>
      <c r="C18" s="46">
        <v>7.5600000000000001E-2</v>
      </c>
      <c r="D18" s="46">
        <v>2.4199999999999999E-2</v>
      </c>
      <c r="E18" s="46">
        <v>5.8200000000000002E-2</v>
      </c>
      <c r="F18" s="46">
        <v>7.1999999999999995E-2</v>
      </c>
      <c r="G18" s="46">
        <v>3.8899999999999997E-2</v>
      </c>
      <c r="H18" s="46">
        <v>1.8800000000000001E-2</v>
      </c>
      <c r="I18" s="46">
        <v>6.8599999999999994E-2</v>
      </c>
      <c r="J18" s="46">
        <v>6.6699999999999995E-2</v>
      </c>
      <c r="K18" s="46">
        <v>1.54E-2</v>
      </c>
      <c r="L18" s="46">
        <v>1.6E-2</v>
      </c>
      <c r="M18" s="46">
        <v>0.13115000000000007</v>
      </c>
      <c r="N18" s="46">
        <v>9.8900000000000002E-2</v>
      </c>
      <c r="O18" s="46">
        <v>3.0000000000000001E-3</v>
      </c>
      <c r="P18" s="46">
        <v>2.2800000000000001E-2</v>
      </c>
      <c r="Q18" s="46">
        <v>6.3700000000000007E-2</v>
      </c>
      <c r="R18" s="46">
        <v>9.3799999999999994E-2</v>
      </c>
      <c r="S18" s="46">
        <v>2.7300000000000001E-2</v>
      </c>
      <c r="T18" s="46">
        <v>2.92E-2</v>
      </c>
      <c r="U18" s="46">
        <v>2.5499999999999997E-3</v>
      </c>
      <c r="V18" s="46">
        <v>6.8099999999999994E-2</v>
      </c>
      <c r="W18" s="46">
        <v>5.1000000000000004E-3</v>
      </c>
      <c r="X18" s="3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264</v>
      </c>
      <c r="B19" s="1"/>
      <c r="C19" s="46">
        <v>7.8799999999999995E-2</v>
      </c>
      <c r="D19" s="46">
        <v>3.6499999999999998E-2</v>
      </c>
      <c r="E19" s="46">
        <v>0.08</v>
      </c>
      <c r="F19" s="46">
        <v>3.1600000000000003E-2</v>
      </c>
      <c r="G19" s="46">
        <v>6.1499999999999999E-2</v>
      </c>
      <c r="H19" s="46">
        <v>2.1399999999999999E-2</v>
      </c>
      <c r="I19" s="46">
        <v>3.8899999999999997E-2</v>
      </c>
      <c r="J19" s="46">
        <v>5.74E-2</v>
      </c>
      <c r="K19" s="46">
        <v>2.1499999999999998E-2</v>
      </c>
      <c r="L19" s="46">
        <v>1.2200000000000001E-2</v>
      </c>
      <c r="M19" s="46">
        <v>0.10654999999999992</v>
      </c>
      <c r="N19" s="46">
        <v>7.3700000000000002E-2</v>
      </c>
      <c r="O19" s="46">
        <v>3.0000000000000001E-3</v>
      </c>
      <c r="P19" s="46">
        <v>3.1699999999999999E-2</v>
      </c>
      <c r="Q19" s="46">
        <v>5.21E-2</v>
      </c>
      <c r="R19" s="46">
        <v>0.1333</v>
      </c>
      <c r="S19" s="46">
        <v>8.8000000000000005E-3</v>
      </c>
      <c r="T19" s="46">
        <v>7.5300000000000006E-2</v>
      </c>
      <c r="U19" s="46">
        <v>7.5000000000000002E-4</v>
      </c>
      <c r="V19" s="46">
        <v>6.7100000000000007E-2</v>
      </c>
      <c r="W19" s="46">
        <v>7.9000000000000008E-3</v>
      </c>
      <c r="X19" s="3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6">
        <v>5.5899999999999998E-2</v>
      </c>
      <c r="D20" s="46">
        <v>7.8100000000000003E-2</v>
      </c>
      <c r="E20" s="46">
        <v>4.1200000000000001E-2</v>
      </c>
      <c r="F20" s="46">
        <v>1.83E-2</v>
      </c>
      <c r="G20" s="46">
        <v>3.44E-2</v>
      </c>
      <c r="H20" s="46">
        <v>1.6799999999999999E-2</v>
      </c>
      <c r="I20" s="46">
        <v>2.58E-2</v>
      </c>
      <c r="J20" s="46">
        <v>0.1075</v>
      </c>
      <c r="K20" s="46">
        <v>2.18E-2</v>
      </c>
      <c r="L20" s="46">
        <v>1.47E-2</v>
      </c>
      <c r="M20" s="46">
        <v>8.679999999999978E-2</v>
      </c>
      <c r="N20" s="46">
        <v>8.5300000000000001E-2</v>
      </c>
      <c r="O20" s="46">
        <v>2E-3</v>
      </c>
      <c r="P20" s="46">
        <v>3.3099999999999997E-2</v>
      </c>
      <c r="Q20" s="46">
        <v>4.8399999999999999E-2</v>
      </c>
      <c r="R20" s="46">
        <v>0.185</v>
      </c>
      <c r="S20" s="46">
        <v>1.03E-2</v>
      </c>
      <c r="T20" s="46">
        <v>5.3900000000000003E-2</v>
      </c>
      <c r="U20" s="46">
        <v>1E-3</v>
      </c>
      <c r="V20" s="46">
        <v>6.5500000000000003E-2</v>
      </c>
      <c r="W20" s="46">
        <v>1.4200000000000001E-2</v>
      </c>
      <c r="X20" s="3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6">
        <v>2.2200000000000001E-2</v>
      </c>
      <c r="D21" s="46">
        <v>7.3499999999999996E-2</v>
      </c>
      <c r="E21" s="46">
        <v>0.1148</v>
      </c>
      <c r="F21" s="46">
        <v>5.4800000000000001E-2</v>
      </c>
      <c r="G21" s="46">
        <v>9.4500000000000001E-2</v>
      </c>
      <c r="H21" s="46">
        <v>1.61E-2</v>
      </c>
      <c r="I21" s="46">
        <v>3.44E-2</v>
      </c>
      <c r="J21" s="46">
        <v>8.7800000000000003E-2</v>
      </c>
      <c r="K21" s="46">
        <v>1.3299999999999999E-2</v>
      </c>
      <c r="L21" s="46">
        <v>4.3700000000000003E-2</v>
      </c>
      <c r="M21" s="46">
        <v>9.7600000000000117E-2</v>
      </c>
      <c r="N21" s="46">
        <v>6.2700000000000006E-2</v>
      </c>
      <c r="O21" s="46">
        <v>2.0999999999999999E-3</v>
      </c>
      <c r="P21" s="46">
        <v>3.2599999999999997E-2</v>
      </c>
      <c r="Q21" s="46">
        <v>2.9700000000000001E-2</v>
      </c>
      <c r="R21" s="46">
        <v>9.9400000000000002E-2</v>
      </c>
      <c r="S21" s="46">
        <v>4.8999999999999998E-3</v>
      </c>
      <c r="T21" s="46">
        <v>7.1499999999999994E-2</v>
      </c>
      <c r="U21" s="46">
        <v>1E-3</v>
      </c>
      <c r="V21" s="46">
        <v>4.24E-2</v>
      </c>
      <c r="W21" s="46">
        <v>1E-3</v>
      </c>
      <c r="X21" s="3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265</v>
      </c>
      <c r="B22" s="1"/>
      <c r="C22" s="46">
        <v>7.5899999999999995E-2</v>
      </c>
      <c r="D22" s="46">
        <v>1.29E-2</v>
      </c>
      <c r="E22" s="46">
        <v>9.8100000000000007E-2</v>
      </c>
      <c r="F22" s="46">
        <v>4.0300000000000002E-2</v>
      </c>
      <c r="G22" s="46">
        <v>7.3800000000000004E-2</v>
      </c>
      <c r="H22" s="46">
        <v>3.0099999999999998E-2</v>
      </c>
      <c r="I22" s="46">
        <v>3.0700000000000002E-2</v>
      </c>
      <c r="J22" s="46">
        <v>4.9000000000000002E-2</v>
      </c>
      <c r="K22" s="46">
        <v>1.5E-3</v>
      </c>
      <c r="L22" s="46">
        <v>1.0800000000000001E-2</v>
      </c>
      <c r="M22" s="46">
        <v>0.10574999999999997</v>
      </c>
      <c r="N22" s="46">
        <v>7.9500000000000001E-2</v>
      </c>
      <c r="O22" s="46">
        <v>5.4000000000000003E-3</v>
      </c>
      <c r="P22" s="46">
        <v>2.6499999999999999E-2</v>
      </c>
      <c r="Q22" s="46">
        <v>3.6999999999999998E-2</v>
      </c>
      <c r="R22" s="46">
        <v>0.14319999999999999</v>
      </c>
      <c r="S22" s="46">
        <v>3.2000000000000002E-3</v>
      </c>
      <c r="T22" s="46">
        <v>0.1086</v>
      </c>
      <c r="U22" s="46">
        <v>2.5499999999999997E-3</v>
      </c>
      <c r="V22" s="46">
        <v>6.4199999999999993E-2</v>
      </c>
      <c r="W22" s="46">
        <v>1E-3</v>
      </c>
      <c r="X22" s="3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266</v>
      </c>
      <c r="B23" s="1"/>
      <c r="C23" s="46">
        <v>5.7799999999999997E-2</v>
      </c>
      <c r="D23" s="46">
        <v>1.41E-2</v>
      </c>
      <c r="E23" s="46">
        <v>7.0000000000000007E-2</v>
      </c>
      <c r="F23" s="46">
        <v>4.1000000000000002E-2</v>
      </c>
      <c r="G23" s="46">
        <v>4.58E-2</v>
      </c>
      <c r="H23" s="46">
        <v>1.2500000000000001E-2</v>
      </c>
      <c r="I23" s="46">
        <v>5.4100000000000002E-2</v>
      </c>
      <c r="J23" s="46">
        <v>5.6000000000000001E-2</v>
      </c>
      <c r="K23" s="46">
        <v>1.3599999999999999E-2</v>
      </c>
      <c r="L23" s="46">
        <v>6.1699999999999998E-2</v>
      </c>
      <c r="M23" s="46">
        <v>0.1532</v>
      </c>
      <c r="N23" s="46">
        <v>0.1171</v>
      </c>
      <c r="O23" s="46">
        <v>2.8999999999999998E-3</v>
      </c>
      <c r="P23" s="46">
        <v>1.6199999999999999E-2</v>
      </c>
      <c r="Q23" s="46">
        <v>5.5300000000000002E-2</v>
      </c>
      <c r="R23" s="46">
        <v>0.1046</v>
      </c>
      <c r="S23" s="46">
        <v>3.1600000000000003E-2</v>
      </c>
      <c r="T23" s="46">
        <v>5.16E-2</v>
      </c>
      <c r="U23" s="46">
        <v>3.5999999999999999E-3</v>
      </c>
      <c r="V23" s="46">
        <v>3.4700000000000002E-2</v>
      </c>
      <c r="W23" s="46">
        <v>2.5999999999999999E-3</v>
      </c>
      <c r="X23" s="3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6">
        <v>6.7999999999999996E-3</v>
      </c>
      <c r="D24" s="46">
        <v>1.5599999999999999E-2</v>
      </c>
      <c r="E24" s="46">
        <v>0.1986</v>
      </c>
      <c r="F24" s="46">
        <v>4.24E-2</v>
      </c>
      <c r="G24" s="46">
        <v>3.3E-3</v>
      </c>
      <c r="H24" s="46">
        <v>1.1599999999999999E-2</v>
      </c>
      <c r="I24" s="46">
        <v>9.5999999999999992E-3</v>
      </c>
      <c r="J24" s="46">
        <v>0.11260000000000001</v>
      </c>
      <c r="K24" s="46">
        <v>5.4000000000000003E-3</v>
      </c>
      <c r="L24" s="46">
        <v>2.3999999999999998E-3</v>
      </c>
      <c r="M24" s="46">
        <v>0.10959999999999986</v>
      </c>
      <c r="N24" s="46">
        <v>0.02</v>
      </c>
      <c r="O24" s="46">
        <v>2.0999999999999999E-3</v>
      </c>
      <c r="P24" s="46">
        <v>1.2500000000000001E-2</v>
      </c>
      <c r="Q24" s="46">
        <v>4.8999999999999998E-3</v>
      </c>
      <c r="R24" s="46">
        <v>0.28660000000000002</v>
      </c>
      <c r="S24" s="46">
        <v>1.4E-3</v>
      </c>
      <c r="T24" s="46">
        <v>7.3999999999999996E-2</v>
      </c>
      <c r="U24" s="46">
        <v>1E-3</v>
      </c>
      <c r="V24" s="46">
        <v>7.7799999999999994E-2</v>
      </c>
      <c r="W24" s="46">
        <v>1.8E-3</v>
      </c>
      <c r="X24" s="3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6">
        <v>4.5900000000000003E-2</v>
      </c>
      <c r="D25" s="46">
        <v>6.1499999999999999E-2</v>
      </c>
      <c r="E25" s="46">
        <v>8.9700000000000002E-2</v>
      </c>
      <c r="F25" s="46">
        <v>2.3400000000000001E-2</v>
      </c>
      <c r="G25" s="46">
        <v>5.5E-2</v>
      </c>
      <c r="H25" s="46">
        <v>2.1899999999999999E-2</v>
      </c>
      <c r="I25" s="46">
        <v>4.5499999999999999E-2</v>
      </c>
      <c r="J25" s="46">
        <v>5.5899999999999998E-2</v>
      </c>
      <c r="K25" s="46">
        <v>3.7199999999999997E-2</v>
      </c>
      <c r="L25" s="46">
        <v>1.5900000000000001E-2</v>
      </c>
      <c r="M25" s="46">
        <v>0.10160000000000007</v>
      </c>
      <c r="N25" s="46">
        <v>7.9500000000000001E-2</v>
      </c>
      <c r="O25" s="46">
        <v>2.8999999999999998E-3</v>
      </c>
      <c r="P25" s="46">
        <v>3.2899999999999999E-2</v>
      </c>
      <c r="Q25" s="46">
        <v>3.0700000000000002E-2</v>
      </c>
      <c r="R25" s="46">
        <v>0.1022</v>
      </c>
      <c r="S25" s="46">
        <v>7.6E-3</v>
      </c>
      <c r="T25" s="46">
        <v>8.1000000000000003E-2</v>
      </c>
      <c r="U25" s="46">
        <v>1E-3</v>
      </c>
      <c r="V25" s="46">
        <v>6.88E-2</v>
      </c>
      <c r="W25" s="46">
        <v>3.9899999999999998E-2</v>
      </c>
      <c r="X25" s="3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6">
        <v>4.0099999999999997E-2</v>
      </c>
      <c r="D26" s="46">
        <v>1.4E-2</v>
      </c>
      <c r="E26" s="46">
        <v>5.3499999999999999E-2</v>
      </c>
      <c r="F26" s="46">
        <v>2.2100000000000002E-2</v>
      </c>
      <c r="G26" s="46">
        <v>0.1794</v>
      </c>
      <c r="H26" s="46">
        <v>1.2999999999999999E-2</v>
      </c>
      <c r="I26" s="46">
        <v>3.2099999999999997E-2</v>
      </c>
      <c r="J26" s="46">
        <v>7.3499999999999996E-2</v>
      </c>
      <c r="K26" s="46">
        <v>7.7999999999999996E-3</v>
      </c>
      <c r="L26" s="46">
        <v>2.6700000000000002E-2</v>
      </c>
      <c r="M26" s="46">
        <v>0.12039999999999998</v>
      </c>
      <c r="N26" s="46">
        <v>8.2199999999999995E-2</v>
      </c>
      <c r="O26" s="46">
        <v>2.5000000000000001E-3</v>
      </c>
      <c r="P26" s="46">
        <v>2.9600000000000001E-2</v>
      </c>
      <c r="Q26" s="46">
        <v>4.3700000000000003E-2</v>
      </c>
      <c r="R26" s="46">
        <v>0.1285</v>
      </c>
      <c r="S26" s="46">
        <v>3.73E-2</v>
      </c>
      <c r="T26" s="46">
        <v>5.3999999999999999E-2</v>
      </c>
      <c r="U26" s="46">
        <v>1E-3</v>
      </c>
      <c r="V26" s="46">
        <v>3.5299999999999998E-2</v>
      </c>
      <c r="W26" s="46">
        <v>3.3E-3</v>
      </c>
      <c r="X26" s="3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267</v>
      </c>
      <c r="B27" s="1"/>
      <c r="C27" s="46">
        <v>7.7499999999999999E-2</v>
      </c>
      <c r="D27" s="46">
        <v>2.7900000000000001E-2</v>
      </c>
      <c r="E27" s="46">
        <v>5.45E-2</v>
      </c>
      <c r="F27" s="46">
        <v>3.7999999999999999E-2</v>
      </c>
      <c r="G27" s="46">
        <v>4.7399999999999998E-2</v>
      </c>
      <c r="H27" s="46">
        <v>2.5899999999999999E-2</v>
      </c>
      <c r="I27" s="46">
        <v>3.6700000000000003E-2</v>
      </c>
      <c r="J27" s="46">
        <v>6.9699999999999998E-2</v>
      </c>
      <c r="K27" s="46">
        <v>1.61E-2</v>
      </c>
      <c r="L27" s="46">
        <v>1.3299999999999999E-2</v>
      </c>
      <c r="M27" s="46">
        <v>0.10560000000000001</v>
      </c>
      <c r="N27" s="46">
        <v>8.9099999999999999E-2</v>
      </c>
      <c r="O27" s="46">
        <v>2.8999999999999998E-3</v>
      </c>
      <c r="P27" s="46">
        <v>1.8800000000000001E-2</v>
      </c>
      <c r="Q27" s="46">
        <v>4.8500000000000001E-2</v>
      </c>
      <c r="R27" s="46">
        <v>0.1903</v>
      </c>
      <c r="S27" s="46">
        <v>9.4000000000000004E-3</v>
      </c>
      <c r="T27" s="46">
        <v>5.8099999999999999E-2</v>
      </c>
      <c r="U27" s="46">
        <v>3.3E-3</v>
      </c>
      <c r="V27" s="46">
        <v>6.1699999999999998E-2</v>
      </c>
      <c r="W27" s="46">
        <v>5.3E-3</v>
      </c>
      <c r="X27" s="3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268</v>
      </c>
      <c r="B28" s="1"/>
      <c r="C28" s="46">
        <v>8.5900000000000004E-2</v>
      </c>
      <c r="D28" s="46">
        <v>2.64E-2</v>
      </c>
      <c r="E28" s="46">
        <v>7.1199999999999999E-2</v>
      </c>
      <c r="F28" s="46">
        <v>1.2699999999999999E-2</v>
      </c>
      <c r="G28" s="46">
        <v>7.22E-2</v>
      </c>
      <c r="H28" s="46">
        <v>3.5000000000000001E-3</v>
      </c>
      <c r="I28" s="46">
        <v>3.8399999999999997E-2</v>
      </c>
      <c r="J28" s="46">
        <v>4.6100000000000002E-2</v>
      </c>
      <c r="K28" s="46">
        <v>4.7999999999999996E-3</v>
      </c>
      <c r="L28" s="46">
        <v>1.72E-2</v>
      </c>
      <c r="M28" s="46">
        <v>0.10229999999999989</v>
      </c>
      <c r="N28" s="46">
        <v>9.8000000000000004E-2</v>
      </c>
      <c r="O28" s="46">
        <v>2.5999999999999999E-3</v>
      </c>
      <c r="P28" s="46">
        <v>1.55E-2</v>
      </c>
      <c r="Q28" s="46">
        <v>5.9700000000000003E-2</v>
      </c>
      <c r="R28" s="46">
        <v>0.19650000000000001</v>
      </c>
      <c r="S28" s="46">
        <v>4.2999999999999997E-2</v>
      </c>
      <c r="T28" s="46">
        <v>6.0199999999999997E-2</v>
      </c>
      <c r="U28" s="46">
        <v>3.0999999999999999E-3</v>
      </c>
      <c r="V28" s="46">
        <v>3.8800000000000001E-2</v>
      </c>
      <c r="W28" s="46">
        <v>1.9E-3</v>
      </c>
      <c r="X28" s="3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6">
        <v>5.0500000000000003E-2</v>
      </c>
      <c r="D29" s="46">
        <v>2.5700000000000001E-2</v>
      </c>
      <c r="E29" s="46">
        <v>0.1205</v>
      </c>
      <c r="F29" s="46">
        <v>3.8399999999999997E-2</v>
      </c>
      <c r="G29" s="46">
        <v>7.5399999999999995E-2</v>
      </c>
      <c r="H29" s="46">
        <v>8.9999999999999993E-3</v>
      </c>
      <c r="I29" s="46">
        <v>1.9599999999999999E-2</v>
      </c>
      <c r="J29" s="46">
        <v>8.5400000000000004E-2</v>
      </c>
      <c r="K29" s="46">
        <v>4.8999999999999998E-3</v>
      </c>
      <c r="L29" s="46">
        <v>7.7999999999999996E-3</v>
      </c>
      <c r="M29" s="46">
        <v>0.10629999999999999</v>
      </c>
      <c r="N29" s="46">
        <v>0.1226</v>
      </c>
      <c r="O29" s="46">
        <v>2.7000000000000001E-3</v>
      </c>
      <c r="P29" s="46">
        <v>1.95E-2</v>
      </c>
      <c r="Q29" s="46">
        <v>5.5E-2</v>
      </c>
      <c r="R29" s="46">
        <v>0.1148</v>
      </c>
      <c r="S29" s="46">
        <v>3.09E-2</v>
      </c>
      <c r="T29" s="46">
        <v>9.2499999999999999E-2</v>
      </c>
      <c r="U29" s="46">
        <v>4.7999999999999996E-3</v>
      </c>
      <c r="V29" s="46">
        <v>1.03E-2</v>
      </c>
      <c r="W29" s="46">
        <v>3.3999999999999998E-3</v>
      </c>
      <c r="X29" s="3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6">
        <v>4.5699999999999998E-2</v>
      </c>
      <c r="D30" s="46">
        <v>0.12970000000000001</v>
      </c>
      <c r="E30" s="46">
        <v>7.9000000000000001E-2</v>
      </c>
      <c r="F30" s="46">
        <v>2.7300000000000001E-2</v>
      </c>
      <c r="G30" s="46">
        <v>2.7300000000000001E-2</v>
      </c>
      <c r="H30" s="46">
        <v>1.61E-2</v>
      </c>
      <c r="I30" s="46">
        <v>4.5499999999999999E-2</v>
      </c>
      <c r="J30" s="46">
        <v>4.3499999999999997E-2</v>
      </c>
      <c r="K30" s="46">
        <v>1.2699999999999999E-2</v>
      </c>
      <c r="L30" s="46">
        <v>9.9000000000000008E-3</v>
      </c>
      <c r="M30" s="46">
        <v>9.6300000000000233E-2</v>
      </c>
      <c r="N30" s="46">
        <v>6.1600000000000002E-2</v>
      </c>
      <c r="O30" s="46">
        <v>2.2000000000000001E-3</v>
      </c>
      <c r="P30" s="46">
        <v>2.69E-2</v>
      </c>
      <c r="Q30" s="46">
        <v>3.09E-2</v>
      </c>
      <c r="R30" s="46">
        <v>5.0799999999999998E-2</v>
      </c>
      <c r="S30" s="46">
        <v>4.4999999999999997E-3</v>
      </c>
      <c r="T30" s="46">
        <v>6.5600000000000006E-2</v>
      </c>
      <c r="U30" s="46">
        <v>1.2999999999999999E-3</v>
      </c>
      <c r="V30" s="46">
        <v>0.21829999999999999</v>
      </c>
      <c r="W30" s="46">
        <v>4.8999999999999998E-3</v>
      </c>
      <c r="X30" s="3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510</v>
      </c>
    </row>
    <row r="33" spans="1:23" ht="30" x14ac:dyDescent="0.25">
      <c r="A33" t="s">
        <v>259</v>
      </c>
      <c r="C33" t="s">
        <v>99</v>
      </c>
      <c r="D33" s="21" t="s">
        <v>103</v>
      </c>
      <c r="E33" s="21" t="s">
        <v>1445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260</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261</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262</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263</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264</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265</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266</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267</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268</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509</v>
      </c>
    </row>
    <row r="64" spans="1:23" ht="60" x14ac:dyDescent="0.25">
      <c r="A64" t="s">
        <v>259</v>
      </c>
      <c r="C64" s="21" t="s">
        <v>99</v>
      </c>
      <c r="D64" s="21" t="s">
        <v>103</v>
      </c>
      <c r="E64" s="21" t="s">
        <v>1445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260</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261</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262</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263</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264</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265</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266</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267</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268</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5" bestFit="1" customWidth="1"/>
  </cols>
  <sheetData>
    <row r="1" spans="1:6" ht="15.75" thickBot="1" x14ac:dyDescent="0.3">
      <c r="A1" s="137"/>
      <c r="B1" s="137"/>
      <c r="C1" s="721"/>
      <c r="D1" s="137"/>
      <c r="E1" s="137"/>
      <c r="F1" s="137"/>
    </row>
    <row r="2" spans="1:6" ht="15.75" x14ac:dyDescent="0.25">
      <c r="A2" s="137"/>
      <c r="B2" s="1520" t="s">
        <v>1064</v>
      </c>
      <c r="C2" s="1521"/>
      <c r="D2" s="137"/>
      <c r="E2" s="137"/>
      <c r="F2" s="137"/>
    </row>
    <row r="3" spans="1:6" x14ac:dyDescent="0.25">
      <c r="A3" s="137"/>
      <c r="B3" s="663" t="s">
        <v>866</v>
      </c>
      <c r="C3" s="722" t="str">
        <f>IF(OR(Welcome!$D$8="PON Only",Welcome!$D$8="PON with Existing CIA",Welcome!$D$8="PON with New CIA"),"ALC PON "&amp;'MDA Worksheet'!$R$14,"ALCM "&amp;'MDA Worksheet'!$R$14)</f>
        <v>ALCM 0</v>
      </c>
      <c r="D3" s="137"/>
      <c r="E3" s="722"/>
      <c r="F3" s="137"/>
    </row>
    <row r="4" spans="1:6" x14ac:dyDescent="0.25">
      <c r="A4" s="137"/>
      <c r="B4" s="663" t="s">
        <v>869</v>
      </c>
      <c r="C4" s="723">
        <f>'Required Info to Submit'!$F$14</f>
        <v>0</v>
      </c>
      <c r="D4" s="137"/>
      <c r="E4" s="137"/>
      <c r="F4" s="137"/>
    </row>
    <row r="5" spans="1:6" x14ac:dyDescent="0.25">
      <c r="A5" s="137"/>
      <c r="B5" s="663" t="s">
        <v>870</v>
      </c>
      <c r="C5" s="722" t="s">
        <v>871</v>
      </c>
      <c r="D5" s="137"/>
      <c r="E5" s="137"/>
      <c r="F5" s="137"/>
    </row>
    <row r="6" spans="1:6" x14ac:dyDescent="0.25">
      <c r="A6" s="137"/>
      <c r="B6" s="1518" t="s">
        <v>874</v>
      </c>
      <c r="C6" s="1519"/>
      <c r="D6" s="137"/>
      <c r="E6" s="137"/>
      <c r="F6" s="137"/>
    </row>
    <row r="7" spans="1:6" x14ac:dyDescent="0.25">
      <c r="A7" s="137"/>
      <c r="B7" s="663" t="s">
        <v>867</v>
      </c>
      <c r="C7" s="722" t="s">
        <v>1218</v>
      </c>
      <c r="D7" s="137"/>
      <c r="E7" s="137"/>
      <c r="F7" s="137"/>
    </row>
    <row r="8" spans="1:6" x14ac:dyDescent="0.25">
      <c r="A8" s="137"/>
      <c r="B8" s="663" t="s">
        <v>868</v>
      </c>
      <c r="C8" s="722" t="s">
        <v>671</v>
      </c>
      <c r="D8" s="137"/>
      <c r="E8" s="137"/>
      <c r="F8" s="137"/>
    </row>
    <row r="9" spans="1:6" x14ac:dyDescent="0.25">
      <c r="A9" s="137"/>
      <c r="B9" s="663" t="s">
        <v>872</v>
      </c>
      <c r="C9" s="722">
        <f>'MDA Worksheet'!$K$10</f>
        <v>0</v>
      </c>
      <c r="D9" s="137"/>
      <c r="E9" s="137"/>
      <c r="F9" s="137"/>
    </row>
    <row r="10" spans="1:6" x14ac:dyDescent="0.25">
      <c r="A10" s="137"/>
      <c r="B10" s="663" t="s">
        <v>790</v>
      </c>
      <c r="C10" s="723">
        <f>'Required Info to Submit'!$F$14</f>
        <v>0</v>
      </c>
      <c r="D10" s="137"/>
      <c r="E10" s="137"/>
      <c r="F10" s="137"/>
    </row>
    <row r="11" spans="1:6" x14ac:dyDescent="0.25">
      <c r="A11" s="137"/>
      <c r="B11" s="663" t="s">
        <v>791</v>
      </c>
      <c r="C11" s="723" t="e">
        <f>IF(C20="NO",C10+370,'MDA Worksheet'!$AV$24)</f>
        <v>#VALUE!</v>
      </c>
      <c r="D11" s="137"/>
      <c r="E11" s="137"/>
      <c r="F11" s="137"/>
    </row>
    <row r="12" spans="1:6" x14ac:dyDescent="0.25">
      <c r="A12" s="137"/>
      <c r="B12" s="663" t="s">
        <v>873</v>
      </c>
      <c r="C12" s="722" t="s">
        <v>697</v>
      </c>
      <c r="D12" s="137"/>
      <c r="E12" s="137"/>
      <c r="F12" s="137"/>
    </row>
    <row r="13" spans="1:6" x14ac:dyDescent="0.25">
      <c r="A13" s="137"/>
      <c r="B13" s="1518" t="s">
        <v>875</v>
      </c>
      <c r="C13" s="1519"/>
      <c r="D13" s="137"/>
      <c r="E13" s="137"/>
      <c r="F13" s="137"/>
    </row>
    <row r="14" spans="1:6" x14ac:dyDescent="0.25">
      <c r="A14" s="137"/>
      <c r="B14" s="724" t="s">
        <v>876</v>
      </c>
      <c r="C14" s="722">
        <f>'MDA Worksheet'!$AU$48</f>
        <v>2.25</v>
      </c>
      <c r="D14" s="137"/>
      <c r="E14" s="137"/>
      <c r="F14" s="137"/>
    </row>
    <row r="15" spans="1:6" x14ac:dyDescent="0.25">
      <c r="A15" s="137"/>
      <c r="B15" s="724" t="s">
        <v>877</v>
      </c>
      <c r="C15" s="722" t="s">
        <v>878</v>
      </c>
      <c r="D15" s="137"/>
      <c r="E15" s="137"/>
      <c r="F15" s="137"/>
    </row>
    <row r="16" spans="1:6" x14ac:dyDescent="0.25">
      <c r="A16" s="137"/>
      <c r="B16" s="724" t="s">
        <v>879</v>
      </c>
      <c r="C16" s="722" t="s">
        <v>682</v>
      </c>
      <c r="D16" s="137"/>
      <c r="E16" s="137"/>
      <c r="F16" s="137"/>
    </row>
    <row r="17" spans="1:6" x14ac:dyDescent="0.25">
      <c r="A17" s="137"/>
      <c r="B17" s="724" t="s">
        <v>880</v>
      </c>
      <c r="C17" s="722" t="s">
        <v>881</v>
      </c>
      <c r="D17" s="137"/>
      <c r="E17" s="137"/>
      <c r="F17" s="137"/>
    </row>
    <row r="18" spans="1:6" x14ac:dyDescent="0.25">
      <c r="A18" s="137"/>
      <c r="B18" s="724" t="s">
        <v>882</v>
      </c>
      <c r="C18" s="1049">
        <f>'MDA Worksheet'!AU46</f>
        <v>0.3</v>
      </c>
      <c r="D18" s="137"/>
      <c r="E18" s="137"/>
      <c r="F18" s="137"/>
    </row>
    <row r="19" spans="1:6" x14ac:dyDescent="0.25">
      <c r="A19" s="137"/>
      <c r="B19" s="724" t="s">
        <v>883</v>
      </c>
      <c r="C19" s="722" t="s">
        <v>489</v>
      </c>
      <c r="D19" s="137"/>
      <c r="E19" s="137"/>
      <c r="F19" s="137"/>
    </row>
    <row r="20" spans="1:6" x14ac:dyDescent="0.25">
      <c r="A20" s="137"/>
      <c r="B20" s="724" t="s">
        <v>884</v>
      </c>
      <c r="C20" s="722" t="str">
        <f>IF(OR(Welcome!$D$8="PON Only",Welcome!$D$8="PON with New CIA",Welcome!$D$8="PON with Existing CIA"),"NO","YES")</f>
        <v>YES</v>
      </c>
      <c r="D20" s="137"/>
      <c r="E20" s="137"/>
      <c r="F20" s="137"/>
    </row>
    <row r="21" spans="1:6" x14ac:dyDescent="0.25">
      <c r="A21" s="137"/>
      <c r="B21" s="724" t="s">
        <v>885</v>
      </c>
      <c r="C21" s="722" t="str">
        <f>IF($C$20="No","","Semi-Annually")</f>
        <v>Semi-Annually</v>
      </c>
      <c r="D21" s="137"/>
      <c r="E21" s="137"/>
      <c r="F21" s="137"/>
    </row>
    <row r="22" spans="1:6" x14ac:dyDescent="0.25">
      <c r="A22" s="137"/>
      <c r="B22" s="724" t="s">
        <v>886</v>
      </c>
      <c r="C22" s="725" t="str">
        <f>'MDA Worksheet'!$T$38</f>
        <v>Error on A La Carte</v>
      </c>
      <c r="D22" s="137"/>
      <c r="E22" s="137"/>
      <c r="F22" s="137"/>
    </row>
    <row r="23" spans="1:6" x14ac:dyDescent="0.25">
      <c r="A23" s="137"/>
      <c r="B23" s="724" t="s">
        <v>887</v>
      </c>
      <c r="C23" s="726" t="str">
        <f>'MDA Worksheet'!$T$36</f>
        <v>Error on A La Carte</v>
      </c>
      <c r="D23" s="137"/>
      <c r="E23" s="137"/>
      <c r="F23" s="137"/>
    </row>
    <row r="24" spans="1:6" ht="15.75" thickBot="1" x14ac:dyDescent="0.3">
      <c r="A24" s="137"/>
      <c r="B24" s="727" t="s">
        <v>888</v>
      </c>
      <c r="C24" s="728">
        <v>2</v>
      </c>
      <c r="D24" s="137"/>
      <c r="E24" s="137"/>
      <c r="F24" s="137"/>
    </row>
    <row r="25" spans="1:6" x14ac:dyDescent="0.25">
      <c r="A25" s="137"/>
      <c r="B25" s="137"/>
      <c r="C25" s="721"/>
      <c r="D25" s="137"/>
      <c r="E25" s="137"/>
      <c r="F25" s="137"/>
    </row>
    <row r="26" spans="1:6" x14ac:dyDescent="0.25">
      <c r="A26" s="137"/>
      <c r="B26" s="137"/>
      <c r="C26" s="721"/>
      <c r="D26" s="137"/>
      <c r="E26" s="137"/>
      <c r="F26" s="137"/>
    </row>
    <row r="27" spans="1:6" x14ac:dyDescent="0.25">
      <c r="A27" s="137"/>
      <c r="B27" s="137"/>
      <c r="C27" s="721"/>
      <c r="D27" s="137"/>
      <c r="E27" s="137"/>
      <c r="F27" s="137"/>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36" bestFit="1" customWidth="1"/>
    <col min="3" max="3" width="28" style="836" bestFit="1" customWidth="1"/>
    <col min="4" max="4" width="10.85546875" bestFit="1" customWidth="1"/>
    <col min="5" max="5" width="15.85546875" bestFit="1" customWidth="1"/>
  </cols>
  <sheetData>
    <row r="1" spans="1:5" x14ac:dyDescent="0.25">
      <c r="A1" s="836" t="s">
        <v>1200</v>
      </c>
      <c r="B1" s="836" t="s">
        <v>1203</v>
      </c>
      <c r="C1" s="836" t="s">
        <v>1204</v>
      </c>
      <c r="D1" s="22" t="s">
        <v>1201</v>
      </c>
      <c r="E1" s="22" t="s">
        <v>1202</v>
      </c>
    </row>
    <row r="2" spans="1:5" x14ac:dyDescent="0.25">
      <c r="A2" s="836" t="s">
        <v>192</v>
      </c>
      <c r="B2" s="836">
        <v>2020</v>
      </c>
      <c r="C2" s="836" t="s">
        <v>914</v>
      </c>
      <c r="D2" s="22">
        <v>2.7739631938930701E-2</v>
      </c>
      <c r="E2" s="22">
        <v>2.7125016276518699E-2</v>
      </c>
    </row>
    <row r="3" spans="1:5" x14ac:dyDescent="0.25">
      <c r="A3" s="836" t="s">
        <v>191</v>
      </c>
      <c r="B3" s="836">
        <v>2180</v>
      </c>
      <c r="C3" s="836" t="s">
        <v>79</v>
      </c>
      <c r="D3" s="22">
        <v>2.8536064274713099E-2</v>
      </c>
      <c r="E3" s="22">
        <v>2.7125016276518699E-2</v>
      </c>
    </row>
    <row r="4" spans="1:5" x14ac:dyDescent="0.25">
      <c r="A4" s="836" t="s">
        <v>190</v>
      </c>
      <c r="B4" s="836">
        <v>2160</v>
      </c>
      <c r="C4" s="836" t="s">
        <v>28</v>
      </c>
      <c r="D4" s="22">
        <v>3.1885529773458002E-2</v>
      </c>
      <c r="E4" s="22">
        <v>2.7125016276518699E-2</v>
      </c>
    </row>
    <row r="5" spans="1:5" x14ac:dyDescent="0.25">
      <c r="A5" s="836" t="s">
        <v>189</v>
      </c>
      <c r="B5" s="836">
        <v>2110</v>
      </c>
      <c r="C5" s="836" t="s">
        <v>33</v>
      </c>
      <c r="D5" s="22">
        <v>2.82674148233787E-2</v>
      </c>
      <c r="E5" s="22">
        <v>2.7125016276518699E-2</v>
      </c>
    </row>
    <row r="6" spans="1:5" x14ac:dyDescent="0.25">
      <c r="A6" s="836" t="s">
        <v>188</v>
      </c>
      <c r="B6" s="836">
        <v>2165</v>
      </c>
      <c r="C6" s="836" t="s">
        <v>81</v>
      </c>
      <c r="D6" s="22">
        <v>2.7125016276518699E-2</v>
      </c>
      <c r="E6" s="22">
        <v>2.7125016276518699E-2</v>
      </c>
    </row>
    <row r="7" spans="1:5" x14ac:dyDescent="0.25">
      <c r="A7" s="836" t="s">
        <v>187</v>
      </c>
      <c r="B7" s="836">
        <v>2170</v>
      </c>
      <c r="C7" s="836" t="s">
        <v>122</v>
      </c>
      <c r="D7" s="22">
        <v>2.59925926894349E-2</v>
      </c>
      <c r="E7" s="22">
        <v>2.7125016276518699E-2</v>
      </c>
    </row>
    <row r="8" spans="1:5" x14ac:dyDescent="0.25">
      <c r="A8" s="836" t="s">
        <v>186</v>
      </c>
      <c r="B8" s="836">
        <v>2148</v>
      </c>
      <c r="C8" s="836" t="s">
        <v>64</v>
      </c>
      <c r="D8" s="22">
        <v>2.6095112304206601E-2</v>
      </c>
      <c r="E8" s="22">
        <v>2.7125016276518699E-2</v>
      </c>
    </row>
    <row r="9" spans="1:5" x14ac:dyDescent="0.25">
      <c r="A9" s="836" t="s">
        <v>185</v>
      </c>
      <c r="B9" s="836">
        <v>2190</v>
      </c>
      <c r="C9" s="836" t="s">
        <v>19</v>
      </c>
      <c r="D9" s="22">
        <v>2.81140048372523E-2</v>
      </c>
      <c r="E9" s="22">
        <v>2.7125016276518699E-2</v>
      </c>
    </row>
    <row r="10" spans="1:5" x14ac:dyDescent="0.25">
      <c r="A10" s="836" t="s">
        <v>184</v>
      </c>
      <c r="B10" s="836">
        <v>2116</v>
      </c>
      <c r="C10" s="836" t="s">
        <v>59</v>
      </c>
      <c r="D10" s="22">
        <v>2.9944763320575302E-2</v>
      </c>
      <c r="E10" s="22">
        <v>2.7125016276518699E-2</v>
      </c>
    </row>
    <row r="11" spans="1:5" x14ac:dyDescent="0.25">
      <c r="A11" s="836" t="s">
        <v>183</v>
      </c>
      <c r="B11" s="836">
        <v>248</v>
      </c>
      <c r="C11" s="836" t="s">
        <v>1088</v>
      </c>
      <c r="D11" s="22">
        <v>2.6464657930859201E-2</v>
      </c>
      <c r="E11" s="22">
        <v>2.7125016276518699E-2</v>
      </c>
    </row>
    <row r="12" spans="1:5" x14ac:dyDescent="0.25">
      <c r="A12" s="836" t="s">
        <v>181</v>
      </c>
      <c r="B12" s="836">
        <v>2350</v>
      </c>
      <c r="C12" s="836" t="s">
        <v>39</v>
      </c>
      <c r="D12" s="22">
        <v>2.9415639585766401E-2</v>
      </c>
      <c r="E12" s="22">
        <v>2.7125016276518699E-2</v>
      </c>
    </row>
    <row r="13" spans="1:5" x14ac:dyDescent="0.25">
      <c r="A13" s="836" t="s">
        <v>180</v>
      </c>
      <c r="B13" s="836">
        <v>2345</v>
      </c>
      <c r="C13" s="836" t="s">
        <v>915</v>
      </c>
      <c r="D13" s="22">
        <v>2.6962706679612598E-2</v>
      </c>
      <c r="E13" s="22">
        <v>2.7125016276518699E-2</v>
      </c>
    </row>
    <row r="14" spans="1:5" x14ac:dyDescent="0.25">
      <c r="A14" s="836" t="s">
        <v>179</v>
      </c>
      <c r="B14" s="836">
        <v>2330</v>
      </c>
      <c r="C14" s="836" t="s">
        <v>31</v>
      </c>
      <c r="D14" s="22">
        <v>2.6792509343913602E-2</v>
      </c>
      <c r="E14" s="22">
        <v>2.7125016276518699E-2</v>
      </c>
    </row>
    <row r="15" spans="1:5" x14ac:dyDescent="0.25">
      <c r="A15" s="836" t="s">
        <v>178</v>
      </c>
      <c r="B15" s="836">
        <v>2340</v>
      </c>
      <c r="C15" s="836" t="s">
        <v>916</v>
      </c>
      <c r="D15" s="22">
        <v>2.53908115053765E-2</v>
      </c>
      <c r="E15" s="22">
        <v>2.7125016276518699E-2</v>
      </c>
    </row>
    <row r="16" spans="1:5" x14ac:dyDescent="0.25">
      <c r="A16" s="836" t="s">
        <v>177</v>
      </c>
      <c r="B16" s="836">
        <v>4100</v>
      </c>
      <c r="C16" s="836" t="s">
        <v>52</v>
      </c>
      <c r="D16" s="22">
        <v>2.9901342297929501E-2</v>
      </c>
      <c r="E16" s="22">
        <v>2.7125016276518699E-2</v>
      </c>
    </row>
    <row r="17" spans="1:5" x14ac:dyDescent="0.25">
      <c r="A17" s="836" t="s">
        <v>1102</v>
      </c>
      <c r="B17" s="836">
        <v>2355</v>
      </c>
      <c r="C17" s="836" t="s">
        <v>1103</v>
      </c>
      <c r="D17" s="22">
        <v>3.4605844000615303E-2</v>
      </c>
      <c r="E17" s="22">
        <v>2.7125016276518699E-2</v>
      </c>
    </row>
    <row r="18" spans="1:5" x14ac:dyDescent="0.25">
      <c r="A18" s="836" t="s">
        <v>176</v>
      </c>
      <c r="B18" s="836">
        <v>1054</v>
      </c>
      <c r="C18" s="836" t="s">
        <v>46</v>
      </c>
      <c r="D18" s="22">
        <v>2.8511953382644999E-2</v>
      </c>
      <c r="E18" s="22">
        <v>2.7125016276518699E-2</v>
      </c>
    </row>
    <row r="19" spans="1:5" x14ac:dyDescent="0.25">
      <c r="A19" s="836" t="s">
        <v>175</v>
      </c>
      <c r="B19" s="836">
        <v>1103</v>
      </c>
      <c r="C19" s="836" t="s">
        <v>22</v>
      </c>
      <c r="D19" s="22">
        <v>3.0860519002866901E-2</v>
      </c>
      <c r="E19" s="22">
        <v>2.7125016276518699E-2</v>
      </c>
    </row>
    <row r="20" spans="1:5" x14ac:dyDescent="0.25">
      <c r="A20" s="836" t="s">
        <v>174</v>
      </c>
      <c r="B20" s="836">
        <v>2099</v>
      </c>
      <c r="C20" s="836" t="s">
        <v>58</v>
      </c>
      <c r="D20" s="22">
        <v>2.5143112075853E-2</v>
      </c>
      <c r="E20" s="22">
        <v>2.7125016276518699E-2</v>
      </c>
    </row>
    <row r="21" spans="1:5" x14ac:dyDescent="0.25">
      <c r="A21" s="836" t="s">
        <v>173</v>
      </c>
      <c r="B21" s="836">
        <v>1104</v>
      </c>
      <c r="C21" s="836" t="s">
        <v>43</v>
      </c>
      <c r="D21" s="22">
        <v>2.9510551954597099E-2</v>
      </c>
      <c r="E21" s="22">
        <v>2.7125016276518699E-2</v>
      </c>
    </row>
    <row r="22" spans="1:5" x14ac:dyDescent="0.25">
      <c r="A22" s="836" t="s">
        <v>172</v>
      </c>
      <c r="B22" s="836">
        <v>4120</v>
      </c>
      <c r="C22" s="836" t="s">
        <v>63</v>
      </c>
      <c r="D22" s="22">
        <v>2.78821251138664E-2</v>
      </c>
      <c r="E22" s="22">
        <v>2.7125016276518699E-2</v>
      </c>
    </row>
    <row r="23" spans="1:5" x14ac:dyDescent="0.25">
      <c r="A23" s="836" t="s">
        <v>171</v>
      </c>
      <c r="B23" s="836">
        <v>4118</v>
      </c>
      <c r="C23" s="836" t="s">
        <v>30</v>
      </c>
      <c r="D23" s="22">
        <v>2.7490429003036599E-2</v>
      </c>
      <c r="E23" s="22">
        <v>2.7125016276518699E-2</v>
      </c>
    </row>
    <row r="24" spans="1:5" x14ac:dyDescent="0.25">
      <c r="A24" s="836" t="s">
        <v>170</v>
      </c>
      <c r="B24" s="836">
        <v>4146</v>
      </c>
      <c r="C24" s="836" t="s">
        <v>54</v>
      </c>
      <c r="D24" s="22">
        <v>2.6943630265373199E-2</v>
      </c>
      <c r="E24" s="22">
        <v>2.7125016276518699E-2</v>
      </c>
    </row>
    <row r="25" spans="1:5" x14ac:dyDescent="0.25">
      <c r="A25" s="836" t="s">
        <v>169</v>
      </c>
      <c r="B25" s="836">
        <v>4140</v>
      </c>
      <c r="C25" s="836" t="s">
        <v>40</v>
      </c>
      <c r="D25" s="22">
        <v>2.67651154233217E-2</v>
      </c>
      <c r="E25" s="22">
        <v>2.7125016276518699E-2</v>
      </c>
    </row>
    <row r="26" spans="1:5" x14ac:dyDescent="0.25">
      <c r="A26" s="836" t="s">
        <v>168</v>
      </c>
      <c r="B26" s="836">
        <v>4117</v>
      </c>
      <c r="C26" s="836" t="s">
        <v>17</v>
      </c>
      <c r="D26" s="22">
        <v>2.6616857866198201E-2</v>
      </c>
      <c r="E26" s="22">
        <v>2.7125016276518699E-2</v>
      </c>
    </row>
    <row r="27" spans="1:5" x14ac:dyDescent="0.25">
      <c r="A27" s="836" t="s">
        <v>167</v>
      </c>
      <c r="B27" s="836">
        <v>4147</v>
      </c>
      <c r="C27" s="836" t="s">
        <v>1238</v>
      </c>
      <c r="D27" s="22">
        <v>2.9100000000000001E-2</v>
      </c>
      <c r="E27" s="22">
        <v>2.7125016276518699E-2</v>
      </c>
    </row>
    <row r="28" spans="1:5" x14ac:dyDescent="0.25">
      <c r="A28" s="836" t="s">
        <v>166</v>
      </c>
      <c r="B28" s="836">
        <v>4110</v>
      </c>
      <c r="C28" s="836" t="s">
        <v>73</v>
      </c>
      <c r="D28" s="22">
        <v>2.65128206477999E-2</v>
      </c>
      <c r="E28" s="22">
        <v>2.7125016276518699E-2</v>
      </c>
    </row>
    <row r="29" spans="1:5" x14ac:dyDescent="0.25">
      <c r="A29" s="836" t="s">
        <v>165</v>
      </c>
      <c r="B29" s="836">
        <v>4150</v>
      </c>
      <c r="C29" s="836" t="s">
        <v>55</v>
      </c>
      <c r="D29" s="22">
        <v>2.3355361617324301E-2</v>
      </c>
      <c r="E29" s="22">
        <v>2.7125016276518699E-2</v>
      </c>
    </row>
    <row r="30" spans="1:5" x14ac:dyDescent="0.25">
      <c r="A30" s="836" t="s">
        <v>164</v>
      </c>
      <c r="B30" s="836">
        <v>3190</v>
      </c>
      <c r="C30" s="836" t="s">
        <v>27</v>
      </c>
      <c r="D30" s="22">
        <v>2.8324561503501499E-2</v>
      </c>
      <c r="E30" s="22">
        <v>2.7125016276518699E-2</v>
      </c>
    </row>
    <row r="31" spans="1:5" x14ac:dyDescent="0.25">
      <c r="A31" s="836" t="s">
        <v>163</v>
      </c>
      <c r="B31" s="836">
        <v>2260</v>
      </c>
      <c r="C31" s="836" t="s">
        <v>10</v>
      </c>
      <c r="D31" s="22">
        <v>2.59598075038967E-2</v>
      </c>
      <c r="E31" s="22">
        <v>2.7125016276518699E-2</v>
      </c>
    </row>
    <row r="32" spans="1:5" x14ac:dyDescent="0.25">
      <c r="A32" s="836" t="s">
        <v>162</v>
      </c>
      <c r="B32" s="836">
        <v>2210</v>
      </c>
      <c r="C32" s="836" t="s">
        <v>121</v>
      </c>
      <c r="D32" s="22">
        <v>2.3893251208070801E-2</v>
      </c>
      <c r="E32" s="22">
        <v>2.7125016276518699E-2</v>
      </c>
    </row>
    <row r="33" spans="1:5" x14ac:dyDescent="0.25">
      <c r="A33" s="836" t="s">
        <v>161</v>
      </c>
      <c r="B33" s="836">
        <v>2240</v>
      </c>
      <c r="C33" s="836" t="s">
        <v>16</v>
      </c>
      <c r="D33" s="22">
        <v>2.74803575467139E-2</v>
      </c>
      <c r="E33" s="22">
        <v>2.7125016276518699E-2</v>
      </c>
    </row>
    <row r="34" spans="1:5" x14ac:dyDescent="0.25">
      <c r="A34" s="836" t="s">
        <v>160</v>
      </c>
      <c r="B34" s="836">
        <v>2220</v>
      </c>
      <c r="C34" s="836" t="s">
        <v>5</v>
      </c>
      <c r="D34" s="22">
        <v>2.5343147655549899E-2</v>
      </c>
      <c r="E34" s="22">
        <v>2.7125016276518699E-2</v>
      </c>
    </row>
    <row r="35" spans="1:5" x14ac:dyDescent="0.25">
      <c r="A35" s="836" t="s">
        <v>159</v>
      </c>
      <c r="B35" s="836">
        <v>2125</v>
      </c>
      <c r="C35" s="836" t="s">
        <v>21</v>
      </c>
      <c r="D35" s="22">
        <v>2.6682633749483799E-2</v>
      </c>
      <c r="E35" s="22">
        <v>2.7125016276518699E-2</v>
      </c>
    </row>
    <row r="36" spans="1:5" x14ac:dyDescent="0.25">
      <c r="A36" s="836" t="s">
        <v>158</v>
      </c>
      <c r="B36" s="836">
        <v>2230</v>
      </c>
      <c r="C36" s="836" t="s">
        <v>49</v>
      </c>
      <c r="D36" s="22">
        <v>2.67508594907159E-2</v>
      </c>
      <c r="E36" s="22">
        <v>2.7125016276518699E-2</v>
      </c>
    </row>
    <row r="37" spans="1:5" x14ac:dyDescent="0.25">
      <c r="A37" s="836" t="s">
        <v>157</v>
      </c>
      <c r="B37" s="836">
        <v>3055</v>
      </c>
      <c r="C37" s="836" t="s">
        <v>7</v>
      </c>
      <c r="D37" s="22">
        <v>2.2915815988E-2</v>
      </c>
      <c r="E37" s="22">
        <v>2.7125016276518699E-2</v>
      </c>
    </row>
    <row r="38" spans="1:5" x14ac:dyDescent="0.25">
      <c r="A38" s="836" t="s">
        <v>1104</v>
      </c>
      <c r="B38" s="836">
        <v>2365</v>
      </c>
      <c r="C38" s="836" t="s">
        <v>1105</v>
      </c>
      <c r="D38" s="22">
        <v>2.87892046246566E-2</v>
      </c>
      <c r="E38" s="22">
        <v>2.7125016276518699E-2</v>
      </c>
    </row>
    <row r="39" spans="1:5" x14ac:dyDescent="0.25">
      <c r="A39" s="836" t="s">
        <v>156</v>
      </c>
      <c r="B39" s="836">
        <v>2250</v>
      </c>
      <c r="C39" s="836" t="s">
        <v>32</v>
      </c>
      <c r="D39" s="22">
        <v>2.5661957357599401E-2</v>
      </c>
      <c r="E39" s="22">
        <v>2.7125016276518699E-2</v>
      </c>
    </row>
    <row r="40" spans="1:5" x14ac:dyDescent="0.25">
      <c r="A40" s="836" t="s">
        <v>155</v>
      </c>
      <c r="B40" s="836">
        <v>3051</v>
      </c>
      <c r="C40" s="836" t="s">
        <v>76</v>
      </c>
      <c r="D40" s="22">
        <v>2.9814972600597098E-2</v>
      </c>
      <c r="E40" s="22">
        <v>2.7125016276518699E-2</v>
      </c>
    </row>
    <row r="41" spans="1:5" x14ac:dyDescent="0.25">
      <c r="A41" s="836" t="s">
        <v>154</v>
      </c>
      <c r="B41" s="836">
        <v>2370</v>
      </c>
      <c r="C41" s="836" t="s">
        <v>77</v>
      </c>
      <c r="D41" s="22">
        <v>2.35030648067363E-2</v>
      </c>
      <c r="E41" s="22">
        <v>2.7125016276518699E-2</v>
      </c>
    </row>
    <row r="42" spans="1:5" x14ac:dyDescent="0.25">
      <c r="A42" s="836" t="s">
        <v>153</v>
      </c>
      <c r="B42" s="836">
        <v>2135</v>
      </c>
      <c r="C42" s="836" t="s">
        <v>25</v>
      </c>
      <c r="D42" s="22">
        <v>2.6421829910205499E-2</v>
      </c>
      <c r="E42" s="22">
        <v>2.7125016276518699E-2</v>
      </c>
    </row>
    <row r="43" spans="1:5" x14ac:dyDescent="0.25">
      <c r="A43" s="836" t="s">
        <v>152</v>
      </c>
      <c r="B43" s="836">
        <v>2270</v>
      </c>
      <c r="C43" s="836" t="s">
        <v>2</v>
      </c>
      <c r="D43" s="22">
        <v>2.3666354884089899E-2</v>
      </c>
      <c r="E43" s="22">
        <v>2.7125016276518699E-2</v>
      </c>
    </row>
    <row r="44" spans="1:5" x14ac:dyDescent="0.25">
      <c r="A44" s="836" t="s">
        <v>151</v>
      </c>
      <c r="B44" s="836">
        <v>3230</v>
      </c>
      <c r="C44" s="836" t="s">
        <v>37</v>
      </c>
      <c r="D44" s="22">
        <v>2.6730080332460899E-2</v>
      </c>
      <c r="E44" s="22">
        <v>2.7125016276518699E-2</v>
      </c>
    </row>
    <row r="45" spans="1:5" x14ac:dyDescent="0.25">
      <c r="A45" s="836" t="s">
        <v>150</v>
      </c>
      <c r="B45" s="836">
        <v>3170</v>
      </c>
      <c r="C45" s="836" t="s">
        <v>24</v>
      </c>
      <c r="D45" s="22">
        <v>2.7054357310372E-2</v>
      </c>
      <c r="E45" s="22">
        <v>2.7125016276518699E-2</v>
      </c>
    </row>
    <row r="46" spans="1:5" x14ac:dyDescent="0.25">
      <c r="A46" s="836" t="s">
        <v>149</v>
      </c>
      <c r="B46" s="836">
        <v>3120</v>
      </c>
      <c r="C46" s="836" t="s">
        <v>68</v>
      </c>
      <c r="D46" s="22">
        <v>2.6123399008142499E-2</v>
      </c>
      <c r="E46" s="22">
        <v>2.7125016276518699E-2</v>
      </c>
    </row>
    <row r="47" spans="1:5" x14ac:dyDescent="0.25">
      <c r="A47" s="836" t="s">
        <v>148</v>
      </c>
      <c r="B47" s="836">
        <v>3186</v>
      </c>
      <c r="C47" s="836" t="s">
        <v>65</v>
      </c>
      <c r="D47" s="22">
        <v>2.8135776475119102E-2</v>
      </c>
      <c r="E47" s="22">
        <v>2.7125016276518699E-2</v>
      </c>
    </row>
    <row r="48" spans="1:5" x14ac:dyDescent="0.25">
      <c r="A48" s="836" t="s">
        <v>147</v>
      </c>
      <c r="B48" s="836">
        <v>3160</v>
      </c>
      <c r="C48" s="836" t="s">
        <v>50</v>
      </c>
      <c r="D48" s="22">
        <v>2.8067018330258899E-2</v>
      </c>
      <c r="E48" s="22">
        <v>2.7125016276518699E-2</v>
      </c>
    </row>
    <row r="49" spans="1:5" x14ac:dyDescent="0.25">
      <c r="A49" s="836" t="s">
        <v>146</v>
      </c>
      <c r="B49" s="836">
        <v>3150</v>
      </c>
      <c r="C49" s="836" t="s">
        <v>26</v>
      </c>
      <c r="D49" s="22">
        <v>2.6046662387047999E-2</v>
      </c>
      <c r="E49" s="22">
        <v>2.7125016276518699E-2</v>
      </c>
    </row>
    <row r="50" spans="1:5" x14ac:dyDescent="0.25">
      <c r="A50" s="836" t="s">
        <v>145</v>
      </c>
      <c r="B50" s="836">
        <v>3126</v>
      </c>
      <c r="C50" s="836" t="s">
        <v>80</v>
      </c>
      <c r="D50" s="22">
        <v>2.4500408399063801E-2</v>
      </c>
      <c r="E50" s="22">
        <v>2.7125016276518699E-2</v>
      </c>
    </row>
    <row r="51" spans="1:5" x14ac:dyDescent="0.25">
      <c r="A51" s="836" t="s">
        <v>144</v>
      </c>
      <c r="B51" s="836">
        <v>3023</v>
      </c>
      <c r="C51" s="836" t="s">
        <v>42</v>
      </c>
      <c r="D51" s="22">
        <v>2.72264414110285E-2</v>
      </c>
      <c r="E51" s="22">
        <v>2.7125016276518699E-2</v>
      </c>
    </row>
    <row r="52" spans="1:5" x14ac:dyDescent="0.25">
      <c r="A52" s="836" t="s">
        <v>143</v>
      </c>
      <c r="B52" s="836">
        <v>2185</v>
      </c>
      <c r="C52" s="836" t="s">
        <v>53</v>
      </c>
      <c r="D52" s="22">
        <v>2.59344882196802E-2</v>
      </c>
      <c r="E52" s="22">
        <v>2.7125016276518699E-2</v>
      </c>
    </row>
    <row r="53" spans="1:5" x14ac:dyDescent="0.25">
      <c r="A53" s="836" t="s">
        <v>142</v>
      </c>
      <c r="B53" s="836">
        <v>1106</v>
      </c>
      <c r="C53" s="836" t="s">
        <v>67</v>
      </c>
      <c r="D53" s="22">
        <v>2.8050323067163201E-2</v>
      </c>
      <c r="E53" s="22">
        <v>2.7125016276518699E-2</v>
      </c>
    </row>
    <row r="54" spans="1:5" x14ac:dyDescent="0.25">
      <c r="A54" s="836" t="s">
        <v>141</v>
      </c>
      <c r="B54" s="836">
        <v>3135</v>
      </c>
      <c r="C54" s="836" t="s">
        <v>29</v>
      </c>
      <c r="D54" s="22">
        <v>2.16945751008298E-2</v>
      </c>
      <c r="E54" s="22">
        <v>2.7125016276518699E-2</v>
      </c>
    </row>
    <row r="55" spans="1:5" x14ac:dyDescent="0.25">
      <c r="A55" s="836" t="s">
        <v>380</v>
      </c>
      <c r="B55" s="836">
        <v>3139</v>
      </c>
      <c r="C55" s="836" t="s">
        <v>246</v>
      </c>
      <c r="D55" s="22">
        <v>2.8207940601015499E-2</v>
      </c>
      <c r="E55" s="22">
        <v>2.7125016276518699E-2</v>
      </c>
    </row>
    <row r="56" spans="1:5" x14ac:dyDescent="0.25">
      <c r="A56" s="836" t="s">
        <v>140</v>
      </c>
      <c r="B56" s="836">
        <v>3147</v>
      </c>
      <c r="C56" s="836" t="s">
        <v>51</v>
      </c>
      <c r="D56" s="22">
        <v>2.5867145176892099E-2</v>
      </c>
      <c r="E56" s="22">
        <v>2.7125016276518699E-2</v>
      </c>
    </row>
    <row r="57" spans="1:5" x14ac:dyDescent="0.25">
      <c r="A57" s="836" t="s">
        <v>139</v>
      </c>
      <c r="B57" s="836">
        <v>3210</v>
      </c>
      <c r="C57" s="836" t="s">
        <v>47</v>
      </c>
      <c r="D57" s="22">
        <v>2.74445239361195E-2</v>
      </c>
      <c r="E57" s="22">
        <v>2.7125016276518699E-2</v>
      </c>
    </row>
    <row r="58" spans="1:5" x14ac:dyDescent="0.25">
      <c r="A58" s="836" t="s">
        <v>138</v>
      </c>
      <c r="B58" s="836">
        <v>1933</v>
      </c>
      <c r="C58" s="836" t="s">
        <v>56</v>
      </c>
      <c r="D58" s="22">
        <v>2.4213377365114599E-2</v>
      </c>
      <c r="E58" s="22">
        <v>2.7125016276518699E-2</v>
      </c>
    </row>
    <row r="59" spans="1:5" x14ac:dyDescent="0.25">
      <c r="A59" s="836" t="s">
        <v>137</v>
      </c>
      <c r="B59" s="836">
        <v>2140</v>
      </c>
      <c r="C59" s="836" t="s">
        <v>12</v>
      </c>
      <c r="D59" s="22">
        <v>2.7858540698883199E-2</v>
      </c>
      <c r="E59" s="22">
        <v>2.7125016276518699E-2</v>
      </c>
    </row>
    <row r="60" spans="1:5" x14ac:dyDescent="0.25">
      <c r="A60" s="836" t="s">
        <v>136</v>
      </c>
      <c r="B60" s="836">
        <v>3103</v>
      </c>
      <c r="C60" s="836" t="s">
        <v>57</v>
      </c>
      <c r="D60" s="22">
        <v>2.4165289961531701E-2</v>
      </c>
      <c r="E60" s="22">
        <v>2.7125016276518699E-2</v>
      </c>
    </row>
    <row r="61" spans="1:5" x14ac:dyDescent="0.25">
      <c r="A61" s="836" t="s">
        <v>135</v>
      </c>
      <c r="B61" s="836">
        <v>2360</v>
      </c>
      <c r="C61" s="836" t="s">
        <v>72</v>
      </c>
      <c r="D61" s="22">
        <v>2.4943884894722299E-2</v>
      </c>
      <c r="E61" s="22">
        <v>2.7125016276518699E-2</v>
      </c>
    </row>
    <row r="62" spans="1:5" s="914" customFormat="1" x14ac:dyDescent="0.25">
      <c r="A62" s="914" t="s">
        <v>1236</v>
      </c>
      <c r="B62" s="914">
        <v>4170</v>
      </c>
      <c r="C62" s="914" t="s">
        <v>1237</v>
      </c>
      <c r="D62" s="22">
        <v>2.8799999999999999E-2</v>
      </c>
      <c r="E62" s="22">
        <v>2.7125016276518699E-2</v>
      </c>
    </row>
    <row r="63" spans="1:5" x14ac:dyDescent="0.25">
      <c r="A63" s="836" t="s">
        <v>133</v>
      </c>
      <c r="B63" s="836">
        <v>3220</v>
      </c>
      <c r="C63" s="836"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tabSelected="1" topLeftCell="A2" workbookViewId="0">
      <selection activeCell="A23" sqref="A23"/>
    </sheetView>
  </sheetViews>
  <sheetFormatPr defaultColWidth="9.140625" defaultRowHeight="15" x14ac:dyDescent="0.25"/>
  <cols>
    <col min="1" max="1" width="10.28515625" style="779" bestFit="1" customWidth="1"/>
    <col min="2" max="2" width="31.42578125" style="779" bestFit="1" customWidth="1"/>
    <col min="3" max="16384" width="9.140625" style="779"/>
  </cols>
  <sheetData>
    <row r="1" spans="1:2" x14ac:dyDescent="0.25">
      <c r="A1" s="781" t="s">
        <v>1095</v>
      </c>
      <c r="B1" s="781" t="s">
        <v>1094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83" bestFit="1" customWidth="1"/>
    <col min="2" max="2" width="31.42578125" style="783" bestFit="1" customWidth="1"/>
    <col min="3" max="16384" width="9.140625" style="783"/>
  </cols>
  <sheetData>
    <row r="1" spans="1:4" x14ac:dyDescent="0.25">
      <c r="A1" s="781" t="s">
        <v>1095</v>
      </c>
      <c r="B1" s="781" t="s">
        <v>1094</v>
      </c>
      <c r="C1" s="783" t="s">
        <v>1090</v>
      </c>
      <c r="D1" s="783" t="s">
        <v>1091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994" bestFit="1" customWidth="1"/>
    <col min="2" max="2" width="31.85546875" style="994" bestFit="1" customWidth="1"/>
    <col min="3" max="3" width="31.7109375" style="994" bestFit="1" customWidth="1"/>
    <col min="4" max="4" width="29.140625" style="994" bestFit="1" customWidth="1"/>
    <col min="5" max="5" width="16" style="994" bestFit="1" customWidth="1"/>
    <col min="6" max="7" width="53.28515625" style="994" bestFit="1" customWidth="1"/>
    <col min="8" max="8" width="42.42578125" style="994" bestFit="1" customWidth="1"/>
    <col min="9" max="9" width="10" style="994" bestFit="1" customWidth="1"/>
    <col min="10" max="10" width="6.7109375" style="994" bestFit="1" customWidth="1"/>
    <col min="11" max="11" width="14.7109375" style="994" bestFit="1" customWidth="1"/>
    <col min="12" max="12" width="15.85546875" style="994" bestFit="1" customWidth="1"/>
    <col min="13" max="13" width="18.85546875" style="994" bestFit="1" customWidth="1"/>
    <col min="14" max="14" width="24.42578125" style="994" bestFit="1" customWidth="1"/>
    <col min="15" max="15" width="10" style="994" bestFit="1" customWidth="1"/>
    <col min="16" max="16" width="27" style="994" bestFit="1" customWidth="1"/>
    <col min="17" max="17" width="29.140625" style="994" bestFit="1" customWidth="1"/>
    <col min="18" max="18" width="17" style="994" bestFit="1" customWidth="1"/>
    <col min="19" max="19" width="24.5703125" style="994" bestFit="1" customWidth="1"/>
    <col min="20" max="20" width="36.28515625" style="994" bestFit="1" customWidth="1"/>
    <col min="21" max="21" width="37.42578125" style="994" bestFit="1" customWidth="1"/>
    <col min="22" max="22" width="9" style="994" bestFit="1" customWidth="1"/>
    <col min="23" max="23" width="24.140625" style="994" bestFit="1" customWidth="1"/>
    <col min="24" max="24" width="6.28515625" style="994" bestFit="1" customWidth="1"/>
    <col min="25" max="25" width="28.5703125" style="994" bestFit="1" customWidth="1"/>
    <col min="26" max="26" width="23.85546875" style="994" bestFit="1" customWidth="1"/>
    <col min="27" max="27" width="16.42578125" style="994" bestFit="1" customWidth="1"/>
    <col min="28" max="28" width="10.5703125" style="994" bestFit="1" customWidth="1"/>
    <col min="29" max="29" width="27" style="994" bestFit="1" customWidth="1"/>
    <col min="30" max="30" width="36.7109375" style="994" customWidth="1"/>
    <col min="31" max="16384" width="9.140625" style="994"/>
  </cols>
  <sheetData>
    <row r="1" spans="1:30" x14ac:dyDescent="0.25">
      <c r="A1" s="781" t="s">
        <v>1095</v>
      </c>
      <c r="B1" s="781" t="s">
        <v>1094</v>
      </c>
      <c r="C1" s="781" t="s">
        <v>1115</v>
      </c>
      <c r="D1" s="781" t="s">
        <v>1116</v>
      </c>
      <c r="E1" s="781" t="s">
        <v>1117</v>
      </c>
      <c r="F1" s="781" t="s">
        <v>1118</v>
      </c>
      <c r="G1" s="781" t="s">
        <v>1119</v>
      </c>
      <c r="H1" s="781" t="s">
        <v>1120</v>
      </c>
      <c r="I1" s="781" t="s">
        <v>1114</v>
      </c>
      <c r="J1" s="781" t="s">
        <v>1121</v>
      </c>
      <c r="K1" s="781" t="s">
        <v>1122</v>
      </c>
      <c r="L1" s="781" t="s">
        <v>1123</v>
      </c>
      <c r="M1" s="781" t="s">
        <v>1124</v>
      </c>
      <c r="N1" s="781" t="s">
        <v>1125</v>
      </c>
      <c r="O1" s="781" t="s">
        <v>1126</v>
      </c>
      <c r="P1" s="781" t="s">
        <v>1127</v>
      </c>
      <c r="Q1" s="781" t="s">
        <v>1128</v>
      </c>
      <c r="R1" s="781" t="s">
        <v>1129</v>
      </c>
      <c r="S1" s="781" t="s">
        <v>1130</v>
      </c>
      <c r="T1" s="781" t="s">
        <v>1131</v>
      </c>
      <c r="U1" s="781" t="s">
        <v>1132</v>
      </c>
      <c r="V1" s="781" t="s">
        <v>405</v>
      </c>
      <c r="W1" s="781" t="s">
        <v>1112</v>
      </c>
      <c r="X1" s="781" t="s">
        <v>1133</v>
      </c>
      <c r="Y1" s="781" t="s">
        <v>1134</v>
      </c>
      <c r="Z1" s="781" t="s">
        <v>1135</v>
      </c>
      <c r="AA1" s="781" t="s">
        <v>1136</v>
      </c>
      <c r="AB1" s="781" t="s">
        <v>1089</v>
      </c>
      <c r="AC1" s="781" t="s">
        <v>1295</v>
      </c>
      <c r="AD1" s="781" t="s">
        <v>1502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79" bestFit="1" customWidth="1"/>
    <col min="2" max="2" width="10.28515625" style="779" bestFit="1" customWidth="1"/>
    <col min="3" max="3" width="33.42578125" style="779" bestFit="1" customWidth="1"/>
    <col min="4" max="4" width="32.28515625" style="779" bestFit="1" customWidth="1"/>
    <col min="5" max="5" width="36.85546875" style="779" bestFit="1" customWidth="1"/>
    <col min="6" max="6" width="14.5703125" style="779" bestFit="1" customWidth="1"/>
    <col min="7" max="7" width="17.5703125" style="779" customWidth="1"/>
    <col min="8" max="8" width="19.7109375" style="779" bestFit="1" customWidth="1"/>
    <col min="9" max="9" width="17.85546875" style="779" bestFit="1" customWidth="1"/>
    <col min="10" max="10" width="18.140625" style="779" bestFit="1" customWidth="1"/>
    <col min="11" max="11" width="21.85546875" style="779" bestFit="1" customWidth="1"/>
    <col min="12" max="12" width="19.7109375" style="779" bestFit="1" customWidth="1"/>
    <col min="13" max="16384" width="9.140625" style="779"/>
  </cols>
  <sheetData>
    <row r="1" spans="1:12" x14ac:dyDescent="0.25">
      <c r="A1" s="781" t="s">
        <v>1094</v>
      </c>
      <c r="B1" s="781" t="s">
        <v>1095</v>
      </c>
      <c r="C1" s="781" t="s">
        <v>1153</v>
      </c>
      <c r="D1" s="781" t="s">
        <v>1154</v>
      </c>
      <c r="E1" s="781" t="s">
        <v>1155</v>
      </c>
      <c r="F1" s="781" t="s">
        <v>1156</v>
      </c>
      <c r="G1" s="781" t="s">
        <v>1448</v>
      </c>
      <c r="H1" s="781" t="s">
        <v>1449</v>
      </c>
      <c r="I1" s="781" t="s">
        <v>1450</v>
      </c>
      <c r="J1" s="781" t="s">
        <v>1451</v>
      </c>
      <c r="K1" s="781" t="s">
        <v>1452</v>
      </c>
      <c r="L1" s="781" t="s">
        <v>1453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79" bestFit="1" customWidth="1"/>
    <col min="2" max="2" width="31.85546875" style="779" bestFit="1" customWidth="1"/>
    <col min="3" max="3" width="30" style="779" bestFit="1" customWidth="1"/>
    <col min="4" max="4" width="19.85546875" style="779" bestFit="1" customWidth="1"/>
    <col min="5" max="5" width="4.140625" style="779" bestFit="1" customWidth="1"/>
    <col min="6" max="6" width="9.5703125" style="779" bestFit="1" customWidth="1"/>
    <col min="7" max="16384" width="9.140625" style="779"/>
  </cols>
  <sheetData>
    <row r="1" spans="1:6" x14ac:dyDescent="0.25">
      <c r="A1" s="781" t="s">
        <v>1095</v>
      </c>
      <c r="B1" s="781" t="s">
        <v>1094</v>
      </c>
      <c r="C1" s="781" t="s">
        <v>1111</v>
      </c>
      <c r="D1" s="781" t="s">
        <v>1112</v>
      </c>
      <c r="E1" s="781" t="s">
        <v>1113</v>
      </c>
      <c r="F1" s="781" t="s">
        <v>1114</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79" bestFit="1" customWidth="1"/>
    <col min="2" max="2" width="40.28515625" style="779" bestFit="1" customWidth="1"/>
    <col min="3" max="3" width="15.140625" style="779" bestFit="1" customWidth="1"/>
    <col min="4" max="4" width="8.85546875" style="779" bestFit="1" customWidth="1"/>
    <col min="5" max="5" width="29.140625" style="779" bestFit="1" customWidth="1"/>
    <col min="6" max="6" width="18.85546875" style="779" bestFit="1" customWidth="1"/>
    <col min="7" max="7" width="18" style="779" bestFit="1" customWidth="1"/>
    <col min="8" max="8" width="31" style="779" bestFit="1" customWidth="1"/>
    <col min="9" max="9" width="32.5703125" style="779" bestFit="1" customWidth="1"/>
    <col min="10" max="10" width="27.140625" style="779" bestFit="1" customWidth="1"/>
    <col min="11" max="11" width="29.7109375" style="779" bestFit="1" customWidth="1"/>
    <col min="12" max="12" width="20.140625" style="779" bestFit="1" customWidth="1"/>
    <col min="13" max="13" width="20.5703125" style="779" bestFit="1" customWidth="1"/>
    <col min="14" max="15" width="22.140625" style="779" bestFit="1" customWidth="1"/>
    <col min="16" max="16384" width="9.140625" style="779"/>
  </cols>
  <sheetData>
    <row r="1" spans="1:15" x14ac:dyDescent="0.25">
      <c r="A1" s="781" t="s">
        <v>1089</v>
      </c>
      <c r="B1" s="781" t="s">
        <v>247</v>
      </c>
      <c r="C1" s="781" t="s">
        <v>1137</v>
      </c>
      <c r="D1" s="781" t="s">
        <v>1090</v>
      </c>
      <c r="E1" s="781" t="s">
        <v>1091</v>
      </c>
      <c r="F1" s="781" t="s">
        <v>1092</v>
      </c>
      <c r="G1" s="781" t="s">
        <v>1093</v>
      </c>
      <c r="H1" s="781" t="s">
        <v>1138</v>
      </c>
      <c r="I1" s="781" t="s">
        <v>1139</v>
      </c>
      <c r="J1" s="781" t="s">
        <v>1140</v>
      </c>
      <c r="K1" s="781" t="s">
        <v>1141</v>
      </c>
      <c r="L1" s="781" t="s">
        <v>1142</v>
      </c>
      <c r="M1" s="781" t="s">
        <v>1143</v>
      </c>
      <c r="N1" s="781" t="s">
        <v>1144</v>
      </c>
      <c r="O1" s="781" t="s">
        <v>1144</v>
      </c>
    </row>
    <row r="2" spans="1:15" x14ac:dyDescent="0.25">
      <c r="A2" s="978"/>
      <c r="B2" s="978"/>
      <c r="C2" s="978"/>
      <c r="D2" s="978"/>
      <c r="E2" s="978"/>
      <c r="F2" s="978"/>
      <c r="G2" s="978"/>
      <c r="H2" s="978"/>
      <c r="I2" s="978"/>
      <c r="J2" s="978"/>
      <c r="K2" s="978"/>
      <c r="L2" s="978"/>
      <c r="M2" s="978"/>
      <c r="N2" s="978"/>
      <c r="O2" s="978"/>
    </row>
    <row r="3" spans="1:15" x14ac:dyDescent="0.25">
      <c r="A3" s="978"/>
      <c r="B3" s="978"/>
      <c r="C3" s="978"/>
      <c r="D3" s="978"/>
      <c r="E3" s="978"/>
      <c r="F3" s="978"/>
      <c r="G3" s="978"/>
      <c r="H3" s="978"/>
      <c r="I3" s="978"/>
      <c r="J3" s="978"/>
      <c r="K3" s="978"/>
      <c r="L3" s="978"/>
      <c r="M3" s="978"/>
      <c r="N3" s="978"/>
      <c r="O3" s="978"/>
    </row>
    <row r="4" spans="1:15" x14ac:dyDescent="0.25">
      <c r="A4" s="978"/>
      <c r="B4" s="978"/>
      <c r="C4" s="978"/>
      <c r="D4" s="978"/>
      <c r="E4" s="978"/>
      <c r="F4" s="978"/>
      <c r="G4" s="978"/>
      <c r="H4" s="978"/>
      <c r="I4" s="978"/>
      <c r="J4" s="978"/>
      <c r="K4" s="978"/>
      <c r="L4" s="978"/>
      <c r="M4" s="978"/>
      <c r="N4" s="978"/>
      <c r="O4" s="978"/>
    </row>
    <row r="5" spans="1:15" x14ac:dyDescent="0.25">
      <c r="A5" s="978"/>
      <c r="B5" s="978"/>
      <c r="C5" s="978"/>
      <c r="D5" s="978"/>
      <c r="E5" s="978"/>
      <c r="F5" s="978"/>
      <c r="G5" s="978"/>
      <c r="H5" s="978"/>
      <c r="I5" s="978"/>
      <c r="J5" s="978"/>
      <c r="K5" s="978"/>
      <c r="L5" s="978"/>
      <c r="M5" s="978"/>
      <c r="N5" s="978"/>
      <c r="O5" s="978"/>
    </row>
    <row r="6" spans="1:15" x14ac:dyDescent="0.25">
      <c r="A6" s="978"/>
      <c r="B6" s="978"/>
      <c r="C6" s="978"/>
      <c r="D6" s="978"/>
      <c r="E6" s="978"/>
      <c r="F6" s="978"/>
      <c r="G6" s="978"/>
      <c r="H6" s="978"/>
      <c r="I6" s="978"/>
      <c r="J6" s="978"/>
      <c r="K6" s="978"/>
      <c r="L6" s="978"/>
      <c r="M6" s="978"/>
      <c r="N6" s="978"/>
      <c r="O6" s="978"/>
    </row>
    <row r="7" spans="1:15" x14ac:dyDescent="0.25">
      <c r="A7" s="978"/>
      <c r="B7" s="978"/>
      <c r="C7" s="978"/>
      <c r="D7" s="978"/>
      <c r="E7" s="978"/>
      <c r="F7" s="978"/>
      <c r="G7" s="978"/>
      <c r="H7" s="978"/>
      <c r="I7" s="978"/>
      <c r="J7" s="978"/>
      <c r="K7" s="978"/>
      <c r="L7" s="978"/>
      <c r="M7" s="978"/>
      <c r="N7" s="978"/>
      <c r="O7" s="978"/>
    </row>
    <row r="8" spans="1:15" x14ac:dyDescent="0.25">
      <c r="A8" s="978"/>
      <c r="B8" s="978"/>
      <c r="C8" s="978"/>
      <c r="D8" s="978"/>
      <c r="E8" s="978"/>
      <c r="F8" s="978"/>
      <c r="G8" s="978"/>
      <c r="H8" s="978"/>
      <c r="I8" s="978"/>
      <c r="J8" s="978"/>
      <c r="K8" s="978"/>
      <c r="L8" s="978"/>
      <c r="M8" s="978"/>
      <c r="N8" s="978"/>
      <c r="O8" s="978"/>
    </row>
    <row r="9" spans="1:15" x14ac:dyDescent="0.25">
      <c r="A9" s="978"/>
      <c r="B9" s="978"/>
      <c r="C9" s="978"/>
      <c r="D9" s="978"/>
      <c r="E9" s="978"/>
      <c r="F9" s="978"/>
      <c r="G9" s="978"/>
      <c r="H9" s="978"/>
      <c r="I9" s="978"/>
      <c r="J9" s="978"/>
      <c r="K9" s="978"/>
      <c r="L9" s="978"/>
      <c r="M9" s="978"/>
      <c r="N9" s="978"/>
      <c r="O9" s="978"/>
    </row>
    <row r="10" spans="1:15" x14ac:dyDescent="0.25">
      <c r="A10" s="978"/>
      <c r="B10" s="978"/>
      <c r="C10" s="978"/>
      <c r="D10" s="978"/>
      <c r="E10" s="978"/>
      <c r="F10" s="978"/>
      <c r="G10" s="978"/>
      <c r="H10" s="978"/>
      <c r="I10" s="978"/>
      <c r="J10" s="978"/>
      <c r="K10" s="978"/>
      <c r="L10" s="978"/>
      <c r="M10" s="978"/>
      <c r="N10" s="978"/>
      <c r="O10" s="978"/>
    </row>
    <row r="11" spans="1:15" x14ac:dyDescent="0.25">
      <c r="A11" s="978"/>
      <c r="B11" s="978"/>
      <c r="C11" s="978"/>
      <c r="D11" s="978"/>
      <c r="E11" s="978"/>
      <c r="F11" s="978"/>
      <c r="G11" s="978"/>
      <c r="H11" s="978"/>
      <c r="I11" s="978"/>
      <c r="J11" s="978"/>
      <c r="K11" s="978"/>
      <c r="L11" s="978"/>
      <c r="M11" s="978"/>
      <c r="N11" s="978"/>
      <c r="O11" s="978"/>
    </row>
    <row r="12" spans="1:15" x14ac:dyDescent="0.25">
      <c r="A12" s="978"/>
      <c r="B12" s="978"/>
      <c r="C12" s="978"/>
      <c r="D12" s="978"/>
      <c r="E12" s="978"/>
      <c r="F12" s="978"/>
      <c r="G12" s="978"/>
      <c r="H12" s="978"/>
      <c r="I12" s="978"/>
      <c r="J12" s="978"/>
      <c r="K12" s="978"/>
      <c r="L12" s="978"/>
      <c r="M12" s="978"/>
      <c r="N12" s="978"/>
      <c r="O12" s="978"/>
    </row>
    <row r="13" spans="1:15" x14ac:dyDescent="0.25">
      <c r="A13" s="978"/>
      <c r="B13" s="978"/>
      <c r="C13" s="978"/>
      <c r="D13" s="978"/>
      <c r="E13" s="978"/>
      <c r="F13" s="978"/>
      <c r="G13" s="978"/>
      <c r="H13" s="978"/>
      <c r="I13" s="978"/>
      <c r="J13" s="978"/>
      <c r="K13" s="978"/>
      <c r="L13" s="978"/>
      <c r="M13" s="978"/>
      <c r="N13" s="978"/>
      <c r="O13" s="978"/>
    </row>
    <row r="14" spans="1:15" x14ac:dyDescent="0.25">
      <c r="A14" s="978"/>
      <c r="B14" s="978"/>
      <c r="C14" s="978"/>
      <c r="D14" s="978"/>
      <c r="E14" s="978"/>
      <c r="F14" s="978"/>
      <c r="G14" s="978"/>
      <c r="H14" s="978"/>
      <c r="I14" s="978"/>
      <c r="J14" s="978"/>
      <c r="K14" s="978"/>
      <c r="L14" s="978"/>
      <c r="M14" s="978"/>
      <c r="N14" s="978"/>
      <c r="O14" s="978"/>
    </row>
    <row r="15" spans="1:15" x14ac:dyDescent="0.25">
      <c r="A15" s="978"/>
      <c r="B15" s="978"/>
      <c r="C15" s="978"/>
      <c r="D15" s="978"/>
      <c r="E15" s="978"/>
      <c r="F15" s="978"/>
      <c r="G15" s="978"/>
      <c r="H15" s="978"/>
      <c r="I15" s="978"/>
      <c r="J15" s="978"/>
      <c r="K15" s="978"/>
      <c r="L15" s="978"/>
      <c r="M15" s="978"/>
      <c r="N15" s="978"/>
      <c r="O15" s="978"/>
    </row>
    <row r="16" spans="1:15" x14ac:dyDescent="0.25">
      <c r="A16" s="978"/>
      <c r="B16" s="978"/>
      <c r="C16" s="978"/>
      <c r="D16" s="978"/>
      <c r="E16" s="978"/>
      <c r="F16" s="978"/>
      <c r="G16" s="978"/>
      <c r="H16" s="978"/>
      <c r="I16" s="978"/>
      <c r="J16" s="978"/>
      <c r="K16" s="978"/>
      <c r="L16" s="978"/>
      <c r="M16" s="978"/>
      <c r="N16" s="978"/>
      <c r="O16" s="978"/>
    </row>
    <row r="17" spans="1:15" x14ac:dyDescent="0.25">
      <c r="A17" s="978"/>
      <c r="B17" s="978"/>
      <c r="C17" s="978"/>
      <c r="D17" s="978"/>
      <c r="E17" s="978"/>
      <c r="F17" s="978"/>
      <c r="G17" s="978"/>
      <c r="H17" s="978"/>
      <c r="I17" s="978"/>
      <c r="J17" s="978"/>
      <c r="K17" s="978"/>
      <c r="L17" s="978"/>
      <c r="M17" s="978"/>
      <c r="N17" s="978"/>
      <c r="O17" s="978"/>
    </row>
    <row r="18" spans="1:15" x14ac:dyDescent="0.25">
      <c r="A18" s="978"/>
      <c r="B18" s="978"/>
      <c r="C18" s="978"/>
      <c r="D18" s="978"/>
      <c r="E18" s="978"/>
      <c r="F18" s="978"/>
      <c r="G18" s="978"/>
      <c r="H18" s="978"/>
      <c r="I18" s="978"/>
      <c r="J18" s="978"/>
      <c r="K18" s="978"/>
      <c r="L18" s="978"/>
      <c r="M18" s="978"/>
      <c r="N18" s="978"/>
      <c r="O18" s="978"/>
    </row>
    <row r="19" spans="1:15" x14ac:dyDescent="0.25">
      <c r="A19" s="978"/>
      <c r="B19" s="978"/>
      <c r="C19" s="978"/>
      <c r="D19" s="978"/>
      <c r="E19" s="978"/>
      <c r="F19" s="978"/>
      <c r="G19" s="978"/>
      <c r="H19" s="978"/>
      <c r="I19" s="978"/>
      <c r="J19" s="978"/>
      <c r="K19" s="978"/>
      <c r="L19" s="978"/>
      <c r="M19" s="978"/>
      <c r="N19" s="978"/>
      <c r="O19" s="978"/>
    </row>
    <row r="20" spans="1:15" x14ac:dyDescent="0.25">
      <c r="A20" s="978"/>
      <c r="B20" s="978"/>
      <c r="C20" s="978"/>
      <c r="D20" s="978"/>
      <c r="E20" s="978"/>
      <c r="F20" s="978"/>
      <c r="G20" s="978"/>
      <c r="H20" s="978"/>
      <c r="I20" s="978"/>
      <c r="J20" s="978"/>
      <c r="K20" s="978"/>
      <c r="L20" s="978"/>
      <c r="M20" s="978"/>
      <c r="N20" s="978"/>
      <c r="O20" s="978"/>
    </row>
    <row r="21" spans="1:15" x14ac:dyDescent="0.25">
      <c r="A21" s="978"/>
      <c r="B21" s="978"/>
      <c r="C21" s="978"/>
      <c r="D21" s="978"/>
      <c r="E21" s="978"/>
      <c r="F21" s="978"/>
      <c r="G21" s="978"/>
      <c r="H21" s="978"/>
      <c r="I21" s="978"/>
      <c r="J21" s="978"/>
      <c r="K21" s="978"/>
      <c r="L21" s="978"/>
      <c r="M21" s="978"/>
      <c r="N21" s="978"/>
      <c r="O21" s="978"/>
    </row>
    <row r="22" spans="1:15" x14ac:dyDescent="0.25">
      <c r="A22" s="978"/>
      <c r="B22" s="978"/>
      <c r="C22" s="978"/>
      <c r="D22" s="978"/>
      <c r="E22" s="978"/>
      <c r="F22" s="978"/>
      <c r="G22" s="978"/>
      <c r="H22" s="978"/>
      <c r="I22" s="978"/>
      <c r="J22" s="978"/>
      <c r="K22" s="978"/>
      <c r="L22" s="978"/>
      <c r="M22" s="978"/>
      <c r="N22" s="978"/>
      <c r="O22" s="978"/>
    </row>
    <row r="23" spans="1:15" x14ac:dyDescent="0.25">
      <c r="A23" s="978"/>
      <c r="B23" s="978"/>
      <c r="C23" s="978"/>
      <c r="D23" s="978"/>
      <c r="E23" s="978"/>
      <c r="F23" s="978"/>
      <c r="G23" s="978"/>
      <c r="H23" s="978"/>
      <c r="I23" s="978"/>
      <c r="J23" s="978"/>
      <c r="K23" s="978"/>
      <c r="L23" s="978"/>
      <c r="M23" s="978"/>
      <c r="N23" s="978"/>
      <c r="O23" s="978"/>
    </row>
    <row r="24" spans="1:15" x14ac:dyDescent="0.25">
      <c r="A24" s="978"/>
      <c r="B24" s="978"/>
      <c r="C24" s="978"/>
      <c r="D24" s="978"/>
      <c r="E24" s="978"/>
      <c r="F24" s="978"/>
      <c r="G24" s="978"/>
      <c r="H24" s="978"/>
      <c r="I24" s="978"/>
      <c r="J24" s="978"/>
      <c r="K24" s="978"/>
      <c r="L24" s="978"/>
      <c r="M24" s="978"/>
      <c r="N24" s="978"/>
      <c r="O24" s="978"/>
    </row>
    <row r="25" spans="1:15" x14ac:dyDescent="0.25">
      <c r="A25" s="978"/>
      <c r="B25" s="978"/>
      <c r="C25" s="978"/>
      <c r="D25" s="978"/>
      <c r="E25" s="978"/>
      <c r="F25" s="978"/>
      <c r="G25" s="978"/>
      <c r="H25" s="978"/>
      <c r="I25" s="978"/>
      <c r="J25" s="978"/>
      <c r="K25" s="978"/>
      <c r="L25" s="978"/>
      <c r="M25" s="978"/>
      <c r="N25" s="978"/>
      <c r="O25" s="978"/>
    </row>
    <row r="26" spans="1:15" x14ac:dyDescent="0.25">
      <c r="A26" s="978"/>
      <c r="B26" s="978"/>
      <c r="C26" s="978"/>
      <c r="D26" s="978"/>
      <c r="E26" s="978"/>
      <c r="F26" s="978"/>
      <c r="G26" s="978"/>
      <c r="H26" s="978"/>
      <c r="I26" s="978"/>
      <c r="J26" s="978"/>
      <c r="K26" s="978"/>
      <c r="L26" s="978"/>
      <c r="M26" s="978"/>
      <c r="N26" s="978"/>
      <c r="O26" s="978"/>
    </row>
    <row r="27" spans="1:15" x14ac:dyDescent="0.25">
      <c r="A27" s="978"/>
      <c r="B27" s="978"/>
      <c r="C27" s="978"/>
      <c r="D27" s="978"/>
      <c r="E27" s="978"/>
      <c r="F27" s="978"/>
      <c r="G27" s="978"/>
      <c r="H27" s="978"/>
      <c r="I27" s="978"/>
      <c r="J27" s="978"/>
      <c r="K27" s="978"/>
      <c r="L27" s="978"/>
      <c r="M27" s="978"/>
      <c r="N27" s="978"/>
      <c r="O27" s="978"/>
    </row>
    <row r="28" spans="1:15" x14ac:dyDescent="0.25">
      <c r="A28" s="978"/>
      <c r="B28" s="978"/>
      <c r="C28" s="978"/>
      <c r="D28" s="978"/>
      <c r="E28" s="978"/>
      <c r="F28" s="978"/>
      <c r="G28" s="978"/>
      <c r="H28" s="978"/>
      <c r="I28" s="978"/>
      <c r="J28" s="978"/>
      <c r="K28" s="978"/>
      <c r="L28" s="978"/>
      <c r="M28" s="978"/>
      <c r="N28" s="978"/>
      <c r="O28" s="97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79" bestFit="1" customWidth="1"/>
    <col min="2" max="2" width="10.5703125" style="779" bestFit="1" customWidth="1"/>
    <col min="3" max="3" width="8.85546875" style="779" bestFit="1" customWidth="1"/>
    <col min="4" max="4" width="9.140625" style="779"/>
    <col min="5" max="5" width="29.7109375" style="779" bestFit="1" customWidth="1"/>
    <col min="6" max="6" width="16.42578125" style="779" bestFit="1" customWidth="1"/>
    <col min="7" max="7" width="27.140625" style="779" bestFit="1" customWidth="1"/>
    <col min="8" max="8" width="35" style="779" bestFit="1" customWidth="1"/>
    <col min="9" max="9" width="38.42578125" style="779" bestFit="1" customWidth="1"/>
    <col min="10" max="10" width="33.85546875" style="779" bestFit="1" customWidth="1"/>
    <col min="11" max="11" width="26.140625" style="779" bestFit="1" customWidth="1"/>
    <col min="12" max="12" width="17.42578125" style="779" bestFit="1" customWidth="1"/>
    <col min="13" max="13" width="12" style="779" bestFit="1" customWidth="1"/>
    <col min="14" max="16384" width="9.140625" style="779"/>
  </cols>
  <sheetData>
    <row r="1" spans="1:13" x14ac:dyDescent="0.25">
      <c r="A1" s="781" t="s">
        <v>1092</v>
      </c>
      <c r="B1" s="781" t="s">
        <v>1089</v>
      </c>
      <c r="C1" s="781" t="s">
        <v>1090</v>
      </c>
      <c r="D1" s="781" t="s">
        <v>1096</v>
      </c>
      <c r="E1" s="781" t="s">
        <v>1141</v>
      </c>
      <c r="F1" s="781" t="s">
        <v>1145</v>
      </c>
      <c r="G1" s="781" t="s">
        <v>1140</v>
      </c>
      <c r="H1" s="781" t="s">
        <v>1157</v>
      </c>
      <c r="I1" s="781" t="s">
        <v>1158</v>
      </c>
      <c r="J1" s="781" t="s">
        <v>1159</v>
      </c>
      <c r="K1" s="781" t="s">
        <v>1097</v>
      </c>
      <c r="L1" s="781" t="s">
        <v>1098</v>
      </c>
      <c r="M1" s="781" t="s">
        <v>1099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79" bestFit="1" customWidth="1"/>
    <col min="2" max="2" width="12.85546875" style="779" bestFit="1" customWidth="1"/>
    <col min="3" max="3" width="10.5703125" style="779" bestFit="1" customWidth="1"/>
    <col min="4" max="4" width="21.5703125" style="779" bestFit="1" customWidth="1"/>
    <col min="5" max="5" width="12.7109375" style="779" bestFit="1" customWidth="1"/>
    <col min="6" max="6" width="25.7109375" style="779" bestFit="1" customWidth="1"/>
    <col min="7" max="16384" width="9.140625" style="779"/>
  </cols>
  <sheetData>
    <row r="1" spans="1:6" x14ac:dyDescent="0.25">
      <c r="A1" s="781" t="s">
        <v>247</v>
      </c>
      <c r="B1" s="781" t="s">
        <v>1151</v>
      </c>
      <c r="C1" s="781" t="s">
        <v>1089</v>
      </c>
      <c r="D1" s="781" t="s">
        <v>1147</v>
      </c>
      <c r="E1" s="781" t="s">
        <v>1148</v>
      </c>
      <c r="F1" s="781" t="s">
        <v>1149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79" bestFit="1" customWidth="1"/>
    <col min="2" max="2" width="12.85546875" style="779" bestFit="1" customWidth="1"/>
    <col min="3" max="3" width="10.5703125" style="779" bestFit="1" customWidth="1"/>
    <col min="4" max="4" width="21.5703125" style="779" bestFit="1" customWidth="1"/>
    <col min="5" max="5" width="12.7109375" style="779" bestFit="1" customWidth="1"/>
    <col min="6" max="6" width="25.7109375" style="779" bestFit="1" customWidth="1"/>
    <col min="7" max="16384" width="9.140625" style="779"/>
  </cols>
  <sheetData>
    <row r="1" spans="1:6" x14ac:dyDescent="0.25">
      <c r="A1" s="781" t="s">
        <v>247</v>
      </c>
      <c r="B1" s="781" t="s">
        <v>1150</v>
      </c>
      <c r="C1" s="781" t="s">
        <v>1089</v>
      </c>
      <c r="D1" s="781" t="s">
        <v>1147</v>
      </c>
      <c r="E1" s="781" t="s">
        <v>1148</v>
      </c>
      <c r="F1" s="781" t="s">
        <v>1149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79" bestFit="1" customWidth="1"/>
    <col min="2" max="2" width="12.85546875" style="779" bestFit="1" customWidth="1"/>
    <col min="3" max="3" width="10.5703125" style="779" bestFit="1" customWidth="1"/>
    <col min="4" max="4" width="21.5703125" style="779" bestFit="1" customWidth="1"/>
    <col min="5" max="5" width="12.7109375" style="779" bestFit="1" customWidth="1"/>
    <col min="6" max="6" width="25.7109375" style="779" bestFit="1" customWidth="1"/>
    <col min="7" max="16384" width="9.140625" style="779"/>
  </cols>
  <sheetData>
    <row r="1" spans="1:6" x14ac:dyDescent="0.25">
      <c r="A1" s="781" t="s">
        <v>247</v>
      </c>
      <c r="B1" s="781" t="s">
        <v>1146</v>
      </c>
      <c r="C1" s="781" t="s">
        <v>1089</v>
      </c>
      <c r="D1" s="781" t="s">
        <v>1147</v>
      </c>
      <c r="E1" s="781" t="s">
        <v>1148</v>
      </c>
      <c r="F1" s="781" t="s">
        <v>1149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257</v>
      </c>
      <c r="C1" s="2" t="s">
        <v>989</v>
      </c>
      <c r="D1" s="2" t="s">
        <v>218</v>
      </c>
      <c r="E1" s="2"/>
      <c r="F1" s="2" t="s">
        <v>217</v>
      </c>
      <c r="G1" s="2"/>
      <c r="H1" s="2" t="s">
        <v>203</v>
      </c>
    </row>
    <row r="2" spans="1:14" x14ac:dyDescent="0.25">
      <c r="A2" t="s">
        <v>272</v>
      </c>
      <c r="B2" t="s">
        <v>99</v>
      </c>
      <c r="C2" s="2" t="s">
        <v>214</v>
      </c>
      <c r="D2" s="24">
        <v>0.03</v>
      </c>
      <c r="E2" s="24">
        <v>0.08</v>
      </c>
      <c r="F2" s="24">
        <v>0.09</v>
      </c>
      <c r="G2" s="24">
        <v>0.11</v>
      </c>
      <c r="H2" s="24">
        <v>0.16</v>
      </c>
      <c r="J2" s="24"/>
      <c r="K2" s="24"/>
      <c r="L2" s="24"/>
      <c r="M2" s="24"/>
      <c r="N2" s="24"/>
    </row>
    <row r="3" spans="1:14" x14ac:dyDescent="0.25">
      <c r="A3" t="s">
        <v>273</v>
      </c>
      <c r="B3" t="s">
        <v>99</v>
      </c>
      <c r="C3" s="2" t="s">
        <v>215</v>
      </c>
      <c r="D3" s="24">
        <v>0.04</v>
      </c>
      <c r="E3" s="24">
        <v>0.08</v>
      </c>
      <c r="F3" s="24">
        <v>0.09</v>
      </c>
      <c r="G3" s="24">
        <v>0.11</v>
      </c>
      <c r="H3" s="24">
        <v>0.16</v>
      </c>
      <c r="J3" s="24"/>
      <c r="K3" s="24"/>
      <c r="L3" s="24"/>
      <c r="M3" s="24"/>
      <c r="N3" s="24"/>
    </row>
    <row r="4" spans="1:14" x14ac:dyDescent="0.25">
      <c r="A4" t="s">
        <v>274</v>
      </c>
      <c r="B4" t="s">
        <v>99</v>
      </c>
      <c r="C4" s="2" t="s">
        <v>216</v>
      </c>
      <c r="D4" s="24">
        <v>0.03</v>
      </c>
      <c r="E4" s="24">
        <v>7.0000000000000007E-2</v>
      </c>
      <c r="F4" s="24">
        <v>0.09</v>
      </c>
      <c r="G4" s="24">
        <v>0.1</v>
      </c>
      <c r="H4" s="24">
        <v>0.16</v>
      </c>
      <c r="J4" s="24"/>
      <c r="K4" s="24"/>
      <c r="L4" s="24"/>
      <c r="M4" s="24"/>
      <c r="N4" s="24"/>
    </row>
    <row r="5" spans="1:14" x14ac:dyDescent="0.25">
      <c r="A5" t="s">
        <v>275</v>
      </c>
      <c r="B5" t="s">
        <v>99</v>
      </c>
      <c r="C5" s="2" t="s">
        <v>270</v>
      </c>
      <c r="D5" s="24">
        <v>0.01</v>
      </c>
      <c r="E5" s="24">
        <v>7.0000000000000007E-2</v>
      </c>
      <c r="F5" s="24">
        <v>0.08</v>
      </c>
      <c r="G5" s="24">
        <v>0.11</v>
      </c>
      <c r="H5" s="24">
        <v>0.15</v>
      </c>
      <c r="J5" s="24"/>
      <c r="K5" s="24"/>
      <c r="L5" s="24"/>
      <c r="M5" s="24"/>
      <c r="N5" s="24"/>
    </row>
    <row r="6" spans="1:14" x14ac:dyDescent="0.25">
      <c r="A6" t="s">
        <v>276</v>
      </c>
      <c r="B6" t="s">
        <v>99</v>
      </c>
      <c r="C6" s="2" t="s">
        <v>271</v>
      </c>
      <c r="D6" s="24">
        <v>0.02</v>
      </c>
      <c r="E6" s="24">
        <v>0.06</v>
      </c>
      <c r="F6" s="24">
        <v>0.08</v>
      </c>
      <c r="G6" s="24">
        <v>0.09</v>
      </c>
      <c r="H6" s="24">
        <v>0.14000000000000001</v>
      </c>
      <c r="J6" s="24"/>
      <c r="K6" s="24"/>
      <c r="L6" s="24"/>
      <c r="M6" s="24"/>
      <c r="N6" s="24"/>
    </row>
    <row r="7" spans="1:14" x14ac:dyDescent="0.25">
      <c r="A7" t="s">
        <v>521</v>
      </c>
      <c r="B7" t="s">
        <v>519</v>
      </c>
      <c r="C7" s="2" t="s">
        <v>214</v>
      </c>
      <c r="D7" s="24">
        <v>0</v>
      </c>
      <c r="E7" s="24">
        <v>0.04</v>
      </c>
      <c r="F7" s="24">
        <v>7.0000000000000007E-2</v>
      </c>
      <c r="G7" s="24">
        <v>0.09</v>
      </c>
      <c r="H7" s="24">
        <v>0.16</v>
      </c>
      <c r="J7" s="24"/>
      <c r="K7" s="24"/>
      <c r="L7" s="24"/>
      <c r="M7" s="24"/>
      <c r="N7" s="24"/>
    </row>
    <row r="8" spans="1:14" x14ac:dyDescent="0.25">
      <c r="A8" t="s">
        <v>522</v>
      </c>
      <c r="B8" t="s">
        <v>519</v>
      </c>
      <c r="C8" s="2" t="s">
        <v>215</v>
      </c>
      <c r="D8" s="24">
        <v>0</v>
      </c>
      <c r="E8" s="24">
        <v>0.04</v>
      </c>
      <c r="F8" s="24">
        <v>0.06</v>
      </c>
      <c r="G8" s="24">
        <v>0.08</v>
      </c>
      <c r="H8" s="24">
        <v>0.15</v>
      </c>
      <c r="J8" s="24"/>
      <c r="K8" s="24"/>
      <c r="L8" s="24"/>
      <c r="M8" s="24"/>
      <c r="N8" s="24"/>
    </row>
    <row r="9" spans="1:14" x14ac:dyDescent="0.25">
      <c r="A9" t="s">
        <v>523</v>
      </c>
      <c r="B9" t="s">
        <v>519</v>
      </c>
      <c r="C9" s="2" t="s">
        <v>216</v>
      </c>
      <c r="D9" s="24">
        <v>0</v>
      </c>
      <c r="E9" s="24">
        <v>0.04</v>
      </c>
      <c r="F9" s="24">
        <v>0.06</v>
      </c>
      <c r="G9" s="24">
        <v>0.08</v>
      </c>
      <c r="H9" s="24">
        <v>0.14000000000000001</v>
      </c>
      <c r="J9" s="24"/>
      <c r="K9" s="24"/>
      <c r="L9" s="24"/>
      <c r="M9" s="24"/>
      <c r="N9" s="24"/>
    </row>
    <row r="10" spans="1:14" x14ac:dyDescent="0.25">
      <c r="A10" t="s">
        <v>524</v>
      </c>
      <c r="B10" t="s">
        <v>519</v>
      </c>
      <c r="C10" s="2" t="s">
        <v>270</v>
      </c>
      <c r="D10" s="24">
        <v>0</v>
      </c>
      <c r="E10" s="24">
        <v>0.04</v>
      </c>
      <c r="F10" s="24">
        <v>0.05</v>
      </c>
      <c r="G10" s="24">
        <v>7.0000000000000007E-2</v>
      </c>
      <c r="H10" s="24">
        <v>0.12</v>
      </c>
      <c r="J10" s="24"/>
      <c r="K10" s="24"/>
      <c r="L10" s="24"/>
      <c r="M10" s="24"/>
      <c r="N10" s="24"/>
    </row>
    <row r="11" spans="1:14" x14ac:dyDescent="0.25">
      <c r="A11" t="s">
        <v>525</v>
      </c>
      <c r="B11" t="s">
        <v>519</v>
      </c>
      <c r="C11" s="2" t="s">
        <v>271</v>
      </c>
      <c r="D11" s="24">
        <v>0</v>
      </c>
      <c r="E11" s="24">
        <v>0.03</v>
      </c>
      <c r="F11" s="24">
        <v>0.04</v>
      </c>
      <c r="G11" s="24">
        <v>0.06</v>
      </c>
      <c r="H11" s="24">
        <v>0.1</v>
      </c>
      <c r="J11" s="24"/>
      <c r="K11" s="24"/>
      <c r="L11" s="24"/>
      <c r="M11" s="24"/>
      <c r="N11" s="24"/>
    </row>
    <row r="12" spans="1:14" x14ac:dyDescent="0.25">
      <c r="A12" t="s">
        <v>526</v>
      </c>
      <c r="B12" t="s">
        <v>520</v>
      </c>
      <c r="C12" s="2" t="s">
        <v>214</v>
      </c>
      <c r="D12" s="24">
        <v>0</v>
      </c>
      <c r="E12" s="24">
        <v>0.05</v>
      </c>
      <c r="F12" s="24">
        <v>0.08</v>
      </c>
      <c r="G12" s="24">
        <v>0.09</v>
      </c>
      <c r="H12" s="24">
        <v>0.14000000000000001</v>
      </c>
      <c r="J12" s="24"/>
      <c r="K12" s="24"/>
      <c r="L12" s="24"/>
      <c r="M12" s="24"/>
      <c r="N12" s="24"/>
    </row>
    <row r="13" spans="1:14" x14ac:dyDescent="0.25">
      <c r="A13" t="s">
        <v>527</v>
      </c>
      <c r="B13" t="s">
        <v>520</v>
      </c>
      <c r="C13" s="2" t="s">
        <v>215</v>
      </c>
      <c r="D13" s="24">
        <v>0</v>
      </c>
      <c r="E13" s="24">
        <v>0.05</v>
      </c>
      <c r="F13" s="24">
        <v>7.0000000000000007E-2</v>
      </c>
      <c r="G13" s="24">
        <v>0.09</v>
      </c>
      <c r="H13" s="24">
        <v>0.14000000000000001</v>
      </c>
      <c r="J13" s="24"/>
      <c r="K13" s="24"/>
      <c r="L13" s="24"/>
      <c r="M13" s="24"/>
      <c r="N13" s="24"/>
    </row>
    <row r="14" spans="1:14" x14ac:dyDescent="0.25">
      <c r="A14" t="s">
        <v>528</v>
      </c>
      <c r="B14" t="s">
        <v>520</v>
      </c>
      <c r="C14" s="2" t="s">
        <v>216</v>
      </c>
      <c r="D14" s="24">
        <v>0</v>
      </c>
      <c r="E14" s="24">
        <v>0.05</v>
      </c>
      <c r="F14" s="24">
        <v>0.06</v>
      </c>
      <c r="G14" s="24">
        <v>0.08</v>
      </c>
      <c r="H14" s="24">
        <v>0.13</v>
      </c>
      <c r="J14" s="24"/>
      <c r="K14" s="24"/>
      <c r="L14" s="24"/>
      <c r="M14" s="24"/>
      <c r="N14" s="24"/>
    </row>
    <row r="15" spans="1:14" x14ac:dyDescent="0.25">
      <c r="A15" t="s">
        <v>529</v>
      </c>
      <c r="B15" t="s">
        <v>520</v>
      </c>
      <c r="C15" s="2" t="s">
        <v>270</v>
      </c>
      <c r="D15" s="56">
        <v>0</v>
      </c>
      <c r="E15" s="56">
        <v>0.04</v>
      </c>
      <c r="F15" s="56">
        <v>0.05</v>
      </c>
      <c r="G15" s="56">
        <v>7.0000000000000007E-2</v>
      </c>
      <c r="H15" s="56">
        <v>0.11</v>
      </c>
      <c r="J15" s="56"/>
      <c r="K15" s="56"/>
      <c r="L15" s="56"/>
      <c r="M15" s="56"/>
      <c r="N15" s="56"/>
    </row>
    <row r="16" spans="1:14" x14ac:dyDescent="0.25">
      <c r="A16" t="s">
        <v>530</v>
      </c>
      <c r="B16" t="s">
        <v>520</v>
      </c>
      <c r="C16" s="2" t="s">
        <v>271</v>
      </c>
      <c r="D16" s="56">
        <v>0</v>
      </c>
      <c r="E16" s="56">
        <v>0.04</v>
      </c>
      <c r="F16" s="56">
        <v>0.05</v>
      </c>
      <c r="G16" s="56">
        <v>7.0000000000000007E-2</v>
      </c>
      <c r="H16" s="56">
        <v>0.09</v>
      </c>
      <c r="J16" s="56"/>
      <c r="K16" s="56"/>
      <c r="L16" s="56"/>
      <c r="M16" s="56"/>
      <c r="N16" s="56"/>
    </row>
    <row r="17" spans="1:14" x14ac:dyDescent="0.25">
      <c r="A17" t="s">
        <v>277</v>
      </c>
      <c r="B17" t="s">
        <v>102</v>
      </c>
      <c r="C17" s="2" t="s">
        <v>214</v>
      </c>
      <c r="D17" s="24">
        <v>0.03</v>
      </c>
      <c r="E17" s="24">
        <v>0.09</v>
      </c>
      <c r="F17" s="24">
        <v>0.11</v>
      </c>
      <c r="G17" s="24">
        <v>0.13</v>
      </c>
      <c r="H17" s="24">
        <v>0.2</v>
      </c>
      <c r="J17" s="24"/>
      <c r="K17" s="24"/>
      <c r="L17" s="24"/>
      <c r="M17" s="24"/>
      <c r="N17" s="24"/>
    </row>
    <row r="18" spans="1:14" x14ac:dyDescent="0.25">
      <c r="A18" t="s">
        <v>278</v>
      </c>
      <c r="B18" t="s">
        <v>102</v>
      </c>
      <c r="C18" s="2" t="s">
        <v>215</v>
      </c>
      <c r="D18" s="24">
        <v>0.03</v>
      </c>
      <c r="E18" s="24">
        <v>0.08</v>
      </c>
      <c r="F18" s="24">
        <v>0.1</v>
      </c>
      <c r="G18" s="24">
        <v>0.12</v>
      </c>
      <c r="H18" s="24">
        <v>0.19</v>
      </c>
      <c r="J18" s="24"/>
      <c r="K18" s="24"/>
      <c r="L18" s="24"/>
      <c r="M18" s="24"/>
      <c r="N18" s="24"/>
    </row>
    <row r="19" spans="1:14" x14ac:dyDescent="0.25">
      <c r="A19" t="s">
        <v>279</v>
      </c>
      <c r="B19" t="s">
        <v>102</v>
      </c>
      <c r="C19" s="2" t="s">
        <v>216</v>
      </c>
      <c r="D19" s="24">
        <v>0.02</v>
      </c>
      <c r="E19" s="24">
        <v>7.0000000000000007E-2</v>
      </c>
      <c r="F19" s="24">
        <v>0.09</v>
      </c>
      <c r="G19" s="24">
        <v>0.11</v>
      </c>
      <c r="H19" s="24">
        <v>0.18</v>
      </c>
      <c r="J19" s="24"/>
      <c r="K19" s="24"/>
      <c r="L19" s="24"/>
      <c r="M19" s="24"/>
      <c r="N19" s="24"/>
    </row>
    <row r="20" spans="1:14" x14ac:dyDescent="0.25">
      <c r="A20" t="s">
        <v>280</v>
      </c>
      <c r="B20" t="s">
        <v>102</v>
      </c>
      <c r="C20" s="2" t="s">
        <v>270</v>
      </c>
      <c r="D20" s="24">
        <v>0.02</v>
      </c>
      <c r="E20" s="24">
        <v>0.06</v>
      </c>
      <c r="F20" s="24">
        <v>0.08</v>
      </c>
      <c r="G20" s="24">
        <v>0.1</v>
      </c>
      <c r="H20" s="24">
        <v>0.16</v>
      </c>
      <c r="J20" s="24"/>
      <c r="K20" s="24"/>
      <c r="L20" s="24"/>
      <c r="M20" s="24"/>
      <c r="N20" s="24"/>
    </row>
    <row r="21" spans="1:14" x14ac:dyDescent="0.25">
      <c r="A21" t="s">
        <v>281</v>
      </c>
      <c r="B21" t="s">
        <v>102</v>
      </c>
      <c r="C21" s="2" t="s">
        <v>271</v>
      </c>
      <c r="D21" s="24">
        <v>0.02</v>
      </c>
      <c r="E21" s="24">
        <v>0.05</v>
      </c>
      <c r="F21" s="24">
        <v>0.06</v>
      </c>
      <c r="G21" s="24">
        <v>0.09</v>
      </c>
      <c r="H21" s="24">
        <v>0.13</v>
      </c>
      <c r="J21" s="24"/>
      <c r="K21" s="24"/>
      <c r="L21" s="24"/>
      <c r="M21" s="24"/>
      <c r="N21" s="24"/>
    </row>
    <row r="22" spans="1:14" x14ac:dyDescent="0.25">
      <c r="A22" t="s">
        <v>282</v>
      </c>
      <c r="B22" t="s">
        <v>100</v>
      </c>
      <c r="C22" s="2" t="s">
        <v>214</v>
      </c>
      <c r="D22" s="24">
        <v>0.03</v>
      </c>
      <c r="E22" s="24">
        <v>0.09</v>
      </c>
      <c r="F22" s="24">
        <v>0.11</v>
      </c>
      <c r="G22" s="24">
        <v>0.14000000000000001</v>
      </c>
      <c r="H22" s="24">
        <v>0.21</v>
      </c>
      <c r="J22" s="24"/>
      <c r="K22" s="24"/>
      <c r="L22" s="24"/>
      <c r="M22" s="24"/>
      <c r="N22" s="24"/>
    </row>
    <row r="23" spans="1:14" x14ac:dyDescent="0.25">
      <c r="A23" t="s">
        <v>283</v>
      </c>
      <c r="B23" t="s">
        <v>100</v>
      </c>
      <c r="C23" s="2" t="s">
        <v>215</v>
      </c>
      <c r="D23" s="24">
        <v>0.03</v>
      </c>
      <c r="E23" s="24">
        <v>0.08</v>
      </c>
      <c r="F23" s="24">
        <v>0.1</v>
      </c>
      <c r="G23" s="24">
        <v>0.12</v>
      </c>
      <c r="H23" s="24">
        <v>0.17</v>
      </c>
      <c r="J23" s="24"/>
      <c r="K23" s="24"/>
      <c r="L23" s="24"/>
      <c r="M23" s="24"/>
      <c r="N23" s="24"/>
    </row>
    <row r="24" spans="1:14" x14ac:dyDescent="0.25">
      <c r="A24" t="s">
        <v>284</v>
      </c>
      <c r="B24" t="s">
        <v>100</v>
      </c>
      <c r="C24" s="2" t="s">
        <v>216</v>
      </c>
      <c r="D24" s="24">
        <v>0.03</v>
      </c>
      <c r="E24" s="24">
        <v>7.0000000000000007E-2</v>
      </c>
      <c r="F24" s="24">
        <v>0.09</v>
      </c>
      <c r="G24" s="24">
        <v>0.11</v>
      </c>
      <c r="H24" s="24">
        <v>0.16</v>
      </c>
      <c r="J24" s="24"/>
      <c r="K24" s="24"/>
      <c r="L24" s="24"/>
      <c r="M24" s="24"/>
      <c r="N24" s="24"/>
    </row>
    <row r="25" spans="1:14" x14ac:dyDescent="0.25">
      <c r="A25" t="s">
        <v>285</v>
      </c>
      <c r="B25" t="s">
        <v>100</v>
      </c>
      <c r="C25" s="2" t="s">
        <v>270</v>
      </c>
      <c r="D25" s="24">
        <v>0.02</v>
      </c>
      <c r="E25" s="24">
        <v>7.0000000000000007E-2</v>
      </c>
      <c r="F25" s="24">
        <v>0.08</v>
      </c>
      <c r="G25" s="24">
        <v>0.1</v>
      </c>
      <c r="H25" s="24">
        <v>0.15</v>
      </c>
      <c r="J25" s="24"/>
      <c r="K25" s="24"/>
      <c r="L25" s="24"/>
      <c r="M25" s="24"/>
      <c r="N25" s="24"/>
    </row>
    <row r="26" spans="1:14" x14ac:dyDescent="0.25">
      <c r="A26" t="s">
        <v>286</v>
      </c>
      <c r="B26" t="s">
        <v>100</v>
      </c>
      <c r="C26" s="2" t="s">
        <v>271</v>
      </c>
      <c r="D26" s="24">
        <v>0</v>
      </c>
      <c r="E26" s="24">
        <v>0.05</v>
      </c>
      <c r="F26" s="24">
        <v>7.0000000000000007E-2</v>
      </c>
      <c r="G26" s="24">
        <v>0.1</v>
      </c>
      <c r="H26" s="24">
        <v>0.16</v>
      </c>
      <c r="J26" s="24"/>
      <c r="K26" s="24"/>
      <c r="L26" s="24"/>
      <c r="M26" s="24"/>
      <c r="N26" s="24"/>
    </row>
    <row r="27" spans="1:14" x14ac:dyDescent="0.25">
      <c r="A27" t="s">
        <v>287</v>
      </c>
      <c r="B27" t="s">
        <v>104</v>
      </c>
      <c r="C27" s="2" t="s">
        <v>214</v>
      </c>
      <c r="D27" s="24">
        <v>0.04</v>
      </c>
      <c r="E27" s="24">
        <v>0.1</v>
      </c>
      <c r="F27" s="24">
        <v>0.12</v>
      </c>
      <c r="G27" s="24">
        <v>0.14000000000000001</v>
      </c>
      <c r="H27" s="24">
        <v>0.19</v>
      </c>
      <c r="J27" s="24"/>
      <c r="K27" s="24"/>
      <c r="L27" s="24"/>
      <c r="M27" s="24"/>
      <c r="N27" s="24"/>
    </row>
    <row r="28" spans="1:14" x14ac:dyDescent="0.25">
      <c r="A28" t="s">
        <v>288</v>
      </c>
      <c r="B28" t="s">
        <v>104</v>
      </c>
      <c r="C28" s="2" t="s">
        <v>215</v>
      </c>
      <c r="D28" s="24">
        <v>0.04</v>
      </c>
      <c r="E28" s="24">
        <v>0.1</v>
      </c>
      <c r="F28" s="24">
        <v>0.11</v>
      </c>
      <c r="G28" s="24">
        <v>0.14000000000000001</v>
      </c>
      <c r="H28" s="24">
        <v>0.2</v>
      </c>
      <c r="J28" s="24"/>
      <c r="K28" s="24"/>
      <c r="L28" s="24"/>
      <c r="M28" s="24"/>
      <c r="N28" s="24"/>
    </row>
    <row r="29" spans="1:14" x14ac:dyDescent="0.25">
      <c r="A29" t="s">
        <v>289</v>
      </c>
      <c r="B29" t="s">
        <v>104</v>
      </c>
      <c r="C29" s="2" t="s">
        <v>216</v>
      </c>
      <c r="D29" s="24">
        <v>0.05</v>
      </c>
      <c r="E29" s="24">
        <v>0.1</v>
      </c>
      <c r="F29" s="24">
        <v>0.11</v>
      </c>
      <c r="G29" s="24">
        <v>0.13</v>
      </c>
      <c r="H29" s="24">
        <v>0.17</v>
      </c>
      <c r="J29" s="24"/>
      <c r="K29" s="24"/>
      <c r="L29" s="24"/>
      <c r="M29" s="24"/>
      <c r="N29" s="24"/>
    </row>
    <row r="30" spans="1:14" x14ac:dyDescent="0.25">
      <c r="A30" t="s">
        <v>290</v>
      </c>
      <c r="B30" t="s">
        <v>104</v>
      </c>
      <c r="C30" s="2" t="s">
        <v>270</v>
      </c>
      <c r="D30" s="24">
        <v>0.06</v>
      </c>
      <c r="E30" s="24">
        <v>0.09</v>
      </c>
      <c r="F30" s="24">
        <v>0.11</v>
      </c>
      <c r="G30" s="24">
        <v>0.12</v>
      </c>
      <c r="H30" s="24">
        <v>0.16</v>
      </c>
      <c r="J30" s="24"/>
      <c r="K30" s="24"/>
      <c r="L30" s="24"/>
      <c r="M30" s="24"/>
      <c r="N30" s="24"/>
    </row>
    <row r="31" spans="1:14" x14ac:dyDescent="0.25">
      <c r="A31" t="s">
        <v>291</v>
      </c>
      <c r="B31" t="s">
        <v>104</v>
      </c>
      <c r="C31" s="2" t="s">
        <v>271</v>
      </c>
      <c r="D31" s="24">
        <v>7.0000000000000007E-2</v>
      </c>
      <c r="E31" s="24">
        <v>0.1</v>
      </c>
      <c r="F31" s="24">
        <v>0.11</v>
      </c>
      <c r="G31" s="24">
        <v>0.11</v>
      </c>
      <c r="H31" s="24">
        <v>0.14000000000000001</v>
      </c>
      <c r="J31" s="24"/>
      <c r="K31" s="24"/>
      <c r="L31" s="24"/>
      <c r="M31" s="24"/>
      <c r="N31" s="24"/>
    </row>
    <row r="32" spans="1:14" x14ac:dyDescent="0.25">
      <c r="A32" t="s">
        <v>292</v>
      </c>
      <c r="B32" t="s">
        <v>98</v>
      </c>
      <c r="C32" s="2" t="s">
        <v>214</v>
      </c>
      <c r="D32" s="24">
        <v>0.05</v>
      </c>
      <c r="E32" s="24">
        <v>0.08</v>
      </c>
      <c r="F32" s="24">
        <v>0.1</v>
      </c>
      <c r="G32" s="24">
        <v>0.12</v>
      </c>
      <c r="H32" s="24">
        <v>0.18</v>
      </c>
      <c r="J32" s="24"/>
      <c r="K32" s="24"/>
      <c r="L32" s="24"/>
      <c r="M32" s="24"/>
      <c r="N32" s="24"/>
    </row>
    <row r="33" spans="1:14" x14ac:dyDescent="0.25">
      <c r="A33" t="s">
        <v>293</v>
      </c>
      <c r="B33" t="s">
        <v>98</v>
      </c>
      <c r="C33" s="2" t="s">
        <v>215</v>
      </c>
      <c r="D33" s="24">
        <v>0.04</v>
      </c>
      <c r="E33" s="24">
        <v>0.08</v>
      </c>
      <c r="F33" s="24">
        <v>0.1</v>
      </c>
      <c r="G33" s="24">
        <v>0.11</v>
      </c>
      <c r="H33" s="24">
        <v>0.16</v>
      </c>
      <c r="J33" s="24"/>
      <c r="K33" s="24"/>
      <c r="L33" s="24"/>
      <c r="M33" s="24"/>
      <c r="N33" s="24"/>
    </row>
    <row r="34" spans="1:14" x14ac:dyDescent="0.25">
      <c r="A34" t="s">
        <v>294</v>
      </c>
      <c r="B34" t="s">
        <v>98</v>
      </c>
      <c r="C34" s="2" t="s">
        <v>216</v>
      </c>
      <c r="D34" s="24">
        <v>0.04</v>
      </c>
      <c r="E34" s="24">
        <v>0.08</v>
      </c>
      <c r="F34" s="24">
        <v>0.09</v>
      </c>
      <c r="G34" s="24">
        <v>0.11</v>
      </c>
      <c r="H34" s="24">
        <v>0.15</v>
      </c>
      <c r="J34" s="24"/>
      <c r="K34" s="24"/>
      <c r="L34" s="24"/>
      <c r="M34" s="24"/>
      <c r="N34" s="24"/>
    </row>
    <row r="35" spans="1:14" x14ac:dyDescent="0.25">
      <c r="A35" t="s">
        <v>295</v>
      </c>
      <c r="B35" t="s">
        <v>98</v>
      </c>
      <c r="C35" s="2" t="s">
        <v>270</v>
      </c>
      <c r="D35" s="24">
        <v>0.04</v>
      </c>
      <c r="E35" s="24">
        <v>0.08</v>
      </c>
      <c r="F35" s="24">
        <v>0.09</v>
      </c>
      <c r="G35" s="24">
        <v>0.11</v>
      </c>
      <c r="H35" s="24">
        <v>0.16</v>
      </c>
      <c r="J35" s="24"/>
      <c r="K35" s="24"/>
      <c r="L35" s="24"/>
      <c r="M35" s="24"/>
      <c r="N35" s="24"/>
    </row>
    <row r="36" spans="1:14" x14ac:dyDescent="0.25">
      <c r="A36" t="s">
        <v>296</v>
      </c>
      <c r="B36" t="s">
        <v>98</v>
      </c>
      <c r="C36" s="2" t="s">
        <v>271</v>
      </c>
      <c r="D36" s="24">
        <v>0.02</v>
      </c>
      <c r="E36" s="24">
        <v>0.06</v>
      </c>
      <c r="F36" s="24">
        <v>0.08</v>
      </c>
      <c r="G36" s="24">
        <v>0.1</v>
      </c>
      <c r="H36" s="24">
        <v>0.15</v>
      </c>
      <c r="J36" s="24"/>
      <c r="K36" s="24"/>
      <c r="L36" s="24"/>
      <c r="M36" s="24"/>
      <c r="N36" s="24"/>
    </row>
    <row r="37" spans="1:14" x14ac:dyDescent="0.25">
      <c r="A37" t="s">
        <v>297</v>
      </c>
      <c r="B37" t="s">
        <v>95</v>
      </c>
      <c r="C37" s="2" t="s">
        <v>214</v>
      </c>
      <c r="D37" s="24">
        <v>0.02</v>
      </c>
      <c r="E37" s="24">
        <v>0.08</v>
      </c>
      <c r="F37" s="24">
        <v>0.1</v>
      </c>
      <c r="G37" s="24">
        <v>0.13</v>
      </c>
      <c r="H37" s="24">
        <v>0.18</v>
      </c>
      <c r="J37" s="24"/>
      <c r="K37" s="24"/>
      <c r="L37" s="24"/>
      <c r="M37" s="24"/>
      <c r="N37" s="24"/>
    </row>
    <row r="38" spans="1:14" x14ac:dyDescent="0.25">
      <c r="A38" t="s">
        <v>298</v>
      </c>
      <c r="B38" t="s">
        <v>95</v>
      </c>
      <c r="C38" s="2" t="s">
        <v>215</v>
      </c>
      <c r="D38" s="24">
        <v>0.04</v>
      </c>
      <c r="E38" s="24">
        <v>0.08</v>
      </c>
      <c r="F38" s="24">
        <v>0.1</v>
      </c>
      <c r="G38" s="24">
        <v>0.12</v>
      </c>
      <c r="H38" s="24">
        <v>0.18</v>
      </c>
      <c r="J38" s="24"/>
      <c r="K38" s="24"/>
      <c r="L38" s="24"/>
      <c r="M38" s="24"/>
      <c r="N38" s="24"/>
    </row>
    <row r="39" spans="1:14" x14ac:dyDescent="0.25">
      <c r="A39" t="s">
        <v>299</v>
      </c>
      <c r="B39" t="s">
        <v>95</v>
      </c>
      <c r="C39" s="2" t="s">
        <v>216</v>
      </c>
      <c r="D39" s="24">
        <v>0.02</v>
      </c>
      <c r="E39" s="24">
        <v>0.08</v>
      </c>
      <c r="F39" s="24">
        <v>0.09</v>
      </c>
      <c r="G39" s="24">
        <v>0.12</v>
      </c>
      <c r="H39" s="24">
        <v>0.18</v>
      </c>
      <c r="J39" s="24"/>
      <c r="K39" s="24"/>
      <c r="L39" s="24"/>
      <c r="M39" s="24"/>
      <c r="N39" s="24"/>
    </row>
    <row r="40" spans="1:14" x14ac:dyDescent="0.25">
      <c r="A40" t="s">
        <v>300</v>
      </c>
      <c r="B40" t="s">
        <v>95</v>
      </c>
      <c r="C40" s="2" t="s">
        <v>270</v>
      </c>
      <c r="D40" s="24">
        <v>0.01</v>
      </c>
      <c r="E40" s="24">
        <v>7.0000000000000007E-2</v>
      </c>
      <c r="F40" s="24">
        <v>0.09</v>
      </c>
      <c r="G40" s="24">
        <v>0.11</v>
      </c>
      <c r="H40" s="24">
        <v>0.17</v>
      </c>
      <c r="J40" s="24"/>
      <c r="K40" s="24"/>
      <c r="L40" s="24"/>
      <c r="M40" s="24"/>
      <c r="N40" s="24"/>
    </row>
    <row r="41" spans="1:14" x14ac:dyDescent="0.25">
      <c r="A41" t="s">
        <v>301</v>
      </c>
      <c r="B41" t="s">
        <v>95</v>
      </c>
      <c r="C41" s="2" t="s">
        <v>271</v>
      </c>
      <c r="D41" s="24">
        <v>0.03</v>
      </c>
      <c r="E41" s="24">
        <v>7.0000000000000007E-2</v>
      </c>
      <c r="F41" s="24">
        <v>0.09</v>
      </c>
      <c r="G41" s="24">
        <v>0.11</v>
      </c>
      <c r="H41" s="24">
        <v>0.16</v>
      </c>
      <c r="J41" s="24"/>
      <c r="K41" s="24"/>
      <c r="L41" s="24"/>
      <c r="M41" s="24"/>
      <c r="N41" s="24"/>
    </row>
    <row r="42" spans="1:14" x14ac:dyDescent="0.25">
      <c r="A42" t="s">
        <v>302</v>
      </c>
      <c r="B42" t="s">
        <v>96</v>
      </c>
      <c r="C42" s="2" t="s">
        <v>214</v>
      </c>
      <c r="D42" s="24">
        <v>0.04</v>
      </c>
      <c r="E42" s="24">
        <v>0.1</v>
      </c>
      <c r="F42" s="24">
        <v>0.13</v>
      </c>
      <c r="G42" s="24">
        <v>0.16</v>
      </c>
      <c r="H42" s="24">
        <v>0.25</v>
      </c>
      <c r="J42" s="24"/>
      <c r="K42" s="24"/>
      <c r="L42" s="24"/>
      <c r="M42" s="24"/>
      <c r="N42" s="24"/>
    </row>
    <row r="43" spans="1:14" x14ac:dyDescent="0.25">
      <c r="A43" t="s">
        <v>303</v>
      </c>
      <c r="B43" t="s">
        <v>96</v>
      </c>
      <c r="C43" s="2" t="s">
        <v>215</v>
      </c>
      <c r="D43" s="24">
        <v>0.03</v>
      </c>
      <c r="E43" s="24">
        <v>0.11</v>
      </c>
      <c r="F43" s="24">
        <v>0.13</v>
      </c>
      <c r="G43" s="24">
        <v>0.16</v>
      </c>
      <c r="H43" s="24">
        <v>0.23</v>
      </c>
      <c r="J43" s="24"/>
      <c r="K43" s="24"/>
      <c r="L43" s="24"/>
      <c r="M43" s="24"/>
      <c r="N43" s="24"/>
    </row>
    <row r="44" spans="1:14" x14ac:dyDescent="0.25">
      <c r="A44" t="s">
        <v>304</v>
      </c>
      <c r="B44" t="s">
        <v>96</v>
      </c>
      <c r="C44" s="2" t="s">
        <v>216</v>
      </c>
      <c r="D44" s="24">
        <v>0.02</v>
      </c>
      <c r="E44" s="24">
        <v>0.09</v>
      </c>
      <c r="F44" s="24">
        <v>0.11</v>
      </c>
      <c r="G44" s="24">
        <v>0.14000000000000001</v>
      </c>
      <c r="H44" s="24">
        <v>0.2</v>
      </c>
      <c r="J44" s="24"/>
      <c r="K44" s="24"/>
      <c r="L44" s="24"/>
      <c r="M44" s="24"/>
      <c r="N44" s="24"/>
    </row>
    <row r="45" spans="1:14" x14ac:dyDescent="0.25">
      <c r="A45" t="s">
        <v>305</v>
      </c>
      <c r="B45" t="s">
        <v>96</v>
      </c>
      <c r="C45" s="2" t="s">
        <v>270</v>
      </c>
      <c r="D45" s="24">
        <v>0.03</v>
      </c>
      <c r="E45" s="24">
        <v>0.08</v>
      </c>
      <c r="F45" s="24">
        <v>0.11</v>
      </c>
      <c r="G45" s="24">
        <v>0.13</v>
      </c>
      <c r="H45" s="24">
        <v>0.2</v>
      </c>
      <c r="J45" s="24"/>
      <c r="K45" s="24"/>
      <c r="L45" s="24"/>
      <c r="M45" s="24"/>
      <c r="N45" s="24"/>
    </row>
    <row r="46" spans="1:14" x14ac:dyDescent="0.25">
      <c r="A46" t="s">
        <v>306</v>
      </c>
      <c r="B46" t="s">
        <v>96</v>
      </c>
      <c r="C46" s="2" t="s">
        <v>271</v>
      </c>
      <c r="D46" s="24">
        <v>0.03</v>
      </c>
      <c r="E46" s="24">
        <v>0.08</v>
      </c>
      <c r="F46" s="24">
        <v>0.11</v>
      </c>
      <c r="G46" s="24">
        <v>0.12</v>
      </c>
      <c r="H46" s="24">
        <v>0.19</v>
      </c>
      <c r="J46" s="24"/>
      <c r="K46" s="24"/>
      <c r="L46" s="24"/>
      <c r="M46" s="24"/>
      <c r="N46" s="24"/>
    </row>
    <row r="47" spans="1:14" x14ac:dyDescent="0.25">
      <c r="A47" t="s">
        <v>307</v>
      </c>
      <c r="B47" t="s">
        <v>101</v>
      </c>
      <c r="C47" s="2" t="s">
        <v>214</v>
      </c>
      <c r="D47" s="24">
        <v>0.04</v>
      </c>
      <c r="E47" s="24">
        <v>0.09</v>
      </c>
      <c r="F47" s="24">
        <v>0.1</v>
      </c>
      <c r="G47" s="24">
        <v>0.13</v>
      </c>
      <c r="H47" s="24">
        <v>0.18</v>
      </c>
      <c r="J47" s="24"/>
      <c r="K47" s="24"/>
      <c r="L47" s="24"/>
      <c r="M47" s="24"/>
      <c r="N47" s="24"/>
    </row>
    <row r="48" spans="1:14" x14ac:dyDescent="0.25">
      <c r="A48" t="s">
        <v>308</v>
      </c>
      <c r="B48" t="s">
        <v>101</v>
      </c>
      <c r="C48" s="2" t="s">
        <v>215</v>
      </c>
      <c r="D48" s="24">
        <v>0.04</v>
      </c>
      <c r="E48" s="24">
        <v>0.08</v>
      </c>
      <c r="F48" s="24">
        <v>0.1</v>
      </c>
      <c r="G48" s="24">
        <v>0.12</v>
      </c>
      <c r="H48" s="24">
        <v>0.18</v>
      </c>
      <c r="J48" s="24"/>
      <c r="K48" s="24"/>
      <c r="L48" s="24"/>
      <c r="M48" s="24"/>
      <c r="N48" s="24"/>
    </row>
    <row r="49" spans="1:14" x14ac:dyDescent="0.25">
      <c r="A49" t="s">
        <v>309</v>
      </c>
      <c r="B49" t="s">
        <v>101</v>
      </c>
      <c r="C49" s="2" t="s">
        <v>216</v>
      </c>
      <c r="D49" s="24">
        <v>0.04</v>
      </c>
      <c r="E49" s="24">
        <v>0.08</v>
      </c>
      <c r="F49" s="24">
        <v>0.09</v>
      </c>
      <c r="G49" s="24">
        <v>0.11</v>
      </c>
      <c r="H49" s="24">
        <v>0.15</v>
      </c>
      <c r="J49" s="24"/>
      <c r="K49" s="24"/>
      <c r="L49" s="24"/>
      <c r="M49" s="24"/>
      <c r="N49" s="24"/>
    </row>
    <row r="50" spans="1:14" x14ac:dyDescent="0.25">
      <c r="A50" t="s">
        <v>310</v>
      </c>
      <c r="B50" t="s">
        <v>101</v>
      </c>
      <c r="C50" s="2" t="s">
        <v>270</v>
      </c>
      <c r="D50" s="24">
        <v>0.04</v>
      </c>
      <c r="E50" s="24">
        <v>0.08</v>
      </c>
      <c r="F50" s="24">
        <v>0.09</v>
      </c>
      <c r="G50" s="24">
        <v>0.1</v>
      </c>
      <c r="H50" s="24">
        <v>0.15</v>
      </c>
      <c r="J50" s="24"/>
      <c r="K50" s="24"/>
      <c r="L50" s="24"/>
      <c r="M50" s="24"/>
      <c r="N50" s="24"/>
    </row>
    <row r="51" spans="1:14" x14ac:dyDescent="0.25">
      <c r="A51" t="s">
        <v>311</v>
      </c>
      <c r="B51" t="s">
        <v>101</v>
      </c>
      <c r="C51" s="2" t="s">
        <v>271</v>
      </c>
      <c r="D51" s="24">
        <v>0.03</v>
      </c>
      <c r="E51" s="24">
        <v>7.0000000000000007E-2</v>
      </c>
      <c r="F51" s="24">
        <v>0.08</v>
      </c>
      <c r="G51" s="24">
        <v>0.09</v>
      </c>
      <c r="H51" s="24">
        <v>0.13</v>
      </c>
      <c r="J51" s="24"/>
      <c r="K51" s="24"/>
      <c r="L51" s="24"/>
      <c r="M51" s="24"/>
      <c r="N51" s="24"/>
    </row>
    <row r="52" spans="1:14" x14ac:dyDescent="0.25">
      <c r="A52" t="s">
        <v>312</v>
      </c>
      <c r="B52" t="s">
        <v>97</v>
      </c>
      <c r="C52" s="2" t="s">
        <v>214</v>
      </c>
      <c r="D52" s="24">
        <v>0.04</v>
      </c>
      <c r="E52" s="24">
        <v>0.09</v>
      </c>
      <c r="F52" s="24">
        <v>0.1</v>
      </c>
      <c r="G52" s="24">
        <v>0.13</v>
      </c>
      <c r="H52" s="24">
        <v>0.17</v>
      </c>
      <c r="J52" s="24"/>
      <c r="K52" s="24"/>
      <c r="L52" s="24"/>
      <c r="M52" s="24"/>
      <c r="N52" s="24"/>
    </row>
    <row r="53" spans="1:14" x14ac:dyDescent="0.25">
      <c r="A53" t="s">
        <v>313</v>
      </c>
      <c r="B53" t="s">
        <v>97</v>
      </c>
      <c r="C53" s="2" t="s">
        <v>215</v>
      </c>
      <c r="D53" s="24">
        <v>0.05</v>
      </c>
      <c r="E53" s="24">
        <v>0.09</v>
      </c>
      <c r="F53" s="24">
        <v>0.1</v>
      </c>
      <c r="G53" s="24">
        <v>0.12</v>
      </c>
      <c r="H53" s="24">
        <v>0.16</v>
      </c>
      <c r="J53" s="24"/>
      <c r="K53" s="24"/>
      <c r="L53" s="24"/>
      <c r="M53" s="24"/>
      <c r="N53" s="24"/>
    </row>
    <row r="54" spans="1:14" x14ac:dyDescent="0.25">
      <c r="A54" t="s">
        <v>314</v>
      </c>
      <c r="B54" t="s">
        <v>97</v>
      </c>
      <c r="C54" s="2" t="s">
        <v>216</v>
      </c>
      <c r="D54" s="24">
        <v>0.04</v>
      </c>
      <c r="E54" s="24">
        <v>0.08</v>
      </c>
      <c r="F54" s="24">
        <v>0.1</v>
      </c>
      <c r="G54" s="24">
        <v>0.11</v>
      </c>
      <c r="H54" s="24">
        <v>0.16</v>
      </c>
      <c r="J54" s="24"/>
      <c r="K54" s="24"/>
      <c r="L54" s="24"/>
      <c r="M54" s="24"/>
      <c r="N54" s="24"/>
    </row>
    <row r="55" spans="1:14" x14ac:dyDescent="0.25">
      <c r="A55" t="s">
        <v>315</v>
      </c>
      <c r="B55" t="s">
        <v>97</v>
      </c>
      <c r="C55" s="2" t="s">
        <v>270</v>
      </c>
      <c r="D55" s="24">
        <v>0.02</v>
      </c>
      <c r="E55" s="24">
        <v>7.0000000000000007E-2</v>
      </c>
      <c r="F55" s="24">
        <v>0.09</v>
      </c>
      <c r="G55" s="24">
        <v>0.11</v>
      </c>
      <c r="H55" s="24">
        <v>0.16</v>
      </c>
      <c r="J55" s="24"/>
      <c r="K55" s="24"/>
      <c r="L55" s="24"/>
      <c r="M55" s="24"/>
      <c r="N55" s="24"/>
    </row>
    <row r="56" spans="1:14" x14ac:dyDescent="0.25">
      <c r="A56" t="s">
        <v>316</v>
      </c>
      <c r="B56" t="s">
        <v>97</v>
      </c>
      <c r="C56" s="2" t="s">
        <v>271</v>
      </c>
      <c r="D56" s="24">
        <v>0.03</v>
      </c>
      <c r="E56" s="24">
        <v>7.0000000000000007E-2</v>
      </c>
      <c r="F56" s="24">
        <v>0.08</v>
      </c>
      <c r="G56" s="24">
        <v>0.1</v>
      </c>
      <c r="H56" s="24">
        <v>0.15</v>
      </c>
      <c r="J56" s="24"/>
      <c r="K56" s="24"/>
      <c r="L56" s="24"/>
      <c r="M56" s="24"/>
      <c r="N56" s="24"/>
    </row>
    <row r="57" spans="1:14" x14ac:dyDescent="0.25">
      <c r="A57" t="s">
        <v>317</v>
      </c>
      <c r="B57" t="s">
        <v>93</v>
      </c>
      <c r="C57" s="2" t="s">
        <v>214</v>
      </c>
      <c r="D57" s="24">
        <v>0.04</v>
      </c>
      <c r="E57" s="24">
        <v>0.08</v>
      </c>
      <c r="F57" s="24">
        <v>0.1</v>
      </c>
      <c r="G57" s="24">
        <v>0.12</v>
      </c>
      <c r="H57" s="24">
        <v>0.17</v>
      </c>
      <c r="J57" s="24"/>
      <c r="K57" s="24"/>
      <c r="L57" s="24"/>
      <c r="M57" s="24"/>
      <c r="N57" s="24"/>
    </row>
    <row r="58" spans="1:14" x14ac:dyDescent="0.25">
      <c r="A58" t="s">
        <v>318</v>
      </c>
      <c r="B58" t="s">
        <v>93</v>
      </c>
      <c r="C58" s="2" t="s">
        <v>215</v>
      </c>
      <c r="D58" s="24">
        <v>0.04</v>
      </c>
      <c r="E58" s="24">
        <v>0.08</v>
      </c>
      <c r="F58" s="24">
        <v>0.1</v>
      </c>
      <c r="G58" s="24">
        <v>0.11</v>
      </c>
      <c r="H58" s="24">
        <v>0.15</v>
      </c>
      <c r="J58" s="24"/>
      <c r="K58" s="24"/>
      <c r="L58" s="24"/>
      <c r="M58" s="24"/>
      <c r="N58" s="24"/>
    </row>
    <row r="59" spans="1:14" x14ac:dyDescent="0.25">
      <c r="A59" t="s">
        <v>319</v>
      </c>
      <c r="B59" t="s">
        <v>93</v>
      </c>
      <c r="C59" s="2" t="s">
        <v>216</v>
      </c>
      <c r="D59" s="24">
        <v>0.05</v>
      </c>
      <c r="E59" s="24">
        <v>0.08</v>
      </c>
      <c r="F59" s="24">
        <v>0.09</v>
      </c>
      <c r="G59" s="24">
        <v>0.1</v>
      </c>
      <c r="H59" s="24">
        <v>0.14000000000000001</v>
      </c>
      <c r="J59" s="24"/>
      <c r="K59" s="24"/>
      <c r="L59" s="24"/>
      <c r="M59" s="24"/>
      <c r="N59" s="24"/>
    </row>
    <row r="60" spans="1:14" x14ac:dyDescent="0.25">
      <c r="A60" t="s">
        <v>320</v>
      </c>
      <c r="B60" t="s">
        <v>93</v>
      </c>
      <c r="C60" s="2" t="s">
        <v>270</v>
      </c>
      <c r="D60" s="24">
        <v>0.03</v>
      </c>
      <c r="E60" s="24">
        <v>7.0000000000000007E-2</v>
      </c>
      <c r="F60" s="24">
        <v>0.08</v>
      </c>
      <c r="G60" s="24">
        <v>0.1</v>
      </c>
      <c r="H60" s="24">
        <v>0.14000000000000001</v>
      </c>
      <c r="J60" s="24"/>
      <c r="K60" s="24"/>
      <c r="L60" s="24"/>
      <c r="M60" s="24"/>
      <c r="N60" s="24"/>
    </row>
    <row r="61" spans="1:14" x14ac:dyDescent="0.25">
      <c r="A61" t="s">
        <v>321</v>
      </c>
      <c r="B61" t="s">
        <v>93</v>
      </c>
      <c r="C61" s="2" t="s">
        <v>271</v>
      </c>
      <c r="D61" s="24">
        <v>0.02</v>
      </c>
      <c r="E61" s="24">
        <v>0.06</v>
      </c>
      <c r="F61" s="24">
        <v>0.08</v>
      </c>
      <c r="G61" s="24">
        <v>0.09</v>
      </c>
      <c r="H61" s="24">
        <v>0.14000000000000001</v>
      </c>
      <c r="J61" s="24"/>
      <c r="K61" s="24"/>
      <c r="L61" s="24"/>
      <c r="M61" s="24"/>
      <c r="N61" s="24"/>
    </row>
    <row r="62" spans="1:14" x14ac:dyDescent="0.25">
      <c r="A62" t="s">
        <v>322</v>
      </c>
      <c r="B62" t="s">
        <v>105</v>
      </c>
      <c r="C62" s="2" t="s">
        <v>214</v>
      </c>
      <c r="D62" s="24">
        <v>0.03</v>
      </c>
      <c r="E62" s="24">
        <v>7.0000000000000007E-2</v>
      </c>
      <c r="F62" s="24">
        <v>0.08</v>
      </c>
      <c r="G62" s="24">
        <v>0.11</v>
      </c>
      <c r="H62" s="24">
        <v>0.17</v>
      </c>
      <c r="J62" s="24"/>
      <c r="K62" s="24"/>
      <c r="L62" s="24"/>
      <c r="M62" s="24"/>
      <c r="N62" s="24"/>
    </row>
    <row r="63" spans="1:14" x14ac:dyDescent="0.25">
      <c r="A63" t="s">
        <v>323</v>
      </c>
      <c r="B63" t="s">
        <v>105</v>
      </c>
      <c r="C63" s="2" t="s">
        <v>215</v>
      </c>
      <c r="D63" s="24">
        <v>0.03</v>
      </c>
      <c r="E63" s="24">
        <v>0.06</v>
      </c>
      <c r="F63" s="24">
        <v>0.08</v>
      </c>
      <c r="G63" s="24">
        <v>0.1</v>
      </c>
      <c r="H63" s="24">
        <v>0.15</v>
      </c>
      <c r="J63" s="24"/>
      <c r="K63" s="24"/>
      <c r="L63" s="24"/>
      <c r="M63" s="24"/>
      <c r="N63" s="24"/>
    </row>
    <row r="64" spans="1:14" x14ac:dyDescent="0.25">
      <c r="A64" t="s">
        <v>324</v>
      </c>
      <c r="B64" t="s">
        <v>105</v>
      </c>
      <c r="C64" s="2" t="s">
        <v>216</v>
      </c>
      <c r="D64" s="24">
        <v>0.02</v>
      </c>
      <c r="E64" s="24">
        <v>0.06</v>
      </c>
      <c r="F64" s="24">
        <v>0.08</v>
      </c>
      <c r="G64" s="24">
        <v>0.1</v>
      </c>
      <c r="H64" s="24">
        <v>0.16</v>
      </c>
      <c r="J64" s="24"/>
      <c r="K64" s="24"/>
      <c r="L64" s="24"/>
      <c r="M64" s="24"/>
      <c r="N64" s="24"/>
    </row>
    <row r="65" spans="1:14" x14ac:dyDescent="0.25">
      <c r="A65" t="s">
        <v>325</v>
      </c>
      <c r="B65" t="s">
        <v>105</v>
      </c>
      <c r="C65" s="2" t="s">
        <v>270</v>
      </c>
      <c r="D65" s="24">
        <v>0.02</v>
      </c>
      <c r="E65" s="24">
        <v>0.05</v>
      </c>
      <c r="F65" s="24">
        <v>0.09</v>
      </c>
      <c r="G65" s="24">
        <v>0.1</v>
      </c>
      <c r="H65" s="24">
        <v>0.17</v>
      </c>
      <c r="J65" s="24"/>
      <c r="K65" s="24"/>
      <c r="L65" s="24"/>
      <c r="M65" s="24"/>
      <c r="N65" s="24"/>
    </row>
    <row r="66" spans="1:14" x14ac:dyDescent="0.25">
      <c r="A66" t="s">
        <v>326</v>
      </c>
      <c r="B66" t="s">
        <v>105</v>
      </c>
      <c r="C66" s="2" t="s">
        <v>271</v>
      </c>
      <c r="D66" s="24">
        <v>0.01</v>
      </c>
      <c r="E66" s="24">
        <v>0.06</v>
      </c>
      <c r="F66" s="24">
        <v>0.08</v>
      </c>
      <c r="G66" s="24">
        <v>0.1</v>
      </c>
      <c r="H66" s="24">
        <v>0.15</v>
      </c>
      <c r="J66" s="24"/>
      <c r="K66" s="24"/>
      <c r="L66" s="24"/>
      <c r="M66" s="24"/>
      <c r="N66" s="24"/>
    </row>
    <row r="67" spans="1:14" x14ac:dyDescent="0.25">
      <c r="A67" t="s">
        <v>327</v>
      </c>
      <c r="B67" t="s">
        <v>92</v>
      </c>
      <c r="C67" s="2" t="s">
        <v>214</v>
      </c>
      <c r="D67" s="24">
        <v>0.04</v>
      </c>
      <c r="E67" s="24">
        <v>0.08</v>
      </c>
      <c r="F67" s="24">
        <v>0.1</v>
      </c>
      <c r="G67" s="24">
        <v>0.12</v>
      </c>
      <c r="H67" s="24">
        <v>0.17</v>
      </c>
      <c r="J67" s="24"/>
      <c r="K67" s="24"/>
      <c r="L67" s="24"/>
      <c r="M67" s="24"/>
      <c r="N67" s="24"/>
    </row>
    <row r="68" spans="1:14" x14ac:dyDescent="0.25">
      <c r="A68" t="s">
        <v>328</v>
      </c>
      <c r="B68" t="s">
        <v>92</v>
      </c>
      <c r="C68" s="2" t="s">
        <v>215</v>
      </c>
      <c r="D68" s="24">
        <v>0.04</v>
      </c>
      <c r="E68" s="24">
        <v>0.08</v>
      </c>
      <c r="F68" s="24">
        <v>0.09</v>
      </c>
      <c r="G68" s="24">
        <v>0.11</v>
      </c>
      <c r="H68" s="24">
        <v>0.15</v>
      </c>
      <c r="J68" s="24"/>
      <c r="K68" s="24"/>
      <c r="L68" s="24"/>
      <c r="M68" s="24"/>
      <c r="N68" s="24"/>
    </row>
    <row r="69" spans="1:14" x14ac:dyDescent="0.25">
      <c r="A69" t="s">
        <v>329</v>
      </c>
      <c r="B69" t="s">
        <v>92</v>
      </c>
      <c r="C69" s="2" t="s">
        <v>216</v>
      </c>
      <c r="D69" s="24">
        <v>0.03</v>
      </c>
      <c r="E69" s="24">
        <v>7.0000000000000007E-2</v>
      </c>
      <c r="F69" s="24">
        <v>0.09</v>
      </c>
      <c r="G69" s="24">
        <v>0.1</v>
      </c>
      <c r="H69" s="24">
        <v>0.15</v>
      </c>
      <c r="J69" s="24"/>
      <c r="K69" s="24"/>
      <c r="L69" s="24"/>
      <c r="M69" s="24"/>
      <c r="N69" s="24"/>
    </row>
    <row r="70" spans="1:14" x14ac:dyDescent="0.25">
      <c r="A70" t="s">
        <v>330</v>
      </c>
      <c r="B70" t="s">
        <v>92</v>
      </c>
      <c r="C70" s="2" t="s">
        <v>270</v>
      </c>
      <c r="D70" s="24">
        <v>0.03</v>
      </c>
      <c r="E70" s="24">
        <v>0.08</v>
      </c>
      <c r="F70" s="24">
        <v>0.09</v>
      </c>
      <c r="G70" s="24">
        <v>0.1</v>
      </c>
      <c r="H70" s="24">
        <v>0.15</v>
      </c>
      <c r="J70" s="24"/>
      <c r="K70" s="24"/>
      <c r="L70" s="24"/>
      <c r="M70" s="24"/>
      <c r="N70" s="24"/>
    </row>
    <row r="71" spans="1:14" x14ac:dyDescent="0.25">
      <c r="A71" t="s">
        <v>331</v>
      </c>
      <c r="B71" t="s">
        <v>92</v>
      </c>
      <c r="C71" s="2" t="s">
        <v>271</v>
      </c>
      <c r="D71" s="24">
        <v>0.02</v>
      </c>
      <c r="E71" s="24">
        <v>0.06</v>
      </c>
      <c r="F71" s="24">
        <v>0.08</v>
      </c>
      <c r="G71" s="24">
        <v>0.09</v>
      </c>
      <c r="H71" s="24">
        <v>0.14000000000000001</v>
      </c>
      <c r="J71" s="24"/>
      <c r="K71" s="24"/>
      <c r="L71" s="24"/>
      <c r="M71" s="24"/>
      <c r="N71" s="24"/>
    </row>
    <row r="72" spans="1:14" x14ac:dyDescent="0.25">
      <c r="A72" t="s">
        <v>332</v>
      </c>
      <c r="B72" t="s">
        <v>91</v>
      </c>
      <c r="C72" s="2" t="s">
        <v>214</v>
      </c>
      <c r="D72" s="24">
        <v>0.01</v>
      </c>
      <c r="E72" s="24">
        <v>7.0000000000000007E-2</v>
      </c>
      <c r="F72" s="24">
        <v>0.08</v>
      </c>
      <c r="G72" s="24">
        <v>0.11</v>
      </c>
      <c r="H72" s="24">
        <v>0.17</v>
      </c>
      <c r="J72" s="24"/>
      <c r="K72" s="24"/>
      <c r="L72" s="24"/>
      <c r="M72" s="24"/>
      <c r="N72" s="24"/>
    </row>
    <row r="73" spans="1:14" x14ac:dyDescent="0.25">
      <c r="A73" t="s">
        <v>333</v>
      </c>
      <c r="B73" t="s">
        <v>91</v>
      </c>
      <c r="C73" s="2" t="s">
        <v>215</v>
      </c>
      <c r="D73" s="24">
        <v>0.03</v>
      </c>
      <c r="E73" s="24">
        <v>7.0000000000000007E-2</v>
      </c>
      <c r="F73" s="24">
        <v>0.09</v>
      </c>
      <c r="G73" s="24">
        <v>0.11</v>
      </c>
      <c r="H73" s="24">
        <v>0.15</v>
      </c>
      <c r="J73" s="24"/>
      <c r="K73" s="24"/>
      <c r="L73" s="24"/>
      <c r="M73" s="24"/>
      <c r="N73" s="24"/>
    </row>
    <row r="74" spans="1:14" x14ac:dyDescent="0.25">
      <c r="A74" t="s">
        <v>334</v>
      </c>
      <c r="B74" t="s">
        <v>91</v>
      </c>
      <c r="C74" s="2" t="s">
        <v>216</v>
      </c>
      <c r="D74" s="24">
        <v>0.03</v>
      </c>
      <c r="E74" s="24">
        <v>0.06</v>
      </c>
      <c r="F74" s="24">
        <v>0.08</v>
      </c>
      <c r="G74" s="24">
        <v>0.1</v>
      </c>
      <c r="H74" s="24">
        <v>0.15</v>
      </c>
      <c r="J74" s="24"/>
      <c r="K74" s="24"/>
      <c r="L74" s="24"/>
      <c r="M74" s="24"/>
      <c r="N74" s="24"/>
    </row>
    <row r="75" spans="1:14" x14ac:dyDescent="0.25">
      <c r="A75" t="s">
        <v>335</v>
      </c>
      <c r="B75" t="s">
        <v>91</v>
      </c>
      <c r="C75" s="2" t="s">
        <v>270</v>
      </c>
      <c r="D75" s="24">
        <v>0.02</v>
      </c>
      <c r="E75" s="24">
        <v>0.06</v>
      </c>
      <c r="F75" s="24">
        <v>7.0000000000000007E-2</v>
      </c>
      <c r="G75" s="24">
        <v>0.09</v>
      </c>
      <c r="H75" s="24">
        <v>0.14000000000000001</v>
      </c>
      <c r="J75" s="24"/>
      <c r="K75" s="24"/>
      <c r="L75" s="24"/>
      <c r="M75" s="24"/>
      <c r="N75" s="24"/>
    </row>
    <row r="76" spans="1:14" x14ac:dyDescent="0.25">
      <c r="A76" t="s">
        <v>336</v>
      </c>
      <c r="B76" t="s">
        <v>91</v>
      </c>
      <c r="C76" s="2" t="s">
        <v>271</v>
      </c>
      <c r="D76" s="24">
        <v>0.01</v>
      </c>
      <c r="E76" s="24">
        <v>0.04</v>
      </c>
      <c r="F76" s="24">
        <v>0.06</v>
      </c>
      <c r="G76" s="24">
        <v>0.08</v>
      </c>
      <c r="H76" s="24">
        <v>0.13</v>
      </c>
      <c r="J76" s="24"/>
      <c r="K76" s="24"/>
      <c r="L76" s="24"/>
      <c r="M76" s="24"/>
      <c r="N76" s="24"/>
    </row>
    <row r="77" spans="1:14" x14ac:dyDescent="0.25">
      <c r="A77" t="s">
        <v>337</v>
      </c>
      <c r="B77" t="s">
        <v>90</v>
      </c>
      <c r="C77" s="2" t="s">
        <v>214</v>
      </c>
      <c r="D77" s="24">
        <v>0.02</v>
      </c>
      <c r="E77" s="24">
        <v>0.06</v>
      </c>
      <c r="F77" s="24">
        <v>7.0000000000000007E-2</v>
      </c>
      <c r="G77" s="24">
        <v>0.09</v>
      </c>
      <c r="H77" s="24">
        <v>0.13</v>
      </c>
      <c r="J77" s="24"/>
      <c r="K77" s="24"/>
      <c r="L77" s="24"/>
      <c r="M77" s="24"/>
      <c r="N77" s="24"/>
    </row>
    <row r="78" spans="1:14" x14ac:dyDescent="0.25">
      <c r="A78" t="s">
        <v>338</v>
      </c>
      <c r="B78" t="s">
        <v>90</v>
      </c>
      <c r="C78" s="2" t="s">
        <v>215</v>
      </c>
      <c r="D78" s="24">
        <v>0.01</v>
      </c>
      <c r="E78" s="24">
        <v>0.05</v>
      </c>
      <c r="F78" s="24">
        <v>7.0000000000000007E-2</v>
      </c>
      <c r="G78" s="24">
        <v>0.08</v>
      </c>
      <c r="H78" s="24">
        <v>0.13</v>
      </c>
      <c r="J78" s="24"/>
      <c r="K78" s="24"/>
      <c r="L78" s="24"/>
      <c r="M78" s="24"/>
      <c r="N78" s="24"/>
    </row>
    <row r="79" spans="1:14" x14ac:dyDescent="0.25">
      <c r="A79" t="s">
        <v>339</v>
      </c>
      <c r="B79" t="s">
        <v>90</v>
      </c>
      <c r="C79" s="2" t="s">
        <v>216</v>
      </c>
      <c r="D79" s="24">
        <v>0.01</v>
      </c>
      <c r="E79" s="24">
        <v>0.05</v>
      </c>
      <c r="F79" s="24">
        <v>7.0000000000000007E-2</v>
      </c>
      <c r="G79" s="24">
        <v>0.08</v>
      </c>
      <c r="H79" s="24">
        <v>0.12</v>
      </c>
      <c r="J79" s="24"/>
      <c r="K79" s="24"/>
      <c r="L79" s="24"/>
      <c r="M79" s="24"/>
      <c r="N79" s="24"/>
    </row>
    <row r="80" spans="1:14" x14ac:dyDescent="0.25">
      <c r="A80" t="s">
        <v>340</v>
      </c>
      <c r="B80" t="s">
        <v>90</v>
      </c>
      <c r="C80" s="2" t="s">
        <v>270</v>
      </c>
      <c r="D80" s="24">
        <v>0.01</v>
      </c>
      <c r="E80" s="24">
        <v>0.04</v>
      </c>
      <c r="F80" s="24">
        <v>0.06</v>
      </c>
      <c r="G80" s="24">
        <v>7.0000000000000007E-2</v>
      </c>
      <c r="H80" s="24">
        <v>0.11</v>
      </c>
      <c r="J80" s="24"/>
      <c r="K80" s="24"/>
      <c r="L80" s="24"/>
      <c r="M80" s="24"/>
      <c r="N80" s="24"/>
    </row>
    <row r="81" spans="1:14" x14ac:dyDescent="0.25">
      <c r="A81" t="s">
        <v>341</v>
      </c>
      <c r="B81" t="s">
        <v>90</v>
      </c>
      <c r="C81" s="2" t="s">
        <v>271</v>
      </c>
      <c r="D81" s="24">
        <v>0</v>
      </c>
      <c r="E81" s="24">
        <v>0.04</v>
      </c>
      <c r="F81" s="24">
        <v>0.05</v>
      </c>
      <c r="G81" s="24">
        <v>7.0000000000000007E-2</v>
      </c>
      <c r="H81" s="24">
        <v>0.1</v>
      </c>
      <c r="J81" s="24"/>
      <c r="K81" s="24"/>
      <c r="L81" s="24"/>
      <c r="M81" s="24"/>
      <c r="N81" s="24"/>
    </row>
    <row r="82" spans="1:14" x14ac:dyDescent="0.25">
      <c r="A82" t="s">
        <v>342</v>
      </c>
      <c r="B82" t="s">
        <v>89</v>
      </c>
      <c r="C82" s="2" t="s">
        <v>214</v>
      </c>
      <c r="D82" s="24">
        <v>0.02</v>
      </c>
      <c r="E82" s="24">
        <v>7.0000000000000007E-2</v>
      </c>
      <c r="F82" s="24">
        <v>0.09</v>
      </c>
      <c r="G82" s="24">
        <v>0.11</v>
      </c>
      <c r="H82" s="24">
        <v>0.17</v>
      </c>
      <c r="J82" s="24"/>
      <c r="K82" s="24"/>
      <c r="L82" s="24"/>
      <c r="M82" s="24"/>
      <c r="N82" s="24"/>
    </row>
    <row r="83" spans="1:14" x14ac:dyDescent="0.25">
      <c r="A83" t="s">
        <v>343</v>
      </c>
      <c r="B83" t="s">
        <v>89</v>
      </c>
      <c r="C83" s="2" t="s">
        <v>215</v>
      </c>
      <c r="D83" s="24">
        <v>0.03</v>
      </c>
      <c r="E83" s="24">
        <v>7.0000000000000007E-2</v>
      </c>
      <c r="F83" s="24">
        <v>0.09</v>
      </c>
      <c r="G83" s="24">
        <v>0.1</v>
      </c>
      <c r="H83" s="24">
        <v>0.15</v>
      </c>
      <c r="J83" s="24"/>
      <c r="K83" s="24"/>
      <c r="L83" s="24"/>
      <c r="M83" s="24"/>
      <c r="N83" s="24"/>
    </row>
    <row r="84" spans="1:14" x14ac:dyDescent="0.25">
      <c r="A84" t="s">
        <v>344</v>
      </c>
      <c r="B84" t="s">
        <v>89</v>
      </c>
      <c r="C84" s="2" t="s">
        <v>216</v>
      </c>
      <c r="D84" s="24">
        <v>0.03</v>
      </c>
      <c r="E84" s="24">
        <v>0.06</v>
      </c>
      <c r="F84" s="24">
        <v>0.08</v>
      </c>
      <c r="G84" s="24">
        <v>0.1</v>
      </c>
      <c r="H84" s="24">
        <v>0.16</v>
      </c>
      <c r="J84" s="24"/>
      <c r="K84" s="24"/>
      <c r="L84" s="24"/>
      <c r="M84" s="24"/>
      <c r="N84" s="24"/>
    </row>
    <row r="85" spans="1:14" x14ac:dyDescent="0.25">
      <c r="A85" t="s">
        <v>345</v>
      </c>
      <c r="B85" t="s">
        <v>89</v>
      </c>
      <c r="C85" s="2" t="s">
        <v>270</v>
      </c>
      <c r="D85" s="24">
        <v>0.01</v>
      </c>
      <c r="E85" s="24">
        <v>0.06</v>
      </c>
      <c r="F85" s="24">
        <v>0.08</v>
      </c>
      <c r="G85" s="24">
        <v>0.09</v>
      </c>
      <c r="H85" s="24">
        <v>0.14000000000000001</v>
      </c>
      <c r="J85" s="24"/>
      <c r="K85" s="24"/>
      <c r="L85" s="24"/>
      <c r="M85" s="24"/>
      <c r="N85" s="24"/>
    </row>
    <row r="86" spans="1:14" x14ac:dyDescent="0.25">
      <c r="A86" t="s">
        <v>346</v>
      </c>
      <c r="B86" t="s">
        <v>89</v>
      </c>
      <c r="C86" s="2" t="s">
        <v>271</v>
      </c>
      <c r="D86" s="24">
        <v>0.01</v>
      </c>
      <c r="E86" s="24">
        <v>0.05</v>
      </c>
      <c r="F86" s="24">
        <v>7.0000000000000007E-2</v>
      </c>
      <c r="G86" s="24">
        <v>0.09</v>
      </c>
      <c r="H86" s="24">
        <v>0.14000000000000001</v>
      </c>
      <c r="J86" s="24"/>
      <c r="K86" s="24"/>
      <c r="L86" s="24"/>
      <c r="M86" s="24"/>
      <c r="N86" s="24"/>
    </row>
    <row r="87" spans="1:14" x14ac:dyDescent="0.25">
      <c r="A87" t="s">
        <v>347</v>
      </c>
      <c r="B87" t="s">
        <v>94</v>
      </c>
      <c r="C87" s="2" t="s">
        <v>214</v>
      </c>
      <c r="D87" s="24">
        <v>0.01</v>
      </c>
      <c r="E87" s="24">
        <v>0.09</v>
      </c>
      <c r="F87" s="24">
        <v>0.12</v>
      </c>
      <c r="G87" s="24">
        <v>0.15</v>
      </c>
      <c r="H87" s="24">
        <v>0.24</v>
      </c>
      <c r="J87" s="24"/>
      <c r="K87" s="24"/>
      <c r="L87" s="24"/>
      <c r="M87" s="24"/>
      <c r="N87" s="24"/>
    </row>
    <row r="88" spans="1:14" x14ac:dyDescent="0.25">
      <c r="A88" t="s">
        <v>348</v>
      </c>
      <c r="B88" t="s">
        <v>94</v>
      </c>
      <c r="C88" s="2" t="s">
        <v>215</v>
      </c>
      <c r="D88" s="24">
        <v>0.05</v>
      </c>
      <c r="E88" s="24">
        <v>0.11</v>
      </c>
      <c r="F88" s="24">
        <v>0.13</v>
      </c>
      <c r="G88" s="24">
        <v>0.15</v>
      </c>
      <c r="H88" s="24">
        <v>0.21</v>
      </c>
      <c r="J88" s="24"/>
      <c r="K88" s="24"/>
      <c r="L88" s="24"/>
      <c r="M88" s="24"/>
      <c r="N88" s="24"/>
    </row>
    <row r="89" spans="1:14" x14ac:dyDescent="0.25">
      <c r="A89" t="s">
        <v>349</v>
      </c>
      <c r="B89" t="s">
        <v>94</v>
      </c>
      <c r="C89" s="2" t="s">
        <v>216</v>
      </c>
      <c r="D89" s="24">
        <v>0.04</v>
      </c>
      <c r="E89" s="24">
        <v>0.1</v>
      </c>
      <c r="F89" s="24">
        <v>0.12</v>
      </c>
      <c r="G89" s="24">
        <v>0.15</v>
      </c>
      <c r="H89" s="24">
        <v>0.21</v>
      </c>
      <c r="J89" s="24"/>
      <c r="K89" s="24"/>
      <c r="L89" s="24"/>
      <c r="M89" s="24"/>
      <c r="N89" s="24"/>
    </row>
    <row r="90" spans="1:14" x14ac:dyDescent="0.25">
      <c r="A90" t="s">
        <v>350</v>
      </c>
      <c r="B90" t="s">
        <v>94</v>
      </c>
      <c r="C90" s="2" t="s">
        <v>270</v>
      </c>
      <c r="D90" s="24">
        <v>0.05</v>
      </c>
      <c r="E90" s="24">
        <v>0.1</v>
      </c>
      <c r="F90" s="24">
        <v>0.12</v>
      </c>
      <c r="G90" s="24">
        <v>0.14000000000000001</v>
      </c>
      <c r="H90" s="24">
        <v>0.2</v>
      </c>
      <c r="J90" s="24"/>
      <c r="K90" s="24"/>
      <c r="L90" s="24"/>
      <c r="M90" s="24"/>
      <c r="N90" s="24"/>
    </row>
    <row r="91" spans="1:14" x14ac:dyDescent="0.25">
      <c r="A91" t="s">
        <v>351</v>
      </c>
      <c r="B91" t="s">
        <v>94</v>
      </c>
      <c r="C91" s="2" t="s">
        <v>271</v>
      </c>
      <c r="D91" s="24">
        <v>0.02</v>
      </c>
      <c r="E91" s="24">
        <v>7.0000000000000007E-2</v>
      </c>
      <c r="F91" s="24">
        <v>0.08</v>
      </c>
      <c r="G91" s="24">
        <v>0.1</v>
      </c>
      <c r="H91" s="24">
        <v>0.13</v>
      </c>
      <c r="J91" s="24"/>
      <c r="K91" s="24"/>
      <c r="L91" s="24"/>
      <c r="M91" s="24"/>
      <c r="N91" s="24"/>
    </row>
    <row r="92" spans="1:14" x14ac:dyDescent="0.25">
      <c r="A92" t="s">
        <v>352</v>
      </c>
      <c r="B92" t="s">
        <v>86</v>
      </c>
      <c r="C92" s="2" t="s">
        <v>214</v>
      </c>
      <c r="D92" s="24">
        <v>0.05</v>
      </c>
      <c r="E92" s="24">
        <v>0.08</v>
      </c>
      <c r="F92" s="24">
        <v>0.1</v>
      </c>
      <c r="G92" s="24">
        <v>0.12</v>
      </c>
      <c r="H92" s="24">
        <v>0.17</v>
      </c>
      <c r="J92" s="24"/>
      <c r="K92" s="24"/>
      <c r="L92" s="24"/>
      <c r="M92" s="24"/>
      <c r="N92" s="24"/>
    </row>
    <row r="93" spans="1:14" x14ac:dyDescent="0.25">
      <c r="A93" t="s">
        <v>353</v>
      </c>
      <c r="B93" t="s">
        <v>86</v>
      </c>
      <c r="C93" s="2" t="s">
        <v>215</v>
      </c>
      <c r="D93" s="24">
        <v>0.03</v>
      </c>
      <c r="E93" s="24">
        <v>0.08</v>
      </c>
      <c r="F93" s="24">
        <v>0.1</v>
      </c>
      <c r="G93" s="24">
        <v>0.12</v>
      </c>
      <c r="H93" s="24">
        <v>0.17</v>
      </c>
      <c r="J93" s="24"/>
      <c r="K93" s="24"/>
      <c r="L93" s="24"/>
      <c r="M93" s="24"/>
      <c r="N93" s="24"/>
    </row>
    <row r="94" spans="1:14" x14ac:dyDescent="0.25">
      <c r="A94" t="s">
        <v>354</v>
      </c>
      <c r="B94" t="s">
        <v>86</v>
      </c>
      <c r="C94" s="2" t="s">
        <v>216</v>
      </c>
      <c r="D94" s="24">
        <v>0.03</v>
      </c>
      <c r="E94" s="24">
        <v>0.08</v>
      </c>
      <c r="F94" s="24">
        <v>0.1</v>
      </c>
      <c r="G94" s="24">
        <v>0.11</v>
      </c>
      <c r="H94" s="24">
        <v>0.16</v>
      </c>
      <c r="J94" s="24"/>
      <c r="K94" s="24"/>
      <c r="L94" s="24"/>
      <c r="M94" s="24"/>
      <c r="N94" s="24"/>
    </row>
    <row r="95" spans="1:14" x14ac:dyDescent="0.25">
      <c r="A95" t="s">
        <v>355</v>
      </c>
      <c r="B95" t="s">
        <v>86</v>
      </c>
      <c r="C95" s="2" t="s">
        <v>270</v>
      </c>
      <c r="D95" s="24">
        <v>0.02</v>
      </c>
      <c r="E95" s="24">
        <v>0.06</v>
      </c>
      <c r="F95" s="24">
        <v>0.08</v>
      </c>
      <c r="G95" s="24">
        <v>0.11</v>
      </c>
      <c r="H95" s="24">
        <v>0.18</v>
      </c>
      <c r="J95" s="24"/>
      <c r="K95" s="24"/>
      <c r="L95" s="24"/>
      <c r="M95" s="24"/>
      <c r="N95" s="24"/>
    </row>
    <row r="96" spans="1:14" x14ac:dyDescent="0.25">
      <c r="A96" t="s">
        <v>356</v>
      </c>
      <c r="B96" t="s">
        <v>86</v>
      </c>
      <c r="C96" s="2" t="s">
        <v>271</v>
      </c>
      <c r="D96" s="24">
        <v>0.02</v>
      </c>
      <c r="E96" s="24">
        <v>7.0000000000000007E-2</v>
      </c>
      <c r="F96" s="24">
        <v>0.08</v>
      </c>
      <c r="G96" s="24">
        <v>0.1</v>
      </c>
      <c r="H96" s="24">
        <v>0.13</v>
      </c>
      <c r="J96" s="24"/>
      <c r="K96" s="24"/>
      <c r="L96" s="24"/>
      <c r="M96" s="24"/>
      <c r="N96" s="24"/>
    </row>
    <row r="97" spans="1:14" x14ac:dyDescent="0.25">
      <c r="A97" t="s">
        <v>357</v>
      </c>
      <c r="B97" t="s">
        <v>88</v>
      </c>
      <c r="C97" s="2" t="s">
        <v>214</v>
      </c>
      <c r="D97" s="24">
        <v>0.01</v>
      </c>
      <c r="E97" s="24">
        <v>0.06</v>
      </c>
      <c r="F97" s="24">
        <v>0.08</v>
      </c>
      <c r="G97" s="24">
        <v>0.1</v>
      </c>
      <c r="H97" s="24">
        <v>0.15</v>
      </c>
      <c r="J97" s="24"/>
      <c r="K97" s="24"/>
      <c r="L97" s="24"/>
      <c r="M97" s="24"/>
      <c r="N97" s="24"/>
    </row>
    <row r="98" spans="1:14" x14ac:dyDescent="0.25">
      <c r="A98" t="s">
        <v>358</v>
      </c>
      <c r="B98" t="s">
        <v>88</v>
      </c>
      <c r="C98" s="2" t="s">
        <v>215</v>
      </c>
      <c r="D98" s="24">
        <v>0.01</v>
      </c>
      <c r="E98" s="24">
        <v>0.05</v>
      </c>
      <c r="F98" s="24">
        <v>7.0000000000000007E-2</v>
      </c>
      <c r="G98" s="24">
        <v>0.09</v>
      </c>
      <c r="H98" s="24">
        <v>0.14000000000000001</v>
      </c>
      <c r="J98" s="24"/>
      <c r="K98" s="24"/>
      <c r="L98" s="24"/>
      <c r="M98" s="24"/>
      <c r="N98" s="24"/>
    </row>
    <row r="99" spans="1:14" x14ac:dyDescent="0.25">
      <c r="A99" t="s">
        <v>359</v>
      </c>
      <c r="B99" t="s">
        <v>88</v>
      </c>
      <c r="C99" s="2" t="s">
        <v>216</v>
      </c>
      <c r="D99" s="24">
        <v>0.01</v>
      </c>
      <c r="E99" s="24">
        <v>0.05</v>
      </c>
      <c r="F99" s="24">
        <v>7.0000000000000007E-2</v>
      </c>
      <c r="G99" s="24">
        <v>0.08</v>
      </c>
      <c r="H99" s="24">
        <v>0.12</v>
      </c>
      <c r="J99" s="24"/>
      <c r="K99" s="24"/>
      <c r="L99" s="24"/>
      <c r="M99" s="24"/>
      <c r="N99" s="24"/>
    </row>
    <row r="100" spans="1:14" x14ac:dyDescent="0.25">
      <c r="A100" t="s">
        <v>360</v>
      </c>
      <c r="B100" t="s">
        <v>88</v>
      </c>
      <c r="C100" s="2" t="s">
        <v>270</v>
      </c>
      <c r="D100" s="24">
        <v>0.01</v>
      </c>
      <c r="E100" s="24">
        <v>0.05</v>
      </c>
      <c r="F100" s="24">
        <v>0.06</v>
      </c>
      <c r="G100" s="24">
        <v>0.08</v>
      </c>
      <c r="H100" s="24">
        <v>0.13</v>
      </c>
      <c r="J100" s="24"/>
      <c r="K100" s="24"/>
      <c r="L100" s="24"/>
      <c r="M100" s="24"/>
      <c r="N100" s="24"/>
    </row>
    <row r="101" spans="1:14" x14ac:dyDescent="0.25">
      <c r="A101" t="s">
        <v>361</v>
      </c>
      <c r="B101" t="s">
        <v>88</v>
      </c>
      <c r="C101" s="2" t="s">
        <v>271</v>
      </c>
      <c r="D101" s="24">
        <v>0</v>
      </c>
      <c r="E101" s="24">
        <v>0.03</v>
      </c>
      <c r="F101" s="24">
        <v>0.05</v>
      </c>
      <c r="G101" s="24">
        <v>7.0000000000000007E-2</v>
      </c>
      <c r="H101" s="24">
        <v>0.12</v>
      </c>
      <c r="J101" s="24"/>
      <c r="K101" s="24"/>
      <c r="L101" s="24"/>
      <c r="M101" s="24"/>
      <c r="N101" s="24"/>
    </row>
    <row r="102" spans="1:14" x14ac:dyDescent="0.25">
      <c r="A102" t="s">
        <v>362</v>
      </c>
      <c r="B102" t="s">
        <v>87</v>
      </c>
      <c r="C102" s="2" t="s">
        <v>214</v>
      </c>
      <c r="D102" s="24">
        <v>0</v>
      </c>
      <c r="E102" s="24">
        <v>0.06</v>
      </c>
      <c r="F102" s="24">
        <v>0.09</v>
      </c>
      <c r="G102" s="24">
        <v>0.1</v>
      </c>
      <c r="H102" s="24">
        <v>0.16</v>
      </c>
      <c r="J102" s="24"/>
      <c r="K102" s="24"/>
      <c r="L102" s="24"/>
      <c r="M102" s="24"/>
      <c r="N102" s="24"/>
    </row>
    <row r="103" spans="1:14" x14ac:dyDescent="0.25">
      <c r="A103" t="s">
        <v>363</v>
      </c>
      <c r="B103" t="s">
        <v>87</v>
      </c>
      <c r="C103" s="2" t="s">
        <v>215</v>
      </c>
      <c r="D103" s="24">
        <v>0.01</v>
      </c>
      <c r="E103" s="24">
        <v>0.06</v>
      </c>
      <c r="F103" s="24">
        <v>0.08</v>
      </c>
      <c r="G103" s="24">
        <v>0.1</v>
      </c>
      <c r="H103" s="24">
        <v>0.16</v>
      </c>
      <c r="J103" s="24"/>
      <c r="K103" s="24"/>
      <c r="L103" s="24"/>
      <c r="M103" s="24"/>
      <c r="N103" s="24"/>
    </row>
    <row r="104" spans="1:14" x14ac:dyDescent="0.25">
      <c r="A104" t="s">
        <v>364</v>
      </c>
      <c r="B104" t="s">
        <v>87</v>
      </c>
      <c r="C104" s="2" t="s">
        <v>216</v>
      </c>
      <c r="D104" s="24">
        <v>0.01</v>
      </c>
      <c r="E104" s="24">
        <v>0.05</v>
      </c>
      <c r="F104" s="24">
        <v>0.08</v>
      </c>
      <c r="G104" s="24">
        <v>0.1</v>
      </c>
      <c r="H104" s="24">
        <v>0.14000000000000001</v>
      </c>
      <c r="J104" s="24"/>
      <c r="K104" s="24"/>
      <c r="L104" s="24"/>
      <c r="M104" s="24"/>
      <c r="N104" s="24"/>
    </row>
    <row r="105" spans="1:14" x14ac:dyDescent="0.25">
      <c r="A105" t="s">
        <v>365</v>
      </c>
      <c r="B105" t="s">
        <v>87</v>
      </c>
      <c r="C105" s="2" t="s">
        <v>270</v>
      </c>
      <c r="D105" s="24">
        <v>0.01</v>
      </c>
      <c r="E105" s="24">
        <v>0.05</v>
      </c>
      <c r="F105" s="24">
        <v>7.0000000000000007E-2</v>
      </c>
      <c r="G105" s="24">
        <v>0.1</v>
      </c>
      <c r="H105" s="24">
        <v>0.15</v>
      </c>
      <c r="J105" s="24"/>
      <c r="K105" s="24"/>
      <c r="L105" s="24"/>
      <c r="M105" s="24"/>
      <c r="N105" s="24"/>
    </row>
    <row r="106" spans="1:14" x14ac:dyDescent="0.25">
      <c r="A106" t="s">
        <v>366</v>
      </c>
      <c r="B106" t="s">
        <v>87</v>
      </c>
      <c r="C106" s="2" t="s">
        <v>271</v>
      </c>
      <c r="D106" s="24">
        <v>0.01</v>
      </c>
      <c r="E106" s="24">
        <v>0.03</v>
      </c>
      <c r="F106" s="24">
        <v>7.0000000000000007E-2</v>
      </c>
      <c r="G106" s="24">
        <v>0.09</v>
      </c>
      <c r="H106" s="24">
        <v>0.17</v>
      </c>
      <c r="J106" s="24"/>
      <c r="K106" s="24"/>
      <c r="L106" s="24"/>
      <c r="M106" s="24"/>
      <c r="N106" s="24"/>
    </row>
    <row r="107" spans="1:14" x14ac:dyDescent="0.25">
      <c r="A107" t="s">
        <v>367</v>
      </c>
      <c r="B107" t="s">
        <v>258</v>
      </c>
      <c r="C107" s="2" t="s">
        <v>214</v>
      </c>
      <c r="D107" s="24"/>
      <c r="E107" s="24"/>
      <c r="F107" s="24"/>
      <c r="G107" s="24"/>
      <c r="H107" s="24"/>
    </row>
    <row r="108" spans="1:14" x14ac:dyDescent="0.25">
      <c r="A108" t="s">
        <v>368</v>
      </c>
      <c r="B108" t="s">
        <v>258</v>
      </c>
      <c r="C108" s="2" t="s">
        <v>215</v>
      </c>
      <c r="D108" s="24"/>
      <c r="E108" s="24"/>
      <c r="F108" s="24"/>
      <c r="G108" s="24"/>
      <c r="H108" s="24"/>
    </row>
    <row r="109" spans="1:14" x14ac:dyDescent="0.25">
      <c r="A109" t="s">
        <v>369</v>
      </c>
      <c r="B109" t="s">
        <v>258</v>
      </c>
      <c r="C109" s="2" t="s">
        <v>216</v>
      </c>
      <c r="D109" s="24"/>
      <c r="E109" s="24"/>
      <c r="F109" s="24"/>
      <c r="G109" s="24"/>
      <c r="H109" s="24"/>
    </row>
    <row r="110" spans="1:14" x14ac:dyDescent="0.25">
      <c r="A110" t="s">
        <v>370</v>
      </c>
      <c r="B110" t="s">
        <v>258</v>
      </c>
      <c r="C110" s="2" t="s">
        <v>270</v>
      </c>
      <c r="D110" s="24"/>
      <c r="E110" s="24"/>
      <c r="F110" s="24"/>
      <c r="G110" s="24"/>
      <c r="H110" s="24"/>
    </row>
    <row r="111" spans="1:14" x14ac:dyDescent="0.25">
      <c r="A111" t="s">
        <v>371</v>
      </c>
      <c r="B111" t="s">
        <v>258</v>
      </c>
      <c r="C111" s="2" t="s">
        <v>271</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247</v>
      </c>
      <c r="B1" t="s">
        <v>257</v>
      </c>
      <c r="C1" s="2" t="s">
        <v>989</v>
      </c>
      <c r="D1" s="2" t="s">
        <v>218</v>
      </c>
      <c r="E1" s="2"/>
      <c r="F1" s="2" t="s">
        <v>217</v>
      </c>
    </row>
    <row r="2" spans="1:14" x14ac:dyDescent="0.25">
      <c r="A2" t="s">
        <v>272</v>
      </c>
      <c r="B2" t="s">
        <v>99</v>
      </c>
      <c r="C2" s="2" t="s">
        <v>214</v>
      </c>
      <c r="D2" s="24">
        <v>0</v>
      </c>
      <c r="E2" s="24">
        <v>0.1</v>
      </c>
      <c r="F2" s="24">
        <v>0.14000000000000001</v>
      </c>
      <c r="G2" s="24"/>
      <c r="H2" s="24"/>
      <c r="I2" s="24"/>
      <c r="J2" s="24"/>
      <c r="L2" s="24"/>
      <c r="M2" s="24"/>
      <c r="N2" s="24"/>
    </row>
    <row r="3" spans="1:14" x14ac:dyDescent="0.25">
      <c r="A3" t="s">
        <v>273</v>
      </c>
      <c r="B3" t="s">
        <v>99</v>
      </c>
      <c r="C3" s="2" t="s">
        <v>215</v>
      </c>
      <c r="D3" s="24">
        <v>0</v>
      </c>
      <c r="E3" s="24">
        <v>0.08</v>
      </c>
      <c r="F3" s="24">
        <v>0.13</v>
      </c>
      <c r="G3" s="24"/>
      <c r="H3" s="24"/>
      <c r="I3" s="24"/>
      <c r="J3" s="24"/>
      <c r="L3" s="24"/>
      <c r="M3" s="24"/>
      <c r="N3" s="24"/>
    </row>
    <row r="4" spans="1:14" x14ac:dyDescent="0.25">
      <c r="A4" t="s">
        <v>274</v>
      </c>
      <c r="B4" t="s">
        <v>99</v>
      </c>
      <c r="C4" s="2" t="s">
        <v>216</v>
      </c>
      <c r="D4" s="24">
        <v>0</v>
      </c>
      <c r="E4" s="24">
        <v>0.08</v>
      </c>
      <c r="F4" s="24">
        <v>0.11</v>
      </c>
      <c r="G4" s="24"/>
      <c r="H4" s="24"/>
      <c r="I4" s="24"/>
      <c r="J4" s="24"/>
      <c r="L4" s="24"/>
      <c r="M4" s="24"/>
      <c r="N4" s="24"/>
    </row>
    <row r="5" spans="1:14" x14ac:dyDescent="0.25">
      <c r="A5" t="s">
        <v>275</v>
      </c>
      <c r="B5" t="s">
        <v>99</v>
      </c>
      <c r="C5" s="2" t="s">
        <v>270</v>
      </c>
      <c r="D5" s="24">
        <v>0</v>
      </c>
      <c r="E5" s="24">
        <v>7.0000000000000007E-2</v>
      </c>
      <c r="F5" s="24">
        <v>0.1</v>
      </c>
      <c r="G5" s="24"/>
      <c r="H5" s="24"/>
      <c r="I5" s="24"/>
      <c r="J5" s="24"/>
      <c r="L5" s="24"/>
      <c r="M5" s="24"/>
      <c r="N5" s="24"/>
    </row>
    <row r="6" spans="1:14" x14ac:dyDescent="0.25">
      <c r="A6" t="s">
        <v>276</v>
      </c>
      <c r="B6" t="s">
        <v>99</v>
      </c>
      <c r="C6" s="2" t="s">
        <v>271</v>
      </c>
      <c r="D6" s="24">
        <v>0</v>
      </c>
      <c r="E6" s="24">
        <v>0.06</v>
      </c>
      <c r="F6" s="24">
        <v>0.09</v>
      </c>
      <c r="G6" s="24"/>
      <c r="H6" s="24"/>
      <c r="I6" s="24"/>
      <c r="J6" s="24"/>
      <c r="L6" s="24"/>
      <c r="M6" s="24"/>
      <c r="N6" s="24"/>
    </row>
    <row r="7" spans="1:14" x14ac:dyDescent="0.25">
      <c r="A7" t="s">
        <v>1495</v>
      </c>
      <c r="B7" t="s">
        <v>103</v>
      </c>
      <c r="C7" s="2" t="s">
        <v>214</v>
      </c>
      <c r="D7" s="24">
        <v>0</v>
      </c>
      <c r="E7" s="24">
        <v>7.0000000000000007E-2</v>
      </c>
      <c r="F7" s="24">
        <v>0.1</v>
      </c>
      <c r="G7" s="24"/>
      <c r="H7" s="24"/>
      <c r="I7" s="24"/>
      <c r="J7" s="24"/>
      <c r="L7" s="24"/>
      <c r="M7" s="24"/>
      <c r="N7" s="24"/>
    </row>
    <row r="8" spans="1:14" x14ac:dyDescent="0.25">
      <c r="A8" t="s">
        <v>1491</v>
      </c>
      <c r="B8" t="s">
        <v>103</v>
      </c>
      <c r="C8" s="2" t="s">
        <v>215</v>
      </c>
      <c r="D8" s="24">
        <v>0</v>
      </c>
      <c r="E8" s="24">
        <v>7.0000000000000007E-2</v>
      </c>
      <c r="F8" s="24">
        <v>0.09</v>
      </c>
      <c r="G8" s="24"/>
      <c r="H8" s="24"/>
      <c r="I8" s="24"/>
      <c r="J8" s="24"/>
      <c r="L8" s="24"/>
      <c r="M8" s="24"/>
      <c r="N8" s="24"/>
    </row>
    <row r="9" spans="1:14" x14ac:dyDescent="0.25">
      <c r="A9" t="s">
        <v>1492</v>
      </c>
      <c r="B9" t="s">
        <v>103</v>
      </c>
      <c r="C9" s="2" t="s">
        <v>216</v>
      </c>
      <c r="D9" s="24">
        <v>0</v>
      </c>
      <c r="E9" s="24">
        <v>0.06</v>
      </c>
      <c r="F9" s="24">
        <v>0.08</v>
      </c>
      <c r="G9" s="24"/>
      <c r="H9" s="24"/>
      <c r="I9" s="24"/>
      <c r="J9" s="24"/>
      <c r="L9" s="24"/>
      <c r="M9" s="24"/>
      <c r="N9" s="24"/>
    </row>
    <row r="10" spans="1:14" x14ac:dyDescent="0.25">
      <c r="A10" t="s">
        <v>1493</v>
      </c>
      <c r="B10" t="s">
        <v>103</v>
      </c>
      <c r="C10" s="2" t="s">
        <v>270</v>
      </c>
      <c r="D10" s="24">
        <v>0</v>
      </c>
      <c r="E10" s="24">
        <v>0.05</v>
      </c>
      <c r="F10" s="24">
        <v>7.0000000000000007E-2</v>
      </c>
      <c r="G10" s="24"/>
      <c r="H10" s="24"/>
      <c r="I10" s="24"/>
      <c r="J10" s="24"/>
      <c r="L10" s="24"/>
      <c r="M10" s="24"/>
      <c r="N10" s="24"/>
    </row>
    <row r="11" spans="1:14" x14ac:dyDescent="0.25">
      <c r="A11" t="s">
        <v>1494</v>
      </c>
      <c r="B11" t="s">
        <v>103</v>
      </c>
      <c r="C11" s="2" t="s">
        <v>271</v>
      </c>
      <c r="D11" s="24">
        <v>0</v>
      </c>
      <c r="E11" s="24">
        <v>0.04</v>
      </c>
      <c r="F11" s="24">
        <v>0.06</v>
      </c>
      <c r="G11" s="24"/>
      <c r="H11" s="24"/>
      <c r="I11" s="24"/>
      <c r="J11" s="24"/>
      <c r="L11" s="24"/>
      <c r="M11" s="24"/>
      <c r="N11" s="24"/>
    </row>
    <row r="12" spans="1:14" x14ac:dyDescent="0.25">
      <c r="A12" t="s">
        <v>1500</v>
      </c>
      <c r="B12" t="s">
        <v>1445</v>
      </c>
      <c r="C12" s="2" t="s">
        <v>214</v>
      </c>
      <c r="D12" s="24">
        <v>0</v>
      </c>
      <c r="E12" s="24">
        <v>7.0000000000000007E-2</v>
      </c>
      <c r="F12" s="24">
        <v>0.09</v>
      </c>
      <c r="G12" s="24"/>
      <c r="H12" s="24"/>
      <c r="I12" s="24"/>
      <c r="J12" s="24"/>
      <c r="L12" s="24"/>
      <c r="M12" s="24"/>
      <c r="N12" s="24"/>
    </row>
    <row r="13" spans="1:14" x14ac:dyDescent="0.25">
      <c r="A13" t="s">
        <v>1496</v>
      </c>
      <c r="B13" t="s">
        <v>1445</v>
      </c>
      <c r="C13" s="2" t="s">
        <v>215</v>
      </c>
      <c r="D13" s="24">
        <v>0</v>
      </c>
      <c r="E13" s="24">
        <v>7.0000000000000007E-2</v>
      </c>
      <c r="F13" s="24">
        <v>0.08</v>
      </c>
      <c r="G13" s="24"/>
      <c r="H13" s="24"/>
      <c r="I13" s="24"/>
      <c r="J13" s="24"/>
      <c r="L13" s="24"/>
      <c r="M13" s="24"/>
      <c r="N13" s="24"/>
    </row>
    <row r="14" spans="1:14" x14ac:dyDescent="0.25">
      <c r="A14" t="s">
        <v>1497</v>
      </c>
      <c r="B14" t="s">
        <v>1445</v>
      </c>
      <c r="C14" s="2" t="s">
        <v>216</v>
      </c>
      <c r="D14" s="24">
        <v>0</v>
      </c>
      <c r="E14" s="24">
        <v>0.06</v>
      </c>
      <c r="F14" s="24">
        <v>7.0000000000000007E-2</v>
      </c>
      <c r="G14" s="24"/>
      <c r="H14" s="24"/>
      <c r="I14" s="24"/>
      <c r="J14" s="24"/>
      <c r="L14" s="24"/>
      <c r="M14" s="24"/>
      <c r="N14" s="24"/>
    </row>
    <row r="15" spans="1:14" x14ac:dyDescent="0.25">
      <c r="A15" t="s">
        <v>1498</v>
      </c>
      <c r="B15" t="s">
        <v>1445</v>
      </c>
      <c r="C15" s="2" t="s">
        <v>270</v>
      </c>
      <c r="D15" s="24">
        <v>0</v>
      </c>
      <c r="E15" s="24">
        <v>0.05</v>
      </c>
      <c r="F15" s="24">
        <v>0.06</v>
      </c>
      <c r="G15" s="24"/>
      <c r="H15" s="24"/>
      <c r="I15" s="24"/>
      <c r="J15" s="24"/>
      <c r="L15" s="24"/>
      <c r="M15" s="24"/>
      <c r="N15" s="24"/>
    </row>
    <row r="16" spans="1:14" x14ac:dyDescent="0.25">
      <c r="A16" t="s">
        <v>1499</v>
      </c>
      <c r="B16" t="s">
        <v>1445</v>
      </c>
      <c r="C16" s="2" t="s">
        <v>271</v>
      </c>
      <c r="D16" s="24">
        <v>0</v>
      </c>
      <c r="E16" s="24">
        <v>0.05</v>
      </c>
      <c r="F16" s="24">
        <v>0.05</v>
      </c>
      <c r="G16" s="24"/>
      <c r="H16" s="24"/>
      <c r="I16" s="24"/>
      <c r="J16" s="24"/>
      <c r="L16" s="24"/>
      <c r="M16" s="24"/>
      <c r="N16" s="24"/>
    </row>
    <row r="17" spans="1:14" x14ac:dyDescent="0.25">
      <c r="A17" t="s">
        <v>277</v>
      </c>
      <c r="B17" t="s">
        <v>102</v>
      </c>
      <c r="C17" s="2" t="s">
        <v>214</v>
      </c>
      <c r="D17" s="24">
        <v>0</v>
      </c>
      <c r="E17" s="24">
        <v>0.13</v>
      </c>
      <c r="F17" s="24">
        <v>0.18</v>
      </c>
      <c r="G17" s="24"/>
      <c r="H17" s="24"/>
      <c r="I17" s="24"/>
      <c r="J17" s="24"/>
      <c r="L17" s="24"/>
      <c r="M17" s="24"/>
      <c r="N17" s="24"/>
    </row>
    <row r="18" spans="1:14" x14ac:dyDescent="0.25">
      <c r="A18" t="s">
        <v>278</v>
      </c>
      <c r="B18" t="s">
        <v>102</v>
      </c>
      <c r="C18" s="2" t="s">
        <v>215</v>
      </c>
      <c r="D18" s="24">
        <v>0</v>
      </c>
      <c r="E18" s="24">
        <v>0.12</v>
      </c>
      <c r="F18" s="24">
        <v>0.17</v>
      </c>
      <c r="G18" s="24"/>
      <c r="H18" s="24"/>
      <c r="I18" s="24"/>
      <c r="J18" s="24"/>
      <c r="L18" s="24"/>
      <c r="M18" s="24"/>
      <c r="N18" s="24"/>
    </row>
    <row r="19" spans="1:14" x14ac:dyDescent="0.25">
      <c r="A19" t="s">
        <v>279</v>
      </c>
      <c r="B19" t="s">
        <v>102</v>
      </c>
      <c r="C19" s="2" t="s">
        <v>216</v>
      </c>
      <c r="D19" s="24">
        <v>0</v>
      </c>
      <c r="E19" s="24">
        <v>0.09</v>
      </c>
      <c r="F19" s="24">
        <v>0.13</v>
      </c>
      <c r="G19" s="24"/>
      <c r="H19" s="24"/>
      <c r="I19" s="24"/>
      <c r="J19" s="24"/>
      <c r="L19" s="24"/>
      <c r="M19" s="24"/>
      <c r="N19" s="24"/>
    </row>
    <row r="20" spans="1:14" x14ac:dyDescent="0.25">
      <c r="A20" t="s">
        <v>280</v>
      </c>
      <c r="B20" t="s">
        <v>102</v>
      </c>
      <c r="C20" s="2" t="s">
        <v>270</v>
      </c>
      <c r="D20" s="24">
        <v>0</v>
      </c>
      <c r="E20" s="24">
        <v>7.0000000000000007E-2</v>
      </c>
      <c r="F20" s="24">
        <v>0.11</v>
      </c>
      <c r="G20" s="24"/>
      <c r="H20" s="24"/>
      <c r="I20" s="24"/>
      <c r="J20" s="24"/>
      <c r="L20" s="24"/>
      <c r="M20" s="24"/>
      <c r="N20" s="24"/>
    </row>
    <row r="21" spans="1:14" x14ac:dyDescent="0.25">
      <c r="A21" t="s">
        <v>281</v>
      </c>
      <c r="B21" t="s">
        <v>102</v>
      </c>
      <c r="C21" s="2" t="s">
        <v>271</v>
      </c>
      <c r="D21" s="24">
        <v>0</v>
      </c>
      <c r="E21" s="24">
        <v>0.06</v>
      </c>
      <c r="F21" s="24">
        <v>0.09</v>
      </c>
      <c r="G21" s="24"/>
      <c r="H21" s="24"/>
      <c r="I21" s="24"/>
      <c r="J21" s="24"/>
      <c r="L21" s="24"/>
      <c r="M21" s="24"/>
      <c r="N21" s="24"/>
    </row>
    <row r="22" spans="1:14" x14ac:dyDescent="0.25">
      <c r="A22" t="s">
        <v>282</v>
      </c>
      <c r="B22" t="s">
        <v>100</v>
      </c>
      <c r="C22" s="2" t="s">
        <v>214</v>
      </c>
      <c r="D22" s="24">
        <v>0</v>
      </c>
      <c r="E22" s="24">
        <v>0.13</v>
      </c>
      <c r="F22" s="24">
        <v>0.18</v>
      </c>
      <c r="G22" s="24"/>
      <c r="H22" s="24"/>
      <c r="I22" s="24"/>
      <c r="J22" s="24"/>
      <c r="L22" s="24"/>
      <c r="M22" s="24"/>
      <c r="N22" s="24"/>
    </row>
    <row r="23" spans="1:14" x14ac:dyDescent="0.25">
      <c r="A23" t="s">
        <v>283</v>
      </c>
      <c r="B23" t="s">
        <v>100</v>
      </c>
      <c r="C23" s="2" t="s">
        <v>215</v>
      </c>
      <c r="D23" s="24">
        <v>0</v>
      </c>
      <c r="E23" s="24">
        <v>0.12</v>
      </c>
      <c r="F23" s="24">
        <v>0.17</v>
      </c>
      <c r="G23" s="24"/>
      <c r="H23" s="24"/>
      <c r="I23" s="24"/>
      <c r="J23" s="24"/>
      <c r="L23" s="24"/>
      <c r="M23" s="24"/>
      <c r="N23" s="24"/>
    </row>
    <row r="24" spans="1:14" x14ac:dyDescent="0.25">
      <c r="A24" t="s">
        <v>284</v>
      </c>
      <c r="B24" t="s">
        <v>100</v>
      </c>
      <c r="C24" s="2" t="s">
        <v>216</v>
      </c>
      <c r="D24" s="24">
        <v>0</v>
      </c>
      <c r="E24" s="24">
        <v>0.1</v>
      </c>
      <c r="F24" s="24">
        <v>0.16</v>
      </c>
      <c r="G24" s="24"/>
      <c r="H24" s="24"/>
      <c r="I24" s="24"/>
      <c r="J24" s="24"/>
      <c r="L24" s="24"/>
      <c r="M24" s="24"/>
      <c r="N24" s="24"/>
    </row>
    <row r="25" spans="1:14" x14ac:dyDescent="0.25">
      <c r="A25" t="s">
        <v>285</v>
      </c>
      <c r="B25" t="s">
        <v>100</v>
      </c>
      <c r="C25" s="2" t="s">
        <v>270</v>
      </c>
      <c r="D25" s="24">
        <v>0</v>
      </c>
      <c r="E25" s="24">
        <v>7.0000000000000007E-2</v>
      </c>
      <c r="F25" s="24">
        <v>0.11</v>
      </c>
      <c r="G25" s="24"/>
      <c r="H25" s="24"/>
      <c r="I25" s="24"/>
      <c r="J25" s="24"/>
      <c r="L25" s="24"/>
      <c r="M25" s="24"/>
      <c r="N25" s="24"/>
    </row>
    <row r="26" spans="1:14" x14ac:dyDescent="0.25">
      <c r="A26" t="s">
        <v>286</v>
      </c>
      <c r="B26" t="s">
        <v>100</v>
      </c>
      <c r="C26" s="2" t="s">
        <v>271</v>
      </c>
      <c r="D26" s="24">
        <v>0</v>
      </c>
      <c r="E26" s="24">
        <v>0.06</v>
      </c>
      <c r="F26" s="24">
        <v>0.08</v>
      </c>
      <c r="G26" s="24"/>
      <c r="H26" s="24"/>
      <c r="I26" s="24"/>
      <c r="J26" s="24"/>
      <c r="L26" s="24"/>
      <c r="M26" s="24"/>
      <c r="N26" s="24"/>
    </row>
    <row r="27" spans="1:14" x14ac:dyDescent="0.25">
      <c r="A27" t="s">
        <v>287</v>
      </c>
      <c r="B27" t="s">
        <v>104</v>
      </c>
      <c r="C27" s="2" t="s">
        <v>214</v>
      </c>
      <c r="D27" s="24">
        <v>0</v>
      </c>
      <c r="E27" s="24">
        <v>0.15</v>
      </c>
      <c r="F27" s="24">
        <v>0.18</v>
      </c>
      <c r="G27" s="24"/>
      <c r="H27" s="24"/>
      <c r="I27" s="24"/>
      <c r="J27" s="24"/>
      <c r="L27" s="24"/>
      <c r="M27" s="24"/>
      <c r="N27" s="24"/>
    </row>
    <row r="28" spans="1:14" x14ac:dyDescent="0.25">
      <c r="A28" t="s">
        <v>288</v>
      </c>
      <c r="B28" t="s">
        <v>104</v>
      </c>
      <c r="C28" s="2" t="s">
        <v>215</v>
      </c>
      <c r="D28" s="24">
        <v>0</v>
      </c>
      <c r="E28" s="24">
        <v>0.13</v>
      </c>
      <c r="F28" s="24">
        <v>0.18</v>
      </c>
      <c r="G28" s="24"/>
      <c r="H28" s="24"/>
      <c r="I28" s="24"/>
      <c r="J28" s="24"/>
      <c r="L28" s="24"/>
      <c r="M28" s="24"/>
      <c r="N28" s="24"/>
    </row>
    <row r="29" spans="1:14" x14ac:dyDescent="0.25">
      <c r="A29" t="s">
        <v>289</v>
      </c>
      <c r="B29" t="s">
        <v>104</v>
      </c>
      <c r="C29" s="2" t="s">
        <v>216</v>
      </c>
      <c r="D29" s="24">
        <v>0</v>
      </c>
      <c r="E29" s="24">
        <v>0.12</v>
      </c>
      <c r="F29" s="24">
        <v>0.16</v>
      </c>
      <c r="G29" s="24"/>
      <c r="H29" s="24"/>
      <c r="I29" s="24"/>
      <c r="J29" s="24"/>
      <c r="L29" s="24"/>
      <c r="M29" s="24"/>
      <c r="N29" s="24"/>
    </row>
    <row r="30" spans="1:14" x14ac:dyDescent="0.25">
      <c r="A30" t="s">
        <v>290</v>
      </c>
      <c r="B30" t="s">
        <v>104</v>
      </c>
      <c r="C30" s="2" t="s">
        <v>270</v>
      </c>
      <c r="D30" s="24">
        <v>0</v>
      </c>
      <c r="E30" s="24">
        <v>0.12</v>
      </c>
      <c r="F30" s="24">
        <v>0.15</v>
      </c>
      <c r="G30" s="24"/>
      <c r="H30" s="24"/>
      <c r="I30" s="24"/>
      <c r="J30" s="24"/>
      <c r="L30" s="24"/>
      <c r="M30" s="24"/>
      <c r="N30" s="24"/>
    </row>
    <row r="31" spans="1:14" x14ac:dyDescent="0.25">
      <c r="A31" t="s">
        <v>291</v>
      </c>
      <c r="B31" t="s">
        <v>104</v>
      </c>
      <c r="C31" s="2" t="s">
        <v>271</v>
      </c>
      <c r="D31" s="24">
        <v>0</v>
      </c>
      <c r="E31" s="24">
        <v>0.11</v>
      </c>
      <c r="F31" s="24">
        <v>0.12</v>
      </c>
      <c r="G31" s="24"/>
      <c r="H31" s="24"/>
      <c r="I31" s="24"/>
      <c r="J31" s="24"/>
      <c r="L31" s="24"/>
      <c r="M31" s="24"/>
      <c r="N31" s="24"/>
    </row>
    <row r="32" spans="1:14" x14ac:dyDescent="0.25">
      <c r="A32" t="s">
        <v>292</v>
      </c>
      <c r="B32" t="s">
        <v>98</v>
      </c>
      <c r="C32" s="2" t="s">
        <v>214</v>
      </c>
      <c r="D32" s="24">
        <v>0</v>
      </c>
      <c r="E32" s="24">
        <v>0.11</v>
      </c>
      <c r="F32" s="24">
        <v>0.17</v>
      </c>
      <c r="G32" s="24"/>
      <c r="H32" s="24"/>
      <c r="I32" s="24"/>
      <c r="J32" s="24"/>
      <c r="L32" s="24"/>
      <c r="M32" s="24"/>
      <c r="N32" s="24"/>
    </row>
    <row r="33" spans="1:14" x14ac:dyDescent="0.25">
      <c r="A33" t="s">
        <v>293</v>
      </c>
      <c r="B33" t="s">
        <v>98</v>
      </c>
      <c r="C33" s="2" t="s">
        <v>215</v>
      </c>
      <c r="D33" s="24">
        <v>0</v>
      </c>
      <c r="E33" s="24">
        <v>0.09</v>
      </c>
      <c r="F33" s="24">
        <v>0.14000000000000001</v>
      </c>
      <c r="G33" s="24"/>
      <c r="H33" s="24"/>
      <c r="I33" s="24"/>
      <c r="J33" s="24"/>
      <c r="L33" s="24"/>
      <c r="M33" s="24"/>
      <c r="N33" s="24"/>
    </row>
    <row r="34" spans="1:14" x14ac:dyDescent="0.25">
      <c r="A34" t="s">
        <v>294</v>
      </c>
      <c r="B34" t="s">
        <v>98</v>
      </c>
      <c r="C34" s="2" t="s">
        <v>216</v>
      </c>
      <c r="D34" s="24">
        <v>0</v>
      </c>
      <c r="E34" s="24">
        <v>0.09</v>
      </c>
      <c r="F34" s="24">
        <v>0.13</v>
      </c>
      <c r="G34" s="24"/>
      <c r="H34" s="24"/>
      <c r="I34" s="24"/>
      <c r="J34" s="24"/>
      <c r="L34" s="24"/>
      <c r="M34" s="24"/>
      <c r="N34" s="24"/>
    </row>
    <row r="35" spans="1:14" x14ac:dyDescent="0.25">
      <c r="A35" t="s">
        <v>295</v>
      </c>
      <c r="B35" t="s">
        <v>98</v>
      </c>
      <c r="C35" s="2" t="s">
        <v>270</v>
      </c>
      <c r="D35" s="24">
        <v>0</v>
      </c>
      <c r="E35" s="24">
        <v>0.08</v>
      </c>
      <c r="F35" s="24">
        <v>0.12</v>
      </c>
      <c r="G35" s="24"/>
      <c r="H35" s="24"/>
      <c r="I35" s="24"/>
      <c r="J35" s="24"/>
      <c r="L35" s="24"/>
      <c r="M35" s="24"/>
      <c r="N35" s="24"/>
    </row>
    <row r="36" spans="1:14" x14ac:dyDescent="0.25">
      <c r="A36" t="s">
        <v>296</v>
      </c>
      <c r="B36" t="s">
        <v>98</v>
      </c>
      <c r="C36" s="2" t="s">
        <v>271</v>
      </c>
      <c r="D36" s="24">
        <v>0</v>
      </c>
      <c r="E36" s="24">
        <v>0.08</v>
      </c>
      <c r="F36" s="24">
        <v>0.11</v>
      </c>
      <c r="G36" s="24"/>
      <c r="H36" s="24"/>
      <c r="I36" s="24"/>
      <c r="J36" s="24"/>
      <c r="L36" s="24"/>
      <c r="M36" s="24"/>
      <c r="N36" s="24"/>
    </row>
    <row r="37" spans="1:14" x14ac:dyDescent="0.25">
      <c r="A37" t="s">
        <v>297</v>
      </c>
      <c r="B37" t="s">
        <v>95</v>
      </c>
      <c r="C37" s="2" t="s">
        <v>214</v>
      </c>
      <c r="D37" s="24">
        <v>0</v>
      </c>
      <c r="E37" s="24">
        <v>7.0000000000000007E-2</v>
      </c>
      <c r="F37" s="24">
        <v>0.12</v>
      </c>
      <c r="G37" s="24"/>
      <c r="H37" s="24"/>
      <c r="I37" s="24"/>
      <c r="J37" s="24"/>
      <c r="L37" s="24"/>
      <c r="M37" s="24"/>
      <c r="N37" s="24"/>
    </row>
    <row r="38" spans="1:14" x14ac:dyDescent="0.25">
      <c r="A38" t="s">
        <v>298</v>
      </c>
      <c r="B38" t="s">
        <v>95</v>
      </c>
      <c r="C38" s="2" t="s">
        <v>215</v>
      </c>
      <c r="D38" s="24">
        <v>0</v>
      </c>
      <c r="E38" s="24">
        <v>0.06</v>
      </c>
      <c r="F38" s="24">
        <v>0.12</v>
      </c>
      <c r="G38" s="24"/>
      <c r="H38" s="24"/>
      <c r="I38" s="24"/>
      <c r="J38" s="24"/>
      <c r="L38" s="24"/>
      <c r="M38" s="24"/>
      <c r="N38" s="24"/>
    </row>
    <row r="39" spans="1:14" x14ac:dyDescent="0.25">
      <c r="A39" t="s">
        <v>299</v>
      </c>
      <c r="B39" t="s">
        <v>95</v>
      </c>
      <c r="C39" s="2" t="s">
        <v>216</v>
      </c>
      <c r="D39" s="24">
        <v>0</v>
      </c>
      <c r="E39" s="24">
        <v>0.06</v>
      </c>
      <c r="F39" s="24">
        <v>0.11</v>
      </c>
      <c r="G39" s="24"/>
      <c r="H39" s="24"/>
      <c r="I39" s="24"/>
      <c r="J39" s="24"/>
      <c r="L39" s="24"/>
      <c r="M39" s="24"/>
      <c r="N39" s="24"/>
    </row>
    <row r="40" spans="1:14" x14ac:dyDescent="0.25">
      <c r="A40" t="s">
        <v>300</v>
      </c>
      <c r="B40" t="s">
        <v>95</v>
      </c>
      <c r="C40" s="2" t="s">
        <v>270</v>
      </c>
      <c r="D40" s="24">
        <v>0</v>
      </c>
      <c r="E40" s="24">
        <v>0.06</v>
      </c>
      <c r="F40" s="24">
        <v>0.11</v>
      </c>
      <c r="G40" s="24"/>
      <c r="H40" s="24"/>
      <c r="I40" s="24"/>
      <c r="J40" s="24"/>
      <c r="L40" s="24"/>
      <c r="M40" s="24"/>
      <c r="N40" s="24"/>
    </row>
    <row r="41" spans="1:14" x14ac:dyDescent="0.25">
      <c r="A41" t="s">
        <v>301</v>
      </c>
      <c r="B41" t="s">
        <v>95</v>
      </c>
      <c r="C41" s="2" t="s">
        <v>271</v>
      </c>
      <c r="D41" s="24">
        <v>0</v>
      </c>
      <c r="E41" s="24">
        <v>0.06</v>
      </c>
      <c r="F41" s="24">
        <v>0.1</v>
      </c>
      <c r="G41" s="24"/>
      <c r="H41" s="24"/>
      <c r="I41" s="24"/>
      <c r="J41" s="24"/>
      <c r="L41" s="24"/>
      <c r="M41" s="24"/>
      <c r="N41" s="24"/>
    </row>
    <row r="42" spans="1:14" x14ac:dyDescent="0.25">
      <c r="A42" t="s">
        <v>302</v>
      </c>
      <c r="B42" t="s">
        <v>96</v>
      </c>
      <c r="C42" s="2" t="s">
        <v>214</v>
      </c>
      <c r="D42" s="24">
        <v>0</v>
      </c>
      <c r="E42" s="24">
        <v>0.13</v>
      </c>
      <c r="F42" s="24">
        <v>0.18</v>
      </c>
      <c r="G42" s="24"/>
      <c r="H42" s="24"/>
      <c r="I42" s="24"/>
      <c r="J42" s="24"/>
      <c r="L42" s="24"/>
      <c r="M42" s="24"/>
      <c r="N42" s="24"/>
    </row>
    <row r="43" spans="1:14" x14ac:dyDescent="0.25">
      <c r="A43" t="s">
        <v>303</v>
      </c>
      <c r="B43" t="s">
        <v>96</v>
      </c>
      <c r="C43" s="2" t="s">
        <v>215</v>
      </c>
      <c r="D43" s="24">
        <v>0</v>
      </c>
      <c r="E43" s="24">
        <v>0.12</v>
      </c>
      <c r="F43" s="24">
        <v>0.17</v>
      </c>
      <c r="G43" s="24"/>
      <c r="H43" s="24"/>
      <c r="I43" s="24"/>
      <c r="J43" s="24"/>
      <c r="L43" s="24"/>
      <c r="M43" s="24"/>
      <c r="N43" s="24"/>
    </row>
    <row r="44" spans="1:14" x14ac:dyDescent="0.25">
      <c r="A44" t="s">
        <v>304</v>
      </c>
      <c r="B44" t="s">
        <v>96</v>
      </c>
      <c r="C44" s="2" t="s">
        <v>216</v>
      </c>
      <c r="D44" s="24">
        <v>0</v>
      </c>
      <c r="E44" s="24">
        <v>0.12</v>
      </c>
      <c r="F44" s="24">
        <v>0.16</v>
      </c>
      <c r="G44" s="24"/>
      <c r="H44" s="24"/>
      <c r="I44" s="24"/>
      <c r="J44" s="24"/>
      <c r="L44" s="24"/>
      <c r="M44" s="24"/>
      <c r="N44" s="24"/>
    </row>
    <row r="45" spans="1:14" x14ac:dyDescent="0.25">
      <c r="A45" t="s">
        <v>305</v>
      </c>
      <c r="B45" t="s">
        <v>96</v>
      </c>
      <c r="C45" s="2" t="s">
        <v>270</v>
      </c>
      <c r="D45" s="24">
        <v>0</v>
      </c>
      <c r="E45" s="24">
        <v>0.11</v>
      </c>
      <c r="F45" s="24">
        <v>0.14000000000000001</v>
      </c>
      <c r="G45" s="24"/>
      <c r="H45" s="24"/>
      <c r="I45" s="24"/>
      <c r="J45" s="24"/>
      <c r="L45" s="24"/>
      <c r="M45" s="24"/>
      <c r="N45" s="24"/>
    </row>
    <row r="46" spans="1:14" x14ac:dyDescent="0.25">
      <c r="A46" t="s">
        <v>306</v>
      </c>
      <c r="B46" t="s">
        <v>96</v>
      </c>
      <c r="C46" s="2" t="s">
        <v>271</v>
      </c>
      <c r="D46" s="24">
        <v>0</v>
      </c>
      <c r="E46" s="24">
        <v>0.09</v>
      </c>
      <c r="F46" s="24">
        <v>0.13</v>
      </c>
      <c r="G46" s="24"/>
      <c r="H46" s="24"/>
      <c r="I46" s="24"/>
      <c r="J46" s="24"/>
      <c r="L46" s="24"/>
      <c r="M46" s="24"/>
      <c r="N46" s="24"/>
    </row>
    <row r="47" spans="1:14" x14ac:dyDescent="0.25">
      <c r="A47" t="s">
        <v>307</v>
      </c>
      <c r="B47" t="s">
        <v>101</v>
      </c>
      <c r="C47" s="2" t="s">
        <v>214</v>
      </c>
      <c r="D47" s="24">
        <v>0</v>
      </c>
      <c r="E47" s="24">
        <v>0.12</v>
      </c>
      <c r="F47" s="24">
        <v>0.18</v>
      </c>
      <c r="G47" s="24"/>
      <c r="H47" s="24"/>
      <c r="I47" s="24"/>
      <c r="J47" s="24"/>
      <c r="L47" s="24"/>
      <c r="M47" s="24"/>
      <c r="N47" s="24"/>
    </row>
    <row r="48" spans="1:14" x14ac:dyDescent="0.25">
      <c r="A48" t="s">
        <v>308</v>
      </c>
      <c r="B48" t="s">
        <v>101</v>
      </c>
      <c r="C48" s="2" t="s">
        <v>215</v>
      </c>
      <c r="D48" s="24">
        <v>0</v>
      </c>
      <c r="E48" s="24">
        <v>0.12</v>
      </c>
      <c r="F48" s="24">
        <v>0.17</v>
      </c>
      <c r="G48" s="24"/>
      <c r="H48" s="24"/>
      <c r="I48" s="24"/>
      <c r="J48" s="24"/>
      <c r="L48" s="24"/>
      <c r="M48" s="24"/>
      <c r="N48" s="24"/>
    </row>
    <row r="49" spans="1:14" x14ac:dyDescent="0.25">
      <c r="A49" t="s">
        <v>309</v>
      </c>
      <c r="B49" t="s">
        <v>101</v>
      </c>
      <c r="C49" s="2" t="s">
        <v>216</v>
      </c>
      <c r="D49" s="24">
        <v>0</v>
      </c>
      <c r="E49" s="24">
        <v>0.1</v>
      </c>
      <c r="F49" s="24">
        <v>0.15</v>
      </c>
      <c r="G49" s="24"/>
      <c r="H49" s="24"/>
      <c r="I49" s="24"/>
      <c r="J49" s="24"/>
      <c r="L49" s="24"/>
      <c r="M49" s="24"/>
      <c r="N49" s="24"/>
    </row>
    <row r="50" spans="1:14" x14ac:dyDescent="0.25">
      <c r="A50" t="s">
        <v>310</v>
      </c>
      <c r="B50" t="s">
        <v>101</v>
      </c>
      <c r="C50" s="2" t="s">
        <v>270</v>
      </c>
      <c r="D50" s="24">
        <v>0</v>
      </c>
      <c r="E50" s="24">
        <v>0.08</v>
      </c>
      <c r="F50" s="24">
        <v>0.12</v>
      </c>
      <c r="G50" s="24"/>
      <c r="H50" s="24"/>
      <c r="I50" s="24"/>
      <c r="J50" s="24"/>
      <c r="L50" s="24"/>
      <c r="M50" s="24"/>
      <c r="N50" s="24"/>
    </row>
    <row r="51" spans="1:14" x14ac:dyDescent="0.25">
      <c r="A51" t="s">
        <v>311</v>
      </c>
      <c r="B51" t="s">
        <v>101</v>
      </c>
      <c r="C51" s="2" t="s">
        <v>271</v>
      </c>
      <c r="D51" s="24">
        <v>0</v>
      </c>
      <c r="E51" s="24">
        <v>0.06</v>
      </c>
      <c r="F51" s="24">
        <v>0.09</v>
      </c>
      <c r="G51" s="24"/>
      <c r="H51" s="24"/>
      <c r="I51" s="24"/>
      <c r="J51" s="24"/>
      <c r="L51" s="24"/>
      <c r="M51" s="24"/>
      <c r="N51" s="24"/>
    </row>
    <row r="52" spans="1:14" x14ac:dyDescent="0.25">
      <c r="A52" t="s">
        <v>312</v>
      </c>
      <c r="B52" t="s">
        <v>97</v>
      </c>
      <c r="C52" s="2" t="s">
        <v>214</v>
      </c>
      <c r="D52" s="24">
        <v>0</v>
      </c>
      <c r="E52" s="24">
        <v>0.13</v>
      </c>
      <c r="F52" s="24">
        <v>0.17</v>
      </c>
      <c r="G52" s="24"/>
      <c r="H52" s="24"/>
      <c r="I52" s="24"/>
      <c r="J52" s="24"/>
      <c r="L52" s="24"/>
      <c r="M52" s="24"/>
      <c r="N52" s="24"/>
    </row>
    <row r="53" spans="1:14" x14ac:dyDescent="0.25">
      <c r="A53" t="s">
        <v>313</v>
      </c>
      <c r="B53" t="s">
        <v>97</v>
      </c>
      <c r="C53" s="2" t="s">
        <v>215</v>
      </c>
      <c r="D53" s="24">
        <v>0</v>
      </c>
      <c r="E53" s="24">
        <v>0.13</v>
      </c>
      <c r="F53" s="24">
        <v>0.17</v>
      </c>
      <c r="G53" s="24"/>
      <c r="H53" s="24"/>
      <c r="I53" s="24"/>
      <c r="J53" s="24"/>
      <c r="L53" s="24"/>
      <c r="M53" s="24"/>
      <c r="N53" s="24"/>
    </row>
    <row r="54" spans="1:14" x14ac:dyDescent="0.25">
      <c r="A54" t="s">
        <v>314</v>
      </c>
      <c r="B54" t="s">
        <v>97</v>
      </c>
      <c r="C54" s="2" t="s">
        <v>216</v>
      </c>
      <c r="D54" s="24">
        <v>0</v>
      </c>
      <c r="E54" s="24">
        <v>0.12</v>
      </c>
      <c r="F54" s="24">
        <v>0.16</v>
      </c>
      <c r="G54" s="24"/>
      <c r="H54" s="24"/>
      <c r="I54" s="24"/>
      <c r="J54" s="24"/>
      <c r="L54" s="24"/>
      <c r="M54" s="24"/>
      <c r="N54" s="24"/>
    </row>
    <row r="55" spans="1:14" x14ac:dyDescent="0.25">
      <c r="A55" t="s">
        <v>315</v>
      </c>
      <c r="B55" t="s">
        <v>97</v>
      </c>
      <c r="C55" s="2" t="s">
        <v>270</v>
      </c>
      <c r="D55" s="24">
        <v>0</v>
      </c>
      <c r="E55" s="24">
        <v>0.11</v>
      </c>
      <c r="F55" s="24">
        <v>0.15</v>
      </c>
      <c r="G55" s="24"/>
      <c r="H55" s="24"/>
      <c r="I55" s="24"/>
      <c r="J55" s="24"/>
      <c r="L55" s="24"/>
      <c r="M55" s="24"/>
      <c r="N55" s="24"/>
    </row>
    <row r="56" spans="1:14" x14ac:dyDescent="0.25">
      <c r="A56" t="s">
        <v>316</v>
      </c>
      <c r="B56" t="s">
        <v>97</v>
      </c>
      <c r="C56" s="2" t="s">
        <v>271</v>
      </c>
      <c r="D56" s="24">
        <v>0</v>
      </c>
      <c r="E56" s="24">
        <v>0.1</v>
      </c>
      <c r="F56" s="24">
        <v>0.13</v>
      </c>
      <c r="G56" s="24"/>
      <c r="H56" s="24"/>
      <c r="I56" s="24"/>
      <c r="J56" s="24"/>
      <c r="L56" s="24"/>
      <c r="M56" s="24"/>
      <c r="N56" s="24"/>
    </row>
    <row r="57" spans="1:14" x14ac:dyDescent="0.25">
      <c r="A57" t="s">
        <v>317</v>
      </c>
      <c r="B57" t="s">
        <v>93</v>
      </c>
      <c r="C57" s="2" t="s">
        <v>214</v>
      </c>
      <c r="D57" s="24">
        <v>0</v>
      </c>
      <c r="E57" s="24">
        <v>0.14000000000000001</v>
      </c>
      <c r="F57" s="24">
        <v>0.18</v>
      </c>
      <c r="G57" s="24"/>
      <c r="H57" s="24"/>
      <c r="I57" s="24"/>
      <c r="J57" s="24"/>
      <c r="L57" s="24"/>
      <c r="M57" s="24"/>
      <c r="N57" s="24"/>
    </row>
    <row r="58" spans="1:14" x14ac:dyDescent="0.25">
      <c r="A58" t="s">
        <v>318</v>
      </c>
      <c r="B58" t="s">
        <v>93</v>
      </c>
      <c r="C58" s="2" t="s">
        <v>215</v>
      </c>
      <c r="D58" s="24">
        <v>0</v>
      </c>
      <c r="E58" s="24">
        <v>0.13</v>
      </c>
      <c r="F58" s="24">
        <v>0.16</v>
      </c>
      <c r="G58" s="24"/>
      <c r="H58" s="24"/>
      <c r="I58" s="24"/>
      <c r="J58" s="24"/>
      <c r="L58" s="24"/>
      <c r="M58" s="24"/>
      <c r="N58" s="24"/>
    </row>
    <row r="59" spans="1:14" x14ac:dyDescent="0.25">
      <c r="A59" t="s">
        <v>319</v>
      </c>
      <c r="B59" t="s">
        <v>93</v>
      </c>
      <c r="C59" s="2" t="s">
        <v>216</v>
      </c>
      <c r="D59" s="24">
        <v>0</v>
      </c>
      <c r="E59" s="24">
        <v>0.12</v>
      </c>
      <c r="F59" s="24">
        <v>0.16</v>
      </c>
      <c r="G59" s="24"/>
      <c r="H59" s="24"/>
      <c r="I59" s="24"/>
      <c r="J59" s="24"/>
      <c r="L59" s="24"/>
      <c r="M59" s="24"/>
      <c r="N59" s="24"/>
    </row>
    <row r="60" spans="1:14" x14ac:dyDescent="0.25">
      <c r="A60" t="s">
        <v>320</v>
      </c>
      <c r="B60" t="s">
        <v>93</v>
      </c>
      <c r="C60" s="2" t="s">
        <v>270</v>
      </c>
      <c r="D60" s="24">
        <v>0</v>
      </c>
      <c r="E60" s="24">
        <v>0.11</v>
      </c>
      <c r="F60" s="24">
        <v>0.15</v>
      </c>
      <c r="G60" s="24"/>
      <c r="H60" s="24"/>
      <c r="I60" s="24"/>
      <c r="J60" s="24"/>
      <c r="L60" s="24"/>
      <c r="M60" s="24"/>
      <c r="N60" s="24"/>
    </row>
    <row r="61" spans="1:14" x14ac:dyDescent="0.25">
      <c r="A61" t="s">
        <v>321</v>
      </c>
      <c r="B61" t="s">
        <v>93</v>
      </c>
      <c r="C61" s="2" t="s">
        <v>271</v>
      </c>
      <c r="D61" s="24">
        <v>0</v>
      </c>
      <c r="E61" s="24">
        <v>0.09</v>
      </c>
      <c r="F61" s="24">
        <v>0.13</v>
      </c>
      <c r="G61" s="24"/>
      <c r="H61" s="24"/>
      <c r="I61" s="24"/>
      <c r="J61" s="24"/>
      <c r="L61" s="24"/>
      <c r="M61" s="24"/>
      <c r="N61" s="24"/>
    </row>
    <row r="62" spans="1:14" x14ac:dyDescent="0.25">
      <c r="A62" t="s">
        <v>322</v>
      </c>
      <c r="B62" t="s">
        <v>105</v>
      </c>
      <c r="C62" s="2" t="s">
        <v>214</v>
      </c>
      <c r="D62" s="24">
        <v>0</v>
      </c>
      <c r="E62" s="24">
        <v>0.13</v>
      </c>
      <c r="F62" s="24">
        <v>0.18</v>
      </c>
      <c r="G62" s="24"/>
      <c r="H62" s="24"/>
      <c r="I62" s="24"/>
      <c r="J62" s="24"/>
      <c r="L62" s="24"/>
      <c r="M62" s="24"/>
      <c r="N62" s="24"/>
    </row>
    <row r="63" spans="1:14" x14ac:dyDescent="0.25">
      <c r="A63" t="s">
        <v>323</v>
      </c>
      <c r="B63" t="s">
        <v>105</v>
      </c>
      <c r="C63" s="2" t="s">
        <v>215</v>
      </c>
      <c r="D63" s="24">
        <v>0</v>
      </c>
      <c r="E63" s="24">
        <v>0.12</v>
      </c>
      <c r="F63" s="24">
        <v>0.17</v>
      </c>
      <c r="G63" s="24"/>
      <c r="H63" s="24"/>
      <c r="I63" s="24"/>
      <c r="J63" s="24"/>
      <c r="L63" s="24"/>
      <c r="M63" s="24"/>
      <c r="N63" s="24"/>
    </row>
    <row r="64" spans="1:14" x14ac:dyDescent="0.25">
      <c r="A64" t="s">
        <v>324</v>
      </c>
      <c r="B64" t="s">
        <v>105</v>
      </c>
      <c r="C64" s="2" t="s">
        <v>216</v>
      </c>
      <c r="D64" s="24">
        <v>0</v>
      </c>
      <c r="E64" s="24">
        <v>0.11</v>
      </c>
      <c r="F64" s="24">
        <v>0.16</v>
      </c>
      <c r="G64" s="24"/>
      <c r="H64" s="24"/>
      <c r="I64" s="24"/>
      <c r="J64" s="24"/>
      <c r="L64" s="24"/>
      <c r="M64" s="24"/>
      <c r="N64" s="24"/>
    </row>
    <row r="65" spans="1:14" x14ac:dyDescent="0.25">
      <c r="A65" t="s">
        <v>325</v>
      </c>
      <c r="B65" t="s">
        <v>105</v>
      </c>
      <c r="C65" s="2" t="s">
        <v>270</v>
      </c>
      <c r="D65" s="24">
        <v>0</v>
      </c>
      <c r="E65" s="24">
        <v>0.1</v>
      </c>
      <c r="F65" s="24">
        <v>0.16</v>
      </c>
      <c r="G65" s="24"/>
      <c r="H65" s="24"/>
      <c r="I65" s="24"/>
      <c r="J65" s="24"/>
      <c r="L65" s="24"/>
      <c r="M65" s="24"/>
      <c r="N65" s="24"/>
    </row>
    <row r="66" spans="1:14" x14ac:dyDescent="0.25">
      <c r="A66" t="s">
        <v>326</v>
      </c>
      <c r="B66" t="s">
        <v>105</v>
      </c>
      <c r="C66" s="2" t="s">
        <v>271</v>
      </c>
      <c r="D66" s="24">
        <v>0</v>
      </c>
      <c r="E66" s="24">
        <v>0.09</v>
      </c>
      <c r="F66" s="24">
        <v>0.14000000000000001</v>
      </c>
      <c r="G66" s="24"/>
      <c r="H66" s="24"/>
      <c r="I66" s="24"/>
      <c r="J66" s="24"/>
      <c r="L66" s="24"/>
      <c r="M66" s="24"/>
      <c r="N66" s="24"/>
    </row>
    <row r="67" spans="1:14" x14ac:dyDescent="0.25">
      <c r="A67" t="s">
        <v>327</v>
      </c>
      <c r="B67" t="s">
        <v>92</v>
      </c>
      <c r="C67" s="2" t="s">
        <v>214</v>
      </c>
      <c r="D67" s="24">
        <v>0</v>
      </c>
      <c r="E67" s="24">
        <v>0.09</v>
      </c>
      <c r="F67" s="24">
        <v>0.13</v>
      </c>
      <c r="G67" s="24"/>
      <c r="H67" s="24"/>
      <c r="I67" s="24"/>
      <c r="J67" s="24"/>
      <c r="L67" s="24"/>
      <c r="M67" s="24"/>
      <c r="N67" s="24"/>
    </row>
    <row r="68" spans="1:14" x14ac:dyDescent="0.25">
      <c r="A68" t="s">
        <v>328</v>
      </c>
      <c r="B68" t="s">
        <v>92</v>
      </c>
      <c r="C68" s="2" t="s">
        <v>215</v>
      </c>
      <c r="D68" s="24">
        <v>0</v>
      </c>
      <c r="E68" s="24">
        <v>7.0000000000000007E-2</v>
      </c>
      <c r="F68" s="24">
        <v>0.12</v>
      </c>
      <c r="G68" s="24"/>
      <c r="H68" s="24"/>
      <c r="I68" s="24"/>
      <c r="J68" s="24"/>
      <c r="L68" s="24"/>
      <c r="M68" s="24"/>
      <c r="N68" s="24"/>
    </row>
    <row r="69" spans="1:14" x14ac:dyDescent="0.25">
      <c r="A69" t="s">
        <v>329</v>
      </c>
      <c r="B69" t="s">
        <v>92</v>
      </c>
      <c r="C69" s="2" t="s">
        <v>216</v>
      </c>
      <c r="D69" s="24">
        <v>0</v>
      </c>
      <c r="E69" s="24">
        <v>7.0000000000000007E-2</v>
      </c>
      <c r="F69" s="24">
        <v>0.11</v>
      </c>
      <c r="G69" s="24"/>
      <c r="H69" s="24"/>
      <c r="I69" s="24"/>
      <c r="J69" s="24"/>
      <c r="L69" s="24"/>
      <c r="M69" s="24"/>
      <c r="N69" s="24"/>
    </row>
    <row r="70" spans="1:14" x14ac:dyDescent="0.25">
      <c r="A70" t="s">
        <v>330</v>
      </c>
      <c r="B70" t="s">
        <v>92</v>
      </c>
      <c r="C70" s="2" t="s">
        <v>270</v>
      </c>
      <c r="D70" s="24">
        <v>0</v>
      </c>
      <c r="E70" s="24">
        <v>0.06</v>
      </c>
      <c r="F70" s="24">
        <v>0.11</v>
      </c>
      <c r="G70" s="24"/>
      <c r="H70" s="24"/>
      <c r="I70" s="24"/>
      <c r="J70" s="24"/>
      <c r="L70" s="24"/>
      <c r="M70" s="24"/>
      <c r="N70" s="24"/>
    </row>
    <row r="71" spans="1:14" x14ac:dyDescent="0.25">
      <c r="A71" t="s">
        <v>331</v>
      </c>
      <c r="B71" t="s">
        <v>92</v>
      </c>
      <c r="C71" s="2" t="s">
        <v>271</v>
      </c>
      <c r="D71" s="24">
        <v>0</v>
      </c>
      <c r="E71" s="24">
        <v>0.06</v>
      </c>
      <c r="F71" s="24">
        <v>0.1</v>
      </c>
      <c r="G71" s="24"/>
      <c r="H71" s="24"/>
      <c r="I71" s="24"/>
      <c r="J71" s="24"/>
      <c r="L71" s="24"/>
      <c r="M71" s="24"/>
      <c r="N71" s="24"/>
    </row>
    <row r="72" spans="1:14" x14ac:dyDescent="0.25">
      <c r="A72" t="s">
        <v>332</v>
      </c>
      <c r="B72" t="s">
        <v>91</v>
      </c>
      <c r="C72" s="2" t="s">
        <v>214</v>
      </c>
      <c r="D72" s="24">
        <v>0</v>
      </c>
      <c r="E72" s="24">
        <v>0.11</v>
      </c>
      <c r="F72" s="24">
        <v>0.16</v>
      </c>
      <c r="G72" s="24"/>
      <c r="H72" s="24"/>
      <c r="I72" s="24"/>
      <c r="J72" s="24"/>
      <c r="L72" s="24"/>
      <c r="M72" s="24"/>
      <c r="N72" s="24"/>
    </row>
    <row r="73" spans="1:14" x14ac:dyDescent="0.25">
      <c r="A73" t="s">
        <v>333</v>
      </c>
      <c r="B73" t="s">
        <v>91</v>
      </c>
      <c r="C73" s="2" t="s">
        <v>215</v>
      </c>
      <c r="D73" s="24">
        <v>0</v>
      </c>
      <c r="E73" s="24">
        <v>0.1</v>
      </c>
      <c r="F73" s="24">
        <v>0.15</v>
      </c>
      <c r="G73" s="24"/>
      <c r="H73" s="24"/>
      <c r="I73" s="24"/>
      <c r="J73" s="24"/>
      <c r="L73" s="24"/>
      <c r="M73" s="24"/>
      <c r="N73" s="24"/>
    </row>
    <row r="74" spans="1:14" x14ac:dyDescent="0.25">
      <c r="A74" t="s">
        <v>334</v>
      </c>
      <c r="B74" t="s">
        <v>91</v>
      </c>
      <c r="C74" s="2" t="s">
        <v>216</v>
      </c>
      <c r="D74" s="24">
        <v>0</v>
      </c>
      <c r="E74" s="24">
        <v>0.09</v>
      </c>
      <c r="F74" s="24">
        <v>0.14000000000000001</v>
      </c>
      <c r="G74" s="24"/>
      <c r="H74" s="24"/>
      <c r="I74" s="24"/>
      <c r="J74" s="24"/>
      <c r="L74" s="24"/>
      <c r="M74" s="24"/>
      <c r="N74" s="24"/>
    </row>
    <row r="75" spans="1:14" x14ac:dyDescent="0.25">
      <c r="A75" t="s">
        <v>335</v>
      </c>
      <c r="B75" t="s">
        <v>91</v>
      </c>
      <c r="C75" s="2" t="s">
        <v>270</v>
      </c>
      <c r="D75" s="24">
        <v>0</v>
      </c>
      <c r="E75" s="24">
        <v>0.09</v>
      </c>
      <c r="F75" s="24">
        <v>0.13</v>
      </c>
      <c r="G75" s="24"/>
      <c r="H75" s="24"/>
      <c r="I75" s="24"/>
      <c r="J75" s="24"/>
      <c r="L75" s="24"/>
      <c r="M75" s="24"/>
      <c r="N75" s="24"/>
    </row>
    <row r="76" spans="1:14" x14ac:dyDescent="0.25">
      <c r="A76" t="s">
        <v>336</v>
      </c>
      <c r="B76" t="s">
        <v>91</v>
      </c>
      <c r="C76" s="2" t="s">
        <v>271</v>
      </c>
      <c r="D76" s="24">
        <v>0</v>
      </c>
      <c r="E76" s="24">
        <v>7.0000000000000007E-2</v>
      </c>
      <c r="F76" s="24">
        <v>0.09</v>
      </c>
      <c r="G76" s="24"/>
      <c r="H76" s="24"/>
      <c r="I76" s="24"/>
      <c r="J76" s="24"/>
      <c r="L76" s="24"/>
      <c r="M76" s="24"/>
      <c r="N76" s="24"/>
    </row>
    <row r="77" spans="1:14" x14ac:dyDescent="0.25">
      <c r="A77" t="s">
        <v>337</v>
      </c>
      <c r="B77" t="s">
        <v>90</v>
      </c>
      <c r="C77" s="2" t="s">
        <v>214</v>
      </c>
      <c r="D77" s="24">
        <v>0</v>
      </c>
      <c r="E77" s="24">
        <v>0.08</v>
      </c>
      <c r="F77" s="24">
        <v>0.11</v>
      </c>
      <c r="G77" s="24"/>
      <c r="H77" s="24"/>
      <c r="I77" s="24"/>
      <c r="J77" s="24"/>
      <c r="L77" s="24"/>
      <c r="M77" s="24"/>
      <c r="N77" s="24"/>
    </row>
    <row r="78" spans="1:14" x14ac:dyDescent="0.25">
      <c r="A78" t="s">
        <v>338</v>
      </c>
      <c r="B78" t="s">
        <v>90</v>
      </c>
      <c r="C78" s="2" t="s">
        <v>215</v>
      </c>
      <c r="D78" s="24">
        <v>0</v>
      </c>
      <c r="E78" s="24">
        <v>7.0000000000000007E-2</v>
      </c>
      <c r="F78" s="24">
        <v>0.11</v>
      </c>
      <c r="G78" s="24"/>
      <c r="H78" s="24"/>
      <c r="I78" s="24"/>
      <c r="J78" s="24"/>
      <c r="L78" s="24"/>
      <c r="M78" s="24"/>
      <c r="N78" s="24"/>
    </row>
    <row r="79" spans="1:14" x14ac:dyDescent="0.25">
      <c r="A79" t="s">
        <v>339</v>
      </c>
      <c r="B79" t="s">
        <v>90</v>
      </c>
      <c r="C79" s="2" t="s">
        <v>216</v>
      </c>
      <c r="D79" s="24">
        <v>0</v>
      </c>
      <c r="E79" s="24">
        <v>7.0000000000000007E-2</v>
      </c>
      <c r="F79" s="24">
        <v>0.09</v>
      </c>
      <c r="G79" s="24"/>
      <c r="H79" s="24"/>
      <c r="I79" s="24"/>
      <c r="J79" s="24"/>
      <c r="L79" s="24"/>
      <c r="M79" s="24"/>
      <c r="N79" s="24"/>
    </row>
    <row r="80" spans="1:14" x14ac:dyDescent="0.25">
      <c r="A80" t="s">
        <v>340</v>
      </c>
      <c r="B80" t="s">
        <v>90</v>
      </c>
      <c r="C80" s="2" t="s">
        <v>270</v>
      </c>
      <c r="D80" s="24">
        <v>0</v>
      </c>
      <c r="E80" s="24">
        <v>0.06</v>
      </c>
      <c r="F80" s="24">
        <v>0.08</v>
      </c>
      <c r="G80" s="24"/>
      <c r="H80" s="24"/>
      <c r="I80" s="24"/>
      <c r="J80" s="24"/>
      <c r="L80" s="24"/>
      <c r="M80" s="24"/>
      <c r="N80" s="24"/>
    </row>
    <row r="81" spans="1:14" x14ac:dyDescent="0.25">
      <c r="A81" t="s">
        <v>341</v>
      </c>
      <c r="B81" t="s">
        <v>90</v>
      </c>
      <c r="C81" s="2" t="s">
        <v>271</v>
      </c>
      <c r="D81" s="24">
        <v>0</v>
      </c>
      <c r="E81" s="24">
        <v>0.04</v>
      </c>
      <c r="F81" s="24">
        <v>0.06</v>
      </c>
      <c r="G81" s="24"/>
      <c r="H81" s="24"/>
      <c r="I81" s="24"/>
      <c r="J81" s="24"/>
      <c r="L81" s="24"/>
      <c r="M81" s="24"/>
      <c r="N81" s="24"/>
    </row>
    <row r="82" spans="1:14" x14ac:dyDescent="0.25">
      <c r="A82" t="s">
        <v>342</v>
      </c>
      <c r="B82" t="s">
        <v>89</v>
      </c>
      <c r="C82" s="2" t="s">
        <v>214</v>
      </c>
      <c r="D82" s="24">
        <v>0</v>
      </c>
      <c r="E82" s="24">
        <v>0.12</v>
      </c>
      <c r="F82" s="24">
        <v>0.17</v>
      </c>
      <c r="G82" s="24"/>
      <c r="H82" s="24"/>
      <c r="I82" s="24"/>
      <c r="J82" s="24"/>
      <c r="L82" s="24"/>
      <c r="M82" s="24"/>
      <c r="N82" s="24"/>
    </row>
    <row r="83" spans="1:14" x14ac:dyDescent="0.25">
      <c r="A83" t="s">
        <v>343</v>
      </c>
      <c r="B83" t="s">
        <v>89</v>
      </c>
      <c r="C83" s="2" t="s">
        <v>215</v>
      </c>
      <c r="D83" s="24">
        <v>0</v>
      </c>
      <c r="E83" s="24">
        <v>0.12</v>
      </c>
      <c r="F83" s="24">
        <v>0.16</v>
      </c>
      <c r="G83" s="24"/>
      <c r="H83" s="24"/>
      <c r="I83" s="24"/>
      <c r="J83" s="24"/>
      <c r="L83" s="24"/>
      <c r="M83" s="24"/>
      <c r="N83" s="24"/>
    </row>
    <row r="84" spans="1:14" x14ac:dyDescent="0.25">
      <c r="A84" t="s">
        <v>344</v>
      </c>
      <c r="B84" t="s">
        <v>89</v>
      </c>
      <c r="C84" s="2" t="s">
        <v>216</v>
      </c>
      <c r="D84" s="24">
        <v>0</v>
      </c>
      <c r="E84" s="24">
        <v>0.11</v>
      </c>
      <c r="F84" s="24">
        <v>0.16</v>
      </c>
      <c r="G84" s="24"/>
      <c r="H84" s="24"/>
      <c r="I84" s="24"/>
      <c r="J84" s="24"/>
      <c r="L84" s="24"/>
      <c r="M84" s="24"/>
      <c r="N84" s="24"/>
    </row>
    <row r="85" spans="1:14" x14ac:dyDescent="0.25">
      <c r="A85" t="s">
        <v>345</v>
      </c>
      <c r="B85" t="s">
        <v>89</v>
      </c>
      <c r="C85" s="2" t="s">
        <v>270</v>
      </c>
      <c r="D85" s="24">
        <v>0</v>
      </c>
      <c r="E85" s="24">
        <v>0.11</v>
      </c>
      <c r="F85" s="24">
        <v>0.15</v>
      </c>
      <c r="G85" s="24"/>
      <c r="H85" s="24"/>
      <c r="I85" s="24"/>
      <c r="J85" s="24"/>
      <c r="L85" s="24"/>
      <c r="M85" s="24"/>
      <c r="N85" s="24"/>
    </row>
    <row r="86" spans="1:14" x14ac:dyDescent="0.25">
      <c r="A86" t="s">
        <v>346</v>
      </c>
      <c r="B86" t="s">
        <v>89</v>
      </c>
      <c r="C86" s="2" t="s">
        <v>271</v>
      </c>
      <c r="D86" s="24">
        <v>0</v>
      </c>
      <c r="E86" s="24">
        <v>0.1</v>
      </c>
      <c r="F86" s="24">
        <v>0.14000000000000001</v>
      </c>
      <c r="G86" s="24"/>
      <c r="H86" s="24"/>
      <c r="I86" s="24"/>
      <c r="J86" s="24"/>
      <c r="L86" s="24"/>
      <c r="M86" s="24"/>
      <c r="N86" s="24"/>
    </row>
    <row r="87" spans="1:14" x14ac:dyDescent="0.25">
      <c r="A87" t="s">
        <v>347</v>
      </c>
      <c r="B87" t="s">
        <v>94</v>
      </c>
      <c r="C87" s="2" t="s">
        <v>214</v>
      </c>
      <c r="D87" s="24">
        <v>0</v>
      </c>
      <c r="E87" s="24">
        <v>0.13</v>
      </c>
      <c r="F87" s="24">
        <v>0.16</v>
      </c>
      <c r="G87" s="24"/>
      <c r="H87" s="24"/>
      <c r="I87" s="24"/>
      <c r="J87" s="24"/>
      <c r="L87" s="24"/>
      <c r="M87" s="24"/>
      <c r="N87" s="24"/>
    </row>
    <row r="88" spans="1:14" x14ac:dyDescent="0.25">
      <c r="A88" t="s">
        <v>348</v>
      </c>
      <c r="B88" t="s">
        <v>94</v>
      </c>
      <c r="C88" s="2" t="s">
        <v>215</v>
      </c>
      <c r="D88" s="24">
        <v>0</v>
      </c>
      <c r="E88" s="24">
        <v>0.12</v>
      </c>
      <c r="F88" s="24">
        <v>0.15</v>
      </c>
      <c r="G88" s="24"/>
      <c r="H88" s="24"/>
      <c r="I88" s="24"/>
      <c r="J88" s="24"/>
      <c r="L88" s="24"/>
      <c r="M88" s="24"/>
      <c r="N88" s="24"/>
    </row>
    <row r="89" spans="1:14" x14ac:dyDescent="0.25">
      <c r="A89" t="s">
        <v>349</v>
      </c>
      <c r="B89" t="s">
        <v>94</v>
      </c>
      <c r="C89" s="2" t="s">
        <v>216</v>
      </c>
      <c r="D89" s="24">
        <v>0</v>
      </c>
      <c r="E89" s="24">
        <v>0.11</v>
      </c>
      <c r="F89" s="24">
        <v>0.13</v>
      </c>
      <c r="G89" s="24"/>
      <c r="H89" s="24"/>
      <c r="I89" s="24"/>
      <c r="J89" s="24"/>
      <c r="L89" s="24"/>
      <c r="M89" s="24"/>
      <c r="N89" s="24"/>
    </row>
    <row r="90" spans="1:14" x14ac:dyDescent="0.25">
      <c r="A90" t="s">
        <v>350</v>
      </c>
      <c r="B90" t="s">
        <v>94</v>
      </c>
      <c r="C90" s="2" t="s">
        <v>270</v>
      </c>
      <c r="D90" s="24">
        <v>0</v>
      </c>
      <c r="E90" s="24">
        <v>0.11</v>
      </c>
      <c r="F90" s="24">
        <v>0.13</v>
      </c>
      <c r="G90" s="24"/>
      <c r="H90" s="24"/>
      <c r="I90" s="24"/>
      <c r="J90" s="24"/>
      <c r="L90" s="24"/>
      <c r="M90" s="24"/>
      <c r="N90" s="24"/>
    </row>
    <row r="91" spans="1:14" x14ac:dyDescent="0.25">
      <c r="A91" t="s">
        <v>351</v>
      </c>
      <c r="B91" t="s">
        <v>94</v>
      </c>
      <c r="C91" s="2" t="s">
        <v>271</v>
      </c>
      <c r="D91" s="24">
        <v>0</v>
      </c>
      <c r="E91" s="24">
        <v>0.09</v>
      </c>
      <c r="F91" s="24">
        <v>0.12</v>
      </c>
      <c r="G91" s="24"/>
      <c r="H91" s="24"/>
      <c r="I91" s="24"/>
      <c r="J91" s="24"/>
      <c r="L91" s="24"/>
      <c r="M91" s="24"/>
      <c r="N91" s="24"/>
    </row>
    <row r="92" spans="1:14" x14ac:dyDescent="0.25">
      <c r="A92" t="s">
        <v>352</v>
      </c>
      <c r="B92" t="s">
        <v>86</v>
      </c>
      <c r="C92" s="2" t="s">
        <v>214</v>
      </c>
      <c r="D92" s="24">
        <v>0</v>
      </c>
      <c r="E92" s="24">
        <v>0.12</v>
      </c>
      <c r="F92" s="24">
        <v>0.17</v>
      </c>
      <c r="G92" s="24"/>
      <c r="H92" s="24"/>
      <c r="I92" s="24"/>
      <c r="J92" s="24"/>
      <c r="L92" s="24"/>
      <c r="M92" s="24"/>
      <c r="N92" s="24"/>
    </row>
    <row r="93" spans="1:14" x14ac:dyDescent="0.25">
      <c r="A93" t="s">
        <v>353</v>
      </c>
      <c r="B93" t="s">
        <v>86</v>
      </c>
      <c r="C93" s="2" t="s">
        <v>215</v>
      </c>
      <c r="D93" s="24">
        <v>0</v>
      </c>
      <c r="E93" s="24">
        <v>0.12</v>
      </c>
      <c r="F93" s="24">
        <v>0.16</v>
      </c>
      <c r="G93" s="24"/>
      <c r="H93" s="24"/>
      <c r="I93" s="24"/>
      <c r="J93" s="24"/>
      <c r="L93" s="24"/>
      <c r="M93" s="24"/>
      <c r="N93" s="24"/>
    </row>
    <row r="94" spans="1:14" x14ac:dyDescent="0.25">
      <c r="A94" t="s">
        <v>354</v>
      </c>
      <c r="B94" t="s">
        <v>86</v>
      </c>
      <c r="C94" s="2" t="s">
        <v>216</v>
      </c>
      <c r="D94" s="24">
        <v>0</v>
      </c>
      <c r="E94" s="24">
        <v>0.11</v>
      </c>
      <c r="F94" s="24">
        <v>0.16</v>
      </c>
      <c r="G94" s="24"/>
      <c r="H94" s="24"/>
      <c r="I94" s="24"/>
      <c r="J94" s="24"/>
      <c r="L94" s="24"/>
      <c r="M94" s="24"/>
      <c r="N94" s="24"/>
    </row>
    <row r="95" spans="1:14" x14ac:dyDescent="0.25">
      <c r="A95" t="s">
        <v>355</v>
      </c>
      <c r="B95" t="s">
        <v>86</v>
      </c>
      <c r="C95" s="2" t="s">
        <v>270</v>
      </c>
      <c r="D95" s="24">
        <v>0</v>
      </c>
      <c r="E95" s="24">
        <v>0.1</v>
      </c>
      <c r="F95" s="24">
        <v>0.15</v>
      </c>
      <c r="G95" s="24"/>
      <c r="H95" s="24"/>
      <c r="I95" s="24"/>
      <c r="J95" s="24"/>
      <c r="L95" s="24"/>
      <c r="M95" s="24"/>
      <c r="N95" s="24"/>
    </row>
    <row r="96" spans="1:14" x14ac:dyDescent="0.25">
      <c r="A96" t="s">
        <v>356</v>
      </c>
      <c r="B96" t="s">
        <v>86</v>
      </c>
      <c r="C96" s="2" t="s">
        <v>271</v>
      </c>
      <c r="D96" s="24">
        <v>0</v>
      </c>
      <c r="E96" s="24">
        <v>0.08</v>
      </c>
      <c r="F96" s="24">
        <v>0.13</v>
      </c>
      <c r="G96" s="24"/>
      <c r="H96" s="24"/>
      <c r="I96" s="24"/>
      <c r="J96" s="24"/>
      <c r="L96" s="24"/>
      <c r="M96" s="24"/>
      <c r="N96" s="24"/>
    </row>
    <row r="97" spans="1:14" x14ac:dyDescent="0.25">
      <c r="A97" t="s">
        <v>357</v>
      </c>
      <c r="B97" t="s">
        <v>88</v>
      </c>
      <c r="C97" s="2" t="s">
        <v>214</v>
      </c>
      <c r="D97" s="24">
        <v>0</v>
      </c>
      <c r="E97" s="24">
        <v>0.09</v>
      </c>
      <c r="F97" s="24">
        <v>0.13</v>
      </c>
      <c r="G97" s="24"/>
      <c r="H97" s="24"/>
      <c r="I97" s="24"/>
      <c r="J97" s="24"/>
      <c r="L97" s="24"/>
      <c r="M97" s="24"/>
      <c r="N97" s="24"/>
    </row>
    <row r="98" spans="1:14" x14ac:dyDescent="0.25">
      <c r="A98" t="s">
        <v>358</v>
      </c>
      <c r="B98" t="s">
        <v>88</v>
      </c>
      <c r="C98" s="2" t="s">
        <v>215</v>
      </c>
      <c r="D98" s="24">
        <v>0</v>
      </c>
      <c r="E98" s="24">
        <v>0.08</v>
      </c>
      <c r="F98" s="24">
        <v>0.11</v>
      </c>
      <c r="G98" s="24"/>
      <c r="H98" s="24"/>
      <c r="I98" s="24"/>
      <c r="J98" s="24"/>
      <c r="L98" s="24"/>
      <c r="M98" s="24"/>
      <c r="N98" s="24"/>
    </row>
    <row r="99" spans="1:14" x14ac:dyDescent="0.25">
      <c r="A99" t="s">
        <v>359</v>
      </c>
      <c r="B99" t="s">
        <v>88</v>
      </c>
      <c r="C99" s="2" t="s">
        <v>216</v>
      </c>
      <c r="D99" s="24">
        <v>0</v>
      </c>
      <c r="E99" s="24">
        <v>0.08</v>
      </c>
      <c r="F99" s="24">
        <v>0.11</v>
      </c>
      <c r="G99" s="24"/>
      <c r="H99" s="24"/>
      <c r="I99" s="24"/>
      <c r="J99" s="24"/>
      <c r="L99" s="24"/>
      <c r="M99" s="24"/>
      <c r="N99" s="24"/>
    </row>
    <row r="100" spans="1:14" x14ac:dyDescent="0.25">
      <c r="A100" t="s">
        <v>360</v>
      </c>
      <c r="B100" t="s">
        <v>88</v>
      </c>
      <c r="C100" s="2" t="s">
        <v>270</v>
      </c>
      <c r="D100" s="24">
        <v>0</v>
      </c>
      <c r="E100" s="24">
        <v>7.0000000000000007E-2</v>
      </c>
      <c r="F100" s="24">
        <v>0.09</v>
      </c>
      <c r="G100" s="24"/>
      <c r="H100" s="24"/>
      <c r="I100" s="24"/>
      <c r="J100" s="24"/>
      <c r="L100" s="24"/>
      <c r="M100" s="24"/>
      <c r="N100" s="24"/>
    </row>
    <row r="101" spans="1:14" x14ac:dyDescent="0.25">
      <c r="A101" t="s">
        <v>361</v>
      </c>
      <c r="B101" t="s">
        <v>88</v>
      </c>
      <c r="C101" s="2" t="s">
        <v>271</v>
      </c>
      <c r="D101" s="24">
        <v>0</v>
      </c>
      <c r="E101" s="24">
        <v>0.05</v>
      </c>
      <c r="F101" s="24">
        <v>7.0000000000000007E-2</v>
      </c>
      <c r="G101" s="24"/>
      <c r="H101" s="24"/>
      <c r="I101" s="24"/>
      <c r="J101" s="24"/>
      <c r="L101" s="24"/>
      <c r="M101" s="24"/>
      <c r="N101" s="24"/>
    </row>
    <row r="102" spans="1:14" x14ac:dyDescent="0.25">
      <c r="A102" t="s">
        <v>362</v>
      </c>
      <c r="B102" t="s">
        <v>87</v>
      </c>
      <c r="C102" s="2" t="s">
        <v>214</v>
      </c>
      <c r="D102" s="24">
        <v>0</v>
      </c>
      <c r="E102" s="24">
        <v>0.1</v>
      </c>
      <c r="F102" s="24">
        <v>0.11</v>
      </c>
      <c r="G102" s="24"/>
      <c r="H102" s="24"/>
      <c r="I102" s="24"/>
      <c r="J102" s="24"/>
      <c r="L102" s="24"/>
      <c r="M102" s="24"/>
      <c r="N102" s="24"/>
    </row>
    <row r="103" spans="1:14" x14ac:dyDescent="0.25">
      <c r="A103" t="s">
        <v>363</v>
      </c>
      <c r="B103" t="s">
        <v>87</v>
      </c>
      <c r="C103" s="2" t="s">
        <v>215</v>
      </c>
      <c r="D103" s="24">
        <v>0</v>
      </c>
      <c r="E103" s="24">
        <v>0.09</v>
      </c>
      <c r="F103" s="24">
        <v>0.11</v>
      </c>
      <c r="G103" s="24"/>
      <c r="H103" s="24"/>
      <c r="I103" s="24"/>
      <c r="J103" s="24"/>
      <c r="L103" s="24"/>
      <c r="M103" s="24"/>
      <c r="N103" s="24"/>
    </row>
    <row r="104" spans="1:14" x14ac:dyDescent="0.25">
      <c r="A104" t="s">
        <v>364</v>
      </c>
      <c r="B104" t="s">
        <v>87</v>
      </c>
      <c r="C104" s="2" t="s">
        <v>216</v>
      </c>
      <c r="D104" s="24">
        <v>0</v>
      </c>
      <c r="E104" s="24">
        <v>0.08</v>
      </c>
      <c r="F104" s="24">
        <v>0.1</v>
      </c>
      <c r="G104" s="24"/>
      <c r="H104" s="24"/>
      <c r="I104" s="24"/>
      <c r="J104" s="24"/>
      <c r="L104" s="24"/>
      <c r="M104" s="24"/>
      <c r="N104" s="24"/>
    </row>
    <row r="105" spans="1:14" x14ac:dyDescent="0.25">
      <c r="A105" t="s">
        <v>365</v>
      </c>
      <c r="B105" t="s">
        <v>87</v>
      </c>
      <c r="C105" s="2" t="s">
        <v>270</v>
      </c>
      <c r="D105" s="24">
        <v>0</v>
      </c>
      <c r="E105" s="24">
        <v>7.0000000000000007E-2</v>
      </c>
      <c r="F105" s="24">
        <v>0.09</v>
      </c>
      <c r="G105" s="24"/>
      <c r="H105" s="24"/>
      <c r="I105" s="24"/>
      <c r="J105" s="24"/>
      <c r="L105" s="24"/>
      <c r="M105" s="24"/>
      <c r="N105" s="24"/>
    </row>
    <row r="106" spans="1:14" x14ac:dyDescent="0.25">
      <c r="A106" t="s">
        <v>366</v>
      </c>
      <c r="B106" t="s">
        <v>87</v>
      </c>
      <c r="C106" s="2" t="s">
        <v>271</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459</v>
      </c>
      <c r="B1" t="s">
        <v>123</v>
      </c>
      <c r="C1" t="s">
        <v>124</v>
      </c>
      <c r="D1" t="s">
        <v>464</v>
      </c>
      <c r="E1" s="3" t="s">
        <v>461</v>
      </c>
      <c r="F1" s="3" t="e">
        <f>IF(#REF!="NEW CUSTOMER","Select Drops/Wk","")</f>
        <v>#REF!</v>
      </c>
      <c r="G1" s="14" t="s">
        <v>204</v>
      </c>
      <c r="H1" s="14" t="str">
        <f>""</f>
        <v/>
      </c>
      <c r="I1" s="14" t="s">
        <v>204</v>
      </c>
      <c r="J1" s="14" t="str">
        <f>""</f>
        <v/>
      </c>
      <c r="K1" s="14" t="str">
        <f>""</f>
        <v/>
      </c>
      <c r="L1" t="s">
        <v>202</v>
      </c>
      <c r="M1" s="14" t="s">
        <v>213</v>
      </c>
      <c r="N1" s="14" t="s">
        <v>990</v>
      </c>
      <c r="O1" s="14" t="s">
        <v>544</v>
      </c>
      <c r="P1" t="s">
        <v>243</v>
      </c>
      <c r="Q1" t="s">
        <v>235</v>
      </c>
      <c r="R1" t="s">
        <v>465</v>
      </c>
      <c r="S1" t="s">
        <v>253</v>
      </c>
      <c r="T1" t="s">
        <v>254</v>
      </c>
      <c r="U1" t="s">
        <v>255</v>
      </c>
      <c r="V1" t="s">
        <v>256</v>
      </c>
      <c r="W1" t="s">
        <v>254</v>
      </c>
      <c r="X1" t="s">
        <v>255</v>
      </c>
      <c r="Z1" t="s">
        <v>460</v>
      </c>
      <c r="AA1" t="s">
        <v>463</v>
      </c>
      <c r="AB1" t="s">
        <v>462</v>
      </c>
      <c r="AD1" t="s">
        <v>506</v>
      </c>
      <c r="AE1" t="s">
        <v>507</v>
      </c>
      <c r="AF1" t="s">
        <v>531</v>
      </c>
      <c r="AH1" s="2"/>
      <c r="AI1" t="s">
        <v>1071</v>
      </c>
      <c r="AJ1" t="s">
        <v>1164</v>
      </c>
      <c r="AK1" t="s">
        <v>1337</v>
      </c>
    </row>
    <row r="2" spans="1:37" x14ac:dyDescent="0.25">
      <c r="A2" t="s">
        <v>438</v>
      </c>
      <c r="B2" t="s">
        <v>106</v>
      </c>
      <c r="C2" t="s">
        <v>1</v>
      </c>
      <c r="E2" t="s">
        <v>58</v>
      </c>
      <c r="F2" s="3">
        <v>1</v>
      </c>
      <c r="G2" s="14" t="s">
        <v>130</v>
      </c>
      <c r="H2" s="14" t="s">
        <v>222</v>
      </c>
      <c r="I2" s="14" t="s">
        <v>518</v>
      </c>
      <c r="J2" s="14">
        <v>0.01</v>
      </c>
      <c r="K2" s="14">
        <v>1.4999999999999999E-2</v>
      </c>
      <c r="L2" t="s">
        <v>207</v>
      </c>
      <c r="M2">
        <v>2</v>
      </c>
      <c r="N2" t="s">
        <v>1025</v>
      </c>
      <c r="O2" s="2" t="s">
        <v>546</v>
      </c>
      <c r="P2" t="s">
        <v>236</v>
      </c>
      <c r="Q2">
        <v>0</v>
      </c>
      <c r="R2" t="s">
        <v>249</v>
      </c>
      <c r="S2" s="18">
        <v>4.3999999999999997E-2</v>
      </c>
      <c r="T2" s="18">
        <v>6.6000000000000003E-2</v>
      </c>
      <c r="U2" s="18">
        <v>0.14799999999999999</v>
      </c>
      <c r="V2" s="19">
        <v>0</v>
      </c>
      <c r="W2" s="19">
        <v>6.2E-4</v>
      </c>
      <c r="X2" s="19">
        <v>1.4030000000000001E-2</v>
      </c>
      <c r="Z2" t="s">
        <v>373</v>
      </c>
      <c r="AA2" s="26">
        <v>1</v>
      </c>
      <c r="AB2" s="990" t="s">
        <v>378</v>
      </c>
      <c r="AC2" t="s">
        <v>471</v>
      </c>
      <c r="AD2" t="s">
        <v>489</v>
      </c>
      <c r="AE2" t="s">
        <v>489</v>
      </c>
      <c r="AF2" s="39">
        <v>0.08</v>
      </c>
      <c r="AG2" t="s">
        <v>244</v>
      </c>
      <c r="AH2" s="2" t="s">
        <v>1018</v>
      </c>
      <c r="AI2" t="s">
        <v>492</v>
      </c>
      <c r="AJ2" t="s">
        <v>671</v>
      </c>
      <c r="AK2" t="s">
        <v>1338</v>
      </c>
    </row>
    <row r="3" spans="1:37" x14ac:dyDescent="0.25">
      <c r="A3" t="s">
        <v>427</v>
      </c>
      <c r="B3" t="s">
        <v>23</v>
      </c>
      <c r="C3" t="s">
        <v>112</v>
      </c>
      <c r="D3" t="s">
        <v>14</v>
      </c>
      <c r="E3" t="s">
        <v>22</v>
      </c>
      <c r="F3" s="3">
        <v>2</v>
      </c>
      <c r="G3" s="14" t="s">
        <v>476</v>
      </c>
      <c r="H3" s="14" t="s">
        <v>476</v>
      </c>
      <c r="I3" s="14" t="s">
        <v>480</v>
      </c>
      <c r="J3" s="14">
        <v>0.01</v>
      </c>
      <c r="K3" s="14">
        <v>1.4999999999999999E-2</v>
      </c>
      <c r="L3" t="s">
        <v>208</v>
      </c>
      <c r="M3">
        <v>3</v>
      </c>
      <c r="P3" t="s">
        <v>237</v>
      </c>
      <c r="Q3">
        <v>4</v>
      </c>
      <c r="R3" t="s">
        <v>250</v>
      </c>
      <c r="S3" s="18">
        <v>7.9000000000000001E-2</v>
      </c>
      <c r="T3" s="18">
        <v>9.6000000000000002E-2</v>
      </c>
      <c r="U3" s="18">
        <v>0.161</v>
      </c>
      <c r="V3" s="19">
        <v>0</v>
      </c>
      <c r="W3" s="19">
        <v>2.3000000000000001E-4</v>
      </c>
      <c r="X3" s="19">
        <v>1.2120000000000001E-2</v>
      </c>
      <c r="Z3" t="s">
        <v>374</v>
      </c>
      <c r="AA3" s="26">
        <v>2</v>
      </c>
      <c r="AB3" s="991" t="s">
        <v>1017</v>
      </c>
      <c r="AC3" t="s">
        <v>468</v>
      </c>
      <c r="AD3" t="s">
        <v>504</v>
      </c>
      <c r="AE3" t="s">
        <v>505</v>
      </c>
      <c r="AF3" s="59">
        <v>0.09</v>
      </c>
      <c r="AI3" t="s">
        <v>491</v>
      </c>
      <c r="AJ3" t="s">
        <v>669</v>
      </c>
      <c r="AK3" t="s">
        <v>1339</v>
      </c>
    </row>
    <row r="4" spans="1:37" x14ac:dyDescent="0.25">
      <c r="A4" t="s">
        <v>452</v>
      </c>
      <c r="B4" t="s">
        <v>13</v>
      </c>
      <c r="C4" t="s">
        <v>113</v>
      </c>
      <c r="D4" t="s">
        <v>62</v>
      </c>
      <c r="E4" t="s">
        <v>32</v>
      </c>
      <c r="F4" s="3">
        <v>3</v>
      </c>
      <c r="G4" s="14" t="s">
        <v>478</v>
      </c>
      <c r="H4" s="14" t="s">
        <v>476</v>
      </c>
      <c r="I4" s="14"/>
      <c r="J4" s="14"/>
      <c r="K4" s="14"/>
      <c r="M4">
        <v>4</v>
      </c>
      <c r="P4" t="s">
        <v>238</v>
      </c>
      <c r="Q4">
        <v>5</v>
      </c>
      <c r="R4" t="s">
        <v>251</v>
      </c>
      <c r="S4" s="18">
        <v>8.8999999999999996E-2</v>
      </c>
      <c r="T4" s="18">
        <v>0.106</v>
      </c>
      <c r="U4" s="18">
        <v>0.17299999999999999</v>
      </c>
      <c r="V4" s="19">
        <v>0</v>
      </c>
      <c r="W4" s="19">
        <v>0</v>
      </c>
      <c r="X4" s="19">
        <v>1.15E-2</v>
      </c>
      <c r="Z4" t="s">
        <v>375</v>
      </c>
      <c r="AA4" s="26">
        <v>3</v>
      </c>
      <c r="AB4" s="990" t="s">
        <v>1207</v>
      </c>
      <c r="AF4" s="59">
        <v>0.1</v>
      </c>
      <c r="AI4" t="s">
        <v>1292</v>
      </c>
      <c r="AK4" t="s">
        <v>1340</v>
      </c>
    </row>
    <row r="5" spans="1:37" x14ac:dyDescent="0.25">
      <c r="A5" t="s">
        <v>407</v>
      </c>
      <c r="B5" t="s">
        <v>3</v>
      </c>
      <c r="C5" t="s">
        <v>111</v>
      </c>
      <c r="D5" t="s">
        <v>74</v>
      </c>
      <c r="E5" t="s">
        <v>65</v>
      </c>
      <c r="F5" s="3">
        <v>4</v>
      </c>
      <c r="G5" s="14" t="s">
        <v>477</v>
      </c>
      <c r="H5" s="14" t="s">
        <v>476</v>
      </c>
      <c r="J5" s="14"/>
      <c r="K5" s="14"/>
      <c r="M5">
        <v>5</v>
      </c>
      <c r="P5" t="s">
        <v>239</v>
      </c>
      <c r="Q5">
        <v>6</v>
      </c>
      <c r="R5" t="s">
        <v>252</v>
      </c>
      <c r="S5" s="18">
        <v>9.2999999999999999E-2</v>
      </c>
      <c r="T5" s="18">
        <v>0.115</v>
      </c>
      <c r="U5" s="18">
        <v>0.191</v>
      </c>
      <c r="V5" s="19">
        <v>0</v>
      </c>
      <c r="W5" s="19">
        <v>0</v>
      </c>
      <c r="X5" s="19">
        <v>4.8500000000000001E-3</v>
      </c>
      <c r="Z5" t="s">
        <v>376</v>
      </c>
      <c r="AA5" s="26">
        <v>4</v>
      </c>
      <c r="AB5" s="990" t="s">
        <v>1293</v>
      </c>
      <c r="AF5" s="59">
        <v>0.11</v>
      </c>
      <c r="AK5" t="s">
        <v>1341</v>
      </c>
    </row>
    <row r="6" spans="1:37" x14ac:dyDescent="0.25">
      <c r="A6" t="s">
        <v>431</v>
      </c>
      <c r="B6" t="s">
        <v>8</v>
      </c>
      <c r="C6" t="s">
        <v>115</v>
      </c>
      <c r="D6" t="s">
        <v>34</v>
      </c>
      <c r="E6" t="s">
        <v>37</v>
      </c>
      <c r="F6" s="3">
        <v>5</v>
      </c>
      <c r="G6" s="14" t="s">
        <v>479</v>
      </c>
      <c r="H6" s="14" t="s">
        <v>476</v>
      </c>
      <c r="I6" s="14">
        <v>5</v>
      </c>
      <c r="J6" s="14"/>
      <c r="K6" s="14"/>
      <c r="P6" t="s">
        <v>240</v>
      </c>
      <c r="Q6">
        <v>7</v>
      </c>
      <c r="AA6" s="26">
        <v>5</v>
      </c>
      <c r="AB6" s="990" t="s">
        <v>1294</v>
      </c>
      <c r="AF6" s="59">
        <v>0.12</v>
      </c>
      <c r="AK6" t="s">
        <v>1342</v>
      </c>
    </row>
    <row r="7" spans="1:37" x14ac:dyDescent="0.25">
      <c r="A7" t="s">
        <v>422</v>
      </c>
      <c r="B7" t="s">
        <v>18</v>
      </c>
      <c r="D7" t="s">
        <v>0</v>
      </c>
      <c r="E7"/>
      <c r="G7" s="14" t="s">
        <v>132</v>
      </c>
      <c r="H7" s="14"/>
      <c r="I7" s="14">
        <v>6</v>
      </c>
      <c r="J7" s="14"/>
      <c r="K7" s="14"/>
      <c r="P7" t="s">
        <v>241</v>
      </c>
      <c r="Q7">
        <v>8</v>
      </c>
      <c r="AA7" s="26">
        <v>6</v>
      </c>
      <c r="AB7" s="993"/>
    </row>
    <row r="8" spans="1:37" x14ac:dyDescent="0.25">
      <c r="A8" t="s">
        <v>425</v>
      </c>
      <c r="D8" t="s">
        <v>69</v>
      </c>
      <c r="E8"/>
      <c r="G8" s="14"/>
      <c r="H8" s="14"/>
      <c r="I8" s="14">
        <v>7</v>
      </c>
      <c r="J8" s="14"/>
      <c r="K8" s="14"/>
      <c r="P8" t="s">
        <v>242</v>
      </c>
      <c r="Q8">
        <v>9</v>
      </c>
      <c r="AA8" s="26">
        <v>7</v>
      </c>
    </row>
    <row r="9" spans="1:37" x14ac:dyDescent="0.25">
      <c r="A9" t="s">
        <v>418</v>
      </c>
      <c r="D9" t="s">
        <v>4</v>
      </c>
      <c r="E9"/>
      <c r="I9" s="14">
        <v>8</v>
      </c>
      <c r="J9" s="14"/>
      <c r="K9" s="14"/>
      <c r="AA9" s="26">
        <v>8</v>
      </c>
    </row>
    <row r="10" spans="1:37" x14ac:dyDescent="0.25">
      <c r="A10" t="s">
        <v>457</v>
      </c>
      <c r="D10" t="s">
        <v>35</v>
      </c>
      <c r="E10"/>
      <c r="I10" s="14">
        <v>8</v>
      </c>
      <c r="J10" s="14"/>
      <c r="K10" s="14"/>
      <c r="AA10" s="26">
        <v>9</v>
      </c>
    </row>
    <row r="11" spans="1:37" x14ac:dyDescent="0.25">
      <c r="A11" t="s">
        <v>429</v>
      </c>
      <c r="D11" t="s">
        <v>6</v>
      </c>
      <c r="E11"/>
      <c r="I11" s="14">
        <v>9</v>
      </c>
      <c r="J11" s="43" t="s">
        <v>483</v>
      </c>
      <c r="K11" s="45">
        <f>'EB_CM (Back)'!$B$7</f>
        <v>0</v>
      </c>
      <c r="L11" s="43" t="s">
        <v>481</v>
      </c>
      <c r="M11" s="1" t="s">
        <v>482</v>
      </c>
      <c r="AA11" s="26">
        <v>10</v>
      </c>
    </row>
    <row r="12" spans="1:37" x14ac:dyDescent="0.25">
      <c r="A12" t="s">
        <v>442</v>
      </c>
      <c r="D12" t="s">
        <v>15</v>
      </c>
      <c r="E12"/>
      <c r="G12" s="14"/>
      <c r="H12" s="14"/>
      <c r="I12" s="14">
        <v>10</v>
      </c>
      <c r="J12" s="43"/>
      <c r="K12" s="47">
        <f>IF($K$11&lt;$L$17,$M$17,IF($K$11&lt;$L$16,$M$16,IF($K$11&lt;$L$15,$M$15,IF($K$11&lt;$L$14,$M$14,IF($K$11&lt;$L$13,$M$13,$M$12)))))</f>
        <v>2.5000000000000001E-3</v>
      </c>
      <c r="L12" s="43">
        <v>0.69099999999999995</v>
      </c>
      <c r="M12" s="46">
        <v>0.02</v>
      </c>
      <c r="AA12" s="26">
        <v>11</v>
      </c>
    </row>
    <row r="13" spans="1:37" x14ac:dyDescent="0.25">
      <c r="A13" t="s">
        <v>456</v>
      </c>
      <c r="C13" t="s">
        <v>114</v>
      </c>
      <c r="D13" t="s">
        <v>45</v>
      </c>
      <c r="E13"/>
      <c r="G13" s="14"/>
      <c r="H13" s="14"/>
      <c r="I13" s="14"/>
      <c r="J13" s="14"/>
      <c r="L13" s="43">
        <v>0.55000000000000004</v>
      </c>
      <c r="M13" s="46">
        <v>1.4999999999999999E-2</v>
      </c>
    </row>
    <row r="14" spans="1:37" x14ac:dyDescent="0.25">
      <c r="A14" t="s">
        <v>411</v>
      </c>
      <c r="C14" t="s">
        <v>116</v>
      </c>
      <c r="D14" t="s">
        <v>48</v>
      </c>
      <c r="E14" t="s">
        <v>42</v>
      </c>
      <c r="G14" s="14"/>
      <c r="H14" s="14"/>
      <c r="I14" s="14"/>
      <c r="J14" s="14" t="s">
        <v>493</v>
      </c>
      <c r="L14" s="43">
        <v>0.5</v>
      </c>
      <c r="M14" s="46">
        <v>1.2500000000000001E-2</v>
      </c>
    </row>
    <row r="15" spans="1:37" x14ac:dyDescent="0.25">
      <c r="A15" t="s">
        <v>453</v>
      </c>
      <c r="C15" t="s">
        <v>118</v>
      </c>
      <c r="D15" t="s">
        <v>60</v>
      </c>
      <c r="E15" t="s">
        <v>29</v>
      </c>
      <c r="G15" s="9"/>
      <c r="H15" s="9"/>
      <c r="I15" s="9"/>
      <c r="J15" s="9"/>
      <c r="L15" s="44">
        <v>0.43009999999999998</v>
      </c>
      <c r="M15" s="46">
        <v>0.01</v>
      </c>
    </row>
    <row r="16" spans="1:37" x14ac:dyDescent="0.25">
      <c r="A16" t="s">
        <v>417</v>
      </c>
      <c r="C16" t="s">
        <v>117</v>
      </c>
      <c r="D16" t="s">
        <v>20</v>
      </c>
      <c r="E16" t="s">
        <v>64</v>
      </c>
      <c r="G16" s="9"/>
      <c r="H16" s="9"/>
      <c r="I16" s="9"/>
      <c r="J16" s="9"/>
      <c r="L16" s="44">
        <v>0.30010000000000003</v>
      </c>
      <c r="M16" s="46">
        <v>5.0000000000000001E-3</v>
      </c>
    </row>
    <row r="17" spans="1:13" x14ac:dyDescent="0.25">
      <c r="A17" t="s">
        <v>420</v>
      </c>
      <c r="D17" t="s">
        <v>36</v>
      </c>
      <c r="E17" t="s">
        <v>19</v>
      </c>
      <c r="G17" s="9"/>
      <c r="H17" s="9"/>
      <c r="I17" s="9"/>
      <c r="J17" s="9"/>
      <c r="L17" s="44">
        <v>0.1</v>
      </c>
      <c r="M17" s="46">
        <v>2.5000000000000001E-3</v>
      </c>
    </row>
    <row r="18" spans="1:13" x14ac:dyDescent="0.25">
      <c r="A18" t="s">
        <v>410</v>
      </c>
      <c r="D18" t="s">
        <v>71</v>
      </c>
      <c r="E18" t="s">
        <v>121</v>
      </c>
      <c r="G18" s="9"/>
      <c r="H18" s="9"/>
      <c r="I18" s="9"/>
      <c r="J18" s="9"/>
      <c r="K18" s="9"/>
    </row>
    <row r="19" spans="1:13" x14ac:dyDescent="0.25">
      <c r="A19" t="s">
        <v>449</v>
      </c>
      <c r="D19" t="s">
        <v>11</v>
      </c>
      <c r="E19" t="s">
        <v>58</v>
      </c>
      <c r="G19" s="9"/>
      <c r="H19" s="9"/>
      <c r="I19" s="9"/>
      <c r="J19" s="44" t="s">
        <v>219</v>
      </c>
      <c r="K19" s="44" t="e">
        <f>#REF!/(#REF!*52)</f>
        <v>#REF!</v>
      </c>
      <c r="L19" s="1" t="s">
        <v>484</v>
      </c>
      <c r="M19" s="1" t="s">
        <v>485</v>
      </c>
    </row>
    <row r="20" spans="1:13" x14ac:dyDescent="0.25">
      <c r="A20" t="s">
        <v>433</v>
      </c>
      <c r="D20" t="s">
        <v>9</v>
      </c>
      <c r="E20" t="s">
        <v>22</v>
      </c>
      <c r="G20" s="9"/>
      <c r="H20" s="9"/>
      <c r="I20" s="9"/>
      <c r="J20" s="44"/>
      <c r="K20" s="44" t="e">
        <f>IF($K$19&lt;$L$24,$M$24,IF($K$19&lt;$L$23,$M$23,IF($K$19&lt;$L$22,$M$22,IF($K$19&lt;$L$21,$M$21,$M$20))))</f>
        <v>#REF!</v>
      </c>
      <c r="L20" s="1"/>
      <c r="M20" s="46">
        <v>1.4999999999999999E-2</v>
      </c>
    </row>
    <row r="21" spans="1:13" x14ac:dyDescent="0.25">
      <c r="A21" t="s">
        <v>445</v>
      </c>
      <c r="D21" t="s">
        <v>38</v>
      </c>
      <c r="E21" t="s">
        <v>43</v>
      </c>
      <c r="G21" s="9"/>
      <c r="H21" s="9"/>
      <c r="I21" s="9"/>
      <c r="J21" s="9"/>
      <c r="K21" s="9"/>
      <c r="L21" s="1">
        <v>3133.9311044776123</v>
      </c>
      <c r="M21" s="46">
        <v>0.01</v>
      </c>
    </row>
    <row r="22" spans="1:13" x14ac:dyDescent="0.25">
      <c r="A22" t="s">
        <v>415</v>
      </c>
      <c r="D22" t="s">
        <v>264</v>
      </c>
      <c r="E22" t="s">
        <v>10</v>
      </c>
      <c r="L22" s="1">
        <v>2118.2275862069</v>
      </c>
      <c r="M22" s="46">
        <v>7.4999999999999997E-3</v>
      </c>
    </row>
    <row r="23" spans="1:13" x14ac:dyDescent="0.25">
      <c r="A23" t="s">
        <v>435</v>
      </c>
      <c r="D23" t="s">
        <v>260</v>
      </c>
      <c r="E23" t="s">
        <v>55</v>
      </c>
      <c r="L23" s="1">
        <v>1484.5700242718401</v>
      </c>
      <c r="M23" s="46">
        <v>5.0000000000000001E-3</v>
      </c>
    </row>
    <row r="24" spans="1:13" x14ac:dyDescent="0.25">
      <c r="A24" t="s">
        <v>426</v>
      </c>
      <c r="D24" t="s">
        <v>261</v>
      </c>
      <c r="E24" t="s">
        <v>26</v>
      </c>
      <c r="L24" s="1">
        <v>968.90328358209001</v>
      </c>
      <c r="M24" s="46">
        <v>0</v>
      </c>
    </row>
    <row r="25" spans="1:13" ht="18.75" x14ac:dyDescent="0.3">
      <c r="A25" t="s">
        <v>451</v>
      </c>
      <c r="D25" t="s">
        <v>262</v>
      </c>
      <c r="E25" t="s">
        <v>50</v>
      </c>
      <c r="G25" s="11"/>
      <c r="H25" s="11"/>
      <c r="I25" s="11"/>
      <c r="J25" s="11"/>
      <c r="K25" s="11"/>
    </row>
    <row r="26" spans="1:13" x14ac:dyDescent="0.25">
      <c r="A26" t="s">
        <v>440</v>
      </c>
      <c r="D26" t="s">
        <v>263</v>
      </c>
      <c r="E26" t="s">
        <v>67</v>
      </c>
    </row>
    <row r="27" spans="1:13" x14ac:dyDescent="0.25">
      <c r="A27" t="s">
        <v>406</v>
      </c>
      <c r="D27" t="s">
        <v>265</v>
      </c>
      <c r="E27" t="s">
        <v>32</v>
      </c>
    </row>
    <row r="28" spans="1:13" x14ac:dyDescent="0.25">
      <c r="A28" t="s">
        <v>409</v>
      </c>
      <c r="D28" t="s">
        <v>266</v>
      </c>
      <c r="E28" t="s">
        <v>80</v>
      </c>
    </row>
    <row r="29" spans="1:13" x14ac:dyDescent="0.25">
      <c r="A29" t="s">
        <v>454</v>
      </c>
      <c r="D29" t="s">
        <v>267</v>
      </c>
      <c r="E29" t="s">
        <v>46</v>
      </c>
    </row>
    <row r="30" spans="1:13" x14ac:dyDescent="0.25">
      <c r="A30" t="s">
        <v>439</v>
      </c>
      <c r="D30" t="s">
        <v>268</v>
      </c>
      <c r="E30" t="s">
        <v>77</v>
      </c>
    </row>
    <row r="31" spans="1:13" x14ac:dyDescent="0.25">
      <c r="A31" t="s">
        <v>444</v>
      </c>
      <c r="E31" t="s">
        <v>65</v>
      </c>
    </row>
    <row r="32" spans="1:13" x14ac:dyDescent="0.25">
      <c r="A32" t="s">
        <v>434</v>
      </c>
      <c r="E32" t="s">
        <v>37</v>
      </c>
    </row>
    <row r="33" spans="1:5" x14ac:dyDescent="0.25">
      <c r="A33" t="s">
        <v>428</v>
      </c>
      <c r="D33" t="s">
        <v>264</v>
      </c>
      <c r="E33" t="s">
        <v>2</v>
      </c>
    </row>
    <row r="34" spans="1:5" x14ac:dyDescent="0.25">
      <c r="A34" t="s">
        <v>447</v>
      </c>
      <c r="D34" t="s">
        <v>260</v>
      </c>
      <c r="E34" t="s">
        <v>52</v>
      </c>
    </row>
    <row r="35" spans="1:5" x14ac:dyDescent="0.25">
      <c r="A35" t="s">
        <v>414</v>
      </c>
      <c r="D35" t="s">
        <v>261</v>
      </c>
      <c r="E35" t="s">
        <v>76</v>
      </c>
    </row>
    <row r="36" spans="1:5" x14ac:dyDescent="0.25">
      <c r="A36" t="s">
        <v>436</v>
      </c>
      <c r="D36" t="s">
        <v>262</v>
      </c>
      <c r="E36" t="s">
        <v>63</v>
      </c>
    </row>
    <row r="37" spans="1:5" x14ac:dyDescent="0.25">
      <c r="A37" t="s">
        <v>432</v>
      </c>
      <c r="D37" t="s">
        <v>263</v>
      </c>
      <c r="E37" t="s">
        <v>68</v>
      </c>
    </row>
    <row r="38" spans="1:5" x14ac:dyDescent="0.25">
      <c r="A38" t="s">
        <v>448</v>
      </c>
      <c r="D38" t="s">
        <v>265</v>
      </c>
      <c r="E38" t="s">
        <v>21</v>
      </c>
    </row>
    <row r="39" spans="1:5" x14ac:dyDescent="0.25">
      <c r="A39" t="s">
        <v>437</v>
      </c>
      <c r="D39" t="s">
        <v>266</v>
      </c>
      <c r="E39" t="s">
        <v>51</v>
      </c>
    </row>
    <row r="40" spans="1:5" x14ac:dyDescent="0.25">
      <c r="A40" t="s">
        <v>412</v>
      </c>
      <c r="D40" t="s">
        <v>267</v>
      </c>
      <c r="E40" t="s">
        <v>41</v>
      </c>
    </row>
    <row r="41" spans="1:5" x14ac:dyDescent="0.25">
      <c r="A41" t="s">
        <v>413</v>
      </c>
      <c r="D41" t="s">
        <v>268</v>
      </c>
      <c r="E41" t="s">
        <v>28</v>
      </c>
    </row>
    <row r="42" spans="1:5" x14ac:dyDescent="0.25">
      <c r="A42" t="s">
        <v>424</v>
      </c>
      <c r="E42" t="s">
        <v>39</v>
      </c>
    </row>
    <row r="43" spans="1:5" x14ac:dyDescent="0.25">
      <c r="A43" t="s">
        <v>443</v>
      </c>
      <c r="E43" t="s">
        <v>49</v>
      </c>
    </row>
    <row r="44" spans="1:5" x14ac:dyDescent="0.25">
      <c r="A44" t="s">
        <v>423</v>
      </c>
      <c r="E44" t="s">
        <v>246</v>
      </c>
    </row>
    <row r="45" spans="1:5" x14ac:dyDescent="0.25">
      <c r="A45" t="s">
        <v>419</v>
      </c>
      <c r="E45" t="s">
        <v>66</v>
      </c>
    </row>
    <row r="46" spans="1:5" x14ac:dyDescent="0.25">
      <c r="A46" t="s">
        <v>408</v>
      </c>
      <c r="E46" t="s">
        <v>70</v>
      </c>
    </row>
    <row r="47" spans="1:5" x14ac:dyDescent="0.25">
      <c r="A47" t="s">
        <v>458</v>
      </c>
      <c r="E47" t="s">
        <v>24</v>
      </c>
    </row>
    <row r="48" spans="1:5" x14ac:dyDescent="0.25">
      <c r="A48" t="s">
        <v>446</v>
      </c>
      <c r="E48" t="s">
        <v>72</v>
      </c>
    </row>
    <row r="49" spans="1:5" x14ac:dyDescent="0.25">
      <c r="A49" t="s">
        <v>450</v>
      </c>
      <c r="E49" t="s">
        <v>27</v>
      </c>
    </row>
    <row r="50" spans="1:5" x14ac:dyDescent="0.25">
      <c r="A50" t="s">
        <v>430</v>
      </c>
      <c r="E50" t="s">
        <v>59</v>
      </c>
    </row>
    <row r="51" spans="1:5" x14ac:dyDescent="0.25">
      <c r="A51" t="s">
        <v>421</v>
      </c>
      <c r="E51" t="s">
        <v>54</v>
      </c>
    </row>
    <row r="52" spans="1:5" x14ac:dyDescent="0.25">
      <c r="A52" t="s">
        <v>416</v>
      </c>
      <c r="E52" t="s">
        <v>122</v>
      </c>
    </row>
    <row r="53" spans="1:5" x14ac:dyDescent="0.25">
      <c r="A53" t="s">
        <v>441</v>
      </c>
      <c r="E53" t="s">
        <v>7</v>
      </c>
    </row>
    <row r="54" spans="1:5" x14ac:dyDescent="0.25">
      <c r="A54" t="s">
        <v>455</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381</v>
      </c>
      <c r="B1" s="29" t="s">
        <v>85</v>
      </c>
      <c r="C1" s="28" t="s">
        <v>193</v>
      </c>
      <c r="D1" s="28" t="s">
        <v>84</v>
      </c>
      <c r="E1" s="28" t="s">
        <v>382</v>
      </c>
      <c r="F1" s="28" t="s">
        <v>381</v>
      </c>
      <c r="G1" s="29" t="s">
        <v>85</v>
      </c>
    </row>
    <row r="2" spans="1:7" x14ac:dyDescent="0.25">
      <c r="A2" s="1168" t="s">
        <v>137</v>
      </c>
      <c r="B2" s="1152" t="s">
        <v>13</v>
      </c>
      <c r="C2" s="1152" t="s">
        <v>386</v>
      </c>
      <c r="D2" s="1152" t="s">
        <v>12</v>
      </c>
      <c r="E2" s="1150">
        <v>2140</v>
      </c>
      <c r="F2" s="1150" t="s">
        <v>137</v>
      </c>
      <c r="G2" s="1152" t="s">
        <v>13</v>
      </c>
    </row>
    <row r="3" spans="1:7" x14ac:dyDescent="0.25">
      <c r="A3" s="1168" t="s">
        <v>138</v>
      </c>
      <c r="B3" s="1152" t="s">
        <v>18</v>
      </c>
      <c r="C3" s="1152" t="s">
        <v>1241</v>
      </c>
      <c r="D3" s="1152" t="s">
        <v>56</v>
      </c>
      <c r="E3" s="1150">
        <v>1933</v>
      </c>
      <c r="F3" s="1150" t="s">
        <v>138</v>
      </c>
      <c r="G3" s="1152" t="s">
        <v>18</v>
      </c>
    </row>
    <row r="4" spans="1:7" x14ac:dyDescent="0.25">
      <c r="A4" s="1168" t="s">
        <v>189</v>
      </c>
      <c r="B4" s="1152" t="s">
        <v>13</v>
      </c>
      <c r="C4" s="1152" t="s">
        <v>383</v>
      </c>
      <c r="D4" s="1152" t="s">
        <v>33</v>
      </c>
      <c r="E4" s="1150">
        <v>2110</v>
      </c>
      <c r="F4" s="1150" t="s">
        <v>189</v>
      </c>
      <c r="G4" s="1152" t="s">
        <v>13</v>
      </c>
    </row>
    <row r="5" spans="1:7" x14ac:dyDescent="0.25">
      <c r="A5" s="1168" t="s">
        <v>1226</v>
      </c>
      <c r="B5" s="1152" t="s">
        <v>18</v>
      </c>
      <c r="C5" s="1152" t="s">
        <v>1227</v>
      </c>
      <c r="D5" s="1152" t="s">
        <v>1227</v>
      </c>
      <c r="E5" s="1150">
        <v>4190</v>
      </c>
      <c r="F5" s="1150" t="s">
        <v>1226</v>
      </c>
      <c r="G5" s="1152" t="s">
        <v>18</v>
      </c>
    </row>
    <row r="6" spans="1:7" x14ac:dyDescent="0.25">
      <c r="A6" s="1168" t="s">
        <v>160</v>
      </c>
      <c r="B6" s="1152" t="s">
        <v>8</v>
      </c>
      <c r="C6" s="1152" t="s">
        <v>388</v>
      </c>
      <c r="D6" s="1152" t="s">
        <v>5</v>
      </c>
      <c r="E6" s="1150">
        <v>2220</v>
      </c>
      <c r="F6" s="1150" t="s">
        <v>160</v>
      </c>
      <c r="G6" s="1152" t="s">
        <v>8</v>
      </c>
    </row>
    <row r="7" spans="1:7" x14ac:dyDescent="0.25">
      <c r="A7" s="1168" t="s">
        <v>144</v>
      </c>
      <c r="B7" s="1152" t="s">
        <v>1482</v>
      </c>
      <c r="C7" s="1152" t="s">
        <v>389</v>
      </c>
      <c r="D7" s="1152" t="s">
        <v>42</v>
      </c>
      <c r="E7" s="1150">
        <v>3023</v>
      </c>
      <c r="F7" s="1150" t="s">
        <v>144</v>
      </c>
      <c r="G7" s="1152" t="s">
        <v>1482</v>
      </c>
    </row>
    <row r="8" spans="1:7" x14ac:dyDescent="0.25">
      <c r="A8" s="1168" t="s">
        <v>1228</v>
      </c>
      <c r="B8" s="1152" t="s">
        <v>18</v>
      </c>
      <c r="C8" s="1152" t="s">
        <v>397</v>
      </c>
      <c r="D8" s="1152" t="s">
        <v>1229</v>
      </c>
      <c r="E8" s="1150">
        <v>3310</v>
      </c>
      <c r="F8" s="1150" t="s">
        <v>1228</v>
      </c>
      <c r="G8" s="1152" t="s">
        <v>18</v>
      </c>
    </row>
    <row r="9" spans="1:7" x14ac:dyDescent="0.25">
      <c r="A9" s="1168" t="s">
        <v>180</v>
      </c>
      <c r="B9" s="1152" t="s">
        <v>1482</v>
      </c>
      <c r="C9" s="1152" t="s">
        <v>1100</v>
      </c>
      <c r="D9" s="1152" t="s">
        <v>915</v>
      </c>
      <c r="E9" s="1150">
        <v>2345</v>
      </c>
      <c r="F9" s="1150" t="s">
        <v>180</v>
      </c>
      <c r="G9" s="1152" t="s">
        <v>1482</v>
      </c>
    </row>
    <row r="10" spans="1:7" x14ac:dyDescent="0.25">
      <c r="A10" s="1168" t="s">
        <v>141</v>
      </c>
      <c r="B10" s="1152" t="s">
        <v>8</v>
      </c>
      <c r="C10" s="1152" t="s">
        <v>395</v>
      </c>
      <c r="D10" s="1152" t="s">
        <v>29</v>
      </c>
      <c r="E10" s="1150">
        <v>3135</v>
      </c>
      <c r="F10" s="1150" t="s">
        <v>141</v>
      </c>
      <c r="G10" s="1152" t="s">
        <v>8</v>
      </c>
    </row>
    <row r="11" spans="1:7" x14ac:dyDescent="0.25">
      <c r="A11" s="1168" t="s">
        <v>186</v>
      </c>
      <c r="B11" s="1152" t="s">
        <v>13</v>
      </c>
      <c r="C11" s="1152" t="s">
        <v>1106</v>
      </c>
      <c r="D11" s="1152" t="s">
        <v>64</v>
      </c>
      <c r="E11" s="1150">
        <v>2148</v>
      </c>
      <c r="F11" s="1150" t="s">
        <v>186</v>
      </c>
      <c r="G11" s="1152" t="s">
        <v>13</v>
      </c>
    </row>
    <row r="12" spans="1:7" x14ac:dyDescent="0.25">
      <c r="A12" s="1168" t="s">
        <v>185</v>
      </c>
      <c r="B12" s="1152" t="s">
        <v>13</v>
      </c>
      <c r="C12" s="1152" t="s">
        <v>386</v>
      </c>
      <c r="D12" s="1152" t="s">
        <v>19</v>
      </c>
      <c r="E12" s="1150">
        <v>2190</v>
      </c>
      <c r="F12" s="1150" t="s">
        <v>185</v>
      </c>
      <c r="G12" s="1152" t="s">
        <v>13</v>
      </c>
    </row>
    <row r="13" spans="1:7" x14ac:dyDescent="0.25">
      <c r="A13" s="1168" t="s">
        <v>162</v>
      </c>
      <c r="B13" s="1152" t="s">
        <v>8</v>
      </c>
      <c r="C13" s="1152" t="s">
        <v>396</v>
      </c>
      <c r="D13" s="1152" t="s">
        <v>121</v>
      </c>
      <c r="E13" s="1150">
        <v>2210</v>
      </c>
      <c r="F13" s="1150" t="s">
        <v>162</v>
      </c>
      <c r="G13" s="1152" t="s">
        <v>8</v>
      </c>
    </row>
    <row r="14" spans="1:7" x14ac:dyDescent="0.25">
      <c r="A14" s="1168" t="s">
        <v>174</v>
      </c>
      <c r="B14" s="1152" t="s">
        <v>1482</v>
      </c>
      <c r="C14" s="1152" t="s">
        <v>194</v>
      </c>
      <c r="D14" s="1152" t="s">
        <v>58</v>
      </c>
      <c r="E14" s="1150">
        <v>2099</v>
      </c>
      <c r="F14" s="1150" t="s">
        <v>174</v>
      </c>
      <c r="G14" s="1152" t="s">
        <v>1482</v>
      </c>
    </row>
    <row r="15" spans="1:7" x14ac:dyDescent="0.25">
      <c r="A15" s="1168" t="s">
        <v>175</v>
      </c>
      <c r="B15" s="1152" t="s">
        <v>13</v>
      </c>
      <c r="C15" s="1152" t="s">
        <v>195</v>
      </c>
      <c r="D15" s="1152" t="s">
        <v>22</v>
      </c>
      <c r="E15" s="1150">
        <v>1103</v>
      </c>
      <c r="F15" s="1150" t="s">
        <v>175</v>
      </c>
      <c r="G15" s="1152" t="s">
        <v>13</v>
      </c>
    </row>
    <row r="16" spans="1:7" x14ac:dyDescent="0.25">
      <c r="A16" s="1168" t="s">
        <v>173</v>
      </c>
      <c r="B16" s="1152" t="s">
        <v>13</v>
      </c>
      <c r="C16" s="1152" t="s">
        <v>196</v>
      </c>
      <c r="D16" s="1152" t="s">
        <v>43</v>
      </c>
      <c r="E16" s="1150">
        <v>1104</v>
      </c>
      <c r="F16" s="1150" t="s">
        <v>173</v>
      </c>
      <c r="G16" s="1152" t="s">
        <v>13</v>
      </c>
    </row>
    <row r="17" spans="1:7" x14ac:dyDescent="0.25">
      <c r="A17" s="1168" t="s">
        <v>163</v>
      </c>
      <c r="B17" s="1152" t="s">
        <v>8</v>
      </c>
      <c r="C17" s="1152" t="s">
        <v>394</v>
      </c>
      <c r="D17" s="1152" t="s">
        <v>10</v>
      </c>
      <c r="E17" s="1150">
        <v>2260</v>
      </c>
      <c r="F17" s="1150" t="s">
        <v>163</v>
      </c>
      <c r="G17" s="1152" t="s">
        <v>8</v>
      </c>
    </row>
    <row r="18" spans="1:7" x14ac:dyDescent="0.25">
      <c r="A18" s="1168" t="s">
        <v>192</v>
      </c>
      <c r="B18" s="1152" t="s">
        <v>13</v>
      </c>
      <c r="C18" s="1152" t="s">
        <v>61</v>
      </c>
      <c r="D18" s="1152" t="s">
        <v>914</v>
      </c>
      <c r="E18" s="1150">
        <v>2020</v>
      </c>
      <c r="F18" s="1150" t="s">
        <v>192</v>
      </c>
      <c r="G18" s="1152" t="s">
        <v>13</v>
      </c>
    </row>
    <row r="19" spans="1:7" x14ac:dyDescent="0.25">
      <c r="A19" s="1168" t="s">
        <v>165</v>
      </c>
      <c r="B19" s="1152" t="s">
        <v>18</v>
      </c>
      <c r="C19" s="1152" t="s">
        <v>400</v>
      </c>
      <c r="D19" s="1152" t="s">
        <v>55</v>
      </c>
      <c r="E19" s="1150">
        <v>4150</v>
      </c>
      <c r="F19" s="1150" t="s">
        <v>165</v>
      </c>
      <c r="G19" s="1152" t="s">
        <v>18</v>
      </c>
    </row>
    <row r="20" spans="1:7" x14ac:dyDescent="0.25">
      <c r="A20" s="1168" t="s">
        <v>146</v>
      </c>
      <c r="B20" s="1152" t="s">
        <v>1482</v>
      </c>
      <c r="C20" s="1152" t="s">
        <v>390</v>
      </c>
      <c r="D20" s="1152" t="s">
        <v>26</v>
      </c>
      <c r="E20" s="1150">
        <v>3150</v>
      </c>
      <c r="F20" s="1150" t="s">
        <v>146</v>
      </c>
      <c r="G20" s="1152" t="s">
        <v>1482</v>
      </c>
    </row>
    <row r="21" spans="1:7" x14ac:dyDescent="0.25">
      <c r="A21" s="1168" t="s">
        <v>1230</v>
      </c>
      <c r="B21" s="1152" t="s">
        <v>1482</v>
      </c>
      <c r="C21" s="1152" t="s">
        <v>399</v>
      </c>
      <c r="D21" s="1152" t="s">
        <v>1231</v>
      </c>
      <c r="E21" s="1150">
        <v>3340</v>
      </c>
      <c r="F21" s="1150" t="s">
        <v>1230</v>
      </c>
      <c r="G21" s="1152" t="s">
        <v>1482</v>
      </c>
    </row>
    <row r="22" spans="1:7" x14ac:dyDescent="0.25">
      <c r="A22" s="1168" t="s">
        <v>147</v>
      </c>
      <c r="B22" s="1152" t="s">
        <v>1482</v>
      </c>
      <c r="C22" s="1152" t="s">
        <v>399</v>
      </c>
      <c r="D22" s="1152" t="s">
        <v>1232</v>
      </c>
      <c r="E22" s="1150">
        <v>3160</v>
      </c>
      <c r="F22" s="1150" t="s">
        <v>147</v>
      </c>
      <c r="G22" s="1152" t="s">
        <v>1482</v>
      </c>
    </row>
    <row r="23" spans="1:7" x14ac:dyDescent="0.25">
      <c r="A23" s="1168" t="s">
        <v>142</v>
      </c>
      <c r="B23" s="1152" t="s">
        <v>13</v>
      </c>
      <c r="C23" s="1152" t="s">
        <v>196</v>
      </c>
      <c r="D23" s="1152" t="s">
        <v>67</v>
      </c>
      <c r="E23" s="1150">
        <v>1106</v>
      </c>
      <c r="F23" s="1150" t="s">
        <v>142</v>
      </c>
      <c r="G23" s="1152" t="s">
        <v>13</v>
      </c>
    </row>
    <row r="24" spans="1:7" x14ac:dyDescent="0.25">
      <c r="A24" s="1168" t="s">
        <v>1242</v>
      </c>
      <c r="B24" s="1152" t="s">
        <v>18</v>
      </c>
      <c r="C24" s="1152" t="s">
        <v>1243</v>
      </c>
      <c r="D24" s="1152" t="s">
        <v>1244</v>
      </c>
      <c r="E24" s="1150">
        <v>4175</v>
      </c>
      <c r="F24" s="1150" t="s">
        <v>1242</v>
      </c>
      <c r="G24" s="1152" t="s">
        <v>18</v>
      </c>
    </row>
    <row r="25" spans="1:7" x14ac:dyDescent="0.25">
      <c r="A25" s="1168" t="s">
        <v>156</v>
      </c>
      <c r="B25" s="1152" t="s">
        <v>8</v>
      </c>
      <c r="C25" s="1152" t="s">
        <v>396</v>
      </c>
      <c r="D25" s="1152" t="s">
        <v>32</v>
      </c>
      <c r="E25" s="1150">
        <v>2250</v>
      </c>
      <c r="F25" s="1150" t="s">
        <v>156</v>
      </c>
      <c r="G25" s="1152" t="s">
        <v>8</v>
      </c>
    </row>
    <row r="26" spans="1:7" x14ac:dyDescent="0.25">
      <c r="A26" s="1168" t="s">
        <v>178</v>
      </c>
      <c r="B26" s="1152" t="s">
        <v>1482</v>
      </c>
      <c r="C26" s="1152" t="s">
        <v>1100</v>
      </c>
      <c r="D26" s="1152" t="s">
        <v>916</v>
      </c>
      <c r="E26" s="1150">
        <v>2340</v>
      </c>
      <c r="F26" s="1150" t="s">
        <v>178</v>
      </c>
      <c r="G26" s="1152" t="s">
        <v>1482</v>
      </c>
    </row>
    <row r="27" spans="1:7" x14ac:dyDescent="0.25">
      <c r="A27" s="1168" t="s">
        <v>1104</v>
      </c>
      <c r="B27" s="1152" t="s">
        <v>1482</v>
      </c>
      <c r="C27" s="1152" t="s">
        <v>198</v>
      </c>
      <c r="D27" s="1152" t="s">
        <v>1105</v>
      </c>
      <c r="E27" s="1150">
        <v>2365</v>
      </c>
      <c r="F27" s="1150" t="s">
        <v>1104</v>
      </c>
      <c r="G27" s="1152" t="s">
        <v>1482</v>
      </c>
    </row>
    <row r="28" spans="1:7" x14ac:dyDescent="0.25">
      <c r="A28" s="1168" t="s">
        <v>145</v>
      </c>
      <c r="B28" s="1152" t="s">
        <v>1482</v>
      </c>
      <c r="C28" s="1152" t="s">
        <v>389</v>
      </c>
      <c r="D28" s="1152" t="s">
        <v>80</v>
      </c>
      <c r="E28" s="1150">
        <v>3126</v>
      </c>
      <c r="F28" s="1150" t="s">
        <v>145</v>
      </c>
      <c r="G28" s="1152" t="s">
        <v>1482</v>
      </c>
    </row>
    <row r="29" spans="1:7" x14ac:dyDescent="0.25">
      <c r="A29" s="1168" t="s">
        <v>176</v>
      </c>
      <c r="B29" s="1152" t="s">
        <v>13</v>
      </c>
      <c r="C29" s="1152" t="s">
        <v>195</v>
      </c>
      <c r="D29" s="1152" t="s">
        <v>46</v>
      </c>
      <c r="E29" s="1150">
        <v>1054</v>
      </c>
      <c r="F29" s="1150" t="s">
        <v>176</v>
      </c>
      <c r="G29" s="1152" t="s">
        <v>13</v>
      </c>
    </row>
    <row r="30" spans="1:7" x14ac:dyDescent="0.25">
      <c r="A30" s="1168" t="s">
        <v>154</v>
      </c>
      <c r="B30" s="1152" t="s">
        <v>1482</v>
      </c>
      <c r="C30" s="1152" t="s">
        <v>199</v>
      </c>
      <c r="D30" s="1152" t="s">
        <v>77</v>
      </c>
      <c r="E30" s="1150">
        <v>2370</v>
      </c>
      <c r="F30" s="1150" t="s">
        <v>154</v>
      </c>
      <c r="G30" s="1152" t="s">
        <v>1482</v>
      </c>
    </row>
    <row r="31" spans="1:7" x14ac:dyDescent="0.25">
      <c r="A31" s="1168" t="s">
        <v>148</v>
      </c>
      <c r="B31" s="1152" t="s">
        <v>8</v>
      </c>
      <c r="C31" s="1152" t="s">
        <v>387</v>
      </c>
      <c r="D31" s="1152" t="s">
        <v>65</v>
      </c>
      <c r="E31" s="1150">
        <v>3186</v>
      </c>
      <c r="F31" s="1150" t="s">
        <v>148</v>
      </c>
      <c r="G31" s="1152" t="s">
        <v>8</v>
      </c>
    </row>
    <row r="32" spans="1:7" x14ac:dyDescent="0.25">
      <c r="A32" s="1168" t="s">
        <v>151</v>
      </c>
      <c r="B32" s="1152" t="s">
        <v>1482</v>
      </c>
      <c r="C32" s="1152" t="s">
        <v>198</v>
      </c>
      <c r="D32" s="1152" t="s">
        <v>37</v>
      </c>
      <c r="E32" s="1150">
        <v>3230</v>
      </c>
      <c r="F32" s="1150" t="s">
        <v>151</v>
      </c>
      <c r="G32" s="1152" t="s">
        <v>1482</v>
      </c>
    </row>
    <row r="33" spans="1:7" x14ac:dyDescent="0.25">
      <c r="A33" s="1168" t="s">
        <v>152</v>
      </c>
      <c r="B33" s="1152" t="s">
        <v>8</v>
      </c>
      <c r="C33" s="1152" t="s">
        <v>388</v>
      </c>
      <c r="D33" s="1152" t="s">
        <v>2</v>
      </c>
      <c r="E33" s="1150">
        <v>2270</v>
      </c>
      <c r="F33" s="1150" t="s">
        <v>152</v>
      </c>
      <c r="G33" s="1152" t="s">
        <v>8</v>
      </c>
    </row>
    <row r="34" spans="1:7" x14ac:dyDescent="0.25">
      <c r="A34" s="1168" t="s">
        <v>177</v>
      </c>
      <c r="B34" s="1152" t="s">
        <v>18</v>
      </c>
      <c r="C34" s="1152" t="s">
        <v>401</v>
      </c>
      <c r="D34" s="1152" t="s">
        <v>52</v>
      </c>
      <c r="E34" s="1150">
        <v>4100</v>
      </c>
      <c r="F34" s="1150" t="s">
        <v>177</v>
      </c>
      <c r="G34" s="1152" t="s">
        <v>18</v>
      </c>
    </row>
    <row r="35" spans="1:7" x14ac:dyDescent="0.25">
      <c r="A35" s="1168" t="s">
        <v>155</v>
      </c>
      <c r="B35" s="1152" t="s">
        <v>8</v>
      </c>
      <c r="C35" s="1152" t="s">
        <v>1108</v>
      </c>
      <c r="D35" s="1152" t="s">
        <v>76</v>
      </c>
      <c r="E35" s="1150">
        <v>3051</v>
      </c>
      <c r="F35" s="1150" t="s">
        <v>155</v>
      </c>
      <c r="G35" s="1152" t="s">
        <v>8</v>
      </c>
    </row>
    <row r="36" spans="1:7" x14ac:dyDescent="0.25">
      <c r="A36" s="1168" t="s">
        <v>172</v>
      </c>
      <c r="B36" s="1152" t="s">
        <v>18</v>
      </c>
      <c r="C36" s="1152" t="s">
        <v>400</v>
      </c>
      <c r="D36" s="1152" t="s">
        <v>63</v>
      </c>
      <c r="E36" s="1150">
        <v>4120</v>
      </c>
      <c r="F36" s="1150" t="s">
        <v>172</v>
      </c>
      <c r="G36" s="1152" t="s">
        <v>18</v>
      </c>
    </row>
    <row r="37" spans="1:7" x14ac:dyDescent="0.25">
      <c r="A37" s="1168" t="s">
        <v>149</v>
      </c>
      <c r="B37" s="1152" t="s">
        <v>18</v>
      </c>
      <c r="C37" s="1152" t="s">
        <v>1241</v>
      </c>
      <c r="D37" s="1152" t="s">
        <v>68</v>
      </c>
      <c r="E37" s="1150">
        <v>3120</v>
      </c>
      <c r="F37" s="1150" t="s">
        <v>149</v>
      </c>
      <c r="G37" s="1152" t="s">
        <v>18</v>
      </c>
    </row>
    <row r="38" spans="1:7" x14ac:dyDescent="0.25">
      <c r="A38" s="1168" t="s">
        <v>159</v>
      </c>
      <c r="B38" s="1152" t="s">
        <v>13</v>
      </c>
      <c r="C38" s="1152" t="s">
        <v>392</v>
      </c>
      <c r="D38" s="1152" t="s">
        <v>21</v>
      </c>
      <c r="E38" s="1150">
        <v>2125</v>
      </c>
      <c r="F38" s="1150" t="s">
        <v>159</v>
      </c>
      <c r="G38" s="1152" t="s">
        <v>13</v>
      </c>
    </row>
    <row r="39" spans="1:7" x14ac:dyDescent="0.25">
      <c r="A39" s="1168" t="s">
        <v>140</v>
      </c>
      <c r="B39" s="1152" t="s">
        <v>8</v>
      </c>
      <c r="C39" s="1152" t="s">
        <v>1108</v>
      </c>
      <c r="D39" s="1152" t="s">
        <v>51</v>
      </c>
      <c r="E39" s="1150">
        <v>3147</v>
      </c>
      <c r="F39" s="1150" t="s">
        <v>140</v>
      </c>
      <c r="G39" s="1152" t="s">
        <v>8</v>
      </c>
    </row>
    <row r="40" spans="1:7" x14ac:dyDescent="0.25">
      <c r="A40" s="1168" t="s">
        <v>190</v>
      </c>
      <c r="B40" s="1152" t="s">
        <v>13</v>
      </c>
      <c r="C40" s="1152" t="s">
        <v>384</v>
      </c>
      <c r="D40" s="1152" t="s">
        <v>28</v>
      </c>
      <c r="E40" s="1150">
        <v>2160</v>
      </c>
      <c r="F40" s="1150" t="s">
        <v>190</v>
      </c>
      <c r="G40" s="1152" t="s">
        <v>13</v>
      </c>
    </row>
    <row r="41" spans="1:7" x14ac:dyDescent="0.25">
      <c r="A41" s="1168" t="s">
        <v>181</v>
      </c>
      <c r="B41" s="1152" t="s">
        <v>1482</v>
      </c>
      <c r="C41" s="1152" t="s">
        <v>199</v>
      </c>
      <c r="D41" s="1152" t="s">
        <v>39</v>
      </c>
      <c r="E41" s="1150">
        <v>2350</v>
      </c>
      <c r="F41" s="1150" t="s">
        <v>181</v>
      </c>
      <c r="G41" s="1152" t="s">
        <v>1482</v>
      </c>
    </row>
    <row r="42" spans="1:7" x14ac:dyDescent="0.25">
      <c r="A42" s="1168" t="s">
        <v>158</v>
      </c>
      <c r="B42" s="1152" t="s">
        <v>8</v>
      </c>
      <c r="C42" s="1152" t="s">
        <v>387</v>
      </c>
      <c r="D42" s="1152" t="s">
        <v>49</v>
      </c>
      <c r="E42" s="1150">
        <v>2230</v>
      </c>
      <c r="F42" s="1150" t="s">
        <v>158</v>
      </c>
      <c r="G42" s="1152" t="s">
        <v>8</v>
      </c>
    </row>
    <row r="43" spans="1:7" x14ac:dyDescent="0.25">
      <c r="A43" s="1168" t="s">
        <v>1109</v>
      </c>
      <c r="B43" s="1152" t="s">
        <v>8</v>
      </c>
      <c r="C43" s="1152" t="s">
        <v>387</v>
      </c>
      <c r="D43" s="1152" t="s">
        <v>1447</v>
      </c>
      <c r="E43" s="1150">
        <v>3040</v>
      </c>
      <c r="F43" s="1150" t="s">
        <v>1109</v>
      </c>
      <c r="G43" s="1152" t="s">
        <v>8</v>
      </c>
    </row>
    <row r="44" spans="1:7" x14ac:dyDescent="0.25">
      <c r="A44" s="1168" t="s">
        <v>380</v>
      </c>
      <c r="B44" s="1152" t="s">
        <v>8</v>
      </c>
      <c r="C44" s="1152" t="s">
        <v>388</v>
      </c>
      <c r="D44" s="1152" t="s">
        <v>246</v>
      </c>
      <c r="E44" s="1150">
        <v>3139</v>
      </c>
      <c r="F44" s="1150" t="s">
        <v>380</v>
      </c>
      <c r="G44" s="1152" t="s">
        <v>8</v>
      </c>
    </row>
    <row r="45" spans="1:7" x14ac:dyDescent="0.25">
      <c r="A45" s="1168" t="s">
        <v>150</v>
      </c>
      <c r="B45" s="1152" t="s">
        <v>1482</v>
      </c>
      <c r="C45" s="1152" t="s">
        <v>390</v>
      </c>
      <c r="D45" s="1152" t="s">
        <v>24</v>
      </c>
      <c r="E45" s="1150">
        <v>3170</v>
      </c>
      <c r="F45" s="1150" t="s">
        <v>150</v>
      </c>
      <c r="G45" s="1152" t="s">
        <v>1482</v>
      </c>
    </row>
    <row r="46" spans="1:7" x14ac:dyDescent="0.25">
      <c r="A46" s="1168" t="s">
        <v>135</v>
      </c>
      <c r="B46" s="1152" t="s">
        <v>1482</v>
      </c>
      <c r="C46" s="1152" t="s">
        <v>198</v>
      </c>
      <c r="D46" s="1152" t="s">
        <v>72</v>
      </c>
      <c r="E46" s="1150">
        <v>2360</v>
      </c>
      <c r="F46" s="1150" t="s">
        <v>135</v>
      </c>
      <c r="G46" s="1152" t="s">
        <v>1482</v>
      </c>
    </row>
    <row r="47" spans="1:7" x14ac:dyDescent="0.25">
      <c r="A47" s="1168" t="s">
        <v>164</v>
      </c>
      <c r="B47" s="1152" t="s">
        <v>13</v>
      </c>
      <c r="C47" s="1152" t="s">
        <v>383</v>
      </c>
      <c r="D47" s="1152" t="s">
        <v>27</v>
      </c>
      <c r="E47" s="1150">
        <v>3190</v>
      </c>
      <c r="F47" s="1150" t="s">
        <v>164</v>
      </c>
      <c r="G47" s="1152" t="s">
        <v>13</v>
      </c>
    </row>
    <row r="48" spans="1:7" x14ac:dyDescent="0.25">
      <c r="A48" s="1168" t="s">
        <v>184</v>
      </c>
      <c r="B48" s="1152" t="s">
        <v>13</v>
      </c>
      <c r="C48" s="1152" t="s">
        <v>383</v>
      </c>
      <c r="D48" s="1152" t="s">
        <v>59</v>
      </c>
      <c r="E48" s="1150">
        <v>2116</v>
      </c>
      <c r="F48" s="1150" t="s">
        <v>184</v>
      </c>
      <c r="G48" s="1152" t="s">
        <v>13</v>
      </c>
    </row>
    <row r="49" spans="1:7" x14ac:dyDescent="0.25">
      <c r="A49" s="1168" t="s">
        <v>170</v>
      </c>
      <c r="B49" s="1152" t="s">
        <v>18</v>
      </c>
      <c r="C49" s="1152" t="s">
        <v>401</v>
      </c>
      <c r="D49" s="1152" t="s">
        <v>54</v>
      </c>
      <c r="E49" s="1150">
        <v>4146</v>
      </c>
      <c r="F49" s="1150" t="s">
        <v>170</v>
      </c>
      <c r="G49" s="1152" t="s">
        <v>18</v>
      </c>
    </row>
    <row r="50" spans="1:7" x14ac:dyDescent="0.25">
      <c r="A50" s="1168" t="s">
        <v>1245</v>
      </c>
      <c r="B50" s="1152" t="s">
        <v>18</v>
      </c>
      <c r="C50" s="1152" t="s">
        <v>1243</v>
      </c>
      <c r="D50" s="1152" t="s">
        <v>1246</v>
      </c>
      <c r="E50" s="1150">
        <v>4135</v>
      </c>
      <c r="F50" s="1150" t="s">
        <v>1245</v>
      </c>
      <c r="G50" s="1152" t="s">
        <v>18</v>
      </c>
    </row>
    <row r="51" spans="1:7" x14ac:dyDescent="0.25">
      <c r="A51" s="1168" t="s">
        <v>187</v>
      </c>
      <c r="B51" s="1152" t="s">
        <v>13</v>
      </c>
      <c r="C51" s="1152" t="s">
        <v>384</v>
      </c>
      <c r="D51" s="1152" t="s">
        <v>122</v>
      </c>
      <c r="E51" s="1150">
        <v>2170</v>
      </c>
      <c r="F51" s="1150" t="s">
        <v>187</v>
      </c>
      <c r="G51" s="1152" t="s">
        <v>13</v>
      </c>
    </row>
    <row r="52" spans="1:7" x14ac:dyDescent="0.25">
      <c r="A52" s="1168" t="s">
        <v>157</v>
      </c>
      <c r="B52" s="1152" t="s">
        <v>8</v>
      </c>
      <c r="C52" s="1152" t="s">
        <v>393</v>
      </c>
      <c r="D52" s="1152" t="s">
        <v>7</v>
      </c>
      <c r="E52" s="1150">
        <v>3055</v>
      </c>
      <c r="F52" s="1150" t="s">
        <v>157</v>
      </c>
      <c r="G52" s="1152" t="s">
        <v>8</v>
      </c>
    </row>
    <row r="53" spans="1:7" x14ac:dyDescent="0.25">
      <c r="A53" s="1168" t="s">
        <v>1233</v>
      </c>
      <c r="B53" s="1152" t="s">
        <v>18</v>
      </c>
      <c r="C53" s="1152" t="s">
        <v>1234</v>
      </c>
      <c r="D53" s="1152" t="s">
        <v>1235</v>
      </c>
      <c r="E53" s="1150">
        <v>4210</v>
      </c>
      <c r="F53" s="1150" t="s">
        <v>1233</v>
      </c>
      <c r="G53" s="1152" t="s">
        <v>18</v>
      </c>
    </row>
    <row r="54" spans="1:7" x14ac:dyDescent="0.25">
      <c r="A54" s="1168" t="s">
        <v>161</v>
      </c>
      <c r="B54" s="1152" t="s">
        <v>8</v>
      </c>
      <c r="C54" s="1152" t="s">
        <v>391</v>
      </c>
      <c r="D54" s="1152" t="s">
        <v>16</v>
      </c>
      <c r="E54" s="1150">
        <v>2240</v>
      </c>
      <c r="F54" s="1150" t="s">
        <v>161</v>
      </c>
      <c r="G54" s="1152" t="s">
        <v>8</v>
      </c>
    </row>
    <row r="55" spans="1:7" x14ac:dyDescent="0.25">
      <c r="A55" s="1168" t="s">
        <v>166</v>
      </c>
      <c r="B55" s="1152" t="s">
        <v>18</v>
      </c>
      <c r="C55" s="1152" t="s">
        <v>398</v>
      </c>
      <c r="D55" s="1152" t="s">
        <v>73</v>
      </c>
      <c r="E55" s="1150">
        <v>4110</v>
      </c>
      <c r="F55" s="1150" t="s">
        <v>166</v>
      </c>
      <c r="G55" s="1152" t="s">
        <v>18</v>
      </c>
    </row>
    <row r="56" spans="1:7" x14ac:dyDescent="0.25">
      <c r="A56" s="1168" t="s">
        <v>153</v>
      </c>
      <c r="B56" s="1152" t="s">
        <v>8</v>
      </c>
      <c r="C56" s="1152" t="s">
        <v>1483</v>
      </c>
      <c r="D56" s="1152" t="s">
        <v>25</v>
      </c>
      <c r="E56" s="1150">
        <v>2135</v>
      </c>
      <c r="F56" s="1150" t="s">
        <v>153</v>
      </c>
      <c r="G56" s="1152" t="s">
        <v>8</v>
      </c>
    </row>
    <row r="57" spans="1:7" x14ac:dyDescent="0.25">
      <c r="A57" s="1168" t="s">
        <v>139</v>
      </c>
      <c r="B57" s="1152" t="s">
        <v>1482</v>
      </c>
      <c r="C57" s="1152" t="s">
        <v>197</v>
      </c>
      <c r="D57" s="1152" t="s">
        <v>47</v>
      </c>
      <c r="E57" s="1150">
        <v>3210</v>
      </c>
      <c r="F57" s="1150" t="s">
        <v>139</v>
      </c>
      <c r="G57" s="1152" t="s">
        <v>1482</v>
      </c>
    </row>
    <row r="58" spans="1:7" x14ac:dyDescent="0.25">
      <c r="A58" s="1168" t="s">
        <v>171</v>
      </c>
      <c r="B58" s="1152" t="s">
        <v>18</v>
      </c>
      <c r="C58" s="1152" t="s">
        <v>397</v>
      </c>
      <c r="D58" s="1152" t="s">
        <v>30</v>
      </c>
      <c r="E58" s="1150">
        <v>4118</v>
      </c>
      <c r="F58" s="1150" t="s">
        <v>171</v>
      </c>
      <c r="G58" s="1152" t="s">
        <v>18</v>
      </c>
    </row>
    <row r="59" spans="1:7" x14ac:dyDescent="0.25">
      <c r="A59" s="1168" t="s">
        <v>169</v>
      </c>
      <c r="B59" s="1152" t="s">
        <v>18</v>
      </c>
      <c r="C59" s="1152" t="s">
        <v>400</v>
      </c>
      <c r="D59" s="1152" t="s">
        <v>40</v>
      </c>
      <c r="E59" s="1150">
        <v>4140</v>
      </c>
      <c r="F59" s="1150" t="s">
        <v>169</v>
      </c>
      <c r="G59" s="1152" t="s">
        <v>18</v>
      </c>
    </row>
    <row r="60" spans="1:7" x14ac:dyDescent="0.25">
      <c r="A60" s="1168" t="s">
        <v>168</v>
      </c>
      <c r="B60" s="1152" t="s">
        <v>18</v>
      </c>
      <c r="C60" s="1152" t="s">
        <v>398</v>
      </c>
      <c r="D60" s="1152" t="s">
        <v>17</v>
      </c>
      <c r="E60" s="1150">
        <v>4117</v>
      </c>
      <c r="F60" s="1150" t="s">
        <v>168</v>
      </c>
      <c r="G60" s="1152" t="s">
        <v>18</v>
      </c>
    </row>
    <row r="61" spans="1:7" x14ac:dyDescent="0.25">
      <c r="A61" s="1168" t="s">
        <v>1236</v>
      </c>
      <c r="B61" s="1152" t="s">
        <v>18</v>
      </c>
      <c r="C61" s="1152" t="s">
        <v>75</v>
      </c>
      <c r="D61" s="1152" t="s">
        <v>1237</v>
      </c>
      <c r="E61" s="1150">
        <v>4170</v>
      </c>
      <c r="F61" s="1150" t="s">
        <v>1236</v>
      </c>
      <c r="G61" s="1152" t="s">
        <v>18</v>
      </c>
    </row>
    <row r="62" spans="1:7" x14ac:dyDescent="0.25">
      <c r="A62" s="1168" t="s">
        <v>167</v>
      </c>
      <c r="B62" s="1152" t="s">
        <v>18</v>
      </c>
      <c r="C62" s="1152" t="s">
        <v>75</v>
      </c>
      <c r="D62" s="1152" t="s">
        <v>1238</v>
      </c>
      <c r="E62" s="1150">
        <v>4147</v>
      </c>
      <c r="F62" s="1150" t="s">
        <v>167</v>
      </c>
      <c r="G62" s="1152" t="s">
        <v>18</v>
      </c>
    </row>
    <row r="63" spans="1:7" x14ac:dyDescent="0.25">
      <c r="A63" s="1168" t="s">
        <v>1239</v>
      </c>
      <c r="B63" s="1152" t="s">
        <v>18</v>
      </c>
      <c r="C63" s="1152" t="s">
        <v>1234</v>
      </c>
      <c r="D63" s="1152" t="s">
        <v>1240</v>
      </c>
      <c r="E63" s="1150">
        <v>4220</v>
      </c>
      <c r="F63" s="1150" t="s">
        <v>1239</v>
      </c>
      <c r="G63" s="1152" t="s">
        <v>18</v>
      </c>
    </row>
    <row r="64" spans="1:7" x14ac:dyDescent="0.25">
      <c r="A64" s="1168" t="s">
        <v>133</v>
      </c>
      <c r="B64" s="1152" t="s">
        <v>1482</v>
      </c>
      <c r="C64" s="1152" t="s">
        <v>197</v>
      </c>
      <c r="D64" s="1152" t="s">
        <v>44</v>
      </c>
      <c r="E64" s="1150">
        <v>3220</v>
      </c>
      <c r="F64" s="1150" t="s">
        <v>133</v>
      </c>
      <c r="G64" s="1152" t="s">
        <v>1482</v>
      </c>
    </row>
    <row r="65" spans="1:7" x14ac:dyDescent="0.25">
      <c r="A65" s="1168" t="s">
        <v>179</v>
      </c>
      <c r="B65" s="1152" t="s">
        <v>1482</v>
      </c>
      <c r="C65" s="1152" t="s">
        <v>194</v>
      </c>
      <c r="D65" s="1152" t="s">
        <v>31</v>
      </c>
      <c r="E65" s="1150">
        <v>2330</v>
      </c>
      <c r="F65" s="1150" t="s">
        <v>179</v>
      </c>
      <c r="G65" s="1152" t="s">
        <v>1482</v>
      </c>
    </row>
    <row r="66" spans="1:7" x14ac:dyDescent="0.25">
      <c r="A66" s="1168" t="s">
        <v>136</v>
      </c>
      <c r="B66" s="1152" t="s">
        <v>8</v>
      </c>
      <c r="C66" s="1152" t="s">
        <v>395</v>
      </c>
      <c r="D66" s="1152" t="s">
        <v>57</v>
      </c>
      <c r="E66" s="1150">
        <v>3103</v>
      </c>
      <c r="F66" s="1150" t="s">
        <v>136</v>
      </c>
      <c r="G66" s="1152" t="s">
        <v>8</v>
      </c>
    </row>
    <row r="67" spans="1:7" x14ac:dyDescent="0.25">
      <c r="A67" s="1168" t="s">
        <v>1247</v>
      </c>
      <c r="B67" s="1152" t="s">
        <v>18</v>
      </c>
      <c r="C67" s="1152" t="s">
        <v>1243</v>
      </c>
      <c r="D67" s="1152" t="s">
        <v>1248</v>
      </c>
      <c r="E67" s="1150">
        <v>4125</v>
      </c>
      <c r="F67" s="1150" t="s">
        <v>1247</v>
      </c>
      <c r="G67" s="1152" t="s">
        <v>18</v>
      </c>
    </row>
    <row r="68" spans="1:7" x14ac:dyDescent="0.25">
      <c r="A68" s="1168" t="s">
        <v>188</v>
      </c>
      <c r="B68" s="1152" t="s">
        <v>13</v>
      </c>
      <c r="C68" s="1152" t="s">
        <v>1483</v>
      </c>
      <c r="D68" s="1152" t="s">
        <v>81</v>
      </c>
      <c r="E68" s="1150">
        <v>2165</v>
      </c>
      <c r="F68" s="1150" t="s">
        <v>188</v>
      </c>
      <c r="G68" s="1152" t="s">
        <v>13</v>
      </c>
    </row>
    <row r="69" spans="1:7" x14ac:dyDescent="0.25">
      <c r="A69" s="1168" t="s">
        <v>143</v>
      </c>
      <c r="B69" s="1152" t="s">
        <v>13</v>
      </c>
      <c r="C69" s="1152" t="s">
        <v>1107</v>
      </c>
      <c r="D69" s="1152" t="s">
        <v>53</v>
      </c>
      <c r="E69" s="1150">
        <v>2185</v>
      </c>
      <c r="F69" s="1150" t="s">
        <v>143</v>
      </c>
      <c r="G69" s="1152" t="s">
        <v>13</v>
      </c>
    </row>
    <row r="70" spans="1:7" x14ac:dyDescent="0.25">
      <c r="A70" s="1168" t="s">
        <v>183</v>
      </c>
      <c r="B70" s="1152" t="s">
        <v>1482</v>
      </c>
      <c r="C70" s="1152" t="s">
        <v>194</v>
      </c>
      <c r="D70" s="1152" t="s">
        <v>1088</v>
      </c>
      <c r="E70" s="1150">
        <v>248</v>
      </c>
      <c r="F70" s="1150" t="s">
        <v>183</v>
      </c>
      <c r="G70" s="1152" t="s">
        <v>1482</v>
      </c>
    </row>
    <row r="71" spans="1:7" x14ac:dyDescent="0.25">
      <c r="A71" s="1168" t="s">
        <v>1110</v>
      </c>
      <c r="B71" s="1152" t="s">
        <v>13</v>
      </c>
      <c r="C71" s="1152" t="s">
        <v>1484</v>
      </c>
      <c r="D71" s="1152" t="s">
        <v>1485</v>
      </c>
      <c r="E71" s="1150">
        <v>2010</v>
      </c>
      <c r="F71" s="1150" t="s">
        <v>1110</v>
      </c>
      <c r="G71" s="1152" t="s">
        <v>13</v>
      </c>
    </row>
    <row r="72" spans="1:7" x14ac:dyDescent="0.25">
      <c r="A72" s="1168" t="s">
        <v>385</v>
      </c>
      <c r="B72" s="1152" t="s">
        <v>13</v>
      </c>
      <c r="C72" s="1152" t="s">
        <v>1484</v>
      </c>
      <c r="D72" s="1152" t="s">
        <v>1486</v>
      </c>
      <c r="E72" s="1150">
        <v>2030</v>
      </c>
      <c r="F72" s="1150" t="s">
        <v>385</v>
      </c>
      <c r="G72" s="1152" t="s">
        <v>13</v>
      </c>
    </row>
    <row r="73" spans="1:7" x14ac:dyDescent="0.25">
      <c r="A73" s="1168" t="s">
        <v>1101</v>
      </c>
      <c r="B73" s="1152" t="s">
        <v>1482</v>
      </c>
      <c r="C73" s="1152" t="s">
        <v>1484</v>
      </c>
      <c r="D73" s="1152" t="s">
        <v>1487</v>
      </c>
      <c r="E73" s="1150">
        <v>2375</v>
      </c>
      <c r="F73" s="1150" t="s">
        <v>1101</v>
      </c>
      <c r="G73" s="1152" t="s">
        <v>1482</v>
      </c>
    </row>
    <row r="74" spans="1:7" x14ac:dyDescent="0.25">
      <c r="A74" s="1168" t="s">
        <v>1102</v>
      </c>
      <c r="B74" s="1152" t="s">
        <v>1482</v>
      </c>
      <c r="C74" s="1152" t="s">
        <v>1484</v>
      </c>
      <c r="D74" s="1152" t="s">
        <v>1488</v>
      </c>
      <c r="E74" s="1150">
        <v>2355</v>
      </c>
      <c r="F74" s="1150" t="s">
        <v>1102</v>
      </c>
      <c r="G74" s="1152" t="s">
        <v>1482</v>
      </c>
    </row>
    <row r="75" spans="1:7" x14ac:dyDescent="0.25">
      <c r="A75" s="1168" t="s">
        <v>182</v>
      </c>
      <c r="B75" s="1152" t="s">
        <v>1482</v>
      </c>
      <c r="C75" s="1152" t="s">
        <v>1484</v>
      </c>
      <c r="D75" s="1152" t="s">
        <v>1489</v>
      </c>
      <c r="E75" s="1150">
        <v>2310</v>
      </c>
      <c r="F75" s="1150" t="s">
        <v>182</v>
      </c>
      <c r="G75" s="1152" t="s">
        <v>1482</v>
      </c>
    </row>
    <row r="76" spans="1:7" ht="15.75" thickBot="1" x14ac:dyDescent="0.3">
      <c r="A76" s="1169" t="s">
        <v>191</v>
      </c>
      <c r="B76" s="1153" t="s">
        <v>13</v>
      </c>
      <c r="C76" s="1153" t="s">
        <v>1484</v>
      </c>
      <c r="D76" s="1153" t="s">
        <v>1490</v>
      </c>
      <c r="E76" s="31">
        <v>2180</v>
      </c>
      <c r="F76" s="31"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28</vt:i4>
      </vt:variant>
    </vt:vector>
  </HeadingPairs>
  <TitlesOfParts>
    <vt:vector size="55" baseType="lpstr">
      <vt:lpstr>EOA Form</vt:lpstr>
      <vt:lpstr>Welcome</vt:lpstr>
      <vt:lpstr>Customer Inputs</vt:lpstr>
      <vt:lpstr>PIM Model</vt:lpstr>
      <vt:lpstr>Incentives</vt:lpstr>
      <vt:lpstr>Variable Costs &amp; Income</vt:lpstr>
      <vt:lpstr>Tracking &amp; Profitability</vt:lpstr>
      <vt:lpstr>Required Info to Submit</vt:lpstr>
      <vt:lpstr>Mapping Sheet</vt:lpstr>
      <vt:lpstr>ALC Comparison</vt:lpstr>
      <vt:lpstr>Agreement Worksheet</vt:lpstr>
      <vt:lpstr>Pricing Schedule</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2021-12-28T10:36:19Z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2eb44dd1-3482-42b2-8ea9-a9adf3b3dee0</vt:lpwstr>
  </property>
  <property fmtid="{D5CDD505-2E9C-101B-9397-08002B2CF9AE}" pid="4" name="Classification">
    <vt:lpwstr>LV_R3STR1CT3D</vt:lpwstr>
  </property>
  <property fmtid="{D5CDD505-2E9C-101B-9397-08002B2CF9AE}" pid="5" name="ContainsPII">
    <vt:lpwstr>No</vt:lpwstr>
  </property>
</Properties>
</file>