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7A9F1DCB-095A-4A8F-AFCA-9834EF11044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7" i="3" l="1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N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<sst xmlns="http://schemas.openxmlformats.org/spreadsheetml/2006/main" count="1111" uniqueCount="512">
  <si>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</si>
  <si>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</si>
  <si>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</si>
  <si>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</si>
  <si>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</si>
  <si>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</si>
  <si>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</si>
  <si>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</si>
  <si>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</si>
  <si>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</si>
  <si>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</si>
  <si>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</si>
  <si>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</si>
  <si>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</si>
  <si>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</si>
  <si>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</si>
  <si>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</si>
  <si>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</si>
  <si>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</si>
  <si>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</si>
  <si>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</si>
  <si>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</si>
  <si>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</si>
  <si>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</si>
  <si>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</si>
  <si>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</si>
  <si>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</si>
  <si>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</si>
  <si>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</si>
  <si>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</si>
  <si>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</si>
  <si>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</si>
  <si>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</si>
  <si>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</si>
  <si>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</si>
  <si>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</si>
  <si>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</si>
  <si>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</si>
  <si>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</si>
  <si>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</si>
  <si>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</si>
  <si>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</si>
  <si>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</si>
  <si>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</si>
  <si>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</si>
  <si>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</si>
  <si>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</si>
  <si>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</si>
  <si>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</si>
  <si>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</si>
  <si>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</si>
  <si>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</si>
  <si>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</si>
  <si>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</si>
  <si>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</si>
  <si>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</si>
  <si>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</si>
  <si>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</si>
  <si>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</si>
  <si>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</si>
  <si>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</si>
  <si>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</si>
  <si>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</si>
  <si>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</si>
  <si>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</si>
  <si>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</si>
  <si>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</si>
  <si>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</si>
  <si>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</si>
  <si>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</si>
  <si>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</si>
  <si>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</si>
  <si>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</si>
  <si>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</si>
  <si>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</si>
  <si>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</si>
  <si>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</si>
  <si>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</si>
  <si>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</si>
  <si>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</si>
  <si>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</si>
  <si>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</si>
  <si>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</si>
  <si>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</si>
  <si>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</si>
  <si>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</si>
  <si>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</si>
  <si>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</si>
  <si>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</si>
  <si>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</si>
  <si>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</si>
  <si>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</si>
  <si>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</si>
  <si>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</si>
  <si>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</si>
  <si>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</si>
  <si>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</si>
  <si>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</si>
  <si>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</si>
  <si>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</si>
  <si>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</si>
  <si>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</si>
  <si>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</si>
  <si>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</si>
  <si>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</si>
  <si>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</si>
  <si>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</si>
  <si>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</si>
  <si>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</si>
  <si>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</si>
  <si>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</si>
  <si>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</si>
  <si>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</si>
  <si>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</si>
  <si>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</si>
  <si>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</si>
  <si>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</si>
  <si>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</si>
  <si>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</si>
  <si>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</si>
  <si>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</si>
  <si>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</si>
  <si>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</si>
  <si>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</si>
  <si>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</si>
  <si>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</si>
  <si>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</si>
  <si>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</si>
  <si>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</si>
  <si>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</si>
  <si>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</si>
  <si>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</si>
  <si>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</si>
  <si>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</si>
  <si>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</si>
  <si>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</si>
  <si>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</si>
  <si>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</si>
  <si>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</si>
  <si>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</si>
  <si>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</si>
  <si>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</si>
  <si>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</si>
  <si>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</si>
  <si>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</si>
  <si>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</si>
  <si>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</si>
  <si>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</si>
  <si>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</si>
  <si>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</si>
  <si>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</si>
  <si>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</si>
  <si>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</si>
  <si>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</si>
  <si>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</si>
  <si>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</si>
  <si>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</si>
  <si>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</si>
  <si>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</si>
  <si>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</si>
  <si>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</si>
  <si>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</si>
  <si>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</si>
  <si>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</si>
  <si>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</si>
  <si>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</si>
  <si>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</si>
  <si>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</si>
  <si>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</si>
  <si>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</si>
  <si>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</si>
  <si>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</si>
  <si>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</si>
  <si>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</si>
  <si>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</si>
  <si>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</si>
  <si>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</si>
  <si>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</si>
  <si>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</si>
  <si>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</si>
  <si>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</si>
  <si>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</si>
  <si>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</si>
  <si>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</si>
  <si>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</si>
  <si>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</si>
  <si>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</si>
  <si>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</si>
  <si>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</si>
  <si>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</si>
  <si>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</si>
  <si>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</si>
  <si>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</si>
  <si>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</si>
  <si>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</si>
  <si>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</si>
  <si>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</si>
  <si>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</si>
  <si>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</si>
  <si>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</si>
  <si>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</si>
  <si>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</si>
  <si>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</si>
  <si>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</si>
  <si>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</si>
  <si>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</si>
  <si>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</si>
  <si>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</si>
  <si>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</si>
  <si>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</si>
  <si>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</si>
  <si>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</si>
  <si>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</si>
  <si>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</si>
  <si>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</si>
  <si>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</si>
  <si>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</si>
  <si>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</si>
  <si>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</si>
  <si>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</si>
  <si>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</si>
  <si>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</si>
  <si>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</si>
  <si>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</si>
  <si>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</si>
  <si>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</si>
  <si>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</si>
  <si>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</si>
  <si>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</si>
  <si>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</si>
  <si>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</si>
  <si>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</si>
  <si>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</si>
  <si>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</si>
  <si>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</si>
  <si>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</si>
  <si>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</si>
  <si>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</si>
  <si>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</si>
  <si>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</si>
  <si>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</si>
  <si>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</si>
  <si>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</si>
  <si>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</si>
  <si>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</si>
  <si>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</si>
  <si>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</si>
  <si>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</si>
  <si>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</si>
  <si>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</si>
  <si>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</si>
  <si>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</si>
  <si>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</si>
  <si>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</si>
  <si>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</si>
  <si>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</si>
  <si>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</si>
  <si>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</si>
  <si>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</si>
  <si>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</si>
  <si>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</si>
  <si>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</si>
  <si>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</si>
  <si>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</si>
  <si>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</si>
  <si>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</si>
  <si>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</si>
  <si>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</si>
  <si>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</si>
  <si>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</si>
  <si>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</si>
  <si>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</si>
  <si>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</si>
  <si>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</si>
  <si>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</si>
  <si>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</si>
  <si>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</si>
  <si>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</si>
  <si>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</si>
  <si>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</si>
  <si>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</si>
  <si>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</si>
  <si>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</si>
  <si>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</si>
  <si>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</si>
  <si>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</si>
  <si>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</si>
  <si>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</si>
  <si>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</si>
  <si>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</si>
  <si>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</si>
  <si>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</si>
  <si>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</si>
  <si>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</si>
  <si>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</si>
  <si>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</si>
  <si>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</si>
  <si>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</si>
  <si>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</si>
  <si>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</si>
  <si>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</si>
  <si>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</si>
  <si>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</si>
  <si>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</si>
  <si>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</si>
  <si>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</si>
  <si>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</si>
  <si>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</si>
  <si>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</si>
  <si>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</si>
  <si>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</si>
  <si>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</si>
  <si>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</si>
  <si>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</si>
  <si>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</si>
  <si>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</si>
  <si>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</si>
  <si>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</si>
  <si>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</si>
  <si>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</si>
  <si>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</si>
  <si>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</si>
  <si>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</si>
  <si>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</si>
  <si>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</si>
  <si>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</si>
  <si>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</si>
  <si>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</si>
  <si>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</si>
  <si>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</si>
  <si>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</si>
  <si>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</si>
  <si>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</si>
  <si>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</si>
  <si>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</si>
  <si>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</si>
  <si>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</si>
  <si>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</si>
  <si>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</si>
  <si>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</si>
  <si>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</si>
  <si>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</si>
  <si>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</si>
  <si>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</si>
  <si>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</si>
  <si>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</si>
  <si>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</si>
  <si>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</si>
  <si>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</si>
  <si>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</si>
  <si>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</si>
  <si>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</si>
  <si>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</si>
  <si>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</si>
  <si>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</si>
  <si>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</si>
  <si>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</si>
  <si>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</si>
  <si>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</si>
  <si>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</si>
  <si>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</si>
  <si>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</si>
  <si>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</si>
  <si>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</si>
  <si>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</si>
  <si>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</si>
  <si>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</si>
  <si>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</si>
  <si>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</si>
  <si>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</si>
  <si>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</si>
  <si>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</si>
  <si>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</si>
  <si>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</si>
  <si>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</si>
  <si>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</si>
  <si>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</si>
  <si>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</si>
  <si>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</si>
  <si>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</si>
  <si>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</si>
  <si>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</si>
  <si>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</si>
  <si>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</si>
  <si>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</si>
  <si>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</si>
  <si>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</si>
  <si>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</si>
  <si>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</si>
  <si>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</si>
  <si>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</si>
  <si>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</si>
  <si>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</si>
  <si>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</si>
  <si>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</si>
  <si>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</si>
  <si>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</si>
  <si>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</si>
  <si>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</si>
  <si>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</si>
  <si>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</si>
  <si>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</si>
  <si>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</si>
  <si>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</si>
  <si>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</si>
  <si>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</si>
  <si>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</si>
  <si>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</si>
  <si>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</si>
  <si>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</si>
  <si>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</si>
  <si>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</si>
  <si>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</si>
  <si>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</si>
  <si>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</si>
  <si>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</si>
  <si>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</si>
  <si>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</si>
  <si>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</si>
  <si>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</si>
  <si>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</si>
  <si>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</si>
  <si>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</si>
  <si>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</si>
  <si>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</si>
  <si>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</si>
  <si>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</si>
  <si>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</si>
  <si>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</si>
  <si>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</si>
  <si>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</si>
  <si>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</si>
  <si>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</si>
  <si>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</si>
  <si>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</si>
  <si>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</si>
  <si>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</si>
  <si>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</si>
  <si>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</si>
  <si>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</si>
  <si>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</si>
  <si>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</si>
  <si>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</si>
  <si>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</si>
  <si>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</si>
  <si>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</si>
  <si>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</si>
  <si>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</si>
  <si>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</si>
  <si>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</si>
  <si>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</si>
  <si>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</si>
  <si>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</si>
  <si>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</si>
  <si>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</si>
  <si>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</si>
  <si>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</si>
  <si>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</si>
  <si>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</si>
  <si>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</si>
  <si>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</si>
  <si>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</si>
  <si>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</si>
  <si>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</si>
  <si>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</si>
  <si>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</si>
  <si>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</si>
  <si>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</si>
  <si>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</si>
  <si>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</si>
  <si>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</si>
  <si>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</si>
  <si>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</si>
  <si>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</si>
  <si>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</si>
  <si>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</si>
  <si>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</si>
  <si>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</si>
  <si>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</si>
  <si>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</si>
  <si>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</si>
  <si>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</si>
  <si>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</si>
  <si>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</si>
  <si>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</si>
  <si>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</si>
  <si>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</si>
  <si>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</si>
  <si>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</si>
  <si>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</si>
  <si>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</si>
  <si>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</si>
  <si>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</si>
  <si>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</si>
  <si>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</si>
  <si>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</si>
  <si>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</si>
  <si>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</si>
  <si>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</si>
  <si>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</si>
  <si>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</si>
  <si>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</si>
  <si>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</si>
  <si>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</si>
  <si>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</si>
  <si>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</si>
  <si>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Version 1.2.3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</si>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</sst>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36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 wrapText="1"/>
    </xf>
    <xf numFmtId="0" fontId="36" fillId="5" borderId="6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5" borderId="22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6" fillId="5" borderId="9" xfId="0" applyFont="1" applyFill="1" applyBorder="1" applyAlignment="1">
      <alignment horizontal="center" vertical="center" wrapText="1"/>
    </xf>
    <xf numFmtId="0" fontId="36" fillId="5" borderId="10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30289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9</xdr:col>
      <xdr:colOff>590549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4" y="1562100"/>
          <a:ext cx="3019425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5</xdr:col>
      <xdr:colOff>9524</xdr:colOff>
      <xdr:row>12</xdr:row>
      <xdr:rowOff>9525</xdr:rowOff>
    </xdr:from>
    <xdr:to>
      <xdr:col>9</xdr:col>
      <xdr:colOff>590549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4" y="2343150"/>
          <a:ext cx="3019425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16</xdr:row>
      <xdr:rowOff>9525</xdr:rowOff>
    </xdr:from>
    <xdr:to>
      <xdr:col>9</xdr:col>
      <xdr:colOff>590549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4" y="3200400"/>
          <a:ext cx="3019425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tabSelected="1" workbookViewId="0">
      <selection activeCell="G2" sqref="G2:I3"/>
    </sheetView>
  </sheetViews>
  <sheetFormatPr defaultRowHeight="15" x14ac:dyDescent="0.25"/>
  <cols>
    <col min="8" max="11" width="9.140625" style="36"/>
    <col min="12" max="13" width="9.140625" style="36" customWidth="1"/>
    <col min="14" max="14" width="9.140625" customWidth="1"/>
  </cols>
  <sheetData>
    <row r="1" spans="1:16" ht="15" customHeight="1" thickBot="1" x14ac:dyDescent="0.3">
      <c r="A1" s="49"/>
    </row>
    <row r="2" spans="1:16" ht="15.75" customHeight="1" x14ac:dyDescent="0.25">
      <c r="G2" s="59" t="s">
        <v>506</v>
      </c>
      <c r="H2" s="60"/>
      <c r="I2" s="61"/>
      <c r="J2" s="48"/>
      <c r="K2" s="48"/>
      <c r="L2" s="48"/>
      <c r="M2" s="59" t="s">
        <v>511</v>
      </c>
      <c r="N2" s="60"/>
      <c r="O2" s="61"/>
    </row>
    <row r="3" spans="1:16" ht="15.75" customHeight="1" thickBot="1" x14ac:dyDescent="0.3">
      <c r="G3" s="62"/>
      <c r="H3" s="63"/>
      <c r="I3" s="64"/>
      <c r="J3" s="48"/>
      <c r="K3" s="48"/>
      <c r="L3" s="48"/>
      <c r="M3" s="62"/>
      <c r="N3" s="63"/>
      <c r="O3" s="64"/>
    </row>
    <row r="4" spans="1:16" ht="15" customHeight="1" thickBot="1" x14ac:dyDescent="0.3"/>
    <row r="5" spans="1:16" s="36" customFormat="1" ht="15" customHeight="1" x14ac:dyDescent="0.25">
      <c r="F5" s="50"/>
      <c r="G5" s="51"/>
      <c r="H5" s="51"/>
      <c r="I5" s="51"/>
      <c r="J5" s="52"/>
      <c r="L5" s="65" t="s">
        <v>507</v>
      </c>
      <c r="M5" s="66"/>
      <c r="N5" s="66"/>
      <c r="O5" s="66"/>
      <c r="P5" s="67"/>
    </row>
    <row r="6" spans="1:16" s="36" customFormat="1" x14ac:dyDescent="0.25">
      <c r="F6" s="53"/>
      <c r="G6" s="54"/>
      <c r="H6" s="54"/>
      <c r="I6" s="54"/>
      <c r="J6" s="55"/>
      <c r="L6" s="68"/>
      <c r="M6" s="69"/>
      <c r="N6" s="69"/>
      <c r="O6" s="69"/>
      <c r="P6" s="70"/>
    </row>
    <row r="7" spans="1:16" s="36" customFormat="1" ht="15.75" thickBot="1" x14ac:dyDescent="0.3">
      <c r="F7" s="56"/>
      <c r="G7" s="57"/>
      <c r="H7" s="57"/>
      <c r="I7" s="57"/>
      <c r="J7" s="58"/>
      <c r="L7" s="71"/>
      <c r="M7" s="72"/>
      <c r="N7" s="72"/>
      <c r="O7" s="72"/>
      <c r="P7" s="73"/>
    </row>
    <row r="8" spans="1:16" s="36" customFormat="1" ht="15.75" thickBot="1" x14ac:dyDescent="0.3">
      <c r="L8" s="47"/>
      <c r="M8" s="47"/>
      <c r="N8" s="47"/>
      <c r="O8" s="47"/>
    </row>
    <row r="9" spans="1:16" s="36" customFormat="1" ht="15" customHeight="1" x14ac:dyDescent="0.25">
      <c r="F9" s="50"/>
      <c r="G9" s="51"/>
      <c r="H9" s="51"/>
      <c r="I9" s="51"/>
      <c r="J9" s="52"/>
      <c r="L9" s="65" t="s">
        <v>508</v>
      </c>
      <c r="M9" s="66"/>
      <c r="N9" s="66"/>
      <c r="O9" s="66"/>
      <c r="P9" s="67"/>
    </row>
    <row r="10" spans="1:16" s="36" customFormat="1" x14ac:dyDescent="0.25">
      <c r="F10" s="53"/>
      <c r="G10" s="54"/>
      <c r="H10" s="54"/>
      <c r="I10" s="54"/>
      <c r="J10" s="55"/>
      <c r="L10" s="68"/>
      <c r="M10" s="69"/>
      <c r="N10" s="69"/>
      <c r="O10" s="69"/>
      <c r="P10" s="70"/>
    </row>
    <row r="11" spans="1:16" s="36" customFormat="1" ht="15.75" thickBot="1" x14ac:dyDescent="0.3">
      <c r="F11" s="56"/>
      <c r="G11" s="57"/>
      <c r="H11" s="57"/>
      <c r="I11" s="57"/>
      <c r="J11" s="58"/>
      <c r="L11" s="71"/>
      <c r="M11" s="72"/>
      <c r="N11" s="72"/>
      <c r="O11" s="72"/>
      <c r="P11" s="73"/>
    </row>
    <row r="12" spans="1:16" s="36" customFormat="1" ht="15.75" thickBot="1" x14ac:dyDescent="0.3"/>
    <row r="13" spans="1:16" s="36" customFormat="1" ht="15" customHeight="1" x14ac:dyDescent="0.25">
      <c r="F13" s="50"/>
      <c r="G13" s="51"/>
      <c r="H13" s="51"/>
      <c r="I13" s="51"/>
      <c r="J13" s="52"/>
      <c r="L13" s="65" t="s">
        <v>509</v>
      </c>
      <c r="M13" s="66"/>
      <c r="N13" s="66"/>
      <c r="O13" s="66"/>
      <c r="P13" s="67"/>
    </row>
    <row r="14" spans="1:16" s="36" customFormat="1" x14ac:dyDescent="0.25">
      <c r="F14" s="53"/>
      <c r="G14" s="54"/>
      <c r="H14" s="54"/>
      <c r="I14" s="54"/>
      <c r="J14" s="55"/>
      <c r="L14" s="68"/>
      <c r="M14" s="69"/>
      <c r="N14" s="69"/>
      <c r="O14" s="69"/>
      <c r="P14" s="70"/>
    </row>
    <row r="15" spans="1:16" s="36" customFormat="1" ht="21.75" customHeight="1" thickBot="1" x14ac:dyDescent="0.3">
      <c r="F15" s="56"/>
      <c r="G15" s="57"/>
      <c r="H15" s="57"/>
      <c r="I15" s="57"/>
      <c r="J15" s="58"/>
      <c r="L15" s="71"/>
      <c r="M15" s="72"/>
      <c r="N15" s="72"/>
      <c r="O15" s="72"/>
      <c r="P15" s="73"/>
    </row>
    <row r="16" spans="1:16" s="36" customFormat="1" ht="15.75" thickBot="1" x14ac:dyDescent="0.3"/>
    <row r="17" spans="6:16" s="36" customFormat="1" ht="15" customHeight="1" x14ac:dyDescent="0.25">
      <c r="F17" s="50"/>
      <c r="G17" s="51"/>
      <c r="H17" s="51"/>
      <c r="I17" s="51"/>
      <c r="J17" s="52"/>
      <c r="L17" s="65" t="s">
        <v>510</v>
      </c>
      <c r="M17" s="66"/>
      <c r="N17" s="66"/>
      <c r="O17" s="66"/>
      <c r="P17" s="67"/>
    </row>
    <row r="18" spans="6:16" s="36" customFormat="1" x14ac:dyDescent="0.25">
      <c r="F18" s="53"/>
      <c r="G18" s="54"/>
      <c r="H18" s="54"/>
      <c r="I18" s="54"/>
      <c r="J18" s="55"/>
      <c r="L18" s="68"/>
      <c r="M18" s="69"/>
      <c r="N18" s="69"/>
      <c r="O18" s="69"/>
      <c r="P18" s="70"/>
    </row>
    <row r="19" spans="6:16" s="36" customFormat="1" ht="15.75" thickBot="1" x14ac:dyDescent="0.3">
      <c r="F19" s="56"/>
      <c r="G19" s="57"/>
      <c r="H19" s="57"/>
      <c r="I19" s="57"/>
      <c r="J19" s="58"/>
      <c r="L19" s="71"/>
      <c r="M19" s="72"/>
      <c r="N19" s="72"/>
      <c r="O19" s="72"/>
      <c r="P19" s="73"/>
    </row>
    <row r="20" spans="6:16" s="36" customFormat="1" x14ac:dyDescent="0.25"/>
    <row r="21" spans="6:16" s="36" customFormat="1" x14ac:dyDescent="0.25"/>
    <row r="22" spans="6:16" s="36" customFormat="1" x14ac:dyDescent="0.25"/>
    <row r="23" spans="6:16" s="36" customFormat="1" x14ac:dyDescent="0.25"/>
  </sheetData>
  <sheetProtection algorithmName="SHA-512" hashValue="xSa1lX7IepFNMDorbYtoCdlX5/zG/IWIYKCCSHSihDWoeUrbgKM3CRgrlvXjLF6cNO/B9zNV8zlnOcr+hpy7CA==" saltValue="JzwYjWWSVmnjsg7oVPV7JA==" spinCount="100000" sheet="1" objects="1" scenarios="1"/>
  <mergeCells count="10">
    <mergeCell ref="F17:J19"/>
    <mergeCell ref="G2:I3"/>
    <mergeCell ref="M2:O3"/>
    <mergeCell ref="L5:P7"/>
    <mergeCell ref="L9:P11"/>
    <mergeCell ref="L13:P15"/>
    <mergeCell ref="L17:P19"/>
    <mergeCell ref="F5:J7"/>
    <mergeCell ref="F9:J11"/>
    <mergeCell ref="F13:J15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N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4" x14ac:dyDescent="0.25">
      <c r="A1" s="12" t="s">
        <v>0</v>
      </c>
      <c r="B1" s="13" t="s">
        <v>1</v>
      </c>
    </row>
    <row r="2" spans="1:14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N2" t="e">
        <f>VLOOKUP(H2,Markets!B:G,6,0)</f>
        <v>#N/A</v>
      </c>
    </row>
    <row r="3" spans="1:14" x14ac:dyDescent="0.25">
      <c r="A3" s="1" t="s">
        <v>3</v>
      </c>
      <c r="B3" s="2"/>
      <c r="F3" s="30" t="s">
        <v>257</v>
      </c>
      <c r="G3" s="5"/>
    </row>
    <row r="4" spans="1:14" x14ac:dyDescent="0.25">
      <c r="A4" s="1" t="s">
        <v>4</v>
      </c>
      <c r="B4" s="2"/>
    </row>
    <row r="5" spans="1:14" x14ac:dyDescent="0.25">
      <c r="A5" s="1" t="s">
        <v>5</v>
      </c>
      <c r="B5" s="2"/>
      <c r="F5" s="29" t="str">
        <f>IF(B4="","",IF(OR(B4="MDA",B4="CIA"),B4,"POYPON"))</f>
        <v/>
      </c>
    </row>
    <row r="6" spans="1:14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4" x14ac:dyDescent="0.25">
      <c r="A7" s="1" t="s">
        <v>7</v>
      </c>
      <c r="B7" s="4"/>
    </row>
    <row r="8" spans="1:14" x14ac:dyDescent="0.25">
      <c r="A8" s="1" t="s">
        <v>8</v>
      </c>
      <c r="B8" s="3"/>
    </row>
    <row r="9" spans="1:14" x14ac:dyDescent="0.25">
      <c r="A9" s="1" t="s">
        <v>9</v>
      </c>
      <c r="B9" s="2"/>
    </row>
    <row r="10" spans="1:14" x14ac:dyDescent="0.25">
      <c r="A10" s="1" t="s">
        <v>10</v>
      </c>
      <c r="B10" s="2"/>
    </row>
    <row r="11" spans="1:14" x14ac:dyDescent="0.25">
      <c r="A11" s="1" t="s">
        <v>11</v>
      </c>
      <c r="B11" s="2"/>
    </row>
    <row r="12" spans="1:14" x14ac:dyDescent="0.25">
      <c r="A12" s="1" t="s">
        <v>12</v>
      </c>
      <c r="B12" s="2"/>
    </row>
    <row r="13" spans="1:14" x14ac:dyDescent="0.25">
      <c r="A13" s="1" t="s">
        <v>13</v>
      </c>
      <c r="B13" s="5"/>
    </row>
    <row r="14" spans="1:14" x14ac:dyDescent="0.25">
      <c r="A14" s="1" t="s">
        <v>14</v>
      </c>
      <c r="B14" s="2"/>
    </row>
    <row r="15" spans="1:14" x14ac:dyDescent="0.25">
      <c r="A15" s="1" t="s">
        <v>15</v>
      </c>
      <c r="B15" s="2"/>
    </row>
    <row r="16" spans="1:14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74" t="s">
        <v>502</v>
      </c>
      <c r="B1" s="74"/>
      <c r="C1" s="74"/>
      <c r="D1" s="74"/>
      <c r="E1" s="75" t="s">
        <v>501</v>
      </c>
      <c r="F1" s="75"/>
      <c r="G1" s="75"/>
      <c r="H1" s="75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2023-08-29T08:04:04Z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