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athima.rm\OneDrive - LatentView Analytics Limited\Desktop\Custom Model\"/>
    </mc:Choice>
  </mc:AlternateContent>
  <xr:revisionPtr revIDLastSave="0" documentId="13_ncr:1_{58518A0B-2AE0-48C2-AD44-CE20B5AB03BB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Main" sheetId="1" r:id="rId1"/>
    <sheet name="Bulk Upload" sheetId="2" state="hidden" r:id="rId2"/>
    <sheet name="Upload Mapping" sheetId="3" state="hidden" r:id="rId3"/>
    <sheet name="Markets" sheetId="4" state="hidden" r:id="rId4"/>
  </sheets>
  <functionGroups builtInGroupCount="19"/>
  <definedNames>
    <definedName name="_xlnm._FilterDatabase" localSheetId="2" hidden="1">'Upload Mapping'!$A$2:$H$126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" i="2" l="1" a="1"/>
  <c r="P2" i="2" l="1"/>
  <c r="C127" i="3"/>
  <c r="B127" i="3"/>
  <c r="D127" i="3" s="1"/>
  <c r="C126" i="3"/>
  <c r="B126" i="3"/>
  <c r="D126" i="3" s="1"/>
  <c r="H2" i="2" l="1" a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2" i="4"/>
  <c r="H2" i="2" l="1"/>
  <c r="F6" i="2"/>
  <c r="F5" i="2"/>
  <c r="C125" i="3"/>
  <c r="B125" i="3"/>
  <c r="D125" i="3" s="1"/>
  <c r="C124" i="3"/>
  <c r="B124" i="3"/>
  <c r="D124" i="3" s="1"/>
  <c r="C123" i="3"/>
  <c r="B123" i="3"/>
  <c r="D123" i="3" s="1"/>
  <c r="C122" i="3"/>
  <c r="B122" i="3"/>
  <c r="D122" i="3" s="1"/>
  <c r="C121" i="3"/>
  <c r="B121" i="3"/>
  <c r="D121" i="3" s="1"/>
  <c r="C120" i="3"/>
  <c r="B120" i="3"/>
  <c r="D120" i="3" s="1"/>
  <c r="C119" i="3"/>
  <c r="B119" i="3"/>
  <c r="D119" i="3" s="1"/>
  <c r="C118" i="3"/>
  <c r="B118" i="3"/>
  <c r="D118" i="3" s="1"/>
  <c r="C117" i="3"/>
  <c r="B117" i="3"/>
  <c r="D117" i="3" s="1"/>
  <c r="C116" i="3"/>
  <c r="B116" i="3"/>
  <c r="D116" i="3" s="1"/>
  <c r="C115" i="3"/>
  <c r="B115" i="3"/>
  <c r="D115" i="3" s="1"/>
  <c r="C114" i="3"/>
  <c r="B114" i="3"/>
  <c r="D114" i="3" s="1"/>
  <c r="C113" i="3"/>
  <c r="B113" i="3"/>
  <c r="D113" i="3" s="1"/>
  <c r="C112" i="3"/>
  <c r="B112" i="3"/>
  <c r="D112" i="3" s="1"/>
  <c r="C111" i="3"/>
  <c r="B111" i="3"/>
  <c r="D111" i="3" s="1"/>
  <c r="C110" i="3"/>
  <c r="B110" i="3"/>
  <c r="D110" i="3" s="1"/>
  <c r="C109" i="3"/>
  <c r="B109" i="3"/>
  <c r="D109" i="3" s="1"/>
  <c r="C108" i="3"/>
  <c r="B108" i="3"/>
  <c r="D108" i="3" s="1"/>
  <c r="C107" i="3"/>
  <c r="B107" i="3"/>
  <c r="D107" i="3" s="1"/>
  <c r="C106" i="3"/>
  <c r="B106" i="3"/>
  <c r="D106" i="3" s="1"/>
  <c r="C105" i="3"/>
  <c r="B105" i="3"/>
  <c r="D105" i="3" s="1"/>
  <c r="C104" i="3"/>
  <c r="B104" i="3"/>
  <c r="D104" i="3" s="1"/>
  <c r="C103" i="3"/>
  <c r="B103" i="3"/>
  <c r="D103" i="3" s="1"/>
  <c r="C102" i="3"/>
  <c r="B102" i="3"/>
  <c r="D102" i="3" s="1"/>
  <c r="C101" i="3"/>
  <c r="B101" i="3"/>
  <c r="D101" i="3" s="1"/>
  <c r="C100" i="3"/>
  <c r="B100" i="3"/>
  <c r="D100" i="3" s="1"/>
  <c r="C99" i="3"/>
  <c r="B99" i="3"/>
  <c r="D99" i="3" s="1"/>
  <c r="C98" i="3"/>
  <c r="B98" i="3"/>
  <c r="D98" i="3" s="1"/>
  <c r="C97" i="3"/>
  <c r="B97" i="3"/>
  <c r="D97" i="3" s="1"/>
  <c r="C96" i="3"/>
  <c r="B96" i="3"/>
  <c r="D96" i="3" s="1"/>
  <c r="C95" i="3"/>
  <c r="B95" i="3"/>
  <c r="D95" i="3" s="1"/>
  <c r="C94" i="3"/>
  <c r="B94" i="3"/>
  <c r="D94" i="3" s="1"/>
  <c r="C93" i="3"/>
  <c r="B93" i="3"/>
  <c r="D93" i="3" s="1"/>
  <c r="C92" i="3"/>
  <c r="B92" i="3"/>
  <c r="D92" i="3" s="1"/>
  <c r="C91" i="3"/>
  <c r="B91" i="3"/>
  <c r="D91" i="3" s="1"/>
  <c r="C90" i="3"/>
  <c r="B90" i="3"/>
  <c r="D90" i="3" s="1"/>
  <c r="C89" i="3"/>
  <c r="B89" i="3"/>
  <c r="D89" i="3" s="1"/>
  <c r="C88" i="3"/>
  <c r="B88" i="3"/>
  <c r="D88" i="3" s="1"/>
  <c r="C87" i="3"/>
  <c r="B87" i="3"/>
  <c r="D87" i="3" s="1"/>
  <c r="C86" i="3"/>
  <c r="B86" i="3"/>
  <c r="D86" i="3" s="1"/>
  <c r="C85" i="3"/>
  <c r="B85" i="3"/>
  <c r="D85" i="3" s="1"/>
  <c r="C84" i="3"/>
  <c r="B84" i="3"/>
  <c r="D84" i="3" s="1"/>
  <c r="C83" i="3"/>
  <c r="B83" i="3"/>
  <c r="D83" i="3" s="1"/>
  <c r="C82" i="3"/>
  <c r="B82" i="3"/>
  <c r="D82" i="3" s="1"/>
  <c r="C81" i="3"/>
  <c r="B81" i="3"/>
  <c r="D81" i="3" s="1"/>
  <c r="C80" i="3"/>
  <c r="B80" i="3"/>
  <c r="D80" i="3" s="1"/>
  <c r="C79" i="3"/>
  <c r="B79" i="3"/>
  <c r="D79" i="3" s="1"/>
  <c r="C78" i="3"/>
  <c r="B78" i="3"/>
  <c r="D78" i="3" s="1"/>
  <c r="C77" i="3"/>
  <c r="B77" i="3"/>
  <c r="D77" i="3" s="1"/>
  <c r="C76" i="3"/>
  <c r="B76" i="3"/>
  <c r="D76" i="3" s="1"/>
  <c r="C75" i="3"/>
  <c r="B75" i="3"/>
  <c r="D75" i="3" s="1"/>
  <c r="C74" i="3"/>
  <c r="B74" i="3"/>
  <c r="D74" i="3" s="1"/>
  <c r="C73" i="3"/>
  <c r="B73" i="3"/>
  <c r="D73" i="3" s="1"/>
  <c r="C72" i="3"/>
  <c r="B72" i="3"/>
  <c r="D72" i="3" s="1"/>
  <c r="C71" i="3"/>
  <c r="B71" i="3"/>
  <c r="D71" i="3" s="1"/>
  <c r="C70" i="3"/>
  <c r="B70" i="3"/>
  <c r="D70" i="3" s="1"/>
  <c r="C69" i="3"/>
  <c r="B69" i="3"/>
  <c r="D69" i="3" s="1"/>
  <c r="C68" i="3"/>
  <c r="B68" i="3"/>
  <c r="D68" i="3" s="1"/>
  <c r="C67" i="3"/>
  <c r="B67" i="3"/>
  <c r="D67" i="3" s="1"/>
  <c r="C66" i="3"/>
  <c r="B66" i="3"/>
  <c r="D66" i="3" s="1"/>
  <c r="C65" i="3"/>
  <c r="B65" i="3"/>
  <c r="D65" i="3" s="1"/>
  <c r="C64" i="3"/>
  <c r="B64" i="3"/>
  <c r="D64" i="3" s="1"/>
  <c r="C63" i="3"/>
  <c r="B63" i="3"/>
  <c r="D63" i="3" s="1"/>
  <c r="C62" i="3"/>
  <c r="B62" i="3"/>
  <c r="D62" i="3" s="1"/>
  <c r="C61" i="3"/>
  <c r="B61" i="3"/>
  <c r="D61" i="3" s="1"/>
  <c r="C60" i="3"/>
  <c r="B60" i="3"/>
  <c r="D60" i="3" s="1"/>
  <c r="C59" i="3"/>
  <c r="B59" i="3"/>
  <c r="D59" i="3" s="1"/>
  <c r="C58" i="3"/>
  <c r="B58" i="3"/>
  <c r="D58" i="3" s="1"/>
  <c r="C57" i="3"/>
  <c r="B57" i="3"/>
  <c r="D57" i="3" s="1"/>
  <c r="C56" i="3"/>
  <c r="B56" i="3"/>
  <c r="D56" i="3" s="1"/>
  <c r="C55" i="3"/>
  <c r="B55" i="3"/>
  <c r="D55" i="3" s="1"/>
  <c r="C54" i="3"/>
  <c r="B54" i="3"/>
  <c r="D54" i="3" s="1"/>
  <c r="C53" i="3"/>
  <c r="B53" i="3"/>
  <c r="D53" i="3" s="1"/>
  <c r="C52" i="3"/>
  <c r="B52" i="3"/>
  <c r="D52" i="3" s="1"/>
  <c r="C51" i="3"/>
  <c r="B51" i="3"/>
  <c r="D51" i="3" s="1"/>
  <c r="C50" i="3"/>
  <c r="B50" i="3"/>
  <c r="D50" i="3" s="1"/>
  <c r="C49" i="3"/>
  <c r="B49" i="3"/>
  <c r="D49" i="3" s="1"/>
  <c r="C48" i="3"/>
  <c r="B48" i="3"/>
  <c r="D48" i="3" s="1"/>
  <c r="C47" i="3"/>
  <c r="B47" i="3"/>
  <c r="D47" i="3" s="1"/>
  <c r="C46" i="3"/>
  <c r="B46" i="3"/>
  <c r="D46" i="3" s="1"/>
  <c r="C45" i="3"/>
  <c r="B45" i="3"/>
  <c r="D45" i="3" s="1"/>
  <c r="C44" i="3"/>
  <c r="B44" i="3"/>
  <c r="D44" i="3" s="1"/>
  <c r="C43" i="3"/>
  <c r="B43" i="3"/>
  <c r="D43" i="3" s="1"/>
  <c r="C42" i="3"/>
  <c r="B42" i="3"/>
  <c r="D42" i="3" s="1"/>
  <c r="C41" i="3"/>
  <c r="B41" i="3"/>
  <c r="D41" i="3" s="1"/>
  <c r="C40" i="3"/>
  <c r="B40" i="3"/>
  <c r="D40" i="3" s="1"/>
  <c r="C39" i="3"/>
  <c r="B39" i="3"/>
  <c r="D39" i="3" s="1"/>
  <c r="C38" i="3"/>
  <c r="B38" i="3"/>
  <c r="D38" i="3" s="1"/>
  <c r="C37" i="3"/>
  <c r="B37" i="3"/>
  <c r="D37" i="3" s="1"/>
  <c r="C36" i="3"/>
  <c r="B36" i="3"/>
  <c r="D36" i="3" s="1"/>
  <c r="C35" i="3"/>
  <c r="B35" i="3"/>
  <c r="D35" i="3" s="1"/>
  <c r="C34" i="3"/>
  <c r="B34" i="3"/>
  <c r="D34" i="3" s="1"/>
  <c r="C33" i="3"/>
  <c r="B33" i="3"/>
  <c r="D33" i="3" s="1"/>
  <c r="C32" i="3"/>
  <c r="B32" i="3"/>
  <c r="D32" i="3" s="1"/>
  <c r="C31" i="3"/>
  <c r="B31" i="3"/>
  <c r="D31" i="3" s="1"/>
  <c r="C30" i="3"/>
  <c r="B30" i="3"/>
  <c r="D30" i="3" s="1"/>
  <c r="C29" i="3"/>
  <c r="B29" i="3"/>
  <c r="D29" i="3" s="1"/>
  <c r="C28" i="3"/>
  <c r="B28" i="3"/>
  <c r="D28" i="3" s="1"/>
  <c r="C27" i="3"/>
  <c r="B27" i="3"/>
  <c r="D27" i="3" s="1"/>
  <c r="C26" i="3"/>
  <c r="B26" i="3"/>
  <c r="D26" i="3" s="1"/>
  <c r="C25" i="3"/>
  <c r="B25" i="3"/>
  <c r="D25" i="3" s="1"/>
  <c r="C24" i="3"/>
  <c r="B24" i="3"/>
  <c r="D24" i="3" s="1"/>
  <c r="C23" i="3"/>
  <c r="B23" i="3"/>
  <c r="D23" i="3" s="1"/>
  <c r="C22" i="3"/>
  <c r="B22" i="3"/>
  <c r="D22" i="3" s="1"/>
  <c r="C21" i="3"/>
  <c r="B21" i="3"/>
  <c r="D21" i="3" s="1"/>
  <c r="C20" i="3"/>
  <c r="B20" i="3"/>
  <c r="D20" i="3" s="1"/>
  <c r="C19" i="3"/>
  <c r="B19" i="3"/>
  <c r="D19" i="3" s="1"/>
  <c r="C18" i="3"/>
  <c r="B18" i="3"/>
  <c r="D18" i="3" s="1"/>
  <c r="C17" i="3"/>
  <c r="B17" i="3"/>
  <c r="D17" i="3" s="1"/>
  <c r="C16" i="3"/>
  <c r="B16" i="3"/>
  <c r="D16" i="3" s="1"/>
  <c r="C15" i="3"/>
  <c r="B15" i="3"/>
  <c r="D15" i="3" s="1"/>
  <c r="C14" i="3"/>
  <c r="B14" i="3"/>
  <c r="D14" i="3" s="1"/>
  <c r="C13" i="3"/>
  <c r="B13" i="3"/>
  <c r="D13" i="3" s="1"/>
  <c r="C12" i="3"/>
  <c r="B12" i="3"/>
  <c r="D12" i="3" s="1"/>
  <c r="C11" i="3"/>
  <c r="B11" i="3"/>
  <c r="D11" i="3" s="1"/>
  <c r="C10" i="3"/>
  <c r="B10" i="3"/>
  <c r="D10" i="3" s="1"/>
  <c r="C9" i="3"/>
  <c r="B9" i="3"/>
  <c r="D9" i="3" s="1"/>
  <c r="C8" i="3"/>
  <c r="B8" i="3"/>
  <c r="D8" i="3" s="1"/>
  <c r="C7" i="3"/>
  <c r="B7" i="3"/>
  <c r="D7" i="3" s="1"/>
  <c r="C6" i="3"/>
  <c r="B6" i="3"/>
  <c r="D6" i="3" s="1"/>
  <c r="C5" i="3"/>
  <c r="B5" i="3"/>
  <c r="D5" i="3" s="1"/>
  <c r="C4" i="3"/>
  <c r="B4" i="3"/>
  <c r="D4" i="3" s="1"/>
  <c r="C3" i="3"/>
  <c r="B3" i="3"/>
  <c r="D3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<sst xmlns="http://schemas.openxmlformats.org/spreadsheetml/2006/main" count="1111" uniqueCount="512">
  <si>
    <t>Bulk Upload Field Name</t>
  </si>
  <si>
    <t>Data</t>
  </si>
  <si>
    <t>Agreement Name</t>
  </si>
  <si>
    <t>Agreement Level</t>
  </si>
  <si>
    <t>Agreement Classification</t>
  </si>
  <si>
    <t>Agreement Sub Classification</t>
  </si>
  <si>
    <t>Agreement Effective Date</t>
  </si>
  <si>
    <t>Initial Agreement Terms</t>
  </si>
  <si>
    <t>Agreement Expiration Date</t>
  </si>
  <si>
    <t>Multi Market Flag</t>
  </si>
  <si>
    <t>DBA Name</t>
  </si>
  <si>
    <t>Franchisor Name</t>
  </si>
  <si>
    <t>Auto Renewal</t>
  </si>
  <si>
    <t>Agreement Calendar</t>
  </si>
  <si>
    <t>Lead Market</t>
  </si>
  <si>
    <t>Lead Market Code</t>
  </si>
  <si>
    <t>Business Case</t>
  </si>
  <si>
    <t>Migration to MDA</t>
  </si>
  <si>
    <t>Migration to MDA Reason</t>
  </si>
  <si>
    <t>Distributor Name</t>
  </si>
  <si>
    <t>Seasonal Account</t>
  </si>
  <si>
    <t>Weekly Spend Amount (Recent Run Rate)</t>
  </si>
  <si>
    <t>Annual Purchase Commitment</t>
  </si>
  <si>
    <t>Prepay Exceeds 10 Percent of Year 1 Commitment</t>
  </si>
  <si>
    <t>Total Prepaid Incentives</t>
  </si>
  <si>
    <t>Multi Year Prepaid Payment</t>
  </si>
  <si>
    <t>Net Prepaid Amount</t>
  </si>
  <si>
    <t>Rebate Total Dollars</t>
  </si>
  <si>
    <t>Net TGP Total Dollars</t>
  </si>
  <si>
    <t>Net TGP Rate Per Case</t>
  </si>
  <si>
    <t>Net TGP Total Percentage</t>
  </si>
  <si>
    <t>Contribution Margin Total Dollars</t>
  </si>
  <si>
    <t>Contribution Margin Total Dollars Historical</t>
  </si>
  <si>
    <t>Contribution Margin Percentage</t>
  </si>
  <si>
    <t>Contribution Margin Percentage Historical</t>
  </si>
  <si>
    <t>Contribution Margin Rate Per Case</t>
  </si>
  <si>
    <t>Contribution Margin Rate Per Case Historical</t>
  </si>
  <si>
    <t>Contribution Margin Per Drop</t>
  </si>
  <si>
    <t>Contribution Margin Per Location Weekly</t>
  </si>
  <si>
    <t>Contribution Margin Less Rent Percentage</t>
  </si>
  <si>
    <t>Contribution Margin Less Rent Rate Per Case</t>
  </si>
  <si>
    <t>Contribution Margin Less Rent Total Dollars</t>
  </si>
  <si>
    <t>Contribution Margin Less Rent Per Drop</t>
  </si>
  <si>
    <t>Contribution Margin Less Rent Per Location Weekly</t>
  </si>
  <si>
    <t>Credit Card Fee Flag</t>
  </si>
  <si>
    <t>Minimum Per Case Markup</t>
  </si>
  <si>
    <t>Fuel Surcharge Included</t>
  </si>
  <si>
    <t>Fuel Surcharge Per</t>
  </si>
  <si>
    <t>Minimum Delivery Size Requirement</t>
  </si>
  <si>
    <t>Minimum Delivery Fee</t>
  </si>
  <si>
    <t>Special Order Product Surcharge Amount</t>
  </si>
  <si>
    <t>Special Order Product Surcharge Amount Type Code</t>
  </si>
  <si>
    <t>Split Case Per</t>
  </si>
  <si>
    <t>Split Case Surcharge Amount</t>
  </si>
  <si>
    <t>Proprietary Slots Additional Markup</t>
  </si>
  <si>
    <t>Cost Basis</t>
  </si>
  <si>
    <t>Margin Basis</t>
  </si>
  <si>
    <t>Margin Calculation</t>
  </si>
  <si>
    <t>Pricing Override Flag</t>
  </si>
  <si>
    <t>Fee Per Case</t>
  </si>
  <si>
    <t>Fixed Pricing</t>
  </si>
  <si>
    <t>Fee Per Pound</t>
  </si>
  <si>
    <t>Manual Pricing</t>
  </si>
  <si>
    <t>Cost Points</t>
  </si>
  <si>
    <t>Guaranteed Location Name</t>
  </si>
  <si>
    <t>Incentive Auto Approval Flag</t>
  </si>
  <si>
    <t>Incentives Included Flag</t>
  </si>
  <si>
    <t>Minimum per Case Markup Flag</t>
  </si>
  <si>
    <t>Split Case Applied Flag</t>
  </si>
  <si>
    <t>Sales Route Code</t>
  </si>
  <si>
    <t>Product Pricing Schedule Included Flag</t>
  </si>
  <si>
    <t>Proprietary Slots Included Flag</t>
  </si>
  <si>
    <t>Audit Frequency</t>
  </si>
  <si>
    <t>Audit Age of Invoices</t>
  </si>
  <si>
    <t>Audit Nbr of Invoice Line Items</t>
  </si>
  <si>
    <t>Margin Erosion Rate</t>
  </si>
  <si>
    <t>CPI ECI</t>
  </si>
  <si>
    <t>Proprietary Inventory Turn</t>
  </si>
  <si>
    <t>Standard Agreement</t>
  </si>
  <si>
    <t>Parent MU NBR</t>
  </si>
  <si>
    <t>Parent MU Description</t>
  </si>
  <si>
    <t>Minimum Percentage of Purchases to be Directed to USF</t>
  </si>
  <si>
    <t>Minimum EB Percentage of Purchases</t>
  </si>
  <si>
    <t>Average Purchases Per Delivery</t>
  </si>
  <si>
    <t>Average Cases Per Delivery</t>
  </si>
  <si>
    <t>Average Cost Per Case</t>
  </si>
  <si>
    <t>Deliveries Per Customer Unit Per Week</t>
  </si>
  <si>
    <t>Maximum Distance from USF DC to Shipping Locations</t>
  </si>
  <si>
    <t>Primary Form of Payment</t>
  </si>
  <si>
    <t>EB Percentage</t>
  </si>
  <si>
    <t>TAGP Total Dollars</t>
  </si>
  <si>
    <t>Gross TGP Total Dollars</t>
  </si>
  <si>
    <t>Product and Non Product Allowance Total Dollars</t>
  </si>
  <si>
    <t>Product and Non Product Charge Total Dollars</t>
  </si>
  <si>
    <t>Total Cases</t>
  </si>
  <si>
    <t>Self Funded Total Dollars</t>
  </si>
  <si>
    <t>PA Total Dollars</t>
  </si>
  <si>
    <t>Other GP Total Dollars</t>
  </si>
  <si>
    <t>Gross Profit Total Dollars</t>
  </si>
  <si>
    <t>Variable Expenses Total Dollars</t>
  </si>
  <si>
    <t>Credit Card Expense Total Dollars</t>
  </si>
  <si>
    <t>Fixed Expenses Total Dollars</t>
  </si>
  <si>
    <t>Rent Charge Total Dollars</t>
  </si>
  <si>
    <t>Rent Charge Proprietary Items Total Items</t>
  </si>
  <si>
    <t>Rent Charge Pick and Reserve Slots Total Slots</t>
  </si>
  <si>
    <t>Annual Rent Per Slot</t>
  </si>
  <si>
    <t>Number of Locations</t>
  </si>
  <si>
    <t>Variable Support Office Expense Total Dollars</t>
  </si>
  <si>
    <t>Total</t>
  </si>
  <si>
    <t>Dry</t>
  </si>
  <si>
    <t>Frozen</t>
  </si>
  <si>
    <t>Refrigerated</t>
  </si>
  <si>
    <t>Direct Ship Per</t>
  </si>
  <si>
    <t>Direct Ship Rate</t>
  </si>
  <si>
    <t>Purchase Purpose</t>
  </si>
  <si>
    <t>Entity Type</t>
  </si>
  <si>
    <t>Side Letter Agreement Terms</t>
  </si>
  <si>
    <t>Entity State</t>
  </si>
  <si>
    <t>Legal Entity</t>
  </si>
  <si>
    <t>Legal Entity Address 1</t>
  </si>
  <si>
    <t>Legal Entity City</t>
  </si>
  <si>
    <t>Legal Entity State</t>
  </si>
  <si>
    <t>Legal Entity Zip Code</t>
  </si>
  <si>
    <t>Currently Purchasing from US Foods</t>
  </si>
  <si>
    <t>Total Drops</t>
  </si>
  <si>
    <t>Guaranteed Location 2 digit code</t>
  </si>
  <si>
    <t>Field name in Master File</t>
  </si>
  <si>
    <t>Start Cell</t>
  </si>
  <si>
    <t>End Cell</t>
  </si>
  <si>
    <t>Tab</t>
  </si>
  <si>
    <t>Upload Cell</t>
  </si>
  <si>
    <t>Upload Sheet Name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</si>
  <si>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</si>
  <si>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</si>
  <si>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</si>
  <si>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</si>
  <si>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</si>
  <si>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</si>
  <si>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</si>
  <si>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</si>
  <si>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</si>
  <si>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</si>
  <si>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</si>
  <si>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</si>
  <si>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P</t>
  </si>
  <si>
    <t>R</t>
  </si>
  <si>
    <t>S</t>
  </si>
  <si>
    <t>T</t>
  </si>
  <si>
    <t>U</t>
  </si>
  <si>
    <t>V</t>
  </si>
  <si>
    <t>W</t>
  </si>
  <si>
    <t>X</t>
  </si>
  <si>
    <t>Z</t>
  </si>
  <si>
    <t>AB</t>
  </si>
  <si>
    <t>AC</t>
  </si>
  <si>
    <t>AE</t>
  </si>
  <si>
    <t>AF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</si>
  <si>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</si>
  <si>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</si>
  <si>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</si>
  <si>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</si>
  <si>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</si>
  <si>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</si>
  <si>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</si>
  <si>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</si>
  <si>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</si>
  <si>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</si>
  <si>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</si>
  <si>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</si>
  <si>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</si>
  <si>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</si>
  <si>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</si>
  <si>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AX</t>
  </si>
  <si>
    <t>AY</t>
  </si>
  <si>
    <t>AZ</t>
  </si>
  <si>
    <t>BB</t>
  </si>
  <si>
    <t>BC</t>
  </si>
  <si>
    <t>BD</t>
  </si>
  <si>
    <t>BF</t>
  </si>
  <si>
    <t>BH</t>
  </si>
  <si>
    <t>BI</t>
  </si>
  <si>
    <t>BJ</t>
  </si>
  <si>
    <t>BK</t>
  </si>
  <si>
    <t>BL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</si>
  <si>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</si>
  <si>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</si>
  <si>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</si>
  <si>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</si>
  <si>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</si>
  <si>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</si>
  <si>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</si>
  <si>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</si>
  <si>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</si>
  <si>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</si>
  <si>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</si>
  <si>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</si>
  <si>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</si>
  <si>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CA</t>
  </si>
  <si>
    <t>CE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</si>
  <si>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</si>
  <si>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</si>
  <si>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</si>
  <si>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</si>
  <si>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</si>
  <si>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</si>
  <si>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</si>
  <si>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</si>
  <si>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</si>
  <si>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</si>
  <si>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</si>
  <si>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</si>
  <si>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</si>
  <si>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</si>
  <si>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CV</t>
  </si>
  <si>
    <t>CW</t>
  </si>
  <si>
    <t>CY</t>
  </si>
  <si>
    <t>CZ</t>
  </si>
  <si>
    <t>DA</t>
  </si>
  <si>
    <t>DC</t>
  </si>
  <si>
    <t>DD</t>
  </si>
  <si>
    <t>DF</t>
  </si>
  <si>
    <t>DH</t>
  </si>
  <si>
    <t>DJ</t>
  </si>
  <si>
    <t>DL</t>
  </si>
  <si>
    <t>DM</t>
  </si>
  <si>
    <t>DN</t>
  </si>
  <si>
    <t>DP</t>
  </si>
  <si>
    <t>DR</t>
  </si>
  <si>
    <t>DT</t>
  </si>
  <si>
    <t>DV</t>
  </si>
  <si>
    <t>DX</t>
  </si>
  <si>
    <t>DZ</t>
  </si>
  <si>
    <t>EA</t>
  </si>
  <si>
    <t>EB</t>
  </si>
  <si>
    <t>EC</t>
  </si>
  <si>
    <t>EE</t>
  </si>
  <si>
    <t>EF</t>
  </si>
  <si>
    <t>EH</t>
  </si>
  <si>
    <t>EI</t>
  </si>
  <si>
    <t>EJ</t>
  </si>
  <si>
    <t>EK</t>
  </si>
  <si>
    <t>EL</t>
  </si>
  <si>
    <t>EM</t>
  </si>
  <si>
    <t>EN</t>
  </si>
  <si>
    <t>EO</t>
  </si>
  <si>
    <t>EP</t>
  </si>
  <si>
    <t>EQ</t>
  </si>
  <si>
    <t>ER</t>
  </si>
  <si>
    <t>ES</t>
  </si>
  <si>
    <t>ET</t>
  </si>
  <si>
    <t>EU</t>
  </si>
  <si>
    <t>EV</t>
  </si>
  <si>
    <t>EW</t>
  </si>
  <si>
    <t>Net Sales</t>
  </si>
  <si>
    <t>EX</t>
  </si>
  <si>
    <t>ICMOthers</t>
  </si>
  <si>
    <t>Target</t>
  </si>
  <si>
    <t>Source</t>
  </si>
  <si>
    <t>Market Name</t>
  </si>
  <si>
    <t>Market Code</t>
  </si>
  <si>
    <t>Area</t>
  </si>
  <si>
    <t>Region</t>
  </si>
  <si>
    <t>Market Number</t>
  </si>
  <si>
    <t xml:space="preserve">ALBANY </t>
  </si>
  <si>
    <t>9B</t>
  </si>
  <si>
    <t>UNY</t>
  </si>
  <si>
    <t>NORTHEAST</t>
  </si>
  <si>
    <t xml:space="preserve">ALBUQUERQUE </t>
  </si>
  <si>
    <t>8V</t>
  </si>
  <si>
    <t>RMA</t>
  </si>
  <si>
    <t>WEST</t>
  </si>
  <si>
    <t>v06.02.01</t>
  </si>
  <si>
    <t>Added Kenneth McCoy VPLS Billings 9J</t>
  </si>
  <si>
    <t xml:space="preserve">ALLENTOWN </t>
  </si>
  <si>
    <t>2J</t>
  </si>
  <si>
    <t>DVA</t>
  </si>
  <si>
    <t>v06.15.21</t>
  </si>
  <si>
    <t>Added Katie Hodges as VPLS for Jackson 6U</t>
  </si>
  <si>
    <t xml:space="preserve">ANCHORAGE, AK </t>
  </si>
  <si>
    <t>9A</t>
  </si>
  <si>
    <t>ANC</t>
  </si>
  <si>
    <t>v08.31.21</t>
  </si>
  <si>
    <t>Added Joe Downey VPLS 2I and Daneil Bava AFD 2I</t>
  </si>
  <si>
    <t xml:space="preserve">ATLANTA </t>
  </si>
  <si>
    <t>5I</t>
  </si>
  <si>
    <t>MSA</t>
  </si>
  <si>
    <t>SOUTHEAST</t>
  </si>
  <si>
    <t>v09.14.21</t>
  </si>
  <si>
    <t>Changed VPLS 3Y to Travis Bailey</t>
  </si>
  <si>
    <t xml:space="preserve">AUSTIN </t>
  </si>
  <si>
    <t>6Z</t>
  </si>
  <si>
    <t>STA</t>
  </si>
  <si>
    <t>CENTRAL</t>
  </si>
  <si>
    <t>v10.04.21</t>
  </si>
  <si>
    <t>Added Michelle King AP for 8V &amp;6N</t>
  </si>
  <si>
    <t>BILLINGS</t>
  </si>
  <si>
    <t>9J</t>
  </si>
  <si>
    <t>MWA</t>
  </si>
  <si>
    <t>Added Rob Rita AP for 6V &amp; 9O</t>
  </si>
  <si>
    <t xml:space="preserve">BISMARCK </t>
  </si>
  <si>
    <t>3J</t>
  </si>
  <si>
    <t>DAK</t>
  </si>
  <si>
    <t>v10.12.21</t>
  </si>
  <si>
    <t>Changed Phoenix 4I VPLS to Stephen Speiser</t>
  </si>
  <si>
    <t xml:space="preserve">BOCA RATON </t>
  </si>
  <si>
    <t>8N</t>
  </si>
  <si>
    <t>SFL</t>
  </si>
  <si>
    <t>v01.24.22</t>
  </si>
  <si>
    <t>Changed Dallas 6W VPLS to James Kraham, OKC VPLS to Daniel Stone &amp; Las Vegas 3M VPLS to Steven Hamlin</t>
  </si>
  <si>
    <t xml:space="preserve">BOSTON </t>
  </si>
  <si>
    <t>2O</t>
  </si>
  <si>
    <t>NEA</t>
  </si>
  <si>
    <t>v02.16.22</t>
  </si>
  <si>
    <t>Brian Hodas VPLS WPA, Kendra Curtis AP WPA, Steven Hodge VPRF Northeast</t>
  </si>
  <si>
    <t xml:space="preserve">BUFFALO </t>
  </si>
  <si>
    <t>2R</t>
  </si>
  <si>
    <t>v03.07.22</t>
  </si>
  <si>
    <t>Kevin Wilson Cascade Area ADF</t>
  </si>
  <si>
    <t xml:space="preserve">CHARLOTTE </t>
  </si>
  <si>
    <t>5E</t>
  </si>
  <si>
    <t>WNC</t>
  </si>
  <si>
    <t>v04.13.22</t>
  </si>
  <si>
    <t>Nola Bennett VP 3W, Melissa Redman VP 2J, Danielle Merighi VP 4V &amp; 2Z</t>
  </si>
  <si>
    <t xml:space="preserve">CHICAGO </t>
  </si>
  <si>
    <t>3Y</t>
  </si>
  <si>
    <t>LMA</t>
  </si>
  <si>
    <t>v05.31.22</t>
  </si>
  <si>
    <t>Andrew Iacobucci CEO, Jim Sturgell CMO</t>
  </si>
  <si>
    <t xml:space="preserve">CINCINNATI </t>
  </si>
  <si>
    <t>3W</t>
  </si>
  <si>
    <t>OVA</t>
  </si>
  <si>
    <t>v06.02.22</t>
  </si>
  <si>
    <t>Todd Hansen AP Western NC</t>
  </si>
  <si>
    <t xml:space="preserve">CLEVELAND </t>
  </si>
  <si>
    <t>3Z</t>
  </si>
  <si>
    <t>LEA</t>
  </si>
  <si>
    <t>v06.10.22</t>
  </si>
  <si>
    <t>Changed Jim Sturgell Title to SVP Commercial Excellence (on EOA tab)</t>
  </si>
  <si>
    <t xml:space="preserve">COLUMBIA </t>
  </si>
  <si>
    <t>5D</t>
  </si>
  <si>
    <t>ASC</t>
  </si>
  <si>
    <t>v09.19.22</t>
  </si>
  <si>
    <t>Changed John Opdahl to Justin Loyd as VPLS of Manassas, Steve Jokiel Wisconsin</t>
  </si>
  <si>
    <t xml:space="preserve">CONNECTICUT </t>
  </si>
  <si>
    <t>2G</t>
  </si>
  <si>
    <t>v10.04.22</t>
  </si>
  <si>
    <t>Changed Shawn McCall to Kendra Curtis as AP Metro NY</t>
  </si>
  <si>
    <t xml:space="preserve">CORONA </t>
  </si>
  <si>
    <t>4U</t>
  </si>
  <si>
    <t>SCA</t>
  </si>
  <si>
    <t>v11.02.22</t>
  </si>
  <si>
    <t>Added Sacramento 4P</t>
  </si>
  <si>
    <t xml:space="preserve">DALLAS </t>
  </si>
  <si>
    <t>6W</t>
  </si>
  <si>
    <t>TOA</t>
  </si>
  <si>
    <t>v12.02.22</t>
  </si>
  <si>
    <t>Added Nick Fellman VPLS Bismarck 3J</t>
  </si>
  <si>
    <t>DENVER NORTH</t>
  </si>
  <si>
    <t>9O</t>
  </si>
  <si>
    <t>v12.15.22</t>
  </si>
  <si>
    <t>Added Michael Mitri as VPLS of Metro NY 2I</t>
  </si>
  <si>
    <t>DENVER SOUTH</t>
  </si>
  <si>
    <t>6V</t>
  </si>
  <si>
    <t xml:space="preserve">DETROIT </t>
  </si>
  <si>
    <t>8L</t>
  </si>
  <si>
    <t xml:space="preserve">FONTANA </t>
  </si>
  <si>
    <t>8A</t>
  </si>
  <si>
    <t>SSA</t>
  </si>
  <si>
    <t xml:space="preserve">FORT MILL </t>
  </si>
  <si>
    <t>6B</t>
  </si>
  <si>
    <t xml:space="preserve">GRAND FORKS </t>
  </si>
  <si>
    <t>3L</t>
  </si>
  <si>
    <t xml:space="preserve">GRAND ISLAND </t>
  </si>
  <si>
    <t>6A</t>
  </si>
  <si>
    <t>GPA</t>
  </si>
  <si>
    <t xml:space="preserve">HOUSTON </t>
  </si>
  <si>
    <t>6Y</t>
  </si>
  <si>
    <t xml:space="preserve">INDIANAPOLIS </t>
  </si>
  <si>
    <t>3V</t>
  </si>
  <si>
    <t xml:space="preserve">IOWA </t>
  </si>
  <si>
    <t>6F</t>
  </si>
  <si>
    <t>UMW</t>
  </si>
  <si>
    <t xml:space="preserve">JACKSON </t>
  </si>
  <si>
    <t>6U</t>
  </si>
  <si>
    <t>GSA</t>
  </si>
  <si>
    <t xml:space="preserve">KANSAS CITY </t>
  </si>
  <si>
    <t>6I</t>
  </si>
  <si>
    <t xml:space="preserve">KNOXVILLE </t>
  </si>
  <si>
    <t>6H</t>
  </si>
  <si>
    <t xml:space="preserve">LAS VEGAS </t>
  </si>
  <si>
    <t>3M</t>
  </si>
  <si>
    <t>SWA</t>
  </si>
  <si>
    <t xml:space="preserve">LITTLE ROCK </t>
  </si>
  <si>
    <t>6D</t>
  </si>
  <si>
    <t>BSA</t>
  </si>
  <si>
    <t xml:space="preserve">LOS ANGELES </t>
  </si>
  <si>
    <t>4C</t>
  </si>
  <si>
    <t xml:space="preserve">LUBBOCK </t>
  </si>
  <si>
    <t>6N</t>
  </si>
  <si>
    <t xml:space="preserve">MANASSAS </t>
  </si>
  <si>
    <t>5O</t>
  </si>
  <si>
    <t>MDC</t>
  </si>
  <si>
    <t xml:space="preserve">MEMPHIS </t>
  </si>
  <si>
    <t>8S</t>
  </si>
  <si>
    <t xml:space="preserve">METRO NEW YORK </t>
  </si>
  <si>
    <t>2I</t>
  </si>
  <si>
    <t>MNY</t>
  </si>
  <si>
    <t xml:space="preserve">MINNESOTA </t>
  </si>
  <si>
    <t>3F</t>
  </si>
  <si>
    <t xml:space="preserve">MONTGOMERY </t>
  </si>
  <si>
    <t>5Y</t>
  </si>
  <si>
    <t>NEW ORLEANS</t>
  </si>
  <si>
    <t>5T</t>
  </si>
  <si>
    <t>SLA</t>
  </si>
  <si>
    <t xml:space="preserve">NORCROSS </t>
  </si>
  <si>
    <t>8O</t>
  </si>
  <si>
    <t xml:space="preserve">OKLAHOMA CITY </t>
  </si>
  <si>
    <t>6J</t>
  </si>
  <si>
    <t xml:space="preserve">OMAHA </t>
  </si>
  <si>
    <t>9I</t>
  </si>
  <si>
    <t xml:space="preserve">PHILADELPHIA - BRIDGEPORT </t>
  </si>
  <si>
    <t>4V</t>
  </si>
  <si>
    <t xml:space="preserve">PHILADELPHIA - SWEDESBORO </t>
  </si>
  <si>
    <t>2Z</t>
  </si>
  <si>
    <t xml:space="preserve">PHOENIX </t>
  </si>
  <si>
    <t>4I</t>
  </si>
  <si>
    <t>8T</t>
  </si>
  <si>
    <t xml:space="preserve">PITTSTON </t>
  </si>
  <si>
    <t>2N</t>
  </si>
  <si>
    <t xml:space="preserve">PORT ORANGE </t>
  </si>
  <si>
    <t>5Z</t>
  </si>
  <si>
    <t>NFL</t>
  </si>
  <si>
    <t xml:space="preserve">PORTLAND </t>
  </si>
  <si>
    <t>9P</t>
  </si>
  <si>
    <t>CMA</t>
  </si>
  <si>
    <t xml:space="preserve">RALEIGH </t>
  </si>
  <si>
    <t>5G</t>
  </si>
  <si>
    <t>ENC</t>
  </si>
  <si>
    <t xml:space="preserve">RENO </t>
  </si>
  <si>
    <t>4R</t>
  </si>
  <si>
    <t>NCA</t>
  </si>
  <si>
    <t xml:space="preserve">RHODE ISLAND / ALL AMERICAN </t>
  </si>
  <si>
    <t>9F</t>
  </si>
  <si>
    <t xml:space="preserve">ROANOKE </t>
  </si>
  <si>
    <t>6G</t>
  </si>
  <si>
    <t xml:space="preserve">SALEM </t>
  </si>
  <si>
    <t>8U</t>
  </si>
  <si>
    <t>MOA</t>
  </si>
  <si>
    <t xml:space="preserve">SALT LAKE CITY </t>
  </si>
  <si>
    <t>4H</t>
  </si>
  <si>
    <t xml:space="preserve">SAN DIEGO </t>
  </si>
  <si>
    <t>4J</t>
  </si>
  <si>
    <t xml:space="preserve">SAN FRANCISCO </t>
  </si>
  <si>
    <t>4O</t>
  </si>
  <si>
    <t>SEATTLE NORTH</t>
  </si>
  <si>
    <t>9L</t>
  </si>
  <si>
    <t>SEA</t>
  </si>
  <si>
    <t>SEATTLE SOUTH</t>
  </si>
  <si>
    <t>4Q</t>
  </si>
  <si>
    <t xml:space="preserve">SPOKANE </t>
  </si>
  <si>
    <t>9Q</t>
  </si>
  <si>
    <t xml:space="preserve">ST. LOUIS </t>
  </si>
  <si>
    <t>9U</t>
  </si>
  <si>
    <t xml:space="preserve">STREATOR </t>
  </si>
  <si>
    <t>3K</t>
  </si>
  <si>
    <t xml:space="preserve">TAMPA </t>
  </si>
  <si>
    <t>9D</t>
  </si>
  <si>
    <t xml:space="preserve">TRACY </t>
  </si>
  <si>
    <t>8B</t>
  </si>
  <si>
    <t xml:space="preserve">WAUKESHA </t>
  </si>
  <si>
    <t>3E</t>
  </si>
  <si>
    <t xml:space="preserve">WEST VIRGINIA </t>
  </si>
  <si>
    <t>2L</t>
  </si>
  <si>
    <t xml:space="preserve">WESTERN PA - ALTOONA </t>
  </si>
  <si>
    <t>2H</t>
  </si>
  <si>
    <t>WPA</t>
  </si>
  <si>
    <t xml:space="preserve">WESTERN PA - GREENSBURG </t>
  </si>
  <si>
    <t>8E</t>
  </si>
  <si>
    <t xml:space="preserve">WISCONSIN </t>
  </si>
  <si>
    <t>3D</t>
  </si>
  <si>
    <t>SACRAMENTO</t>
  </si>
  <si>
    <t>4P</t>
  </si>
  <si>
    <t>%</t>
  </si>
  <si>
    <t>Region Code</t>
  </si>
  <si>
    <t>Guaranteed Location Flag</t>
  </si>
  <si>
    <t>SYS Agreement ID</t>
  </si>
  <si>
    <t>A</t>
  </si>
  <si>
    <t>Agreement Name | SysId</t>
  </si>
  <si>
    <t>Required</t>
  </si>
  <si>
    <t>Yes</t>
  </si>
  <si>
    <t>No</t>
  </si>
  <si>
    <t>CIA</t>
  </si>
  <si>
    <t>Auto Renewal is TRUE</t>
  </si>
  <si>
    <t>MDA</t>
  </si>
  <si>
    <t>MDA OR POYPON</t>
  </si>
  <si>
    <t>PROPRIETARY</t>
  </si>
  <si>
    <t>SIDELETTER</t>
  </si>
  <si>
    <t>ParentInstance_PK</t>
  </si>
  <si>
    <t>FE</t>
  </si>
  <si>
    <t>MP AND GL FLAG</t>
  </si>
  <si>
    <t>Model Value</t>
  </si>
  <si>
    <t>Spec Model</t>
  </si>
  <si>
    <t>Bulk Upload</t>
  </si>
  <si>
    <t>Field name in ICMOthers</t>
  </si>
  <si>
    <t>Phone Number</t>
  </si>
  <si>
    <t>AW</t>
  </si>
  <si>
    <t>Two files are created for New Agreement
Agreement and Association
Including CustInfo and Markets</t>
  </si>
  <si>
    <t>One file is created for New Agreement
Agreement</t>
  </si>
  <si>
    <t>Two files are created for Amendment
Agreement and Association
Association is Custinfo only and Includes only new customers</t>
  </si>
  <si>
    <t>One file is created for Amendment
Agreement</t>
  </si>
  <si>
    <t>Description</t>
  </si>
  <si>
    <t>Version 1.2.5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</si>
</sst>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0_);\(0\)"/>
    <numFmt numFmtId="166" formatCode="0.00_);\(0.00\)"/>
    <numFmt numFmtId="167" formatCode="[$-409]mmmm\ d\,\ yyyy;@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</font>
    <font>
      <sz val="10"/>
      <color theme="1"/>
      <name val="Calibri"/>
      <family val="2"/>
      <scheme val="minor"/>
    </font>
    <font>
      <b/>
      <sz val="11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20">
    <xf numFmtId="0" fontId="0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7" fillId="0" borderId="0"/>
    <xf numFmtId="0" fontId="14" fillId="0" borderId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6" fillId="18" borderId="0" applyNumberFormat="0" applyBorder="0" applyAlignment="0" applyProtection="0"/>
    <xf numFmtId="0" fontId="16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15" borderId="0" applyNumberFormat="0" applyBorder="0" applyAlignment="0" applyProtection="0"/>
    <xf numFmtId="0" fontId="16" fillId="18" borderId="0" applyNumberFormat="0" applyBorder="0" applyAlignment="0" applyProtection="0"/>
    <xf numFmtId="0" fontId="16" fillId="21" borderId="0" applyNumberFormat="0" applyBorder="0" applyAlignment="0" applyProtection="0"/>
    <xf numFmtId="0" fontId="17" fillId="22" borderId="0" applyNumberFormat="0" applyBorder="0" applyAlignment="0" applyProtection="0"/>
    <xf numFmtId="0" fontId="17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9" borderId="0" applyNumberFormat="0" applyBorder="0" applyAlignment="0" applyProtection="0"/>
    <xf numFmtId="0" fontId="18" fillId="13" borderId="0" applyNumberFormat="0" applyBorder="0" applyAlignment="0" applyProtection="0"/>
    <xf numFmtId="0" fontId="19" fillId="6" borderId="12" applyNumberFormat="0" applyAlignment="0" applyProtection="0"/>
    <xf numFmtId="0" fontId="20" fillId="30" borderId="13" applyNumberFormat="0" applyAlignment="0" applyProtection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14" borderId="0" applyNumberFormat="0" applyBorder="0" applyAlignment="0" applyProtection="0"/>
    <xf numFmtId="0" fontId="23" fillId="0" borderId="14" applyNumberFormat="0" applyFill="0" applyAlignment="0" applyProtection="0"/>
    <xf numFmtId="0" fontId="24" fillId="0" borderId="15" applyNumberFormat="0" applyFill="0" applyAlignment="0" applyProtection="0"/>
    <xf numFmtId="0" fontId="25" fillId="0" borderId="16" applyNumberFormat="0" applyFill="0" applyAlignment="0" applyProtection="0"/>
    <xf numFmtId="0" fontId="25" fillId="0" borderId="0" applyNumberFormat="0" applyFill="0" applyBorder="0" applyAlignment="0" applyProtection="0"/>
    <xf numFmtId="0" fontId="26" fillId="17" borderId="12" applyNumberFormat="0" applyAlignment="0" applyProtection="0"/>
    <xf numFmtId="0" fontId="27" fillId="0" borderId="17" applyNumberFormat="0" applyFill="0" applyAlignment="0" applyProtection="0"/>
    <xf numFmtId="0" fontId="28" fillId="31" borderId="0" applyNumberFormat="0" applyBorder="0" applyAlignment="0" applyProtection="0"/>
    <xf numFmtId="0" fontId="7" fillId="32" borderId="18" applyNumberFormat="0" applyFont="0" applyAlignment="0" applyProtection="0"/>
    <xf numFmtId="0" fontId="29" fillId="6" borderId="19" applyNumberFormat="0" applyAlignment="0" applyProtection="0"/>
    <xf numFmtId="9" fontId="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20" applyNumberFormat="0" applyFill="0" applyAlignment="0" applyProtection="0"/>
    <xf numFmtId="0" fontId="32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7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3" fillId="11" borderId="0" applyNumberFormat="0" applyBorder="0" applyAlignment="0" applyProtection="0"/>
    <xf numFmtId="0" fontId="11" fillId="10" borderId="11" applyNumberFormat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167" fontId="15" fillId="0" borderId="0"/>
    <xf numFmtId="44" fontId="15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5" fillId="0" borderId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5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4" fillId="0" borderId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76">
    <xf numFmtId="0" fontId="0" fillId="0" borderId="0" xfId="0"/>
    <xf numFmtId="0" fontId="3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top"/>
    </xf>
    <xf numFmtId="14" fontId="4" fillId="0" borderId="1" xfId="0" applyNumberFormat="1" applyFont="1" applyBorder="1" applyAlignment="1">
      <alignment horizontal="left" vertical="top"/>
    </xf>
    <xf numFmtId="1" fontId="4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left" vertical="top" wrapText="1"/>
    </xf>
    <xf numFmtId="2" fontId="5" fillId="0" borderId="1" xfId="0" applyNumberFormat="1" applyFont="1" applyBorder="1" applyAlignment="1">
      <alignment horizontal="left" vertical="top"/>
    </xf>
    <xf numFmtId="164" fontId="4" fillId="0" borderId="2" xfId="0" applyNumberFormat="1" applyFont="1" applyBorder="1" applyAlignment="1">
      <alignment horizontal="left" vertical="top"/>
    </xf>
    <xf numFmtId="10" fontId="4" fillId="0" borderId="1" xfId="0" applyNumberFormat="1" applyFont="1" applyBorder="1" applyAlignment="1">
      <alignment horizontal="left" vertical="top"/>
    </xf>
    <xf numFmtId="0" fontId="5" fillId="0" borderId="1" xfId="0" applyFont="1" applyBorder="1" applyAlignment="1">
      <alignment horizontal="left" vertical="top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top" wrapText="1"/>
    </xf>
    <xf numFmtId="0" fontId="2" fillId="3" borderId="1" xfId="0" applyFont="1" applyFill="1" applyBorder="1" applyAlignment="1">
      <alignment horizontal="left" wrapText="1"/>
    </xf>
    <xf numFmtId="0" fontId="2" fillId="3" borderId="1" xfId="0" applyFont="1" applyFill="1" applyBorder="1" applyAlignment="1">
      <alignment horizontal="left" vertical="center" wrapText="1"/>
    </xf>
    <xf numFmtId="0" fontId="0" fillId="4" borderId="1" xfId="0" applyFill="1" applyBorder="1"/>
    <xf numFmtId="0" fontId="7" fillId="4" borderId="1" xfId="0" applyFont="1" applyFill="1" applyBorder="1"/>
    <xf numFmtId="0" fontId="0" fillId="0" borderId="0" xfId="0" applyAlignment="1">
      <alignment wrapText="1"/>
    </xf>
    <xf numFmtId="0" fontId="6" fillId="3" borderId="1" xfId="0" applyFont="1" applyFill="1" applyBorder="1" applyAlignment="1">
      <alignment horizontal="left" vertical="center" wrapText="1"/>
    </xf>
    <xf numFmtId="0" fontId="6" fillId="3" borderId="1" xfId="0" applyFont="1" applyFill="1" applyBorder="1" applyAlignment="1">
      <alignment horizontal="left" vertical="center"/>
    </xf>
    <xf numFmtId="0" fontId="6" fillId="3" borderId="3" xfId="0" applyFont="1" applyFill="1" applyBorder="1" applyAlignment="1">
      <alignment horizontal="left" vertical="center"/>
    </xf>
    <xf numFmtId="0" fontId="6" fillId="3" borderId="4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center" wrapText="1"/>
    </xf>
    <xf numFmtId="14" fontId="1" fillId="2" borderId="1" xfId="0" applyNumberFormat="1" applyFont="1" applyFill="1" applyBorder="1" applyAlignment="1">
      <alignment horizontal="left" vertical="center" wrapText="1"/>
    </xf>
    <xf numFmtId="165" fontId="1" fillId="2" borderId="1" xfId="0" applyNumberFormat="1" applyFont="1" applyFill="1" applyBorder="1" applyAlignment="1">
      <alignment horizontal="left" vertical="center" wrapText="1"/>
    </xf>
    <xf numFmtId="1" fontId="1" fillId="2" borderId="1" xfId="0" applyNumberFormat="1" applyFont="1" applyFill="1" applyBorder="1" applyAlignment="1">
      <alignment horizontal="left" vertical="center" wrapText="1"/>
    </xf>
    <xf numFmtId="2" fontId="1" fillId="2" borderId="1" xfId="0" applyNumberFormat="1" applyFont="1" applyFill="1" applyBorder="1" applyAlignment="1">
      <alignment horizontal="left" vertical="center" wrapText="1"/>
    </xf>
    <xf numFmtId="166" fontId="1" fillId="2" borderId="1" xfId="0" applyNumberFormat="1" applyFont="1" applyFill="1" applyBorder="1" applyAlignment="1">
      <alignment horizontal="left" vertical="center" wrapText="1"/>
    </xf>
    <xf numFmtId="0" fontId="8" fillId="2" borderId="1" xfId="0" applyFont="1" applyFill="1" applyBorder="1"/>
    <xf numFmtId="0" fontId="0" fillId="5" borderId="1" xfId="0" applyFill="1" applyBorder="1"/>
    <xf numFmtId="0" fontId="2" fillId="0" borderId="1" xfId="0" applyFont="1" applyBorder="1" applyAlignment="1">
      <alignment horizontal="left" vertical="top" wrapText="1"/>
    </xf>
    <xf numFmtId="0" fontId="1" fillId="0" borderId="0" xfId="2"/>
    <xf numFmtId="0" fontId="3" fillId="5" borderId="1" xfId="0" applyFont="1" applyFill="1" applyBorder="1" applyAlignment="1">
      <alignment horizontal="left" vertical="center" wrapText="1"/>
    </xf>
    <xf numFmtId="0" fontId="4" fillId="5" borderId="1" xfId="0" applyFont="1" applyFill="1" applyBorder="1" applyAlignment="1">
      <alignment horizontal="left" vertical="top"/>
    </xf>
    <xf numFmtId="0" fontId="3" fillId="5" borderId="1" xfId="0" applyFont="1" applyFill="1" applyBorder="1" applyAlignment="1">
      <alignment horizontal="left" vertical="top" wrapText="1"/>
    </xf>
    <xf numFmtId="0" fontId="0" fillId="8" borderId="1" xfId="0" applyFill="1" applyBorder="1"/>
    <xf numFmtId="0" fontId="0" fillId="5" borderId="0" xfId="0" applyFill="1"/>
    <xf numFmtId="0" fontId="1" fillId="7" borderId="1" xfId="3" applyFill="1" applyBorder="1"/>
    <xf numFmtId="0" fontId="35" fillId="5" borderId="1" xfId="5" applyFont="1" applyFill="1" applyBorder="1" applyAlignment="1">
      <alignment horizontal="center"/>
    </xf>
    <xf numFmtId="0" fontId="1" fillId="0" borderId="1" xfId="3" applyBorder="1"/>
    <xf numFmtId="0" fontId="7" fillId="0" borderId="1" xfId="4" applyBorder="1"/>
    <xf numFmtId="0" fontId="8" fillId="5" borderId="1" xfId="5" applyFont="1" applyFill="1" applyBorder="1" applyAlignment="1">
      <alignment horizontal="center" vertical="center"/>
    </xf>
    <xf numFmtId="0" fontId="33" fillId="6" borderId="1" xfId="1" applyNumberFormat="1" applyFont="1" applyFill="1" applyBorder="1" applyAlignment="1">
      <alignment horizontal="center" vertical="center" wrapText="1"/>
    </xf>
    <xf numFmtId="0" fontId="1" fillId="0" borderId="1" xfId="2" applyBorder="1"/>
    <xf numFmtId="0" fontId="12" fillId="33" borderId="1" xfId="2" applyFont="1" applyFill="1" applyBorder="1" applyAlignment="1">
      <alignment horizontal="center" vertical="center"/>
    </xf>
    <xf numFmtId="0" fontId="7" fillId="7" borderId="1" xfId="4" applyFill="1" applyBorder="1"/>
    <xf numFmtId="0" fontId="33" fillId="6" borderId="1" xfId="1" applyNumberFormat="1" applyFont="1" applyFill="1" applyBorder="1" applyAlignment="1">
      <alignment horizontal="center" wrapText="1"/>
    </xf>
    <xf numFmtId="0" fontId="36" fillId="5" borderId="0" xfId="0" applyFont="1" applyFill="1" applyAlignment="1">
      <alignment vertical="center"/>
    </xf>
    <xf numFmtId="0" fontId="10" fillId="5" borderId="0" xfId="0" applyFont="1" applyFill="1" applyAlignment="1">
      <alignment vertical="center"/>
    </xf>
    <xf numFmtId="0" fontId="0" fillId="0" borderId="0" xfId="0" applyProtection="1">
      <protection locked="0"/>
    </xf>
    <xf numFmtId="0" fontId="0" fillId="5" borderId="5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22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10" fillId="34" borderId="5" xfId="0" applyFont="1" applyFill="1" applyBorder="1" applyAlignment="1">
      <alignment horizontal="center" vertical="center"/>
    </xf>
    <xf numFmtId="0" fontId="10" fillId="34" borderId="6" xfId="0" applyFont="1" applyFill="1" applyBorder="1" applyAlignment="1">
      <alignment horizontal="center" vertical="center"/>
    </xf>
    <xf numFmtId="0" fontId="10" fillId="34" borderId="7" xfId="0" applyFont="1" applyFill="1" applyBorder="1" applyAlignment="1">
      <alignment horizontal="center" vertical="center"/>
    </xf>
    <xf numFmtId="0" fontId="10" fillId="34" borderId="8" xfId="0" applyFont="1" applyFill="1" applyBorder="1" applyAlignment="1">
      <alignment horizontal="center" vertical="center"/>
    </xf>
    <xf numFmtId="0" fontId="10" fillId="34" borderId="9" xfId="0" applyFont="1" applyFill="1" applyBorder="1" applyAlignment="1">
      <alignment horizontal="center" vertical="center"/>
    </xf>
    <xf numFmtId="0" fontId="10" fillId="34" borderId="10" xfId="0" applyFont="1" applyFill="1" applyBorder="1" applyAlignment="1">
      <alignment horizontal="center" vertical="center"/>
    </xf>
    <xf numFmtId="0" fontId="36" fillId="5" borderId="5" xfId="0" applyFont="1" applyFill="1" applyBorder="1" applyAlignment="1">
      <alignment horizontal="center" vertical="center" wrapText="1"/>
    </xf>
    <xf numFmtId="0" fontId="36" fillId="5" borderId="6" xfId="0" applyFont="1" applyFill="1" applyBorder="1" applyAlignment="1">
      <alignment horizontal="center" vertical="center" wrapText="1"/>
    </xf>
    <xf numFmtId="0" fontId="36" fillId="5" borderId="7" xfId="0" applyFont="1" applyFill="1" applyBorder="1" applyAlignment="1">
      <alignment horizontal="center" vertical="center" wrapText="1"/>
    </xf>
    <xf numFmtId="0" fontId="36" fillId="5" borderId="21" xfId="0" applyFont="1" applyFill="1" applyBorder="1" applyAlignment="1">
      <alignment horizontal="center" vertical="center" wrapText="1"/>
    </xf>
    <xf numFmtId="0" fontId="36" fillId="5" borderId="0" xfId="0" applyFont="1" applyFill="1" applyAlignment="1">
      <alignment horizontal="center" vertical="center" wrapText="1"/>
    </xf>
    <xf numFmtId="0" fontId="36" fillId="5" borderId="22" xfId="0" applyFont="1" applyFill="1" applyBorder="1" applyAlignment="1">
      <alignment horizontal="center" vertical="center" wrapText="1"/>
    </xf>
    <xf numFmtId="0" fontId="36" fillId="5" borderId="8" xfId="0" applyFont="1" applyFill="1" applyBorder="1" applyAlignment="1">
      <alignment horizontal="center" vertical="center" wrapText="1"/>
    </xf>
    <xf numFmtId="0" fontId="36" fillId="5" borderId="9" xfId="0" applyFont="1" applyFill="1" applyBorder="1" applyAlignment="1">
      <alignment horizontal="center" vertical="center" wrapText="1"/>
    </xf>
    <xf numFmtId="0" fontId="36" fillId="5" borderId="10" xfId="0" applyFont="1" applyFill="1" applyBorder="1" applyAlignment="1">
      <alignment horizontal="center" vertical="center" wrapText="1"/>
    </xf>
    <xf numFmtId="0" fontId="9" fillId="9" borderId="1" xfId="0" applyFont="1" applyFill="1" applyBorder="1" applyAlignment="1">
      <alignment horizontal="center" wrapText="1"/>
    </xf>
    <xf numFmtId="0" fontId="9" fillId="9" borderId="1" xfId="0" applyFont="1" applyFill="1" applyBorder="1" applyAlignment="1">
      <alignment horizontal="center"/>
    </xf>
  </cellXfs>
  <cellStyles count="220">
    <cellStyle name="20% - Accent1 2" xfId="6" xr:uid="{4AAD2575-73D4-4E8E-A352-AC929EB259D3}"/>
    <cellStyle name="20% - Accent2 2" xfId="7" xr:uid="{310D5310-8BFC-4E91-81C9-DD5746D9C19B}"/>
    <cellStyle name="20% - Accent3 2" xfId="8" xr:uid="{0DE29129-1197-4713-811D-1321F1CB8B75}"/>
    <cellStyle name="20% - Accent4 2" xfId="9" xr:uid="{545FEFC9-1434-4CCC-A9AD-2493DC101BE8}"/>
    <cellStyle name="20% - Accent5 2" xfId="10" xr:uid="{54E34106-70C6-4A13-82EF-8080176F0BBC}"/>
    <cellStyle name="20% - Accent6 2" xfId="11" xr:uid="{3534C005-3B00-4046-8223-A771B7D1658B}"/>
    <cellStyle name="40% - Accent1 2" xfId="12" xr:uid="{72ACEAC3-4F32-4D04-89DF-A4CD466DC306}"/>
    <cellStyle name="40% - Accent2 2" xfId="13" xr:uid="{67F6A638-C4A1-4447-A5CE-7237F0DB0E6F}"/>
    <cellStyle name="40% - Accent3 2" xfId="14" xr:uid="{CB8D2389-A423-4C32-9262-FDCBD161E28F}"/>
    <cellStyle name="40% - Accent4 2" xfId="15" xr:uid="{9E1FD911-1A32-4C20-B3F5-2321A81B7914}"/>
    <cellStyle name="40% - Accent5 2" xfId="16" xr:uid="{53405FFD-3097-4806-AC25-72DA81F8A5A1}"/>
    <cellStyle name="40% - Accent6 2" xfId="17" xr:uid="{6C9E7B5C-782C-4F97-A1BF-29DA14C875BC}"/>
    <cellStyle name="60% - Accent1 2" xfId="18" xr:uid="{8C0AAC6C-6D7C-46E1-8B8E-626B732EE77C}"/>
    <cellStyle name="60% - Accent2 2" xfId="19" xr:uid="{0B7C3FE0-1CC4-40FC-8E18-4F0A6C5C396B}"/>
    <cellStyle name="60% - Accent3 2" xfId="20" xr:uid="{37B8F6C7-A02D-4212-AAA6-BE056E7845DC}"/>
    <cellStyle name="60% - Accent4 2" xfId="21" xr:uid="{704C8679-8BE3-4621-BC6D-BC4E31067769}"/>
    <cellStyle name="60% - Accent5 2" xfId="22" xr:uid="{1AA94E18-32DC-42F0-B421-02E972740DCC}"/>
    <cellStyle name="60% - Accent6 2" xfId="23" xr:uid="{35500B54-8FA6-48F6-B081-6E7C7622B406}"/>
    <cellStyle name="Accent1 2" xfId="59" xr:uid="{0B816781-BC1C-474C-9BF0-8C898A7FBD3A}"/>
    <cellStyle name="Accent1 3" xfId="24" xr:uid="{5C8CE10A-9156-4C0F-86B2-4E2D909E648D}"/>
    <cellStyle name="Accent2 2" xfId="25" xr:uid="{D1E67B7E-A896-4159-B44C-CF4D8E0F3397}"/>
    <cellStyle name="Accent3 2" xfId="26" xr:uid="{85279F95-708E-4636-8289-78332D2DC5C7}"/>
    <cellStyle name="Accent4 2" xfId="27" xr:uid="{A8702909-CB5F-43F9-A88F-DABB21FC59C8}"/>
    <cellStyle name="Accent5 2" xfId="28" xr:uid="{9DD05B89-21FF-4D61-A958-648F87EDFC45}"/>
    <cellStyle name="Accent6 2" xfId="29" xr:uid="{881BD55E-DC63-45F7-8A78-7A4D86BDA319}"/>
    <cellStyle name="Bad 2" xfId="30" xr:uid="{71C04F7E-E39D-4FB3-A01E-378DCDCA0A77}"/>
    <cellStyle name="Calculation 2" xfId="60" xr:uid="{F08546F5-5AA1-43E6-8907-3CEA6EB2610F}"/>
    <cellStyle name="Calculation 3" xfId="31" xr:uid="{420EA996-4170-4436-A4F7-B613344276FD}"/>
    <cellStyle name="Check Cell 2" xfId="32" xr:uid="{1A425ABE-B445-4206-8B4E-CB6067F18535}"/>
    <cellStyle name="Comma 2" xfId="69" xr:uid="{3B586139-52BD-4448-9165-2FFAC0297E9B}"/>
    <cellStyle name="Comma 2 2" xfId="109" xr:uid="{BB0D6994-F408-4F16-82CA-F9AB8743685A}"/>
    <cellStyle name="Comma 2 2 2" xfId="157" xr:uid="{716AC0AC-68D9-4B2E-B8BA-15DBFAEEE340}"/>
    <cellStyle name="Comma 2 2 3" xfId="203" xr:uid="{511BC467-A0FF-4848-997D-DE3D561B2B46}"/>
    <cellStyle name="Comma 3" xfId="62" xr:uid="{A7A1F807-53F3-4A04-B834-5DA1D60F78A5}"/>
    <cellStyle name="Comma 3 2" xfId="1" xr:uid="{EF9B7A0E-88B7-44BB-9A3E-7C98C6565070}"/>
    <cellStyle name="Comma 3 3" xfId="117" xr:uid="{96561A5F-6574-4900-8E0E-669AF307A476}"/>
    <cellStyle name="Comma 3 4" xfId="163" xr:uid="{99BBB25C-F253-467C-8983-AA44630D16E6}"/>
    <cellStyle name="Comma 3 5" xfId="210" xr:uid="{A2C11FA4-1989-4AFA-8A11-4A3F3776D06C}"/>
    <cellStyle name="Comma 4" xfId="219" xr:uid="{6B32A30A-EC14-49D0-88DD-D8824B75CDC6}"/>
    <cellStyle name="Comma 5" xfId="33" xr:uid="{7369122B-C3F5-49DC-B5DC-8FBE8C440C6D}"/>
    <cellStyle name="Currency 2" xfId="58" xr:uid="{B08B72A9-604C-437E-B3AA-A8236B4A07BE}"/>
    <cellStyle name="Currency 2 2" xfId="50" xr:uid="{23C35C46-DF38-4471-BCB7-98009BADF561}"/>
    <cellStyle name="Currency 2 2 2" xfId="72" xr:uid="{8123EEC8-A4E6-4F46-967A-EE64937CEF1D}"/>
    <cellStyle name="Currency 2 2 2 2" xfId="79" xr:uid="{A85DB46B-5C52-4882-844D-06493F1656AB}"/>
    <cellStyle name="Currency 2 2 2 2 2" xfId="94" xr:uid="{941190CE-0D7E-4D5D-AA52-8CA2A614B4E0}"/>
    <cellStyle name="Currency 2 2 2 2 2 2" xfId="142" xr:uid="{FEE47739-E2C9-4300-B602-DE5AD6904EC7}"/>
    <cellStyle name="Currency 2 2 2 2 2 3" xfId="188" xr:uid="{1B366A2F-6A9C-4423-94FA-24002B88E031}"/>
    <cellStyle name="Currency 2 2 2 2 3" xfId="127" xr:uid="{A5EED838-F573-4EE3-8F46-27E8766EAE3A}"/>
    <cellStyle name="Currency 2 2 2 2 4" xfId="173" xr:uid="{316933CF-37A8-4883-B76A-3F0EE9C65A1F}"/>
    <cellStyle name="Currency 2 2 2 3" xfId="88" xr:uid="{C952EE5E-BD0B-462A-B49F-1BB199203515}"/>
    <cellStyle name="Currency 2 2 2 3 2" xfId="136" xr:uid="{C4B98845-916A-4C29-9FC6-BE5FB8C9DC9E}"/>
    <cellStyle name="Currency 2 2 2 3 3" xfId="182" xr:uid="{8B62CA7F-EBFA-48FA-A640-BFACF300D90B}"/>
    <cellStyle name="Currency 2 2 2 4" xfId="121" xr:uid="{E8EBDDAE-88EB-4235-A81C-72AB684A1322}"/>
    <cellStyle name="Currency 2 2 2 5" xfId="167" xr:uid="{3738935F-DEF6-4180-8AC6-75517EEBC0C5}"/>
    <cellStyle name="Currency 2 2 3" xfId="82" xr:uid="{72CE2979-3323-4168-9037-B488F8F0AB52}"/>
    <cellStyle name="Currency 2 2 3 2" xfId="97" xr:uid="{E60F3D3F-45BA-4423-8D79-47147E1456C5}"/>
    <cellStyle name="Currency 2 2 3 2 2" xfId="145" xr:uid="{D3AFD4B2-2B8C-48BA-8FAC-69FF0762A341}"/>
    <cellStyle name="Currency 2 2 3 2 3" xfId="191" xr:uid="{D7B46727-A331-443D-B1BF-6B0A61005314}"/>
    <cellStyle name="Currency 2 2 3 3" xfId="130" xr:uid="{A1DD7A3E-9164-48EA-BEC6-B1B28EEDB97E}"/>
    <cellStyle name="Currency 2 2 3 4" xfId="176" xr:uid="{72A7137B-ADBB-4897-A0BA-94DB0621F0DA}"/>
    <cellStyle name="Currency 2 2 4" xfId="76" xr:uid="{21A1769E-94F5-42E6-BA11-25A59C0967B2}"/>
    <cellStyle name="Currency 2 2 4 2" xfId="91" xr:uid="{D532B761-B4D3-4266-B7EB-4CB152BC1BFB}"/>
    <cellStyle name="Currency 2 2 4 2 2" xfId="139" xr:uid="{070B1EA5-72EE-4612-8333-6C543E77B4DD}"/>
    <cellStyle name="Currency 2 2 4 2 3" xfId="185" xr:uid="{CB5FADAB-5827-421F-A9B2-EC0CBF183FA9}"/>
    <cellStyle name="Currency 2 2 4 3" xfId="124" xr:uid="{4C5196D6-3EDC-4F4B-9B64-E5CEE59E8836}"/>
    <cellStyle name="Currency 2 2 4 4" xfId="170" xr:uid="{63178790-B2DC-44CE-96EE-72BFC1B4AD54}"/>
    <cellStyle name="Currency 2 2 5" xfId="85" xr:uid="{005AA7BD-E0BC-4065-AC0B-0554641B7317}"/>
    <cellStyle name="Currency 2 2 5 2" xfId="133" xr:uid="{897FE62C-919B-4A9B-94F8-C9DFA8769A34}"/>
    <cellStyle name="Currency 2 2 5 3" xfId="179" xr:uid="{151909B1-6C19-4CA1-B547-4847536FF079}"/>
    <cellStyle name="Currency 2 2 6" xfId="102" xr:uid="{781ABF13-9B5E-4BEA-9320-D367F5E62D9F}"/>
    <cellStyle name="Currency 2 2 6 2" xfId="150" xr:uid="{4794FDA8-F30D-43B5-818C-4C62A2F76E34}"/>
    <cellStyle name="Currency 2 2 6 3" xfId="196" xr:uid="{109A9530-6CCB-48D7-8DD1-BAD83E8651D6}"/>
    <cellStyle name="Currency 2 2 7" xfId="64" xr:uid="{823AED54-96D9-4BE2-AF89-76EF63F703FB}"/>
    <cellStyle name="Currency 2 2 8" xfId="118" xr:uid="{729BF775-DBE4-45EF-89FB-EC86CAA10A01}"/>
    <cellStyle name="Currency 2 2 9" xfId="164" xr:uid="{D0A91780-BBD6-4C16-A19E-AE311CE2D471}"/>
    <cellStyle name="Currency 2 3" xfId="108" xr:uid="{5DE53F6B-BD00-4B92-8ADD-7CDE2B5FAF7D}"/>
    <cellStyle name="Currency 2 3 2" xfId="156" xr:uid="{3B6338C1-1B56-45CE-9F22-CFB559598C2C}"/>
    <cellStyle name="Currency 2 3 3" xfId="202" xr:uid="{626A52D8-70E1-4C5C-AB26-65EFEDDD2610}"/>
    <cellStyle name="Currency 2 4" xfId="71" xr:uid="{94884913-99D0-4A0A-A5DF-B2A8F392FAE2}"/>
    <cellStyle name="Currency 3" xfId="114" xr:uid="{611D10D4-8013-4FD2-B838-14A8E1569F3E}"/>
    <cellStyle name="Currency 3 2" xfId="161" xr:uid="{B15FC4B5-7D32-4A74-9393-FD16AB5269D4}"/>
    <cellStyle name="Currency 3 2 2" xfId="213" xr:uid="{322DCB75-31DD-4587-988D-E97CEED764FF}"/>
    <cellStyle name="Currency 3 3" xfId="207" xr:uid="{49AC3E04-8418-47B0-B80E-FCF5BA216E59}"/>
    <cellStyle name="Currency 4" xfId="218" xr:uid="{DA67FB59-899E-4CC8-968E-ED1913B47649}"/>
    <cellStyle name="Currency 5" xfId="34" xr:uid="{BE970227-6361-45CF-B8C6-46F4755B48C6}"/>
    <cellStyle name="Explanatory Text 2" xfId="35" xr:uid="{B78F762C-17BC-4202-9074-9883B3171183}"/>
    <cellStyle name="Good 2" xfId="36" xr:uid="{3B29A5DB-1ECA-4C20-B294-419D542EDCF7}"/>
    <cellStyle name="Heading 1 2" xfId="37" xr:uid="{5951D8A3-6F52-4B20-837A-604C97DCF57D}"/>
    <cellStyle name="Heading 2 2" xfId="38" xr:uid="{8478015C-B317-4844-84C1-845F4FB2722A}"/>
    <cellStyle name="Heading 3 2" xfId="39" xr:uid="{6D049FAF-006A-4C04-AEF8-AE6AFA24402C}"/>
    <cellStyle name="Heading 4 2" xfId="40" xr:uid="{310BB9C0-517A-4A00-A77F-DECBD928AAA0}"/>
    <cellStyle name="Input 2" xfId="41" xr:uid="{C8CB6556-0264-464B-9F52-B3CC810350B9}"/>
    <cellStyle name="Linked Cell 2" xfId="42" xr:uid="{89F4E747-7277-4330-9D3E-6A783AB84BAA}"/>
    <cellStyle name="Neutral 2" xfId="43" xr:uid="{1700593A-1D7C-4D7F-9C0B-1B3AC2230D42}"/>
    <cellStyle name="Normal" xfId="0" builtinId="0"/>
    <cellStyle name="Normal 10" xfId="216" xr:uid="{F85DF315-CBF9-49C7-905D-6FCF5ECFCFA5}"/>
    <cellStyle name="Normal 11" xfId="5" xr:uid="{6F8EFD41-0F68-410D-8024-393DBA04C22D}"/>
    <cellStyle name="Normal 2" xfId="4" xr:uid="{76D99425-ECFA-4DE5-9945-B4DCFC1FBB36}"/>
    <cellStyle name="Normal 2 2" xfId="51" xr:uid="{FF1FFEDF-AC03-488F-9B62-E81BC346E4F3}"/>
    <cellStyle name="Normal 2 2 2" xfId="73" xr:uid="{8AF1991A-5E4E-49B7-AEFA-52CF880991E8}"/>
    <cellStyle name="Normal 2 2 2 2" xfId="80" xr:uid="{811E621A-982E-4E92-88C6-94FB80240B87}"/>
    <cellStyle name="Normal 2 2 2 2 2" xfId="95" xr:uid="{3BF58B19-1306-419A-9944-4245FD5A7F3E}"/>
    <cellStyle name="Normal 2 2 2 2 2 2" xfId="143" xr:uid="{916725EC-4AA0-43D3-862C-C9BFDA2944B4}"/>
    <cellStyle name="Normal 2 2 2 2 2 3" xfId="189" xr:uid="{D5006087-91C5-460C-853D-A5026F14CB8D}"/>
    <cellStyle name="Normal 2 2 2 2 3" xfId="128" xr:uid="{BBD40A2A-65A0-4CDC-A1E6-AE6C1417EB50}"/>
    <cellStyle name="Normal 2 2 2 2 4" xfId="174" xr:uid="{6228AF15-2CC5-42EC-A4E2-2FE5523D24E9}"/>
    <cellStyle name="Normal 2 2 2 3" xfId="89" xr:uid="{88122C61-D274-4754-B8CB-D366407DDBAA}"/>
    <cellStyle name="Normal 2 2 2 3 2" xfId="137" xr:uid="{D209AD5E-6AD3-47AC-B040-7AB68B9E10EF}"/>
    <cellStyle name="Normal 2 2 2 3 3" xfId="183" xr:uid="{3F429CD8-CA30-4095-88F2-A2BBA7FE2347}"/>
    <cellStyle name="Normal 2 2 2 4" xfId="122" xr:uid="{9C541E5F-1970-4695-B639-64E950CC7DD0}"/>
    <cellStyle name="Normal 2 2 2 5" xfId="168" xr:uid="{3201E72E-EF12-4626-8927-3986F49080FD}"/>
    <cellStyle name="Normal 2 2 3" xfId="83" xr:uid="{C95CC3EE-093B-45A7-AA9B-F2E6CDD58CC4}"/>
    <cellStyle name="Normal 2 2 3 2" xfId="98" xr:uid="{5ABF92E4-9C8E-4B35-B498-D484F45EE191}"/>
    <cellStyle name="Normal 2 2 3 2 2" xfId="146" xr:uid="{F1DBB7C0-924D-40BA-B5BD-DC080F57257B}"/>
    <cellStyle name="Normal 2 2 3 2 3" xfId="192" xr:uid="{BAC0ABD4-75FF-40EB-84F2-1C31EA1A5B94}"/>
    <cellStyle name="Normal 2 2 3 3" xfId="131" xr:uid="{0269BA64-43CC-40BF-B652-A9C9D5933CCC}"/>
    <cellStyle name="Normal 2 2 3 4" xfId="177" xr:uid="{34889077-455A-4006-A71E-746422B3D398}"/>
    <cellStyle name="Normal 2 2 4" xfId="77" xr:uid="{E2A97B3C-D253-40B2-A82E-DDC861DAE8C1}"/>
    <cellStyle name="Normal 2 2 4 2" xfId="92" xr:uid="{922617DE-9FDD-44D7-BB6E-8339C6206EDE}"/>
    <cellStyle name="Normal 2 2 4 2 2" xfId="140" xr:uid="{91833B5D-E796-4ACA-98E3-0B42CBD87B8D}"/>
    <cellStyle name="Normal 2 2 4 2 3" xfId="186" xr:uid="{60D4E40D-4C74-4744-B1C4-9A5AC4BFB5B5}"/>
    <cellStyle name="Normal 2 2 4 3" xfId="125" xr:uid="{819BDE49-2418-4E95-908D-2BFD0C435CE2}"/>
    <cellStyle name="Normal 2 2 4 4" xfId="171" xr:uid="{4196C116-2406-49F6-9483-C3B0C53E0F3A}"/>
    <cellStyle name="Normal 2 2 5" xfId="86" xr:uid="{B2211719-6E18-4A76-B444-19E283A8F121}"/>
    <cellStyle name="Normal 2 2 5 2" xfId="134" xr:uid="{3A4F0D62-F32A-4826-B10F-F5D0853C7622}"/>
    <cellStyle name="Normal 2 2 5 3" xfId="180" xr:uid="{4D4110BC-B7AB-4529-8D5D-E79922F00C45}"/>
    <cellStyle name="Normal 2 2 6" xfId="103" xr:uid="{F6433339-1395-4D6B-B053-58D7C54B4F45}"/>
    <cellStyle name="Normal 2 2 6 2" xfId="151" xr:uid="{A03572B5-0BD4-44B7-AF25-CCB1BA0FFF52}"/>
    <cellStyle name="Normal 2 2 6 3" xfId="197" xr:uid="{B728EDEC-4F21-4755-99A9-1AEED588399F}"/>
    <cellStyle name="Normal 2 2 7" xfId="65" xr:uid="{484CB3CD-99D5-45AE-8473-352B1302AD96}"/>
    <cellStyle name="Normal 2 2 8" xfId="119" xr:uid="{1AECDADC-5033-4793-AA11-588B20CE1B7D}"/>
    <cellStyle name="Normal 2 2 9" xfId="165" xr:uid="{B9641DA1-9981-45A7-88D9-144436138E7E}"/>
    <cellStyle name="Normal 3" xfId="52" xr:uid="{060815BD-D599-400E-B00C-7A22320D4779}"/>
    <cellStyle name="Normal 4" xfId="56" xr:uid="{09AC5B64-2969-48AD-B272-87BFDA37B478}"/>
    <cellStyle name="Normal 4 2" xfId="70" xr:uid="{B045FD58-4115-49F5-9531-4E7626F849E2}"/>
    <cellStyle name="Normal 4 3" xfId="75" xr:uid="{37EE0A0F-E056-42C8-8CF2-25A368E1DDE5}"/>
    <cellStyle name="Normal 4 4" xfId="107" xr:uid="{3439EEAE-21E1-404B-9143-D37067B4BDB9}"/>
    <cellStyle name="Normal 4 4 2" xfId="113" xr:uid="{61789A3E-AC77-40CB-9382-04CF63281132}"/>
    <cellStyle name="Normal 4 4 2 2" xfId="160" xr:uid="{20D0D9B0-0EA1-4710-AF15-EC7ED47F41EB}"/>
    <cellStyle name="Normal 4 4 2 2 2" xfId="212" xr:uid="{DB795780-73B2-4159-AA01-7A59C3693C97}"/>
    <cellStyle name="Normal 4 4 2 3" xfId="206" xr:uid="{07269A32-BDAB-41F9-A9E2-3A896F67F77A}"/>
    <cellStyle name="Normal 4 4 3" xfId="155" xr:uid="{A7DF8B7D-B65A-40D5-B328-4FFE95EA40C1}"/>
    <cellStyle name="Normal 4 4 4" xfId="201" xr:uid="{B87AAD8E-7D9F-4E0B-BAD4-A10A5D10EA55}"/>
    <cellStyle name="Normal 4 5" xfId="67" xr:uid="{ACA49998-83E2-476C-9449-2F6E9B5E7A88}"/>
    <cellStyle name="Normal 5" xfId="68" xr:uid="{83215761-9A38-426A-8CF0-FB1AAA5C5611}"/>
    <cellStyle name="Normal 5 3" xfId="111" xr:uid="{F01B5968-E3A0-46EA-9D98-D1B78F7CF2C7}"/>
    <cellStyle name="Normal 6" xfId="54" xr:uid="{19BFB566-6668-40B7-ABCB-C9F39A403A9F}"/>
    <cellStyle name="Normal 6 2" xfId="105" xr:uid="{22BCCD94-96F7-4126-AD72-32C8BFFC74B3}"/>
    <cellStyle name="Normal 6 2 2" xfId="153" xr:uid="{DF077D6B-0617-4282-A4CA-E6476E73C794}"/>
    <cellStyle name="Normal 6 2 3" xfId="199" xr:uid="{343AB340-5622-4783-B478-B732DE9069EC}"/>
    <cellStyle name="Normal 6 3" xfId="100" xr:uid="{85E53FA8-B712-422C-99ED-88240E02F82C}"/>
    <cellStyle name="Normal 6 4" xfId="148" xr:uid="{DB7E3165-E7CC-431C-B71E-D1C956962C6D}"/>
    <cellStyle name="Normal 6 5" xfId="194" xr:uid="{A2602E95-AA39-459B-BCAD-1BE56C46D81C}"/>
    <cellStyle name="Normal 7" xfId="63" xr:uid="{7C7C476F-3F19-4447-B1A4-9E6E96ADC347}"/>
    <cellStyle name="Normal 7 2" xfId="112" xr:uid="{A286983F-1532-41DB-BF47-918993ED267D}"/>
    <cellStyle name="Normal 7 2 2" xfId="211" xr:uid="{5CD043B8-F789-4C73-A181-995649630C52}"/>
    <cellStyle name="Normal 7 3" xfId="159" xr:uid="{CFB81302-B586-4E75-AE29-0F85AE9255A0}"/>
    <cellStyle name="Normal 7 4" xfId="205" xr:uid="{238734E8-9608-4DE7-9E5D-42F02F472E66}"/>
    <cellStyle name="Normal 8" xfId="61" xr:uid="{8267431E-6E20-44DF-9F3B-A564BFAB97A8}"/>
    <cellStyle name="Normal 8 2" xfId="2" xr:uid="{5E98E7CB-1DEA-43B4-9F50-DC7862776112}"/>
    <cellStyle name="Normal 8 3" xfId="116" xr:uid="{6F153B22-4C7F-4F0F-A0F1-E268F3692D41}"/>
    <cellStyle name="Normal 8 4" xfId="3" xr:uid="{4191B88F-55FF-4FF7-9610-F4BCBF19953E}"/>
    <cellStyle name="Normal 8 5" xfId="209" xr:uid="{C4BD85DD-C39B-4568-8167-F19D201ADDA5}"/>
    <cellStyle name="Normal 9" xfId="215" xr:uid="{D42A2788-8B90-4EDF-80EE-09F0F8434314}"/>
    <cellStyle name="Note 2" xfId="44" xr:uid="{9AF52526-B442-473A-954D-F3A686B0C75E}"/>
    <cellStyle name="Output 2" xfId="45" xr:uid="{DE8FB0D7-2523-4F5F-AA3C-4B5B41A1F9F1}"/>
    <cellStyle name="Percent 2" xfId="55" xr:uid="{718B8F95-E270-43A2-B0BF-4E6E5001A6D3}"/>
    <cellStyle name="Percent 2 2" xfId="53" xr:uid="{07654D6E-7D3E-46CF-B416-1828576F2041}"/>
    <cellStyle name="Percent 2 2 2" xfId="74" xr:uid="{A869DAA3-DC68-4B16-9F96-988955BEA573}"/>
    <cellStyle name="Percent 2 2 2 2" xfId="81" xr:uid="{ED9E1705-B536-4D94-93F9-A6D490737A34}"/>
    <cellStyle name="Percent 2 2 2 2 2" xfId="96" xr:uid="{DEDFFDDA-9C8E-44DE-9042-69FBCDB0959A}"/>
    <cellStyle name="Percent 2 2 2 2 2 2" xfId="144" xr:uid="{D1CA2644-4704-42FF-AD0F-0D8D6DB73B9C}"/>
    <cellStyle name="Percent 2 2 2 2 2 3" xfId="190" xr:uid="{D1446BA0-B6A2-404F-AEF1-FC93812E004E}"/>
    <cellStyle name="Percent 2 2 2 2 3" xfId="129" xr:uid="{EECF2141-FCFB-4C47-A667-F8E6D91A2801}"/>
    <cellStyle name="Percent 2 2 2 2 4" xfId="175" xr:uid="{BB080E8D-09AD-48CB-8CF5-0683239530F4}"/>
    <cellStyle name="Percent 2 2 2 3" xfId="90" xr:uid="{20D56618-448A-40C2-8750-56D69CBBF653}"/>
    <cellStyle name="Percent 2 2 2 3 2" xfId="138" xr:uid="{47A6DB40-9BE6-4FF2-8A30-A04ECD3707CD}"/>
    <cellStyle name="Percent 2 2 2 3 3" xfId="184" xr:uid="{592AD13F-3672-4BC4-92C3-7546C74B6992}"/>
    <cellStyle name="Percent 2 2 2 4" xfId="123" xr:uid="{27C07527-FBC0-4009-B4FD-389B97CA0221}"/>
    <cellStyle name="Percent 2 2 2 5" xfId="169" xr:uid="{45957FF3-63FD-4D7D-9478-389ADE4B5364}"/>
    <cellStyle name="Percent 2 2 3" xfId="84" xr:uid="{C347C787-1C24-430E-B3FC-74A9393031CB}"/>
    <cellStyle name="Percent 2 2 3 2" xfId="99" xr:uid="{DD3E1918-0505-4894-BCC5-7C94B39E59AB}"/>
    <cellStyle name="Percent 2 2 3 2 2" xfId="147" xr:uid="{E8659FCA-009A-4204-8519-934E42881374}"/>
    <cellStyle name="Percent 2 2 3 2 3" xfId="193" xr:uid="{FE6E54D8-D985-486F-AB7C-7E0496DBBA74}"/>
    <cellStyle name="Percent 2 2 3 3" xfId="132" xr:uid="{DDE7977A-A41E-4183-8311-F598950240AA}"/>
    <cellStyle name="Percent 2 2 3 4" xfId="178" xr:uid="{3EF16513-0F64-49A9-8BB1-225F61AE11E2}"/>
    <cellStyle name="Percent 2 2 4" xfId="78" xr:uid="{5328684A-A2A0-499F-873F-A3EA05EB04AF}"/>
    <cellStyle name="Percent 2 2 4 2" xfId="93" xr:uid="{C3BF83BC-69B3-4CF2-8BE1-69D294FC7ED1}"/>
    <cellStyle name="Percent 2 2 4 2 2" xfId="141" xr:uid="{CC41061B-377E-437E-9717-669AC3227A93}"/>
    <cellStyle name="Percent 2 2 4 2 3" xfId="187" xr:uid="{BE467AF1-31F3-4441-BD64-023ADCB20F61}"/>
    <cellStyle name="Percent 2 2 4 3" xfId="126" xr:uid="{BC150451-4A8B-4174-AB44-6E8DE82200B0}"/>
    <cellStyle name="Percent 2 2 4 4" xfId="172" xr:uid="{9411AEB0-5AA9-46DE-8594-8EA74F5BBE72}"/>
    <cellStyle name="Percent 2 2 5" xfId="87" xr:uid="{4C0CB767-5567-479F-819F-211D7BE967D6}"/>
    <cellStyle name="Percent 2 2 5 2" xfId="135" xr:uid="{727FBA8B-54B5-4178-A526-FBBD33934A00}"/>
    <cellStyle name="Percent 2 2 5 3" xfId="181" xr:uid="{982F6634-0B5F-453F-8670-0746E29A9460}"/>
    <cellStyle name="Percent 2 2 6" xfId="104" xr:uid="{F30644C1-8D1C-406C-98A8-23EC1531902D}"/>
    <cellStyle name="Percent 2 2 6 2" xfId="152" xr:uid="{7266E20C-4A0E-46E7-B5A8-710779ED0B32}"/>
    <cellStyle name="Percent 2 2 6 3" xfId="198" xr:uid="{0BCFB347-5BE0-42E8-B2E8-9D247E33C041}"/>
    <cellStyle name="Percent 2 2 7" xfId="66" xr:uid="{35AE21A4-7A00-4392-A747-DFFB00CB8CF7}"/>
    <cellStyle name="Percent 2 2 8" xfId="120" xr:uid="{3856C659-0C70-42B6-AAF9-0CEC1AEA65E8}"/>
    <cellStyle name="Percent 2 2 9" xfId="166" xr:uid="{F325FAB4-A8AD-421C-BC05-9354854B81DB}"/>
    <cellStyle name="Percent 2 3" xfId="106" xr:uid="{D205AF2C-38F8-435B-934C-95D863F6B12C}"/>
    <cellStyle name="Percent 2 3 2" xfId="154" xr:uid="{8FA47220-B0A3-4613-8F91-F81BFBC8BDB2}"/>
    <cellStyle name="Percent 2 3 3" xfId="200" xr:uid="{D1FD8BB9-17F9-4E39-ACDD-AC7CE0C62D54}"/>
    <cellStyle name="Percent 2 4" xfId="101" xr:uid="{7C7CD922-1775-4C3C-8138-550F44914706}"/>
    <cellStyle name="Percent 2 5" xfId="149" xr:uid="{F43F9D6B-00DE-45CE-BE2C-4248B35CD439}"/>
    <cellStyle name="Percent 2 6" xfId="195" xr:uid="{5D6B88C6-CE84-475F-BB77-BE34EB2FF8DC}"/>
    <cellStyle name="Percent 3" xfId="57" xr:uid="{C76FB57F-EDD9-41E0-998C-40F346D2AD82}"/>
    <cellStyle name="Percent 3 2" xfId="115" xr:uid="{0A063186-FF6A-4546-A466-D545137761E9}"/>
    <cellStyle name="Percent 3 2 2" xfId="162" xr:uid="{A6B4274F-7A6D-4EC1-A382-3BF28DDD4719}"/>
    <cellStyle name="Percent 3 2 2 2" xfId="214" xr:uid="{6B143314-49FD-4E8C-AAAD-3D4E1ED424D1}"/>
    <cellStyle name="Percent 3 2 3" xfId="208" xr:uid="{42EB8296-A00A-4780-94CD-791BA3B1B0FC}"/>
    <cellStyle name="Percent 3 3" xfId="110" xr:uid="{40D465B5-1B54-4610-871D-A7F80BFF053F}"/>
    <cellStyle name="Percent 3 4" xfId="158" xr:uid="{39980698-3B21-485E-9657-2B750DAD1F41}"/>
    <cellStyle name="Percent 3 5" xfId="204" xr:uid="{BE6FB180-9791-4D78-BBF3-5A1183B7F84E}"/>
    <cellStyle name="Percent 4" xfId="217" xr:uid="{D08FD557-DAF8-41C0-8FA6-078040DC14CB}"/>
    <cellStyle name="Percent 5" xfId="46" xr:uid="{6EE148B5-1B5B-4F17-9455-512A716D0FB8}"/>
    <cellStyle name="Title 2" xfId="47" xr:uid="{F50A4DBE-CA63-4BE3-873C-3C0BCC132B9B}"/>
    <cellStyle name="Total 2" xfId="48" xr:uid="{9B89D18C-2BB8-4737-AB9B-184CDAB78F50}"/>
    <cellStyle name="Warning Text 2" xfId="49" xr:uid="{B9E995DC-FF18-4F24-8DF3-7840F8EE6424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F4520"/>
      <color rgb="FFCF4547"/>
      <color rgb="FF70AD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4</xdr:row>
      <xdr:rowOff>9525</xdr:rowOff>
    </xdr:from>
    <xdr:to>
      <xdr:col>9</xdr:col>
      <xdr:colOff>600075</xdr:colOff>
      <xdr:row>6</xdr:row>
      <xdr:rowOff>190500</xdr:rowOff>
    </xdr:to>
    <xdr:sp macro="[0]!Upload" textlink="">
      <xdr:nvSpPr>
        <xdr:cNvPr id="2" name="Rectangle 1">
          <a:extLst>
            <a:ext uri="{FF2B5EF4-FFF2-40B4-BE49-F238E27FC236}">
              <a16:creationId xmlns:a16="http://schemas.microsoft.com/office/drawing/2014/main" id="{8281D415-3881-411B-AF55-45EE2CE6AF73}"/>
            </a:ext>
          </a:extLst>
        </xdr:cNvPr>
        <xdr:cNvSpPr>
          <a:spLocks noChangeArrowheads="1"/>
        </xdr:cNvSpPr>
      </xdr:nvSpPr>
      <xdr:spPr bwMode="auto">
        <a:xfrm>
          <a:off x="3667125" y="781050"/>
          <a:ext cx="3028950" cy="561975"/>
        </a:xfrm>
        <a:prstGeom prst="rect">
          <a:avLst/>
        </a:prstGeom>
        <a:solidFill>
          <a:srgbClr val="70AD47"/>
        </a:solidFill>
        <a:ln w="9525">
          <a:solidFill>
            <a:srgbClr val="000000"/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114300" prst="artDeco"/>
        </a:sp3d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Create Bulk Upload - New</a:t>
          </a:r>
        </a:p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All Files </a:t>
          </a:r>
        </a:p>
      </xdr:txBody>
    </xdr:sp>
    <xdr:clientData/>
  </xdr:twoCellAnchor>
  <xdr:twoCellAnchor>
    <xdr:from>
      <xdr:col>5</xdr:col>
      <xdr:colOff>9524</xdr:colOff>
      <xdr:row>8</xdr:row>
      <xdr:rowOff>9525</xdr:rowOff>
    </xdr:from>
    <xdr:to>
      <xdr:col>9</xdr:col>
      <xdr:colOff>590549</xdr:colOff>
      <xdr:row>10</xdr:row>
      <xdr:rowOff>190500</xdr:rowOff>
    </xdr:to>
    <xdr:sp macro="[0]!Upload" textlink="">
      <xdr:nvSpPr>
        <xdr:cNvPr id="8" name="Rectangle 7">
          <a:extLst>
            <a:ext uri="{FF2B5EF4-FFF2-40B4-BE49-F238E27FC236}">
              <a16:creationId xmlns:a16="http://schemas.microsoft.com/office/drawing/2014/main" id="{E69FBDD0-D175-4109-89FF-0C4C160EA7F5}"/>
            </a:ext>
          </a:extLst>
        </xdr:cNvPr>
        <xdr:cNvSpPr>
          <a:spLocks noChangeArrowheads="1"/>
        </xdr:cNvSpPr>
      </xdr:nvSpPr>
      <xdr:spPr bwMode="auto">
        <a:xfrm>
          <a:off x="3667124" y="1562100"/>
          <a:ext cx="3019425" cy="561975"/>
        </a:xfrm>
        <a:prstGeom prst="rect">
          <a:avLst/>
        </a:prstGeom>
        <a:solidFill>
          <a:srgbClr val="70AD47"/>
        </a:solidFill>
        <a:ln w="9525">
          <a:solidFill>
            <a:srgbClr val="000000"/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114300" prst="artDeco"/>
        </a:sp3d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Create Bulk Upload - New</a:t>
          </a:r>
        </a:p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Agreement File Only</a:t>
          </a:r>
        </a:p>
      </xdr:txBody>
    </xdr:sp>
    <xdr:clientData/>
  </xdr:twoCellAnchor>
  <xdr:twoCellAnchor>
    <xdr:from>
      <xdr:col>5</xdr:col>
      <xdr:colOff>9524</xdr:colOff>
      <xdr:row>12</xdr:row>
      <xdr:rowOff>9525</xdr:rowOff>
    </xdr:from>
    <xdr:to>
      <xdr:col>9</xdr:col>
      <xdr:colOff>590549</xdr:colOff>
      <xdr:row>14</xdr:row>
      <xdr:rowOff>266700</xdr:rowOff>
    </xdr:to>
    <xdr:sp macro="[0]!Upload" textlink="">
      <xdr:nvSpPr>
        <xdr:cNvPr id="9" name="Rectangle 8">
          <a:extLst>
            <a:ext uri="{FF2B5EF4-FFF2-40B4-BE49-F238E27FC236}">
              <a16:creationId xmlns:a16="http://schemas.microsoft.com/office/drawing/2014/main" id="{3D89657A-2530-4426-A61D-24F31EF88B70}"/>
            </a:ext>
          </a:extLst>
        </xdr:cNvPr>
        <xdr:cNvSpPr>
          <a:spLocks noChangeArrowheads="1"/>
        </xdr:cNvSpPr>
      </xdr:nvSpPr>
      <xdr:spPr bwMode="auto">
        <a:xfrm>
          <a:off x="3667124" y="2343150"/>
          <a:ext cx="3019425" cy="638175"/>
        </a:xfrm>
        <a:prstGeom prst="rect">
          <a:avLst/>
        </a:prstGeom>
        <a:solidFill>
          <a:srgbClr val="CF4520"/>
        </a:solidFill>
        <a:ln w="9525">
          <a:solidFill>
            <a:srgbClr val="000000"/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114300" prst="artDeco"/>
        </a:sp3d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Create Bulk Upload - Amendment</a:t>
          </a:r>
        </a:p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All Files </a:t>
          </a:r>
        </a:p>
      </xdr:txBody>
    </xdr:sp>
    <xdr:clientData/>
  </xdr:twoCellAnchor>
  <xdr:twoCellAnchor>
    <xdr:from>
      <xdr:col>5</xdr:col>
      <xdr:colOff>9524</xdr:colOff>
      <xdr:row>16</xdr:row>
      <xdr:rowOff>9525</xdr:rowOff>
    </xdr:from>
    <xdr:to>
      <xdr:col>9</xdr:col>
      <xdr:colOff>590549</xdr:colOff>
      <xdr:row>18</xdr:row>
      <xdr:rowOff>190500</xdr:rowOff>
    </xdr:to>
    <xdr:sp macro="[0]!Upload" textlink="">
      <xdr:nvSpPr>
        <xdr:cNvPr id="10" name="Rectangle 9">
          <a:extLst>
            <a:ext uri="{FF2B5EF4-FFF2-40B4-BE49-F238E27FC236}">
              <a16:creationId xmlns:a16="http://schemas.microsoft.com/office/drawing/2014/main" id="{52FC6F40-38E9-4F17-918A-AC42780946F8}"/>
            </a:ext>
          </a:extLst>
        </xdr:cNvPr>
        <xdr:cNvSpPr>
          <a:spLocks noChangeArrowheads="1"/>
        </xdr:cNvSpPr>
      </xdr:nvSpPr>
      <xdr:spPr bwMode="auto">
        <a:xfrm>
          <a:off x="3667124" y="3200400"/>
          <a:ext cx="3019425" cy="561975"/>
        </a:xfrm>
        <a:prstGeom prst="rect">
          <a:avLst/>
        </a:prstGeom>
        <a:solidFill>
          <a:srgbClr val="CF4520"/>
        </a:solidFill>
        <a:ln w="9525">
          <a:solidFill>
            <a:srgbClr val="000000"/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114300" prst="artDeco"/>
        </a:sp3d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Create Bulk Upload - Amendment</a:t>
          </a:r>
        </a:p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Agreement File Only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3"/>
  <sheetViews>
    <sheetView showGridLines="0" tabSelected="1" workbookViewId="0">
      <selection activeCell="G2" sqref="G2:I3"/>
    </sheetView>
  </sheetViews>
  <sheetFormatPr defaultRowHeight="15" x14ac:dyDescent="0.25"/>
  <cols>
    <col min="8" max="11" width="9.140625" style="36"/>
    <col min="12" max="13" width="9.140625" style="36" customWidth="1"/>
    <col min="14" max="14" width="9.140625" customWidth="1"/>
  </cols>
  <sheetData>
    <row r="1" spans="1:16" ht="15" customHeight="1" thickBot="1" x14ac:dyDescent="0.3">
      <c r="A1" s="49"/>
    </row>
    <row r="2" spans="1:16" ht="15.75" customHeight="1" x14ac:dyDescent="0.25">
      <c r="G2" s="59" t="s">
        <v>511</v>
      </c>
      <c r="H2" s="60"/>
      <c r="I2" s="61"/>
      <c r="J2" s="48"/>
      <c r="K2" s="48"/>
      <c r="L2" s="48"/>
      <c r="M2" s="59" t="s">
        <v>510</v>
      </c>
      <c r="N2" s="60"/>
      <c r="O2" s="61"/>
    </row>
    <row r="3" spans="1:16" ht="15.75" customHeight="1" thickBot="1" x14ac:dyDescent="0.3">
      <c r="G3" s="62"/>
      <c r="H3" s="63"/>
      <c r="I3" s="64"/>
      <c r="J3" s="48"/>
      <c r="K3" s="48"/>
      <c r="L3" s="48"/>
      <c r="M3" s="62"/>
      <c r="N3" s="63"/>
      <c r="O3" s="64"/>
    </row>
    <row r="4" spans="1:16" ht="15" customHeight="1" thickBot="1" x14ac:dyDescent="0.3"/>
    <row r="5" spans="1:16" s="36" customFormat="1" ht="15" customHeight="1" x14ac:dyDescent="0.25">
      <c r="F5" s="50"/>
      <c r="G5" s="51"/>
      <c r="H5" s="51"/>
      <c r="I5" s="51"/>
      <c r="J5" s="52"/>
      <c r="L5" s="65" t="s">
        <v>506</v>
      </c>
      <c r="M5" s="66"/>
      <c r="N5" s="66"/>
      <c r="O5" s="66"/>
      <c r="P5" s="67"/>
    </row>
    <row r="6" spans="1:16" s="36" customFormat="1" x14ac:dyDescent="0.25">
      <c r="F6" s="53"/>
      <c r="G6" s="54"/>
      <c r="H6" s="54"/>
      <c r="I6" s="54"/>
      <c r="J6" s="55"/>
      <c r="L6" s="68"/>
      <c r="M6" s="69"/>
      <c r="N6" s="69"/>
      <c r="O6" s="69"/>
      <c r="P6" s="70"/>
    </row>
    <row r="7" spans="1:16" s="36" customFormat="1" ht="15.75" thickBot="1" x14ac:dyDescent="0.3">
      <c r="F7" s="56"/>
      <c r="G7" s="57"/>
      <c r="H7" s="57"/>
      <c r="I7" s="57"/>
      <c r="J7" s="58"/>
      <c r="L7" s="71"/>
      <c r="M7" s="72"/>
      <c r="N7" s="72"/>
      <c r="O7" s="72"/>
      <c r="P7" s="73"/>
    </row>
    <row r="8" spans="1:16" s="36" customFormat="1" ht="15.75" thickBot="1" x14ac:dyDescent="0.3">
      <c r="L8" s="47"/>
      <c r="M8" s="47"/>
      <c r="N8" s="47"/>
      <c r="O8" s="47"/>
    </row>
    <row r="9" spans="1:16" s="36" customFormat="1" ht="15" customHeight="1" x14ac:dyDescent="0.25">
      <c r="F9" s="50"/>
      <c r="G9" s="51"/>
      <c r="H9" s="51"/>
      <c r="I9" s="51"/>
      <c r="J9" s="52"/>
      <c r="L9" s="65" t="s">
        <v>507</v>
      </c>
      <c r="M9" s="66"/>
      <c r="N9" s="66"/>
      <c r="O9" s="66"/>
      <c r="P9" s="67"/>
    </row>
    <row r="10" spans="1:16" s="36" customFormat="1" x14ac:dyDescent="0.25">
      <c r="F10" s="53"/>
      <c r="G10" s="54"/>
      <c r="H10" s="54"/>
      <c r="I10" s="54"/>
      <c r="J10" s="55"/>
      <c r="L10" s="68"/>
      <c r="M10" s="69"/>
      <c r="N10" s="69"/>
      <c r="O10" s="69"/>
      <c r="P10" s="70"/>
    </row>
    <row r="11" spans="1:16" s="36" customFormat="1" ht="15.75" thickBot="1" x14ac:dyDescent="0.3">
      <c r="F11" s="56"/>
      <c r="G11" s="57"/>
      <c r="H11" s="57"/>
      <c r="I11" s="57"/>
      <c r="J11" s="58"/>
      <c r="L11" s="71"/>
      <c r="M11" s="72"/>
      <c r="N11" s="72"/>
      <c r="O11" s="72"/>
      <c r="P11" s="73"/>
    </row>
    <row r="12" spans="1:16" s="36" customFormat="1" ht="15.75" thickBot="1" x14ac:dyDescent="0.3"/>
    <row r="13" spans="1:16" s="36" customFormat="1" ht="15" customHeight="1" x14ac:dyDescent="0.25">
      <c r="F13" s="50"/>
      <c r="G13" s="51"/>
      <c r="H13" s="51"/>
      <c r="I13" s="51"/>
      <c r="J13" s="52"/>
      <c r="L13" s="65" t="s">
        <v>508</v>
      </c>
      <c r="M13" s="66"/>
      <c r="N13" s="66"/>
      <c r="O13" s="66"/>
      <c r="P13" s="67"/>
    </row>
    <row r="14" spans="1:16" s="36" customFormat="1" x14ac:dyDescent="0.25">
      <c r="F14" s="53"/>
      <c r="G14" s="54"/>
      <c r="H14" s="54"/>
      <c r="I14" s="54"/>
      <c r="J14" s="55"/>
      <c r="L14" s="68"/>
      <c r="M14" s="69"/>
      <c r="N14" s="69"/>
      <c r="O14" s="69"/>
      <c r="P14" s="70"/>
    </row>
    <row r="15" spans="1:16" s="36" customFormat="1" ht="21.75" customHeight="1" thickBot="1" x14ac:dyDescent="0.3">
      <c r="F15" s="56"/>
      <c r="G15" s="57"/>
      <c r="H15" s="57"/>
      <c r="I15" s="57"/>
      <c r="J15" s="58"/>
      <c r="L15" s="71"/>
      <c r="M15" s="72"/>
      <c r="N15" s="72"/>
      <c r="O15" s="72"/>
      <c r="P15" s="73"/>
    </row>
    <row r="16" spans="1:16" s="36" customFormat="1" ht="15.75" thickBot="1" x14ac:dyDescent="0.3"/>
    <row r="17" spans="6:16" s="36" customFormat="1" ht="15" customHeight="1" x14ac:dyDescent="0.25">
      <c r="F17" s="50"/>
      <c r="G17" s="51"/>
      <c r="H17" s="51"/>
      <c r="I17" s="51"/>
      <c r="J17" s="52"/>
      <c r="L17" s="65" t="s">
        <v>509</v>
      </c>
      <c r="M17" s="66"/>
      <c r="N17" s="66"/>
      <c r="O17" s="66"/>
      <c r="P17" s="67"/>
    </row>
    <row r="18" spans="6:16" s="36" customFormat="1" x14ac:dyDescent="0.25">
      <c r="F18" s="53"/>
      <c r="G18" s="54"/>
      <c r="H18" s="54"/>
      <c r="I18" s="54"/>
      <c r="J18" s="55"/>
      <c r="L18" s="68"/>
      <c r="M18" s="69"/>
      <c r="N18" s="69"/>
      <c r="O18" s="69"/>
      <c r="P18" s="70"/>
    </row>
    <row r="19" spans="6:16" s="36" customFormat="1" ht="15.75" thickBot="1" x14ac:dyDescent="0.3">
      <c r="F19" s="56"/>
      <c r="G19" s="57"/>
      <c r="H19" s="57"/>
      <c r="I19" s="57"/>
      <c r="J19" s="58"/>
      <c r="L19" s="71"/>
      <c r="M19" s="72"/>
      <c r="N19" s="72"/>
      <c r="O19" s="72"/>
      <c r="P19" s="73"/>
    </row>
    <row r="20" spans="6:16" s="36" customFormat="1" x14ac:dyDescent="0.25"/>
    <row r="21" spans="6:16" s="36" customFormat="1" x14ac:dyDescent="0.25"/>
    <row r="22" spans="6:16" s="36" customFormat="1" x14ac:dyDescent="0.25"/>
    <row r="23" spans="6:16" s="36" customFormat="1" x14ac:dyDescent="0.25"/>
  </sheetData>
  <sheetProtection algorithmName="SHA-512" hashValue="lhs5+xyx1K3UMEXarLqp7cNhcnzQ+Xb9byNMQb/KNuPlgIaOA6K9QWt9WbyRGmzka8C2Kvu6yFsPdNsKTAvhww==" saltValue="Vvqc1Y5F88pVIx1ob6uucA==" spinCount="100000" sheet="1" objects="1" scenarios="1"/>
  <mergeCells count="10">
    <mergeCell ref="F17:J19"/>
    <mergeCell ref="G2:I3"/>
    <mergeCell ref="M2:O3"/>
    <mergeCell ref="L5:P7"/>
    <mergeCell ref="L9:P11"/>
    <mergeCell ref="L13:P15"/>
    <mergeCell ref="L17:P19"/>
    <mergeCell ref="F5:J7"/>
    <mergeCell ref="F9:J11"/>
    <mergeCell ref="F13:J15"/>
  </mergeCells>
  <pageMargins left="0.7" right="0.7" top="0.75" bottom="0.75" header="0.3" footer="0.3"/>
  <pageSetup orientation="portrait" r:id="rId1"/>
  <headerFooter differentOddEven="1" differentFirst="1">
    <oddFooter>&amp;LClassification: &amp;"Microsoft Sans Serif,Bold"&amp;KFFA500Confidential&amp;"Microsoft Sans Serif,Regular"&amp;K000000 Contains PII: &amp;"Microsoft Sans Serif,Bold"No</oddFooter>
    <evenFooter>&amp;LClassification: &amp;"Microsoft Sans Serif,Bold"&amp;KFFA500Confidential&amp;"Microsoft Sans Serif,Regular"&amp;K000000 Contains PII: &amp;"Microsoft Sans Serif,Bold"No</evenFooter>
    <firstFooter>&amp;LClassification: &amp;"Microsoft Sans Serif,Bold"&amp;KFFA500Confidential&amp;"Microsoft Sans Serif,Regular"&amp;K000000 Contains PII: &amp;"Microsoft Sans Serif,Bold"No</first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DA46D-CBA6-4E27-A55C-D9378BC5C60C}">
  <sheetPr codeName="Sheet2"/>
  <dimension ref="A1:P128"/>
  <sheetViews>
    <sheetView showGridLines="0" workbookViewId="0"/>
  </sheetViews>
  <sheetFormatPr defaultRowHeight="15" x14ac:dyDescent="0.25"/>
  <cols>
    <col min="1" max="1" width="44.42578125" style="10" bestFit="1" customWidth="1"/>
    <col min="2" max="2" width="20.140625" style="11" bestFit="1" customWidth="1"/>
    <col min="6" max="6" width="16.28515625" customWidth="1"/>
    <col min="7" max="7" width="56" customWidth="1"/>
  </cols>
  <sheetData>
    <row r="1" spans="1:16" x14ac:dyDescent="0.25">
      <c r="A1" s="12" t="s">
        <v>0</v>
      </c>
      <c r="B1" s="13" t="s">
        <v>1</v>
      </c>
    </row>
    <row r="2" spans="1:16" x14ac:dyDescent="0.25">
      <c r="A2" s="1" t="s">
        <v>2</v>
      </c>
      <c r="B2" s="2"/>
      <c r="F2" s="30" t="s">
        <v>256</v>
      </c>
      <c r="G2" s="5"/>
      <c r="H2" cm="1">
        <f t="array" ref="H2">_xlfn.UNIQUE(E2:E100)</f>
        <v>0</v>
      </c>
      <c r="P2" cm="1">
        <f t="array" ref="P2">_xlfn.UNIQUE(O2:O100)</f>
        <v>0</v>
      </c>
    </row>
    <row r="3" spans="1:16" x14ac:dyDescent="0.25">
      <c r="A3" s="1" t="s">
        <v>3</v>
      </c>
      <c r="B3" s="2"/>
      <c r="F3" s="30" t="s">
        <v>257</v>
      </c>
      <c r="G3" s="5"/>
    </row>
    <row r="4" spans="1:16" x14ac:dyDescent="0.25">
      <c r="A4" s="1" t="s">
        <v>4</v>
      </c>
      <c r="B4" s="2"/>
    </row>
    <row r="5" spans="1:16" x14ac:dyDescent="0.25">
      <c r="A5" s="1" t="s">
        <v>5</v>
      </c>
      <c r="B5" s="2"/>
      <c r="F5" s="29" t="str">
        <f>IF(B4="","",IF(OR(B4="MDA",B4="CIA"),B4,"POYPON"))</f>
        <v/>
      </c>
    </row>
    <row r="6" spans="1:16" x14ac:dyDescent="0.25">
      <c r="A6" s="1" t="s">
        <v>6</v>
      </c>
      <c r="B6" s="3"/>
      <c r="F6" s="29" t="str">
        <f>IF(B4="","",IF(OR(B4="MDA",OR(B4="CIA",B4="PON Only")),"","CIA"))</f>
        <v/>
      </c>
    </row>
    <row r="7" spans="1:16" x14ac:dyDescent="0.25">
      <c r="A7" s="1" t="s">
        <v>7</v>
      </c>
      <c r="B7" s="4"/>
    </row>
    <row r="8" spans="1:16" x14ac:dyDescent="0.25">
      <c r="A8" s="1" t="s">
        <v>8</v>
      </c>
      <c r="B8" s="3"/>
    </row>
    <row r="9" spans="1:16" x14ac:dyDescent="0.25">
      <c r="A9" s="1" t="s">
        <v>9</v>
      </c>
      <c r="B9" s="2"/>
    </row>
    <row r="10" spans="1:16" x14ac:dyDescent="0.25">
      <c r="A10" s="1" t="s">
        <v>10</v>
      </c>
      <c r="B10" s="2"/>
    </row>
    <row r="11" spans="1:16" x14ac:dyDescent="0.25">
      <c r="A11" s="1" t="s">
        <v>11</v>
      </c>
      <c r="B11" s="2"/>
    </row>
    <row r="12" spans="1:16" x14ac:dyDescent="0.25">
      <c r="A12" s="1" t="s">
        <v>12</v>
      </c>
      <c r="B12" s="2"/>
    </row>
    <row r="13" spans="1:16" x14ac:dyDescent="0.25">
      <c r="A13" s="1" t="s">
        <v>13</v>
      </c>
      <c r="B13" s="5"/>
    </row>
    <row r="14" spans="1:16" x14ac:dyDescent="0.25">
      <c r="A14" s="1" t="s">
        <v>14</v>
      </c>
      <c r="B14" s="2"/>
    </row>
    <row r="15" spans="1:16" x14ac:dyDescent="0.25">
      <c r="A15" s="1" t="s">
        <v>15</v>
      </c>
      <c r="B15" s="2"/>
    </row>
    <row r="16" spans="1:16" x14ac:dyDescent="0.25">
      <c r="A16" s="1" t="s">
        <v>16</v>
      </c>
      <c r="B16" s="2"/>
    </row>
    <row r="17" spans="1:2" x14ac:dyDescent="0.25">
      <c r="A17" s="1" t="s">
        <v>17</v>
      </c>
      <c r="B17" s="2"/>
    </row>
    <row r="18" spans="1:2" x14ac:dyDescent="0.25">
      <c r="A18" s="1" t="s">
        <v>18</v>
      </c>
      <c r="B18" s="2"/>
    </row>
    <row r="19" spans="1:2" x14ac:dyDescent="0.25">
      <c r="A19" s="1" t="s">
        <v>19</v>
      </c>
      <c r="B19" s="2"/>
    </row>
    <row r="20" spans="1:2" x14ac:dyDescent="0.25">
      <c r="A20" s="1" t="s">
        <v>20</v>
      </c>
      <c r="B20" s="2"/>
    </row>
    <row r="21" spans="1:2" x14ac:dyDescent="0.25">
      <c r="A21" s="1" t="s">
        <v>21</v>
      </c>
      <c r="B21" s="2"/>
    </row>
    <row r="22" spans="1:2" x14ac:dyDescent="0.25">
      <c r="A22" s="1" t="s">
        <v>22</v>
      </c>
      <c r="B22" s="2"/>
    </row>
    <row r="23" spans="1:2" x14ac:dyDescent="0.25">
      <c r="A23" s="1" t="s">
        <v>23</v>
      </c>
      <c r="B23" s="2"/>
    </row>
    <row r="24" spans="1:2" x14ac:dyDescent="0.25">
      <c r="A24" s="1" t="s">
        <v>24</v>
      </c>
      <c r="B24" s="2"/>
    </row>
    <row r="25" spans="1:2" x14ac:dyDescent="0.25">
      <c r="A25" s="1" t="s">
        <v>25</v>
      </c>
      <c r="B25" s="2"/>
    </row>
    <row r="26" spans="1:2" x14ac:dyDescent="0.25">
      <c r="A26" s="1" t="s">
        <v>26</v>
      </c>
      <c r="B26" s="2"/>
    </row>
    <row r="27" spans="1:2" x14ac:dyDescent="0.25">
      <c r="A27" s="1" t="s">
        <v>27</v>
      </c>
      <c r="B27" s="2"/>
    </row>
    <row r="28" spans="1:2" x14ac:dyDescent="0.25">
      <c r="A28" s="1" t="s">
        <v>28</v>
      </c>
      <c r="B28" s="2"/>
    </row>
    <row r="29" spans="1:2" x14ac:dyDescent="0.25">
      <c r="A29" s="1" t="s">
        <v>29</v>
      </c>
      <c r="B29" s="2"/>
    </row>
    <row r="30" spans="1:2" x14ac:dyDescent="0.25">
      <c r="A30" s="1" t="s">
        <v>30</v>
      </c>
      <c r="B30" s="2"/>
    </row>
    <row r="31" spans="1:2" x14ac:dyDescent="0.25">
      <c r="A31" s="1" t="s">
        <v>31</v>
      </c>
      <c r="B31" s="2"/>
    </row>
    <row r="32" spans="1:2" x14ac:dyDescent="0.25">
      <c r="A32" s="1" t="s">
        <v>32</v>
      </c>
      <c r="B32" s="2"/>
    </row>
    <row r="33" spans="1:2" x14ac:dyDescent="0.25">
      <c r="A33" s="1" t="s">
        <v>33</v>
      </c>
      <c r="B33" s="2"/>
    </row>
    <row r="34" spans="1:2" x14ac:dyDescent="0.25">
      <c r="A34" s="1" t="s">
        <v>34</v>
      </c>
      <c r="B34" s="2"/>
    </row>
    <row r="35" spans="1:2" x14ac:dyDescent="0.25">
      <c r="A35" s="1" t="s">
        <v>35</v>
      </c>
      <c r="B35" s="2"/>
    </row>
    <row r="36" spans="1:2" x14ac:dyDescent="0.25">
      <c r="A36" s="1" t="s">
        <v>36</v>
      </c>
      <c r="B36" s="2"/>
    </row>
    <row r="37" spans="1:2" x14ac:dyDescent="0.25">
      <c r="A37" s="1" t="s">
        <v>37</v>
      </c>
      <c r="B37" s="2"/>
    </row>
    <row r="38" spans="1:2" x14ac:dyDescent="0.25">
      <c r="A38" s="1" t="s">
        <v>38</v>
      </c>
      <c r="B38" s="2"/>
    </row>
    <row r="39" spans="1:2" x14ac:dyDescent="0.25">
      <c r="A39" s="1" t="s">
        <v>39</v>
      </c>
      <c r="B39" s="6"/>
    </row>
    <row r="40" spans="1:2" x14ac:dyDescent="0.25">
      <c r="A40" s="1" t="s">
        <v>40</v>
      </c>
      <c r="B40" s="6"/>
    </row>
    <row r="41" spans="1:2" x14ac:dyDescent="0.25">
      <c r="A41" s="1" t="s">
        <v>41</v>
      </c>
      <c r="B41" s="6"/>
    </row>
    <row r="42" spans="1:2" x14ac:dyDescent="0.25">
      <c r="A42" s="1" t="s">
        <v>42</v>
      </c>
      <c r="B42" s="6"/>
    </row>
    <row r="43" spans="1:2" x14ac:dyDescent="0.25">
      <c r="A43" s="1" t="s">
        <v>43</v>
      </c>
      <c r="B43" s="6"/>
    </row>
    <row r="44" spans="1:2" x14ac:dyDescent="0.25">
      <c r="A44" s="1" t="s">
        <v>44</v>
      </c>
      <c r="B44" s="2"/>
    </row>
    <row r="45" spans="1:2" x14ac:dyDescent="0.25">
      <c r="A45" s="1" t="s">
        <v>45</v>
      </c>
      <c r="B45" s="2"/>
    </row>
    <row r="46" spans="1:2" x14ac:dyDescent="0.25">
      <c r="A46" s="1" t="s">
        <v>46</v>
      </c>
      <c r="B46" s="2"/>
    </row>
    <row r="47" spans="1:2" x14ac:dyDescent="0.25">
      <c r="A47" s="1" t="s">
        <v>47</v>
      </c>
      <c r="B47" s="2"/>
    </row>
    <row r="48" spans="1:2" x14ac:dyDescent="0.25">
      <c r="A48" s="1" t="s">
        <v>48</v>
      </c>
      <c r="B48" s="7"/>
    </row>
    <row r="49" spans="1:2" x14ac:dyDescent="0.25">
      <c r="A49" s="1" t="s">
        <v>49</v>
      </c>
      <c r="B49" s="7"/>
    </row>
    <row r="50" spans="1:2" x14ac:dyDescent="0.25">
      <c r="A50" s="1" t="s">
        <v>50</v>
      </c>
      <c r="B50" s="2"/>
    </row>
    <row r="51" spans="1:2" x14ac:dyDescent="0.25">
      <c r="A51" s="1" t="s">
        <v>51</v>
      </c>
      <c r="B51" s="2"/>
    </row>
    <row r="52" spans="1:2" x14ac:dyDescent="0.25">
      <c r="A52" s="1" t="s">
        <v>52</v>
      </c>
      <c r="B52" s="8"/>
    </row>
    <row r="53" spans="1:2" x14ac:dyDescent="0.25">
      <c r="A53" s="1" t="s">
        <v>53</v>
      </c>
      <c r="B53" s="8"/>
    </row>
    <row r="54" spans="1:2" x14ac:dyDescent="0.25">
      <c r="A54" s="1" t="s">
        <v>54</v>
      </c>
      <c r="B54" s="2"/>
    </row>
    <row r="55" spans="1:2" x14ac:dyDescent="0.25">
      <c r="A55" s="1" t="s">
        <v>55</v>
      </c>
      <c r="B55" s="2"/>
    </row>
    <row r="56" spans="1:2" x14ac:dyDescent="0.25">
      <c r="A56" s="1" t="s">
        <v>56</v>
      </c>
      <c r="B56" s="2"/>
    </row>
    <row r="57" spans="1:2" x14ac:dyDescent="0.25">
      <c r="A57" s="1" t="s">
        <v>57</v>
      </c>
      <c r="B57" s="2"/>
    </row>
    <row r="58" spans="1:2" x14ac:dyDescent="0.25">
      <c r="A58" s="1" t="s">
        <v>58</v>
      </c>
      <c r="B58" s="2"/>
    </row>
    <row r="59" spans="1:2" x14ac:dyDescent="0.25">
      <c r="A59" s="1" t="s">
        <v>59</v>
      </c>
      <c r="B59" s="2"/>
    </row>
    <row r="60" spans="1:2" x14ac:dyDescent="0.25">
      <c r="A60" s="1" t="s">
        <v>60</v>
      </c>
      <c r="B60" s="2"/>
    </row>
    <row r="61" spans="1:2" x14ac:dyDescent="0.25">
      <c r="A61" s="1" t="s">
        <v>61</v>
      </c>
      <c r="B61" s="2"/>
    </row>
    <row r="62" spans="1:2" x14ac:dyDescent="0.25">
      <c r="A62" s="1" t="s">
        <v>62</v>
      </c>
      <c r="B62" s="2"/>
    </row>
    <row r="63" spans="1:2" x14ac:dyDescent="0.25">
      <c r="A63" s="1" t="s">
        <v>63</v>
      </c>
      <c r="B63" s="2"/>
    </row>
    <row r="64" spans="1:2" x14ac:dyDescent="0.25">
      <c r="A64" s="1" t="s">
        <v>64</v>
      </c>
      <c r="B64" s="5"/>
    </row>
    <row r="65" spans="1:2" x14ac:dyDescent="0.25">
      <c r="A65" s="1" t="s">
        <v>65</v>
      </c>
      <c r="B65" s="2"/>
    </row>
    <row r="66" spans="1:2" x14ac:dyDescent="0.25">
      <c r="A66" s="1" t="s">
        <v>66</v>
      </c>
      <c r="B66" s="2"/>
    </row>
    <row r="67" spans="1:2" x14ac:dyDescent="0.25">
      <c r="A67" s="1" t="s">
        <v>67</v>
      </c>
      <c r="B67" s="2"/>
    </row>
    <row r="68" spans="1:2" x14ac:dyDescent="0.25">
      <c r="A68" s="1" t="s">
        <v>68</v>
      </c>
      <c r="B68" s="2"/>
    </row>
    <row r="69" spans="1:2" x14ac:dyDescent="0.25">
      <c r="A69" s="1" t="s">
        <v>69</v>
      </c>
      <c r="B69" s="5"/>
    </row>
    <row r="70" spans="1:2" x14ac:dyDescent="0.25">
      <c r="A70" s="1" t="s">
        <v>70</v>
      </c>
      <c r="B70" s="2"/>
    </row>
    <row r="71" spans="1:2" x14ac:dyDescent="0.25">
      <c r="A71" s="1" t="s">
        <v>71</v>
      </c>
      <c r="B71" s="2"/>
    </row>
    <row r="72" spans="1:2" x14ac:dyDescent="0.25">
      <c r="A72" s="1" t="s">
        <v>72</v>
      </c>
      <c r="B72" s="2"/>
    </row>
    <row r="73" spans="1:2" x14ac:dyDescent="0.25">
      <c r="A73" s="1" t="s">
        <v>73</v>
      </c>
      <c r="B73" s="9"/>
    </row>
    <row r="74" spans="1:2" x14ac:dyDescent="0.25">
      <c r="A74" s="1" t="s">
        <v>74</v>
      </c>
      <c r="B74" s="9"/>
    </row>
    <row r="75" spans="1:2" x14ac:dyDescent="0.25">
      <c r="A75" s="1" t="s">
        <v>75</v>
      </c>
      <c r="B75" s="9"/>
    </row>
    <row r="76" spans="1:2" x14ac:dyDescent="0.25">
      <c r="A76" s="1" t="s">
        <v>76</v>
      </c>
      <c r="B76" s="2"/>
    </row>
    <row r="77" spans="1:2" x14ac:dyDescent="0.25">
      <c r="A77" s="1" t="s">
        <v>77</v>
      </c>
      <c r="B77" s="2"/>
    </row>
    <row r="78" spans="1:2" x14ac:dyDescent="0.25">
      <c r="A78" s="1" t="s">
        <v>78</v>
      </c>
      <c r="B78" s="2"/>
    </row>
    <row r="79" spans="1:2" x14ac:dyDescent="0.25">
      <c r="A79" s="1" t="s">
        <v>79</v>
      </c>
      <c r="B79" s="5"/>
    </row>
    <row r="80" spans="1:2" x14ac:dyDescent="0.25">
      <c r="A80" s="1" t="s">
        <v>80</v>
      </c>
      <c r="B80" s="5"/>
    </row>
    <row r="81" spans="1:2" ht="25.5" x14ac:dyDescent="0.25">
      <c r="A81" s="1" t="s">
        <v>81</v>
      </c>
      <c r="B81" s="9"/>
    </row>
    <row r="82" spans="1:2" x14ac:dyDescent="0.25">
      <c r="A82" s="1" t="s">
        <v>82</v>
      </c>
      <c r="B82" s="9"/>
    </row>
    <row r="83" spans="1:2" x14ac:dyDescent="0.25">
      <c r="A83" s="1" t="s">
        <v>83</v>
      </c>
      <c r="B83" s="9"/>
    </row>
    <row r="84" spans="1:2" x14ac:dyDescent="0.25">
      <c r="A84" s="1" t="s">
        <v>84</v>
      </c>
      <c r="B84" s="9"/>
    </row>
    <row r="85" spans="1:2" x14ac:dyDescent="0.25">
      <c r="A85" s="1" t="s">
        <v>85</v>
      </c>
      <c r="B85" s="9"/>
    </row>
    <row r="86" spans="1:2" x14ac:dyDescent="0.25">
      <c r="A86" s="1" t="s">
        <v>86</v>
      </c>
      <c r="B86" s="9"/>
    </row>
    <row r="87" spans="1:2" ht="25.5" x14ac:dyDescent="0.25">
      <c r="A87" s="1" t="s">
        <v>87</v>
      </c>
      <c r="B87" s="9"/>
    </row>
    <row r="88" spans="1:2" x14ac:dyDescent="0.25">
      <c r="A88" s="1" t="s">
        <v>88</v>
      </c>
      <c r="B88" s="9"/>
    </row>
    <row r="89" spans="1:2" x14ac:dyDescent="0.25">
      <c r="A89" s="1" t="s">
        <v>89</v>
      </c>
      <c r="B89" s="9"/>
    </row>
    <row r="90" spans="1:2" x14ac:dyDescent="0.25">
      <c r="A90" s="1" t="s">
        <v>90</v>
      </c>
      <c r="B90" s="2"/>
    </row>
    <row r="91" spans="1:2" x14ac:dyDescent="0.25">
      <c r="A91" s="1" t="s">
        <v>91</v>
      </c>
      <c r="B91" s="2"/>
    </row>
    <row r="92" spans="1:2" x14ac:dyDescent="0.25">
      <c r="A92" s="1" t="s">
        <v>92</v>
      </c>
      <c r="B92" s="2"/>
    </row>
    <row r="93" spans="1:2" x14ac:dyDescent="0.25">
      <c r="A93" s="1" t="s">
        <v>93</v>
      </c>
      <c r="B93" s="2"/>
    </row>
    <row r="94" spans="1:2" x14ac:dyDescent="0.25">
      <c r="A94" s="1" t="s">
        <v>94</v>
      </c>
      <c r="B94" s="9"/>
    </row>
    <row r="95" spans="1:2" x14ac:dyDescent="0.25">
      <c r="A95" s="1" t="s">
        <v>95</v>
      </c>
      <c r="B95" s="9"/>
    </row>
    <row r="96" spans="1:2" x14ac:dyDescent="0.25">
      <c r="A96" s="1" t="s">
        <v>96</v>
      </c>
      <c r="B96" s="9"/>
    </row>
    <row r="97" spans="1:2" x14ac:dyDescent="0.25">
      <c r="A97" s="1" t="s">
        <v>97</v>
      </c>
      <c r="B97" s="2"/>
    </row>
    <row r="98" spans="1:2" x14ac:dyDescent="0.25">
      <c r="A98" s="1" t="s">
        <v>98</v>
      </c>
      <c r="B98" s="2"/>
    </row>
    <row r="99" spans="1:2" x14ac:dyDescent="0.25">
      <c r="A99" s="1" t="s">
        <v>99</v>
      </c>
      <c r="B99" s="2"/>
    </row>
    <row r="100" spans="1:2" x14ac:dyDescent="0.25">
      <c r="A100" s="1" t="s">
        <v>100</v>
      </c>
      <c r="B100" s="2"/>
    </row>
    <row r="101" spans="1:2" x14ac:dyDescent="0.25">
      <c r="A101" s="1" t="s">
        <v>101</v>
      </c>
      <c r="B101" s="2"/>
    </row>
    <row r="102" spans="1:2" x14ac:dyDescent="0.25">
      <c r="A102" s="1" t="s">
        <v>102</v>
      </c>
      <c r="B102" s="9"/>
    </row>
    <row r="103" spans="1:2" x14ac:dyDescent="0.25">
      <c r="A103" s="1" t="s">
        <v>103</v>
      </c>
      <c r="B103" s="9"/>
    </row>
    <row r="104" spans="1:2" x14ac:dyDescent="0.25">
      <c r="A104" s="1" t="s">
        <v>104</v>
      </c>
      <c r="B104" s="9"/>
    </row>
    <row r="105" spans="1:2" x14ac:dyDescent="0.25">
      <c r="A105" s="1" t="s">
        <v>105</v>
      </c>
      <c r="B105" s="9"/>
    </row>
    <row r="106" spans="1:2" x14ac:dyDescent="0.25">
      <c r="A106" s="1" t="s">
        <v>106</v>
      </c>
      <c r="B106" s="2"/>
    </row>
    <row r="107" spans="1:2" x14ac:dyDescent="0.25">
      <c r="A107" s="1" t="s">
        <v>107</v>
      </c>
      <c r="B107" s="2"/>
    </row>
    <row r="108" spans="1:2" x14ac:dyDescent="0.25">
      <c r="A108" s="1" t="s">
        <v>108</v>
      </c>
      <c r="B108" s="9"/>
    </row>
    <row r="109" spans="1:2" x14ac:dyDescent="0.25">
      <c r="A109" s="1" t="s">
        <v>109</v>
      </c>
      <c r="B109" s="9"/>
    </row>
    <row r="110" spans="1:2" x14ac:dyDescent="0.25">
      <c r="A110" s="1" t="s">
        <v>110</v>
      </c>
      <c r="B110" s="9"/>
    </row>
    <row r="111" spans="1:2" x14ac:dyDescent="0.25">
      <c r="A111" s="1" t="s">
        <v>111</v>
      </c>
      <c r="B111" s="9"/>
    </row>
    <row r="112" spans="1:2" x14ac:dyDescent="0.25">
      <c r="A112" s="1" t="s">
        <v>112</v>
      </c>
      <c r="B112" s="5"/>
    </row>
    <row r="113" spans="1:2" x14ac:dyDescent="0.25">
      <c r="A113" s="1" t="s">
        <v>113</v>
      </c>
      <c r="B113" s="5"/>
    </row>
    <row r="114" spans="1:2" x14ac:dyDescent="0.25">
      <c r="A114" s="1" t="s">
        <v>114</v>
      </c>
      <c r="B114" s="5"/>
    </row>
    <row r="115" spans="1:2" x14ac:dyDescent="0.25">
      <c r="A115" s="1" t="s">
        <v>115</v>
      </c>
      <c r="B115" s="5"/>
    </row>
    <row r="116" spans="1:2" x14ac:dyDescent="0.25">
      <c r="A116" s="1" t="s">
        <v>116</v>
      </c>
      <c r="B116" s="5"/>
    </row>
    <row r="117" spans="1:2" x14ac:dyDescent="0.25">
      <c r="A117" s="1" t="s">
        <v>117</v>
      </c>
      <c r="B117" s="5"/>
    </row>
    <row r="118" spans="1:2" x14ac:dyDescent="0.25">
      <c r="A118" s="1" t="s">
        <v>118</v>
      </c>
      <c r="B118" s="2"/>
    </row>
    <row r="119" spans="1:2" x14ac:dyDescent="0.25">
      <c r="A119" s="1" t="s">
        <v>119</v>
      </c>
      <c r="B119" s="2"/>
    </row>
    <row r="120" spans="1:2" x14ac:dyDescent="0.25">
      <c r="A120" s="1" t="s">
        <v>120</v>
      </c>
      <c r="B120" s="2"/>
    </row>
    <row r="121" spans="1:2" x14ac:dyDescent="0.25">
      <c r="A121" s="1" t="s">
        <v>121</v>
      </c>
      <c r="B121" s="2"/>
    </row>
    <row r="122" spans="1:2" x14ac:dyDescent="0.25">
      <c r="A122" s="1" t="s">
        <v>122</v>
      </c>
      <c r="B122" s="2"/>
    </row>
    <row r="123" spans="1:2" x14ac:dyDescent="0.25">
      <c r="A123" s="32" t="s">
        <v>123</v>
      </c>
      <c r="B123" s="33"/>
    </row>
    <row r="124" spans="1:2" x14ac:dyDescent="0.25">
      <c r="A124" s="32" t="s">
        <v>124</v>
      </c>
      <c r="B124" s="34"/>
    </row>
    <row r="125" spans="1:2" x14ac:dyDescent="0.25">
      <c r="A125" s="32" t="s">
        <v>484</v>
      </c>
      <c r="B125" s="34"/>
    </row>
    <row r="126" spans="1:2" x14ac:dyDescent="0.25">
      <c r="A126" s="32" t="s">
        <v>125</v>
      </c>
      <c r="B126" s="34"/>
    </row>
    <row r="127" spans="1:2" x14ac:dyDescent="0.25">
      <c r="A127" s="32" t="s">
        <v>485</v>
      </c>
      <c r="B127" s="34"/>
    </row>
    <row r="128" spans="1:2" x14ac:dyDescent="0.25">
      <c r="A128" s="1" t="s">
        <v>500</v>
      </c>
      <c r="B128" s="5"/>
    </row>
  </sheetData>
  <dataValidations count="1">
    <dataValidation type="list" allowBlank="1" sqref="B9 B70 B14 B12 B58:B63" xr:uid="{BD09EB07-8F52-41ED-8AB3-B495E6C489C6}">
      <formula1>"TRUE,FALSE"</formula1>
    </dataValidation>
  </dataValidations>
  <pageMargins left="0.7" right="0.7" top="0.75" bottom="0.75" header="0.3" footer="0.3"/>
  <pageSetup orientation="portrait" r:id="rId1"/>
  <headerFooter differentOddEven="1" differentFirst="1">
    <oddFooter>&amp;LClassification: &amp;"Microsoft Sans Serif,Bold"&amp;KFFA500Confidential&amp;"Microsoft Sans Serif,Regular"&amp;K000000 Contains PII: &amp;"Microsoft Sans Serif,Bold"No</oddFooter>
    <evenFooter>&amp;LClassification: &amp;"Microsoft Sans Serif,Bold"&amp;KFFA500Confidential&amp;"Microsoft Sans Serif,Regular"&amp;K000000 Contains PII: &amp;"Microsoft Sans Serif,Bold"No</evenFooter>
    <firstFooter>&amp;LClassification: &amp;"Microsoft Sans Serif,Bold"&amp;KFFA500Confidential&amp;"Microsoft Sans Serif,Regular"&amp;K000000 Contains PII: &amp;"Microsoft Sans Serif,Bold"No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BFAC6-35B8-4AA7-9F21-12395857D26D}">
  <sheetPr codeName="Sheet3"/>
  <dimension ref="A1:BW127"/>
  <sheetViews>
    <sheetView showGridLines="0" workbookViewId="0">
      <pane xSplit="1" topLeftCell="B1" activePane="topRight" state="frozen"/>
      <selection pane="topRight" sqref="A1:D1"/>
    </sheetView>
  </sheetViews>
  <sheetFormatPr defaultRowHeight="15" x14ac:dyDescent="0.25"/>
  <cols>
    <col min="1" max="1" width="36.28515625" style="16" customWidth="1"/>
    <col min="2" max="2" width="13.140625" customWidth="1"/>
    <col min="3" max="3" width="13.5703125" customWidth="1"/>
    <col min="4" max="4" width="18.85546875" customWidth="1"/>
    <col min="5" max="5" width="36.28515625" customWidth="1"/>
    <col min="6" max="6" width="13.28515625" customWidth="1"/>
    <col min="7" max="7" width="20.5703125" customWidth="1"/>
    <col min="8" max="8" width="20.7109375" customWidth="1"/>
    <col min="9" max="9" width="19.7109375" customWidth="1"/>
  </cols>
  <sheetData>
    <row r="1" spans="1:75" ht="21" x14ac:dyDescent="0.35">
      <c r="A1" s="74" t="s">
        <v>502</v>
      </c>
      <c r="B1" s="74"/>
      <c r="C1" s="74"/>
      <c r="D1" s="74"/>
      <c r="E1" s="75" t="s">
        <v>501</v>
      </c>
      <c r="F1" s="75"/>
      <c r="G1" s="75"/>
      <c r="H1" s="75"/>
    </row>
    <row r="2" spans="1:75" x14ac:dyDescent="0.25">
      <c r="A2" s="17" t="s">
        <v>126</v>
      </c>
      <c r="B2" s="18" t="s">
        <v>127</v>
      </c>
      <c r="C2" s="18" t="s">
        <v>128</v>
      </c>
      <c r="D2" s="18" t="s">
        <v>129</v>
      </c>
      <c r="E2" s="19" t="s">
        <v>503</v>
      </c>
      <c r="F2" s="19" t="s">
        <v>130</v>
      </c>
      <c r="G2" s="20" t="s">
        <v>131</v>
      </c>
      <c r="H2" s="19" t="s">
        <v>488</v>
      </c>
    </row>
    <row r="3" spans="1:75" x14ac:dyDescent="0.25">
      <c r="A3" s="21" t="s">
        <v>2</v>
      </c>
      <c r="B3" s="14" t="str">
        <f>IFERROR(_xlfn.CONCAT("A",MATCH(A3,'Bulk Upload'!A$1:A$127,0)),"")</f>
        <v>A2</v>
      </c>
      <c r="C3" s="14" t="str">
        <f>IFERROR(_xlfn.CONCAT("B",MATCH(A3,'Bulk Upload'!A$1:A$127,0)),"")</f>
        <v>B2</v>
      </c>
      <c r="D3" s="14" t="str">
        <f t="shared" ref="D3:D66" si="0">IF(B3="","","Bulk Upload")</f>
        <v>Bulk Upload</v>
      </c>
      <c r="E3" s="22" t="s">
        <v>2</v>
      </c>
      <c r="F3" s="15" t="s">
        <v>132</v>
      </c>
      <c r="G3" s="28" t="s">
        <v>255</v>
      </c>
      <c r="H3" s="35" t="s">
        <v>489</v>
      </c>
      <c r="Q3">
        <v>2220</v>
      </c>
      <c r="AZ3">
        <v>2.25</v>
      </c>
      <c r="BD3">
        <v>500</v>
      </c>
      <c r="BF3">
        <v>35</v>
      </c>
      <c r="BJ3" t="s">
        <v>482</v>
      </c>
      <c r="BK3">
        <v>30</v>
      </c>
      <c r="BW3" t="s">
        <v>283</v>
      </c>
    </row>
    <row r="4" spans="1:75" x14ac:dyDescent="0.25">
      <c r="A4" s="21" t="s">
        <v>3</v>
      </c>
      <c r="B4" s="14" t="str">
        <f>IFERROR(_xlfn.CONCAT("A",MATCH(A4,'Bulk Upload'!A$1:A$127,0)),"")</f>
        <v>A3</v>
      </c>
      <c r="C4" s="14" t="str">
        <f>IFERROR(_xlfn.CONCAT("B",MATCH(A4,'Bulk Upload'!A$1:A$127,0)),"")</f>
        <v>B3</v>
      </c>
      <c r="D4" s="14" t="str">
        <f t="shared" si="0"/>
        <v>Bulk Upload</v>
      </c>
      <c r="E4" s="23" t="s">
        <v>3</v>
      </c>
      <c r="F4" s="15" t="s">
        <v>133</v>
      </c>
      <c r="G4" s="28" t="s">
        <v>255</v>
      </c>
      <c r="H4" s="35" t="s">
        <v>489</v>
      </c>
    </row>
    <row r="5" spans="1:75" x14ac:dyDescent="0.25">
      <c r="A5" s="21" t="s">
        <v>4</v>
      </c>
      <c r="B5" s="14" t="str">
        <f>IFERROR(_xlfn.CONCAT("A",MATCH(A5,'Bulk Upload'!A$1:A$127,0)),"")</f>
        <v>A4</v>
      </c>
      <c r="C5" s="14" t="str">
        <f>IFERROR(_xlfn.CONCAT("B",MATCH(A5,'Bulk Upload'!A$1:A$127,0)),"")</f>
        <v>B4</v>
      </c>
      <c r="D5" s="14" t="str">
        <f t="shared" si="0"/>
        <v>Bulk Upload</v>
      </c>
      <c r="E5" s="23" t="s">
        <v>4</v>
      </c>
      <c r="F5" s="15" t="s">
        <v>134</v>
      </c>
      <c r="G5" s="28" t="s">
        <v>255</v>
      </c>
      <c r="H5" s="35" t="s">
        <v>489</v>
      </c>
    </row>
    <row r="6" spans="1:75" x14ac:dyDescent="0.25">
      <c r="A6" s="21" t="s">
        <v>5</v>
      </c>
      <c r="B6" s="14" t="str">
        <f>IFERROR(_xlfn.CONCAT("A",MATCH(A6,'Bulk Upload'!A$1:A$127,0)),"")</f>
        <v>A5</v>
      </c>
      <c r="C6" s="14" t="str">
        <f>IFERROR(_xlfn.CONCAT("B",MATCH(A6,'Bulk Upload'!A$1:A$127,0)),"")</f>
        <v>B5</v>
      </c>
      <c r="D6" s="14" t="str">
        <f t="shared" si="0"/>
        <v>Bulk Upload</v>
      </c>
      <c r="E6" s="22" t="s">
        <v>5</v>
      </c>
      <c r="F6" s="15" t="s">
        <v>135</v>
      </c>
      <c r="G6" s="28" t="s">
        <v>255</v>
      </c>
      <c r="H6" s="35" t="s">
        <v>489</v>
      </c>
    </row>
    <row r="7" spans="1:75" x14ac:dyDescent="0.25">
      <c r="A7" s="21" t="s">
        <v>6</v>
      </c>
      <c r="B7" s="14" t="str">
        <f>IFERROR(_xlfn.CONCAT("A",MATCH(A7,'Bulk Upload'!A$1:A$127,0)),"")</f>
        <v>A6</v>
      </c>
      <c r="C7" s="14" t="str">
        <f>IFERROR(_xlfn.CONCAT("B",MATCH(A7,'Bulk Upload'!A$1:A$127,0)),"")</f>
        <v>B6</v>
      </c>
      <c r="D7" s="14" t="str">
        <f t="shared" si="0"/>
        <v>Bulk Upload</v>
      </c>
      <c r="E7" s="22" t="s">
        <v>6</v>
      </c>
      <c r="F7" s="15" t="s">
        <v>136</v>
      </c>
      <c r="G7" s="28" t="s">
        <v>255</v>
      </c>
      <c r="H7" s="35" t="s">
        <v>489</v>
      </c>
    </row>
    <row r="8" spans="1:75" x14ac:dyDescent="0.25">
      <c r="A8" s="21" t="s">
        <v>7</v>
      </c>
      <c r="B8" s="14" t="str">
        <f>IFERROR(_xlfn.CONCAT("A",MATCH(A8,'Bulk Upload'!A$1:A$127,0)),"")</f>
        <v>A7</v>
      </c>
      <c r="C8" s="14" t="str">
        <f>IFERROR(_xlfn.CONCAT("B",MATCH(A8,'Bulk Upload'!A$1:A$127,0)),"")</f>
        <v>B7</v>
      </c>
      <c r="D8" s="14" t="str">
        <f t="shared" si="0"/>
        <v>Bulk Upload</v>
      </c>
      <c r="E8" s="22" t="s">
        <v>7</v>
      </c>
      <c r="F8" s="15" t="s">
        <v>137</v>
      </c>
      <c r="G8" s="28" t="s">
        <v>255</v>
      </c>
      <c r="H8" s="35" t="s">
        <v>489</v>
      </c>
    </row>
    <row r="9" spans="1:75" x14ac:dyDescent="0.25">
      <c r="A9" s="21" t="s">
        <v>8</v>
      </c>
      <c r="B9" s="14" t="str">
        <f>IFERROR(_xlfn.CONCAT("A",MATCH(A9,'Bulk Upload'!A$1:A$127,0)),"")</f>
        <v>A8</v>
      </c>
      <c r="C9" s="14" t="str">
        <f>IFERROR(_xlfn.CONCAT("B",MATCH(A9,'Bulk Upload'!A$1:A$127,0)),"")</f>
        <v>B8</v>
      </c>
      <c r="D9" s="14" t="str">
        <f t="shared" si="0"/>
        <v>Bulk Upload</v>
      </c>
      <c r="E9" s="22" t="s">
        <v>8</v>
      </c>
      <c r="F9" s="15" t="s">
        <v>138</v>
      </c>
      <c r="G9" s="28" t="s">
        <v>255</v>
      </c>
      <c r="H9" s="35" t="s">
        <v>489</v>
      </c>
    </row>
    <row r="10" spans="1:75" x14ac:dyDescent="0.25">
      <c r="A10" s="21" t="s">
        <v>9</v>
      </c>
      <c r="B10" s="14" t="str">
        <f>IFERROR(_xlfn.CONCAT("A",MATCH(A10,'Bulk Upload'!A$1:A$127,0)),"")</f>
        <v>A9</v>
      </c>
      <c r="C10" s="14" t="str">
        <f>IFERROR(_xlfn.CONCAT("B",MATCH(A10,'Bulk Upload'!A$1:A$127,0)),"")</f>
        <v>B9</v>
      </c>
      <c r="D10" s="14" t="str">
        <f t="shared" si="0"/>
        <v>Bulk Upload</v>
      </c>
      <c r="E10" s="22" t="s">
        <v>9</v>
      </c>
      <c r="F10" s="15" t="s">
        <v>139</v>
      </c>
      <c r="G10" s="28" t="s">
        <v>255</v>
      </c>
      <c r="H10" s="35" t="s">
        <v>489</v>
      </c>
    </row>
    <row r="11" spans="1:75" x14ac:dyDescent="0.25">
      <c r="A11" s="21" t="s">
        <v>10</v>
      </c>
      <c r="B11" s="14" t="str">
        <f>IFERROR(_xlfn.CONCAT("A",MATCH(A11,'Bulk Upload'!A$1:A$127,0)),"")</f>
        <v>A10</v>
      </c>
      <c r="C11" s="14" t="str">
        <f>IFERROR(_xlfn.CONCAT("B",MATCH(A11,'Bulk Upload'!A$1:A$127,0)),"")</f>
        <v>B10</v>
      </c>
      <c r="D11" s="14" t="str">
        <f t="shared" si="0"/>
        <v>Bulk Upload</v>
      </c>
      <c r="E11" s="22" t="s">
        <v>10</v>
      </c>
      <c r="F11" s="15" t="s">
        <v>140</v>
      </c>
      <c r="G11" s="28" t="s">
        <v>255</v>
      </c>
      <c r="H11" s="35" t="s">
        <v>490</v>
      </c>
    </row>
    <row r="12" spans="1:75" x14ac:dyDescent="0.25">
      <c r="A12" s="21" t="s">
        <v>11</v>
      </c>
      <c r="B12" s="14" t="str">
        <f>IFERROR(_xlfn.CONCAT("A",MATCH(A12,'Bulk Upload'!A$1:A$127,0)),"")</f>
        <v>A11</v>
      </c>
      <c r="C12" s="14" t="str">
        <f>IFERROR(_xlfn.CONCAT("B",MATCH(A12,'Bulk Upload'!A$1:A$127,0)),"")</f>
        <v>B11</v>
      </c>
      <c r="D12" s="14" t="str">
        <f t="shared" si="0"/>
        <v>Bulk Upload</v>
      </c>
      <c r="E12" s="22" t="s">
        <v>11</v>
      </c>
      <c r="F12" s="15" t="s">
        <v>141</v>
      </c>
      <c r="G12" s="28" t="s">
        <v>255</v>
      </c>
      <c r="H12" s="35" t="s">
        <v>490</v>
      </c>
    </row>
    <row r="13" spans="1:75" x14ac:dyDescent="0.25">
      <c r="A13" s="21" t="s">
        <v>12</v>
      </c>
      <c r="B13" s="14" t="str">
        <f>IFERROR(_xlfn.CONCAT("A",MATCH(A13,'Bulk Upload'!A$1:A$127,0)),"")</f>
        <v>A12</v>
      </c>
      <c r="C13" s="14" t="str">
        <f>IFERROR(_xlfn.CONCAT("B",MATCH(A13,'Bulk Upload'!A$1:A$127,0)),"")</f>
        <v>B12</v>
      </c>
      <c r="D13" s="14" t="str">
        <f t="shared" si="0"/>
        <v>Bulk Upload</v>
      </c>
      <c r="E13" s="22" t="s">
        <v>12</v>
      </c>
      <c r="F13" s="15" t="s">
        <v>142</v>
      </c>
      <c r="G13" s="28" t="s">
        <v>255</v>
      </c>
      <c r="H13" s="35" t="s">
        <v>491</v>
      </c>
    </row>
    <row r="14" spans="1:75" x14ac:dyDescent="0.25">
      <c r="A14" s="21" t="s">
        <v>13</v>
      </c>
      <c r="B14" s="14" t="str">
        <f>IFERROR(_xlfn.CONCAT("A",MATCH(A14,'Bulk Upload'!A$1:A$127,0)),"")</f>
        <v>A13</v>
      </c>
      <c r="C14" s="14" t="str">
        <f>IFERROR(_xlfn.CONCAT("B",MATCH(A14,'Bulk Upload'!A$1:A$127,0)),"")</f>
        <v>B13</v>
      </c>
      <c r="D14" s="14" t="str">
        <f t="shared" si="0"/>
        <v>Bulk Upload</v>
      </c>
      <c r="E14" s="22" t="s">
        <v>13</v>
      </c>
      <c r="F14" s="15" t="s">
        <v>143</v>
      </c>
      <c r="G14" s="28" t="s">
        <v>255</v>
      </c>
      <c r="H14" s="35" t="s">
        <v>492</v>
      </c>
    </row>
    <row r="15" spans="1:75" x14ac:dyDescent="0.25">
      <c r="A15" s="21" t="s">
        <v>14</v>
      </c>
      <c r="B15" s="14" t="str">
        <f>IFERROR(_xlfn.CONCAT("A",MATCH(A15,'Bulk Upload'!A$1:A$127,0)),"")</f>
        <v>A14</v>
      </c>
      <c r="C15" s="14" t="str">
        <f>IFERROR(_xlfn.CONCAT("B",MATCH(A15,'Bulk Upload'!A$1:A$127,0)),"")</f>
        <v>B14</v>
      </c>
      <c r="D15" s="14" t="str">
        <f t="shared" si="0"/>
        <v>Bulk Upload</v>
      </c>
      <c r="E15" s="22" t="s">
        <v>14</v>
      </c>
      <c r="F15" s="15" t="s">
        <v>144</v>
      </c>
      <c r="G15" s="28" t="s">
        <v>255</v>
      </c>
      <c r="H15" s="35" t="s">
        <v>489</v>
      </c>
    </row>
    <row r="16" spans="1:75" x14ac:dyDescent="0.25">
      <c r="A16" s="21" t="s">
        <v>16</v>
      </c>
      <c r="B16" s="14" t="str">
        <f>IFERROR(_xlfn.CONCAT("A",MATCH(A16,'Bulk Upload'!A$1:A$127,0)),"")</f>
        <v>A16</v>
      </c>
      <c r="C16" s="14" t="str">
        <f>IFERROR(_xlfn.CONCAT("B",MATCH(A16,'Bulk Upload'!A$1:A$127,0)),"")</f>
        <v>B16</v>
      </c>
      <c r="D16" s="14" t="str">
        <f t="shared" si="0"/>
        <v>Bulk Upload</v>
      </c>
      <c r="E16" s="22" t="s">
        <v>16</v>
      </c>
      <c r="F16" s="15" t="s">
        <v>145</v>
      </c>
      <c r="G16" s="28" t="s">
        <v>255</v>
      </c>
      <c r="H16" s="35" t="s">
        <v>489</v>
      </c>
    </row>
    <row r="17" spans="1:8" x14ac:dyDescent="0.25">
      <c r="A17" s="21" t="s">
        <v>17</v>
      </c>
      <c r="B17" s="14" t="str">
        <f>IFERROR(_xlfn.CONCAT("A",MATCH(A17,'Bulk Upload'!A$1:A$127,0)),"")</f>
        <v>A17</v>
      </c>
      <c r="C17" s="14" t="str">
        <f>IFERROR(_xlfn.CONCAT("B",MATCH(A17,'Bulk Upload'!A$1:A$127,0)),"")</f>
        <v>B17</v>
      </c>
      <c r="D17" s="14" t="str">
        <f t="shared" si="0"/>
        <v>Bulk Upload</v>
      </c>
      <c r="E17" s="24" t="s">
        <v>17</v>
      </c>
      <c r="F17" s="15" t="s">
        <v>146</v>
      </c>
      <c r="G17" s="28" t="s">
        <v>255</v>
      </c>
      <c r="H17" s="35" t="s">
        <v>490</v>
      </c>
    </row>
    <row r="18" spans="1:8" x14ac:dyDescent="0.25">
      <c r="A18" s="21" t="s">
        <v>18</v>
      </c>
      <c r="B18" s="14" t="str">
        <f>IFERROR(_xlfn.CONCAT("A",MATCH(A18,'Bulk Upload'!A$1:A$127,0)),"")</f>
        <v>A18</v>
      </c>
      <c r="C18" s="14" t="str">
        <f>IFERROR(_xlfn.CONCAT("B",MATCH(A18,'Bulk Upload'!A$1:A$127,0)),"")</f>
        <v>B18</v>
      </c>
      <c r="D18" s="14" t="str">
        <f t="shared" si="0"/>
        <v>Bulk Upload</v>
      </c>
      <c r="E18" s="22" t="s">
        <v>18</v>
      </c>
      <c r="F18" s="15" t="s">
        <v>147</v>
      </c>
      <c r="G18" s="28" t="s">
        <v>255</v>
      </c>
      <c r="H18" s="35" t="s">
        <v>490</v>
      </c>
    </row>
    <row r="19" spans="1:8" x14ac:dyDescent="0.25">
      <c r="A19" s="21" t="s">
        <v>19</v>
      </c>
      <c r="B19" s="14" t="str">
        <f>IFERROR(_xlfn.CONCAT("A",MATCH(A19,'Bulk Upload'!A$1:A$127,0)),"")</f>
        <v>A19</v>
      </c>
      <c r="C19" s="14" t="str">
        <f>IFERROR(_xlfn.CONCAT("B",MATCH(A19,'Bulk Upload'!A$1:A$127,0)),"")</f>
        <v>B19</v>
      </c>
      <c r="D19" s="14" t="str">
        <f t="shared" si="0"/>
        <v>Bulk Upload</v>
      </c>
      <c r="E19" s="25" t="s">
        <v>19</v>
      </c>
      <c r="F19" s="15" t="s">
        <v>148</v>
      </c>
      <c r="G19" s="28" t="s">
        <v>255</v>
      </c>
      <c r="H19" s="35" t="s">
        <v>490</v>
      </c>
    </row>
    <row r="20" spans="1:8" x14ac:dyDescent="0.25">
      <c r="A20" s="21" t="s">
        <v>20</v>
      </c>
      <c r="B20" s="14" t="str">
        <f>IFERROR(_xlfn.CONCAT("A",MATCH(A20,'Bulk Upload'!A$1:A$127,0)),"")</f>
        <v>A20</v>
      </c>
      <c r="C20" s="14" t="str">
        <f>IFERROR(_xlfn.CONCAT("B",MATCH(A20,'Bulk Upload'!A$1:A$127,0)),"")</f>
        <v>B20</v>
      </c>
      <c r="D20" s="14" t="str">
        <f t="shared" si="0"/>
        <v>Bulk Upload</v>
      </c>
      <c r="E20" s="25" t="s">
        <v>20</v>
      </c>
      <c r="F20" s="15" t="s">
        <v>149</v>
      </c>
      <c r="G20" s="28" t="s">
        <v>255</v>
      </c>
      <c r="H20" s="35" t="s">
        <v>490</v>
      </c>
    </row>
    <row r="21" spans="1:8" x14ac:dyDescent="0.25">
      <c r="A21" s="21" t="s">
        <v>123</v>
      </c>
      <c r="B21" s="14" t="str">
        <f>IFERROR(_xlfn.CONCAT("A",MATCH(A21,'Bulk Upload'!A$1:A$127,0)),"")</f>
        <v>A123</v>
      </c>
      <c r="C21" s="14" t="str">
        <f>IFERROR(_xlfn.CONCAT("B",MATCH(A21,'Bulk Upload'!A$1:A$127,0)),"")</f>
        <v>B123</v>
      </c>
      <c r="D21" s="14" t="str">
        <f t="shared" si="0"/>
        <v>Bulk Upload</v>
      </c>
      <c r="E21" s="25" t="s">
        <v>123</v>
      </c>
      <c r="F21" s="15" t="s">
        <v>150</v>
      </c>
      <c r="G21" s="28" t="s">
        <v>255</v>
      </c>
      <c r="H21" s="35" t="s">
        <v>489</v>
      </c>
    </row>
    <row r="22" spans="1:8" ht="30" x14ac:dyDescent="0.25">
      <c r="A22" s="21" t="s">
        <v>21</v>
      </c>
      <c r="B22" s="14" t="str">
        <f>IFERROR(_xlfn.CONCAT("A",MATCH(A22,'Bulk Upload'!A$1:A$127,0)),"")</f>
        <v>A21</v>
      </c>
      <c r="C22" s="14" t="str">
        <f>IFERROR(_xlfn.CONCAT("B",MATCH(A22,'Bulk Upload'!A$1:A$127,0)),"")</f>
        <v>B21</v>
      </c>
      <c r="D22" s="14" t="str">
        <f t="shared" si="0"/>
        <v>Bulk Upload</v>
      </c>
      <c r="E22" s="25" t="s">
        <v>21</v>
      </c>
      <c r="F22" s="15" t="s">
        <v>151</v>
      </c>
      <c r="G22" s="28" t="s">
        <v>255</v>
      </c>
      <c r="H22" s="35" t="s">
        <v>490</v>
      </c>
    </row>
    <row r="23" spans="1:8" x14ac:dyDescent="0.25">
      <c r="A23" s="21" t="s">
        <v>22</v>
      </c>
      <c r="B23" s="14" t="str">
        <f>IFERROR(_xlfn.CONCAT("A",MATCH(A23,'Bulk Upload'!A$1:A$127,0)),"")</f>
        <v>A22</v>
      </c>
      <c r="C23" s="14" t="str">
        <f>IFERROR(_xlfn.CONCAT("B",MATCH(A23,'Bulk Upload'!A$1:A$127,0)),"")</f>
        <v>B22</v>
      </c>
      <c r="D23" s="14" t="str">
        <f t="shared" si="0"/>
        <v>Bulk Upload</v>
      </c>
      <c r="E23" s="26" t="s">
        <v>22</v>
      </c>
      <c r="F23" s="15" t="s">
        <v>152</v>
      </c>
      <c r="G23" s="28" t="s">
        <v>255</v>
      </c>
      <c r="H23" s="35" t="s">
        <v>489</v>
      </c>
    </row>
    <row r="24" spans="1:8" ht="30" x14ac:dyDescent="0.25">
      <c r="A24" s="21" t="s">
        <v>23</v>
      </c>
      <c r="B24" s="14" t="str">
        <f>IFERROR(_xlfn.CONCAT("A",MATCH(A24,'Bulk Upload'!A$1:A$127,0)),"")</f>
        <v>A23</v>
      </c>
      <c r="C24" s="14" t="str">
        <f>IFERROR(_xlfn.CONCAT("B",MATCH(A24,'Bulk Upload'!A$1:A$127,0)),"")</f>
        <v>B23</v>
      </c>
      <c r="D24" s="14" t="str">
        <f t="shared" si="0"/>
        <v>Bulk Upload</v>
      </c>
      <c r="E24" s="26" t="s">
        <v>23</v>
      </c>
      <c r="F24" s="15" t="s">
        <v>153</v>
      </c>
      <c r="G24" s="28" t="s">
        <v>255</v>
      </c>
      <c r="H24" s="35" t="s">
        <v>490</v>
      </c>
    </row>
    <row r="25" spans="1:8" x14ac:dyDescent="0.25">
      <c r="A25" s="21" t="s">
        <v>24</v>
      </c>
      <c r="B25" s="14" t="str">
        <f>IFERROR(_xlfn.CONCAT("A",MATCH(A25,'Bulk Upload'!A$1:A$127,0)),"")</f>
        <v>A24</v>
      </c>
      <c r="C25" s="14" t="str">
        <f>IFERROR(_xlfn.CONCAT("B",MATCH(A25,'Bulk Upload'!A$1:A$127,0)),"")</f>
        <v>B24</v>
      </c>
      <c r="D25" s="14" t="str">
        <f t="shared" si="0"/>
        <v>Bulk Upload</v>
      </c>
      <c r="E25" s="26" t="s">
        <v>24</v>
      </c>
      <c r="F25" s="15" t="s">
        <v>154</v>
      </c>
      <c r="G25" s="28" t="s">
        <v>255</v>
      </c>
      <c r="H25" s="35" t="s">
        <v>489</v>
      </c>
    </row>
    <row r="26" spans="1:8" x14ac:dyDescent="0.25">
      <c r="A26" s="21" t="s">
        <v>25</v>
      </c>
      <c r="B26" s="14" t="str">
        <f>IFERROR(_xlfn.CONCAT("A",MATCH(A26,'Bulk Upload'!A$1:A$127,0)),"")</f>
        <v>A25</v>
      </c>
      <c r="C26" s="14" t="str">
        <f>IFERROR(_xlfn.CONCAT("B",MATCH(A26,'Bulk Upload'!A$1:A$127,0)),"")</f>
        <v>B25</v>
      </c>
      <c r="D26" s="14" t="str">
        <f t="shared" si="0"/>
        <v>Bulk Upload</v>
      </c>
      <c r="E26" s="26" t="s">
        <v>25</v>
      </c>
      <c r="F26" s="15" t="s">
        <v>155</v>
      </c>
      <c r="G26" s="28" t="s">
        <v>255</v>
      </c>
      <c r="H26" s="35" t="s">
        <v>490</v>
      </c>
    </row>
    <row r="27" spans="1:8" x14ac:dyDescent="0.25">
      <c r="A27" s="21" t="s">
        <v>26</v>
      </c>
      <c r="B27" s="14" t="str">
        <f>IFERROR(_xlfn.CONCAT("A",MATCH(A27,'Bulk Upload'!A$1:A$127,0)),"")</f>
        <v>A26</v>
      </c>
      <c r="C27" s="14" t="str">
        <f>IFERROR(_xlfn.CONCAT("B",MATCH(A27,'Bulk Upload'!A$1:A$127,0)),"")</f>
        <v>B26</v>
      </c>
      <c r="D27" s="14" t="str">
        <f t="shared" si="0"/>
        <v>Bulk Upload</v>
      </c>
      <c r="E27" s="27" t="s">
        <v>26</v>
      </c>
      <c r="F27" s="15" t="s">
        <v>156</v>
      </c>
      <c r="G27" s="28" t="s">
        <v>255</v>
      </c>
      <c r="H27" s="35" t="s">
        <v>489</v>
      </c>
    </row>
    <row r="28" spans="1:8" x14ac:dyDescent="0.25">
      <c r="A28" s="21" t="s">
        <v>27</v>
      </c>
      <c r="B28" s="14" t="str">
        <f>IFERROR(_xlfn.CONCAT("A",MATCH(A28,'Bulk Upload'!A$1:A$127,0)),"")</f>
        <v>A27</v>
      </c>
      <c r="C28" s="14" t="str">
        <f>IFERROR(_xlfn.CONCAT("B",MATCH(A28,'Bulk Upload'!A$1:A$127,0)),"")</f>
        <v>B27</v>
      </c>
      <c r="D28" s="14" t="str">
        <f t="shared" si="0"/>
        <v>Bulk Upload</v>
      </c>
      <c r="E28" s="22" t="s">
        <v>27</v>
      </c>
      <c r="F28" s="15" t="s">
        <v>157</v>
      </c>
      <c r="G28" s="28" t="s">
        <v>255</v>
      </c>
      <c r="H28" s="35" t="s">
        <v>490</v>
      </c>
    </row>
    <row r="29" spans="1:8" x14ac:dyDescent="0.25">
      <c r="A29" s="21" t="s">
        <v>28</v>
      </c>
      <c r="B29" s="14" t="str">
        <f>IFERROR(_xlfn.CONCAT("A",MATCH(A29,'Bulk Upload'!A$1:A$127,0)),"")</f>
        <v>A28</v>
      </c>
      <c r="C29" s="14" t="str">
        <f>IFERROR(_xlfn.CONCAT("B",MATCH(A29,'Bulk Upload'!A$1:A$127,0)),"")</f>
        <v>B28</v>
      </c>
      <c r="D29" s="14" t="str">
        <f t="shared" si="0"/>
        <v>Bulk Upload</v>
      </c>
      <c r="E29" s="22" t="s">
        <v>28</v>
      </c>
      <c r="F29" s="15" t="s">
        <v>158</v>
      </c>
      <c r="G29" s="28" t="s">
        <v>255</v>
      </c>
      <c r="H29" s="35" t="s">
        <v>490</v>
      </c>
    </row>
    <row r="30" spans="1:8" x14ac:dyDescent="0.25">
      <c r="A30" s="21" t="s">
        <v>29</v>
      </c>
      <c r="B30" s="14" t="str">
        <f>IFERROR(_xlfn.CONCAT("A",MATCH(A30,'Bulk Upload'!A$1:A$127,0)),"")</f>
        <v>A29</v>
      </c>
      <c r="C30" s="14" t="str">
        <f>IFERROR(_xlfn.CONCAT("B",MATCH(A30,'Bulk Upload'!A$1:A$127,0)),"")</f>
        <v>B29</v>
      </c>
      <c r="D30" s="14" t="str">
        <f t="shared" si="0"/>
        <v>Bulk Upload</v>
      </c>
      <c r="E30" s="22" t="s">
        <v>29</v>
      </c>
      <c r="F30" s="15" t="s">
        <v>159</v>
      </c>
      <c r="G30" s="28" t="s">
        <v>255</v>
      </c>
      <c r="H30" s="35" t="s">
        <v>490</v>
      </c>
    </row>
    <row r="31" spans="1:8" x14ac:dyDescent="0.25">
      <c r="A31" s="21" t="s">
        <v>30</v>
      </c>
      <c r="B31" s="14" t="str">
        <f>IFERROR(_xlfn.CONCAT("A",MATCH(A31,'Bulk Upload'!A$1:A$127,0)),"")</f>
        <v>A30</v>
      </c>
      <c r="C31" s="14" t="str">
        <f>IFERROR(_xlfn.CONCAT("B",MATCH(A31,'Bulk Upload'!A$1:A$127,0)),"")</f>
        <v>B30</v>
      </c>
      <c r="D31" s="14" t="str">
        <f t="shared" si="0"/>
        <v>Bulk Upload</v>
      </c>
      <c r="E31" s="27" t="s">
        <v>30</v>
      </c>
      <c r="F31" s="15" t="s">
        <v>160</v>
      </c>
      <c r="G31" s="28" t="s">
        <v>255</v>
      </c>
      <c r="H31" s="35" t="s">
        <v>490</v>
      </c>
    </row>
    <row r="32" spans="1:8" x14ac:dyDescent="0.25">
      <c r="A32" s="21" t="s">
        <v>31</v>
      </c>
      <c r="B32" s="14" t="str">
        <f>IFERROR(_xlfn.CONCAT("A",MATCH(A32,'Bulk Upload'!A$1:A$127,0)),"")</f>
        <v>A31</v>
      </c>
      <c r="C32" s="14" t="str">
        <f>IFERROR(_xlfn.CONCAT("B",MATCH(A32,'Bulk Upload'!A$1:A$127,0)),"")</f>
        <v>B31</v>
      </c>
      <c r="D32" s="14" t="str">
        <f t="shared" si="0"/>
        <v>Bulk Upload</v>
      </c>
      <c r="E32" s="27" t="s">
        <v>31</v>
      </c>
      <c r="F32" s="15" t="s">
        <v>161</v>
      </c>
      <c r="G32" s="28" t="s">
        <v>255</v>
      </c>
      <c r="H32" s="35" t="s">
        <v>490</v>
      </c>
    </row>
    <row r="33" spans="1:8" ht="30" x14ac:dyDescent="0.25">
      <c r="A33" s="21" t="s">
        <v>32</v>
      </c>
      <c r="B33" s="14" t="str">
        <f>IFERROR(_xlfn.CONCAT("A",MATCH(A33,'Bulk Upload'!A$1:A$127,0)),"")</f>
        <v>A32</v>
      </c>
      <c r="C33" s="14" t="str">
        <f>IFERROR(_xlfn.CONCAT("B",MATCH(A33,'Bulk Upload'!A$1:A$127,0)),"")</f>
        <v>B32</v>
      </c>
      <c r="D33" s="14" t="str">
        <f t="shared" si="0"/>
        <v>Bulk Upload</v>
      </c>
      <c r="E33" s="22" t="s">
        <v>32</v>
      </c>
      <c r="F33" s="15" t="s">
        <v>162</v>
      </c>
      <c r="G33" s="28" t="s">
        <v>255</v>
      </c>
      <c r="H33" s="35" t="s">
        <v>490</v>
      </c>
    </row>
    <row r="34" spans="1:8" x14ac:dyDescent="0.25">
      <c r="A34" s="21" t="s">
        <v>33</v>
      </c>
      <c r="B34" s="14" t="str">
        <f>IFERROR(_xlfn.CONCAT("A",MATCH(A34,'Bulk Upload'!A$1:A$127,0)),"")</f>
        <v>A33</v>
      </c>
      <c r="C34" s="14" t="str">
        <f>IFERROR(_xlfn.CONCAT("B",MATCH(A34,'Bulk Upload'!A$1:A$127,0)),"")</f>
        <v>B33</v>
      </c>
      <c r="D34" s="14" t="str">
        <f t="shared" si="0"/>
        <v>Bulk Upload</v>
      </c>
      <c r="E34" s="22" t="s">
        <v>33</v>
      </c>
      <c r="F34" s="15" t="s">
        <v>163</v>
      </c>
      <c r="G34" s="28" t="s">
        <v>255</v>
      </c>
      <c r="H34" s="35" t="s">
        <v>490</v>
      </c>
    </row>
    <row r="35" spans="1:8" ht="30" x14ac:dyDescent="0.25">
      <c r="A35" s="21" t="s">
        <v>34</v>
      </c>
      <c r="B35" s="14" t="str">
        <f>IFERROR(_xlfn.CONCAT("A",MATCH(A35,'Bulk Upload'!A$1:A$127,0)),"")</f>
        <v>A34</v>
      </c>
      <c r="C35" s="14" t="str">
        <f>IFERROR(_xlfn.CONCAT("B",MATCH(A35,'Bulk Upload'!A$1:A$127,0)),"")</f>
        <v>B34</v>
      </c>
      <c r="D35" s="14" t="str">
        <f t="shared" si="0"/>
        <v>Bulk Upload</v>
      </c>
      <c r="E35" s="22" t="s">
        <v>34</v>
      </c>
      <c r="F35" s="15" t="s">
        <v>164</v>
      </c>
      <c r="G35" s="28" t="s">
        <v>255</v>
      </c>
      <c r="H35" s="35" t="s">
        <v>490</v>
      </c>
    </row>
    <row r="36" spans="1:8" x14ac:dyDescent="0.25">
      <c r="A36" s="21" t="s">
        <v>35</v>
      </c>
      <c r="B36" s="14" t="str">
        <f>IFERROR(_xlfn.CONCAT("A",MATCH(A36,'Bulk Upload'!A$1:A$127,0)),"")</f>
        <v>A35</v>
      </c>
      <c r="C36" s="14" t="str">
        <f>IFERROR(_xlfn.CONCAT("B",MATCH(A36,'Bulk Upload'!A$1:A$127,0)),"")</f>
        <v>B35</v>
      </c>
      <c r="D36" s="14" t="str">
        <f t="shared" si="0"/>
        <v>Bulk Upload</v>
      </c>
      <c r="E36" s="22" t="s">
        <v>35</v>
      </c>
      <c r="F36" s="15" t="s">
        <v>165</v>
      </c>
      <c r="G36" s="28" t="s">
        <v>255</v>
      </c>
      <c r="H36" s="35" t="s">
        <v>490</v>
      </c>
    </row>
    <row r="37" spans="1:8" ht="30" x14ac:dyDescent="0.25">
      <c r="A37" s="21" t="s">
        <v>36</v>
      </c>
      <c r="B37" s="14" t="str">
        <f>IFERROR(_xlfn.CONCAT("A",MATCH(A37,'Bulk Upload'!A$1:A$127,0)),"")</f>
        <v>A36</v>
      </c>
      <c r="C37" s="14" t="str">
        <f>IFERROR(_xlfn.CONCAT("B",MATCH(A37,'Bulk Upload'!A$1:A$127,0)),"")</f>
        <v>B36</v>
      </c>
      <c r="D37" s="14" t="str">
        <f t="shared" si="0"/>
        <v>Bulk Upload</v>
      </c>
      <c r="E37" s="22" t="s">
        <v>36</v>
      </c>
      <c r="F37" s="15" t="s">
        <v>166</v>
      </c>
      <c r="G37" s="28" t="s">
        <v>255</v>
      </c>
      <c r="H37" s="35" t="s">
        <v>490</v>
      </c>
    </row>
    <row r="38" spans="1:8" x14ac:dyDescent="0.25">
      <c r="A38" s="21" t="s">
        <v>37</v>
      </c>
      <c r="B38" s="14" t="str">
        <f>IFERROR(_xlfn.CONCAT("A",MATCH(A38,'Bulk Upload'!A$1:A$127,0)),"")</f>
        <v>A37</v>
      </c>
      <c r="C38" s="14" t="str">
        <f>IFERROR(_xlfn.CONCAT("B",MATCH(A38,'Bulk Upload'!A$1:A$127,0)),"")</f>
        <v>B37</v>
      </c>
      <c r="D38" s="14" t="str">
        <f t="shared" si="0"/>
        <v>Bulk Upload</v>
      </c>
      <c r="E38" s="22" t="s">
        <v>37</v>
      </c>
      <c r="F38" s="15" t="s">
        <v>167</v>
      </c>
      <c r="G38" s="28" t="s">
        <v>255</v>
      </c>
      <c r="H38" s="35" t="s">
        <v>490</v>
      </c>
    </row>
    <row r="39" spans="1:8" ht="30" x14ac:dyDescent="0.25">
      <c r="A39" s="21" t="s">
        <v>38</v>
      </c>
      <c r="B39" s="14" t="str">
        <f>IFERROR(_xlfn.CONCAT("A",MATCH(A39,'Bulk Upload'!A$1:A$127,0)),"")</f>
        <v>A38</v>
      </c>
      <c r="C39" s="14" t="str">
        <f>IFERROR(_xlfn.CONCAT("B",MATCH(A39,'Bulk Upload'!A$1:A$127,0)),"")</f>
        <v>B38</v>
      </c>
      <c r="D39" s="14" t="str">
        <f t="shared" si="0"/>
        <v>Bulk Upload</v>
      </c>
      <c r="E39" s="22" t="s">
        <v>38</v>
      </c>
      <c r="F39" s="15" t="s">
        <v>168</v>
      </c>
      <c r="G39" s="28" t="s">
        <v>255</v>
      </c>
      <c r="H39" s="35" t="s">
        <v>490</v>
      </c>
    </row>
    <row r="40" spans="1:8" ht="30" x14ac:dyDescent="0.25">
      <c r="A40" s="21" t="s">
        <v>39</v>
      </c>
      <c r="B40" s="14" t="str">
        <f>IFERROR(_xlfn.CONCAT("A",MATCH(A40,'Bulk Upload'!A$1:A$127,0)),"")</f>
        <v>A39</v>
      </c>
      <c r="C40" s="14" t="str">
        <f>IFERROR(_xlfn.CONCAT("B",MATCH(A40,'Bulk Upload'!A$1:A$127,0)),"")</f>
        <v>B39</v>
      </c>
      <c r="D40" s="14" t="str">
        <f t="shared" si="0"/>
        <v>Bulk Upload</v>
      </c>
      <c r="E40" s="22" t="s">
        <v>39</v>
      </c>
      <c r="F40" s="15" t="s">
        <v>169</v>
      </c>
      <c r="G40" s="28" t="s">
        <v>255</v>
      </c>
      <c r="H40" s="35" t="s">
        <v>490</v>
      </c>
    </row>
    <row r="41" spans="1:8" ht="30" x14ac:dyDescent="0.25">
      <c r="A41" s="21" t="s">
        <v>40</v>
      </c>
      <c r="B41" s="14" t="str">
        <f>IFERROR(_xlfn.CONCAT("A",MATCH(A41,'Bulk Upload'!A$1:A$127,0)),"")</f>
        <v>A40</v>
      </c>
      <c r="C41" s="14" t="str">
        <f>IFERROR(_xlfn.CONCAT("B",MATCH(A41,'Bulk Upload'!A$1:A$127,0)),"")</f>
        <v>B40</v>
      </c>
      <c r="D41" s="14" t="str">
        <f t="shared" si="0"/>
        <v>Bulk Upload</v>
      </c>
      <c r="E41" s="22" t="s">
        <v>40</v>
      </c>
      <c r="F41" s="15" t="s">
        <v>170</v>
      </c>
      <c r="G41" s="28" t="s">
        <v>255</v>
      </c>
      <c r="H41" s="35" t="s">
        <v>490</v>
      </c>
    </row>
    <row r="42" spans="1:8" ht="30" x14ac:dyDescent="0.25">
      <c r="A42" s="21" t="s">
        <v>41</v>
      </c>
      <c r="B42" s="14" t="str">
        <f>IFERROR(_xlfn.CONCAT("A",MATCH(A42,'Bulk Upload'!A$1:A$127,0)),"")</f>
        <v>A41</v>
      </c>
      <c r="C42" s="14" t="str">
        <f>IFERROR(_xlfn.CONCAT("B",MATCH(A42,'Bulk Upload'!A$1:A$127,0)),"")</f>
        <v>B41</v>
      </c>
      <c r="D42" s="14" t="str">
        <f t="shared" si="0"/>
        <v>Bulk Upload</v>
      </c>
      <c r="E42" s="22" t="s">
        <v>41</v>
      </c>
      <c r="F42" s="15" t="s">
        <v>171</v>
      </c>
      <c r="G42" s="28" t="s">
        <v>255</v>
      </c>
      <c r="H42" s="35" t="s">
        <v>490</v>
      </c>
    </row>
    <row r="43" spans="1:8" ht="30" x14ac:dyDescent="0.25">
      <c r="A43" s="21" t="s">
        <v>42</v>
      </c>
      <c r="B43" s="14" t="str">
        <f>IFERROR(_xlfn.CONCAT("A",MATCH(A43,'Bulk Upload'!A$1:A$127,0)),"")</f>
        <v>A42</v>
      </c>
      <c r="C43" s="14" t="str">
        <f>IFERROR(_xlfn.CONCAT("B",MATCH(A43,'Bulk Upload'!A$1:A$127,0)),"")</f>
        <v>B42</v>
      </c>
      <c r="D43" s="14" t="str">
        <f t="shared" si="0"/>
        <v>Bulk Upload</v>
      </c>
      <c r="E43" s="22" t="s">
        <v>42</v>
      </c>
      <c r="F43" s="15" t="s">
        <v>505</v>
      </c>
      <c r="G43" s="28" t="s">
        <v>255</v>
      </c>
      <c r="H43" s="35" t="s">
        <v>490</v>
      </c>
    </row>
    <row r="44" spans="1:8" ht="30" x14ac:dyDescent="0.25">
      <c r="A44" s="21" t="s">
        <v>43</v>
      </c>
      <c r="B44" s="14" t="str">
        <f>IFERROR(_xlfn.CONCAT("A",MATCH(A44,'Bulk Upload'!A$1:A$127,0)),"")</f>
        <v>A43</v>
      </c>
      <c r="C44" s="14" t="str">
        <f>IFERROR(_xlfn.CONCAT("B",MATCH(A44,'Bulk Upload'!A$1:A$127,0)),"")</f>
        <v>B43</v>
      </c>
      <c r="D44" s="14" t="str">
        <f t="shared" si="0"/>
        <v>Bulk Upload</v>
      </c>
      <c r="E44" s="22" t="s">
        <v>43</v>
      </c>
      <c r="F44" s="15" t="s">
        <v>172</v>
      </c>
      <c r="G44" s="28" t="s">
        <v>255</v>
      </c>
      <c r="H44" s="35" t="s">
        <v>490</v>
      </c>
    </row>
    <row r="45" spans="1:8" x14ac:dyDescent="0.25">
      <c r="A45" s="21" t="s">
        <v>44</v>
      </c>
      <c r="B45" s="14" t="str">
        <f>IFERROR(_xlfn.CONCAT("A",MATCH(A45,'Bulk Upload'!A$1:A$127,0)),"")</f>
        <v>A44</v>
      </c>
      <c r="C45" s="14" t="str">
        <f>IFERROR(_xlfn.CONCAT("B",MATCH(A45,'Bulk Upload'!A$1:A$127,0)),"")</f>
        <v>B44</v>
      </c>
      <c r="D45" s="14" t="str">
        <f t="shared" si="0"/>
        <v>Bulk Upload</v>
      </c>
      <c r="E45" s="22" t="s">
        <v>44</v>
      </c>
      <c r="F45" s="15" t="s">
        <v>173</v>
      </c>
      <c r="G45" s="28" t="s">
        <v>255</v>
      </c>
      <c r="H45" s="35" t="s">
        <v>489</v>
      </c>
    </row>
    <row r="46" spans="1:8" x14ac:dyDescent="0.25">
      <c r="A46" s="21" t="s">
        <v>45</v>
      </c>
      <c r="B46" s="14" t="str">
        <f>IFERROR(_xlfn.CONCAT("A",MATCH(A46,'Bulk Upload'!A$1:A$127,0)),"")</f>
        <v>A45</v>
      </c>
      <c r="C46" s="14" t="str">
        <f>IFERROR(_xlfn.CONCAT("B",MATCH(A46,'Bulk Upload'!A$1:A$127,0)),"")</f>
        <v>B45</v>
      </c>
      <c r="D46" s="14" t="str">
        <f t="shared" si="0"/>
        <v>Bulk Upload</v>
      </c>
      <c r="E46" s="22" t="s">
        <v>45</v>
      </c>
      <c r="F46" s="15" t="s">
        <v>174</v>
      </c>
      <c r="G46" s="28" t="s">
        <v>255</v>
      </c>
      <c r="H46" s="35" t="s">
        <v>489</v>
      </c>
    </row>
    <row r="47" spans="1:8" x14ac:dyDescent="0.25">
      <c r="A47" s="21" t="s">
        <v>46</v>
      </c>
      <c r="B47" s="14" t="str">
        <f>IFERROR(_xlfn.CONCAT("A",MATCH(A47,'Bulk Upload'!A$1:A$127,0)),"")</f>
        <v>A46</v>
      </c>
      <c r="C47" s="14" t="str">
        <f>IFERROR(_xlfn.CONCAT("B",MATCH(A47,'Bulk Upload'!A$1:A$127,0)),"")</f>
        <v>B46</v>
      </c>
      <c r="D47" s="14" t="str">
        <f t="shared" si="0"/>
        <v>Bulk Upload</v>
      </c>
      <c r="E47" s="22" t="s">
        <v>46</v>
      </c>
      <c r="F47" s="15" t="s">
        <v>175</v>
      </c>
      <c r="G47" s="28" t="s">
        <v>255</v>
      </c>
      <c r="H47" s="35" t="s">
        <v>493</v>
      </c>
    </row>
    <row r="48" spans="1:8" x14ac:dyDescent="0.25">
      <c r="A48" s="22" t="s">
        <v>47</v>
      </c>
      <c r="B48" s="14" t="str">
        <f>IFERROR(_xlfn.CONCAT("A",MATCH(A48,'Bulk Upload'!A$1:A$127,0)),"")</f>
        <v>A47</v>
      </c>
      <c r="C48" s="14" t="str">
        <f>IFERROR(_xlfn.CONCAT("B",MATCH(A48,'Bulk Upload'!A$1:A$127,0)),"")</f>
        <v>B47</v>
      </c>
      <c r="D48" s="14" t="str">
        <f t="shared" si="0"/>
        <v>Bulk Upload</v>
      </c>
      <c r="E48" s="22" t="s">
        <v>47</v>
      </c>
      <c r="F48" s="15" t="s">
        <v>176</v>
      </c>
      <c r="G48" s="28" t="s">
        <v>255</v>
      </c>
      <c r="H48" s="35" t="s">
        <v>493</v>
      </c>
    </row>
    <row r="49" spans="1:8" x14ac:dyDescent="0.25">
      <c r="A49" s="21" t="s">
        <v>48</v>
      </c>
      <c r="B49" s="14" t="str">
        <f>IFERROR(_xlfn.CONCAT("A",MATCH(A49,'Bulk Upload'!A$1:A$127,0)),"")</f>
        <v>A48</v>
      </c>
      <c r="C49" s="14" t="str">
        <f>IFERROR(_xlfn.CONCAT("B",MATCH(A49,'Bulk Upload'!A$1:A$127,0)),"")</f>
        <v>B48</v>
      </c>
      <c r="D49" s="14" t="str">
        <f t="shared" si="0"/>
        <v>Bulk Upload</v>
      </c>
      <c r="E49" s="22" t="s">
        <v>48</v>
      </c>
      <c r="F49" s="15" t="s">
        <v>177</v>
      </c>
      <c r="G49" s="28" t="s">
        <v>255</v>
      </c>
      <c r="H49" s="35" t="s">
        <v>489</v>
      </c>
    </row>
    <row r="50" spans="1:8" x14ac:dyDescent="0.25">
      <c r="A50" s="21" t="s">
        <v>49</v>
      </c>
      <c r="B50" s="14" t="str">
        <f>IFERROR(_xlfn.CONCAT("A",MATCH(A50,'Bulk Upload'!A$1:A$127,0)),"")</f>
        <v>A49</v>
      </c>
      <c r="C50" s="14" t="str">
        <f>IFERROR(_xlfn.CONCAT("B",MATCH(A50,'Bulk Upload'!A$1:A$127,0)),"")</f>
        <v>B49</v>
      </c>
      <c r="D50" s="14" t="str">
        <f t="shared" si="0"/>
        <v>Bulk Upload</v>
      </c>
      <c r="E50" s="22" t="s">
        <v>49</v>
      </c>
      <c r="F50" s="15" t="s">
        <v>178</v>
      </c>
      <c r="G50" s="28" t="s">
        <v>255</v>
      </c>
      <c r="H50" s="35" t="s">
        <v>489</v>
      </c>
    </row>
    <row r="51" spans="1:8" ht="30" x14ac:dyDescent="0.25">
      <c r="A51" s="21" t="s">
        <v>50</v>
      </c>
      <c r="B51" s="14" t="str">
        <f>IFERROR(_xlfn.CONCAT("A",MATCH(A51,'Bulk Upload'!A$1:A$127,0)),"")</f>
        <v>A50</v>
      </c>
      <c r="C51" s="14" t="str">
        <f>IFERROR(_xlfn.CONCAT("B",MATCH(A51,'Bulk Upload'!A$1:A$127,0)),"")</f>
        <v>B50</v>
      </c>
      <c r="D51" s="14" t="str">
        <f t="shared" si="0"/>
        <v>Bulk Upload</v>
      </c>
      <c r="E51" s="22" t="s">
        <v>50</v>
      </c>
      <c r="F51" s="15" t="s">
        <v>179</v>
      </c>
      <c r="G51" s="28" t="s">
        <v>255</v>
      </c>
      <c r="H51" s="35" t="s">
        <v>493</v>
      </c>
    </row>
    <row r="52" spans="1:8" ht="30" x14ac:dyDescent="0.25">
      <c r="A52" s="21" t="s">
        <v>51</v>
      </c>
      <c r="B52" s="14" t="str">
        <f>IFERROR(_xlfn.CONCAT("A",MATCH(A52,'Bulk Upload'!A$1:A$127,0)),"")</f>
        <v>A51</v>
      </c>
      <c r="C52" s="14" t="str">
        <f>IFERROR(_xlfn.CONCAT("B",MATCH(A52,'Bulk Upload'!A$1:A$127,0)),"")</f>
        <v>B51</v>
      </c>
      <c r="D52" s="14" t="str">
        <f t="shared" si="0"/>
        <v>Bulk Upload</v>
      </c>
      <c r="E52" s="22" t="s">
        <v>51</v>
      </c>
      <c r="F52" s="15" t="s">
        <v>180</v>
      </c>
      <c r="G52" s="28" t="s">
        <v>255</v>
      </c>
      <c r="H52" s="35" t="s">
        <v>493</v>
      </c>
    </row>
    <row r="53" spans="1:8" x14ac:dyDescent="0.25">
      <c r="A53" s="21" t="s">
        <v>52</v>
      </c>
      <c r="B53" s="14" t="str">
        <f>IFERROR(_xlfn.CONCAT("A",MATCH(A53,'Bulk Upload'!A$1:A$127,0)),"")</f>
        <v>A52</v>
      </c>
      <c r="C53" s="14" t="str">
        <f>IFERROR(_xlfn.CONCAT("B",MATCH(A53,'Bulk Upload'!A$1:A$127,0)),"")</f>
        <v>B52</v>
      </c>
      <c r="D53" s="14" t="str">
        <f t="shared" si="0"/>
        <v>Bulk Upload</v>
      </c>
      <c r="E53" s="26" t="s">
        <v>52</v>
      </c>
      <c r="F53" s="15" t="s">
        <v>181</v>
      </c>
      <c r="G53" s="28" t="s">
        <v>255</v>
      </c>
      <c r="H53" s="35" t="s">
        <v>493</v>
      </c>
    </row>
    <row r="54" spans="1:8" x14ac:dyDescent="0.25">
      <c r="A54" s="21" t="s">
        <v>53</v>
      </c>
      <c r="B54" s="14" t="str">
        <f>IFERROR(_xlfn.CONCAT("A",MATCH(A54,'Bulk Upload'!A$1:A$127,0)),"")</f>
        <v>A53</v>
      </c>
      <c r="C54" s="14" t="str">
        <f>IFERROR(_xlfn.CONCAT("B",MATCH(A54,'Bulk Upload'!A$1:A$127,0)),"")</f>
        <v>B53</v>
      </c>
      <c r="D54" s="14" t="str">
        <f t="shared" si="0"/>
        <v>Bulk Upload</v>
      </c>
      <c r="E54" s="26" t="s">
        <v>53</v>
      </c>
      <c r="F54" s="15" t="s">
        <v>182</v>
      </c>
      <c r="G54" s="28" t="s">
        <v>255</v>
      </c>
      <c r="H54" s="35" t="s">
        <v>493</v>
      </c>
    </row>
    <row r="55" spans="1:8" x14ac:dyDescent="0.25">
      <c r="A55" s="21" t="s">
        <v>54</v>
      </c>
      <c r="B55" s="14" t="str">
        <f>IFERROR(_xlfn.CONCAT("A",MATCH(A55,'Bulk Upload'!A$1:A$127,0)),"")</f>
        <v>A54</v>
      </c>
      <c r="C55" s="14" t="str">
        <f>IFERROR(_xlfn.CONCAT("B",MATCH(A55,'Bulk Upload'!A$1:A$127,0)),"")</f>
        <v>B54</v>
      </c>
      <c r="D55" s="14" t="str">
        <f t="shared" si="0"/>
        <v>Bulk Upload</v>
      </c>
      <c r="E55" s="26" t="s">
        <v>54</v>
      </c>
      <c r="F55" s="15" t="s">
        <v>183</v>
      </c>
      <c r="G55" s="28" t="s">
        <v>255</v>
      </c>
      <c r="H55" s="35" t="s">
        <v>489</v>
      </c>
    </row>
    <row r="56" spans="1:8" x14ac:dyDescent="0.25">
      <c r="A56" s="21" t="s">
        <v>55</v>
      </c>
      <c r="B56" s="14" t="str">
        <f>IFERROR(_xlfn.CONCAT("A",MATCH(A56,'Bulk Upload'!A$1:A$127,0)),"")</f>
        <v>A55</v>
      </c>
      <c r="C56" s="14" t="str">
        <f>IFERROR(_xlfn.CONCAT("B",MATCH(A56,'Bulk Upload'!A$1:A$127,0)),"")</f>
        <v>B55</v>
      </c>
      <c r="D56" s="14" t="str">
        <f t="shared" si="0"/>
        <v>Bulk Upload</v>
      </c>
      <c r="E56" s="25" t="s">
        <v>55</v>
      </c>
      <c r="F56" s="15" t="s">
        <v>184</v>
      </c>
      <c r="G56" s="28" t="s">
        <v>255</v>
      </c>
      <c r="H56" s="35" t="s">
        <v>494</v>
      </c>
    </row>
    <row r="57" spans="1:8" x14ac:dyDescent="0.25">
      <c r="A57" s="21" t="s">
        <v>56</v>
      </c>
      <c r="B57" s="14" t="str">
        <f>IFERROR(_xlfn.CONCAT("A",MATCH(A57,'Bulk Upload'!A$1:A$127,0)),"")</f>
        <v>A56</v>
      </c>
      <c r="C57" s="14" t="str">
        <f>IFERROR(_xlfn.CONCAT("B",MATCH(A57,'Bulk Upload'!A$1:A$127,0)),"")</f>
        <v>B56</v>
      </c>
      <c r="D57" s="14" t="str">
        <f t="shared" si="0"/>
        <v>Bulk Upload</v>
      </c>
      <c r="E57" s="26" t="s">
        <v>56</v>
      </c>
      <c r="F57" s="15" t="s">
        <v>185</v>
      </c>
      <c r="G57" s="28" t="s">
        <v>255</v>
      </c>
      <c r="H57" s="35" t="s">
        <v>494</v>
      </c>
    </row>
    <row r="58" spans="1:8" x14ac:dyDescent="0.25">
      <c r="A58" s="21" t="s">
        <v>57</v>
      </c>
      <c r="B58" s="14" t="str">
        <f>IFERROR(_xlfn.CONCAT("A",MATCH(A58,'Bulk Upload'!A$1:A$127,0)),"")</f>
        <v>A57</v>
      </c>
      <c r="C58" s="14" t="str">
        <f>IFERROR(_xlfn.CONCAT("B",MATCH(A58,'Bulk Upload'!A$1:A$127,0)),"")</f>
        <v>B57</v>
      </c>
      <c r="D58" s="14" t="str">
        <f t="shared" si="0"/>
        <v>Bulk Upload</v>
      </c>
      <c r="E58" s="22" t="s">
        <v>57</v>
      </c>
      <c r="F58" s="15" t="s">
        <v>186</v>
      </c>
      <c r="G58" s="28" t="s">
        <v>255</v>
      </c>
      <c r="H58" s="35" t="s">
        <v>494</v>
      </c>
    </row>
    <row r="59" spans="1:8" x14ac:dyDescent="0.25">
      <c r="A59" s="21" t="s">
        <v>58</v>
      </c>
      <c r="B59" s="14" t="str">
        <f>IFERROR(_xlfn.CONCAT("A",MATCH(A59,'Bulk Upload'!A$1:A$127,0)),"")</f>
        <v>A58</v>
      </c>
      <c r="C59" s="14" t="str">
        <f>IFERROR(_xlfn.CONCAT("B",MATCH(A59,'Bulk Upload'!A$1:A$127,0)),"")</f>
        <v>B58</v>
      </c>
      <c r="D59" s="14" t="str">
        <f t="shared" si="0"/>
        <v>Bulk Upload</v>
      </c>
      <c r="E59" s="22" t="s">
        <v>58</v>
      </c>
      <c r="F59" s="15" t="s">
        <v>187</v>
      </c>
      <c r="G59" s="28" t="s">
        <v>255</v>
      </c>
      <c r="H59" s="35" t="s">
        <v>494</v>
      </c>
    </row>
    <row r="60" spans="1:8" x14ac:dyDescent="0.25">
      <c r="A60" s="21" t="s">
        <v>59</v>
      </c>
      <c r="B60" s="14" t="str">
        <f>IFERROR(_xlfn.CONCAT("A",MATCH(A60,'Bulk Upload'!A$1:A$127,0)),"")</f>
        <v>A59</v>
      </c>
      <c r="C60" s="14" t="str">
        <f>IFERROR(_xlfn.CONCAT("B",MATCH(A60,'Bulk Upload'!A$1:A$127,0)),"")</f>
        <v>B59</v>
      </c>
      <c r="D60" s="14" t="str">
        <f t="shared" si="0"/>
        <v>Bulk Upload</v>
      </c>
      <c r="E60" s="22" t="s">
        <v>59</v>
      </c>
      <c r="F60" s="15" t="s">
        <v>188</v>
      </c>
      <c r="G60" s="28" t="s">
        <v>255</v>
      </c>
      <c r="H60" s="35" t="s">
        <v>494</v>
      </c>
    </row>
    <row r="61" spans="1:8" x14ac:dyDescent="0.25">
      <c r="A61" s="21" t="s">
        <v>60</v>
      </c>
      <c r="B61" s="14" t="str">
        <f>IFERROR(_xlfn.CONCAT("A",MATCH(A61,'Bulk Upload'!A$1:A$127,0)),"")</f>
        <v>A60</v>
      </c>
      <c r="C61" s="14" t="str">
        <f>IFERROR(_xlfn.CONCAT("B",MATCH(A61,'Bulk Upload'!A$1:A$127,0)),"")</f>
        <v>B60</v>
      </c>
      <c r="D61" s="14" t="str">
        <f t="shared" si="0"/>
        <v>Bulk Upload</v>
      </c>
      <c r="E61" s="22" t="s">
        <v>60</v>
      </c>
      <c r="F61" s="15" t="s">
        <v>189</v>
      </c>
      <c r="G61" s="28" t="s">
        <v>255</v>
      </c>
      <c r="H61" s="35" t="s">
        <v>494</v>
      </c>
    </row>
    <row r="62" spans="1:8" x14ac:dyDescent="0.25">
      <c r="A62" s="21" t="s">
        <v>61</v>
      </c>
      <c r="B62" s="14" t="str">
        <f>IFERROR(_xlfn.CONCAT("A",MATCH(A62,'Bulk Upload'!A$1:A$127,0)),"")</f>
        <v>A61</v>
      </c>
      <c r="C62" s="14" t="str">
        <f>IFERROR(_xlfn.CONCAT("B",MATCH(A62,'Bulk Upload'!A$1:A$127,0)),"")</f>
        <v>B61</v>
      </c>
      <c r="D62" s="14" t="str">
        <f t="shared" si="0"/>
        <v>Bulk Upload</v>
      </c>
      <c r="E62" s="22" t="s">
        <v>61</v>
      </c>
      <c r="F62" s="15" t="s">
        <v>190</v>
      </c>
      <c r="G62" s="28" t="s">
        <v>255</v>
      </c>
      <c r="H62" s="35" t="s">
        <v>494</v>
      </c>
    </row>
    <row r="63" spans="1:8" x14ac:dyDescent="0.25">
      <c r="A63" s="21" t="s">
        <v>62</v>
      </c>
      <c r="B63" s="14" t="str">
        <f>IFERROR(_xlfn.CONCAT("A",MATCH(A63,'Bulk Upload'!A$1:A$127,0)),"")</f>
        <v>A62</v>
      </c>
      <c r="C63" s="14" t="str">
        <f>IFERROR(_xlfn.CONCAT("B",MATCH(A63,'Bulk Upload'!A$1:A$127,0)),"")</f>
        <v>B62</v>
      </c>
      <c r="D63" s="14" t="str">
        <f t="shared" si="0"/>
        <v>Bulk Upload</v>
      </c>
      <c r="E63" s="22" t="s">
        <v>62</v>
      </c>
      <c r="F63" s="15" t="s">
        <v>191</v>
      </c>
      <c r="G63" s="28" t="s">
        <v>255</v>
      </c>
      <c r="H63" s="35" t="s">
        <v>494</v>
      </c>
    </row>
    <row r="64" spans="1:8" x14ac:dyDescent="0.25">
      <c r="A64" s="21" t="s">
        <v>63</v>
      </c>
      <c r="B64" s="14" t="str">
        <f>IFERROR(_xlfn.CONCAT("A",MATCH(A64,'Bulk Upload'!A$1:A$127,0)),"")</f>
        <v>A63</v>
      </c>
      <c r="C64" s="14" t="str">
        <f>IFERROR(_xlfn.CONCAT("B",MATCH(A64,'Bulk Upload'!A$1:A$127,0)),"")</f>
        <v>B63</v>
      </c>
      <c r="D64" s="14" t="str">
        <f t="shared" si="0"/>
        <v>Bulk Upload</v>
      </c>
      <c r="E64" s="22" t="s">
        <v>63</v>
      </c>
      <c r="F64" s="15" t="s">
        <v>192</v>
      </c>
      <c r="G64" s="28" t="s">
        <v>255</v>
      </c>
      <c r="H64" s="35" t="s">
        <v>494</v>
      </c>
    </row>
    <row r="65" spans="1:8" x14ac:dyDescent="0.25">
      <c r="A65" s="21" t="s">
        <v>64</v>
      </c>
      <c r="B65" s="14" t="str">
        <f>IFERROR(_xlfn.CONCAT("A",MATCH(A65,'Bulk Upload'!A$1:A$127,0)),"")</f>
        <v>A64</v>
      </c>
      <c r="C65" s="14" t="str">
        <f>IFERROR(_xlfn.CONCAT("B",MATCH(A65,'Bulk Upload'!A$1:A$127,0)),"")</f>
        <v>B64</v>
      </c>
      <c r="D65" s="14" t="str">
        <f t="shared" si="0"/>
        <v>Bulk Upload</v>
      </c>
      <c r="E65" s="22" t="s">
        <v>64</v>
      </c>
      <c r="F65" s="15" t="s">
        <v>193</v>
      </c>
      <c r="G65" s="28" t="s">
        <v>255</v>
      </c>
      <c r="H65" s="35" t="s">
        <v>499</v>
      </c>
    </row>
    <row r="66" spans="1:8" x14ac:dyDescent="0.25">
      <c r="A66" s="21" t="s">
        <v>65</v>
      </c>
      <c r="B66" s="14" t="str">
        <f>IFERROR(_xlfn.CONCAT("A",MATCH(A66,'Bulk Upload'!A$1:A$127,0)),"")</f>
        <v>A65</v>
      </c>
      <c r="C66" s="14" t="str">
        <f>IFERROR(_xlfn.CONCAT("B",MATCH(A66,'Bulk Upload'!A$1:A$127,0)),"")</f>
        <v>B65</v>
      </c>
      <c r="D66" s="14" t="str">
        <f t="shared" si="0"/>
        <v>Bulk Upload</v>
      </c>
      <c r="E66" s="22" t="s">
        <v>65</v>
      </c>
      <c r="F66" s="15" t="s">
        <v>194</v>
      </c>
      <c r="G66" s="28" t="s">
        <v>255</v>
      </c>
      <c r="H66" s="35" t="s">
        <v>490</v>
      </c>
    </row>
    <row r="67" spans="1:8" x14ac:dyDescent="0.25">
      <c r="A67" s="21" t="s">
        <v>66</v>
      </c>
      <c r="B67" s="14" t="str">
        <f>IFERROR(_xlfn.CONCAT("A",MATCH(A67,'Bulk Upload'!A$1:A$127,0)),"")</f>
        <v>A66</v>
      </c>
      <c r="C67" s="14" t="str">
        <f>IFERROR(_xlfn.CONCAT("B",MATCH(A67,'Bulk Upload'!A$1:A$127,0)),"")</f>
        <v>B66</v>
      </c>
      <c r="D67" s="14" t="str">
        <f t="shared" ref="D67:D125" si="1">IF(B67="","","Bulk Upload")</f>
        <v>Bulk Upload</v>
      </c>
      <c r="E67" s="22" t="s">
        <v>66</v>
      </c>
      <c r="F67" s="15" t="s">
        <v>195</v>
      </c>
      <c r="G67" s="28" t="s">
        <v>255</v>
      </c>
      <c r="H67" s="35" t="s">
        <v>489</v>
      </c>
    </row>
    <row r="68" spans="1:8" x14ac:dyDescent="0.25">
      <c r="A68" s="21" t="s">
        <v>67</v>
      </c>
      <c r="B68" s="14" t="str">
        <f>IFERROR(_xlfn.CONCAT("A",MATCH(A68,'Bulk Upload'!A$1:A$127,0)),"")</f>
        <v>A67</v>
      </c>
      <c r="C68" s="14" t="str">
        <f>IFERROR(_xlfn.CONCAT("B",MATCH(A68,'Bulk Upload'!A$1:A$127,0)),"")</f>
        <v>B67</v>
      </c>
      <c r="D68" s="14" t="str">
        <f t="shared" si="1"/>
        <v>Bulk Upload</v>
      </c>
      <c r="E68" s="22" t="s">
        <v>67</v>
      </c>
      <c r="F68" s="15" t="s">
        <v>196</v>
      </c>
      <c r="G68" s="28" t="s">
        <v>255</v>
      </c>
      <c r="H68" s="35" t="s">
        <v>489</v>
      </c>
    </row>
    <row r="69" spans="1:8" x14ac:dyDescent="0.25">
      <c r="A69" s="21" t="s">
        <v>68</v>
      </c>
      <c r="B69" s="14" t="str">
        <f>IFERROR(_xlfn.CONCAT("A",MATCH(A69,'Bulk Upload'!A$1:A$127,0)),"")</f>
        <v>A68</v>
      </c>
      <c r="C69" s="14" t="str">
        <f>IFERROR(_xlfn.CONCAT("B",MATCH(A69,'Bulk Upload'!A$1:A$127,0)),"")</f>
        <v>B68</v>
      </c>
      <c r="D69" s="14" t="str">
        <f t="shared" si="1"/>
        <v>Bulk Upload</v>
      </c>
      <c r="E69" s="22" t="s">
        <v>68</v>
      </c>
      <c r="F69" s="15" t="s">
        <v>197</v>
      </c>
      <c r="G69" s="28" t="s">
        <v>255</v>
      </c>
      <c r="H69" s="35" t="s">
        <v>489</v>
      </c>
    </row>
    <row r="70" spans="1:8" x14ac:dyDescent="0.25">
      <c r="A70" s="21" t="s">
        <v>69</v>
      </c>
      <c r="B70" s="14" t="str">
        <f>IFERROR(_xlfn.CONCAT("A",MATCH(A70,'Bulk Upload'!A$1:A$127,0)),"")</f>
        <v>A69</v>
      </c>
      <c r="C70" s="14" t="str">
        <f>IFERROR(_xlfn.CONCAT("B",MATCH(A70,'Bulk Upload'!A$1:A$127,0)),"")</f>
        <v>B69</v>
      </c>
      <c r="D70" s="14" t="str">
        <f t="shared" si="1"/>
        <v>Bulk Upload</v>
      </c>
      <c r="E70" s="22" t="s">
        <v>69</v>
      </c>
      <c r="F70" s="15" t="s">
        <v>198</v>
      </c>
      <c r="G70" s="28" t="s">
        <v>255</v>
      </c>
      <c r="H70" s="35" t="s">
        <v>490</v>
      </c>
    </row>
    <row r="71" spans="1:8" x14ac:dyDescent="0.25">
      <c r="A71" s="21" t="s">
        <v>70</v>
      </c>
      <c r="B71" s="14" t="str">
        <f>IFERROR(_xlfn.CONCAT("A",MATCH(A71,'Bulk Upload'!A$1:A$127,0)),"")</f>
        <v>A70</v>
      </c>
      <c r="C71" s="14" t="str">
        <f>IFERROR(_xlfn.CONCAT("B",MATCH(A71,'Bulk Upload'!A$1:A$127,0)),"")</f>
        <v>B70</v>
      </c>
      <c r="D71" s="14" t="str">
        <f t="shared" si="1"/>
        <v>Bulk Upload</v>
      </c>
      <c r="E71" s="22" t="s">
        <v>70</v>
      </c>
      <c r="F71" s="15" t="s">
        <v>199</v>
      </c>
      <c r="G71" s="28" t="s">
        <v>255</v>
      </c>
      <c r="H71" s="35" t="s">
        <v>494</v>
      </c>
    </row>
    <row r="72" spans="1:8" x14ac:dyDescent="0.25">
      <c r="A72" s="21" t="s">
        <v>71</v>
      </c>
      <c r="B72" s="14" t="str">
        <f>IFERROR(_xlfn.CONCAT("A",MATCH(A72,'Bulk Upload'!A$1:A$127,0)),"")</f>
        <v>A71</v>
      </c>
      <c r="C72" s="14" t="str">
        <f>IFERROR(_xlfn.CONCAT("B",MATCH(A72,'Bulk Upload'!A$1:A$127,0)),"")</f>
        <v>B71</v>
      </c>
      <c r="D72" s="14" t="str">
        <f t="shared" si="1"/>
        <v>Bulk Upload</v>
      </c>
      <c r="E72" s="22" t="s">
        <v>71</v>
      </c>
      <c r="F72" s="15" t="s">
        <v>200</v>
      </c>
      <c r="G72" s="28" t="s">
        <v>255</v>
      </c>
      <c r="H72" s="35" t="s">
        <v>493</v>
      </c>
    </row>
    <row r="73" spans="1:8" x14ac:dyDescent="0.25">
      <c r="A73" s="21" t="s">
        <v>72</v>
      </c>
      <c r="B73" s="14" t="str">
        <f>IFERROR(_xlfn.CONCAT("A",MATCH(A73,'Bulk Upload'!A$1:A$127,0)),"")</f>
        <v>A72</v>
      </c>
      <c r="C73" s="14" t="str">
        <f>IFERROR(_xlfn.CONCAT("B",MATCH(A73,'Bulk Upload'!A$1:A$127,0)),"")</f>
        <v>B72</v>
      </c>
      <c r="D73" s="14" t="str">
        <f t="shared" si="1"/>
        <v>Bulk Upload</v>
      </c>
      <c r="E73" s="22" t="s">
        <v>72</v>
      </c>
      <c r="F73" s="15" t="s">
        <v>201</v>
      </c>
      <c r="G73" s="28" t="s">
        <v>255</v>
      </c>
      <c r="H73" s="35" t="s">
        <v>493</v>
      </c>
    </row>
    <row r="74" spans="1:8" x14ac:dyDescent="0.25">
      <c r="A74" s="21" t="s">
        <v>73</v>
      </c>
      <c r="B74" s="14" t="str">
        <f>IFERROR(_xlfn.CONCAT("A",MATCH(A74,'Bulk Upload'!A$1:A$127,0)),"")</f>
        <v>A73</v>
      </c>
      <c r="C74" s="14" t="str">
        <f>IFERROR(_xlfn.CONCAT("B",MATCH(A74,'Bulk Upload'!A$1:A$127,0)),"")</f>
        <v>B73</v>
      </c>
      <c r="D74" s="14" t="str">
        <f t="shared" si="1"/>
        <v>Bulk Upload</v>
      </c>
      <c r="E74" s="22" t="s">
        <v>73</v>
      </c>
      <c r="F74" s="15" t="s">
        <v>202</v>
      </c>
      <c r="G74" s="28" t="s">
        <v>255</v>
      </c>
      <c r="H74" s="35" t="s">
        <v>493</v>
      </c>
    </row>
    <row r="75" spans="1:8" x14ac:dyDescent="0.25">
      <c r="A75" s="21" t="s">
        <v>74</v>
      </c>
      <c r="B75" s="14" t="str">
        <f>IFERROR(_xlfn.CONCAT("A",MATCH(A75,'Bulk Upload'!A$1:A$127,0)),"")</f>
        <v>A74</v>
      </c>
      <c r="C75" s="14" t="str">
        <f>IFERROR(_xlfn.CONCAT("B",MATCH(A75,'Bulk Upload'!A$1:A$127,0)),"")</f>
        <v>B74</v>
      </c>
      <c r="D75" s="14" t="str">
        <f t="shared" si="1"/>
        <v>Bulk Upload</v>
      </c>
      <c r="E75" s="22" t="s">
        <v>74</v>
      </c>
      <c r="F75" s="15" t="s">
        <v>203</v>
      </c>
      <c r="G75" s="28" t="s">
        <v>255</v>
      </c>
      <c r="H75" s="35" t="s">
        <v>493</v>
      </c>
    </row>
    <row r="76" spans="1:8" x14ac:dyDescent="0.25">
      <c r="A76" s="21" t="s">
        <v>75</v>
      </c>
      <c r="B76" s="14" t="str">
        <f>IFERROR(_xlfn.CONCAT("A",MATCH(A76,'Bulk Upload'!A$1:A$127,0)),"")</f>
        <v>A75</v>
      </c>
      <c r="C76" s="14" t="str">
        <f>IFERROR(_xlfn.CONCAT("B",MATCH(A76,'Bulk Upload'!A$1:A$127,0)),"")</f>
        <v>B75</v>
      </c>
      <c r="D76" s="14" t="str">
        <f t="shared" si="1"/>
        <v>Bulk Upload</v>
      </c>
      <c r="E76" s="22" t="s">
        <v>75</v>
      </c>
      <c r="F76" s="15" t="s">
        <v>204</v>
      </c>
      <c r="G76" s="28" t="s">
        <v>255</v>
      </c>
      <c r="H76" s="35" t="s">
        <v>493</v>
      </c>
    </row>
    <row r="77" spans="1:8" x14ac:dyDescent="0.25">
      <c r="A77" s="21" t="s">
        <v>76</v>
      </c>
      <c r="B77" s="14" t="str">
        <f>IFERROR(_xlfn.CONCAT("A",MATCH(A77,'Bulk Upload'!A$1:A$127,0)),"")</f>
        <v>A76</v>
      </c>
      <c r="C77" s="14" t="str">
        <f>IFERROR(_xlfn.CONCAT("B",MATCH(A77,'Bulk Upload'!A$1:A$127,0)),"")</f>
        <v>B76</v>
      </c>
      <c r="D77" s="14" t="str">
        <f t="shared" si="1"/>
        <v>Bulk Upload</v>
      </c>
      <c r="E77" s="22" t="s">
        <v>76</v>
      </c>
      <c r="F77" s="15" t="s">
        <v>205</v>
      </c>
      <c r="G77" s="28" t="s">
        <v>255</v>
      </c>
      <c r="H77" s="35" t="s">
        <v>493</v>
      </c>
    </row>
    <row r="78" spans="1:8" x14ac:dyDescent="0.25">
      <c r="A78" s="21" t="s">
        <v>77</v>
      </c>
      <c r="B78" s="14" t="str">
        <f>IFERROR(_xlfn.CONCAT("A",MATCH(A78,'Bulk Upload'!A$1:A$127,0)),"")</f>
        <v>A77</v>
      </c>
      <c r="C78" s="14" t="str">
        <f>IFERROR(_xlfn.CONCAT("B",MATCH(A78,'Bulk Upload'!A$1:A$127,0)),"")</f>
        <v>B77</v>
      </c>
      <c r="D78" s="14" t="str">
        <f t="shared" si="1"/>
        <v>Bulk Upload</v>
      </c>
      <c r="E78" s="22" t="s">
        <v>77</v>
      </c>
      <c r="F78" s="15" t="s">
        <v>206</v>
      </c>
      <c r="G78" s="28" t="s">
        <v>255</v>
      </c>
      <c r="H78" s="35" t="s">
        <v>493</v>
      </c>
    </row>
    <row r="79" spans="1:8" x14ac:dyDescent="0.25">
      <c r="A79" s="21" t="s">
        <v>78</v>
      </c>
      <c r="B79" s="14" t="str">
        <f>IFERROR(_xlfn.CONCAT("A",MATCH(A79,'Bulk Upload'!A$1:A$127,0)),"")</f>
        <v>A78</v>
      </c>
      <c r="C79" s="14" t="str">
        <f>IFERROR(_xlfn.CONCAT("B",MATCH(A79,'Bulk Upload'!A$1:A$127,0)),"")</f>
        <v>B78</v>
      </c>
      <c r="D79" s="14" t="str">
        <f t="shared" si="1"/>
        <v>Bulk Upload</v>
      </c>
      <c r="E79" s="22" t="s">
        <v>78</v>
      </c>
      <c r="F79" s="15" t="s">
        <v>207</v>
      </c>
      <c r="G79" s="28" t="s">
        <v>255</v>
      </c>
      <c r="H79" s="35" t="s">
        <v>489</v>
      </c>
    </row>
    <row r="80" spans="1:8" x14ac:dyDescent="0.25">
      <c r="A80" s="21" t="s">
        <v>79</v>
      </c>
      <c r="B80" s="14" t="str">
        <f>IFERROR(_xlfn.CONCAT("A",MATCH(A80,'Bulk Upload'!A$1:A$127,0)),"")</f>
        <v>A79</v>
      </c>
      <c r="C80" s="14" t="str">
        <f>IFERROR(_xlfn.CONCAT("B",MATCH(A80,'Bulk Upload'!A$1:A$127,0)),"")</f>
        <v>B79</v>
      </c>
      <c r="D80" s="14" t="str">
        <f t="shared" si="1"/>
        <v>Bulk Upload</v>
      </c>
      <c r="E80" s="22" t="s">
        <v>79</v>
      </c>
      <c r="F80" s="15" t="s">
        <v>208</v>
      </c>
      <c r="G80" s="28" t="s">
        <v>255</v>
      </c>
      <c r="H80" s="35" t="s">
        <v>490</v>
      </c>
    </row>
    <row r="81" spans="1:8" x14ac:dyDescent="0.25">
      <c r="A81" s="21" t="s">
        <v>80</v>
      </c>
      <c r="B81" s="14" t="str">
        <f>IFERROR(_xlfn.CONCAT("A",MATCH(A81,'Bulk Upload'!A$1:A$127,0)),"")</f>
        <v>A80</v>
      </c>
      <c r="C81" s="14" t="str">
        <f>IFERROR(_xlfn.CONCAT("B",MATCH(A81,'Bulk Upload'!A$1:A$127,0)),"")</f>
        <v>B80</v>
      </c>
      <c r="D81" s="14" t="str">
        <f t="shared" si="1"/>
        <v>Bulk Upload</v>
      </c>
      <c r="E81" s="22" t="s">
        <v>80</v>
      </c>
      <c r="F81" s="15" t="s">
        <v>209</v>
      </c>
      <c r="G81" s="28" t="s">
        <v>255</v>
      </c>
      <c r="H81" s="35" t="s">
        <v>490</v>
      </c>
    </row>
    <row r="82" spans="1:8" ht="30" x14ac:dyDescent="0.25">
      <c r="A82" s="21" t="s">
        <v>81</v>
      </c>
      <c r="B82" s="14" t="str">
        <f>IFERROR(_xlfn.CONCAT("A",MATCH(A82,'Bulk Upload'!A$1:A$127,0)),"")</f>
        <v>A81</v>
      </c>
      <c r="C82" s="14" t="str">
        <f>IFERROR(_xlfn.CONCAT("B",MATCH(A82,'Bulk Upload'!A$1:A$127,0)),"")</f>
        <v>B81</v>
      </c>
      <c r="D82" s="14" t="str">
        <f t="shared" si="1"/>
        <v>Bulk Upload</v>
      </c>
      <c r="E82" s="22" t="s">
        <v>81</v>
      </c>
      <c r="F82" s="15" t="s">
        <v>210</v>
      </c>
      <c r="G82" s="28" t="s">
        <v>255</v>
      </c>
      <c r="H82" s="35" t="s">
        <v>493</v>
      </c>
    </row>
    <row r="83" spans="1:8" x14ac:dyDescent="0.25">
      <c r="A83" s="21" t="s">
        <v>82</v>
      </c>
      <c r="B83" s="14" t="str">
        <f>IFERROR(_xlfn.CONCAT("A",MATCH(A83,'Bulk Upload'!A$1:A$127,0)),"")</f>
        <v>A82</v>
      </c>
      <c r="C83" s="14" t="str">
        <f>IFERROR(_xlfn.CONCAT("B",MATCH(A83,'Bulk Upload'!A$1:A$127,0)),"")</f>
        <v>B82</v>
      </c>
      <c r="D83" s="14" t="str">
        <f t="shared" si="1"/>
        <v>Bulk Upload</v>
      </c>
      <c r="E83" s="22" t="s">
        <v>82</v>
      </c>
      <c r="F83" s="15" t="s">
        <v>211</v>
      </c>
      <c r="G83" s="28" t="s">
        <v>255</v>
      </c>
      <c r="H83" s="35" t="s">
        <v>493</v>
      </c>
    </row>
    <row r="84" spans="1:8" x14ac:dyDescent="0.25">
      <c r="A84" s="21" t="s">
        <v>83</v>
      </c>
      <c r="B84" s="14" t="str">
        <f>IFERROR(_xlfn.CONCAT("A",MATCH(A84,'Bulk Upload'!A$1:A$127,0)),"")</f>
        <v>A83</v>
      </c>
      <c r="C84" s="14" t="str">
        <f>IFERROR(_xlfn.CONCAT("B",MATCH(A84,'Bulk Upload'!A$1:A$127,0)),"")</f>
        <v>B83</v>
      </c>
      <c r="D84" s="14" t="str">
        <f t="shared" si="1"/>
        <v>Bulk Upload</v>
      </c>
      <c r="E84" s="22" t="s">
        <v>83</v>
      </c>
      <c r="F84" s="15" t="s">
        <v>212</v>
      </c>
      <c r="G84" s="28" t="s">
        <v>255</v>
      </c>
      <c r="H84" s="35" t="s">
        <v>489</v>
      </c>
    </row>
    <row r="85" spans="1:8" x14ac:dyDescent="0.25">
      <c r="A85" s="21" t="s">
        <v>84</v>
      </c>
      <c r="B85" s="14" t="str">
        <f>IFERROR(_xlfn.CONCAT("A",MATCH(A85,'Bulk Upload'!A$1:A$127,0)),"")</f>
        <v>A84</v>
      </c>
      <c r="C85" s="14" t="str">
        <f>IFERROR(_xlfn.CONCAT("B",MATCH(A85,'Bulk Upload'!A$1:A$127,0)),"")</f>
        <v>B84</v>
      </c>
      <c r="D85" s="14" t="str">
        <f t="shared" si="1"/>
        <v>Bulk Upload</v>
      </c>
      <c r="E85" s="22" t="s">
        <v>84</v>
      </c>
      <c r="F85" s="15" t="s">
        <v>213</v>
      </c>
      <c r="G85" s="28" t="s">
        <v>255</v>
      </c>
      <c r="H85" s="35" t="s">
        <v>493</v>
      </c>
    </row>
    <row r="86" spans="1:8" x14ac:dyDescent="0.25">
      <c r="A86" s="21" t="s">
        <v>85</v>
      </c>
      <c r="B86" s="14" t="str">
        <f>IFERROR(_xlfn.CONCAT("A",MATCH(A86,'Bulk Upload'!A$1:A$127,0)),"")</f>
        <v>A85</v>
      </c>
      <c r="C86" s="14" t="str">
        <f>IFERROR(_xlfn.CONCAT("B",MATCH(A86,'Bulk Upload'!A$1:A$127,0)),"")</f>
        <v>B85</v>
      </c>
      <c r="D86" s="14" t="str">
        <f t="shared" si="1"/>
        <v>Bulk Upload</v>
      </c>
      <c r="E86" s="22" t="s">
        <v>85</v>
      </c>
      <c r="F86" s="15" t="s">
        <v>214</v>
      </c>
      <c r="G86" s="28" t="s">
        <v>255</v>
      </c>
      <c r="H86" s="35" t="s">
        <v>489</v>
      </c>
    </row>
    <row r="87" spans="1:8" ht="30" x14ac:dyDescent="0.25">
      <c r="A87" s="21" t="s">
        <v>86</v>
      </c>
      <c r="B87" s="14" t="str">
        <f>IFERROR(_xlfn.CONCAT("A",MATCH(A87,'Bulk Upload'!A$1:A$127,0)),"")</f>
        <v>A86</v>
      </c>
      <c r="C87" s="14" t="str">
        <f>IFERROR(_xlfn.CONCAT("B",MATCH(A87,'Bulk Upload'!A$1:A$127,0)),"")</f>
        <v>B86</v>
      </c>
      <c r="D87" s="14" t="str">
        <f t="shared" si="1"/>
        <v>Bulk Upload</v>
      </c>
      <c r="E87" s="22" t="s">
        <v>86</v>
      </c>
      <c r="F87" s="15" t="s">
        <v>215</v>
      </c>
      <c r="G87" s="28" t="s">
        <v>255</v>
      </c>
      <c r="H87" s="35" t="s">
        <v>493</v>
      </c>
    </row>
    <row r="88" spans="1:8" ht="30" x14ac:dyDescent="0.25">
      <c r="A88" s="21" t="s">
        <v>87</v>
      </c>
      <c r="B88" s="14" t="str">
        <f>IFERROR(_xlfn.CONCAT("A",MATCH(A88,'Bulk Upload'!A$1:A$127,0)),"")</f>
        <v>A87</v>
      </c>
      <c r="C88" s="14" t="str">
        <f>IFERROR(_xlfn.CONCAT("B",MATCH(A88,'Bulk Upload'!A$1:A$127,0)),"")</f>
        <v>B87</v>
      </c>
      <c r="D88" s="14" t="str">
        <f t="shared" si="1"/>
        <v>Bulk Upload</v>
      </c>
      <c r="E88" s="22" t="s">
        <v>87</v>
      </c>
      <c r="F88" s="15" t="s">
        <v>216</v>
      </c>
      <c r="G88" s="28" t="s">
        <v>255</v>
      </c>
      <c r="H88" s="35" t="s">
        <v>489</v>
      </c>
    </row>
    <row r="89" spans="1:8" x14ac:dyDescent="0.25">
      <c r="A89" s="21" t="s">
        <v>88</v>
      </c>
      <c r="B89" s="14" t="str">
        <f>IFERROR(_xlfn.CONCAT("A",MATCH(A89,'Bulk Upload'!A$1:A$127,0)),"")</f>
        <v>A88</v>
      </c>
      <c r="C89" s="14" t="str">
        <f>IFERROR(_xlfn.CONCAT("B",MATCH(A89,'Bulk Upload'!A$1:A$127,0)),"")</f>
        <v>B88</v>
      </c>
      <c r="D89" s="14" t="str">
        <f t="shared" si="1"/>
        <v>Bulk Upload</v>
      </c>
      <c r="E89" s="22" t="s">
        <v>88</v>
      </c>
      <c r="F89" s="15" t="s">
        <v>217</v>
      </c>
      <c r="G89" s="28" t="s">
        <v>255</v>
      </c>
      <c r="H89" s="35" t="s">
        <v>489</v>
      </c>
    </row>
    <row r="90" spans="1:8" x14ac:dyDescent="0.25">
      <c r="A90" s="21" t="s">
        <v>89</v>
      </c>
      <c r="B90" s="14" t="str">
        <f>IFERROR(_xlfn.CONCAT("A",MATCH(A90,'Bulk Upload'!A$1:A$127,0)),"")</f>
        <v>A89</v>
      </c>
      <c r="C90" s="14" t="str">
        <f>IFERROR(_xlfn.CONCAT("B",MATCH(A90,'Bulk Upload'!A$1:A$127,0)),"")</f>
        <v>B89</v>
      </c>
      <c r="D90" s="14" t="str">
        <f t="shared" si="1"/>
        <v>Bulk Upload</v>
      </c>
      <c r="E90" s="22" t="s">
        <v>89</v>
      </c>
      <c r="F90" s="15" t="s">
        <v>218</v>
      </c>
      <c r="G90" s="28" t="s">
        <v>255</v>
      </c>
      <c r="H90" s="35" t="s">
        <v>489</v>
      </c>
    </row>
    <row r="91" spans="1:8" x14ac:dyDescent="0.25">
      <c r="A91" s="21" t="s">
        <v>90</v>
      </c>
      <c r="B91" s="14" t="str">
        <f>IFERROR(_xlfn.CONCAT("A",MATCH(A91,'Bulk Upload'!A$1:A$127,0)),"")</f>
        <v>A90</v>
      </c>
      <c r="C91" s="14" t="str">
        <f>IFERROR(_xlfn.CONCAT("B",MATCH(A91,'Bulk Upload'!A$1:A$127,0)),"")</f>
        <v>B90</v>
      </c>
      <c r="D91" s="14" t="str">
        <f t="shared" si="1"/>
        <v>Bulk Upload</v>
      </c>
      <c r="E91" s="22" t="s">
        <v>90</v>
      </c>
      <c r="F91" s="15" t="s">
        <v>219</v>
      </c>
      <c r="G91" s="28" t="s">
        <v>255</v>
      </c>
      <c r="H91" s="35" t="s">
        <v>489</v>
      </c>
    </row>
    <row r="92" spans="1:8" x14ac:dyDescent="0.25">
      <c r="A92" s="21" t="s">
        <v>91</v>
      </c>
      <c r="B92" s="14" t="str">
        <f>IFERROR(_xlfn.CONCAT("A",MATCH(A92,'Bulk Upload'!A$1:A$127,0)),"")</f>
        <v>A91</v>
      </c>
      <c r="C92" s="14" t="str">
        <f>IFERROR(_xlfn.CONCAT("B",MATCH(A92,'Bulk Upload'!A$1:A$127,0)),"")</f>
        <v>B91</v>
      </c>
      <c r="D92" s="14" t="str">
        <f t="shared" si="1"/>
        <v>Bulk Upload</v>
      </c>
      <c r="E92" s="22" t="s">
        <v>91</v>
      </c>
      <c r="F92" s="15" t="s">
        <v>220</v>
      </c>
      <c r="G92" s="28" t="s">
        <v>255</v>
      </c>
      <c r="H92" s="35" t="s">
        <v>489</v>
      </c>
    </row>
    <row r="93" spans="1:8" ht="30" x14ac:dyDescent="0.25">
      <c r="A93" s="21" t="s">
        <v>92</v>
      </c>
      <c r="B93" s="14" t="str">
        <f>IFERROR(_xlfn.CONCAT("A",MATCH(A93,'Bulk Upload'!A$1:A$127,0)),"")</f>
        <v>A92</v>
      </c>
      <c r="C93" s="14" t="str">
        <f>IFERROR(_xlfn.CONCAT("B",MATCH(A93,'Bulk Upload'!A$1:A$127,0)),"")</f>
        <v>B92</v>
      </c>
      <c r="D93" s="14" t="str">
        <f t="shared" si="1"/>
        <v>Bulk Upload</v>
      </c>
      <c r="E93" s="22" t="s">
        <v>92</v>
      </c>
      <c r="F93" s="15" t="s">
        <v>221</v>
      </c>
      <c r="G93" s="28" t="s">
        <v>255</v>
      </c>
      <c r="H93" s="35" t="s">
        <v>489</v>
      </c>
    </row>
    <row r="94" spans="1:8" ht="30" x14ac:dyDescent="0.25">
      <c r="A94" s="21" t="s">
        <v>93</v>
      </c>
      <c r="B94" s="14" t="str">
        <f>IFERROR(_xlfn.CONCAT("A",MATCH(A94,'Bulk Upload'!A$1:A$127,0)),"")</f>
        <v>A93</v>
      </c>
      <c r="C94" s="14" t="str">
        <f>IFERROR(_xlfn.CONCAT("B",MATCH(A94,'Bulk Upload'!A$1:A$127,0)),"")</f>
        <v>B93</v>
      </c>
      <c r="D94" s="14" t="str">
        <f t="shared" si="1"/>
        <v>Bulk Upload</v>
      </c>
      <c r="E94" s="22" t="s">
        <v>93</v>
      </c>
      <c r="F94" s="15" t="s">
        <v>222</v>
      </c>
      <c r="G94" s="28" t="s">
        <v>255</v>
      </c>
      <c r="H94" s="35" t="s">
        <v>489</v>
      </c>
    </row>
    <row r="95" spans="1:8" x14ac:dyDescent="0.25">
      <c r="A95" s="21" t="s">
        <v>94</v>
      </c>
      <c r="B95" s="14" t="str">
        <f>IFERROR(_xlfn.CONCAT("A",MATCH(A95,'Bulk Upload'!A$1:A$127,0)),"")</f>
        <v>A94</v>
      </c>
      <c r="C95" s="14" t="str">
        <f>IFERROR(_xlfn.CONCAT("B",MATCH(A95,'Bulk Upload'!A$1:A$127,0)),"")</f>
        <v>B94</v>
      </c>
      <c r="D95" s="14" t="str">
        <f t="shared" si="1"/>
        <v>Bulk Upload</v>
      </c>
      <c r="E95" s="22" t="s">
        <v>94</v>
      </c>
      <c r="F95" s="15" t="s">
        <v>223</v>
      </c>
      <c r="G95" s="28" t="s">
        <v>255</v>
      </c>
      <c r="H95" s="35" t="s">
        <v>489</v>
      </c>
    </row>
    <row r="96" spans="1:8" x14ac:dyDescent="0.25">
      <c r="A96" s="21" t="s">
        <v>95</v>
      </c>
      <c r="B96" s="14" t="str">
        <f>IFERROR(_xlfn.CONCAT("A",MATCH(A96,'Bulk Upload'!A$1:A$127,0)),"")</f>
        <v>A95</v>
      </c>
      <c r="C96" s="14" t="str">
        <f>IFERROR(_xlfn.CONCAT("B",MATCH(A96,'Bulk Upload'!A$1:A$127,0)),"")</f>
        <v>B95</v>
      </c>
      <c r="D96" s="14" t="str">
        <f t="shared" si="1"/>
        <v>Bulk Upload</v>
      </c>
      <c r="E96" s="22" t="s">
        <v>95</v>
      </c>
      <c r="F96" s="15" t="s">
        <v>224</v>
      </c>
      <c r="G96" s="28" t="s">
        <v>255</v>
      </c>
      <c r="H96" s="35" t="s">
        <v>489</v>
      </c>
    </row>
    <row r="97" spans="1:8" x14ac:dyDescent="0.25">
      <c r="A97" s="21" t="s">
        <v>96</v>
      </c>
      <c r="B97" s="14" t="str">
        <f>IFERROR(_xlfn.CONCAT("A",MATCH(A97,'Bulk Upload'!A$1:A$127,0)),"")</f>
        <v>A96</v>
      </c>
      <c r="C97" s="14" t="str">
        <f>IFERROR(_xlfn.CONCAT("B",MATCH(A97,'Bulk Upload'!A$1:A$127,0)),"")</f>
        <v>B96</v>
      </c>
      <c r="D97" s="14" t="str">
        <f t="shared" si="1"/>
        <v>Bulk Upload</v>
      </c>
      <c r="E97" s="22" t="s">
        <v>96</v>
      </c>
      <c r="F97" s="15" t="s">
        <v>225</v>
      </c>
      <c r="G97" s="28" t="s">
        <v>255</v>
      </c>
      <c r="H97" s="35" t="s">
        <v>489</v>
      </c>
    </row>
    <row r="98" spans="1:8" x14ac:dyDescent="0.25">
      <c r="A98" s="21" t="s">
        <v>97</v>
      </c>
      <c r="B98" s="14" t="str">
        <f>IFERROR(_xlfn.CONCAT("A",MATCH(A98,'Bulk Upload'!A$1:A$127,0)),"")</f>
        <v>A97</v>
      </c>
      <c r="C98" s="14" t="str">
        <f>IFERROR(_xlfn.CONCAT("B",MATCH(A98,'Bulk Upload'!A$1:A$127,0)),"")</f>
        <v>B97</v>
      </c>
      <c r="D98" s="14" t="str">
        <f t="shared" si="1"/>
        <v>Bulk Upload</v>
      </c>
      <c r="E98" s="22" t="s">
        <v>97</v>
      </c>
      <c r="F98" s="15" t="s">
        <v>226</v>
      </c>
      <c r="G98" s="28" t="s">
        <v>255</v>
      </c>
      <c r="H98" s="35" t="s">
        <v>489</v>
      </c>
    </row>
    <row r="99" spans="1:8" x14ac:dyDescent="0.25">
      <c r="A99" s="21" t="s">
        <v>98</v>
      </c>
      <c r="B99" s="14" t="str">
        <f>IFERROR(_xlfn.CONCAT("A",MATCH(A99,'Bulk Upload'!A$1:A$127,0)),"")</f>
        <v>A98</v>
      </c>
      <c r="C99" s="14" t="str">
        <f>IFERROR(_xlfn.CONCAT("B",MATCH(A99,'Bulk Upload'!A$1:A$127,0)),"")</f>
        <v>B98</v>
      </c>
      <c r="D99" s="14" t="str">
        <f t="shared" si="1"/>
        <v>Bulk Upload</v>
      </c>
      <c r="E99" s="22" t="s">
        <v>98</v>
      </c>
      <c r="F99" s="15" t="s">
        <v>227</v>
      </c>
      <c r="G99" s="28" t="s">
        <v>255</v>
      </c>
      <c r="H99" s="35" t="s">
        <v>489</v>
      </c>
    </row>
    <row r="100" spans="1:8" x14ac:dyDescent="0.25">
      <c r="A100" s="21" t="s">
        <v>99</v>
      </c>
      <c r="B100" s="14" t="str">
        <f>IFERROR(_xlfn.CONCAT("A",MATCH(A100,'Bulk Upload'!A$1:A$127,0)),"")</f>
        <v>A99</v>
      </c>
      <c r="C100" s="14" t="str">
        <f>IFERROR(_xlfn.CONCAT("B",MATCH(A100,'Bulk Upload'!A$1:A$127,0)),"")</f>
        <v>B99</v>
      </c>
      <c r="D100" s="14" t="str">
        <f t="shared" si="1"/>
        <v>Bulk Upload</v>
      </c>
      <c r="E100" s="22" t="s">
        <v>99</v>
      </c>
      <c r="F100" s="15" t="s">
        <v>228</v>
      </c>
      <c r="G100" s="28" t="s">
        <v>255</v>
      </c>
      <c r="H100" s="35" t="s">
        <v>489</v>
      </c>
    </row>
    <row r="101" spans="1:8" x14ac:dyDescent="0.25">
      <c r="A101" s="21" t="s">
        <v>100</v>
      </c>
      <c r="B101" s="14" t="str">
        <f>IFERROR(_xlfn.CONCAT("A",MATCH(A101,'Bulk Upload'!A$1:A$127,0)),"")</f>
        <v>A100</v>
      </c>
      <c r="C101" s="14" t="str">
        <f>IFERROR(_xlfn.CONCAT("B",MATCH(A101,'Bulk Upload'!A$1:A$127,0)),"")</f>
        <v>B100</v>
      </c>
      <c r="D101" s="14" t="str">
        <f t="shared" si="1"/>
        <v>Bulk Upload</v>
      </c>
      <c r="E101" s="22" t="s">
        <v>100</v>
      </c>
      <c r="F101" s="15" t="s">
        <v>229</v>
      </c>
      <c r="G101" s="28" t="s">
        <v>255</v>
      </c>
      <c r="H101" s="35" t="s">
        <v>489</v>
      </c>
    </row>
    <row r="102" spans="1:8" x14ac:dyDescent="0.25">
      <c r="A102" s="21" t="s">
        <v>101</v>
      </c>
      <c r="B102" s="14" t="str">
        <f>IFERROR(_xlfn.CONCAT("A",MATCH(A102,'Bulk Upload'!A$1:A$127,0)),"")</f>
        <v>A101</v>
      </c>
      <c r="C102" s="14" t="str">
        <f>IFERROR(_xlfn.CONCAT("B",MATCH(A102,'Bulk Upload'!A$1:A$127,0)),"")</f>
        <v>B101</v>
      </c>
      <c r="D102" s="14" t="str">
        <f t="shared" si="1"/>
        <v>Bulk Upload</v>
      </c>
      <c r="E102" s="22" t="s">
        <v>101</v>
      </c>
      <c r="F102" s="15" t="s">
        <v>230</v>
      </c>
      <c r="G102" s="28" t="s">
        <v>255</v>
      </c>
      <c r="H102" s="35" t="s">
        <v>489</v>
      </c>
    </row>
    <row r="103" spans="1:8" x14ac:dyDescent="0.25">
      <c r="A103" s="21" t="s">
        <v>102</v>
      </c>
      <c r="B103" s="14" t="str">
        <f>IFERROR(_xlfn.CONCAT("A",MATCH(A103,'Bulk Upload'!A$1:A$127,0)),"")</f>
        <v>A102</v>
      </c>
      <c r="C103" s="14" t="str">
        <f>IFERROR(_xlfn.CONCAT("B",MATCH(A103,'Bulk Upload'!A$1:A$127,0)),"")</f>
        <v>B102</v>
      </c>
      <c r="D103" s="14" t="str">
        <f t="shared" si="1"/>
        <v>Bulk Upload</v>
      </c>
      <c r="E103" s="22" t="s">
        <v>102</v>
      </c>
      <c r="F103" s="15" t="s">
        <v>231</v>
      </c>
      <c r="G103" s="28" t="s">
        <v>255</v>
      </c>
      <c r="H103" s="35" t="s">
        <v>489</v>
      </c>
    </row>
    <row r="104" spans="1:8" ht="30" x14ac:dyDescent="0.25">
      <c r="A104" s="21" t="s">
        <v>103</v>
      </c>
      <c r="B104" s="14" t="str">
        <f>IFERROR(_xlfn.CONCAT("A",MATCH(A104,'Bulk Upload'!A$1:A$127,0)),"")</f>
        <v>A103</v>
      </c>
      <c r="C104" s="14" t="str">
        <f>IFERROR(_xlfn.CONCAT("B",MATCH(A104,'Bulk Upload'!A$1:A$127,0)),"")</f>
        <v>B103</v>
      </c>
      <c r="D104" s="14" t="str">
        <f t="shared" si="1"/>
        <v>Bulk Upload</v>
      </c>
      <c r="E104" s="22" t="s">
        <v>103</v>
      </c>
      <c r="F104" s="15" t="s">
        <v>232</v>
      </c>
      <c r="G104" s="28" t="s">
        <v>255</v>
      </c>
      <c r="H104" s="35" t="s">
        <v>489</v>
      </c>
    </row>
    <row r="105" spans="1:8" ht="30" x14ac:dyDescent="0.25">
      <c r="A105" s="21" t="s">
        <v>104</v>
      </c>
      <c r="B105" s="14" t="str">
        <f>IFERROR(_xlfn.CONCAT("A",MATCH(A105,'Bulk Upload'!A$1:A$127,0)),"")</f>
        <v>A104</v>
      </c>
      <c r="C105" s="14" t="str">
        <f>IFERROR(_xlfn.CONCAT("B",MATCH(A105,'Bulk Upload'!A$1:A$127,0)),"")</f>
        <v>B104</v>
      </c>
      <c r="D105" s="14" t="str">
        <f t="shared" si="1"/>
        <v>Bulk Upload</v>
      </c>
      <c r="E105" s="22" t="s">
        <v>104</v>
      </c>
      <c r="F105" s="15" t="s">
        <v>233</v>
      </c>
      <c r="G105" s="28" t="s">
        <v>255</v>
      </c>
      <c r="H105" s="35" t="s">
        <v>489</v>
      </c>
    </row>
    <row r="106" spans="1:8" x14ac:dyDescent="0.25">
      <c r="A106" s="21" t="s">
        <v>105</v>
      </c>
      <c r="B106" s="14" t="str">
        <f>IFERROR(_xlfn.CONCAT("A",MATCH(A106,'Bulk Upload'!A$1:A$127,0)),"")</f>
        <v>A105</v>
      </c>
      <c r="C106" s="14" t="str">
        <f>IFERROR(_xlfn.CONCAT("B",MATCH(A106,'Bulk Upload'!A$1:A$127,0)),"")</f>
        <v>B105</v>
      </c>
      <c r="D106" s="14" t="str">
        <f t="shared" si="1"/>
        <v>Bulk Upload</v>
      </c>
      <c r="E106" s="22" t="s">
        <v>105</v>
      </c>
      <c r="F106" s="15" t="s">
        <v>234</v>
      </c>
      <c r="G106" s="28" t="s">
        <v>255</v>
      </c>
      <c r="H106" s="35" t="s">
        <v>489</v>
      </c>
    </row>
    <row r="107" spans="1:8" x14ac:dyDescent="0.25">
      <c r="A107" s="21" t="s">
        <v>106</v>
      </c>
      <c r="B107" s="14" t="str">
        <f>IFERROR(_xlfn.CONCAT("A",MATCH(A107,'Bulk Upload'!A$1:A$127,0)),"")</f>
        <v>A106</v>
      </c>
      <c r="C107" s="14" t="str">
        <f>IFERROR(_xlfn.CONCAT("B",MATCH(A107,'Bulk Upload'!A$1:A$127,0)),"")</f>
        <v>B106</v>
      </c>
      <c r="D107" s="14" t="str">
        <f t="shared" si="1"/>
        <v>Bulk Upload</v>
      </c>
      <c r="E107" s="22" t="s">
        <v>106</v>
      </c>
      <c r="F107" s="15" t="s">
        <v>235</v>
      </c>
      <c r="G107" s="28" t="s">
        <v>255</v>
      </c>
      <c r="H107" s="35" t="s">
        <v>489</v>
      </c>
    </row>
    <row r="108" spans="1:8" ht="30" x14ac:dyDescent="0.25">
      <c r="A108" s="21" t="s">
        <v>107</v>
      </c>
      <c r="B108" s="14" t="str">
        <f>IFERROR(_xlfn.CONCAT("A",MATCH(A108,'Bulk Upload'!A$1:A$127,0)),"")</f>
        <v>A107</v>
      </c>
      <c r="C108" s="14" t="str">
        <f>IFERROR(_xlfn.CONCAT("B",MATCH(A108,'Bulk Upload'!A$1:A$127,0)),"")</f>
        <v>B107</v>
      </c>
      <c r="D108" s="14" t="str">
        <f t="shared" si="1"/>
        <v>Bulk Upload</v>
      </c>
      <c r="E108" s="22" t="s">
        <v>107</v>
      </c>
      <c r="F108" s="15" t="s">
        <v>236</v>
      </c>
      <c r="G108" s="28" t="s">
        <v>255</v>
      </c>
      <c r="H108" s="35" t="s">
        <v>489</v>
      </c>
    </row>
    <row r="109" spans="1:8" x14ac:dyDescent="0.25">
      <c r="A109" s="21" t="s">
        <v>108</v>
      </c>
      <c r="B109" s="14" t="str">
        <f>IFERROR(_xlfn.CONCAT("A",MATCH(A109,'Bulk Upload'!A$1:A$127,0)),"")</f>
        <v>A108</v>
      </c>
      <c r="C109" s="14" t="str">
        <f>IFERROR(_xlfn.CONCAT("B",MATCH(A109,'Bulk Upload'!A$1:A$127,0)),"")</f>
        <v>B108</v>
      </c>
      <c r="D109" s="14" t="str">
        <f t="shared" si="1"/>
        <v>Bulk Upload</v>
      </c>
      <c r="E109" s="22" t="s">
        <v>108</v>
      </c>
      <c r="F109" s="15" t="s">
        <v>237</v>
      </c>
      <c r="G109" s="28" t="s">
        <v>255</v>
      </c>
      <c r="H109" s="35" t="s">
        <v>495</v>
      </c>
    </row>
    <row r="110" spans="1:8" x14ac:dyDescent="0.25">
      <c r="A110" s="21" t="s">
        <v>109</v>
      </c>
      <c r="B110" s="14" t="str">
        <f>IFERROR(_xlfn.CONCAT("A",MATCH(A110,'Bulk Upload'!A$1:A$127,0)),"")</f>
        <v>A109</v>
      </c>
      <c r="C110" s="14" t="str">
        <f>IFERROR(_xlfn.CONCAT("B",MATCH(A110,'Bulk Upload'!A$1:A$127,0)),"")</f>
        <v>B109</v>
      </c>
      <c r="D110" s="14" t="str">
        <f t="shared" si="1"/>
        <v>Bulk Upload</v>
      </c>
      <c r="E110" s="22" t="s">
        <v>109</v>
      </c>
      <c r="F110" s="15" t="s">
        <v>238</v>
      </c>
      <c r="G110" s="28" t="s">
        <v>255</v>
      </c>
      <c r="H110" s="35" t="s">
        <v>495</v>
      </c>
    </row>
    <row r="111" spans="1:8" x14ac:dyDescent="0.25">
      <c r="A111" s="21" t="s">
        <v>110</v>
      </c>
      <c r="B111" s="14" t="str">
        <f>IFERROR(_xlfn.CONCAT("A",MATCH(A111,'Bulk Upload'!A$1:A$127,0)),"")</f>
        <v>A110</v>
      </c>
      <c r="C111" s="14" t="str">
        <f>IFERROR(_xlfn.CONCAT("B",MATCH(A111,'Bulk Upload'!A$1:A$127,0)),"")</f>
        <v>B110</v>
      </c>
      <c r="D111" s="14" t="str">
        <f t="shared" si="1"/>
        <v>Bulk Upload</v>
      </c>
      <c r="E111" s="22" t="s">
        <v>110</v>
      </c>
      <c r="F111" s="15" t="s">
        <v>239</v>
      </c>
      <c r="G111" s="28" t="s">
        <v>255</v>
      </c>
      <c r="H111" s="35" t="s">
        <v>495</v>
      </c>
    </row>
    <row r="112" spans="1:8" x14ac:dyDescent="0.25">
      <c r="A112" s="21" t="s">
        <v>111</v>
      </c>
      <c r="B112" s="14" t="str">
        <f>IFERROR(_xlfn.CONCAT("A",MATCH(A112,'Bulk Upload'!A$1:A$127,0)),"")</f>
        <v>A111</v>
      </c>
      <c r="C112" s="14" t="str">
        <f>IFERROR(_xlfn.CONCAT("B",MATCH(A112,'Bulk Upload'!A$1:A$127,0)),"")</f>
        <v>B111</v>
      </c>
      <c r="D112" s="14" t="str">
        <f t="shared" si="1"/>
        <v>Bulk Upload</v>
      </c>
      <c r="E112" s="22" t="s">
        <v>111</v>
      </c>
      <c r="F112" s="15" t="s">
        <v>240</v>
      </c>
      <c r="G112" s="28" t="s">
        <v>255</v>
      </c>
      <c r="H112" s="35" t="s">
        <v>495</v>
      </c>
    </row>
    <row r="113" spans="1:8" x14ac:dyDescent="0.25">
      <c r="A113" s="21" t="s">
        <v>112</v>
      </c>
      <c r="B113" s="14" t="str">
        <f>IFERROR(_xlfn.CONCAT("A",MATCH(A113,'Bulk Upload'!A$1:A$127,0)),"")</f>
        <v>A112</v>
      </c>
      <c r="C113" s="14" t="str">
        <f>IFERROR(_xlfn.CONCAT("B",MATCH(A113,'Bulk Upload'!A$1:A$127,0)),"")</f>
        <v>B112</v>
      </c>
      <c r="D113" s="14" t="str">
        <f t="shared" si="1"/>
        <v>Bulk Upload</v>
      </c>
      <c r="E113" s="22" t="s">
        <v>112</v>
      </c>
      <c r="F113" s="15" t="s">
        <v>241</v>
      </c>
      <c r="G113" s="28" t="s">
        <v>255</v>
      </c>
      <c r="H113" s="35" t="s">
        <v>496</v>
      </c>
    </row>
    <row r="114" spans="1:8" x14ac:dyDescent="0.25">
      <c r="A114" s="21" t="s">
        <v>113</v>
      </c>
      <c r="B114" s="14" t="str">
        <f>IFERROR(_xlfn.CONCAT("A",MATCH(A114,'Bulk Upload'!A$1:A$127,0)),"")</f>
        <v>A113</v>
      </c>
      <c r="C114" s="14" t="str">
        <f>IFERROR(_xlfn.CONCAT("B",MATCH(A114,'Bulk Upload'!A$1:A$127,0)),"")</f>
        <v>B113</v>
      </c>
      <c r="D114" s="14" t="str">
        <f t="shared" si="1"/>
        <v>Bulk Upload</v>
      </c>
      <c r="E114" s="22" t="s">
        <v>113</v>
      </c>
      <c r="F114" s="15" t="s">
        <v>242</v>
      </c>
      <c r="G114" s="28" t="s">
        <v>255</v>
      </c>
      <c r="H114" s="35" t="s">
        <v>496</v>
      </c>
    </row>
    <row r="115" spans="1:8" x14ac:dyDescent="0.25">
      <c r="A115" s="21" t="s">
        <v>114</v>
      </c>
      <c r="B115" s="14" t="str">
        <f>IFERROR(_xlfn.CONCAT("A",MATCH(A115,'Bulk Upload'!A$1:A$127,0)),"")</f>
        <v>A114</v>
      </c>
      <c r="C115" s="14" t="str">
        <f>IFERROR(_xlfn.CONCAT("B",MATCH(A115,'Bulk Upload'!A$1:A$127,0)),"")</f>
        <v>B114</v>
      </c>
      <c r="D115" s="14" t="str">
        <f t="shared" si="1"/>
        <v>Bulk Upload</v>
      </c>
      <c r="E115" s="22" t="s">
        <v>114</v>
      </c>
      <c r="F115" s="15" t="s">
        <v>243</v>
      </c>
      <c r="G115" s="28" t="s">
        <v>255</v>
      </c>
      <c r="H115" s="35" t="s">
        <v>496</v>
      </c>
    </row>
    <row r="116" spans="1:8" x14ac:dyDescent="0.25">
      <c r="A116" s="21" t="s">
        <v>115</v>
      </c>
      <c r="B116" s="14" t="str">
        <f>IFERROR(_xlfn.CONCAT("A",MATCH(A116,'Bulk Upload'!A$1:A$127,0)),"")</f>
        <v>A115</v>
      </c>
      <c r="C116" s="14" t="str">
        <f>IFERROR(_xlfn.CONCAT("B",MATCH(A116,'Bulk Upload'!A$1:A$127,0)),"")</f>
        <v>B115</v>
      </c>
      <c r="D116" s="14" t="str">
        <f t="shared" si="1"/>
        <v>Bulk Upload</v>
      </c>
      <c r="E116" s="22" t="s">
        <v>115</v>
      </c>
      <c r="F116" s="15" t="s">
        <v>244</v>
      </c>
      <c r="G116" s="28" t="s">
        <v>255</v>
      </c>
      <c r="H116" s="35" t="s">
        <v>496</v>
      </c>
    </row>
    <row r="117" spans="1:8" x14ac:dyDescent="0.25">
      <c r="A117" s="21" t="s">
        <v>116</v>
      </c>
      <c r="B117" s="14" t="str">
        <f>IFERROR(_xlfn.CONCAT("A",MATCH(A117,'Bulk Upload'!A$1:A$127,0)),"")</f>
        <v>A116</v>
      </c>
      <c r="C117" s="14" t="str">
        <f>IFERROR(_xlfn.CONCAT("B",MATCH(A117,'Bulk Upload'!A$1:A$127,0)),"")</f>
        <v>B116</v>
      </c>
      <c r="D117" s="14" t="str">
        <f t="shared" si="1"/>
        <v>Bulk Upload</v>
      </c>
      <c r="E117" s="22" t="s">
        <v>116</v>
      </c>
      <c r="F117" s="15" t="s">
        <v>245</v>
      </c>
      <c r="G117" s="28" t="s">
        <v>255</v>
      </c>
      <c r="H117" s="35" t="s">
        <v>496</v>
      </c>
    </row>
    <row r="118" spans="1:8" x14ac:dyDescent="0.25">
      <c r="A118" s="21" t="s">
        <v>117</v>
      </c>
      <c r="B118" s="14" t="str">
        <f>IFERROR(_xlfn.CONCAT("A",MATCH(A118,'Bulk Upload'!A$1:A$127,0)),"")</f>
        <v>A117</v>
      </c>
      <c r="C118" s="14" t="str">
        <f>IFERROR(_xlfn.CONCAT("B",MATCH(A118,'Bulk Upload'!A$1:A$127,0)),"")</f>
        <v>B117</v>
      </c>
      <c r="D118" s="14" t="str">
        <f t="shared" si="1"/>
        <v>Bulk Upload</v>
      </c>
      <c r="E118" s="22" t="s">
        <v>117</v>
      </c>
      <c r="F118" s="15" t="s">
        <v>246</v>
      </c>
      <c r="G118" s="28" t="s">
        <v>255</v>
      </c>
      <c r="H118" s="35" t="s">
        <v>496</v>
      </c>
    </row>
    <row r="119" spans="1:8" x14ac:dyDescent="0.25">
      <c r="A119" s="21" t="s">
        <v>118</v>
      </c>
      <c r="B119" s="14" t="str">
        <f>IFERROR(_xlfn.CONCAT("A",MATCH(A119,'Bulk Upload'!A$1:A$127,0)),"")</f>
        <v>A118</v>
      </c>
      <c r="C119" s="14" t="str">
        <f>IFERROR(_xlfn.CONCAT("B",MATCH(A119,'Bulk Upload'!A$1:A$127,0)),"")</f>
        <v>B118</v>
      </c>
      <c r="D119" s="14" t="str">
        <f t="shared" si="1"/>
        <v>Bulk Upload</v>
      </c>
      <c r="E119" s="22" t="s">
        <v>118</v>
      </c>
      <c r="F119" s="15" t="s">
        <v>247</v>
      </c>
      <c r="G119" s="28" t="s">
        <v>255</v>
      </c>
      <c r="H119" s="35" t="s">
        <v>489</v>
      </c>
    </row>
    <row r="120" spans="1:8" x14ac:dyDescent="0.25">
      <c r="A120" s="21" t="s">
        <v>119</v>
      </c>
      <c r="B120" s="14" t="str">
        <f>IFERROR(_xlfn.CONCAT("A",MATCH(A120,'Bulk Upload'!A$1:A$127,0)),"")</f>
        <v>A119</v>
      </c>
      <c r="C120" s="14" t="str">
        <f>IFERROR(_xlfn.CONCAT("B",MATCH(A120,'Bulk Upload'!A$1:A$127,0)),"")</f>
        <v>B119</v>
      </c>
      <c r="D120" s="14" t="str">
        <f t="shared" si="1"/>
        <v>Bulk Upload</v>
      </c>
      <c r="E120" s="22" t="s">
        <v>119</v>
      </c>
      <c r="F120" s="15" t="s">
        <v>248</v>
      </c>
      <c r="G120" s="28" t="s">
        <v>255</v>
      </c>
      <c r="H120" s="35" t="s">
        <v>489</v>
      </c>
    </row>
    <row r="121" spans="1:8" x14ac:dyDescent="0.25">
      <c r="A121" s="21" t="s">
        <v>120</v>
      </c>
      <c r="B121" s="14" t="str">
        <f>IFERROR(_xlfn.CONCAT("A",MATCH(A121,'Bulk Upload'!A$1:A$127,0)),"")</f>
        <v>A120</v>
      </c>
      <c r="C121" s="14" t="str">
        <f>IFERROR(_xlfn.CONCAT("B",MATCH(A121,'Bulk Upload'!A$1:A$127,0)),"")</f>
        <v>B120</v>
      </c>
      <c r="D121" s="14" t="str">
        <f t="shared" si="1"/>
        <v>Bulk Upload</v>
      </c>
      <c r="E121" s="22" t="s">
        <v>120</v>
      </c>
      <c r="F121" s="15" t="s">
        <v>249</v>
      </c>
      <c r="G121" s="28" t="s">
        <v>255</v>
      </c>
      <c r="H121" s="35" t="s">
        <v>489</v>
      </c>
    </row>
    <row r="122" spans="1:8" x14ac:dyDescent="0.25">
      <c r="A122" s="21" t="s">
        <v>121</v>
      </c>
      <c r="B122" s="14" t="str">
        <f>IFERROR(_xlfn.CONCAT("A",MATCH(A122,'Bulk Upload'!A$1:A$127,0)),"")</f>
        <v>A121</v>
      </c>
      <c r="C122" s="14" t="str">
        <f>IFERROR(_xlfn.CONCAT("B",MATCH(A122,'Bulk Upload'!A$1:A$127,0)),"")</f>
        <v>B121</v>
      </c>
      <c r="D122" s="14" t="str">
        <f t="shared" si="1"/>
        <v>Bulk Upload</v>
      </c>
      <c r="E122" s="22" t="s">
        <v>121</v>
      </c>
      <c r="F122" s="15" t="s">
        <v>250</v>
      </c>
      <c r="G122" s="28" t="s">
        <v>255</v>
      </c>
      <c r="H122" s="35" t="s">
        <v>489</v>
      </c>
    </row>
    <row r="123" spans="1:8" x14ac:dyDescent="0.25">
      <c r="A123" s="21" t="s">
        <v>122</v>
      </c>
      <c r="B123" s="14" t="str">
        <f>IFERROR(_xlfn.CONCAT("A",MATCH(A123,'Bulk Upload'!A$1:A$127,0)),"")</f>
        <v>A122</v>
      </c>
      <c r="C123" s="14" t="str">
        <f>IFERROR(_xlfn.CONCAT("B",MATCH(A123,'Bulk Upload'!A$1:A$127,0)),"")</f>
        <v>B122</v>
      </c>
      <c r="D123" s="14" t="str">
        <f t="shared" si="1"/>
        <v>Bulk Upload</v>
      </c>
      <c r="E123" s="22" t="s">
        <v>122</v>
      </c>
      <c r="F123" s="15" t="s">
        <v>251</v>
      </c>
      <c r="G123" s="28" t="s">
        <v>255</v>
      </c>
      <c r="H123" s="35" t="s">
        <v>489</v>
      </c>
    </row>
    <row r="124" spans="1:8" x14ac:dyDescent="0.25">
      <c r="A124" s="21" t="s">
        <v>124</v>
      </c>
      <c r="B124" s="14" t="str">
        <f>IFERROR(_xlfn.CONCAT("A",MATCH(A124,'Bulk Upload'!A$1:A$127,0)),"")</f>
        <v>A124</v>
      </c>
      <c r="C124" s="14" t="str">
        <f>IFERROR(_xlfn.CONCAT("B",MATCH(A124,'Bulk Upload'!A$1:A$127,0)),"")</f>
        <v>B124</v>
      </c>
      <c r="D124" s="14" t="str">
        <f t="shared" si="1"/>
        <v>Bulk Upload</v>
      </c>
      <c r="E124" s="22" t="s">
        <v>124</v>
      </c>
      <c r="F124" s="15" t="s">
        <v>252</v>
      </c>
      <c r="G124" s="28" t="s">
        <v>255</v>
      </c>
      <c r="H124" s="35" t="s">
        <v>489</v>
      </c>
    </row>
    <row r="125" spans="1:8" x14ac:dyDescent="0.25">
      <c r="A125" s="21" t="s">
        <v>22</v>
      </c>
      <c r="B125" s="14" t="str">
        <f>IFERROR(_xlfn.CONCAT("A",MATCH(A125,'Bulk Upload'!A$1:A$127,0)),"")</f>
        <v>A22</v>
      </c>
      <c r="C125" s="14" t="str">
        <f>IFERROR(_xlfn.CONCAT("B",MATCH(A125,'Bulk Upload'!A$1:A$127,0)),"")</f>
        <v>B22</v>
      </c>
      <c r="D125" s="14" t="str">
        <f t="shared" si="1"/>
        <v>Bulk Upload</v>
      </c>
      <c r="E125" s="22" t="s">
        <v>253</v>
      </c>
      <c r="F125" s="15" t="s">
        <v>254</v>
      </c>
      <c r="G125" s="28" t="s">
        <v>255</v>
      </c>
      <c r="H125" s="35" t="s">
        <v>489</v>
      </c>
    </row>
    <row r="126" spans="1:8" x14ac:dyDescent="0.25">
      <c r="A126" s="21" t="s">
        <v>485</v>
      </c>
      <c r="B126" s="14" t="str">
        <f>IFERROR(_xlfn.CONCAT("A",MATCH(A126,'Bulk Upload'!A$1:A$127,0)),"")</f>
        <v>A127</v>
      </c>
      <c r="C126" s="14" t="str">
        <f>IFERROR(_xlfn.CONCAT("B",MATCH(A126,'Bulk Upload'!A$1:A$127,0)),"")</f>
        <v>B127</v>
      </c>
      <c r="D126" s="14" t="str">
        <f t="shared" ref="D126" si="2">IF(B126="","","Bulk Upload")</f>
        <v>Bulk Upload</v>
      </c>
      <c r="E126" s="22" t="s">
        <v>487</v>
      </c>
      <c r="F126" s="15" t="s">
        <v>486</v>
      </c>
      <c r="G126" s="28" t="s">
        <v>255</v>
      </c>
      <c r="H126" s="35" t="s">
        <v>489</v>
      </c>
    </row>
    <row r="127" spans="1:8" x14ac:dyDescent="0.25">
      <c r="A127" s="21" t="s">
        <v>485</v>
      </c>
      <c r="B127" s="14" t="str">
        <f>IFERROR(_xlfn.CONCAT("A",MATCH(A127,'Bulk Upload'!A$1:A$127,0)),"")</f>
        <v>A127</v>
      </c>
      <c r="C127" s="14" t="str">
        <f>IFERROR(_xlfn.CONCAT("B",MATCH(A127,'Bulk Upload'!A$1:A$127,0)),"")</f>
        <v>B127</v>
      </c>
      <c r="D127" s="14" t="str">
        <f t="shared" ref="D127" si="3">IF(B127="","","Bulk Upload")</f>
        <v>Bulk Upload</v>
      </c>
      <c r="E127" s="22" t="s">
        <v>497</v>
      </c>
      <c r="F127" s="15" t="s">
        <v>498</v>
      </c>
      <c r="G127" s="28" t="s">
        <v>255</v>
      </c>
      <c r="H127" s="35" t="s">
        <v>489</v>
      </c>
    </row>
  </sheetData>
  <autoFilter ref="A2:H126" xr:uid="{96DBFAC6-35B8-4AA7-9F21-12395857D26D}"/>
  <mergeCells count="2">
    <mergeCell ref="A1:D1"/>
    <mergeCell ref="E1:H1"/>
  </mergeCells>
  <pageMargins left="0.7" right="0.7" top="0.75" bottom="0.75" header="0.3" footer="0.3"/>
  <pageSetup orientation="portrait" r:id="rId1"/>
  <headerFooter differentOddEven="1" differentFirst="1">
    <oddFooter>&amp;LClassification: &amp;"Microsoft Sans Serif,Bold"&amp;KFFA500Confidential&amp;"Microsoft Sans Serif,Regular"&amp;K000000 Contains PII: &amp;"Microsoft Sans Serif,Bold"No</oddFooter>
    <evenFooter>&amp;LClassification: &amp;"Microsoft Sans Serif,Bold"&amp;KFFA500Confidential&amp;"Microsoft Sans Serif,Regular"&amp;K000000 Contains PII: &amp;"Microsoft Sans Serif,Bold"No</evenFooter>
    <firstFooter>&amp;LClassification: &amp;"Microsoft Sans Serif,Bold"&amp;KFFA500Confidential&amp;"Microsoft Sans Serif,Regular"&amp;K000000 Contains PII: &amp;"Microsoft Sans Serif,Bold"No</first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986AF-43EB-489D-9B88-83D5AEDC7A69}">
  <sheetPr codeName="Sheet4"/>
  <dimension ref="A1:V74"/>
  <sheetViews>
    <sheetView workbookViewId="0"/>
  </sheetViews>
  <sheetFormatPr defaultColWidth="8.85546875" defaultRowHeight="15" x14ac:dyDescent="0.25"/>
  <cols>
    <col min="1" max="1" width="28.42578125" style="31" bestFit="1" customWidth="1"/>
    <col min="2" max="2" width="16.85546875" style="31" customWidth="1"/>
    <col min="3" max="3" width="10.7109375" style="31" bestFit="1" customWidth="1"/>
    <col min="4" max="4" width="12.5703125" style="31" bestFit="1" customWidth="1"/>
    <col min="5" max="5" width="13.42578125" style="31" bestFit="1" customWidth="1"/>
    <col min="6" max="6" width="8.85546875" style="31"/>
    <col min="7" max="7" width="18.5703125" style="31" customWidth="1"/>
    <col min="8" max="21" width="8.85546875" style="31"/>
    <col min="22" max="22" width="97.42578125" style="31" bestFit="1" customWidth="1"/>
    <col min="23" max="16384" width="8.85546875" style="31"/>
  </cols>
  <sheetData>
    <row r="1" spans="1:22" ht="30" x14ac:dyDescent="0.25">
      <c r="A1" s="46" t="s">
        <v>258</v>
      </c>
      <c r="B1" s="42" t="s">
        <v>259</v>
      </c>
      <c r="C1" s="42" t="s">
        <v>260</v>
      </c>
      <c r="D1" s="42" t="s">
        <v>261</v>
      </c>
      <c r="E1" s="42" t="s">
        <v>262</v>
      </c>
      <c r="F1" s="42" t="s">
        <v>483</v>
      </c>
      <c r="G1" s="44" t="s">
        <v>504</v>
      </c>
    </row>
    <row r="2" spans="1:22" x14ac:dyDescent="0.25">
      <c r="A2" s="39" t="s">
        <v>263</v>
      </c>
      <c r="B2" s="43" t="s">
        <v>264</v>
      </c>
      <c r="C2" s="43" t="s">
        <v>265</v>
      </c>
      <c r="D2" s="39" t="s">
        <v>266</v>
      </c>
      <c r="E2" s="43">
        <v>2140</v>
      </c>
      <c r="F2" s="43" t="str">
        <f>IF(D2="NORTHEAST","NE",IF(D2="SOUTHEAST","SE",IF(D2="CENTRAL","C","W")))</f>
        <v>NE</v>
      </c>
      <c r="G2" s="41">
        <v>5188778511</v>
      </c>
    </row>
    <row r="3" spans="1:22" x14ac:dyDescent="0.25">
      <c r="A3" s="39" t="s">
        <v>267</v>
      </c>
      <c r="B3" s="43" t="s">
        <v>268</v>
      </c>
      <c r="C3" s="43" t="s">
        <v>269</v>
      </c>
      <c r="D3" s="39" t="s">
        <v>270</v>
      </c>
      <c r="E3" s="43">
        <v>1933</v>
      </c>
      <c r="F3" s="43" t="str">
        <f t="shared" ref="F3:F66" si="0">IF(D3="NORTHEAST","NE",IF(D3="SOUTHEAST","SE",IF(D3="CENTRAL","C","W")))</f>
        <v>W</v>
      </c>
      <c r="G3" s="38">
        <v>5053432200</v>
      </c>
      <c r="U3" s="31" t="s">
        <v>271</v>
      </c>
      <c r="V3" s="31" t="s">
        <v>272</v>
      </c>
    </row>
    <row r="4" spans="1:22" x14ac:dyDescent="0.25">
      <c r="A4" s="39" t="s">
        <v>273</v>
      </c>
      <c r="B4" s="43" t="s">
        <v>274</v>
      </c>
      <c r="C4" s="43" t="s">
        <v>275</v>
      </c>
      <c r="D4" s="39" t="s">
        <v>266</v>
      </c>
      <c r="E4" s="43">
        <v>2110</v>
      </c>
      <c r="F4" s="43" t="str">
        <f t="shared" si="0"/>
        <v>NE</v>
      </c>
      <c r="G4" s="38">
        <v>6108219000</v>
      </c>
      <c r="U4" s="31" t="s">
        <v>276</v>
      </c>
      <c r="V4" s="31" t="s">
        <v>277</v>
      </c>
    </row>
    <row r="5" spans="1:22" x14ac:dyDescent="0.25">
      <c r="A5" s="39" t="s">
        <v>278</v>
      </c>
      <c r="B5" s="39" t="s">
        <v>279</v>
      </c>
      <c r="C5" s="39" t="s">
        <v>280</v>
      </c>
      <c r="D5" s="39" t="s">
        <v>270</v>
      </c>
      <c r="E5" s="40">
        <v>4190</v>
      </c>
      <c r="F5" s="43" t="str">
        <f t="shared" si="0"/>
        <v>W</v>
      </c>
      <c r="G5" s="38">
        <v>9073449400</v>
      </c>
      <c r="U5" s="31" t="s">
        <v>281</v>
      </c>
      <c r="V5" s="31" t="s">
        <v>282</v>
      </c>
    </row>
    <row r="6" spans="1:22" x14ac:dyDescent="0.25">
      <c r="A6" s="39" t="s">
        <v>283</v>
      </c>
      <c r="B6" s="43" t="s">
        <v>284</v>
      </c>
      <c r="C6" s="43" t="s">
        <v>285</v>
      </c>
      <c r="D6" s="39" t="s">
        <v>286</v>
      </c>
      <c r="E6" s="43">
        <v>2220</v>
      </c>
      <c r="F6" s="43" t="str">
        <f t="shared" si="0"/>
        <v>SE</v>
      </c>
      <c r="G6" s="38">
        <v>7707748300</v>
      </c>
      <c r="U6" s="31" t="s">
        <v>287</v>
      </c>
      <c r="V6" s="31" t="s">
        <v>288</v>
      </c>
    </row>
    <row r="7" spans="1:22" x14ac:dyDescent="0.25">
      <c r="A7" s="39" t="s">
        <v>289</v>
      </c>
      <c r="B7" s="43" t="s">
        <v>290</v>
      </c>
      <c r="C7" s="43" t="s">
        <v>291</v>
      </c>
      <c r="D7" s="39" t="s">
        <v>292</v>
      </c>
      <c r="E7" s="43">
        <v>3023</v>
      </c>
      <c r="F7" s="43" t="str">
        <f t="shared" si="0"/>
        <v>C</v>
      </c>
      <c r="G7" s="38">
        <v>5122951000</v>
      </c>
      <c r="U7" s="31" t="s">
        <v>293</v>
      </c>
      <c r="V7" s="31" t="s">
        <v>294</v>
      </c>
    </row>
    <row r="8" spans="1:22" x14ac:dyDescent="0.25">
      <c r="A8" s="39" t="s">
        <v>295</v>
      </c>
      <c r="B8" s="39" t="s">
        <v>296</v>
      </c>
      <c r="C8" s="39" t="s">
        <v>297</v>
      </c>
      <c r="D8" s="39" t="s">
        <v>270</v>
      </c>
      <c r="E8" s="40">
        <v>3310</v>
      </c>
      <c r="F8" s="43" t="str">
        <f t="shared" si="0"/>
        <v>W</v>
      </c>
      <c r="G8" s="38">
        <v>4062387800</v>
      </c>
      <c r="U8" s="31" t="s">
        <v>293</v>
      </c>
      <c r="V8" s="31" t="s">
        <v>298</v>
      </c>
    </row>
    <row r="9" spans="1:22" x14ac:dyDescent="0.25">
      <c r="A9" s="39" t="s">
        <v>299</v>
      </c>
      <c r="B9" s="43" t="s">
        <v>300</v>
      </c>
      <c r="C9" s="43" t="s">
        <v>301</v>
      </c>
      <c r="D9" s="39" t="s">
        <v>292</v>
      </c>
      <c r="E9" s="43">
        <v>2345</v>
      </c>
      <c r="F9" s="43" t="str">
        <f t="shared" si="0"/>
        <v>C</v>
      </c>
      <c r="G9" s="38">
        <v>8002478005</v>
      </c>
      <c r="U9" s="31" t="s">
        <v>302</v>
      </c>
      <c r="V9" s="31" t="s">
        <v>303</v>
      </c>
    </row>
    <row r="10" spans="1:22" x14ac:dyDescent="0.25">
      <c r="A10" s="39" t="s">
        <v>304</v>
      </c>
      <c r="B10" s="43" t="s">
        <v>305</v>
      </c>
      <c r="C10" s="43" t="s">
        <v>306</v>
      </c>
      <c r="D10" s="39" t="s">
        <v>286</v>
      </c>
      <c r="E10" s="43">
        <v>3135</v>
      </c>
      <c r="F10" s="43" t="str">
        <f t="shared" si="0"/>
        <v>SE</v>
      </c>
      <c r="G10" s="38">
        <v>5619948500</v>
      </c>
      <c r="U10" s="31" t="s">
        <v>307</v>
      </c>
      <c r="V10" s="31" t="s">
        <v>308</v>
      </c>
    </row>
    <row r="11" spans="1:22" x14ac:dyDescent="0.25">
      <c r="A11" s="39" t="s">
        <v>309</v>
      </c>
      <c r="B11" s="43" t="s">
        <v>310</v>
      </c>
      <c r="C11" s="43" t="s">
        <v>311</v>
      </c>
      <c r="D11" s="39" t="s">
        <v>266</v>
      </c>
      <c r="E11" s="43">
        <v>2148</v>
      </c>
      <c r="F11" s="43" t="str">
        <f t="shared" si="0"/>
        <v>NE</v>
      </c>
      <c r="G11" s="38">
        <v>6033942500</v>
      </c>
      <c r="U11" s="31" t="s">
        <v>312</v>
      </c>
      <c r="V11" s="31" t="s">
        <v>313</v>
      </c>
    </row>
    <row r="12" spans="1:22" x14ac:dyDescent="0.25">
      <c r="A12" s="39" t="s">
        <v>314</v>
      </c>
      <c r="B12" s="43" t="s">
        <v>315</v>
      </c>
      <c r="C12" s="43" t="s">
        <v>265</v>
      </c>
      <c r="D12" s="39" t="s">
        <v>266</v>
      </c>
      <c r="E12" s="43">
        <v>2190</v>
      </c>
      <c r="F12" s="43" t="str">
        <f t="shared" si="0"/>
        <v>NE</v>
      </c>
      <c r="G12" s="38">
        <v>7166688881</v>
      </c>
      <c r="U12" s="31" t="s">
        <v>316</v>
      </c>
      <c r="V12" s="31" t="s">
        <v>317</v>
      </c>
    </row>
    <row r="13" spans="1:22" x14ac:dyDescent="0.25">
      <c r="A13" s="39" t="s">
        <v>318</v>
      </c>
      <c r="B13" s="43" t="s">
        <v>319</v>
      </c>
      <c r="C13" s="43" t="s">
        <v>320</v>
      </c>
      <c r="D13" s="39" t="s">
        <v>286</v>
      </c>
      <c r="E13" s="43">
        <v>2210</v>
      </c>
      <c r="F13" s="43" t="str">
        <f t="shared" si="0"/>
        <v>SE</v>
      </c>
      <c r="G13" s="38">
        <v>7045989797</v>
      </c>
      <c r="U13" s="31" t="s">
        <v>321</v>
      </c>
      <c r="V13" s="31" t="s">
        <v>322</v>
      </c>
    </row>
    <row r="14" spans="1:22" x14ac:dyDescent="0.25">
      <c r="A14" s="39" t="s">
        <v>323</v>
      </c>
      <c r="B14" s="43" t="s">
        <v>324</v>
      </c>
      <c r="C14" s="43" t="s">
        <v>325</v>
      </c>
      <c r="D14" s="39" t="s">
        <v>292</v>
      </c>
      <c r="E14" s="43">
        <v>2099</v>
      </c>
      <c r="F14" s="43" t="str">
        <f t="shared" si="0"/>
        <v>C</v>
      </c>
      <c r="G14" s="38">
        <v>6305951200</v>
      </c>
      <c r="U14" s="31" t="s">
        <v>326</v>
      </c>
      <c r="V14" s="31" t="s">
        <v>327</v>
      </c>
    </row>
    <row r="15" spans="1:22" x14ac:dyDescent="0.25">
      <c r="A15" s="39" t="s">
        <v>328</v>
      </c>
      <c r="B15" s="43" t="s">
        <v>329</v>
      </c>
      <c r="C15" s="43" t="s">
        <v>330</v>
      </c>
      <c r="D15" s="39" t="s">
        <v>266</v>
      </c>
      <c r="E15" s="43">
        <v>1103</v>
      </c>
      <c r="F15" s="43" t="str">
        <f t="shared" si="0"/>
        <v>NE</v>
      </c>
      <c r="G15" s="41">
        <v>5138743663</v>
      </c>
      <c r="U15" s="31" t="s">
        <v>331</v>
      </c>
      <c r="V15" s="31" t="s">
        <v>332</v>
      </c>
    </row>
    <row r="16" spans="1:22" x14ac:dyDescent="0.25">
      <c r="A16" s="39" t="s">
        <v>333</v>
      </c>
      <c r="B16" s="43" t="s">
        <v>334</v>
      </c>
      <c r="C16" s="43" t="s">
        <v>335</v>
      </c>
      <c r="D16" s="39" t="s">
        <v>266</v>
      </c>
      <c r="E16" s="43">
        <v>1104</v>
      </c>
      <c r="F16" s="43" t="str">
        <f t="shared" si="0"/>
        <v>NE</v>
      </c>
      <c r="G16" s="38">
        <v>3309636789</v>
      </c>
      <c r="U16" s="31" t="s">
        <v>336</v>
      </c>
      <c r="V16" s="31" t="s">
        <v>337</v>
      </c>
    </row>
    <row r="17" spans="1:22" x14ac:dyDescent="0.25">
      <c r="A17" s="39" t="s">
        <v>338</v>
      </c>
      <c r="B17" s="43" t="s">
        <v>339</v>
      </c>
      <c r="C17" s="43" t="s">
        <v>340</v>
      </c>
      <c r="D17" s="39" t="s">
        <v>286</v>
      </c>
      <c r="E17" s="43">
        <v>2260</v>
      </c>
      <c r="F17" s="43" t="str">
        <f t="shared" si="0"/>
        <v>SE</v>
      </c>
      <c r="G17" s="38">
        <v>8039514200</v>
      </c>
      <c r="U17" s="31" t="s">
        <v>341</v>
      </c>
      <c r="V17" s="31" t="s">
        <v>342</v>
      </c>
    </row>
    <row r="18" spans="1:22" x14ac:dyDescent="0.25">
      <c r="A18" s="39" t="s">
        <v>343</v>
      </c>
      <c r="B18" s="43" t="s">
        <v>344</v>
      </c>
      <c r="C18" s="43" t="s">
        <v>311</v>
      </c>
      <c r="D18" s="39" t="s">
        <v>266</v>
      </c>
      <c r="E18" s="43">
        <v>2020</v>
      </c>
      <c r="F18" s="43" t="str">
        <f t="shared" si="0"/>
        <v>NE</v>
      </c>
      <c r="G18" s="43"/>
      <c r="U18" s="31" t="s">
        <v>345</v>
      </c>
      <c r="V18" s="31" t="s">
        <v>346</v>
      </c>
    </row>
    <row r="19" spans="1:22" x14ac:dyDescent="0.25">
      <c r="A19" s="39" t="s">
        <v>347</v>
      </c>
      <c r="B19" s="43" t="s">
        <v>348</v>
      </c>
      <c r="C19" s="43" t="s">
        <v>349</v>
      </c>
      <c r="D19" s="39" t="s">
        <v>270</v>
      </c>
      <c r="E19" s="43">
        <v>4150</v>
      </c>
      <c r="F19" s="43" t="str">
        <f t="shared" si="0"/>
        <v>W</v>
      </c>
      <c r="G19" s="43"/>
      <c r="U19" s="31" t="s">
        <v>350</v>
      </c>
      <c r="V19" s="31" t="s">
        <v>351</v>
      </c>
    </row>
    <row r="20" spans="1:22" x14ac:dyDescent="0.25">
      <c r="A20" s="39" t="s">
        <v>352</v>
      </c>
      <c r="B20" s="43" t="s">
        <v>353</v>
      </c>
      <c r="C20" s="43" t="s">
        <v>354</v>
      </c>
      <c r="D20" s="39" t="s">
        <v>292</v>
      </c>
      <c r="E20" s="43">
        <v>3150</v>
      </c>
      <c r="F20" s="43" t="str">
        <f t="shared" si="0"/>
        <v>C</v>
      </c>
      <c r="G20" s="43"/>
      <c r="U20" s="31" t="s">
        <v>355</v>
      </c>
      <c r="V20" s="31" t="s">
        <v>356</v>
      </c>
    </row>
    <row r="21" spans="1:22" x14ac:dyDescent="0.25">
      <c r="A21" s="39" t="s">
        <v>357</v>
      </c>
      <c r="B21" s="39" t="s">
        <v>358</v>
      </c>
      <c r="C21" s="39" t="s">
        <v>269</v>
      </c>
      <c r="D21" s="39" t="s">
        <v>292</v>
      </c>
      <c r="E21" s="40">
        <v>3340</v>
      </c>
      <c r="F21" s="43" t="str">
        <f t="shared" si="0"/>
        <v>C</v>
      </c>
      <c r="G21" s="43"/>
      <c r="U21" s="31" t="s">
        <v>359</v>
      </c>
      <c r="V21" s="31" t="s">
        <v>360</v>
      </c>
    </row>
    <row r="22" spans="1:22" x14ac:dyDescent="0.25">
      <c r="A22" s="39" t="s">
        <v>361</v>
      </c>
      <c r="B22" s="39" t="s">
        <v>362</v>
      </c>
      <c r="C22" s="39" t="s">
        <v>269</v>
      </c>
      <c r="D22" s="39" t="s">
        <v>292</v>
      </c>
      <c r="E22" s="39">
        <v>3160</v>
      </c>
      <c r="F22" s="43" t="str">
        <f t="shared" si="0"/>
        <v>C</v>
      </c>
      <c r="G22" s="43"/>
    </row>
    <row r="23" spans="1:22" x14ac:dyDescent="0.25">
      <c r="A23" s="39" t="s">
        <v>363</v>
      </c>
      <c r="B23" s="43" t="s">
        <v>364</v>
      </c>
      <c r="C23" s="43" t="s">
        <v>335</v>
      </c>
      <c r="D23" s="39" t="s">
        <v>266</v>
      </c>
      <c r="E23" s="43">
        <v>1106</v>
      </c>
      <c r="F23" s="43" t="str">
        <f t="shared" si="0"/>
        <v>NE</v>
      </c>
      <c r="G23" s="43"/>
    </row>
    <row r="24" spans="1:22" x14ac:dyDescent="0.25">
      <c r="A24" s="39" t="s">
        <v>365</v>
      </c>
      <c r="B24" s="37" t="s">
        <v>366</v>
      </c>
      <c r="C24" s="37" t="s">
        <v>367</v>
      </c>
      <c r="D24" s="37" t="s">
        <v>270</v>
      </c>
      <c r="E24" s="45">
        <v>4175</v>
      </c>
      <c r="F24" s="43" t="str">
        <f t="shared" si="0"/>
        <v>W</v>
      </c>
      <c r="G24" s="43"/>
    </row>
    <row r="25" spans="1:22" x14ac:dyDescent="0.25">
      <c r="A25" s="39" t="s">
        <v>368</v>
      </c>
      <c r="B25" s="43" t="s">
        <v>369</v>
      </c>
      <c r="C25" s="43" t="s">
        <v>320</v>
      </c>
      <c r="D25" s="39" t="s">
        <v>286</v>
      </c>
      <c r="E25" s="43">
        <v>2250</v>
      </c>
      <c r="F25" s="43" t="str">
        <f t="shared" si="0"/>
        <v>SE</v>
      </c>
      <c r="G25" s="43"/>
    </row>
    <row r="26" spans="1:22" x14ac:dyDescent="0.25">
      <c r="A26" s="39" t="s">
        <v>370</v>
      </c>
      <c r="B26" s="43" t="s">
        <v>371</v>
      </c>
      <c r="C26" s="43" t="s">
        <v>301</v>
      </c>
      <c r="D26" s="39" t="s">
        <v>292</v>
      </c>
      <c r="E26" s="43">
        <v>2340</v>
      </c>
      <c r="F26" s="43" t="str">
        <f t="shared" si="0"/>
        <v>C</v>
      </c>
      <c r="G26" s="43"/>
    </row>
    <row r="27" spans="1:22" x14ac:dyDescent="0.25">
      <c r="A27" s="39" t="s">
        <v>372</v>
      </c>
      <c r="B27" s="43" t="s">
        <v>373</v>
      </c>
      <c r="C27" s="43" t="s">
        <v>374</v>
      </c>
      <c r="D27" s="39" t="s">
        <v>292</v>
      </c>
      <c r="E27" s="43">
        <v>2365</v>
      </c>
      <c r="F27" s="43" t="str">
        <f t="shared" si="0"/>
        <v>C</v>
      </c>
      <c r="G27" s="43"/>
    </row>
    <row r="28" spans="1:22" x14ac:dyDescent="0.25">
      <c r="A28" s="39" t="s">
        <v>375</v>
      </c>
      <c r="B28" s="43" t="s">
        <v>376</v>
      </c>
      <c r="C28" s="43" t="s">
        <v>291</v>
      </c>
      <c r="D28" s="39" t="s">
        <v>292</v>
      </c>
      <c r="E28" s="43">
        <v>3126</v>
      </c>
      <c r="F28" s="43" t="str">
        <f t="shared" si="0"/>
        <v>C</v>
      </c>
      <c r="G28" s="43"/>
    </row>
    <row r="29" spans="1:22" x14ac:dyDescent="0.25">
      <c r="A29" s="39" t="s">
        <v>377</v>
      </c>
      <c r="B29" s="43" t="s">
        <v>378</v>
      </c>
      <c r="C29" s="43" t="s">
        <v>330</v>
      </c>
      <c r="D29" s="39" t="s">
        <v>266</v>
      </c>
      <c r="E29" s="43">
        <v>1054</v>
      </c>
      <c r="F29" s="43" t="str">
        <f t="shared" si="0"/>
        <v>NE</v>
      </c>
      <c r="G29" s="43"/>
    </row>
    <row r="30" spans="1:22" x14ac:dyDescent="0.25">
      <c r="A30" s="39" t="s">
        <v>379</v>
      </c>
      <c r="B30" s="43" t="s">
        <v>380</v>
      </c>
      <c r="C30" s="43" t="s">
        <v>381</v>
      </c>
      <c r="D30" s="39" t="s">
        <v>292</v>
      </c>
      <c r="E30" s="43">
        <v>2370</v>
      </c>
      <c r="F30" s="43" t="str">
        <f t="shared" si="0"/>
        <v>C</v>
      </c>
      <c r="G30" s="43"/>
    </row>
    <row r="31" spans="1:22" x14ac:dyDescent="0.25">
      <c r="A31" s="39" t="s">
        <v>382</v>
      </c>
      <c r="B31" s="43" t="s">
        <v>383</v>
      </c>
      <c r="C31" s="43" t="s">
        <v>384</v>
      </c>
      <c r="D31" s="39" t="s">
        <v>286</v>
      </c>
      <c r="E31" s="43">
        <v>3186</v>
      </c>
      <c r="F31" s="43" t="str">
        <f t="shared" si="0"/>
        <v>SE</v>
      </c>
      <c r="G31" s="43"/>
    </row>
    <row r="32" spans="1:22" x14ac:dyDescent="0.25">
      <c r="A32" s="39" t="s">
        <v>385</v>
      </c>
      <c r="B32" s="43" t="s">
        <v>386</v>
      </c>
      <c r="C32" s="43" t="s">
        <v>374</v>
      </c>
      <c r="D32" s="39" t="s">
        <v>292</v>
      </c>
      <c r="E32" s="43">
        <v>3230</v>
      </c>
      <c r="F32" s="43" t="str">
        <f t="shared" si="0"/>
        <v>C</v>
      </c>
      <c r="G32" s="43"/>
    </row>
    <row r="33" spans="1:7" x14ac:dyDescent="0.25">
      <c r="A33" s="39" t="s">
        <v>387</v>
      </c>
      <c r="B33" s="43" t="s">
        <v>388</v>
      </c>
      <c r="C33" s="43" t="s">
        <v>285</v>
      </c>
      <c r="D33" s="39" t="s">
        <v>286</v>
      </c>
      <c r="E33" s="43">
        <v>2270</v>
      </c>
      <c r="F33" s="43" t="str">
        <f t="shared" si="0"/>
        <v>SE</v>
      </c>
      <c r="G33" s="43"/>
    </row>
    <row r="34" spans="1:7" x14ac:dyDescent="0.25">
      <c r="A34" s="39" t="s">
        <v>389</v>
      </c>
      <c r="B34" s="43" t="s">
        <v>390</v>
      </c>
      <c r="C34" s="43" t="s">
        <v>391</v>
      </c>
      <c r="D34" s="39" t="s">
        <v>270</v>
      </c>
      <c r="E34" s="43">
        <v>4100</v>
      </c>
      <c r="F34" s="43" t="str">
        <f t="shared" si="0"/>
        <v>W</v>
      </c>
      <c r="G34" s="43"/>
    </row>
    <row r="35" spans="1:7" x14ac:dyDescent="0.25">
      <c r="A35" s="39" t="s">
        <v>392</v>
      </c>
      <c r="B35" s="43" t="s">
        <v>393</v>
      </c>
      <c r="C35" s="43" t="s">
        <v>394</v>
      </c>
      <c r="D35" s="39" t="s">
        <v>286</v>
      </c>
      <c r="E35" s="43">
        <v>3051</v>
      </c>
      <c r="F35" s="43" t="str">
        <f t="shared" si="0"/>
        <v>SE</v>
      </c>
      <c r="G35" s="43"/>
    </row>
    <row r="36" spans="1:7" x14ac:dyDescent="0.25">
      <c r="A36" s="39" t="s">
        <v>395</v>
      </c>
      <c r="B36" s="43" t="s">
        <v>396</v>
      </c>
      <c r="C36" s="43" t="s">
        <v>349</v>
      </c>
      <c r="D36" s="39" t="s">
        <v>270</v>
      </c>
      <c r="E36" s="43">
        <v>4120</v>
      </c>
      <c r="F36" s="43" t="str">
        <f t="shared" si="0"/>
        <v>W</v>
      </c>
      <c r="G36" s="43"/>
    </row>
    <row r="37" spans="1:7" x14ac:dyDescent="0.25">
      <c r="A37" s="39" t="s">
        <v>397</v>
      </c>
      <c r="B37" s="43" t="s">
        <v>398</v>
      </c>
      <c r="C37" s="43" t="s">
        <v>291</v>
      </c>
      <c r="D37" s="39" t="s">
        <v>270</v>
      </c>
      <c r="E37" s="43">
        <v>3120</v>
      </c>
      <c r="F37" s="43" t="str">
        <f t="shared" si="0"/>
        <v>W</v>
      </c>
      <c r="G37" s="43"/>
    </row>
    <row r="38" spans="1:7" x14ac:dyDescent="0.25">
      <c r="A38" s="39" t="s">
        <v>399</v>
      </c>
      <c r="B38" s="43" t="s">
        <v>400</v>
      </c>
      <c r="C38" s="43" t="s">
        <v>401</v>
      </c>
      <c r="D38" s="39" t="s">
        <v>266</v>
      </c>
      <c r="E38" s="43">
        <v>2125</v>
      </c>
      <c r="F38" s="43" t="str">
        <f t="shared" si="0"/>
        <v>NE</v>
      </c>
      <c r="G38" s="43"/>
    </row>
    <row r="39" spans="1:7" x14ac:dyDescent="0.25">
      <c r="A39" s="39" t="s">
        <v>402</v>
      </c>
      <c r="B39" s="43" t="s">
        <v>403</v>
      </c>
      <c r="C39" s="43" t="s">
        <v>394</v>
      </c>
      <c r="D39" s="39" t="s">
        <v>286</v>
      </c>
      <c r="E39" s="43">
        <v>3147</v>
      </c>
      <c r="F39" s="43" t="str">
        <f t="shared" si="0"/>
        <v>SE</v>
      </c>
      <c r="G39" s="43"/>
    </row>
    <row r="40" spans="1:7" x14ac:dyDescent="0.25">
      <c r="A40" s="39" t="s">
        <v>404</v>
      </c>
      <c r="B40" s="43" t="s">
        <v>405</v>
      </c>
      <c r="C40" s="43" t="s">
        <v>406</v>
      </c>
      <c r="D40" s="39" t="s">
        <v>266</v>
      </c>
      <c r="E40" s="43">
        <v>2160</v>
      </c>
      <c r="F40" s="43" t="str">
        <f t="shared" si="0"/>
        <v>NE</v>
      </c>
      <c r="G40" s="43"/>
    </row>
    <row r="41" spans="1:7" x14ac:dyDescent="0.25">
      <c r="A41" s="39" t="s">
        <v>407</v>
      </c>
      <c r="B41" s="43" t="s">
        <v>408</v>
      </c>
      <c r="C41" s="43" t="s">
        <v>381</v>
      </c>
      <c r="D41" s="39" t="s">
        <v>292</v>
      </c>
      <c r="E41" s="43">
        <v>2350</v>
      </c>
      <c r="F41" s="43" t="str">
        <f t="shared" si="0"/>
        <v>C</v>
      </c>
      <c r="G41" s="43"/>
    </row>
    <row r="42" spans="1:7" x14ac:dyDescent="0.25">
      <c r="A42" s="39" t="s">
        <v>409</v>
      </c>
      <c r="B42" s="43" t="s">
        <v>410</v>
      </c>
      <c r="C42" s="43" t="s">
        <v>384</v>
      </c>
      <c r="D42" s="39" t="s">
        <v>286</v>
      </c>
      <c r="E42" s="43">
        <v>2230</v>
      </c>
      <c r="F42" s="43" t="str">
        <f t="shared" si="0"/>
        <v>SE</v>
      </c>
      <c r="G42" s="43"/>
    </row>
    <row r="43" spans="1:7" x14ac:dyDescent="0.25">
      <c r="A43" s="39" t="s">
        <v>411</v>
      </c>
      <c r="B43" s="39" t="s">
        <v>412</v>
      </c>
      <c r="C43" s="39" t="s">
        <v>413</v>
      </c>
      <c r="D43" s="39" t="s">
        <v>286</v>
      </c>
      <c r="E43" s="40">
        <v>3040</v>
      </c>
      <c r="F43" s="43" t="str">
        <f t="shared" si="0"/>
        <v>SE</v>
      </c>
      <c r="G43" s="43"/>
    </row>
    <row r="44" spans="1:7" x14ac:dyDescent="0.25">
      <c r="A44" s="39" t="s">
        <v>414</v>
      </c>
      <c r="B44" s="37" t="s">
        <v>415</v>
      </c>
      <c r="C44" s="37" t="s">
        <v>285</v>
      </c>
      <c r="D44" s="37" t="s">
        <v>286</v>
      </c>
      <c r="E44" s="45">
        <v>3139</v>
      </c>
      <c r="F44" s="43" t="str">
        <f t="shared" si="0"/>
        <v>SE</v>
      </c>
      <c r="G44" s="43"/>
    </row>
    <row r="45" spans="1:7" x14ac:dyDescent="0.25">
      <c r="A45" s="39" t="s">
        <v>416</v>
      </c>
      <c r="B45" s="43" t="s">
        <v>417</v>
      </c>
      <c r="C45" s="43" t="s">
        <v>354</v>
      </c>
      <c r="D45" s="39" t="s">
        <v>292</v>
      </c>
      <c r="E45" s="43">
        <v>3170</v>
      </c>
      <c r="F45" s="43" t="str">
        <f t="shared" si="0"/>
        <v>C</v>
      </c>
      <c r="G45" s="43"/>
    </row>
    <row r="46" spans="1:7" x14ac:dyDescent="0.25">
      <c r="A46" s="39" t="s">
        <v>418</v>
      </c>
      <c r="B46" s="43" t="s">
        <v>419</v>
      </c>
      <c r="C46" s="43" t="s">
        <v>374</v>
      </c>
      <c r="D46" s="39" t="s">
        <v>292</v>
      </c>
      <c r="E46" s="43">
        <v>2360</v>
      </c>
      <c r="F46" s="43" t="str">
        <f t="shared" si="0"/>
        <v>C</v>
      </c>
      <c r="G46" s="43"/>
    </row>
    <row r="47" spans="1:7" x14ac:dyDescent="0.25">
      <c r="A47" s="39" t="s">
        <v>420</v>
      </c>
      <c r="B47" s="43" t="s">
        <v>421</v>
      </c>
      <c r="C47" s="43" t="s">
        <v>275</v>
      </c>
      <c r="D47" s="39" t="s">
        <v>266</v>
      </c>
      <c r="E47" s="43">
        <v>3190</v>
      </c>
      <c r="F47" s="43" t="str">
        <f t="shared" si="0"/>
        <v>NE</v>
      </c>
      <c r="G47" s="43"/>
    </row>
    <row r="48" spans="1:7" x14ac:dyDescent="0.25">
      <c r="A48" s="39" t="s">
        <v>422</v>
      </c>
      <c r="B48" s="43" t="s">
        <v>423</v>
      </c>
      <c r="C48" s="43" t="s">
        <v>275</v>
      </c>
      <c r="D48" s="39" t="s">
        <v>266</v>
      </c>
      <c r="E48" s="43">
        <v>2116</v>
      </c>
      <c r="F48" s="43" t="str">
        <f t="shared" si="0"/>
        <v>NE</v>
      </c>
      <c r="G48" s="43"/>
    </row>
    <row r="49" spans="1:7" x14ac:dyDescent="0.25">
      <c r="A49" s="39" t="s">
        <v>424</v>
      </c>
      <c r="B49" s="43" t="s">
        <v>425</v>
      </c>
      <c r="C49" s="43" t="s">
        <v>391</v>
      </c>
      <c r="D49" s="39" t="s">
        <v>270</v>
      </c>
      <c r="E49" s="43">
        <v>4146</v>
      </c>
      <c r="F49" s="43" t="str">
        <f t="shared" si="0"/>
        <v>W</v>
      </c>
      <c r="G49" s="43"/>
    </row>
    <row r="50" spans="1:7" x14ac:dyDescent="0.25">
      <c r="A50" s="37" t="s">
        <v>424</v>
      </c>
      <c r="B50" s="37" t="s">
        <v>426</v>
      </c>
      <c r="C50" s="37" t="s">
        <v>367</v>
      </c>
      <c r="D50" s="37" t="s">
        <v>270</v>
      </c>
      <c r="E50" s="45">
        <v>4135</v>
      </c>
      <c r="F50" s="43" t="str">
        <f t="shared" si="0"/>
        <v>W</v>
      </c>
      <c r="G50" s="43"/>
    </row>
    <row r="51" spans="1:7" x14ac:dyDescent="0.25">
      <c r="A51" s="39" t="s">
        <v>427</v>
      </c>
      <c r="B51" s="43" t="s">
        <v>428</v>
      </c>
      <c r="C51" s="43" t="s">
        <v>406</v>
      </c>
      <c r="D51" s="39" t="s">
        <v>266</v>
      </c>
      <c r="E51" s="43">
        <v>2170</v>
      </c>
      <c r="F51" s="43" t="str">
        <f t="shared" si="0"/>
        <v>NE</v>
      </c>
      <c r="G51" s="43"/>
    </row>
    <row r="52" spans="1:7" x14ac:dyDescent="0.25">
      <c r="A52" s="39" t="s">
        <v>429</v>
      </c>
      <c r="B52" s="43" t="s">
        <v>430</v>
      </c>
      <c r="C52" s="43" t="s">
        <v>431</v>
      </c>
      <c r="D52" s="39" t="s">
        <v>286</v>
      </c>
      <c r="E52" s="43">
        <v>3055</v>
      </c>
      <c r="F52" s="43" t="str">
        <f t="shared" si="0"/>
        <v>SE</v>
      </c>
      <c r="G52" s="43"/>
    </row>
    <row r="53" spans="1:7" x14ac:dyDescent="0.25">
      <c r="A53" s="39" t="s">
        <v>432</v>
      </c>
      <c r="B53" s="39" t="s">
        <v>433</v>
      </c>
      <c r="C53" s="39" t="s">
        <v>434</v>
      </c>
      <c r="D53" s="39" t="s">
        <v>270</v>
      </c>
      <c r="E53" s="40">
        <v>4210</v>
      </c>
      <c r="F53" s="43" t="str">
        <f t="shared" si="0"/>
        <v>W</v>
      </c>
      <c r="G53" s="43"/>
    </row>
    <row r="54" spans="1:7" x14ac:dyDescent="0.25">
      <c r="A54" s="39" t="s">
        <v>435</v>
      </c>
      <c r="B54" s="43" t="s">
        <v>436</v>
      </c>
      <c r="C54" s="43" t="s">
        <v>437</v>
      </c>
      <c r="D54" s="39" t="s">
        <v>286</v>
      </c>
      <c r="E54" s="43">
        <v>2240</v>
      </c>
      <c r="F54" s="43" t="str">
        <f t="shared" si="0"/>
        <v>SE</v>
      </c>
      <c r="G54" s="43"/>
    </row>
    <row r="55" spans="1:7" x14ac:dyDescent="0.25">
      <c r="A55" s="39" t="s">
        <v>438</v>
      </c>
      <c r="B55" s="43" t="s">
        <v>439</v>
      </c>
      <c r="C55" s="43" t="s">
        <v>440</v>
      </c>
      <c r="D55" s="39" t="s">
        <v>270</v>
      </c>
      <c r="E55" s="43">
        <v>4110</v>
      </c>
      <c r="F55" s="43" t="str">
        <f t="shared" si="0"/>
        <v>W</v>
      </c>
      <c r="G55" s="43"/>
    </row>
    <row r="56" spans="1:7" x14ac:dyDescent="0.25">
      <c r="A56" s="39" t="s">
        <v>441</v>
      </c>
      <c r="B56" s="43" t="s">
        <v>442</v>
      </c>
      <c r="C56" s="43" t="s">
        <v>311</v>
      </c>
      <c r="D56" s="39" t="s">
        <v>266</v>
      </c>
      <c r="E56" s="43">
        <v>2030</v>
      </c>
      <c r="F56" s="43" t="str">
        <f t="shared" si="0"/>
        <v>NE</v>
      </c>
      <c r="G56" s="43"/>
    </row>
    <row r="57" spans="1:7" x14ac:dyDescent="0.25">
      <c r="A57" s="39" t="s">
        <v>443</v>
      </c>
      <c r="B57" s="43" t="s">
        <v>444</v>
      </c>
      <c r="C57" s="43" t="s">
        <v>401</v>
      </c>
      <c r="D57" s="39" t="s">
        <v>286</v>
      </c>
      <c r="E57" s="43">
        <v>2135</v>
      </c>
      <c r="F57" s="43" t="str">
        <f t="shared" si="0"/>
        <v>SE</v>
      </c>
      <c r="G57" s="43"/>
    </row>
    <row r="58" spans="1:7" x14ac:dyDescent="0.25">
      <c r="A58" s="39" t="s">
        <v>445</v>
      </c>
      <c r="B58" s="43" t="s">
        <v>446</v>
      </c>
      <c r="C58" s="43" t="s">
        <v>447</v>
      </c>
      <c r="D58" s="39" t="s">
        <v>292</v>
      </c>
      <c r="E58" s="43">
        <v>3210</v>
      </c>
      <c r="F58" s="43" t="str">
        <f t="shared" si="0"/>
        <v>C</v>
      </c>
      <c r="G58" s="43"/>
    </row>
    <row r="59" spans="1:7" x14ac:dyDescent="0.25">
      <c r="A59" s="39" t="s">
        <v>448</v>
      </c>
      <c r="B59" s="39" t="s">
        <v>449</v>
      </c>
      <c r="C59" s="39" t="s">
        <v>297</v>
      </c>
      <c r="D59" s="39" t="s">
        <v>270</v>
      </c>
      <c r="E59" s="39">
        <v>4118</v>
      </c>
      <c r="F59" s="43" t="str">
        <f t="shared" si="0"/>
        <v>W</v>
      </c>
      <c r="G59" s="43"/>
    </row>
    <row r="60" spans="1:7" x14ac:dyDescent="0.25">
      <c r="A60" s="39" t="s">
        <v>450</v>
      </c>
      <c r="B60" s="43" t="s">
        <v>451</v>
      </c>
      <c r="C60" s="43" t="s">
        <v>349</v>
      </c>
      <c r="D60" s="39" t="s">
        <v>270</v>
      </c>
      <c r="E60" s="43">
        <v>4140</v>
      </c>
      <c r="F60" s="43" t="str">
        <f t="shared" si="0"/>
        <v>W</v>
      </c>
      <c r="G60" s="43"/>
    </row>
    <row r="61" spans="1:7" x14ac:dyDescent="0.25">
      <c r="A61" s="39" t="s">
        <v>452</v>
      </c>
      <c r="B61" s="43" t="s">
        <v>453</v>
      </c>
      <c r="C61" s="43" t="s">
        <v>440</v>
      </c>
      <c r="D61" s="39" t="s">
        <v>270</v>
      </c>
      <c r="E61" s="43">
        <v>4117</v>
      </c>
      <c r="F61" s="43" t="str">
        <f t="shared" si="0"/>
        <v>W</v>
      </c>
      <c r="G61" s="43"/>
    </row>
    <row r="62" spans="1:7" x14ac:dyDescent="0.25">
      <c r="A62" s="39" t="s">
        <v>454</v>
      </c>
      <c r="B62" s="39" t="s">
        <v>455</v>
      </c>
      <c r="C62" s="39" t="s">
        <v>456</v>
      </c>
      <c r="D62" s="39" t="s">
        <v>270</v>
      </c>
      <c r="E62" s="40">
        <v>4170</v>
      </c>
      <c r="F62" s="43" t="str">
        <f t="shared" si="0"/>
        <v>W</v>
      </c>
      <c r="G62" s="43"/>
    </row>
    <row r="63" spans="1:7" x14ac:dyDescent="0.25">
      <c r="A63" s="39" t="s">
        <v>457</v>
      </c>
      <c r="B63" s="39" t="s">
        <v>458</v>
      </c>
      <c r="C63" s="39" t="s">
        <v>456</v>
      </c>
      <c r="D63" s="39" t="s">
        <v>270</v>
      </c>
      <c r="E63" s="39">
        <v>4147</v>
      </c>
      <c r="F63" s="43" t="str">
        <f t="shared" si="0"/>
        <v>W</v>
      </c>
      <c r="G63" s="43"/>
    </row>
    <row r="64" spans="1:7" x14ac:dyDescent="0.25">
      <c r="A64" s="39" t="s">
        <v>459</v>
      </c>
      <c r="B64" s="39" t="s">
        <v>460</v>
      </c>
      <c r="C64" s="39" t="s">
        <v>434</v>
      </c>
      <c r="D64" s="39" t="s">
        <v>270</v>
      </c>
      <c r="E64" s="40">
        <v>4220</v>
      </c>
      <c r="F64" s="43" t="str">
        <f t="shared" si="0"/>
        <v>W</v>
      </c>
      <c r="G64" s="43"/>
    </row>
    <row r="65" spans="1:7" x14ac:dyDescent="0.25">
      <c r="A65" s="39" t="s">
        <v>461</v>
      </c>
      <c r="B65" s="43" t="s">
        <v>462</v>
      </c>
      <c r="C65" s="43" t="s">
        <v>447</v>
      </c>
      <c r="D65" s="39" t="s">
        <v>292</v>
      </c>
      <c r="E65" s="43">
        <v>3220</v>
      </c>
      <c r="F65" s="43" t="str">
        <f t="shared" si="0"/>
        <v>C</v>
      </c>
      <c r="G65" s="43"/>
    </row>
    <row r="66" spans="1:7" x14ac:dyDescent="0.25">
      <c r="A66" s="39" t="s">
        <v>463</v>
      </c>
      <c r="B66" s="43" t="s">
        <v>464</v>
      </c>
      <c r="C66" s="43" t="s">
        <v>325</v>
      </c>
      <c r="D66" s="39" t="s">
        <v>292</v>
      </c>
      <c r="E66" s="43">
        <v>2330</v>
      </c>
      <c r="F66" s="43" t="str">
        <f t="shared" si="0"/>
        <v>C</v>
      </c>
      <c r="G66" s="43"/>
    </row>
    <row r="67" spans="1:7" x14ac:dyDescent="0.25">
      <c r="A67" s="39" t="s">
        <v>465</v>
      </c>
      <c r="B67" s="43" t="s">
        <v>466</v>
      </c>
      <c r="C67" s="43" t="s">
        <v>306</v>
      </c>
      <c r="D67" s="39" t="s">
        <v>286</v>
      </c>
      <c r="E67" s="43">
        <v>3103</v>
      </c>
      <c r="F67" s="43" t="str">
        <f t="shared" ref="F67:F74" si="1">IF(D67="NORTHEAST","NE",IF(D67="SOUTHEAST","SE",IF(D67="CENTRAL","C","W")))</f>
        <v>SE</v>
      </c>
      <c r="G67" s="43"/>
    </row>
    <row r="68" spans="1:7" x14ac:dyDescent="0.25">
      <c r="A68" s="37" t="s">
        <v>467</v>
      </c>
      <c r="B68" s="37" t="s">
        <v>468</v>
      </c>
      <c r="C68" s="37" t="s">
        <v>367</v>
      </c>
      <c r="D68" s="37" t="s">
        <v>270</v>
      </c>
      <c r="E68" s="45">
        <v>4125</v>
      </c>
      <c r="F68" s="43" t="str">
        <f t="shared" si="1"/>
        <v>W</v>
      </c>
      <c r="G68" s="43"/>
    </row>
    <row r="69" spans="1:7" x14ac:dyDescent="0.25">
      <c r="A69" s="39" t="s">
        <v>469</v>
      </c>
      <c r="B69" s="43" t="s">
        <v>470</v>
      </c>
      <c r="C69" s="43" t="s">
        <v>325</v>
      </c>
      <c r="D69" s="39" t="s">
        <v>292</v>
      </c>
      <c r="E69" s="43">
        <v>2310</v>
      </c>
      <c r="F69" s="43" t="str">
        <f t="shared" si="1"/>
        <v>C</v>
      </c>
      <c r="G69" s="43"/>
    </row>
    <row r="70" spans="1:7" x14ac:dyDescent="0.25">
      <c r="A70" s="39" t="s">
        <v>471</v>
      </c>
      <c r="B70" s="43" t="s">
        <v>472</v>
      </c>
      <c r="C70" s="43" t="s">
        <v>401</v>
      </c>
      <c r="D70" s="39" t="s">
        <v>286</v>
      </c>
      <c r="E70" s="43">
        <v>2165</v>
      </c>
      <c r="F70" s="43" t="str">
        <f t="shared" si="1"/>
        <v>SE</v>
      </c>
      <c r="G70" s="43"/>
    </row>
    <row r="71" spans="1:7" x14ac:dyDescent="0.25">
      <c r="A71" s="39" t="s">
        <v>473</v>
      </c>
      <c r="B71" s="43" t="s">
        <v>474</v>
      </c>
      <c r="C71" s="43" t="s">
        <v>475</v>
      </c>
      <c r="D71" s="39" t="s">
        <v>266</v>
      </c>
      <c r="E71" s="43">
        <v>2180</v>
      </c>
      <c r="F71" s="43" t="str">
        <f t="shared" si="1"/>
        <v>NE</v>
      </c>
      <c r="G71" s="43"/>
    </row>
    <row r="72" spans="1:7" x14ac:dyDescent="0.25">
      <c r="A72" s="39" t="s">
        <v>476</v>
      </c>
      <c r="B72" s="43" t="s">
        <v>477</v>
      </c>
      <c r="C72" s="43" t="s">
        <v>475</v>
      </c>
      <c r="D72" s="39" t="s">
        <v>266</v>
      </c>
      <c r="E72" s="43">
        <v>2185</v>
      </c>
      <c r="F72" s="43" t="str">
        <f t="shared" si="1"/>
        <v>NE</v>
      </c>
      <c r="G72" s="43"/>
    </row>
    <row r="73" spans="1:7" x14ac:dyDescent="0.25">
      <c r="A73" s="39" t="s">
        <v>478</v>
      </c>
      <c r="B73" s="43" t="s">
        <v>479</v>
      </c>
      <c r="C73" s="43" t="s">
        <v>325</v>
      </c>
      <c r="D73" s="39" t="s">
        <v>292</v>
      </c>
      <c r="E73" s="43">
        <v>248</v>
      </c>
      <c r="F73" s="43" t="str">
        <f t="shared" si="1"/>
        <v>C</v>
      </c>
      <c r="G73" s="43"/>
    </row>
    <row r="74" spans="1:7" x14ac:dyDescent="0.25">
      <c r="A74" s="43" t="s">
        <v>480</v>
      </c>
      <c r="B74" s="43" t="s">
        <v>481</v>
      </c>
      <c r="C74" s="43" t="s">
        <v>440</v>
      </c>
      <c r="D74" s="43" t="s">
        <v>270</v>
      </c>
      <c r="E74" s="43"/>
      <c r="F74" s="43" t="str">
        <f t="shared" si="1"/>
        <v>W</v>
      </c>
      <c r="G74" s="43"/>
    </row>
  </sheetData>
  <conditionalFormatting sqref="B1">
    <cfRule type="duplicateValues" dxfId="1" priority="2"/>
  </conditionalFormatting>
  <conditionalFormatting sqref="B2:B73">
    <cfRule type="duplicateValues" dxfId="0" priority="1"/>
  </conditionalFormatting>
  <pageMargins left="0.7" right="0.7" top="0.75" bottom="0.75" header="0.3" footer="0.3"/>
  <pageSetup orientation="portrait" r:id="rId1"/>
  <headerFooter differentOddEven="1" differentFirst="1">
    <oddFooter>&amp;LClassification: &amp;"Microsoft Sans Serif,Bold"&amp;KFFA500Confidential&amp;"Microsoft Sans Serif,Regular"&amp;K000000 Contains PII: &amp;"Microsoft Sans Serif,Bold"No</oddFooter>
    <evenFooter>&amp;LClassification: &amp;"Microsoft Sans Serif,Bold"&amp;KFFA500Confidential&amp;"Microsoft Sans Serif,Regular"&amp;K000000 Contains PII: &amp;"Microsoft Sans Serif,Bold"No</evenFooter>
    <firstFooter>&amp;LClassification: &amp;"Microsoft Sans Serif,Bold"&amp;KFFA500Confidential&amp;"Microsoft Sans Serif,Regular"&amp;K000000 Contains PII: &amp;"Microsoft Sans Serif,Bold"No</first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Bulk Upload</vt:lpstr>
      <vt:lpstr>Upload Mapping</vt:lpstr>
      <vt:lpstr>Markets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Prathima RM</dc:creator>
  <cp:lastModifiedBy>Prathima RM</cp:lastModifiedBy>
  <dcterms:created xsi:type="dcterms:W3CDTF">2015-06-05T18:17:20Z</dcterms:created>
  <dcterms:modified xsi:type="dcterms:W3CDTF">2023-08-30T14:59:40Z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bc3d8d92-be25-4c2b-a479-72a10ab00f46</vt:lpwstr>
  </property>
  <property fmtid="{D5CDD505-2E9C-101B-9397-08002B2CF9AE}" pid="3" name="Classification">
    <vt:lpwstr>LV_C0NF1D3NT1AL</vt:lpwstr>
  </property>
  <property fmtid="{D5CDD505-2E9C-101B-9397-08002B2CF9AE}" pid="4" name="ContainsPII">
    <vt:lpwstr>No</vt:lpwstr>
  </property>
</Properties>
</file>