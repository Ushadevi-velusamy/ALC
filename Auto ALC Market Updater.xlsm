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45D3D5F-131F-45F7-8D1C-70F619D3C028}"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1" l="1"/>
  <c r="Q2" i="1"/>
  <c r="D2" i="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<sst xmlns="http://schemas.openxmlformats.org/spreadsheetml/2006/main" count="1176" uniqueCount="278">
  <si>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</si>
  <si>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</si>
  <si>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</si>
  <si>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</si>
  <si>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</si>
  <si>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</si>
  <si>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</si>
  <si>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</si>
  <si>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</si>
  <si>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</si>
  <si>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</si>
  <si>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</si>
  <si>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</si>
  <si>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</si>
  <si>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</si>
  <si>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</si>
  <si>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</si>
  <si>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</si>
  <si>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</si>
  <si>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</si>
  <si>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</si>
  <si>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</si>
  <si>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</si>
  <si>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</si>
  <si>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</si>
  <si>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</si>
  <si>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</si>
  <si>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</si>
  <si>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</si>
  <si>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</si>
  <si>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</si>
  <si>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</si>
  <si>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</si>
  <si>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</si>
  <si>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</si>
  <si>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</si>
  <si>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</si>
  <si>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</si>
  <si>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</si>
  <si>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</si>
  <si>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</si>
  <si>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</si>
  <si>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</si>
  <si>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</si>
  <si>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</si>
  <si>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</si>
  <si>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</si>
  <si>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</si>
  <si>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</si>
  <si>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</si>
  <si>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</si>
  <si>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</si>
  <si>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</si>
  <si>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</si>
  <si>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</si>
  <si>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</si>
  <si>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</si>
  <si>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</si>
  <si>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</si>
  <si>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</si>
  <si>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</si>
  <si>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</si>
  <si>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</si>
  <si>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</si>
  <si>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</si>
  <si>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</si>
  <si>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</si>
  <si>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</si>
  <si>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</si>
  <si>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</si>
  <si>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</si>
  <si>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</si>
  <si>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</si>
  <si>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</si>
  <si>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</si>
  <si>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</si>
  <si>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</si>
  <si>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</si>
  <si>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</si>
  <si>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</si>
  <si>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</si>
  <si>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</si>
  <si>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</si>
  <si>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</si>
  <si>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</si>
  <si>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</si>
  <si>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</si>
  <si>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</si>
  <si>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</si>
  <si>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</si>
  <si>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</si>
  <si>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</si>
  <si>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</si>
  <si>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</si>
  <si>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</si>
  <si>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</si>
  <si>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</si>
  <si>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</si>
  <si>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</si>
  <si>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</si>
  <si>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</si>
  <si>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</si>
  <si>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</si>
  <si>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</si>
  <si>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</si>
  <si>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</si>
  <si>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</si>
  <si>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</si>
  <si>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</si>
  <si>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</si>
  <si>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</si>
  <si>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</si>
  <si>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</si>
  <si>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</si>
  <si>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</si>
  <si>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</si>
  <si>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</si>
  <si>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</si>
  <si>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</si>
  <si>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</si>
  <si>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</si>
  <si>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</si>
  <si>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</si>
  <si>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</si>
  <si>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</si>
  <si>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</si>
  <si>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</si>
  <si>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</si>
  <si>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</si>
  <si>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</si>
  <si>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</si>
  <si>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</si>
  <si>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</si>
  <si>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</si>
  <si>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</si>
  <si>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</si>
  <si>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</si>
  <si>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</si>
  <si>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</si>
  <si>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</si>
  <si>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</si>
  <si>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</si>
  <si>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</si>
  <si>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</si>
  <si>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</si>
  <si>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</si>
  <si>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</si>
  <si>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</si>
  <si>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</si>
  <si>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</si>
  <si>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</si>
  <si>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</si>
  <si>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</si>
  <si>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</si>
  <si>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</si>
  <si>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</si>
  <si>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</si>
  <si>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</si>
  <si>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</si>
  <si>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</si>
  <si>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</si>
  <si>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</si>
  <si>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</si>
  <si>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</si>
  <si>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</si>
  <si>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</si>
  <si>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</si>
  <si>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</si>
  <si>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</si>
  <si>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</si>
  <si>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</si>
  <si>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</si>
  <si>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</si>
  <si>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</si>
  <si>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</si>
  <si>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</si>
  <si>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</si>
  <si>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</si>
  <si>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</si>
  <si>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</si>
  <si>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</si>
  <si>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</si>
  <si>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</si>
  <si>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</si>
  <si>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</si>
  <si>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</si>
  <si>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</si>
  <si>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</si>
  <si>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</si>
  <si>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</si>
  <si>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</si>
  <si>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</si>
  <si>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</si>
  <si>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</si>
  <si>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</si>
  <si>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</si>
  <si>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</si>
  <si>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</si>
  <si>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</si>
  <si>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</si>
  <si>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</si>
  <si>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</si>
  <si>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</si>
  <si>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</si>
  <si>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</si>
  <si>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</si>
  <si>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</si>
  <si>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</si>
  <si>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</si>
  <si>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</si>
  <si>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</si>
  <si>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</si>
  <si>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</si>
  <si>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</si>
  <si>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</si>
  <si>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</si>
  <si>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</si>
  <si>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2020Q2</t>
  </si>
  <si>
    <t>2020Q3</t>
  </si>
  <si>
    <t>SEATTLE NORTH</t>
  </si>
  <si>
    <t>9L</t>
  </si>
  <si>
    <t>DENVER NORTH</t>
  </si>
  <si>
    <t>9O</t>
  </si>
  <si>
    <t>2020Q4</t>
  </si>
  <si>
    <t>Q1 2021 v2</t>
  </si>
  <si>
    <t>2021Q1</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</si>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</sst>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3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cellXfs>
  <cellStyles count="3">
    <cellStyle name="Comma" xfId="1" builtinId="3"/>
    <cellStyle name="Normal" xfId="0" builtinId="0"/>
    <cellStyle name="Percent" xfId="2"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topLeftCell="H1" workbookViewId="0">
      <selection activeCell="Q3" sqref="Q3"/>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 min="16" max="16" width="11.5703125" style="33" customWidth="1"/>
    <col min="17" max="17" width="9.140625" customWidth="1"/>
  </cols>
  <sheetData>
    <row r="1" spans="1:17" x14ac:dyDescent="0.25">
      <c r="A1" s="6" t="s">
        <v>2</v>
      </c>
      <c r="B1" s="7" t="s">
        <v>195</v>
      </c>
      <c r="C1" s="16" t="s">
        <v>197</v>
      </c>
      <c r="D1" s="16" t="s">
        <v>196</v>
      </c>
      <c r="E1" s="16" t="s">
        <v>198</v>
      </c>
      <c r="F1" s="17" t="s">
        <v>199</v>
      </c>
      <c r="G1" s="18" t="s">
        <v>224</v>
      </c>
      <c r="H1" s="3" t="s">
        <v>1</v>
      </c>
      <c r="I1" s="3" t="s">
        <v>73</v>
      </c>
      <c r="K1" s="9" t="s">
        <v>66</v>
      </c>
      <c r="M1" t="s">
        <v>247</v>
      </c>
    </row>
    <row r="2" spans="1:17" x14ac:dyDescent="0.25">
      <c r="A2" t="s">
        <v>9</v>
      </c>
      <c r="B2" s="8" t="str">
        <f>"'"&amp;A2&amp;"'"</f>
        <v>'ALBANY'</v>
      </c>
      <c r="C2" s="15" t="str">
        <f>IFERROR(VLOOKUP(A2,Markets!A:B,2,0)&amp;" ALC","")</f>
        <v>9B ALC</v>
      </c>
      <c r="D2" s="15" t="str">
        <f>IFERROR(VLOOKUP(A2,PushToSharePoint!A:D,4,0),"")</f>
        <v>ALBANY</v>
      </c>
      <c r="E2" s="15" t="str">
        <f>SUBSTITUTE(D2," ","%20")</f>
        <v>ALBANY</v>
      </c>
      <c r="F2" s="15" t="str">
        <f>SUBSTITUTE(C2," ","%20")</f>
        <v>9B%20ALC</v>
      </c>
      <c r="H2" s="4" t="s">
        <v>217</v>
      </c>
      <c r="I2" s="1" t="str">
        <f>"'"&amp;H2</f>
        <v>'2020Q2</v>
      </c>
      <c r="K2" s="9" t="s">
        <v>67</v>
      </c>
      <c r="M2" t="s">
        <v>248</v>
      </c>
      <c r="N2">
        <v>0.3</v>
      </c>
      <c r="P2" t="s">
        <v>274</v>
      </c>
      <c r="Q2" t="str">
        <f>VLOOKUP(A2,Markets!A:G,6)</f>
        <v>No</v>
      </c>
    </row>
    <row r="3" spans="1:17" x14ac:dyDescent="0.25">
      <c r="H3" s="4" t="s">
        <v>218</v>
      </c>
      <c r="I3" s="1" t="str">
        <f>I2&amp;"',"&amp;"'"&amp;H3</f>
        <v>'2020Q2','2020Q3</v>
      </c>
      <c r="K3" s="9" t="s">
        <v>68</v>
      </c>
      <c r="M3" t="s">
        <v>249</v>
      </c>
      <c r="N3">
        <v>0.5</v>
      </c>
      <c r="P3" t="s">
        <v>275</v>
      </c>
      <c r="Q3" s="32" t="str">
        <f>VLOOKUP(A2,Markets!A:G,7)</f>
        <v>No</v>
      </c>
    </row>
    <row r="4" spans="1:17" x14ac:dyDescent="0.25">
      <c r="H4" s="4" t="s">
        <v>223</v>
      </c>
      <c r="I4" s="1" t="str">
        <f>I3&amp;"',"&amp;"'"&amp;H4</f>
        <v>'2020Q2','2020Q3','2020Q4</v>
      </c>
      <c r="K4" s="9" t="s">
        <v>69</v>
      </c>
      <c r="M4" t="s">
        <v>250</v>
      </c>
      <c r="N4">
        <v>0.7</v>
      </c>
    </row>
    <row r="5" spans="1:17" x14ac:dyDescent="0.25">
      <c r="H5" s="4" t="s">
        <v>225</v>
      </c>
      <c r="I5" s="2" t="str">
        <f>I4&amp;"',"&amp;"'"&amp;H5&amp;"'"</f>
        <v>'2020Q2','2020Q3','2020Q4','2021Q1'</v>
      </c>
      <c r="K5" s="9" t="s">
        <v>70</v>
      </c>
      <c r="M5" t="s">
        <v>251</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226</v>
      </c>
    </row>
    <row r="12" spans="1:17" x14ac:dyDescent="0.25">
      <c r="K12" s="9" t="s">
        <v>246</v>
      </c>
    </row>
    <row r="13" spans="1:17" x14ac:dyDescent="0.25">
      <c r="K13" s="9" t="s">
        <v>270</v>
      </c>
    </row>
    <row r="14" spans="1:17" x14ac:dyDescent="0.25">
      <c r="K14" s="9" t="s">
        <v>271</v>
      </c>
    </row>
    <row r="15" spans="1:17" x14ac:dyDescent="0.25">
      <c r="K15" s="9" t="s">
        <v>272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214</v>
      </c>
      <c r="N17" t="s">
        <v>214</v>
      </c>
    </row>
    <row r="18" spans="3:14" x14ac:dyDescent="0.25">
      <c r="C18" t="s">
        <v>231</v>
      </c>
      <c r="L18" t="s">
        <v>27</v>
      </c>
      <c r="N18" t="s">
        <v>27</v>
      </c>
    </row>
    <row r="19" spans="3:14" x14ac:dyDescent="0.25">
      <c r="C19" t="s">
        <v>28</v>
      </c>
      <c r="L19" t="s">
        <v>231</v>
      </c>
      <c r="N19" t="s">
        <v>231</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213</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172</v>
      </c>
      <c r="N57" t="s">
        <v>64</v>
      </c>
    </row>
    <row r="58" spans="3:14" x14ac:dyDescent="0.25">
      <c r="C58" t="s">
        <v>214</v>
      </c>
      <c r="N58" t="s">
        <v>65</v>
      </c>
    </row>
    <row r="59" spans="3:14" x14ac:dyDescent="0.25">
      <c r="C59" t="s">
        <v>221</v>
      </c>
      <c r="N59" t="s">
        <v>172</v>
      </c>
    </row>
    <row r="60" spans="3:14" x14ac:dyDescent="0.25">
      <c r="C60" t="s">
        <v>219</v>
      </c>
    </row>
    <row r="61" spans="3:14" x14ac:dyDescent="0.25">
      <c r="C61" t="s">
        <v>213</v>
      </c>
    </row>
    <row r="62" spans="3:14" x14ac:dyDescent="0.25">
      <c r="C62" t="s">
        <v>227</v>
      </c>
    </row>
    <row r="63" spans="3:14" x14ac:dyDescent="0.25">
      <c r="C63" t="s">
        <v>228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D8" sqref="D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200</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221</v>
      </c>
      <c r="B18" s="9" t="s">
        <v>75</v>
      </c>
      <c r="C18" s="9" t="s">
        <v>221</v>
      </c>
      <c r="D18" s="10" t="str">
        <f t="shared" si="0"/>
        <v>DENVER NORTH</v>
      </c>
      <c r="J18" t="s">
        <v>25</v>
      </c>
      <c r="O18" s="5" t="s">
        <v>27</v>
      </c>
    </row>
    <row r="19" spans="1:15" x14ac:dyDescent="0.25">
      <c r="A19" s="9" t="s">
        <v>214</v>
      </c>
      <c r="B19" s="9" t="s">
        <v>75</v>
      </c>
      <c r="C19" s="9" t="s">
        <v>214</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231</v>
      </c>
      <c r="B21" s="9" t="s">
        <v>75</v>
      </c>
      <c r="C21" s="9"/>
      <c r="D21" s="10" t="str">
        <f t="shared" si="0"/>
        <v>NEW ORLEANS</v>
      </c>
      <c r="J21" t="s">
        <v>231</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219</v>
      </c>
      <c r="B53" s="9" t="s">
        <v>75</v>
      </c>
      <c r="C53" s="9" t="s">
        <v>219</v>
      </c>
      <c r="D53" s="10" t="s">
        <v>219</v>
      </c>
      <c r="J53" t="s">
        <v>55</v>
      </c>
      <c r="O53" s="5" t="s">
        <v>60</v>
      </c>
    </row>
    <row r="54" spans="1:15" x14ac:dyDescent="0.25">
      <c r="A54" s="9" t="s">
        <v>213</v>
      </c>
      <c r="B54" s="9" t="s">
        <v>75</v>
      </c>
      <c r="C54" s="9" t="s">
        <v>213</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172</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172</v>
      </c>
      <c r="B62" s="9" t="s">
        <v>75</v>
      </c>
      <c r="C62" s="9"/>
      <c r="D62" s="10" t="str">
        <f>IF(C62="",A62,C62)</f>
        <v>WISCONSIN</v>
      </c>
      <c r="J62" t="s">
        <v>63</v>
      </c>
    </row>
    <row r="63" spans="1:15" x14ac:dyDescent="0.25">
      <c r="A63" s="22" t="s">
        <v>227</v>
      </c>
      <c r="B63" s="9" t="s">
        <v>75</v>
      </c>
      <c r="C63" s="9"/>
      <c r="D63" s="10" t="str">
        <f>IF(C63="",A63,C63)</f>
        <v>ANCHORAGE</v>
      </c>
      <c r="J63" t="s">
        <v>64</v>
      </c>
    </row>
    <row r="64" spans="1:15" x14ac:dyDescent="0.25">
      <c r="A64" s="22" t="s">
        <v>228</v>
      </c>
      <c r="B64" s="9" t="s">
        <v>75</v>
      </c>
      <c r="C64" s="9"/>
      <c r="D64" s="10" t="s">
        <v>228</v>
      </c>
      <c r="J64" t="s">
        <v>65</v>
      </c>
    </row>
    <row r="65" spans="10:10" x14ac:dyDescent="0.25">
      <c r="J65" t="s">
        <v>172</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1"/>
  <sheetViews>
    <sheetView workbookViewId="0">
      <selection activeCell="F1" sqref="F1:G1"/>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1" t="s">
        <v>274</v>
      </c>
      <c r="G1" s="31" t="s">
        <v>275</v>
      </c>
    </row>
    <row r="2" spans="1:7" x14ac:dyDescent="0.25">
      <c r="A2" s="12" t="s">
        <v>9</v>
      </c>
      <c r="B2" s="11" t="s">
        <v>148</v>
      </c>
      <c r="C2" s="9">
        <v>2140</v>
      </c>
      <c r="D2" s="9" t="s">
        <v>147</v>
      </c>
      <c r="E2" s="12" t="s">
        <v>142</v>
      </c>
      <c r="F2" s="9" t="s">
        <v>276</v>
      </c>
      <c r="G2" s="9" t="s">
        <v>276</v>
      </c>
    </row>
    <row r="3" spans="1:7" x14ac:dyDescent="0.25">
      <c r="A3" s="12" t="s">
        <v>10</v>
      </c>
      <c r="B3" s="11" t="s">
        <v>98</v>
      </c>
      <c r="C3" s="9">
        <v>1933</v>
      </c>
      <c r="D3" s="9" t="s">
        <v>97</v>
      </c>
      <c r="E3" s="12" t="s">
        <v>88</v>
      </c>
      <c r="F3" s="9" t="s">
        <v>276</v>
      </c>
      <c r="G3" s="9" t="s">
        <v>276</v>
      </c>
    </row>
    <row r="4" spans="1:7" x14ac:dyDescent="0.25">
      <c r="A4" s="12" t="s">
        <v>11</v>
      </c>
      <c r="B4" s="11" t="s">
        <v>160</v>
      </c>
      <c r="C4" s="9">
        <v>2110</v>
      </c>
      <c r="D4" s="9" t="s">
        <v>158</v>
      </c>
      <c r="E4" s="12" t="s">
        <v>142</v>
      </c>
      <c r="F4" s="9" t="s">
        <v>276</v>
      </c>
      <c r="G4" s="9" t="s">
        <v>276</v>
      </c>
    </row>
    <row r="5" spans="1:7" x14ac:dyDescent="0.25">
      <c r="A5" s="12" t="s">
        <v>12</v>
      </c>
      <c r="B5" s="11" t="s">
        <v>135</v>
      </c>
      <c r="C5" s="9">
        <v>2220</v>
      </c>
      <c r="D5" s="9" t="s">
        <v>133</v>
      </c>
      <c r="E5" s="12" t="s">
        <v>105</v>
      </c>
      <c r="F5" s="9" t="s">
        <v>276</v>
      </c>
      <c r="G5" s="9" t="s">
        <v>276</v>
      </c>
    </row>
    <row r="6" spans="1:7" x14ac:dyDescent="0.25">
      <c r="A6" s="12" t="s">
        <v>13</v>
      </c>
      <c r="B6" s="11" t="s">
        <v>131</v>
      </c>
      <c r="C6" s="9">
        <v>3023</v>
      </c>
      <c r="D6" s="9" t="s">
        <v>129</v>
      </c>
      <c r="E6" s="12" t="s">
        <v>273</v>
      </c>
      <c r="F6" s="9" t="s">
        <v>277</v>
      </c>
      <c r="G6" s="9" t="s">
        <v>276</v>
      </c>
    </row>
    <row r="7" spans="1:7" x14ac:dyDescent="0.25">
      <c r="A7" s="12" t="s">
        <v>14</v>
      </c>
      <c r="B7" s="11" t="s">
        <v>120</v>
      </c>
      <c r="C7" s="9">
        <v>2010</v>
      </c>
      <c r="D7" s="9" t="s">
        <v>117</v>
      </c>
      <c r="E7" s="12" t="s">
        <v>142</v>
      </c>
      <c r="F7" s="9" t="s">
        <v>276</v>
      </c>
      <c r="G7" s="9" t="s">
        <v>276</v>
      </c>
    </row>
    <row r="8" spans="1:7" x14ac:dyDescent="0.25">
      <c r="A8" s="12" t="s">
        <v>15</v>
      </c>
      <c r="B8" s="11" t="s">
        <v>189</v>
      </c>
      <c r="C8" s="9">
        <v>2345</v>
      </c>
      <c r="D8" s="9" t="s">
        <v>185</v>
      </c>
      <c r="E8" s="12" t="s">
        <v>273</v>
      </c>
      <c r="F8" s="9" t="s">
        <v>276</v>
      </c>
      <c r="G8" s="9" t="s">
        <v>276</v>
      </c>
    </row>
    <row r="9" spans="1:7" x14ac:dyDescent="0.25">
      <c r="A9" s="12" t="s">
        <v>16</v>
      </c>
      <c r="B9" s="11" t="s">
        <v>111</v>
      </c>
      <c r="C9" s="9">
        <v>3135</v>
      </c>
      <c r="D9" s="9" t="s">
        <v>110</v>
      </c>
      <c r="E9" s="12" t="s">
        <v>105</v>
      </c>
      <c r="F9" s="9" t="s">
        <v>276</v>
      </c>
      <c r="G9" s="9" t="s">
        <v>276</v>
      </c>
    </row>
    <row r="10" spans="1:7" x14ac:dyDescent="0.25">
      <c r="A10" s="12" t="s">
        <v>17</v>
      </c>
      <c r="B10" s="11" t="s">
        <v>152</v>
      </c>
      <c r="C10" s="9">
        <v>2148</v>
      </c>
      <c r="D10" s="9" t="s">
        <v>153</v>
      </c>
      <c r="E10" s="12" t="s">
        <v>142</v>
      </c>
      <c r="F10" s="9" t="s">
        <v>276</v>
      </c>
      <c r="G10" s="9" t="s">
        <v>276</v>
      </c>
    </row>
    <row r="11" spans="1:7" x14ac:dyDescent="0.25">
      <c r="A11" s="12" t="s">
        <v>18</v>
      </c>
      <c r="B11" s="11" t="s">
        <v>146</v>
      </c>
      <c r="C11" s="9">
        <v>2190</v>
      </c>
      <c r="D11" s="9" t="s">
        <v>147</v>
      </c>
      <c r="E11" s="12" t="s">
        <v>142</v>
      </c>
      <c r="F11" s="9" t="s">
        <v>276</v>
      </c>
      <c r="G11" s="9" t="s">
        <v>276</v>
      </c>
    </row>
    <row r="12" spans="1:7" x14ac:dyDescent="0.25">
      <c r="A12" s="12" t="s">
        <v>19</v>
      </c>
      <c r="B12" s="11" t="s">
        <v>108</v>
      </c>
      <c r="C12" s="9">
        <v>2210</v>
      </c>
      <c r="D12" s="9" t="s">
        <v>107</v>
      </c>
      <c r="E12" s="12" t="s">
        <v>105</v>
      </c>
      <c r="F12" s="9" t="s">
        <v>276</v>
      </c>
      <c r="G12" s="9" t="s">
        <v>276</v>
      </c>
    </row>
    <row r="13" spans="1:7" x14ac:dyDescent="0.25">
      <c r="A13" s="12" t="s">
        <v>0</v>
      </c>
      <c r="B13" s="11" t="s">
        <v>176</v>
      </c>
      <c r="C13" s="9">
        <v>2099</v>
      </c>
      <c r="D13" s="9" t="s">
        <v>173</v>
      </c>
      <c r="E13" s="12" t="s">
        <v>273</v>
      </c>
      <c r="F13" s="9" t="s">
        <v>276</v>
      </c>
      <c r="G13" s="9" t="s">
        <v>276</v>
      </c>
    </row>
    <row r="14" spans="1:7" x14ac:dyDescent="0.25">
      <c r="A14" s="12" t="s">
        <v>20</v>
      </c>
      <c r="B14" s="11" t="s">
        <v>167</v>
      </c>
      <c r="C14" s="9">
        <v>1103</v>
      </c>
      <c r="D14" s="9" t="s">
        <v>166</v>
      </c>
      <c r="E14" s="12" t="s">
        <v>142</v>
      </c>
      <c r="F14" s="9" t="s">
        <v>276</v>
      </c>
      <c r="G14" s="9" t="s">
        <v>276</v>
      </c>
    </row>
    <row r="15" spans="1:7" x14ac:dyDescent="0.25">
      <c r="A15" s="12" t="s">
        <v>21</v>
      </c>
      <c r="B15" s="11" t="s">
        <v>179</v>
      </c>
      <c r="C15" s="9">
        <v>1104</v>
      </c>
      <c r="D15" s="9" t="s">
        <v>178</v>
      </c>
      <c r="E15" s="12" t="s">
        <v>142</v>
      </c>
      <c r="F15" s="9" t="s">
        <v>276</v>
      </c>
      <c r="G15" s="9" t="s">
        <v>276</v>
      </c>
    </row>
    <row r="16" spans="1:7" x14ac:dyDescent="0.25">
      <c r="A16" s="12" t="s">
        <v>22</v>
      </c>
      <c r="B16" s="11" t="s">
        <v>112</v>
      </c>
      <c r="C16" s="9">
        <v>2260</v>
      </c>
      <c r="D16" s="9" t="s">
        <v>113</v>
      </c>
      <c r="E16" s="12" t="s">
        <v>105</v>
      </c>
      <c r="F16" s="9" t="s">
        <v>276</v>
      </c>
      <c r="G16" s="9" t="s">
        <v>276</v>
      </c>
    </row>
    <row r="17" spans="1:7" x14ac:dyDescent="0.25">
      <c r="A17" s="12" t="s">
        <v>23</v>
      </c>
      <c r="B17" s="11" t="s">
        <v>151</v>
      </c>
      <c r="C17" s="9">
        <v>2020</v>
      </c>
      <c r="D17" s="9" t="s">
        <v>150</v>
      </c>
      <c r="E17" s="12" t="s">
        <v>142</v>
      </c>
      <c r="F17" s="9" t="s">
        <v>276</v>
      </c>
      <c r="G17" s="9" t="s">
        <v>276</v>
      </c>
    </row>
    <row r="18" spans="1:7" x14ac:dyDescent="0.25">
      <c r="A18" s="12" t="s">
        <v>24</v>
      </c>
      <c r="B18" s="11" t="s">
        <v>95</v>
      </c>
      <c r="C18" s="9">
        <v>4150</v>
      </c>
      <c r="D18" s="9" t="s">
        <v>93</v>
      </c>
      <c r="E18" s="12" t="s">
        <v>88</v>
      </c>
      <c r="F18" s="9" t="s">
        <v>276</v>
      </c>
      <c r="G18" s="9" t="s">
        <v>276</v>
      </c>
    </row>
    <row r="19" spans="1:7" x14ac:dyDescent="0.25">
      <c r="A19" s="12" t="s">
        <v>25</v>
      </c>
      <c r="B19" s="11" t="s">
        <v>125</v>
      </c>
      <c r="C19" s="9">
        <v>3150</v>
      </c>
      <c r="D19" s="9" t="s">
        <v>124</v>
      </c>
      <c r="E19" s="12" t="s">
        <v>273</v>
      </c>
      <c r="F19" s="9" t="s">
        <v>276</v>
      </c>
      <c r="G19" s="9" t="s">
        <v>276</v>
      </c>
    </row>
    <row r="20" spans="1:7" x14ac:dyDescent="0.25">
      <c r="A20" s="12" t="s">
        <v>221</v>
      </c>
      <c r="B20" s="11" t="s">
        <v>222</v>
      </c>
      <c r="C20" s="9">
        <v>3340</v>
      </c>
      <c r="D20" s="9" t="s">
        <v>97</v>
      </c>
      <c r="E20" s="12" t="s">
        <v>273</v>
      </c>
      <c r="F20" s="9" t="s">
        <v>276</v>
      </c>
      <c r="G20" s="9" t="s">
        <v>276</v>
      </c>
    </row>
    <row r="21" spans="1:7" x14ac:dyDescent="0.25">
      <c r="A21" s="12" t="s">
        <v>214</v>
      </c>
      <c r="B21" s="11" t="s">
        <v>96</v>
      </c>
      <c r="C21" s="9">
        <v>3160</v>
      </c>
      <c r="D21" s="9" t="s">
        <v>97</v>
      </c>
      <c r="E21" s="12" t="s">
        <v>273</v>
      </c>
      <c r="F21" s="9" t="s">
        <v>276</v>
      </c>
      <c r="G21" s="9" t="s">
        <v>276</v>
      </c>
    </row>
    <row r="22" spans="1:7" x14ac:dyDescent="0.25">
      <c r="A22" s="12" t="s">
        <v>27</v>
      </c>
      <c r="B22" s="11" t="s">
        <v>177</v>
      </c>
      <c r="C22" s="9">
        <v>1106</v>
      </c>
      <c r="D22" s="9" t="s">
        <v>178</v>
      </c>
      <c r="E22" s="12" t="s">
        <v>142</v>
      </c>
      <c r="F22" s="9" t="s">
        <v>276</v>
      </c>
      <c r="G22" s="9" t="s">
        <v>276</v>
      </c>
    </row>
    <row r="23" spans="1:7" x14ac:dyDescent="0.25">
      <c r="A23" s="12" t="s">
        <v>231</v>
      </c>
      <c r="B23" s="11" t="s">
        <v>126</v>
      </c>
      <c r="C23" s="9">
        <v>3040</v>
      </c>
      <c r="D23" s="9" t="s">
        <v>127</v>
      </c>
      <c r="E23" s="12" t="s">
        <v>105</v>
      </c>
      <c r="F23" s="9" t="s">
        <v>276</v>
      </c>
      <c r="G23" s="9" t="s">
        <v>276</v>
      </c>
    </row>
    <row r="24" spans="1:7" x14ac:dyDescent="0.25">
      <c r="A24" s="12" t="s">
        <v>28</v>
      </c>
      <c r="B24" s="11" t="s">
        <v>106</v>
      </c>
      <c r="C24" s="9">
        <v>2250</v>
      </c>
      <c r="D24" s="9" t="s">
        <v>107</v>
      </c>
      <c r="E24" s="12" t="s">
        <v>105</v>
      </c>
      <c r="F24" s="9" t="s">
        <v>276</v>
      </c>
      <c r="G24" s="9" t="s">
        <v>276</v>
      </c>
    </row>
    <row r="25" spans="1:7" x14ac:dyDescent="0.25">
      <c r="A25" s="12" t="s">
        <v>29</v>
      </c>
      <c r="B25" s="11" t="s">
        <v>188</v>
      </c>
      <c r="C25" s="9">
        <v>2340</v>
      </c>
      <c r="D25" s="9" t="s">
        <v>185</v>
      </c>
      <c r="E25" s="12" t="s">
        <v>273</v>
      </c>
      <c r="F25" s="9" t="s">
        <v>276</v>
      </c>
      <c r="G25" s="9" t="s">
        <v>276</v>
      </c>
    </row>
    <row r="26" spans="1:7" x14ac:dyDescent="0.25">
      <c r="A26" s="12" t="s">
        <v>30</v>
      </c>
      <c r="B26" s="11" t="s">
        <v>183</v>
      </c>
      <c r="C26" s="9">
        <v>2365</v>
      </c>
      <c r="D26" s="9" t="s">
        <v>181</v>
      </c>
      <c r="E26" s="12" t="s">
        <v>273</v>
      </c>
      <c r="F26" s="9" t="s">
        <v>276</v>
      </c>
      <c r="G26" s="9" t="s">
        <v>276</v>
      </c>
    </row>
    <row r="27" spans="1:7" x14ac:dyDescent="0.25">
      <c r="A27" s="12" t="s">
        <v>31</v>
      </c>
      <c r="B27" s="11" t="s">
        <v>130</v>
      </c>
      <c r="C27" s="9">
        <v>3126</v>
      </c>
      <c r="D27" s="9" t="s">
        <v>129</v>
      </c>
      <c r="E27" s="12" t="s">
        <v>273</v>
      </c>
      <c r="F27" s="9" t="s">
        <v>276</v>
      </c>
      <c r="G27" s="9" t="s">
        <v>276</v>
      </c>
    </row>
    <row r="28" spans="1:7" x14ac:dyDescent="0.25">
      <c r="A28" s="12" t="s">
        <v>32</v>
      </c>
      <c r="B28" s="11" t="s">
        <v>165</v>
      </c>
      <c r="C28" s="9">
        <v>1054</v>
      </c>
      <c r="D28" s="9" t="s">
        <v>166</v>
      </c>
      <c r="E28" s="12" t="s">
        <v>142</v>
      </c>
      <c r="F28" s="9" t="s">
        <v>276</v>
      </c>
      <c r="G28" s="9" t="s">
        <v>276</v>
      </c>
    </row>
    <row r="29" spans="1:7" x14ac:dyDescent="0.25">
      <c r="A29" s="12" t="s">
        <v>33</v>
      </c>
      <c r="B29" s="11" t="s">
        <v>164</v>
      </c>
      <c r="C29" s="9">
        <v>2370</v>
      </c>
      <c r="D29" s="9" t="s">
        <v>163</v>
      </c>
      <c r="E29" s="12" t="s">
        <v>273</v>
      </c>
      <c r="F29" s="9" t="s">
        <v>276</v>
      </c>
      <c r="G29" s="9" t="s">
        <v>276</v>
      </c>
    </row>
    <row r="30" spans="1:7" x14ac:dyDescent="0.25">
      <c r="A30" s="12" t="s">
        <v>7</v>
      </c>
      <c r="B30" s="11" t="s">
        <v>138</v>
      </c>
      <c r="C30" s="9">
        <v>3186</v>
      </c>
      <c r="D30" s="9" t="s">
        <v>137</v>
      </c>
      <c r="E30" s="12" t="s">
        <v>105</v>
      </c>
      <c r="F30" s="9" t="s">
        <v>276</v>
      </c>
      <c r="G30" s="9" t="s">
        <v>276</v>
      </c>
    </row>
    <row r="31" spans="1:7" x14ac:dyDescent="0.25">
      <c r="A31" s="12" t="s">
        <v>34</v>
      </c>
      <c r="B31" s="11" t="s">
        <v>182</v>
      </c>
      <c r="C31" s="9">
        <v>3230</v>
      </c>
      <c r="D31" s="9" t="s">
        <v>181</v>
      </c>
      <c r="E31" s="12" t="s">
        <v>273</v>
      </c>
      <c r="F31" s="9" t="s">
        <v>276</v>
      </c>
      <c r="G31" s="9" t="s">
        <v>276</v>
      </c>
    </row>
    <row r="32" spans="1:7" x14ac:dyDescent="0.25">
      <c r="A32" s="12" t="s">
        <v>35</v>
      </c>
      <c r="B32" s="11" t="s">
        <v>134</v>
      </c>
      <c r="C32" s="9">
        <v>2270</v>
      </c>
      <c r="D32" s="9" t="s">
        <v>133</v>
      </c>
      <c r="E32" s="12" t="s">
        <v>105</v>
      </c>
      <c r="F32" s="9" t="s">
        <v>276</v>
      </c>
      <c r="G32" s="9" t="s">
        <v>276</v>
      </c>
    </row>
    <row r="33" spans="1:7" x14ac:dyDescent="0.25">
      <c r="A33" s="12" t="s">
        <v>36</v>
      </c>
      <c r="B33" s="11" t="s">
        <v>91</v>
      </c>
      <c r="C33" s="9">
        <v>4100</v>
      </c>
      <c r="D33" s="9" t="s">
        <v>90</v>
      </c>
      <c r="E33" s="12" t="s">
        <v>88</v>
      </c>
      <c r="F33" s="9" t="s">
        <v>276</v>
      </c>
      <c r="G33" s="9" t="s">
        <v>276</v>
      </c>
    </row>
    <row r="34" spans="1:7" x14ac:dyDescent="0.25">
      <c r="A34" s="12" t="s">
        <v>37</v>
      </c>
      <c r="B34" s="11" t="s">
        <v>141</v>
      </c>
      <c r="C34" s="9">
        <v>3051</v>
      </c>
      <c r="D34" s="9" t="s">
        <v>140</v>
      </c>
      <c r="E34" s="12" t="s">
        <v>105</v>
      </c>
      <c r="F34" s="9" t="s">
        <v>276</v>
      </c>
      <c r="G34" s="9" t="s">
        <v>276</v>
      </c>
    </row>
    <row r="35" spans="1:7" x14ac:dyDescent="0.25">
      <c r="A35" s="12" t="s">
        <v>38</v>
      </c>
      <c r="B35" s="11" t="s">
        <v>94</v>
      </c>
      <c r="C35" s="9">
        <v>4120</v>
      </c>
      <c r="D35" s="9" t="s">
        <v>93</v>
      </c>
      <c r="E35" s="12" t="s">
        <v>88</v>
      </c>
      <c r="F35" s="9" t="s">
        <v>276</v>
      </c>
      <c r="G35" s="9" t="s">
        <v>276</v>
      </c>
    </row>
    <row r="36" spans="1:7" x14ac:dyDescent="0.25">
      <c r="A36" s="12" t="s">
        <v>39</v>
      </c>
      <c r="B36" s="11" t="s">
        <v>128</v>
      </c>
      <c r="C36" s="9">
        <v>3120</v>
      </c>
      <c r="D36" s="9" t="s">
        <v>129</v>
      </c>
      <c r="E36" s="12" t="s">
        <v>88</v>
      </c>
      <c r="F36" s="9" t="s">
        <v>276</v>
      </c>
      <c r="G36" s="9" t="s">
        <v>276</v>
      </c>
    </row>
    <row r="37" spans="1:7" x14ac:dyDescent="0.25">
      <c r="A37" s="12" t="s">
        <v>40</v>
      </c>
      <c r="B37" s="11" t="s">
        <v>119</v>
      </c>
      <c r="C37" s="9">
        <v>2125</v>
      </c>
      <c r="D37" s="9" t="s">
        <v>117</v>
      </c>
      <c r="E37" s="12" t="s">
        <v>142</v>
      </c>
      <c r="F37" s="9" t="s">
        <v>276</v>
      </c>
      <c r="G37" s="9" t="s">
        <v>276</v>
      </c>
    </row>
    <row r="38" spans="1:7" x14ac:dyDescent="0.25">
      <c r="A38" s="12" t="s">
        <v>41</v>
      </c>
      <c r="B38" s="11" t="s">
        <v>139</v>
      </c>
      <c r="C38" s="9">
        <v>3147</v>
      </c>
      <c r="D38" s="9" t="s">
        <v>140</v>
      </c>
      <c r="E38" s="12" t="s">
        <v>105</v>
      </c>
      <c r="F38" s="9" t="s">
        <v>276</v>
      </c>
      <c r="G38" s="9" t="s">
        <v>276</v>
      </c>
    </row>
    <row r="39" spans="1:7" x14ac:dyDescent="0.25">
      <c r="A39" s="12" t="s">
        <v>42</v>
      </c>
      <c r="B39" s="11" t="s">
        <v>156</v>
      </c>
      <c r="C39" s="9">
        <v>2160</v>
      </c>
      <c r="D39" s="9" t="s">
        <v>155</v>
      </c>
      <c r="E39" s="12" t="s">
        <v>142</v>
      </c>
      <c r="F39" s="9" t="s">
        <v>276</v>
      </c>
      <c r="G39" s="9" t="s">
        <v>276</v>
      </c>
    </row>
    <row r="40" spans="1:7" x14ac:dyDescent="0.25">
      <c r="A40" s="12" t="s">
        <v>43</v>
      </c>
      <c r="B40" s="11" t="s">
        <v>162</v>
      </c>
      <c r="C40" s="9">
        <v>2350</v>
      </c>
      <c r="D40" s="9" t="s">
        <v>163</v>
      </c>
      <c r="E40" s="12" t="s">
        <v>273</v>
      </c>
      <c r="F40" s="9" t="s">
        <v>276</v>
      </c>
      <c r="G40" s="9" t="s">
        <v>276</v>
      </c>
    </row>
    <row r="41" spans="1:7" x14ac:dyDescent="0.25">
      <c r="A41" s="12" t="s">
        <v>4</v>
      </c>
      <c r="B41" s="11" t="s">
        <v>136</v>
      </c>
      <c r="C41" s="9">
        <v>2230</v>
      </c>
      <c r="D41" s="9" t="s">
        <v>137</v>
      </c>
      <c r="E41" s="12" t="s">
        <v>105</v>
      </c>
      <c r="F41" s="9" t="s">
        <v>276</v>
      </c>
      <c r="G41" s="9" t="s">
        <v>276</v>
      </c>
    </row>
    <row r="42" spans="1:7" x14ac:dyDescent="0.25">
      <c r="A42" s="12" t="s">
        <v>44</v>
      </c>
      <c r="B42" s="11" t="s">
        <v>132</v>
      </c>
      <c r="C42" s="9">
        <v>3139</v>
      </c>
      <c r="D42" s="9" t="s">
        <v>133</v>
      </c>
      <c r="E42" s="12" t="s">
        <v>105</v>
      </c>
      <c r="F42" s="9" t="s">
        <v>276</v>
      </c>
      <c r="G42" s="9" t="s">
        <v>276</v>
      </c>
    </row>
    <row r="43" spans="1:7" x14ac:dyDescent="0.25">
      <c r="A43" s="12" t="s">
        <v>45</v>
      </c>
      <c r="B43" s="11" t="s">
        <v>123</v>
      </c>
      <c r="C43" s="9">
        <v>3170</v>
      </c>
      <c r="D43" s="9" t="s">
        <v>124</v>
      </c>
      <c r="E43" s="12" t="s">
        <v>273</v>
      </c>
      <c r="F43" s="9" t="s">
        <v>276</v>
      </c>
      <c r="G43" s="9" t="s">
        <v>276</v>
      </c>
    </row>
    <row r="44" spans="1:7" x14ac:dyDescent="0.25">
      <c r="A44" s="12" t="s">
        <v>6</v>
      </c>
      <c r="B44" s="11" t="s">
        <v>180</v>
      </c>
      <c r="C44" s="9">
        <v>2360</v>
      </c>
      <c r="D44" s="9" t="s">
        <v>181</v>
      </c>
      <c r="E44" s="12" t="s">
        <v>273</v>
      </c>
      <c r="F44" s="9" t="s">
        <v>276</v>
      </c>
      <c r="G44" s="9" t="s">
        <v>276</v>
      </c>
    </row>
    <row r="45" spans="1:7" x14ac:dyDescent="0.25">
      <c r="A45" s="12" t="s">
        <v>46</v>
      </c>
      <c r="B45" s="11" t="s">
        <v>159</v>
      </c>
      <c r="C45" s="9">
        <v>3190</v>
      </c>
      <c r="D45" s="9" t="s">
        <v>158</v>
      </c>
      <c r="E45" s="12" t="s">
        <v>142</v>
      </c>
      <c r="F45" s="9" t="s">
        <v>276</v>
      </c>
      <c r="G45" s="9" t="s">
        <v>276</v>
      </c>
    </row>
    <row r="46" spans="1:7" x14ac:dyDescent="0.25">
      <c r="A46" s="12" t="s">
        <v>47</v>
      </c>
      <c r="B46" s="11" t="s">
        <v>157</v>
      </c>
      <c r="C46" s="9">
        <v>2116</v>
      </c>
      <c r="D46" s="9" t="s">
        <v>158</v>
      </c>
      <c r="E46" s="12" t="s">
        <v>142</v>
      </c>
      <c r="F46" s="9" t="s">
        <v>276</v>
      </c>
      <c r="G46" s="9" t="s">
        <v>276</v>
      </c>
    </row>
    <row r="47" spans="1:7" x14ac:dyDescent="0.25">
      <c r="A47" s="12" t="s">
        <v>48</v>
      </c>
      <c r="B47" s="11" t="s">
        <v>89</v>
      </c>
      <c r="C47" s="9">
        <v>4146</v>
      </c>
      <c r="D47" s="9" t="s">
        <v>90</v>
      </c>
      <c r="E47" s="12" t="s">
        <v>88</v>
      </c>
      <c r="F47" s="9" t="s">
        <v>276</v>
      </c>
      <c r="G47" s="9" t="s">
        <v>276</v>
      </c>
    </row>
    <row r="48" spans="1:7" x14ac:dyDescent="0.25">
      <c r="A48" s="12" t="s">
        <v>49</v>
      </c>
      <c r="B48" s="11" t="s">
        <v>154</v>
      </c>
      <c r="C48" s="9">
        <v>2170</v>
      </c>
      <c r="D48" s="9" t="s">
        <v>155</v>
      </c>
      <c r="E48" s="12" t="s">
        <v>142</v>
      </c>
      <c r="F48" s="9" t="s">
        <v>276</v>
      </c>
      <c r="G48" s="9" t="s">
        <v>276</v>
      </c>
    </row>
    <row r="49" spans="1:7" x14ac:dyDescent="0.25">
      <c r="A49" s="12" t="s">
        <v>50</v>
      </c>
      <c r="B49" s="11" t="s">
        <v>114</v>
      </c>
      <c r="C49" s="9">
        <v>3055</v>
      </c>
      <c r="D49" s="9" t="s">
        <v>115</v>
      </c>
      <c r="E49" s="12" t="s">
        <v>105</v>
      </c>
      <c r="F49" s="9" t="s">
        <v>276</v>
      </c>
      <c r="G49" s="9" t="s">
        <v>276</v>
      </c>
    </row>
    <row r="50" spans="1:7" x14ac:dyDescent="0.25">
      <c r="A50" s="12" t="s">
        <v>51</v>
      </c>
      <c r="B50" s="11" t="s">
        <v>121</v>
      </c>
      <c r="C50" s="9">
        <v>2240</v>
      </c>
      <c r="D50" s="9" t="s">
        <v>122</v>
      </c>
      <c r="E50" s="12" t="s">
        <v>105</v>
      </c>
      <c r="F50" s="9" t="s">
        <v>276</v>
      </c>
      <c r="G50" s="9" t="s">
        <v>276</v>
      </c>
    </row>
    <row r="51" spans="1:7" x14ac:dyDescent="0.25">
      <c r="A51" s="12" t="s">
        <v>52</v>
      </c>
      <c r="B51" s="11" t="s">
        <v>101</v>
      </c>
      <c r="C51" s="9">
        <v>4110</v>
      </c>
      <c r="D51" s="9" t="s">
        <v>100</v>
      </c>
      <c r="E51" s="12" t="s">
        <v>88</v>
      </c>
      <c r="F51" s="9" t="s">
        <v>276</v>
      </c>
      <c r="G51" s="9" t="s">
        <v>276</v>
      </c>
    </row>
    <row r="52" spans="1:7" x14ac:dyDescent="0.25">
      <c r="A52" s="12" t="s">
        <v>53</v>
      </c>
      <c r="B52" s="11" t="s">
        <v>149</v>
      </c>
      <c r="C52" s="9">
        <v>2030</v>
      </c>
      <c r="D52" s="9" t="s">
        <v>150</v>
      </c>
      <c r="E52" s="12" t="s">
        <v>142</v>
      </c>
      <c r="F52" s="9" t="s">
        <v>276</v>
      </c>
      <c r="G52" s="9" t="s">
        <v>276</v>
      </c>
    </row>
    <row r="53" spans="1:7" x14ac:dyDescent="0.25">
      <c r="A53" s="12" t="s">
        <v>3</v>
      </c>
      <c r="B53" s="11" t="s">
        <v>118</v>
      </c>
      <c r="C53" s="9">
        <v>2135</v>
      </c>
      <c r="D53" s="9" t="s">
        <v>117</v>
      </c>
      <c r="E53" s="12" t="s">
        <v>105</v>
      </c>
      <c r="F53" s="9" t="s">
        <v>276</v>
      </c>
      <c r="G53" s="9" t="s">
        <v>276</v>
      </c>
    </row>
    <row r="54" spans="1:7" x14ac:dyDescent="0.25">
      <c r="A54" s="12" t="s">
        <v>54</v>
      </c>
      <c r="B54" s="11" t="s">
        <v>170</v>
      </c>
      <c r="C54" s="9">
        <v>3210</v>
      </c>
      <c r="D54" s="9" t="s">
        <v>169</v>
      </c>
      <c r="E54" s="12" t="s">
        <v>273</v>
      </c>
      <c r="F54" s="9" t="s">
        <v>276</v>
      </c>
      <c r="G54" s="9" t="s">
        <v>276</v>
      </c>
    </row>
    <row r="55" spans="1:7" x14ac:dyDescent="0.25">
      <c r="A55" s="12" t="s">
        <v>55</v>
      </c>
      <c r="B55" s="11" t="s">
        <v>104</v>
      </c>
      <c r="C55" s="9">
        <v>4118</v>
      </c>
      <c r="D55" s="9" t="s">
        <v>103</v>
      </c>
      <c r="E55" s="12" t="s">
        <v>88</v>
      </c>
      <c r="F55" s="9" t="s">
        <v>276</v>
      </c>
      <c r="G55" s="9" t="s">
        <v>276</v>
      </c>
    </row>
    <row r="56" spans="1:7" x14ac:dyDescent="0.25">
      <c r="A56" s="12" t="s">
        <v>56</v>
      </c>
      <c r="B56" s="11" t="s">
        <v>92</v>
      </c>
      <c r="C56" s="9">
        <v>4140</v>
      </c>
      <c r="D56" s="9" t="s">
        <v>93</v>
      </c>
      <c r="E56" s="12" t="s">
        <v>88</v>
      </c>
      <c r="F56" s="9" t="s">
        <v>276</v>
      </c>
      <c r="G56" s="9" t="s">
        <v>276</v>
      </c>
    </row>
    <row r="57" spans="1:7" x14ac:dyDescent="0.25">
      <c r="A57" s="12" t="s">
        <v>57</v>
      </c>
      <c r="B57" s="11" t="s">
        <v>99</v>
      </c>
      <c r="C57" s="9">
        <v>4117</v>
      </c>
      <c r="D57" s="9" t="s">
        <v>100</v>
      </c>
      <c r="E57" s="12" t="s">
        <v>88</v>
      </c>
      <c r="F57" s="9" t="s">
        <v>276</v>
      </c>
      <c r="G57" s="9" t="s">
        <v>276</v>
      </c>
    </row>
    <row r="58" spans="1:7" x14ac:dyDescent="0.25">
      <c r="A58" s="12" t="s">
        <v>219</v>
      </c>
      <c r="B58" s="11" t="s">
        <v>220</v>
      </c>
      <c r="C58" s="9">
        <v>4170</v>
      </c>
      <c r="D58" s="9" t="s">
        <v>58</v>
      </c>
      <c r="E58" s="12" t="s">
        <v>88</v>
      </c>
      <c r="F58" s="9" t="s">
        <v>276</v>
      </c>
      <c r="G58" s="9" t="s">
        <v>276</v>
      </c>
    </row>
    <row r="59" spans="1:7" x14ac:dyDescent="0.25">
      <c r="A59" s="12" t="s">
        <v>213</v>
      </c>
      <c r="B59" s="11" t="s">
        <v>102</v>
      </c>
      <c r="C59" s="9">
        <v>4147</v>
      </c>
      <c r="D59" s="9" t="s">
        <v>58</v>
      </c>
      <c r="E59" s="12" t="s">
        <v>88</v>
      </c>
      <c r="F59" s="9" t="s">
        <v>276</v>
      </c>
      <c r="G59" s="9" t="s">
        <v>276</v>
      </c>
    </row>
    <row r="60" spans="1:7" x14ac:dyDescent="0.25">
      <c r="A60" s="12" t="s">
        <v>187</v>
      </c>
      <c r="B60" s="11" t="s">
        <v>186</v>
      </c>
      <c r="C60" s="9">
        <v>2375</v>
      </c>
      <c r="D60" s="9" t="s">
        <v>185</v>
      </c>
      <c r="E60" s="12" t="s">
        <v>273</v>
      </c>
      <c r="F60" s="9" t="s">
        <v>276</v>
      </c>
      <c r="G60" s="9" t="s">
        <v>276</v>
      </c>
    </row>
    <row r="61" spans="1:7" x14ac:dyDescent="0.25">
      <c r="A61" s="12" t="s">
        <v>5</v>
      </c>
      <c r="B61" s="11" t="s">
        <v>184</v>
      </c>
      <c r="C61" s="9">
        <v>2355</v>
      </c>
      <c r="D61" s="9" t="s">
        <v>185</v>
      </c>
      <c r="E61" s="12" t="s">
        <v>273</v>
      </c>
      <c r="F61" s="9" t="s">
        <v>276</v>
      </c>
      <c r="G61" s="9" t="s">
        <v>276</v>
      </c>
    </row>
    <row r="62" spans="1:7" x14ac:dyDescent="0.25">
      <c r="A62" s="12" t="s">
        <v>59</v>
      </c>
      <c r="B62" s="11" t="s">
        <v>168</v>
      </c>
      <c r="C62" s="9">
        <v>3220</v>
      </c>
      <c r="D62" s="9" t="s">
        <v>169</v>
      </c>
      <c r="E62" s="12" t="s">
        <v>273</v>
      </c>
      <c r="F62" s="9" t="s">
        <v>276</v>
      </c>
      <c r="G62" s="9" t="s">
        <v>276</v>
      </c>
    </row>
    <row r="63" spans="1:7" x14ac:dyDescent="0.25">
      <c r="A63" s="12" t="s">
        <v>60</v>
      </c>
      <c r="B63" s="11" t="s">
        <v>175</v>
      </c>
      <c r="C63" s="9">
        <v>2330</v>
      </c>
      <c r="D63" s="9" t="s">
        <v>173</v>
      </c>
      <c r="E63" s="12" t="s">
        <v>273</v>
      </c>
      <c r="F63" s="9" t="s">
        <v>276</v>
      </c>
      <c r="G63" s="9" t="s">
        <v>276</v>
      </c>
    </row>
    <row r="64" spans="1:7" x14ac:dyDescent="0.25">
      <c r="A64" s="12" t="s">
        <v>61</v>
      </c>
      <c r="B64" s="11" t="s">
        <v>109</v>
      </c>
      <c r="C64" s="9">
        <v>3103</v>
      </c>
      <c r="D64" s="9" t="s">
        <v>110</v>
      </c>
      <c r="E64" s="12" t="s">
        <v>105</v>
      </c>
      <c r="F64" s="9" t="s">
        <v>276</v>
      </c>
      <c r="G64" s="9" t="s">
        <v>276</v>
      </c>
    </row>
    <row r="65" spans="1:7" x14ac:dyDescent="0.25">
      <c r="A65" s="12" t="s">
        <v>62</v>
      </c>
      <c r="B65" s="11" t="s">
        <v>174</v>
      </c>
      <c r="C65" s="9">
        <v>2310</v>
      </c>
      <c r="D65" s="9" t="s">
        <v>173</v>
      </c>
      <c r="E65" s="12" t="s">
        <v>161</v>
      </c>
      <c r="F65" s="9" t="s">
        <v>276</v>
      </c>
      <c r="G65" s="9" t="s">
        <v>276</v>
      </c>
    </row>
    <row r="66" spans="1:7" x14ac:dyDescent="0.25">
      <c r="A66" s="12" t="s">
        <v>63</v>
      </c>
      <c r="B66" s="11" t="s">
        <v>116</v>
      </c>
      <c r="C66" s="9">
        <v>2165</v>
      </c>
      <c r="D66" s="9" t="s">
        <v>117</v>
      </c>
      <c r="E66" s="12" t="s">
        <v>105</v>
      </c>
      <c r="F66" s="9" t="s">
        <v>276</v>
      </c>
      <c r="G66" s="9" t="s">
        <v>276</v>
      </c>
    </row>
    <row r="67" spans="1:7" x14ac:dyDescent="0.25">
      <c r="A67" s="12" t="s">
        <v>64</v>
      </c>
      <c r="B67" s="11" t="s">
        <v>145</v>
      </c>
      <c r="C67" s="9">
        <v>2180</v>
      </c>
      <c r="D67" s="9" t="s">
        <v>144</v>
      </c>
      <c r="E67" s="12" t="s">
        <v>142</v>
      </c>
      <c r="F67" s="9" t="s">
        <v>276</v>
      </c>
      <c r="G67" s="9" t="s">
        <v>276</v>
      </c>
    </row>
    <row r="68" spans="1:7" x14ac:dyDescent="0.25">
      <c r="A68" s="12" t="s">
        <v>65</v>
      </c>
      <c r="B68" s="11" t="s">
        <v>143</v>
      </c>
      <c r="C68" s="9">
        <v>2185</v>
      </c>
      <c r="D68" s="9" t="s">
        <v>144</v>
      </c>
      <c r="E68" s="12" t="s">
        <v>142</v>
      </c>
      <c r="F68" s="9" t="s">
        <v>276</v>
      </c>
      <c r="G68" s="9" t="s">
        <v>276</v>
      </c>
    </row>
    <row r="69" spans="1:7" x14ac:dyDescent="0.25">
      <c r="A69" s="12" t="s">
        <v>172</v>
      </c>
      <c r="B69" s="11" t="s">
        <v>171</v>
      </c>
      <c r="C69" s="9">
        <v>248</v>
      </c>
      <c r="D69" s="9" t="s">
        <v>173</v>
      </c>
      <c r="E69" s="12" t="s">
        <v>273</v>
      </c>
      <c r="F69" s="9" t="s">
        <v>276</v>
      </c>
      <c r="G69" s="9" t="s">
        <v>276</v>
      </c>
    </row>
    <row r="70" spans="1:7" x14ac:dyDescent="0.25">
      <c r="A70" s="12" t="s">
        <v>227</v>
      </c>
      <c r="B70" s="11" t="s">
        <v>229</v>
      </c>
      <c r="C70" s="9">
        <v>4190</v>
      </c>
      <c r="D70" s="9" t="s">
        <v>227</v>
      </c>
      <c r="E70" s="12" t="s">
        <v>88</v>
      </c>
      <c r="F70" s="9" t="s">
        <v>276</v>
      </c>
      <c r="G70" s="9" t="s">
        <v>276</v>
      </c>
    </row>
    <row r="71" spans="1:7" x14ac:dyDescent="0.25">
      <c r="A71" s="12" t="s">
        <v>228</v>
      </c>
      <c r="B71" s="11" t="s">
        <v>230</v>
      </c>
      <c r="C71" s="9">
        <v>3310</v>
      </c>
      <c r="D71" s="9" t="s">
        <v>103</v>
      </c>
      <c r="E71" s="12" t="s">
        <v>88</v>
      </c>
      <c r="F71" s="9" t="s">
        <v>276</v>
      </c>
      <c r="G71" s="9" t="s">
        <v>276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6" t="s">
        <v>252</v>
      </c>
      <c r="B1" t="s">
        <v>253</v>
      </c>
      <c r="C1" t="s">
        <v>254</v>
      </c>
      <c r="E1" s="26" t="s">
        <v>274</v>
      </c>
      <c r="F1" s="26" t="s">
        <v>275</v>
      </c>
    </row>
    <row r="2" spans="1:6" x14ac:dyDescent="0.25">
      <c r="A2" t="s">
        <v>255</v>
      </c>
      <c r="B2">
        <v>50</v>
      </c>
      <c r="C2" t="s">
        <v>256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5"/>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257</v>
      </c>
      <c r="B1" t="s">
        <v>258</v>
      </c>
      <c r="C1" t="s">
        <v>80</v>
      </c>
      <c r="D1" s="27" t="s">
        <v>259</v>
      </c>
      <c r="E1" s="27" t="s">
        <v>260</v>
      </c>
    </row>
    <row r="2" spans="1:5" x14ac:dyDescent="0.25">
      <c r="A2" t="s">
        <v>151</v>
      </c>
      <c r="B2">
        <v>2020</v>
      </c>
      <c r="C2" t="s">
        <v>23</v>
      </c>
      <c r="D2" s="27">
        <v>2.7739631938930701E-2</v>
      </c>
      <c r="E2" s="27">
        <v>2.7125016276518699E-2</v>
      </c>
    </row>
    <row r="3" spans="1:5" x14ac:dyDescent="0.25">
      <c r="A3" t="s">
        <v>145</v>
      </c>
      <c r="B3">
        <v>2180</v>
      </c>
      <c r="C3" t="s">
        <v>64</v>
      </c>
      <c r="D3" s="27">
        <v>2.8536064274713099E-2</v>
      </c>
      <c r="E3" s="27">
        <v>2.7125016276518699E-2</v>
      </c>
    </row>
    <row r="4" spans="1:5" x14ac:dyDescent="0.25">
      <c r="A4" t="s">
        <v>156</v>
      </c>
      <c r="B4">
        <v>2160</v>
      </c>
      <c r="C4" t="s">
        <v>42</v>
      </c>
      <c r="D4" s="27">
        <v>3.1885529773458002E-2</v>
      </c>
      <c r="E4" s="27">
        <v>2.7125016276518699E-2</v>
      </c>
    </row>
    <row r="5" spans="1:5" x14ac:dyDescent="0.25">
      <c r="A5" t="s">
        <v>160</v>
      </c>
      <c r="B5">
        <v>2110</v>
      </c>
      <c r="C5" t="s">
        <v>11</v>
      </c>
      <c r="D5" s="27">
        <v>2.82674148233787E-2</v>
      </c>
      <c r="E5" s="27">
        <v>2.7125016276518699E-2</v>
      </c>
    </row>
    <row r="6" spans="1:5" x14ac:dyDescent="0.25">
      <c r="A6" t="s">
        <v>116</v>
      </c>
      <c r="B6">
        <v>2165</v>
      </c>
      <c r="C6" t="s">
        <v>63</v>
      </c>
      <c r="D6" s="27">
        <v>2.7125016276518699E-2</v>
      </c>
      <c r="E6" s="27">
        <v>2.7125016276518699E-2</v>
      </c>
    </row>
    <row r="7" spans="1:5" x14ac:dyDescent="0.25">
      <c r="A7" t="s">
        <v>154</v>
      </c>
      <c r="B7">
        <v>2170</v>
      </c>
      <c r="C7" t="s">
        <v>49</v>
      </c>
      <c r="D7" s="27">
        <v>2.59925926894349E-2</v>
      </c>
      <c r="E7" s="27">
        <v>2.7125016276518699E-2</v>
      </c>
    </row>
    <row r="8" spans="1:5" x14ac:dyDescent="0.25">
      <c r="A8" t="s">
        <v>152</v>
      </c>
      <c r="B8">
        <v>2148</v>
      </c>
      <c r="C8" t="s">
        <v>17</v>
      </c>
      <c r="D8" s="27">
        <v>2.6095112304206601E-2</v>
      </c>
      <c r="E8" s="27">
        <v>2.7125016276518699E-2</v>
      </c>
    </row>
    <row r="9" spans="1:5" x14ac:dyDescent="0.25">
      <c r="A9" t="s">
        <v>146</v>
      </c>
      <c r="B9">
        <v>2190</v>
      </c>
      <c r="C9" t="s">
        <v>18</v>
      </c>
      <c r="D9" s="27">
        <v>2.81140048372523E-2</v>
      </c>
      <c r="E9" s="27">
        <v>2.7125016276518699E-2</v>
      </c>
    </row>
    <row r="10" spans="1:5" x14ac:dyDescent="0.25">
      <c r="A10" t="s">
        <v>157</v>
      </c>
      <c r="B10">
        <v>2116</v>
      </c>
      <c r="C10" t="s">
        <v>47</v>
      </c>
      <c r="D10" s="27">
        <v>2.9944763320575302E-2</v>
      </c>
      <c r="E10" s="27">
        <v>2.7125016276518699E-2</v>
      </c>
    </row>
    <row r="11" spans="1:5" x14ac:dyDescent="0.25">
      <c r="A11" t="s">
        <v>171</v>
      </c>
      <c r="B11">
        <v>248</v>
      </c>
      <c r="C11" t="s">
        <v>172</v>
      </c>
      <c r="D11" s="27">
        <v>2.6464657930859201E-2</v>
      </c>
      <c r="E11" s="27">
        <v>2.7125016276518699E-2</v>
      </c>
    </row>
    <row r="12" spans="1:5" x14ac:dyDescent="0.25">
      <c r="A12" t="s">
        <v>162</v>
      </c>
      <c r="B12">
        <v>2350</v>
      </c>
      <c r="C12" t="s">
        <v>43</v>
      </c>
      <c r="D12" s="27">
        <v>2.9415639585766401E-2</v>
      </c>
      <c r="E12" s="27">
        <v>2.7125016276518699E-2</v>
      </c>
    </row>
    <row r="13" spans="1:5" x14ac:dyDescent="0.25">
      <c r="A13" t="s">
        <v>189</v>
      </c>
      <c r="B13">
        <v>2345</v>
      </c>
      <c r="C13" t="s">
        <v>15</v>
      </c>
      <c r="D13" s="27">
        <v>2.6962706679612598E-2</v>
      </c>
      <c r="E13" s="27">
        <v>2.7125016276518699E-2</v>
      </c>
    </row>
    <row r="14" spans="1:5" x14ac:dyDescent="0.25">
      <c r="A14" t="s">
        <v>175</v>
      </c>
      <c r="B14">
        <v>2330</v>
      </c>
      <c r="C14" t="s">
        <v>60</v>
      </c>
      <c r="D14" s="27">
        <v>2.6792509343913602E-2</v>
      </c>
      <c r="E14" s="27">
        <v>2.7125016276518699E-2</v>
      </c>
    </row>
    <row r="15" spans="1:5" x14ac:dyDescent="0.25">
      <c r="A15" t="s">
        <v>188</v>
      </c>
      <c r="B15">
        <v>2340</v>
      </c>
      <c r="C15" t="s">
        <v>29</v>
      </c>
      <c r="D15" s="27">
        <v>2.53908115053765E-2</v>
      </c>
      <c r="E15" s="27">
        <v>2.7125016276518699E-2</v>
      </c>
    </row>
    <row r="16" spans="1:5" x14ac:dyDescent="0.25">
      <c r="A16" t="s">
        <v>91</v>
      </c>
      <c r="B16">
        <v>4100</v>
      </c>
      <c r="C16" t="s">
        <v>36</v>
      </c>
      <c r="D16" s="27">
        <v>2.9901342297929501E-2</v>
      </c>
      <c r="E16" s="27">
        <v>2.7125016276518699E-2</v>
      </c>
    </row>
    <row r="17" spans="1:5" x14ac:dyDescent="0.25">
      <c r="A17" t="s">
        <v>184</v>
      </c>
      <c r="B17">
        <v>2355</v>
      </c>
      <c r="C17" t="s">
        <v>5</v>
      </c>
      <c r="D17" s="27">
        <v>3.4605844000615303E-2</v>
      </c>
      <c r="E17" s="27">
        <v>2.7125016276518699E-2</v>
      </c>
    </row>
    <row r="18" spans="1:5" x14ac:dyDescent="0.25">
      <c r="A18" t="s">
        <v>165</v>
      </c>
      <c r="B18">
        <v>1054</v>
      </c>
      <c r="C18" t="s">
        <v>32</v>
      </c>
      <c r="D18" s="27">
        <v>2.8511953382644999E-2</v>
      </c>
      <c r="E18" s="27">
        <v>2.7125016276518699E-2</v>
      </c>
    </row>
    <row r="19" spans="1:5" x14ac:dyDescent="0.25">
      <c r="A19" t="s">
        <v>167</v>
      </c>
      <c r="B19">
        <v>1103</v>
      </c>
      <c r="C19" t="s">
        <v>20</v>
      </c>
      <c r="D19" s="27">
        <v>3.0860519002866901E-2</v>
      </c>
      <c r="E19" s="27">
        <v>2.7125016276518699E-2</v>
      </c>
    </row>
    <row r="20" spans="1:5" x14ac:dyDescent="0.25">
      <c r="A20" t="s">
        <v>176</v>
      </c>
      <c r="B20">
        <v>2099</v>
      </c>
      <c r="C20" t="s">
        <v>0</v>
      </c>
      <c r="D20" s="27">
        <v>2.5143112075853E-2</v>
      </c>
      <c r="E20" s="27">
        <v>2.7125016276518699E-2</v>
      </c>
    </row>
    <row r="21" spans="1:5" x14ac:dyDescent="0.25">
      <c r="A21" t="s">
        <v>179</v>
      </c>
      <c r="B21">
        <v>1104</v>
      </c>
      <c r="C21" t="s">
        <v>21</v>
      </c>
      <c r="D21" s="27">
        <v>2.9510551954597099E-2</v>
      </c>
      <c r="E21" s="27">
        <v>2.7125016276518699E-2</v>
      </c>
    </row>
    <row r="22" spans="1:5" x14ac:dyDescent="0.25">
      <c r="A22" t="s">
        <v>94</v>
      </c>
      <c r="B22">
        <v>4120</v>
      </c>
      <c r="C22" t="s">
        <v>38</v>
      </c>
      <c r="D22" s="27">
        <v>2.78821251138664E-2</v>
      </c>
      <c r="E22" s="27">
        <v>2.7125016276518699E-2</v>
      </c>
    </row>
    <row r="23" spans="1:5" x14ac:dyDescent="0.25">
      <c r="A23" t="s">
        <v>104</v>
      </c>
      <c r="B23">
        <v>4118</v>
      </c>
      <c r="C23" t="s">
        <v>55</v>
      </c>
      <c r="D23" s="27">
        <v>2.7490429003036599E-2</v>
      </c>
      <c r="E23" s="27">
        <v>2.7125016276518699E-2</v>
      </c>
    </row>
    <row r="24" spans="1:5" x14ac:dyDescent="0.25">
      <c r="A24" t="s">
        <v>89</v>
      </c>
      <c r="B24">
        <v>4146</v>
      </c>
      <c r="C24" t="s">
        <v>48</v>
      </c>
      <c r="D24" s="27">
        <v>2.6943630265373199E-2</v>
      </c>
      <c r="E24" s="27">
        <v>2.7125016276518699E-2</v>
      </c>
    </row>
    <row r="25" spans="1:5" x14ac:dyDescent="0.25">
      <c r="A25" t="s">
        <v>92</v>
      </c>
      <c r="B25">
        <v>4140</v>
      </c>
      <c r="C25" t="s">
        <v>56</v>
      </c>
      <c r="D25" s="27">
        <v>2.67651154233217E-2</v>
      </c>
      <c r="E25" s="27">
        <v>2.7125016276518699E-2</v>
      </c>
    </row>
    <row r="26" spans="1:5" x14ac:dyDescent="0.25">
      <c r="A26" t="s">
        <v>99</v>
      </c>
      <c r="B26">
        <v>4117</v>
      </c>
      <c r="C26" t="s">
        <v>57</v>
      </c>
      <c r="D26" s="27">
        <v>2.6616857866198201E-2</v>
      </c>
      <c r="E26" s="27">
        <v>2.7125016276518699E-2</v>
      </c>
    </row>
    <row r="27" spans="1:5" x14ac:dyDescent="0.25">
      <c r="A27" t="s">
        <v>102</v>
      </c>
      <c r="B27">
        <v>4147</v>
      </c>
      <c r="C27" t="s">
        <v>213</v>
      </c>
      <c r="D27" s="27">
        <v>2.9100000000000001E-2</v>
      </c>
      <c r="E27" s="27">
        <v>2.7125016276518699E-2</v>
      </c>
    </row>
    <row r="28" spans="1:5" x14ac:dyDescent="0.25">
      <c r="A28" t="s">
        <v>101</v>
      </c>
      <c r="B28">
        <v>4110</v>
      </c>
      <c r="C28" t="s">
        <v>52</v>
      </c>
      <c r="D28" s="27">
        <v>2.65128206477999E-2</v>
      </c>
      <c r="E28" s="27">
        <v>2.7125016276518699E-2</v>
      </c>
    </row>
    <row r="29" spans="1:5" x14ac:dyDescent="0.25">
      <c r="A29" t="s">
        <v>95</v>
      </c>
      <c r="B29">
        <v>4150</v>
      </c>
      <c r="C29" t="s">
        <v>24</v>
      </c>
      <c r="D29" s="27">
        <v>2.3355361617324301E-2</v>
      </c>
      <c r="E29" s="27">
        <v>2.7125016276518699E-2</v>
      </c>
    </row>
    <row r="30" spans="1:5" x14ac:dyDescent="0.25">
      <c r="A30" t="s">
        <v>159</v>
      </c>
      <c r="B30">
        <v>3190</v>
      </c>
      <c r="C30" t="s">
        <v>46</v>
      </c>
      <c r="D30" s="27">
        <v>2.8324561503501499E-2</v>
      </c>
      <c r="E30" s="27">
        <v>2.7125016276518699E-2</v>
      </c>
    </row>
    <row r="31" spans="1:5" x14ac:dyDescent="0.25">
      <c r="A31" t="s">
        <v>112</v>
      </c>
      <c r="B31">
        <v>2260</v>
      </c>
      <c r="C31" t="s">
        <v>22</v>
      </c>
      <c r="D31" s="27">
        <v>2.59598075038967E-2</v>
      </c>
      <c r="E31" s="27">
        <v>2.7125016276518699E-2</v>
      </c>
    </row>
    <row r="32" spans="1:5" x14ac:dyDescent="0.25">
      <c r="A32" t="s">
        <v>108</v>
      </c>
      <c r="B32">
        <v>2210</v>
      </c>
      <c r="C32" t="s">
        <v>19</v>
      </c>
      <c r="D32" s="27">
        <v>2.3893251208070801E-2</v>
      </c>
      <c r="E32" s="27">
        <v>2.7125016276518699E-2</v>
      </c>
    </row>
    <row r="33" spans="1:5" x14ac:dyDescent="0.25">
      <c r="A33" t="s">
        <v>121</v>
      </c>
      <c r="B33">
        <v>2240</v>
      </c>
      <c r="C33" t="s">
        <v>51</v>
      </c>
      <c r="D33" s="27">
        <v>2.74803575467139E-2</v>
      </c>
      <c r="E33" s="27">
        <v>2.7125016276518699E-2</v>
      </c>
    </row>
    <row r="34" spans="1:5" x14ac:dyDescent="0.25">
      <c r="A34" t="s">
        <v>135</v>
      </c>
      <c r="B34">
        <v>2220</v>
      </c>
      <c r="C34" t="s">
        <v>12</v>
      </c>
      <c r="D34" s="27">
        <v>2.5343147655549899E-2</v>
      </c>
      <c r="E34" s="27">
        <v>2.7125016276518699E-2</v>
      </c>
    </row>
    <row r="35" spans="1:5" x14ac:dyDescent="0.25">
      <c r="A35" t="s">
        <v>119</v>
      </c>
      <c r="B35">
        <v>2125</v>
      </c>
      <c r="C35" t="s">
        <v>40</v>
      </c>
      <c r="D35" s="27">
        <v>2.6682633749483799E-2</v>
      </c>
      <c r="E35" s="27">
        <v>2.7125016276518699E-2</v>
      </c>
    </row>
    <row r="36" spans="1:5" x14ac:dyDescent="0.25">
      <c r="A36" t="s">
        <v>136</v>
      </c>
      <c r="B36">
        <v>2230</v>
      </c>
      <c r="C36" t="s">
        <v>4</v>
      </c>
      <c r="D36" s="27">
        <v>2.67508594907159E-2</v>
      </c>
      <c r="E36" s="27">
        <v>2.7125016276518699E-2</v>
      </c>
    </row>
    <row r="37" spans="1:5" x14ac:dyDescent="0.25">
      <c r="A37" t="s">
        <v>114</v>
      </c>
      <c r="B37">
        <v>3055</v>
      </c>
      <c r="C37" t="s">
        <v>50</v>
      </c>
      <c r="D37" s="27">
        <v>2.2915815988E-2</v>
      </c>
      <c r="E37" s="27">
        <v>2.7125016276518699E-2</v>
      </c>
    </row>
    <row r="38" spans="1:5" x14ac:dyDescent="0.25">
      <c r="A38" t="s">
        <v>183</v>
      </c>
      <c r="B38">
        <v>2365</v>
      </c>
      <c r="C38" t="s">
        <v>30</v>
      </c>
      <c r="D38" s="27">
        <v>2.87892046246566E-2</v>
      </c>
      <c r="E38" s="27">
        <v>2.7125016276518699E-2</v>
      </c>
    </row>
    <row r="39" spans="1:5" x14ac:dyDescent="0.25">
      <c r="A39" t="s">
        <v>106</v>
      </c>
      <c r="B39">
        <v>2250</v>
      </c>
      <c r="C39" t="s">
        <v>28</v>
      </c>
      <c r="D39" s="27">
        <v>2.5661957357599401E-2</v>
      </c>
      <c r="E39" s="27">
        <v>2.7125016276518699E-2</v>
      </c>
    </row>
    <row r="40" spans="1:5" x14ac:dyDescent="0.25">
      <c r="A40" t="s">
        <v>141</v>
      </c>
      <c r="B40">
        <v>3051</v>
      </c>
      <c r="C40" t="s">
        <v>37</v>
      </c>
      <c r="D40" s="27">
        <v>2.9814972600597098E-2</v>
      </c>
      <c r="E40" s="27">
        <v>2.7125016276518699E-2</v>
      </c>
    </row>
    <row r="41" spans="1:5" x14ac:dyDescent="0.25">
      <c r="A41" t="s">
        <v>164</v>
      </c>
      <c r="B41">
        <v>2370</v>
      </c>
      <c r="C41" t="s">
        <v>33</v>
      </c>
      <c r="D41" s="27">
        <v>2.35030648067363E-2</v>
      </c>
      <c r="E41" s="27">
        <v>2.7125016276518699E-2</v>
      </c>
    </row>
    <row r="42" spans="1:5" x14ac:dyDescent="0.25">
      <c r="A42" t="s">
        <v>118</v>
      </c>
      <c r="B42">
        <v>2135</v>
      </c>
      <c r="C42" t="s">
        <v>3</v>
      </c>
      <c r="D42" s="27">
        <v>2.6421829910205499E-2</v>
      </c>
      <c r="E42" s="27">
        <v>2.7125016276518699E-2</v>
      </c>
    </row>
    <row r="43" spans="1:5" x14ac:dyDescent="0.25">
      <c r="A43" t="s">
        <v>134</v>
      </c>
      <c r="B43">
        <v>2270</v>
      </c>
      <c r="C43" t="s">
        <v>35</v>
      </c>
      <c r="D43" s="27">
        <v>2.3666354884089899E-2</v>
      </c>
      <c r="E43" s="27">
        <v>2.7125016276518699E-2</v>
      </c>
    </row>
    <row r="44" spans="1:5" x14ac:dyDescent="0.25">
      <c r="A44" t="s">
        <v>182</v>
      </c>
      <c r="B44">
        <v>3230</v>
      </c>
      <c r="C44" t="s">
        <v>34</v>
      </c>
      <c r="D44" s="27">
        <v>2.6730080332460899E-2</v>
      </c>
      <c r="E44" s="27">
        <v>2.7125016276518699E-2</v>
      </c>
    </row>
    <row r="45" spans="1:5" x14ac:dyDescent="0.25">
      <c r="A45" t="s">
        <v>123</v>
      </c>
      <c r="B45">
        <v>3170</v>
      </c>
      <c r="C45" t="s">
        <v>45</v>
      </c>
      <c r="D45" s="27">
        <v>2.7054357310372E-2</v>
      </c>
      <c r="E45" s="27">
        <v>2.7125016276518699E-2</v>
      </c>
    </row>
    <row r="46" spans="1:5" x14ac:dyDescent="0.25">
      <c r="A46" t="s">
        <v>128</v>
      </c>
      <c r="B46">
        <v>3120</v>
      </c>
      <c r="C46" t="s">
        <v>39</v>
      </c>
      <c r="D46" s="27">
        <v>2.6123399008142499E-2</v>
      </c>
      <c r="E46" s="27">
        <v>2.7125016276518699E-2</v>
      </c>
    </row>
    <row r="47" spans="1:5" x14ac:dyDescent="0.25">
      <c r="A47" t="s">
        <v>138</v>
      </c>
      <c r="B47">
        <v>3186</v>
      </c>
      <c r="C47" t="s">
        <v>7</v>
      </c>
      <c r="D47" s="27">
        <v>2.8135776475119102E-2</v>
      </c>
      <c r="E47" s="27">
        <v>2.7125016276518699E-2</v>
      </c>
    </row>
    <row r="48" spans="1:5" x14ac:dyDescent="0.25">
      <c r="A48" t="s">
        <v>96</v>
      </c>
      <c r="B48">
        <v>3160</v>
      </c>
      <c r="C48" t="s">
        <v>26</v>
      </c>
      <c r="D48" s="27">
        <v>2.8067018330258899E-2</v>
      </c>
      <c r="E48" s="27">
        <v>2.7125016276518699E-2</v>
      </c>
    </row>
    <row r="49" spans="1:5" x14ac:dyDescent="0.25">
      <c r="A49" t="s">
        <v>125</v>
      </c>
      <c r="B49">
        <v>3150</v>
      </c>
      <c r="C49" t="s">
        <v>25</v>
      </c>
      <c r="D49" s="27">
        <v>2.6046662387047999E-2</v>
      </c>
      <c r="E49" s="27">
        <v>2.7125016276518699E-2</v>
      </c>
    </row>
    <row r="50" spans="1:5" x14ac:dyDescent="0.25">
      <c r="A50" t="s">
        <v>130</v>
      </c>
      <c r="B50">
        <v>3126</v>
      </c>
      <c r="C50" t="s">
        <v>31</v>
      </c>
      <c r="D50" s="27">
        <v>2.4500408399063801E-2</v>
      </c>
      <c r="E50" s="27">
        <v>2.7125016276518699E-2</v>
      </c>
    </row>
    <row r="51" spans="1:5" x14ac:dyDescent="0.25">
      <c r="A51" t="s">
        <v>131</v>
      </c>
      <c r="B51">
        <v>3023</v>
      </c>
      <c r="C51" t="s">
        <v>13</v>
      </c>
      <c r="D51" s="27">
        <v>2.72264414110285E-2</v>
      </c>
      <c r="E51" s="27">
        <v>2.7125016276518699E-2</v>
      </c>
    </row>
    <row r="52" spans="1:5" x14ac:dyDescent="0.25">
      <c r="A52" t="s">
        <v>143</v>
      </c>
      <c r="B52">
        <v>2185</v>
      </c>
      <c r="C52" t="s">
        <v>65</v>
      </c>
      <c r="D52" s="27">
        <v>2.59344882196802E-2</v>
      </c>
      <c r="E52" s="27">
        <v>2.7125016276518699E-2</v>
      </c>
    </row>
    <row r="53" spans="1:5" x14ac:dyDescent="0.25">
      <c r="A53" t="s">
        <v>177</v>
      </c>
      <c r="B53">
        <v>1106</v>
      </c>
      <c r="C53" t="s">
        <v>27</v>
      </c>
      <c r="D53" s="27">
        <v>2.8050323067163201E-2</v>
      </c>
      <c r="E53" s="27">
        <v>2.7125016276518699E-2</v>
      </c>
    </row>
    <row r="54" spans="1:5" x14ac:dyDescent="0.25">
      <c r="A54" t="s">
        <v>111</v>
      </c>
      <c r="B54">
        <v>3135</v>
      </c>
      <c r="C54" t="s">
        <v>16</v>
      </c>
      <c r="D54" s="27">
        <v>2.16945751008298E-2</v>
      </c>
      <c r="E54" s="27">
        <v>2.7125016276518699E-2</v>
      </c>
    </row>
    <row r="55" spans="1:5" x14ac:dyDescent="0.25">
      <c r="A55" t="s">
        <v>132</v>
      </c>
      <c r="B55">
        <v>3139</v>
      </c>
      <c r="C55" t="s">
        <v>44</v>
      </c>
      <c r="D55" s="27">
        <v>2.8207940601015499E-2</v>
      </c>
      <c r="E55" s="27">
        <v>2.7125016276518699E-2</v>
      </c>
    </row>
    <row r="56" spans="1:5" x14ac:dyDescent="0.25">
      <c r="A56" t="s">
        <v>139</v>
      </c>
      <c r="B56">
        <v>3147</v>
      </c>
      <c r="C56" t="s">
        <v>41</v>
      </c>
      <c r="D56" s="27">
        <v>2.5867145176892099E-2</v>
      </c>
      <c r="E56" s="27">
        <v>2.7125016276518699E-2</v>
      </c>
    </row>
    <row r="57" spans="1:5" x14ac:dyDescent="0.25">
      <c r="A57" t="s">
        <v>170</v>
      </c>
      <c r="B57">
        <v>3210</v>
      </c>
      <c r="C57" t="s">
        <v>54</v>
      </c>
      <c r="D57" s="27">
        <v>2.74445239361195E-2</v>
      </c>
      <c r="E57" s="27">
        <v>2.7125016276518699E-2</v>
      </c>
    </row>
    <row r="58" spans="1:5" x14ac:dyDescent="0.25">
      <c r="A58" t="s">
        <v>98</v>
      </c>
      <c r="B58">
        <v>1933</v>
      </c>
      <c r="C58" t="s">
        <v>10</v>
      </c>
      <c r="D58" s="27">
        <v>2.4213377365114599E-2</v>
      </c>
      <c r="E58" s="27">
        <v>2.7125016276518699E-2</v>
      </c>
    </row>
    <row r="59" spans="1:5" x14ac:dyDescent="0.25">
      <c r="A59" t="s">
        <v>148</v>
      </c>
      <c r="B59">
        <v>2140</v>
      </c>
      <c r="C59" t="s">
        <v>9</v>
      </c>
      <c r="D59" s="27">
        <v>2.7858540698883199E-2</v>
      </c>
      <c r="E59" s="27">
        <v>2.7125016276518699E-2</v>
      </c>
    </row>
    <row r="60" spans="1:5" x14ac:dyDescent="0.25">
      <c r="A60" t="s">
        <v>109</v>
      </c>
      <c r="B60">
        <v>3103</v>
      </c>
      <c r="C60" t="s">
        <v>61</v>
      </c>
      <c r="D60" s="27">
        <v>2.4165289961531701E-2</v>
      </c>
      <c r="E60" s="27">
        <v>2.7125016276518699E-2</v>
      </c>
    </row>
    <row r="61" spans="1:5" x14ac:dyDescent="0.25">
      <c r="A61" t="s">
        <v>180</v>
      </c>
      <c r="B61">
        <v>2360</v>
      </c>
      <c r="C61" t="s">
        <v>6</v>
      </c>
      <c r="D61" s="27">
        <v>2.4943884894722299E-2</v>
      </c>
      <c r="E61" s="27">
        <v>2.7125016276518699E-2</v>
      </c>
    </row>
    <row r="62" spans="1:5" x14ac:dyDescent="0.25">
      <c r="A62" t="s">
        <v>220</v>
      </c>
      <c r="B62">
        <v>4170</v>
      </c>
      <c r="C62" t="s">
        <v>219</v>
      </c>
      <c r="D62" s="27">
        <v>2.8799999999999999E-2</v>
      </c>
      <c r="E62" s="27">
        <v>2.7125016276518699E-2</v>
      </c>
    </row>
    <row r="63" spans="1:5" x14ac:dyDescent="0.25">
      <c r="A63" t="s">
        <v>168</v>
      </c>
      <c r="B63">
        <v>3220</v>
      </c>
      <c r="C63" t="s">
        <v>59</v>
      </c>
      <c r="D63" s="27">
        <v>2.5893581162679601E-2</v>
      </c>
      <c r="E63" s="27">
        <v>2.7125016276518699E-2</v>
      </c>
    </row>
    <row r="64" spans="1:5" x14ac:dyDescent="0.25">
      <c r="A64" t="s">
        <v>229</v>
      </c>
      <c r="B64">
        <v>4190</v>
      </c>
      <c r="C64" t="s">
        <v>227</v>
      </c>
      <c r="D64" s="27">
        <v>2.5893581162679601E-2</v>
      </c>
      <c r="E64" s="27">
        <v>2.7125016276518699E-2</v>
      </c>
    </row>
    <row r="65" spans="1:5" x14ac:dyDescent="0.25">
      <c r="A65" t="s">
        <v>230</v>
      </c>
      <c r="B65">
        <v>3310</v>
      </c>
      <c r="C65" t="s">
        <v>228</v>
      </c>
      <c r="D65" s="27">
        <v>2.5893581162679601E-2</v>
      </c>
      <c r="E65" s="27">
        <v>2.7125016276518699E-2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2"/>
  <sheetViews>
    <sheetView workbookViewId="0">
      <selection sqref="A1:XFD1048576"/>
    </sheetView>
  </sheetViews>
  <sheetFormatPr defaultRowHeight="15" x14ac:dyDescent="0.25"/>
  <sheetData>
    <row r="1" spans="1:4" x14ac:dyDescent="0.25">
      <c r="A1" t="s">
        <v>191</v>
      </c>
      <c r="B1" s="28" t="s">
        <v>261</v>
      </c>
      <c r="C1" s="28" t="s">
        <v>262</v>
      </c>
      <c r="D1" s="28" t="s">
        <v>263</v>
      </c>
    </row>
    <row r="2" spans="1:4" x14ac:dyDescent="0.25">
      <c r="A2" t="s">
        <v>146</v>
      </c>
      <c r="B2" s="29">
        <v>3.5817363247067663E-2</v>
      </c>
      <c r="C2" s="30">
        <v>0</v>
      </c>
      <c r="D2" s="29">
        <v>8.8690021708485861E-3</v>
      </c>
    </row>
    <row r="3" spans="1:4" x14ac:dyDescent="0.25">
      <c r="A3" t="s">
        <v>148</v>
      </c>
      <c r="B3" s="29">
        <v>5.5629642190971086E-2</v>
      </c>
      <c r="C3" s="30">
        <v>0</v>
      </c>
      <c r="D3" s="29">
        <v>2.8669898617454118E-2</v>
      </c>
    </row>
    <row r="4" spans="1:4" x14ac:dyDescent="0.25">
      <c r="A4" t="s">
        <v>151</v>
      </c>
      <c r="B4" s="29">
        <v>8.6185037724232694E-2</v>
      </c>
      <c r="C4" s="30">
        <v>0</v>
      </c>
      <c r="D4" s="29">
        <v>2.1706824056028987E-2</v>
      </c>
    </row>
    <row r="5" spans="1:4" x14ac:dyDescent="0.25">
      <c r="A5" t="s">
        <v>152</v>
      </c>
      <c r="B5" s="29">
        <v>6.9328550719001625E-2</v>
      </c>
      <c r="C5" s="30">
        <v>0</v>
      </c>
      <c r="D5" s="29">
        <v>4.7376862589923623E-2</v>
      </c>
    </row>
    <row r="6" spans="1:4" x14ac:dyDescent="0.25">
      <c r="A6" t="s">
        <v>154</v>
      </c>
      <c r="B6" s="29">
        <v>4.9141599697189288E-3</v>
      </c>
      <c r="C6" s="30">
        <v>0</v>
      </c>
      <c r="D6" s="29">
        <v>1.8429062592577112E-2</v>
      </c>
    </row>
    <row r="7" spans="1:4" x14ac:dyDescent="0.25">
      <c r="A7" t="s">
        <v>156</v>
      </c>
      <c r="B7" s="29">
        <v>2.4711152875935824E-2</v>
      </c>
      <c r="C7" s="30">
        <v>0</v>
      </c>
      <c r="D7" s="29">
        <v>1.774946916296789E-2</v>
      </c>
    </row>
    <row r="8" spans="1:4" x14ac:dyDescent="0.25">
      <c r="A8" t="s">
        <v>119</v>
      </c>
      <c r="B8" s="29">
        <v>1.8290297044283373E-2</v>
      </c>
      <c r="C8" s="30">
        <v>0</v>
      </c>
      <c r="D8" s="29">
        <v>4.4981287406709404E-2</v>
      </c>
    </row>
    <row r="9" spans="1:4" x14ac:dyDescent="0.25">
      <c r="A9" t="s">
        <v>179</v>
      </c>
      <c r="B9" s="29">
        <v>4.4102248948597149E-2</v>
      </c>
      <c r="C9" s="30">
        <v>0</v>
      </c>
      <c r="D9" s="29">
        <v>1.915833722847668E-2</v>
      </c>
    </row>
    <row r="10" spans="1:4" x14ac:dyDescent="0.25">
      <c r="A10" t="s">
        <v>177</v>
      </c>
      <c r="B10" s="29">
        <v>2.7285585371239499E-2</v>
      </c>
      <c r="C10" s="30">
        <v>0</v>
      </c>
      <c r="D10" s="29">
        <v>9.2101019651130104E-3</v>
      </c>
    </row>
    <row r="11" spans="1:4" x14ac:dyDescent="0.25">
      <c r="A11" t="s">
        <v>159</v>
      </c>
      <c r="B11" s="29">
        <v>3.7969620035705205E-2</v>
      </c>
      <c r="C11" s="30">
        <v>0</v>
      </c>
      <c r="D11" s="29">
        <v>1.8035489657909781E-2</v>
      </c>
    </row>
    <row r="12" spans="1:4" x14ac:dyDescent="0.25">
      <c r="A12" t="s">
        <v>157</v>
      </c>
      <c r="B12" s="29">
        <v>4.1598036364212304E-2</v>
      </c>
      <c r="C12" s="30">
        <v>0</v>
      </c>
      <c r="D12" s="29">
        <v>1.9993455557979291E-2</v>
      </c>
    </row>
    <row r="13" spans="1:4" x14ac:dyDescent="0.25">
      <c r="A13" t="s">
        <v>160</v>
      </c>
      <c r="B13" s="29">
        <v>1.6043279471132196E-2</v>
      </c>
      <c r="C13" s="30">
        <v>0</v>
      </c>
      <c r="D13" s="29">
        <v>1.7103539637143617E-2</v>
      </c>
    </row>
    <row r="14" spans="1:4" x14ac:dyDescent="0.25">
      <c r="A14" t="s">
        <v>145</v>
      </c>
      <c r="B14" s="29">
        <v>3.6334970403597129E-2</v>
      </c>
      <c r="C14" s="30">
        <v>0</v>
      </c>
      <c r="D14" s="29">
        <v>1.5005972041940568E-2</v>
      </c>
    </row>
    <row r="15" spans="1:4" x14ac:dyDescent="0.25">
      <c r="A15" t="s">
        <v>143</v>
      </c>
      <c r="B15" s="29">
        <v>6.1097714192559188E-2</v>
      </c>
      <c r="C15" s="30">
        <v>0</v>
      </c>
      <c r="D15" s="29">
        <v>4.1386917648014783E-2</v>
      </c>
    </row>
    <row r="16" spans="1:4" x14ac:dyDescent="0.25">
      <c r="A16" t="s">
        <v>165</v>
      </c>
      <c r="B16" s="29">
        <v>5.4116406181107392E-2</v>
      </c>
      <c r="C16" s="30">
        <v>0</v>
      </c>
      <c r="D16" s="29">
        <v>2.6607091257532554E-2</v>
      </c>
    </row>
    <row r="17" spans="1:4" x14ac:dyDescent="0.25">
      <c r="A17" t="s">
        <v>167</v>
      </c>
      <c r="B17" s="29">
        <v>0.12913699506123022</v>
      </c>
      <c r="C17" s="30">
        <v>0</v>
      </c>
      <c r="D17" s="29">
        <v>3.3656370246028001E-2</v>
      </c>
    </row>
    <row r="18" spans="1:4" x14ac:dyDescent="0.25">
      <c r="A18" t="s">
        <v>220</v>
      </c>
      <c r="B18" s="29">
        <v>2.3595511935062798E-2</v>
      </c>
      <c r="C18" s="30">
        <v>0</v>
      </c>
      <c r="D18" s="29">
        <v>2.1669324835770377E-2</v>
      </c>
    </row>
    <row r="19" spans="1:4" x14ac:dyDescent="0.25">
      <c r="A19" t="s">
        <v>102</v>
      </c>
      <c r="B19" s="29">
        <v>1.5473677861722991E-2</v>
      </c>
      <c r="C19" s="30">
        <v>0</v>
      </c>
      <c r="D19" s="29">
        <v>4.5121021305744805E-4</v>
      </c>
    </row>
    <row r="20" spans="1:4" x14ac:dyDescent="0.25">
      <c r="A20" t="s">
        <v>104</v>
      </c>
      <c r="B20" s="29">
        <v>0.10057060601636722</v>
      </c>
      <c r="C20" s="30">
        <v>0</v>
      </c>
      <c r="D20" s="29">
        <v>6.8300365370656049E-2</v>
      </c>
    </row>
    <row r="21" spans="1:4" x14ac:dyDescent="0.25">
      <c r="A21" t="s">
        <v>230</v>
      </c>
      <c r="B21" s="29">
        <v>3.8323599527484833E-2</v>
      </c>
      <c r="C21" s="30">
        <v>0</v>
      </c>
      <c r="D21" s="29">
        <v>1.3000703158120146E-2</v>
      </c>
    </row>
    <row r="22" spans="1:4" x14ac:dyDescent="0.25">
      <c r="A22" t="s">
        <v>264</v>
      </c>
      <c r="B22" s="29">
        <v>3.7396726824657861E-2</v>
      </c>
      <c r="C22" s="30">
        <v>0</v>
      </c>
      <c r="D22" s="29">
        <v>1.5747040659296545E-2</v>
      </c>
    </row>
    <row r="23" spans="1:4" x14ac:dyDescent="0.25">
      <c r="A23" t="s">
        <v>265</v>
      </c>
      <c r="B23" s="29">
        <v>2.9879783541246846E-2</v>
      </c>
      <c r="C23" s="30">
        <v>0</v>
      </c>
      <c r="D23" s="29">
        <v>1.3729525962174197E-2</v>
      </c>
    </row>
    <row r="24" spans="1:4" x14ac:dyDescent="0.25">
      <c r="A24" t="s">
        <v>94</v>
      </c>
      <c r="B24" s="29">
        <v>1.7540785371868681E-2</v>
      </c>
      <c r="C24" s="30">
        <v>0</v>
      </c>
      <c r="D24" s="29">
        <v>1.1750083900020353E-2</v>
      </c>
    </row>
    <row r="25" spans="1:4" x14ac:dyDescent="0.25">
      <c r="A25" t="s">
        <v>95</v>
      </c>
      <c r="B25" s="29">
        <v>1.9764871757917721E-2</v>
      </c>
      <c r="C25" s="30">
        <v>0</v>
      </c>
      <c r="D25" s="29">
        <v>1.609625062559808E-2</v>
      </c>
    </row>
    <row r="26" spans="1:4" x14ac:dyDescent="0.25">
      <c r="A26" t="s">
        <v>92</v>
      </c>
      <c r="B26" s="29">
        <v>2.1594042726351601E-2</v>
      </c>
      <c r="C26" s="30">
        <v>0</v>
      </c>
      <c r="D26" s="29">
        <v>1.3811810352014606E-2</v>
      </c>
    </row>
    <row r="27" spans="1:4" x14ac:dyDescent="0.25">
      <c r="A27" t="s">
        <v>99</v>
      </c>
      <c r="B27" s="29">
        <v>0.11750533916420056</v>
      </c>
      <c r="C27" s="30">
        <v>0</v>
      </c>
      <c r="D27" s="29">
        <v>5.1861291692847304E-2</v>
      </c>
    </row>
    <row r="28" spans="1:4" x14ac:dyDescent="0.25">
      <c r="A28" t="s">
        <v>101</v>
      </c>
      <c r="B28" s="29">
        <v>9.4569160095063776E-2</v>
      </c>
      <c r="C28" s="30">
        <v>0</v>
      </c>
      <c r="D28" s="29">
        <v>2.8321161766607247E-2</v>
      </c>
    </row>
    <row r="29" spans="1:4" x14ac:dyDescent="0.25">
      <c r="A29" t="s">
        <v>89</v>
      </c>
      <c r="B29" s="29">
        <v>3.9928491020451123E-2</v>
      </c>
      <c r="C29" s="30">
        <v>0</v>
      </c>
      <c r="D29" s="29">
        <v>1.5567079172505452E-2</v>
      </c>
    </row>
    <row r="30" spans="1:4" x14ac:dyDescent="0.25">
      <c r="A30" t="s">
        <v>91</v>
      </c>
      <c r="B30" s="29">
        <v>1.1099763086680715E-2</v>
      </c>
      <c r="C30" s="30">
        <v>0</v>
      </c>
      <c r="D30" s="29">
        <v>8.8520162127898698E-3</v>
      </c>
    </row>
    <row r="31" spans="1:4" x14ac:dyDescent="0.25">
      <c r="A31" t="s">
        <v>128</v>
      </c>
      <c r="B31" s="29">
        <v>4.2790094507156567E-2</v>
      </c>
      <c r="C31" s="30">
        <v>0</v>
      </c>
      <c r="D31" s="29">
        <v>1.2759850917548022E-2</v>
      </c>
    </row>
    <row r="32" spans="1:4" x14ac:dyDescent="0.25">
      <c r="A32" t="s">
        <v>98</v>
      </c>
      <c r="B32" s="29">
        <v>6.8589499867049264E-2</v>
      </c>
      <c r="C32" s="30">
        <v>0</v>
      </c>
      <c r="D32" s="29">
        <v>1.4804419983177572E-2</v>
      </c>
    </row>
    <row r="33" spans="1:4" x14ac:dyDescent="0.25">
      <c r="A33" t="s">
        <v>266</v>
      </c>
      <c r="B33" s="29">
        <v>1.2364565911918948E-2</v>
      </c>
      <c r="C33" s="30">
        <v>0</v>
      </c>
      <c r="D33" s="29">
        <v>8.900909154504151E-3</v>
      </c>
    </row>
    <row r="34" spans="1:4" x14ac:dyDescent="0.25">
      <c r="A34" t="s">
        <v>267</v>
      </c>
      <c r="B34" s="29">
        <v>1.6792014353770555E-2</v>
      </c>
      <c r="C34" s="30">
        <v>0</v>
      </c>
      <c r="D34" s="29">
        <v>1.2210064921123294E-2</v>
      </c>
    </row>
    <row r="35" spans="1:4" x14ac:dyDescent="0.25">
      <c r="A35" t="s">
        <v>268</v>
      </c>
      <c r="B35" s="29">
        <v>1.253261181595695E-2</v>
      </c>
      <c r="C35" s="30">
        <v>0</v>
      </c>
      <c r="D35" s="29">
        <v>9.7734078021673616E-3</v>
      </c>
    </row>
    <row r="36" spans="1:4" x14ac:dyDescent="0.25">
      <c r="A36" t="s">
        <v>269</v>
      </c>
      <c r="B36" s="29">
        <v>0</v>
      </c>
      <c r="C36" s="30">
        <v>0</v>
      </c>
      <c r="D36" s="29">
        <v>0</v>
      </c>
    </row>
    <row r="37" spans="1:4" x14ac:dyDescent="0.25">
      <c r="A37" t="s">
        <v>229</v>
      </c>
      <c r="B37" s="29">
        <v>2.5887131069330379E-2</v>
      </c>
      <c r="C37" s="30">
        <v>0</v>
      </c>
      <c r="D37" s="29">
        <v>2.3043576066624969E-2</v>
      </c>
    </row>
    <row r="38" spans="1:4" x14ac:dyDescent="0.25">
      <c r="A38" t="s">
        <v>125</v>
      </c>
      <c r="B38" s="29">
        <v>3.7234799147031011E-2</v>
      </c>
      <c r="C38" s="30">
        <v>0</v>
      </c>
      <c r="D38" s="29">
        <v>1.2083264196195787E-2</v>
      </c>
    </row>
    <row r="39" spans="1:4" x14ac:dyDescent="0.25">
      <c r="A39" t="s">
        <v>123</v>
      </c>
      <c r="B39" s="29">
        <v>3.3669332355720311E-2</v>
      </c>
      <c r="C39" s="30">
        <v>0</v>
      </c>
      <c r="D39" s="29">
        <v>8.6717110978439E-3</v>
      </c>
    </row>
    <row r="40" spans="1:4" x14ac:dyDescent="0.25">
      <c r="A40" t="s">
        <v>164</v>
      </c>
      <c r="B40" s="29">
        <v>2.4635134461350666E-2</v>
      </c>
      <c r="C40" s="30">
        <v>0</v>
      </c>
      <c r="D40" s="29">
        <v>2.5288565469009545E-2</v>
      </c>
    </row>
    <row r="41" spans="1:4" x14ac:dyDescent="0.25">
      <c r="A41" t="s">
        <v>162</v>
      </c>
      <c r="B41" s="29">
        <v>8.1835182724224936E-2</v>
      </c>
      <c r="C41" s="30">
        <v>0</v>
      </c>
      <c r="D41" s="29">
        <v>5.4057082630178097E-2</v>
      </c>
    </row>
    <row r="42" spans="1:4" x14ac:dyDescent="0.25">
      <c r="A42" t="s">
        <v>131</v>
      </c>
      <c r="B42" s="29">
        <v>2.3755510774954244E-2</v>
      </c>
      <c r="C42" s="30">
        <v>0</v>
      </c>
      <c r="D42" s="29">
        <v>1.4790728589704635E-2</v>
      </c>
    </row>
    <row r="43" spans="1:4" x14ac:dyDescent="0.25">
      <c r="A43" t="s">
        <v>130</v>
      </c>
      <c r="B43" s="29">
        <v>2.2849043725844072E-2</v>
      </c>
      <c r="C43" s="30">
        <v>0</v>
      </c>
      <c r="D43" s="29">
        <v>2.6691523307746542E-2</v>
      </c>
    </row>
    <row r="44" spans="1:4" x14ac:dyDescent="0.25">
      <c r="A44" t="s">
        <v>222</v>
      </c>
      <c r="B44" s="29">
        <v>5.985232297346154E-2</v>
      </c>
      <c r="C44" s="30">
        <v>0</v>
      </c>
      <c r="D44" s="29">
        <v>3.2425481045040068E-2</v>
      </c>
    </row>
    <row r="45" spans="1:4" x14ac:dyDescent="0.25">
      <c r="A45" t="s">
        <v>96</v>
      </c>
      <c r="B45" s="29">
        <v>8.199779979859606E-2</v>
      </c>
      <c r="C45" s="30">
        <v>0</v>
      </c>
      <c r="D45" s="29">
        <v>1.9954890678683789E-2</v>
      </c>
    </row>
    <row r="46" spans="1:4" x14ac:dyDescent="0.25">
      <c r="A46" t="s">
        <v>168</v>
      </c>
      <c r="B46" s="29">
        <v>4.8860688051296348E-2</v>
      </c>
      <c r="C46" s="30">
        <v>0</v>
      </c>
      <c r="D46" s="29">
        <v>2.3843368694567175E-2</v>
      </c>
    </row>
    <row r="47" spans="1:4" x14ac:dyDescent="0.25">
      <c r="A47" t="s">
        <v>170</v>
      </c>
      <c r="B47" s="29">
        <v>3.1634108675067073E-2</v>
      </c>
      <c r="C47" s="30">
        <v>0</v>
      </c>
      <c r="D47" s="29">
        <v>-2.3835126475347363E-3</v>
      </c>
    </row>
    <row r="48" spans="1:4" x14ac:dyDescent="0.25">
      <c r="A48" t="s">
        <v>176</v>
      </c>
      <c r="B48" s="29">
        <v>2.9904631578824403E-2</v>
      </c>
      <c r="C48" s="30">
        <v>0</v>
      </c>
      <c r="D48" s="29">
        <v>1.0829844278084793E-2</v>
      </c>
    </row>
    <row r="49" spans="1:4" x14ac:dyDescent="0.25">
      <c r="A49" t="s">
        <v>175</v>
      </c>
      <c r="B49" s="29">
        <v>5.5511095869386025E-2</v>
      </c>
      <c r="C49" s="30">
        <v>0</v>
      </c>
      <c r="D49" s="29">
        <v>2.6201750855789418E-2</v>
      </c>
    </row>
    <row r="50" spans="1:4" x14ac:dyDescent="0.25">
      <c r="A50" t="s">
        <v>171</v>
      </c>
      <c r="B50" s="29">
        <v>2.346207324848153E-2</v>
      </c>
      <c r="C50" s="30">
        <v>0</v>
      </c>
      <c r="D50" s="29">
        <v>2.1439731978803913E-2</v>
      </c>
    </row>
    <row r="51" spans="1:4" x14ac:dyDescent="0.25">
      <c r="A51" t="s">
        <v>180</v>
      </c>
      <c r="B51" s="29">
        <v>4.1048834415212614E-2</v>
      </c>
      <c r="C51" s="30">
        <v>0</v>
      </c>
      <c r="D51" s="29">
        <v>8.8888326948858808E-3</v>
      </c>
    </row>
    <row r="52" spans="1:4" x14ac:dyDescent="0.25">
      <c r="A52" t="s">
        <v>183</v>
      </c>
      <c r="B52" s="29">
        <v>5.1486374144173494E-2</v>
      </c>
      <c r="C52" s="30">
        <v>0</v>
      </c>
      <c r="D52" s="29">
        <v>0.10125558714391102</v>
      </c>
    </row>
    <row r="53" spans="1:4" x14ac:dyDescent="0.25">
      <c r="A53" t="s">
        <v>182</v>
      </c>
      <c r="B53" s="29">
        <v>4.055170150368255E-2</v>
      </c>
      <c r="C53" s="30">
        <v>0</v>
      </c>
      <c r="D53" s="29">
        <v>1.0862070388469723E-2</v>
      </c>
    </row>
    <row r="54" spans="1:4" x14ac:dyDescent="0.25">
      <c r="A54" t="s">
        <v>188</v>
      </c>
      <c r="B54" s="29">
        <v>5.0135245196220216E-2</v>
      </c>
      <c r="C54" s="30">
        <v>0</v>
      </c>
      <c r="D54" s="29">
        <v>1.6751814265119163E-2</v>
      </c>
    </row>
    <row r="55" spans="1:4" x14ac:dyDescent="0.25">
      <c r="A55" t="s">
        <v>189</v>
      </c>
      <c r="B55" s="29">
        <v>5.2824435074763518E-2</v>
      </c>
      <c r="C55" s="30">
        <v>0</v>
      </c>
      <c r="D55" s="29">
        <v>2.066117553350217E-2</v>
      </c>
    </row>
    <row r="56" spans="1:4" x14ac:dyDescent="0.25">
      <c r="A56" t="s">
        <v>108</v>
      </c>
      <c r="B56" s="29">
        <v>6.2682455490175315E-2</v>
      </c>
      <c r="C56" s="30">
        <v>0</v>
      </c>
      <c r="D56" s="29">
        <v>3.1016204025541737E-2</v>
      </c>
    </row>
    <row r="57" spans="1:4" x14ac:dyDescent="0.25">
      <c r="A57" t="s">
        <v>106</v>
      </c>
      <c r="B57" s="29">
        <v>9.235210012731325E-2</v>
      </c>
      <c r="C57" s="30">
        <v>0</v>
      </c>
      <c r="D57" s="29">
        <v>2.5653489947645543E-2</v>
      </c>
    </row>
    <row r="58" spans="1:4" x14ac:dyDescent="0.25">
      <c r="A58" t="s">
        <v>116</v>
      </c>
      <c r="B58" s="29">
        <v>5.1120544883496613E-2</v>
      </c>
      <c r="C58" s="30">
        <v>0</v>
      </c>
      <c r="D58" s="29">
        <v>1.8675960772892002E-2</v>
      </c>
    </row>
    <row r="59" spans="1:4" x14ac:dyDescent="0.25">
      <c r="A59" t="s">
        <v>118</v>
      </c>
      <c r="B59" s="29">
        <v>4.8130277972301475E-2</v>
      </c>
      <c r="C59" s="30">
        <v>0</v>
      </c>
      <c r="D59" s="29">
        <v>5.1397637508408395E-2</v>
      </c>
    </row>
    <row r="60" spans="1:4" x14ac:dyDescent="0.25">
      <c r="A60" t="s">
        <v>114</v>
      </c>
      <c r="B60" s="29">
        <v>0.10361771249727161</v>
      </c>
      <c r="C60" s="30">
        <v>0</v>
      </c>
      <c r="D60" s="29">
        <v>3.2813446100705003E-2</v>
      </c>
    </row>
    <row r="61" spans="1:4" x14ac:dyDescent="0.25">
      <c r="A61" t="s">
        <v>132</v>
      </c>
      <c r="B61" s="29">
        <v>4.6758190447276263E-2</v>
      </c>
      <c r="C61" s="30">
        <v>0</v>
      </c>
      <c r="D61" s="29">
        <v>5.2738813237781105E-3</v>
      </c>
    </row>
    <row r="62" spans="1:4" x14ac:dyDescent="0.25">
      <c r="A62" t="s">
        <v>134</v>
      </c>
      <c r="B62" s="29">
        <v>0.12936147772641043</v>
      </c>
      <c r="C62" s="30">
        <v>0</v>
      </c>
      <c r="D62" s="29">
        <v>1.6878181302991312E-2</v>
      </c>
    </row>
    <row r="63" spans="1:4" x14ac:dyDescent="0.25">
      <c r="A63" t="s">
        <v>135</v>
      </c>
      <c r="B63" s="29">
        <v>3.8380623522067905E-2</v>
      </c>
      <c r="C63" s="30">
        <v>0</v>
      </c>
      <c r="D63" s="29">
        <v>2.0785737029067618E-2</v>
      </c>
    </row>
    <row r="64" spans="1:4" x14ac:dyDescent="0.25">
      <c r="A64" t="s">
        <v>126</v>
      </c>
      <c r="B64" s="29">
        <v>0.23486923823416656</v>
      </c>
      <c r="C64" s="30">
        <v>0</v>
      </c>
      <c r="D64" s="29">
        <v>7.2443612540061583E-2</v>
      </c>
    </row>
    <row r="65" spans="1:4" x14ac:dyDescent="0.25">
      <c r="A65" t="s">
        <v>138</v>
      </c>
      <c r="B65" s="29">
        <v>4.9622624259427844E-2</v>
      </c>
      <c r="C65" s="30">
        <v>0</v>
      </c>
      <c r="D65" s="29">
        <v>1.190809532396234E-2</v>
      </c>
    </row>
    <row r="66" spans="1:4" x14ac:dyDescent="0.25">
      <c r="A66" t="s">
        <v>136</v>
      </c>
      <c r="B66" s="29">
        <v>4.1147486364742719E-2</v>
      </c>
      <c r="C66" s="30">
        <v>0</v>
      </c>
      <c r="D66" s="29">
        <v>2.2780145067561913E-2</v>
      </c>
    </row>
    <row r="67" spans="1:4" x14ac:dyDescent="0.25">
      <c r="A67" t="s">
        <v>121</v>
      </c>
      <c r="B67" s="29">
        <v>9.3257547551188161E-2</v>
      </c>
      <c r="C67" s="30">
        <v>0</v>
      </c>
      <c r="D67" s="29">
        <v>2.8224298330968456E-2</v>
      </c>
    </row>
    <row r="68" spans="1:4" x14ac:dyDescent="0.25">
      <c r="A68" t="s">
        <v>139</v>
      </c>
      <c r="B68" s="29">
        <v>3.4458192359538585E-2</v>
      </c>
      <c r="C68" s="30">
        <v>0</v>
      </c>
      <c r="D68" s="29">
        <v>1.7433072383411845E-2</v>
      </c>
    </row>
    <row r="69" spans="1:4" x14ac:dyDescent="0.25">
      <c r="A69" t="s">
        <v>141</v>
      </c>
      <c r="B69" s="29">
        <v>2.8751815568600354E-2</v>
      </c>
      <c r="C69" s="30">
        <v>0</v>
      </c>
      <c r="D69" s="29">
        <v>1.7007021490734225E-2</v>
      </c>
    </row>
    <row r="70" spans="1:4" x14ac:dyDescent="0.25">
      <c r="A70" t="s">
        <v>112</v>
      </c>
      <c r="B70" s="29">
        <v>4.7535560368303337E-2</v>
      </c>
      <c r="C70" s="30">
        <v>0</v>
      </c>
      <c r="D70" s="29">
        <v>4.0313827657439211E-2</v>
      </c>
    </row>
    <row r="71" spans="1:4" x14ac:dyDescent="0.25">
      <c r="A71" t="s">
        <v>109</v>
      </c>
      <c r="B71" s="29">
        <v>4.4743748069717731E-2</v>
      </c>
      <c r="C71" s="30">
        <v>0</v>
      </c>
      <c r="D71" s="29">
        <v>1.1389924290890887E-2</v>
      </c>
    </row>
    <row r="72" spans="1:4" x14ac:dyDescent="0.25">
      <c r="A72" t="s">
        <v>111</v>
      </c>
      <c r="B72" s="29">
        <v>6.0319290762445882E-2</v>
      </c>
      <c r="C72" s="30">
        <v>0</v>
      </c>
      <c r="D72" s="29">
        <v>3.990381558954896E-2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232</v>
      </c>
      <c r="B1" s="23" t="s">
        <v>233</v>
      </c>
      <c r="C1" s="23" t="s">
        <v>234</v>
      </c>
      <c r="D1" s="23" t="s">
        <v>235</v>
      </c>
    </row>
    <row r="2" spans="1:4" ht="32.25" customHeight="1" x14ac:dyDescent="0.25">
      <c r="A2" s="24" t="s">
        <v>236</v>
      </c>
      <c r="B2" s="24">
        <v>1</v>
      </c>
      <c r="C2" s="24">
        <v>1.9</v>
      </c>
      <c r="D2" s="25">
        <v>500</v>
      </c>
    </row>
    <row r="3" spans="1:4" x14ac:dyDescent="0.25">
      <c r="A3" s="24" t="s">
        <v>237</v>
      </c>
      <c r="B3" s="24">
        <v>0.7</v>
      </c>
      <c r="C3" s="24">
        <v>0.8</v>
      </c>
      <c r="D3" s="25">
        <v>500</v>
      </c>
    </row>
    <row r="4" spans="1:4" ht="15.75" customHeight="1" x14ac:dyDescent="0.25">
      <c r="A4" s="24" t="s">
        <v>238</v>
      </c>
      <c r="B4" s="24">
        <v>1</v>
      </c>
      <c r="C4" s="24">
        <v>1.8</v>
      </c>
      <c r="D4" s="25">
        <v>500</v>
      </c>
    </row>
    <row r="5" spans="1:4" ht="18" customHeight="1" x14ac:dyDescent="0.25">
      <c r="A5" s="24" t="s">
        <v>239</v>
      </c>
      <c r="B5" s="24">
        <v>1</v>
      </c>
      <c r="C5" s="24">
        <v>2.2999999999999998</v>
      </c>
      <c r="D5" s="25">
        <v>500</v>
      </c>
    </row>
    <row r="6" spans="1:4" ht="16.5" customHeight="1" x14ac:dyDescent="0.25">
      <c r="A6" s="24" t="s">
        <v>240</v>
      </c>
      <c r="B6" s="24">
        <v>1</v>
      </c>
      <c r="C6" s="24">
        <v>2.2000000000000002</v>
      </c>
      <c r="D6" s="25">
        <v>500</v>
      </c>
    </row>
    <row r="7" spans="1:4" ht="18.75" customHeight="1" x14ac:dyDescent="0.25">
      <c r="A7" s="24" t="s">
        <v>241</v>
      </c>
      <c r="B7" s="24">
        <v>1</v>
      </c>
      <c r="C7" s="24">
        <v>1.3</v>
      </c>
      <c r="D7" s="25">
        <v>500</v>
      </c>
    </row>
    <row r="8" spans="1:4" ht="18.75" customHeight="1" x14ac:dyDescent="0.25">
      <c r="A8" s="24" t="s">
        <v>242</v>
      </c>
      <c r="B8" s="24">
        <v>1</v>
      </c>
      <c r="C8" s="24">
        <v>2.4</v>
      </c>
      <c r="D8" s="25">
        <v>500</v>
      </c>
    </row>
    <row r="9" spans="1:4" x14ac:dyDescent="0.25">
      <c r="A9" s="24" t="s">
        <v>243</v>
      </c>
      <c r="B9" s="24">
        <v>1</v>
      </c>
      <c r="C9" s="24">
        <v>2.5</v>
      </c>
      <c r="D9" s="25">
        <v>500</v>
      </c>
    </row>
    <row r="10" spans="1:4" ht="17.25" customHeight="1" x14ac:dyDescent="0.25">
      <c r="A10" s="24" t="s">
        <v>244</v>
      </c>
      <c r="B10" s="24">
        <v>0.9</v>
      </c>
      <c r="C10" s="24">
        <v>1.8</v>
      </c>
      <c r="D10" s="25">
        <v>500</v>
      </c>
    </row>
    <row r="11" spans="1:4" ht="17.25" customHeight="1" x14ac:dyDescent="0.25">
      <c r="A11" s="24" t="s">
        <v>245</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2022-03-18T11:04:11Z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