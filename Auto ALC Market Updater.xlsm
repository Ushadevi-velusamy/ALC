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211292B0-1B66-408B-92A9-87660B053ED8}" xr6:coauthVersionLast="45"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Prospect Slot Assumptions" sheetId="2371" r:id="rId8"/>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<sst xmlns="http://schemas.openxmlformats.org/spreadsheetml/2006/main" count="814" uniqueCount="255">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</sst>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_);[Red]\(&quot;$&quot;#,##0.0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5">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N12"/>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4" x14ac:dyDescent="0.25">
      <c r="A1" s="6" t="s">
        <v>2</v>
      </c>
      <c r="B1" s="7" t="s">
        <v>196</v>
      </c>
      <c r="C1" s="16" t="s">
        <v>198</v>
      </c>
      <c r="D1" s="16" t="s">
        <v>197</v>
      </c>
      <c r="E1" s="16" t="s">
        <v>199</v>
      </c>
      <c r="F1" s="17" t="s">
        <v>200</v>
      </c>
      <c r="G1" s="18" t="s">
        <v>226</v>
      </c>
      <c r="H1" s="3" t="s">
        <v>1</v>
      </c>
      <c r="I1" s="3" t="s">
        <v>73</v>
      </c>
      <c r="K1" s="9" t="s">
        <v>66</v>
      </c>
      <c r="M1" t="s">
        <v>250</v>
      </c>
    </row>
    <row r="2" spans="1:14" x14ac:dyDescent="0.25">
      <c r="A2" s="21" t="s">
        <v>22</v>
      </c>
      <c r="B2" s="8" t="str">
        <f>"'"&amp;A2&amp;"'"</f>
        <v>'COLUMBIA'</v>
      </c>
      <c r="C2" s="15" t="str">
        <f>IFERROR(VLOOKUP(A2,Markets!A:B,2,0)&amp;" ALC","")</f>
        <v>5D ALC</v>
      </c>
      <c r="D2" s="15" t="str">
        <f>IFERROR(VLOOKUP(A2,PushToSharePoint!A:D,4,0),"")</f>
        <v>COLUMBIA</v>
      </c>
      <c r="E2" s="15" t="str">
        <f>SUBSTITUTE(D2," ","%20")</f>
        <v>COLUMBIA</v>
      </c>
      <c r="F2" s="15" t="str">
        <f>SUBSTITUTE(C2," ","%20")</f>
        <v>5D%20ALC</v>
      </c>
      <c r="H2" s="4" t="s">
        <v>219</v>
      </c>
      <c r="I2" s="1" t="str">
        <f>"'"&amp;H2</f>
        <v>'2020Q2</v>
      </c>
      <c r="K2" s="9" t="s">
        <v>67</v>
      </c>
      <c r="M2" t="s">
        <v>251</v>
      </c>
      <c r="N2">
        <v>0.3</v>
      </c>
    </row>
    <row r="3" spans="1:14" x14ac:dyDescent="0.25">
      <c r="H3" s="4" t="s">
        <v>220</v>
      </c>
      <c r="I3" s="1" t="str">
        <f>I2&amp;"',"&amp;"'"&amp;H3</f>
        <v>'2020Q2','2020Q3</v>
      </c>
      <c r="K3" s="9" t="s">
        <v>68</v>
      </c>
      <c r="M3" t="s">
        <v>252</v>
      </c>
      <c r="N3">
        <v>0.5</v>
      </c>
    </row>
    <row r="4" spans="1:14" x14ac:dyDescent="0.25">
      <c r="H4" s="4" t="s">
        <v>225</v>
      </c>
      <c r="I4" s="1" t="str">
        <f>I3&amp;"',"&amp;"'"&amp;H4</f>
        <v>'2020Q2','2020Q3','2020Q4</v>
      </c>
      <c r="K4" s="9" t="s">
        <v>69</v>
      </c>
      <c r="M4" t="s">
        <v>253</v>
      </c>
      <c r="N4">
        <v>0.7</v>
      </c>
    </row>
    <row r="5" spans="1:14" x14ac:dyDescent="0.25">
      <c r="H5" s="4" t="s">
        <v>227</v>
      </c>
      <c r="I5" s="2" t="str">
        <f>I4&amp;"',"&amp;"'"&amp;H5&amp;"'"</f>
        <v>'2020Q2','2020Q3','2020Q4','2021Q1'</v>
      </c>
      <c r="K5" s="9" t="s">
        <v>70</v>
      </c>
      <c r="M5" t="s">
        <v>254</v>
      </c>
      <c r="N5">
        <v>0.5</v>
      </c>
    </row>
    <row r="6" spans="1:14" x14ac:dyDescent="0.25">
      <c r="K6" s="9" t="s">
        <v>71</v>
      </c>
    </row>
    <row r="7" spans="1:14" x14ac:dyDescent="0.25">
      <c r="K7" s="9" t="s">
        <v>72</v>
      </c>
    </row>
    <row r="8" spans="1:14" x14ac:dyDescent="0.25">
      <c r="K8" s="9" t="s">
        <v>74</v>
      </c>
    </row>
    <row r="9" spans="1:14" x14ac:dyDescent="0.25">
      <c r="K9" s="9" t="s">
        <v>83</v>
      </c>
    </row>
    <row r="10" spans="1:14" x14ac:dyDescent="0.25">
      <c r="K10" s="9" t="s">
        <v>202</v>
      </c>
    </row>
    <row r="11" spans="1:14" x14ac:dyDescent="0.25">
      <c r="K11" s="9" t="s">
        <v>229</v>
      </c>
    </row>
    <row r="12" spans="1:14" x14ac:dyDescent="0.25">
      <c r="K12" s="9" t="s">
        <v>249</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s="21" t="s">
        <v>22</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234</v>
      </c>
      <c r="L18" t="s">
        <v>27</v>
      </c>
      <c r="N18" t="s">
        <v>27</v>
      </c>
    </row>
    <row r="19" spans="3:14" x14ac:dyDescent="0.25">
      <c r="C19" t="s">
        <v>28</v>
      </c>
      <c r="L19" t="s">
        <v>234</v>
      </c>
      <c r="N19" t="s">
        <v>234</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O10" sqref="O1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234</v>
      </c>
      <c r="B21" s="9" t="s">
        <v>75</v>
      </c>
      <c r="C21" s="9"/>
      <c r="D21" s="10" t="str">
        <f t="shared" si="0"/>
        <v>NEW ORLEANS</v>
      </c>
      <c r="J21" t="s">
        <v>234</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 workbookViewId="0">
      <selection activeCell="B11" sqref="B1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234</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235</v>
      </c>
      <c r="B1" s="23" t="s">
        <v>236</v>
      </c>
      <c r="C1" s="23" t="s">
        <v>237</v>
      </c>
      <c r="D1" s="23" t="s">
        <v>238</v>
      </c>
    </row>
    <row r="2" spans="1:4" ht="32.25" customHeight="1" x14ac:dyDescent="0.25">
      <c r="A2" s="24" t="s">
        <v>239</v>
      </c>
      <c r="B2" s="24">
        <v>1</v>
      </c>
      <c r="C2" s="24">
        <v>1.9</v>
      </c>
      <c r="D2" s="25">
        <v>500</v>
      </c>
    </row>
    <row r="3" spans="1:4" x14ac:dyDescent="0.25">
      <c r="A3" s="24" t="s">
        <v>240</v>
      </c>
      <c r="B3" s="24">
        <v>0.7</v>
      </c>
      <c r="C3" s="24">
        <v>0.8</v>
      </c>
      <c r="D3" s="25">
        <v>500</v>
      </c>
    </row>
    <row r="4" spans="1:4" ht="15.75" customHeight="1" x14ac:dyDescent="0.25">
      <c r="A4" s="24" t="s">
        <v>241</v>
      </c>
      <c r="B4" s="24">
        <v>1</v>
      </c>
      <c r="C4" s="24">
        <v>1.8</v>
      </c>
      <c r="D4" s="25">
        <v>500</v>
      </c>
    </row>
    <row r="5" spans="1:4" ht="18" customHeight="1" x14ac:dyDescent="0.25">
      <c r="A5" s="24" t="s">
        <v>242</v>
      </c>
      <c r="B5" s="24">
        <v>1</v>
      </c>
      <c r="C5" s="24">
        <v>2.2999999999999998</v>
      </c>
      <c r="D5" s="25">
        <v>500</v>
      </c>
    </row>
    <row r="6" spans="1:4" ht="16.5" customHeight="1" x14ac:dyDescent="0.25">
      <c r="A6" s="24" t="s">
        <v>243</v>
      </c>
      <c r="B6" s="24">
        <v>1</v>
      </c>
      <c r="C6" s="24">
        <v>2.2000000000000002</v>
      </c>
      <c r="D6" s="25">
        <v>500</v>
      </c>
    </row>
    <row r="7" spans="1:4" ht="18.75" customHeight="1" x14ac:dyDescent="0.25">
      <c r="A7" s="24" t="s">
        <v>244</v>
      </c>
      <c r="B7" s="24">
        <v>1</v>
      </c>
      <c r="C7" s="24">
        <v>1.3</v>
      </c>
      <c r="D7" s="25">
        <v>500</v>
      </c>
    </row>
    <row r="8" spans="1:4" ht="18.75" customHeight="1" x14ac:dyDescent="0.25">
      <c r="A8" s="24" t="s">
        <v>245</v>
      </c>
      <c r="B8" s="24">
        <v>1</v>
      </c>
      <c r="C8" s="24">
        <v>2.4</v>
      </c>
      <c r="D8" s="25">
        <v>500</v>
      </c>
    </row>
    <row r="9" spans="1:4" x14ac:dyDescent="0.25">
      <c r="A9" s="24" t="s">
        <v>246</v>
      </c>
      <c r="B9" s="24">
        <v>1</v>
      </c>
      <c r="C9" s="24">
        <v>2.5</v>
      </c>
      <c r="D9" s="25">
        <v>500</v>
      </c>
    </row>
    <row r="10" spans="1:4" ht="17.25" customHeight="1" x14ac:dyDescent="0.25">
      <c r="A10" s="24" t="s">
        <v>247</v>
      </c>
      <c r="B10" s="24">
        <v>0.9</v>
      </c>
      <c r="C10" s="24">
        <v>1.8</v>
      </c>
      <c r="D10" s="25">
        <v>500</v>
      </c>
    </row>
    <row r="11" spans="1:4" ht="17.25" customHeight="1" x14ac:dyDescent="0.25">
      <c r="A11" s="24" t="s">
        <v>248</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2.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REFERENCE</vt:lpstr>
      <vt:lpstr>MARKET LIST</vt:lpstr>
      <vt:lpstr>Start Here</vt:lpstr>
      <vt:lpstr>ALC MASTER VERSION CONTROL</vt:lpstr>
      <vt:lpstr>MarketDividerAuto</vt:lpstr>
      <vt:lpstr>PushToSharePoint</vt:lpstr>
      <vt:lpstr>Markets</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2022-01-10T07:55:48Z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