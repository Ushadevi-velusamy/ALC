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6464CB02-2250-4B76-821A-9D9BFAF145B5}" xr6:coauthVersionLast="45" xr6:coauthVersionMax="46"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<sst xmlns="http://schemas.openxmlformats.org/spreadsheetml/2006/main" count="794" uniqueCount="234">
  <si>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</si>
  <si>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</si>
  <si>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</si>
  <si>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</si>
  <si>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</si>
  <si>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</si>
  <si>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</si>
  <si>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</si>
  <si>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</si>
  <si>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</si>
  <si>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</si>
  <si>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</si>
  <si>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</si>
  <si>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</si>
  <si>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</si>
  <si>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</si>
  <si>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</si>
  <si>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</si>
  <si>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</si>
  <si>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</si>
  <si>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</si>
  <si>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</si>
  <si>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</si>
  <si>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</si>
  <si>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</si>
  <si>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</si>
  <si>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</si>
  <si>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</si>
  <si>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</si>
  <si>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</si>
  <si>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</si>
  <si>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</si>
  <si>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</si>
  <si>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</si>
  <si>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</si>
  <si>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</si>
  <si>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</si>
  <si>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</si>
  <si>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</si>
  <si>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</si>
  <si>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</si>
  <si>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</si>
  <si>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</si>
  <si>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</si>
  <si>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</si>
  <si>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</si>
  <si>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</si>
  <si>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</si>
  <si>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</si>
  <si>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</si>
  <si>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</si>
  <si>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</si>
  <si>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</si>
  <si>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</si>
  <si>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</si>
  <si>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</si>
  <si>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</si>
  <si>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</si>
  <si>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</si>
  <si>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</si>
  <si>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</si>
  <si>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</si>
  <si>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</si>
  <si>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</si>
  <si>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</si>
  <si>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</si>
  <si>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</si>
  <si>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</si>
  <si>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</si>
  <si>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</si>
  <si>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</si>
  <si>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</si>
  <si>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</si>
  <si>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</si>
  <si>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</si>
  <si>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</si>
  <si>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</si>
  <si>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</si>
  <si>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</si>
  <si>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</si>
  <si>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</si>
  <si>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</si>
  <si>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</si>
  <si>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</si>
  <si>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</si>
  <si>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</si>
  <si>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</si>
  <si>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</si>
  <si>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</si>
  <si>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</si>
  <si>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</si>
  <si>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</si>
  <si>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</si>
  <si>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</si>
  <si>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</si>
  <si>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</si>
  <si>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</si>
  <si>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</si>
  <si>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</si>
  <si>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</si>
  <si>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</si>
  <si>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</si>
  <si>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</si>
  <si>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</si>
  <si>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</si>
  <si>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</si>
  <si>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</si>
  <si>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</si>
  <si>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</si>
  <si>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</si>
  <si>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</si>
  <si>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</si>
  <si>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</si>
  <si>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</si>
  <si>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</si>
  <si>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</si>
  <si>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</si>
  <si>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</si>
  <si>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</si>
  <si>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</si>
  <si>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</si>
  <si>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</si>
  <si>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</si>
  <si>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</si>
  <si>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</si>
  <si>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</si>
  <si>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</si>
  <si>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</si>
  <si>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</si>
  <si>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</si>
  <si>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</si>
  <si>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</si>
  <si>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</si>
  <si>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</si>
  <si>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</si>
  <si>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</si>
  <si>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</si>
  <si>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</si>
  <si>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</si>
  <si>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</si>
  <si>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</si>
  <si>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</si>
  <si>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</si>
  <si>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</si>
  <si>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</si>
  <si>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</si>
  <si>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</si>
  <si>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</si>
  <si>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</si>
  <si>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</si>
  <si>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</si>
  <si>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</si>
  <si>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</si>
  <si>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</si>
  <si>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</si>
  <si>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</si>
  <si>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</si>
  <si>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</si>
  <si>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</si>
  <si>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</si>
  <si>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</si>
  <si>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</si>
  <si>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</si>
  <si>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</si>
  <si>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</si>
  <si>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</si>
  <si>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</si>
  <si>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</si>
  <si>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</si>
  <si>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</si>
  <si>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</si>
  <si>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</si>
  <si>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</si>
  <si>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</si>
  <si>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</si>
  <si>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</si>
  <si>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</si>
  <si>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</si>
  <si>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</si>
  <si>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</si>
  <si>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</si>
  <si>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</si>
  <si>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</si>
  <si>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</si>
  <si>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</si>
  <si>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</si>
  <si>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</si>
  <si>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</si>
  <si>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</si>
  <si>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</si>
  <si>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</si>
  <si>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</si>
  <si>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</si>
  <si>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</si>
  <si>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</si>
  <si>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</si>
  <si>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</si>
  <si>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</si>
  <si>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</si>
  <si>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</si>
  <si>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</si>
  <si>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</si>
  <si>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</si>
  <si>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</si>
  <si>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</si>
  <si>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</si>
  <si>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</si>
  <si>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</si>
  <si>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</si>
  <si>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</si>
  <si>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</si>
  <si>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</si>
  <si>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</si>
  <si>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</si>
  <si>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</si>
  <si>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</si>
  <si>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</si>
  <si>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</si>
  <si>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</si>
  <si>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</si>
  <si>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</si>
  <si>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</si>
  <si>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</si>
  <si>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</si>
  <si>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</si>
  <si>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</si>
  <si>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</si>
  <si>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</si>
  <si>
    <t>West</t>
  </si>
  <si>
    <t>Margin Guidence Table</t>
  </si>
  <si>
    <t>ANCHORAGE</t>
  </si>
  <si>
    <t>BILLINGS</t>
  </si>
  <si>
    <t>9A</t>
  </si>
  <si>
    <t>9J</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</si>
</sst>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4">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3">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cellXfs>
  <cellStyles count="1">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K11"/>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s>
  <sheetData>
    <row r="1" spans="1:11" x14ac:dyDescent="0.25">
      <c r="A1" s="6" t="s">
        <v>2</v>
      </c>
      <c r="B1" s="7" t="s">
        <v>196</v>
      </c>
      <c r="C1" s="16" t="s">
        <v>198</v>
      </c>
      <c r="D1" s="16" t="s">
        <v>197</v>
      </c>
      <c r="E1" s="16" t="s">
        <v>199</v>
      </c>
      <c r="F1" s="17" t="s">
        <v>200</v>
      </c>
      <c r="G1" s="18" t="s">
        <v>226</v>
      </c>
      <c r="H1" s="3" t="s">
        <v>1</v>
      </c>
      <c r="I1" s="3" t="s">
        <v>73</v>
      </c>
      <c r="K1" s="9" t="s">
        <v>66</v>
      </c>
    </row>
    <row r="2" spans="1:11" x14ac:dyDescent="0.25">
      <c r="A2" s="21" t="s">
        <v>9</v>
      </c>
      <c r="B2" s="8" t="str">
        <f>"'"&amp;A2&amp;"'"</f>
        <v>'ALBANY'</v>
      </c>
      <c r="C2" s="15" t="str">
        <f>IFERROR(VLOOKUP(A2,Markets!A:B,2,0)&amp;" ALC","")</f>
        <v>9B ALC</v>
      </c>
      <c r="D2" s="15" t="str">
        <f>IFERROR(VLOOKUP(A2,PushToSharePoint!A:D,4,0),"")</f>
        <v>ALBANY</v>
      </c>
      <c r="E2" s="15" t="str">
        <f>SUBSTITUTE(D2," ","%20")</f>
        <v>ALBANY</v>
      </c>
      <c r="F2" s="15" t="str">
        <f>SUBSTITUTE(C2," ","%20")</f>
        <v>9B%20ALC</v>
      </c>
      <c r="H2" s="4" t="s">
        <v>219</v>
      </c>
      <c r="I2" s="1" t="str">
        <f>"'"&amp;H2</f>
        <v>'2020Q2</v>
      </c>
      <c r="K2" s="9" t="s">
        <v>67</v>
      </c>
    </row>
    <row r="3" spans="1:11" x14ac:dyDescent="0.25">
      <c r="H3" s="4" t="s">
        <v>220</v>
      </c>
      <c r="I3" s="1" t="str">
        <f>I2&amp;"',"&amp;"'"&amp;H3</f>
        <v>'2020Q2','2020Q3</v>
      </c>
      <c r="K3" s="9" t="s">
        <v>68</v>
      </c>
    </row>
    <row r="4" spans="1:11" x14ac:dyDescent="0.25">
      <c r="H4" s="4" t="s">
        <v>225</v>
      </c>
      <c r="I4" s="1" t="str">
        <f>I3&amp;"',"&amp;"'"&amp;H4</f>
        <v>'2020Q2','2020Q3','2020Q4</v>
      </c>
      <c r="K4" s="9" t="s">
        <v>69</v>
      </c>
    </row>
    <row r="5" spans="1:11" x14ac:dyDescent="0.25">
      <c r="H5" s="4" t="s">
        <v>227</v>
      </c>
      <c r="I5" s="2" t="str">
        <f>I4&amp;"',"&amp;"'"&amp;H5&amp;"'"</f>
        <v>'2020Q2','2020Q3','2020Q4','2021Q1'</v>
      </c>
      <c r="K5" s="9" t="s">
        <v>70</v>
      </c>
    </row>
    <row r="6" spans="1:11" x14ac:dyDescent="0.25">
      <c r="K6" s="9" t="s">
        <v>71</v>
      </c>
    </row>
    <row r="7" spans="1:11" x14ac:dyDescent="0.25">
      <c r="K7" s="9" t="s">
        <v>72</v>
      </c>
    </row>
    <row r="8" spans="1:11" x14ac:dyDescent="0.25">
      <c r="K8" s="9" t="s">
        <v>74</v>
      </c>
    </row>
    <row r="9" spans="1:11" x14ac:dyDescent="0.25">
      <c r="K9" s="9" t="s">
        <v>83</v>
      </c>
    </row>
    <row r="10" spans="1:11" x14ac:dyDescent="0.25">
      <c r="K10" s="9" t="s">
        <v>202</v>
      </c>
    </row>
    <row r="11" spans="1:11" x14ac:dyDescent="0.25">
      <c r="K11" s="9" t="s">
        <v>229</v>
      </c>
    </row>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3"/>
  <sheetViews>
    <sheetView workbookViewId="0"/>
  </sheetViews>
  <sheetFormatPr defaultRowHeight="15" x14ac:dyDescent="0.25"/>
  <cols>
    <col min="1" max="1" width="28" style="21" bestFit="1" customWidth="1"/>
    <col min="192" max="202" width="9.140625" customWidth="1"/>
  </cols>
  <sheetData>
    <row r="1" spans="1:14" x14ac:dyDescent="0.25">
      <c r="A1" s="21" t="s">
        <v>9</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8</v>
      </c>
      <c r="L18" t="s">
        <v>27</v>
      </c>
      <c r="N18" t="s">
        <v>27</v>
      </c>
    </row>
    <row r="19" spans="3:14" x14ac:dyDescent="0.25">
      <c r="C19" t="s">
        <v>28</v>
      </c>
      <c r="L19" t="s">
        <v>8</v>
      </c>
      <c r="N19" t="s">
        <v>8</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row r="62" spans="3:14" x14ac:dyDescent="0.25">
      <c r="C62" t="s">
        <v>230</v>
      </c>
    </row>
    <row r="63" spans="3:14" x14ac:dyDescent="0.25">
      <c r="C63" t="s">
        <v>231</v>
      </c>
    </row>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P2" sqref="P2"/>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203</v>
      </c>
    </row>
    <row r="2" spans="1:1" ht="45.75" x14ac:dyDescent="0.25">
      <c r="A2" s="19" t="s">
        <v>204</v>
      </c>
    </row>
    <row r="3" spans="1:1" x14ac:dyDescent="0.25">
      <c r="A3" s="20" t="s">
        <v>205</v>
      </c>
    </row>
    <row r="4" spans="1:1" x14ac:dyDescent="0.25">
      <c r="A4" s="19" t="s">
        <v>206</v>
      </c>
    </row>
    <row r="5" spans="1:1" x14ac:dyDescent="0.25">
      <c r="A5" s="20" t="s">
        <v>207</v>
      </c>
    </row>
    <row r="6" spans="1:1" x14ac:dyDescent="0.25">
      <c r="A6" s="19" t="s">
        <v>210</v>
      </c>
    </row>
    <row r="7" spans="1:1" x14ac:dyDescent="0.25">
      <c r="A7" s="19" t="s">
        <v>211</v>
      </c>
    </row>
    <row r="8" spans="1:1" x14ac:dyDescent="0.25">
      <c r="A8" s="19" t="s">
        <v>212</v>
      </c>
    </row>
    <row r="9" spans="1:1" x14ac:dyDescent="0.25">
      <c r="A9" s="19" t="s">
        <v>213</v>
      </c>
    </row>
    <row r="10" spans="1:1" x14ac:dyDescent="0.25">
      <c r="A10" s="20" t="s">
        <v>208</v>
      </c>
    </row>
    <row r="11" spans="1:1" x14ac:dyDescent="0.25">
      <c r="A11" s="19" t="s">
        <v>209</v>
      </c>
    </row>
    <row r="12" spans="1:1" x14ac:dyDescent="0.25">
      <c r="A12" s="20" t="s">
        <v>217</v>
      </c>
    </row>
    <row r="13" spans="1:1" x14ac:dyDescent="0.25">
      <c r="A13" s="19" t="s">
        <v>218</v>
      </c>
    </row>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47" workbookViewId="0">
      <selection activeCell="F64" sqref="F64"/>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8</v>
      </c>
      <c r="B21" s="9" t="s">
        <v>75</v>
      </c>
      <c r="C21" s="9"/>
      <c r="D21" s="10" t="str">
        <f t="shared" si="0"/>
        <v>F. CHRISTIANA</v>
      </c>
      <c r="J21" t="s">
        <v>8</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22" t="s">
        <v>230</v>
      </c>
      <c r="B63" s="9" t="s">
        <v>75</v>
      </c>
      <c r="C63" s="9"/>
      <c r="D63" s="10" t="str">
        <f>IF(C63="",A63,C63)</f>
        <v>ANCHORAGE</v>
      </c>
      <c r="J63" t="s">
        <v>64</v>
      </c>
    </row>
    <row r="64" spans="1:15" x14ac:dyDescent="0.25">
      <c r="A64" s="22" t="s">
        <v>231</v>
      </c>
      <c r="B64" s="9" t="s">
        <v>75</v>
      </c>
      <c r="C64" s="9"/>
      <c r="D64" s="10" t="s">
        <v>231</v>
      </c>
      <c r="J64" t="s">
        <v>65</v>
      </c>
    </row>
    <row r="65" spans="10:10" x14ac:dyDescent="0.25">
      <c r="J65" t="s">
        <v>173</v>
      </c>
    </row>
  </sheetData>
  <conditionalFormatting sqref="B1:B62">
    <cfRule type="cellIs" dxfId="2" priority="3" operator="equal">
      <formula>"NO"</formula>
    </cfRule>
  </conditionalFormatting>
  <conditionalFormatting sqref="B63">
    <cfRule type="cellIs" dxfId="1" priority="2" operator="equal">
      <formula>"NO"</formula>
    </cfRule>
  </conditionalFormatting>
  <conditionalFormatting sqref="B64">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71"/>
  <sheetViews>
    <sheetView topLeftCell="A55" workbookViewId="0">
      <selection activeCell="A70" sqref="A70"/>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8</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row r="70" spans="1:5" x14ac:dyDescent="0.25">
      <c r="A70" s="12" t="s">
        <v>230</v>
      </c>
      <c r="B70" s="11" t="s">
        <v>232</v>
      </c>
      <c r="C70" s="9">
        <v>4190</v>
      </c>
      <c r="D70" s="9" t="s">
        <v>230</v>
      </c>
      <c r="E70" s="12" t="s">
        <v>228</v>
      </c>
    </row>
    <row r="71" spans="1:5" x14ac:dyDescent="0.25">
      <c r="A71" s="12" t="s">
        <v>231</v>
      </c>
      <c r="B71" s="11" t="s">
        <v>233</v>
      </c>
      <c r="C71" s="9">
        <v>3310</v>
      </c>
      <c r="D71" s="9" t="s">
        <v>103</v>
      </c>
      <c r="E71" s="12" t="s">
        <v>228</v>
      </c>
    </row>
  </sheetData>
  <autoFilter ref="A1:E1" xr:uid="{35415AE6-DBF2-451A-88F6-FA69C7A14F47}">
    <sortState xmlns:xlrd2="http://schemas.microsoft.com/office/spreadsheetml/2017/richdata2" ref="A2:E69">
      <sortCondition ref="A1"/>
    </sortState>
  </autoFilter>
  <pageMargins left="0.7" right="0.7" top="0.75" bottom="0.75" header="0.3" footer="0.3"/>
  <pageSetup orientation="portrait" r:id="rId1"/>
  <headerFooter differentOddEven="1" differentFirst="1">
    <oddFooter>&amp;LClassification: &amp;"Microsoft Sans Serif,Bold"&amp;K4285F4Internal&amp;"Microsoft Sans Serif,Regular"&amp;K000000 Contains PII: &amp;"Microsoft Sans Serif,Bold"No</oddFooter>
    <evenFooter>&amp;LClassification: &amp;"Microsoft Sans Serif,Bold"&amp;K4285F4Internal&amp;"Microsoft Sans Serif,Regular"&amp;K000000 Contains PII: &amp;"Microsoft Sans Serif,Bold"No</evenFooter>
    <firstFooter>&amp;LClassification: &amp;"Microsoft Sans Serif,Bold"&amp;K4285F4Internal&amp;"Microsoft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F8150FFF-8169-4EF7-B2BD-A3680B6F116E}">
  <ds:schemaRefs>
    <ds:schemaRef ds:uri="http://schemas.microsoft.com/sharepoint/v3/contenttype/forms"/>
  </ds:schemaRefs>
</ds:datastoreItem>
</file>

<file path=customXml/itemProps3.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REFERENCE</vt:lpstr>
      <vt:lpstr>MARKET LIST</vt:lpstr>
      <vt:lpstr>Start Here</vt:lpstr>
      <vt:lpstr>ALC MASTER VERSION CONTROL</vt:lpstr>
      <vt:lpstr>MarketDividerAuto</vt:lpstr>
      <vt:lpstr>PushToSharePoint</vt:lpstr>
      <vt:lpstr>Markets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2021-11-19T11:52:06Z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LV_INT3RNAL</vt:lpwstr>
  </property>
  <property fmtid="{D5CDD505-2E9C-101B-9397-08002B2CF9AE}" pid="5" name="ContainsPII">
    <vt:lpwstr>No</vt:lpwstr>
  </property>
</Properties>
</file>