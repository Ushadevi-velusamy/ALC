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21FD7CBB-06BD-45C4-961C-C258D63F43A5}" xr6:coauthVersionLast="45" xr6:coauthVersionMax="46"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<sst xmlns="http://schemas.openxmlformats.org/spreadsheetml/2006/main" count="794" uniqueCount="234">
  <si>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</si>
  <si>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</si>
  <si>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</si>
  <si>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</si>
  <si>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</si>
  <si>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</si>
  <si>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</si>
  <si>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</si>
  <si>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</si>
  <si>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</si>
  <si>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</si>
  <si>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</si>
  <si>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</si>
  <si>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</si>
  <si>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</si>
  <si>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</si>
  <si>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</si>
  <si>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</si>
  <si>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</si>
  <si>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</si>
  <si>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</si>
  <si>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</si>
  <si>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</si>
  <si>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</si>
  <si>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</si>
  <si>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</si>
  <si>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</si>
  <si>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</si>
  <si>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</si>
  <si>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</si>
  <si>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</si>
  <si>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</si>
  <si>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</si>
  <si>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</si>
  <si>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</si>
  <si>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</si>
  <si>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</si>
  <si>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</si>
  <si>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</si>
  <si>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</si>
  <si>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</si>
  <si>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</si>
  <si>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</si>
  <si>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</si>
  <si>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</si>
  <si>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</si>
  <si>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</si>
  <si>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</si>
  <si>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</si>
  <si>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</si>
  <si>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</si>
  <si>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</si>
  <si>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</si>
  <si>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</si>
  <si>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</si>
  <si>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</si>
  <si>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</si>
  <si>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</si>
  <si>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</si>
  <si>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</si>
  <si>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</si>
  <si>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</si>
  <si>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</si>
  <si>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</si>
  <si>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</si>
  <si>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</si>
  <si>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</si>
  <si>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</si>
  <si>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</si>
  <si>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</si>
  <si>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</si>
  <si>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</si>
  <si>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</si>
  <si>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</si>
  <si>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</si>
  <si>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</si>
  <si>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</si>
  <si>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</si>
  <si>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</si>
  <si>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</si>
  <si>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</si>
  <si>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</si>
  <si>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</si>
  <si>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</si>
  <si>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</si>
  <si>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</si>
  <si>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</si>
  <si>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</si>
  <si>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</si>
  <si>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</si>
  <si>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</si>
  <si>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</si>
  <si>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</si>
  <si>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</si>
  <si>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</si>
  <si>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</si>
  <si>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</si>
  <si>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</si>
  <si>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</si>
  <si>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</si>
  <si>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</si>
  <si>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</si>
  <si>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</si>
  <si>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</si>
  <si>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</si>
  <si>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</si>
  <si>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</si>
  <si>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</si>
  <si>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</si>
  <si>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</si>
  <si>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</si>
  <si>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</si>
  <si>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</si>
  <si>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</si>
  <si>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</si>
  <si>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</si>
  <si>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</si>
  <si>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</si>
  <si>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</si>
  <si>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</si>
  <si>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</si>
  <si>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</si>
  <si>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</si>
  <si>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</si>
  <si>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</si>
  <si>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</si>
  <si>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</si>
  <si>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</si>
  <si>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</si>
  <si>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</si>
  <si>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</si>
  <si>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</si>
  <si>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</si>
  <si>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</si>
  <si>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</si>
  <si>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</si>
  <si>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</si>
  <si>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</si>
  <si>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</si>
  <si>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</si>
  <si>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</si>
  <si>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</si>
  <si>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</si>
  <si>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</si>
  <si>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</si>
  <si>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</si>
  <si>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</si>
  <si>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</si>
  <si>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</si>
  <si>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</si>
  <si>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</si>
  <si>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</si>
  <si>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</si>
  <si>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</si>
  <si>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</si>
  <si>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</si>
  <si>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</si>
  <si>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</si>
  <si>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</si>
  <si>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</si>
  <si>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</si>
  <si>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</si>
  <si>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</si>
  <si>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</si>
  <si>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</si>
  <si>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</si>
  <si>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</si>
  <si>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</si>
  <si>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</si>
  <si>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</si>
  <si>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</si>
  <si>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</si>
  <si>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</si>
  <si>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</si>
  <si>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</si>
  <si>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</si>
  <si>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</si>
  <si>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</si>
  <si>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</si>
  <si>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</si>
  <si>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</si>
  <si>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</si>
  <si>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</si>
  <si>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</si>
  <si>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</si>
  <si>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</si>
  <si>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</si>
  <si>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</si>
  <si>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</si>
  <si>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</si>
  <si>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</si>
  <si>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</si>
  <si>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</si>
  <si>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</si>
  <si>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</si>
  <si>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</si>
  <si>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</si>
  <si>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</si>
  <si>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</si>
  <si>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</si>
  <si>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</si>
  <si>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</si>
  <si>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</si>
  <si>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</si>
  <si>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</si>
  <si>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</si>
  <si>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</si>
  <si>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</si>
  <si>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</si>
  <si>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</si>
  <si>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</si>
  <si>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</si>
  <si>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</si>
  <si>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</si>
  <si>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</si>
  <si>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</si>
  <si>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</si>
  <si>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</si>
  <si>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</si>
  <si>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</si>
  <si>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</si>
  <si>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</si>
  <si>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</si>
  <si>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</si>
  <si>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</si>
  <si>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</si>
  <si>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</si>
  <si>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</si>
  <si>
    <t>West</t>
  </si>
  <si>
    <t>Margin Guidence Table</t>
  </si>
  <si>
    <t>ANCHORAGE</t>
  </si>
  <si>
    <t>BILLINGS</t>
  </si>
  <si>
    <t>9A</t>
  </si>
  <si>
    <t>9J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</si>
</sst>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s>
  <fills count="14">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3">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cellXfs>
  <cellStyles count="1">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K11"/>
  <sheetViews>
    <sheetView tabSelected="1"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s>
  <sheetData>
    <row r="1" spans="1:11" x14ac:dyDescent="0.25">
      <c r="A1" s="6" t="s">
        <v>2</v>
      </c>
      <c r="B1" s="7" t="s">
        <v>196</v>
      </c>
      <c r="C1" s="16" t="s">
        <v>198</v>
      </c>
      <c r="D1" s="16" t="s">
        <v>197</v>
      </c>
      <c r="E1" s="16" t="s">
        <v>199</v>
      </c>
      <c r="F1" s="17" t="s">
        <v>200</v>
      </c>
      <c r="G1" s="18" t="s">
        <v>226</v>
      </c>
      <c r="H1" s="3" t="s">
        <v>1</v>
      </c>
      <c r="I1" s="3" t="s">
        <v>73</v>
      </c>
      <c r="K1" s="9" t="s">
        <v>66</v>
      </c>
    </row>
    <row r="2" spans="1:11" x14ac:dyDescent="0.25">
      <c r="A2" s="21" t="s">
        <v>9</v>
      </c>
      <c r="B2" s="8" t="str">
        <f>"'"&amp;A2&amp;"'"</f>
        <v>'ALBANY'</v>
      </c>
      <c r="C2" s="15" t="str">
        <f>IFERROR(VLOOKUP(A2,Markets!A:B,2,0)&amp;" ALC","")</f>
        <v>9B ALC</v>
      </c>
      <c r="D2" s="15" t="str">
        <f>IFERROR(VLOOKUP(A2,PushToSharePoint!A:D,4,0),"")</f>
        <v>ALBANY</v>
      </c>
      <c r="E2" s="15" t="str">
        <f>SUBSTITUTE(D2," ","%20")</f>
        <v>ALBANY</v>
      </c>
      <c r="F2" s="15" t="str">
        <f>SUBSTITUTE(C2," ","%20")</f>
        <v>9B%20ALC</v>
      </c>
      <c r="H2" s="4" t="s">
        <v>219</v>
      </c>
      <c r="I2" s="1" t="str">
        <f>"'"&amp;H2</f>
        <v>'2020Q2</v>
      </c>
      <c r="K2" s="9" t="s">
        <v>67</v>
      </c>
    </row>
    <row r="3" spans="1:11" x14ac:dyDescent="0.25">
      <c r="H3" s="4" t="s">
        <v>220</v>
      </c>
      <c r="I3" s="1" t="str">
        <f>I2&amp;"',"&amp;"'"&amp;H3</f>
        <v>'2020Q2','2020Q3</v>
      </c>
      <c r="K3" s="9" t="s">
        <v>68</v>
      </c>
    </row>
    <row r="4" spans="1:11" x14ac:dyDescent="0.25">
      <c r="H4" s="4" t="s">
        <v>225</v>
      </c>
      <c r="I4" s="1" t="str">
        <f>I3&amp;"',"&amp;"'"&amp;H4</f>
        <v>'2020Q2','2020Q3','2020Q4</v>
      </c>
      <c r="K4" s="9" t="s">
        <v>69</v>
      </c>
    </row>
    <row r="5" spans="1:11" x14ac:dyDescent="0.25">
      <c r="H5" s="4" t="s">
        <v>227</v>
      </c>
      <c r="I5" s="2" t="str">
        <f>I4&amp;"',"&amp;"'"&amp;H5&amp;"'"</f>
        <v>'2020Q2','2020Q3','2020Q4','2021Q1'</v>
      </c>
      <c r="K5" s="9" t="s">
        <v>70</v>
      </c>
    </row>
    <row r="6" spans="1:11" x14ac:dyDescent="0.25">
      <c r="K6" s="9" t="s">
        <v>71</v>
      </c>
    </row>
    <row r="7" spans="1:11" x14ac:dyDescent="0.25">
      <c r="K7" s="9" t="s">
        <v>72</v>
      </c>
    </row>
    <row r="8" spans="1:11" x14ac:dyDescent="0.25">
      <c r="K8" s="9" t="s">
        <v>74</v>
      </c>
    </row>
    <row r="9" spans="1:11" x14ac:dyDescent="0.25">
      <c r="K9" s="9" t="s">
        <v>83</v>
      </c>
    </row>
    <row r="10" spans="1:11" x14ac:dyDescent="0.25">
      <c r="K10" s="9" t="s">
        <v>202</v>
      </c>
    </row>
    <row r="11" spans="1:11" x14ac:dyDescent="0.25">
      <c r="K11" s="9" t="s">
        <v>229</v>
      </c>
    </row>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3"/>
  <sheetViews>
    <sheetView workbookViewId="0"/>
  </sheetViews>
  <sheetFormatPr defaultRowHeight="15" x14ac:dyDescent="0.25"/>
  <cols>
    <col min="1" max="1" width="28" style="21" bestFit="1" customWidth="1"/>
    <col min="192" max="202" width="9.140625" customWidth="1"/>
  </cols>
  <sheetData>
    <row r="1" spans="1:14" x14ac:dyDescent="0.25">
      <c r="A1" s="21" t="s">
        <v>9</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216</v>
      </c>
      <c r="N17" t="s">
        <v>216</v>
      </c>
    </row>
    <row r="18" spans="3:14" x14ac:dyDescent="0.25">
      <c r="C18" t="s">
        <v>8</v>
      </c>
      <c r="L18" t="s">
        <v>27</v>
      </c>
      <c r="N18" t="s">
        <v>27</v>
      </c>
    </row>
    <row r="19" spans="3:14" x14ac:dyDescent="0.25">
      <c r="C19" t="s">
        <v>28</v>
      </c>
      <c r="L19" t="s">
        <v>8</v>
      </c>
      <c r="N19" t="s">
        <v>8</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214</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173</v>
      </c>
      <c r="N57" t="s">
        <v>64</v>
      </c>
    </row>
    <row r="58" spans="3:14" x14ac:dyDescent="0.25">
      <c r="C58" t="s">
        <v>216</v>
      </c>
      <c r="N58" t="s">
        <v>65</v>
      </c>
    </row>
    <row r="59" spans="3:14" x14ac:dyDescent="0.25">
      <c r="C59" t="s">
        <v>223</v>
      </c>
      <c r="N59" t="s">
        <v>173</v>
      </c>
    </row>
    <row r="60" spans="3:14" x14ac:dyDescent="0.25">
      <c r="C60" t="s">
        <v>221</v>
      </c>
    </row>
    <row r="61" spans="3:14" x14ac:dyDescent="0.25">
      <c r="C61" t="s">
        <v>214</v>
      </c>
    </row>
    <row r="62" spans="3:14" x14ac:dyDescent="0.25">
      <c r="C62" t="s">
        <v>230</v>
      </c>
    </row>
    <row r="63" spans="3:14" x14ac:dyDescent="0.25">
      <c r="C63" t="s">
        <v>231</v>
      </c>
    </row>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Q8" sqref="Q8"/>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203</v>
      </c>
    </row>
    <row r="2" spans="1:1" ht="45.75" x14ac:dyDescent="0.25">
      <c r="A2" s="19" t="s">
        <v>204</v>
      </c>
    </row>
    <row r="3" spans="1:1" x14ac:dyDescent="0.25">
      <c r="A3" s="20" t="s">
        <v>205</v>
      </c>
    </row>
    <row r="4" spans="1:1" x14ac:dyDescent="0.25">
      <c r="A4" s="19" t="s">
        <v>206</v>
      </c>
    </row>
    <row r="5" spans="1:1" x14ac:dyDescent="0.25">
      <c r="A5" s="20" t="s">
        <v>207</v>
      </c>
    </row>
    <row r="6" spans="1:1" x14ac:dyDescent="0.25">
      <c r="A6" s="19" t="s">
        <v>210</v>
      </c>
    </row>
    <row r="7" spans="1:1" x14ac:dyDescent="0.25">
      <c r="A7" s="19" t="s">
        <v>211</v>
      </c>
    </row>
    <row r="8" spans="1:1" x14ac:dyDescent="0.25">
      <c r="A8" s="19" t="s">
        <v>212</v>
      </c>
    </row>
    <row r="9" spans="1:1" x14ac:dyDescent="0.25">
      <c r="A9" s="19" t="s">
        <v>213</v>
      </c>
    </row>
    <row r="10" spans="1:1" x14ac:dyDescent="0.25">
      <c r="A10" s="20" t="s">
        <v>208</v>
      </c>
    </row>
    <row r="11" spans="1:1" x14ac:dyDescent="0.25">
      <c r="A11" s="19" t="s">
        <v>209</v>
      </c>
    </row>
    <row r="12" spans="1:1" x14ac:dyDescent="0.25">
      <c r="A12" s="20" t="s">
        <v>217</v>
      </c>
    </row>
    <row r="13" spans="1:1" x14ac:dyDescent="0.25">
      <c r="A13" s="19" t="s">
        <v>218</v>
      </c>
    </row>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173</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47" workbookViewId="0">
      <selection activeCell="F64" sqref="F64"/>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201</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223</v>
      </c>
      <c r="B18" s="9" t="s">
        <v>75</v>
      </c>
      <c r="C18" s="9" t="s">
        <v>223</v>
      </c>
      <c r="D18" s="10" t="str">
        <f t="shared" si="0"/>
        <v>DENVER NORTH</v>
      </c>
      <c r="J18" t="s">
        <v>25</v>
      </c>
      <c r="O18" s="5" t="s">
        <v>27</v>
      </c>
    </row>
    <row r="19" spans="1:15" x14ac:dyDescent="0.25">
      <c r="A19" s="9" t="s">
        <v>216</v>
      </c>
      <c r="B19" s="9" t="s">
        <v>75</v>
      </c>
      <c r="C19" s="9" t="s">
        <v>216</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8</v>
      </c>
      <c r="B21" s="9" t="s">
        <v>75</v>
      </c>
      <c r="C21" s="9"/>
      <c r="D21" s="10" t="str">
        <f t="shared" si="0"/>
        <v>F. CHRISTIANA</v>
      </c>
      <c r="J21" t="s">
        <v>8</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221</v>
      </c>
      <c r="B53" s="9" t="s">
        <v>75</v>
      </c>
      <c r="C53" s="9" t="s">
        <v>221</v>
      </c>
      <c r="D53" s="10" t="s">
        <v>221</v>
      </c>
      <c r="J53" t="s">
        <v>55</v>
      </c>
      <c r="O53" s="5" t="s">
        <v>60</v>
      </c>
    </row>
    <row r="54" spans="1:15" x14ac:dyDescent="0.25">
      <c r="A54" s="9" t="s">
        <v>214</v>
      </c>
      <c r="B54" s="9" t="s">
        <v>75</v>
      </c>
      <c r="C54" s="9" t="s">
        <v>214</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173</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173</v>
      </c>
      <c r="B62" s="9" t="s">
        <v>75</v>
      </c>
      <c r="C62" s="9"/>
      <c r="D62" s="10" t="str">
        <f>IF(C62="",A62,C62)</f>
        <v>WISCONSIN</v>
      </c>
      <c r="J62" t="s">
        <v>63</v>
      </c>
    </row>
    <row r="63" spans="1:15" x14ac:dyDescent="0.25">
      <c r="A63" s="22" t="s">
        <v>230</v>
      </c>
      <c r="B63" s="9" t="s">
        <v>75</v>
      </c>
      <c r="C63" s="9"/>
      <c r="D63" s="10" t="str">
        <f>IF(C63="",A63,C63)</f>
        <v>ANCHORAGE</v>
      </c>
      <c r="J63" t="s">
        <v>64</v>
      </c>
    </row>
    <row r="64" spans="1:15" x14ac:dyDescent="0.25">
      <c r="A64" s="22" t="s">
        <v>231</v>
      </c>
      <c r="B64" s="9" t="s">
        <v>75</v>
      </c>
      <c r="C64" s="9"/>
      <c r="D64" s="10" t="s">
        <v>231</v>
      </c>
      <c r="J64" t="s">
        <v>65</v>
      </c>
    </row>
    <row r="65" spans="10:10" x14ac:dyDescent="0.25">
      <c r="J65" t="s">
        <v>173</v>
      </c>
    </row>
  </sheetData>
  <conditionalFormatting sqref="B1:B62">
    <cfRule type="cellIs" dxfId="2" priority="3" operator="equal">
      <formula>"NO"</formula>
    </cfRule>
  </conditionalFormatting>
  <conditionalFormatting sqref="B63">
    <cfRule type="cellIs" dxfId="1" priority="2" operator="equal">
      <formula>"NO"</formula>
    </cfRule>
  </conditionalFormatting>
  <conditionalFormatting sqref="B64">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71"/>
  <sheetViews>
    <sheetView topLeftCell="A55" workbookViewId="0">
      <selection activeCell="A70" sqref="A70"/>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194</v>
      </c>
      <c r="B1" s="13" t="s">
        <v>192</v>
      </c>
      <c r="C1" s="14" t="s">
        <v>193</v>
      </c>
      <c r="D1" s="14" t="s">
        <v>195</v>
      </c>
      <c r="E1" s="14" t="s">
        <v>191</v>
      </c>
    </row>
    <row r="2" spans="1:5" x14ac:dyDescent="0.25">
      <c r="A2" s="12" t="s">
        <v>9</v>
      </c>
      <c r="B2" s="11" t="s">
        <v>149</v>
      </c>
      <c r="C2" s="9">
        <v>2140</v>
      </c>
      <c r="D2" s="9" t="s">
        <v>148</v>
      </c>
      <c r="E2" s="12" t="s">
        <v>143</v>
      </c>
    </row>
    <row r="3" spans="1:5" x14ac:dyDescent="0.25">
      <c r="A3" s="12" t="s">
        <v>10</v>
      </c>
      <c r="B3" s="11" t="s">
        <v>98</v>
      </c>
      <c r="C3" s="9">
        <v>1933</v>
      </c>
      <c r="D3" s="9" t="s">
        <v>97</v>
      </c>
      <c r="E3" s="12" t="s">
        <v>88</v>
      </c>
    </row>
    <row r="4" spans="1:5" x14ac:dyDescent="0.25">
      <c r="A4" s="12" t="s">
        <v>11</v>
      </c>
      <c r="B4" s="11" t="s">
        <v>161</v>
      </c>
      <c r="C4" s="9">
        <v>2110</v>
      </c>
      <c r="D4" s="9" t="s">
        <v>159</v>
      </c>
      <c r="E4" s="12" t="s">
        <v>143</v>
      </c>
    </row>
    <row r="5" spans="1:5" x14ac:dyDescent="0.25">
      <c r="A5" s="12" t="s">
        <v>12</v>
      </c>
      <c r="B5" s="11" t="s">
        <v>136</v>
      </c>
      <c r="C5" s="9">
        <v>2220</v>
      </c>
      <c r="D5" s="9" t="s">
        <v>134</v>
      </c>
      <c r="E5" s="12" t="s">
        <v>123</v>
      </c>
    </row>
    <row r="6" spans="1:5" x14ac:dyDescent="0.25">
      <c r="A6" s="12" t="s">
        <v>13</v>
      </c>
      <c r="B6" s="11" t="s">
        <v>132</v>
      </c>
      <c r="C6" s="9">
        <v>3023</v>
      </c>
      <c r="D6" s="9" t="s">
        <v>130</v>
      </c>
      <c r="E6" s="12" t="s">
        <v>123</v>
      </c>
    </row>
    <row r="7" spans="1:5" x14ac:dyDescent="0.25">
      <c r="A7" s="12" t="s">
        <v>14</v>
      </c>
      <c r="B7" s="11" t="s">
        <v>120</v>
      </c>
      <c r="C7" s="9">
        <v>2010</v>
      </c>
      <c r="D7" s="9" t="s">
        <v>117</v>
      </c>
      <c r="E7" s="12" t="s">
        <v>105</v>
      </c>
    </row>
    <row r="8" spans="1:5" x14ac:dyDescent="0.25">
      <c r="A8" s="12" t="s">
        <v>15</v>
      </c>
      <c r="B8" s="11" t="s">
        <v>190</v>
      </c>
      <c r="C8" s="9">
        <v>2345</v>
      </c>
      <c r="D8" s="9" t="s">
        <v>186</v>
      </c>
      <c r="E8" s="12" t="s">
        <v>162</v>
      </c>
    </row>
    <row r="9" spans="1:5" x14ac:dyDescent="0.25">
      <c r="A9" s="12" t="s">
        <v>16</v>
      </c>
      <c r="B9" s="11" t="s">
        <v>111</v>
      </c>
      <c r="C9" s="9">
        <v>3135</v>
      </c>
      <c r="D9" s="9" t="s">
        <v>110</v>
      </c>
      <c r="E9" s="12" t="s">
        <v>105</v>
      </c>
    </row>
    <row r="10" spans="1:5" x14ac:dyDescent="0.25">
      <c r="A10" s="12" t="s">
        <v>17</v>
      </c>
      <c r="B10" s="11" t="s">
        <v>153</v>
      </c>
      <c r="C10" s="9">
        <v>2148</v>
      </c>
      <c r="D10" s="9" t="s">
        <v>154</v>
      </c>
      <c r="E10" s="12" t="s">
        <v>143</v>
      </c>
    </row>
    <row r="11" spans="1:5" x14ac:dyDescent="0.25">
      <c r="A11" s="12" t="s">
        <v>18</v>
      </c>
      <c r="B11" s="11" t="s">
        <v>147</v>
      </c>
      <c r="C11" s="9">
        <v>2190</v>
      </c>
      <c r="D11" s="9" t="s">
        <v>148</v>
      </c>
      <c r="E11" s="12" t="s">
        <v>143</v>
      </c>
    </row>
    <row r="12" spans="1:5" x14ac:dyDescent="0.25">
      <c r="A12" s="12" t="s">
        <v>19</v>
      </c>
      <c r="B12" s="11" t="s">
        <v>108</v>
      </c>
      <c r="C12" s="9">
        <v>2210</v>
      </c>
      <c r="D12" s="9" t="s">
        <v>107</v>
      </c>
      <c r="E12" s="12" t="s">
        <v>105</v>
      </c>
    </row>
    <row r="13" spans="1:5" x14ac:dyDescent="0.25">
      <c r="A13" s="12" t="s">
        <v>0</v>
      </c>
      <c r="B13" s="11" t="s">
        <v>177</v>
      </c>
      <c r="C13" s="9">
        <v>2099</v>
      </c>
      <c r="D13" s="9" t="s">
        <v>174</v>
      </c>
      <c r="E13" s="12" t="s">
        <v>162</v>
      </c>
    </row>
    <row r="14" spans="1:5" x14ac:dyDescent="0.25">
      <c r="A14" s="12" t="s">
        <v>20</v>
      </c>
      <c r="B14" s="11" t="s">
        <v>168</v>
      </c>
      <c r="C14" s="9">
        <v>1103</v>
      </c>
      <c r="D14" s="9" t="s">
        <v>167</v>
      </c>
      <c r="E14" s="12" t="s">
        <v>162</v>
      </c>
    </row>
    <row r="15" spans="1:5" x14ac:dyDescent="0.25">
      <c r="A15" s="12" t="s">
        <v>21</v>
      </c>
      <c r="B15" s="11" t="s">
        <v>180</v>
      </c>
      <c r="C15" s="9">
        <v>1104</v>
      </c>
      <c r="D15" s="9" t="s">
        <v>179</v>
      </c>
      <c r="E15" s="12" t="s">
        <v>162</v>
      </c>
    </row>
    <row r="16" spans="1:5" x14ac:dyDescent="0.25">
      <c r="A16" s="12" t="s">
        <v>22</v>
      </c>
      <c r="B16" s="11" t="s">
        <v>112</v>
      </c>
      <c r="C16" s="9">
        <v>2260</v>
      </c>
      <c r="D16" s="9" t="s">
        <v>113</v>
      </c>
      <c r="E16" s="12" t="s">
        <v>105</v>
      </c>
    </row>
    <row r="17" spans="1:5" x14ac:dyDescent="0.25">
      <c r="A17" s="12" t="s">
        <v>23</v>
      </c>
      <c r="B17" s="11" t="s">
        <v>152</v>
      </c>
      <c r="C17" s="9">
        <v>2020</v>
      </c>
      <c r="D17" s="9" t="s">
        <v>151</v>
      </c>
      <c r="E17" s="12" t="s">
        <v>143</v>
      </c>
    </row>
    <row r="18" spans="1:5" x14ac:dyDescent="0.25">
      <c r="A18" s="12" t="s">
        <v>24</v>
      </c>
      <c r="B18" s="11" t="s">
        <v>95</v>
      </c>
      <c r="C18" s="9">
        <v>4150</v>
      </c>
      <c r="D18" s="9" t="s">
        <v>93</v>
      </c>
      <c r="E18" s="12" t="s">
        <v>88</v>
      </c>
    </row>
    <row r="19" spans="1:5" x14ac:dyDescent="0.25">
      <c r="A19" s="12" t="s">
        <v>25</v>
      </c>
      <c r="B19" s="11" t="s">
        <v>126</v>
      </c>
      <c r="C19" s="9">
        <v>3150</v>
      </c>
      <c r="D19" s="9" t="s">
        <v>125</v>
      </c>
      <c r="E19" s="12" t="s">
        <v>123</v>
      </c>
    </row>
    <row r="20" spans="1:5" x14ac:dyDescent="0.25">
      <c r="A20" s="12" t="s">
        <v>223</v>
      </c>
      <c r="B20" s="11" t="s">
        <v>224</v>
      </c>
      <c r="C20" s="9">
        <v>3340</v>
      </c>
      <c r="D20" s="9" t="s">
        <v>97</v>
      </c>
      <c r="E20" s="12" t="s">
        <v>215</v>
      </c>
    </row>
    <row r="21" spans="1:5" x14ac:dyDescent="0.25">
      <c r="A21" s="12" t="s">
        <v>216</v>
      </c>
      <c r="B21" s="11" t="s">
        <v>96</v>
      </c>
      <c r="C21" s="9">
        <v>3160</v>
      </c>
      <c r="D21" s="9" t="s">
        <v>97</v>
      </c>
      <c r="E21" s="12" t="s">
        <v>215</v>
      </c>
    </row>
    <row r="22" spans="1:5" x14ac:dyDescent="0.25">
      <c r="A22" s="12" t="s">
        <v>27</v>
      </c>
      <c r="B22" s="11" t="s">
        <v>178</v>
      </c>
      <c r="C22" s="9">
        <v>1106</v>
      </c>
      <c r="D22" s="9" t="s">
        <v>179</v>
      </c>
      <c r="E22" s="12" t="s">
        <v>162</v>
      </c>
    </row>
    <row r="23" spans="1:5" x14ac:dyDescent="0.25">
      <c r="A23" s="12" t="s">
        <v>8</v>
      </c>
      <c r="B23" s="11" t="s">
        <v>127</v>
      </c>
      <c r="C23" s="9">
        <v>3040</v>
      </c>
      <c r="D23" s="9" t="s">
        <v>128</v>
      </c>
      <c r="E23" s="12" t="s">
        <v>123</v>
      </c>
    </row>
    <row r="24" spans="1:5" x14ac:dyDescent="0.25">
      <c r="A24" s="12" t="s">
        <v>28</v>
      </c>
      <c r="B24" s="11" t="s">
        <v>106</v>
      </c>
      <c r="C24" s="9">
        <v>2250</v>
      </c>
      <c r="D24" s="9" t="s">
        <v>107</v>
      </c>
      <c r="E24" s="12" t="s">
        <v>105</v>
      </c>
    </row>
    <row r="25" spans="1:5" x14ac:dyDescent="0.25">
      <c r="A25" s="12" t="s">
        <v>29</v>
      </c>
      <c r="B25" s="11" t="s">
        <v>189</v>
      </c>
      <c r="C25" s="9">
        <v>2340</v>
      </c>
      <c r="D25" s="9" t="s">
        <v>186</v>
      </c>
      <c r="E25" s="12" t="s">
        <v>162</v>
      </c>
    </row>
    <row r="26" spans="1:5" x14ac:dyDescent="0.25">
      <c r="A26" s="12" t="s">
        <v>30</v>
      </c>
      <c r="B26" s="11" t="s">
        <v>184</v>
      </c>
      <c r="C26" s="9">
        <v>2365</v>
      </c>
      <c r="D26" s="9" t="s">
        <v>182</v>
      </c>
      <c r="E26" s="12" t="s">
        <v>162</v>
      </c>
    </row>
    <row r="27" spans="1:5" x14ac:dyDescent="0.25">
      <c r="A27" s="12" t="s">
        <v>31</v>
      </c>
      <c r="B27" s="11" t="s">
        <v>131</v>
      </c>
      <c r="C27" s="9">
        <v>3126</v>
      </c>
      <c r="D27" s="9" t="s">
        <v>130</v>
      </c>
      <c r="E27" s="12" t="s">
        <v>123</v>
      </c>
    </row>
    <row r="28" spans="1:5" x14ac:dyDescent="0.25">
      <c r="A28" s="12" t="s">
        <v>32</v>
      </c>
      <c r="B28" s="11" t="s">
        <v>166</v>
      </c>
      <c r="C28" s="9">
        <v>1054</v>
      </c>
      <c r="D28" s="9" t="s">
        <v>167</v>
      </c>
      <c r="E28" s="12" t="s">
        <v>162</v>
      </c>
    </row>
    <row r="29" spans="1:5" x14ac:dyDescent="0.25">
      <c r="A29" s="12" t="s">
        <v>33</v>
      </c>
      <c r="B29" s="11" t="s">
        <v>165</v>
      </c>
      <c r="C29" s="9">
        <v>2370</v>
      </c>
      <c r="D29" s="9" t="s">
        <v>164</v>
      </c>
      <c r="E29" s="12" t="s">
        <v>162</v>
      </c>
    </row>
    <row r="30" spans="1:5" x14ac:dyDescent="0.25">
      <c r="A30" s="12" t="s">
        <v>7</v>
      </c>
      <c r="B30" s="11" t="s">
        <v>139</v>
      </c>
      <c r="C30" s="9">
        <v>3186</v>
      </c>
      <c r="D30" s="9" t="s">
        <v>138</v>
      </c>
      <c r="E30" s="12" t="s">
        <v>123</v>
      </c>
    </row>
    <row r="31" spans="1:5" x14ac:dyDescent="0.25">
      <c r="A31" s="12" t="s">
        <v>34</v>
      </c>
      <c r="B31" s="11" t="s">
        <v>183</v>
      </c>
      <c r="C31" s="9">
        <v>3230</v>
      </c>
      <c r="D31" s="9" t="s">
        <v>182</v>
      </c>
      <c r="E31" s="12" t="s">
        <v>162</v>
      </c>
    </row>
    <row r="32" spans="1:5" x14ac:dyDescent="0.25">
      <c r="A32" s="12" t="s">
        <v>35</v>
      </c>
      <c r="B32" s="11" t="s">
        <v>135</v>
      </c>
      <c r="C32" s="9">
        <v>2270</v>
      </c>
      <c r="D32" s="9" t="s">
        <v>134</v>
      </c>
      <c r="E32" s="12" t="s">
        <v>123</v>
      </c>
    </row>
    <row r="33" spans="1:5" x14ac:dyDescent="0.25">
      <c r="A33" s="12" t="s">
        <v>36</v>
      </c>
      <c r="B33" s="11" t="s">
        <v>91</v>
      </c>
      <c r="C33" s="9">
        <v>4100</v>
      </c>
      <c r="D33" s="9" t="s">
        <v>90</v>
      </c>
      <c r="E33" s="12" t="s">
        <v>88</v>
      </c>
    </row>
    <row r="34" spans="1:5" x14ac:dyDescent="0.25">
      <c r="A34" s="12" t="s">
        <v>37</v>
      </c>
      <c r="B34" s="11" t="s">
        <v>142</v>
      </c>
      <c r="C34" s="9">
        <v>3051</v>
      </c>
      <c r="D34" s="9" t="s">
        <v>141</v>
      </c>
      <c r="E34" s="12" t="s">
        <v>123</v>
      </c>
    </row>
    <row r="35" spans="1:5" x14ac:dyDescent="0.25">
      <c r="A35" s="12" t="s">
        <v>38</v>
      </c>
      <c r="B35" s="11" t="s">
        <v>94</v>
      </c>
      <c r="C35" s="9">
        <v>4120</v>
      </c>
      <c r="D35" s="9" t="s">
        <v>93</v>
      </c>
      <c r="E35" s="12" t="s">
        <v>88</v>
      </c>
    </row>
    <row r="36" spans="1:5" x14ac:dyDescent="0.25">
      <c r="A36" s="12" t="s">
        <v>39</v>
      </c>
      <c r="B36" s="11" t="s">
        <v>129</v>
      </c>
      <c r="C36" s="9">
        <v>3120</v>
      </c>
      <c r="D36" s="9" t="s">
        <v>130</v>
      </c>
      <c r="E36" s="12" t="s">
        <v>123</v>
      </c>
    </row>
    <row r="37" spans="1:5" x14ac:dyDescent="0.25">
      <c r="A37" s="12" t="s">
        <v>40</v>
      </c>
      <c r="B37" s="11" t="s">
        <v>119</v>
      </c>
      <c r="C37" s="9">
        <v>2125</v>
      </c>
      <c r="D37" s="9" t="s">
        <v>117</v>
      </c>
      <c r="E37" s="12" t="s">
        <v>105</v>
      </c>
    </row>
    <row r="38" spans="1:5" x14ac:dyDescent="0.25">
      <c r="A38" s="12" t="s">
        <v>41</v>
      </c>
      <c r="B38" s="11" t="s">
        <v>140</v>
      </c>
      <c r="C38" s="9">
        <v>3147</v>
      </c>
      <c r="D38" s="9" t="s">
        <v>141</v>
      </c>
      <c r="E38" s="12" t="s">
        <v>123</v>
      </c>
    </row>
    <row r="39" spans="1:5" x14ac:dyDescent="0.25">
      <c r="A39" s="12" t="s">
        <v>42</v>
      </c>
      <c r="B39" s="11" t="s">
        <v>157</v>
      </c>
      <c r="C39" s="9">
        <v>2160</v>
      </c>
      <c r="D39" s="9" t="s">
        <v>156</v>
      </c>
      <c r="E39" s="12" t="s">
        <v>143</v>
      </c>
    </row>
    <row r="40" spans="1:5" x14ac:dyDescent="0.25">
      <c r="A40" s="12" t="s">
        <v>43</v>
      </c>
      <c r="B40" s="11" t="s">
        <v>163</v>
      </c>
      <c r="C40" s="9">
        <v>2350</v>
      </c>
      <c r="D40" s="9" t="s">
        <v>164</v>
      </c>
      <c r="E40" s="12" t="s">
        <v>162</v>
      </c>
    </row>
    <row r="41" spans="1:5" x14ac:dyDescent="0.25">
      <c r="A41" s="12" t="s">
        <v>4</v>
      </c>
      <c r="B41" s="11" t="s">
        <v>137</v>
      </c>
      <c r="C41" s="9">
        <v>2230</v>
      </c>
      <c r="D41" s="9" t="s">
        <v>138</v>
      </c>
      <c r="E41" s="12" t="s">
        <v>123</v>
      </c>
    </row>
    <row r="42" spans="1:5" x14ac:dyDescent="0.25">
      <c r="A42" s="12" t="s">
        <v>44</v>
      </c>
      <c r="B42" s="11" t="s">
        <v>133</v>
      </c>
      <c r="C42" s="9">
        <v>3139</v>
      </c>
      <c r="D42" s="9" t="s">
        <v>134</v>
      </c>
      <c r="E42" s="12" t="s">
        <v>123</v>
      </c>
    </row>
    <row r="43" spans="1:5" x14ac:dyDescent="0.25">
      <c r="A43" s="12" t="s">
        <v>45</v>
      </c>
      <c r="B43" s="11" t="s">
        <v>124</v>
      </c>
      <c r="C43" s="9">
        <v>3170</v>
      </c>
      <c r="D43" s="9" t="s">
        <v>125</v>
      </c>
      <c r="E43" s="12" t="s">
        <v>123</v>
      </c>
    </row>
    <row r="44" spans="1:5" x14ac:dyDescent="0.25">
      <c r="A44" s="12" t="s">
        <v>6</v>
      </c>
      <c r="B44" s="11" t="s">
        <v>181</v>
      </c>
      <c r="C44" s="9">
        <v>2360</v>
      </c>
      <c r="D44" s="9" t="s">
        <v>182</v>
      </c>
      <c r="E44" s="12" t="s">
        <v>162</v>
      </c>
    </row>
    <row r="45" spans="1:5" x14ac:dyDescent="0.25">
      <c r="A45" s="12" t="s">
        <v>46</v>
      </c>
      <c r="B45" s="11" t="s">
        <v>160</v>
      </c>
      <c r="C45" s="9">
        <v>3190</v>
      </c>
      <c r="D45" s="9" t="s">
        <v>159</v>
      </c>
      <c r="E45" s="12" t="s">
        <v>143</v>
      </c>
    </row>
    <row r="46" spans="1:5" x14ac:dyDescent="0.25">
      <c r="A46" s="12" t="s">
        <v>47</v>
      </c>
      <c r="B46" s="11" t="s">
        <v>158</v>
      </c>
      <c r="C46" s="9">
        <v>2116</v>
      </c>
      <c r="D46" s="9" t="s">
        <v>159</v>
      </c>
      <c r="E46" s="12" t="s">
        <v>143</v>
      </c>
    </row>
    <row r="47" spans="1:5" x14ac:dyDescent="0.25">
      <c r="A47" s="12" t="s">
        <v>48</v>
      </c>
      <c r="B47" s="11" t="s">
        <v>89</v>
      </c>
      <c r="C47" s="9">
        <v>4146</v>
      </c>
      <c r="D47" s="9" t="s">
        <v>90</v>
      </c>
      <c r="E47" s="12" t="s">
        <v>88</v>
      </c>
    </row>
    <row r="48" spans="1:5" x14ac:dyDescent="0.25">
      <c r="A48" s="12" t="s">
        <v>49</v>
      </c>
      <c r="B48" s="11" t="s">
        <v>155</v>
      </c>
      <c r="C48" s="9">
        <v>2170</v>
      </c>
      <c r="D48" s="9" t="s">
        <v>156</v>
      </c>
      <c r="E48" s="12" t="s">
        <v>143</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150</v>
      </c>
      <c r="C52" s="9">
        <v>2030</v>
      </c>
      <c r="D52" s="9" t="s">
        <v>151</v>
      </c>
      <c r="E52" s="12" t="s">
        <v>143</v>
      </c>
    </row>
    <row r="53" spans="1:5" x14ac:dyDescent="0.25">
      <c r="A53" s="12" t="s">
        <v>3</v>
      </c>
      <c r="B53" s="11" t="s">
        <v>118</v>
      </c>
      <c r="C53" s="9">
        <v>2135</v>
      </c>
      <c r="D53" s="9" t="s">
        <v>117</v>
      </c>
      <c r="E53" s="12" t="s">
        <v>105</v>
      </c>
    </row>
    <row r="54" spans="1:5" x14ac:dyDescent="0.25">
      <c r="A54" s="12" t="s">
        <v>54</v>
      </c>
      <c r="B54" s="11" t="s">
        <v>171</v>
      </c>
      <c r="C54" s="9">
        <v>3210</v>
      </c>
      <c r="D54" s="9" t="s">
        <v>170</v>
      </c>
      <c r="E54" s="12" t="s">
        <v>162</v>
      </c>
    </row>
    <row r="55" spans="1:5" x14ac:dyDescent="0.25">
      <c r="A55" s="12" t="s">
        <v>55</v>
      </c>
      <c r="B55" s="11" t="s">
        <v>104</v>
      </c>
      <c r="C55" s="9">
        <v>4118</v>
      </c>
      <c r="D55" s="9" t="s">
        <v>103</v>
      </c>
      <c r="E55" s="12" t="s">
        <v>215</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221</v>
      </c>
      <c r="B58" s="11" t="s">
        <v>222</v>
      </c>
      <c r="C58" s="9">
        <v>4170</v>
      </c>
      <c r="D58" s="9" t="s">
        <v>58</v>
      </c>
      <c r="E58" s="12" t="s">
        <v>215</v>
      </c>
    </row>
    <row r="59" spans="1:5" x14ac:dyDescent="0.25">
      <c r="A59" s="12" t="s">
        <v>214</v>
      </c>
      <c r="B59" s="11" t="s">
        <v>102</v>
      </c>
      <c r="C59" s="9">
        <v>4147</v>
      </c>
      <c r="D59" s="9" t="s">
        <v>58</v>
      </c>
      <c r="E59" s="12" t="s">
        <v>215</v>
      </c>
    </row>
    <row r="60" spans="1:5" x14ac:dyDescent="0.25">
      <c r="A60" s="12" t="s">
        <v>188</v>
      </c>
      <c r="B60" s="11" t="s">
        <v>187</v>
      </c>
      <c r="C60" s="9">
        <v>2375</v>
      </c>
      <c r="D60" s="9" t="s">
        <v>186</v>
      </c>
      <c r="E60" s="12" t="s">
        <v>162</v>
      </c>
    </row>
    <row r="61" spans="1:5" x14ac:dyDescent="0.25">
      <c r="A61" s="12" t="s">
        <v>5</v>
      </c>
      <c r="B61" s="11" t="s">
        <v>185</v>
      </c>
      <c r="C61" s="9">
        <v>2355</v>
      </c>
      <c r="D61" s="9" t="s">
        <v>186</v>
      </c>
      <c r="E61" s="12" t="s">
        <v>162</v>
      </c>
    </row>
    <row r="62" spans="1:5" x14ac:dyDescent="0.25">
      <c r="A62" s="12" t="s">
        <v>59</v>
      </c>
      <c r="B62" s="11" t="s">
        <v>169</v>
      </c>
      <c r="C62" s="9">
        <v>3220</v>
      </c>
      <c r="D62" s="9" t="s">
        <v>170</v>
      </c>
      <c r="E62" s="12" t="s">
        <v>162</v>
      </c>
    </row>
    <row r="63" spans="1:5" x14ac:dyDescent="0.25">
      <c r="A63" s="12" t="s">
        <v>60</v>
      </c>
      <c r="B63" s="11" t="s">
        <v>176</v>
      </c>
      <c r="C63" s="9">
        <v>2330</v>
      </c>
      <c r="D63" s="9" t="s">
        <v>174</v>
      </c>
      <c r="E63" s="12" t="s">
        <v>162</v>
      </c>
    </row>
    <row r="64" spans="1:5" x14ac:dyDescent="0.25">
      <c r="A64" s="12" t="s">
        <v>61</v>
      </c>
      <c r="B64" s="11" t="s">
        <v>109</v>
      </c>
      <c r="C64" s="9">
        <v>3103</v>
      </c>
      <c r="D64" s="9" t="s">
        <v>110</v>
      </c>
      <c r="E64" s="12" t="s">
        <v>105</v>
      </c>
    </row>
    <row r="65" spans="1:5" x14ac:dyDescent="0.25">
      <c r="A65" s="12" t="s">
        <v>62</v>
      </c>
      <c r="B65" s="11" t="s">
        <v>175</v>
      </c>
      <c r="C65" s="9">
        <v>2310</v>
      </c>
      <c r="D65" s="9" t="s">
        <v>174</v>
      </c>
      <c r="E65" s="12" t="s">
        <v>162</v>
      </c>
    </row>
    <row r="66" spans="1:5" x14ac:dyDescent="0.25">
      <c r="A66" s="12" t="s">
        <v>63</v>
      </c>
      <c r="B66" s="11" t="s">
        <v>116</v>
      </c>
      <c r="C66" s="9">
        <v>2165</v>
      </c>
      <c r="D66" s="9" t="s">
        <v>117</v>
      </c>
      <c r="E66" s="12" t="s">
        <v>105</v>
      </c>
    </row>
    <row r="67" spans="1:5" x14ac:dyDescent="0.25">
      <c r="A67" s="12" t="s">
        <v>64</v>
      </c>
      <c r="B67" s="11" t="s">
        <v>146</v>
      </c>
      <c r="C67" s="9">
        <v>2180</v>
      </c>
      <c r="D67" s="9" t="s">
        <v>145</v>
      </c>
      <c r="E67" s="12" t="s">
        <v>143</v>
      </c>
    </row>
    <row r="68" spans="1:5" x14ac:dyDescent="0.25">
      <c r="A68" s="12" t="s">
        <v>65</v>
      </c>
      <c r="B68" s="11" t="s">
        <v>144</v>
      </c>
      <c r="C68" s="9">
        <v>2185</v>
      </c>
      <c r="D68" s="9" t="s">
        <v>145</v>
      </c>
      <c r="E68" s="12" t="s">
        <v>143</v>
      </c>
    </row>
    <row r="69" spans="1:5" x14ac:dyDescent="0.25">
      <c r="A69" s="12" t="s">
        <v>173</v>
      </c>
      <c r="B69" s="11" t="s">
        <v>172</v>
      </c>
      <c r="C69" s="9">
        <v>248</v>
      </c>
      <c r="D69" s="9" t="s">
        <v>174</v>
      </c>
      <c r="E69" s="12" t="s">
        <v>162</v>
      </c>
    </row>
    <row r="70" spans="1:5" x14ac:dyDescent="0.25">
      <c r="A70" s="12" t="s">
        <v>230</v>
      </c>
      <c r="B70" s="11" t="s">
        <v>232</v>
      </c>
      <c r="C70" s="9">
        <v>4190</v>
      </c>
      <c r="D70" s="9" t="s">
        <v>230</v>
      </c>
      <c r="E70" s="12" t="s">
        <v>228</v>
      </c>
    </row>
    <row r="71" spans="1:5" x14ac:dyDescent="0.25">
      <c r="A71" s="12" t="s">
        <v>231</v>
      </c>
      <c r="B71" s="11" t="s">
        <v>233</v>
      </c>
      <c r="C71" s="9">
        <v>3310</v>
      </c>
      <c r="D71" s="9" t="s">
        <v>103</v>
      </c>
      <c r="E71" s="12" t="s">
        <v>228</v>
      </c>
    </row>
  </sheetData>
  <autoFilter ref="A1:E1" xr:uid="{35415AE6-DBF2-451A-88F6-FA69C7A14F47}">
    <sortState xmlns:xlrd2="http://schemas.microsoft.com/office/spreadsheetml/2017/richdata2" ref="A2:E69">
      <sortCondition ref="A1"/>
    </sortState>
  </autoFilter>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REFERENCE</vt:lpstr>
      <vt:lpstr>MARKET LIST</vt:lpstr>
      <vt:lpstr>Start Here</vt:lpstr>
      <vt:lpstr>ALC MASTER VERSION CONTROL</vt:lpstr>
      <vt:lpstr>MarketDividerAuto</vt:lpstr>
      <vt:lpstr>PushToSharePoint</vt:lpstr>
      <vt:lpstr>Markets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2021-11-19T09:05:37Z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LV_INT3RNAL</vt:lpwstr>
  </property>
  <property fmtid="{D5CDD505-2E9C-101B-9397-08002B2CF9AE}" pid="5" name="ContainsPII">
    <vt:lpwstr>No</vt:lpwstr>
  </property>
</Properties>
</file>