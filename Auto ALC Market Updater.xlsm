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3A099578-9DE8-44B9-983B-FE8D3B674C41}" xr6:coauthVersionLast="45" xr6:coauthVersionMax="46" xr10:uidLastSave="{00000000-0000-0000-0000-000000000000}"/>
  <bookViews>
    <workbookView xWindow="-120" yWindow="-120" windowWidth="20730" windowHeight="11160" activeTab="2"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Prospect Slot Assumptions" sheetId="2371" r:id="rId8"/>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D63" i="146" l="1"/>
  <c r="D18" i="146" l="1"/>
  <c r="D24" i="146" l="1"/>
  <c r="D62" i="146" l="1"/>
  <c r="D21" i="146" l="1"/>
  <c r="F2" i="1" l="1"/>
  <c r="D61" i="146" l="1"/>
  <c r="D60" i="146"/>
  <c r="D59" i="146"/>
  <c r="D58" i="146"/>
  <c r="D57" i="146"/>
  <c r="D56" i="146"/>
  <c r="D55" i="146"/>
  <c r="D54"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3" i="146"/>
  <c r="D22" i="146"/>
  <c r="D20" i="146"/>
  <c r="D19"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<sst xmlns="http://schemas.openxmlformats.org/spreadsheetml/2006/main" count="814" uniqueCount="255">
  <si>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</si>
  <si>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</si>
  <si>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</si>
  <si>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</si>
  <si>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</si>
  <si>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</si>
  <si>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</si>
  <si>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</si>
  <si>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</si>
  <si>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</si>
  <si>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</si>
  <si>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</si>
  <si>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</si>
  <si>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</si>
  <si>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</si>
  <si>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</si>
  <si>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</si>
  <si>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</si>
  <si>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</si>
  <si>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</si>
  <si>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</si>
  <si>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</si>
  <si>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</si>
  <si>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</si>
  <si>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</si>
  <si>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</si>
  <si>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</si>
  <si>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</si>
  <si>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</si>
  <si>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</si>
  <si>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</si>
  <si>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</si>
  <si>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</si>
  <si>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</si>
  <si>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</si>
  <si>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</si>
  <si>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</si>
  <si>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</si>
  <si>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</si>
  <si>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</si>
  <si>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</si>
  <si>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</si>
  <si>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</si>
  <si>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</si>
  <si>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</si>
  <si>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</si>
  <si>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</si>
  <si>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</si>
  <si>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</si>
  <si>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</si>
  <si>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</si>
  <si>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</si>
  <si>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</si>
  <si>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</si>
  <si>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</si>
  <si>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</si>
  <si>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</si>
  <si>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</si>
  <si>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</si>
  <si>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</si>
  <si>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</si>
  <si>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</si>
  <si>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</si>
  <si>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</si>
  <si>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</si>
  <si>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</si>
  <si>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</si>
  <si>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</si>
  <si>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</si>
  <si>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</si>
  <si>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</si>
  <si>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</si>
  <si>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</si>
  <si>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</si>
  <si>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</si>
  <si>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</si>
  <si>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</si>
  <si>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</si>
  <si>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</si>
  <si>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</si>
  <si>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</si>
  <si>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</si>
  <si>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</si>
  <si>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</si>
  <si>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</si>
  <si>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</si>
  <si>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</si>
  <si>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</si>
  <si>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</si>
  <si>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</si>
  <si>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</si>
  <si>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</si>
  <si>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</si>
  <si>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</si>
  <si>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</si>
  <si>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</si>
  <si>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</si>
  <si>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</si>
  <si>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</si>
  <si>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</si>
  <si>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</si>
  <si>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</si>
  <si>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</si>
  <si>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</si>
  <si>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</si>
  <si>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</si>
  <si>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</si>
  <si>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</si>
  <si>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</si>
  <si>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</si>
  <si>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</si>
  <si>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</si>
  <si>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</si>
  <si>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</si>
  <si>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</si>
  <si>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</si>
  <si>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</si>
  <si>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</si>
  <si>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</si>
  <si>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</si>
  <si>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</si>
  <si>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</si>
  <si>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</si>
  <si>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SOUTH</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</si>
  <si>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</si>
  <si>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</si>
  <si>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</si>
  <si>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</si>
  <si>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</si>
  <si>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</si>
  <si>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</si>
  <si>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</si>
  <si>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</si>
  <si>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</si>
  <si>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</si>
  <si>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</si>
  <si>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</si>
  <si>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</si>
  <si>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</si>
  <si>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</si>
  <si>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</si>
  <si>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</si>
  <si>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</si>
  <si>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</si>
  <si>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</si>
  <si>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</si>
  <si>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</si>
  <si>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</si>
  <si>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</si>
  <si>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</si>
  <si>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</si>
  <si>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</si>
  <si>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</si>
  <si>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</si>
  <si>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</si>
  <si>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</si>
  <si>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</si>
  <si>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</si>
  <si>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</si>
  <si>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</si>
  <si>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</si>
  <si>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</si>
  <si>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</si>
  <si>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</si>
  <si>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</si>
  <si>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</si>
  <si>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</si>
  <si>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</si>
  <si>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</si>
  <si>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</si>
  <si>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</si>
  <si>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</si>
  <si>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</si>
  <si>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</si>
  <si>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</si>
  <si>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</si>
  <si>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</si>
  <si>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</si>
  <si>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</si>
  <si>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</si>
  <si>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</si>
  <si>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</si>
  <si>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</si>
  <si>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</si>
  <si>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</si>
  <si>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</si>
  <si>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</si>
  <si>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</si>
  <si>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</si>
  <si>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</si>
  <si>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</si>
  <si>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</si>
  <si>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</si>
  <si>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</si>
  <si>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</si>
  <si>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</si>
  <si>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</si>
  <si>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</si>
  <si>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</si>
  <si>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</si>
  <si>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</si>
  <si>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</si>
  <si>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</si>
  <si>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</si>
  <si>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</si>
  <si>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</si>
  <si>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</si>
  <si>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</si>
  <si>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</si>
  <si>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</si>
  <si>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</si>
  <si>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</si>
  <si>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</si>
  <si>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</si>
  <si>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</si>
  <si>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NORTHWEST</t>
  </si>
  <si>
    <t>DENVER SOUTH</t>
  </si>
  <si>
    <t>Version CVD2 - Release 03/22/2020</t>
  </si>
  <si>
    <t>Removed 2 incentives for COVID situation</t>
  </si>
  <si>
    <t>2020Q2</t>
  </si>
  <si>
    <t>2020Q3</t>
  </si>
  <si>
    <t>SEATTLE NORTH</t>
  </si>
  <si>
    <t>9L</t>
  </si>
  <si>
    <t>DENVER NORTH</t>
  </si>
  <si>
    <t>9O</t>
  </si>
  <si>
    <t>2020Q4</t>
  </si>
  <si>
    <t>Q1 2021 v2</t>
  </si>
  <si>
    <t>2021Q1</t>
  </si>
  <si>
    <t>West</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</si>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</sst>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_);[Red]\(&quot;$&quot;#,##0.00\)"/>
  </numFmts>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s>
  <fills count="15">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26">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1" xfId="0" applyBorder="1" applyAlignment="1">
      <alignment horizontal="left"/>
    </xf>
    <xf numFmtId="0" fontId="1" fillId="14" borderId="1" xfId="0" applyFont="1" applyFill="1" applyBorder="1" applyAlignment="1">
      <alignment vertical="center" wrapText="1"/>
    </xf>
    <xf numFmtId="0" fontId="0" fillId="0" borderId="1" xfId="0" applyFont="1" applyBorder="1" applyAlignment="1">
      <alignment vertical="center" wrapText="1"/>
    </xf>
    <xf numFmtId="164" fontId="0" fillId="0" borderId="1" xfId="0" applyNumberFormat="1" applyFont="1" applyBorder="1" applyAlignment="1">
      <alignment vertical="center" wrapText="1"/>
    </xf>
  </cellXfs>
  <cellStyles count="1">
    <cellStyle name="Normal"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N12"/>
  <sheetViews>
    <sheetView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33.140625" customWidth="1"/>
    <col min="13" max="13" width="28" bestFit="1" customWidth="1"/>
  </cols>
  <sheetData>
    <row r="1" spans="1:14" x14ac:dyDescent="0.25">
      <c r="A1" s="6" t="s">
        <v>2</v>
      </c>
      <c r="B1" s="7" t="s">
        <v>196</v>
      </c>
      <c r="C1" s="16" t="s">
        <v>198</v>
      </c>
      <c r="D1" s="16" t="s">
        <v>197</v>
      </c>
      <c r="E1" s="16" t="s">
        <v>199</v>
      </c>
      <c r="F1" s="17" t="s">
        <v>200</v>
      </c>
      <c r="G1" s="18" t="s">
        <v>226</v>
      </c>
      <c r="H1" s="3" t="s">
        <v>1</v>
      </c>
      <c r="I1" s="3" t="s">
        <v>73</v>
      </c>
      <c r="K1" s="9" t="s">
        <v>66</v>
      </c>
      <c r="M1" t="s">
        <v>250</v>
      </c>
    </row>
    <row r="2" spans="1:14" x14ac:dyDescent="0.25">
      <c r="A2" s="21" t="s">
        <v>22</v>
      </c>
      <c r="B2" s="8" t="str">
        <f>"'"&amp;A2&amp;"'"</f>
        <v>'COLUMBIA'</v>
      </c>
      <c r="C2" s="15" t="str">
        <f>IFERROR(VLOOKUP(A2,Markets!A:B,2,0)&amp;" ALC","")</f>
        <v>5D ALC</v>
      </c>
      <c r="D2" s="15" t="str">
        <f>IFERROR(VLOOKUP(A2,PushToSharePoint!A:D,4,0),"")</f>
        <v>COLUMBIA</v>
      </c>
      <c r="E2" s="15" t="str">
        <f>SUBSTITUTE(D2," ","%20")</f>
        <v>COLUMBIA</v>
      </c>
      <c r="F2" s="15" t="str">
        <f>SUBSTITUTE(C2," ","%20")</f>
        <v>5D%20ALC</v>
      </c>
      <c r="H2" s="4" t="s">
        <v>219</v>
      </c>
      <c r="I2" s="1" t="str">
        <f>"'"&amp;H2</f>
        <v>'2020Q2</v>
      </c>
      <c r="K2" s="9" t="s">
        <v>67</v>
      </c>
      <c r="M2" t="s">
        <v>251</v>
      </c>
      <c r="N2">
        <v>0.3</v>
      </c>
    </row>
    <row r="3" spans="1:14" x14ac:dyDescent="0.25">
      <c r="H3" s="4" t="s">
        <v>220</v>
      </c>
      <c r="I3" s="1" t="str">
        <f>I2&amp;"',"&amp;"'"&amp;H3</f>
        <v>'2020Q2','2020Q3</v>
      </c>
      <c r="K3" s="9" t="s">
        <v>68</v>
      </c>
      <c r="M3" t="s">
        <v>252</v>
      </c>
      <c r="N3">
        <v>0.5</v>
      </c>
    </row>
    <row r="4" spans="1:14" x14ac:dyDescent="0.25">
      <c r="H4" s="4" t="s">
        <v>225</v>
      </c>
      <c r="I4" s="1" t="str">
        <f>I3&amp;"',"&amp;"'"&amp;H4</f>
        <v>'2020Q2','2020Q3','2020Q4</v>
      </c>
      <c r="K4" s="9" t="s">
        <v>69</v>
      </c>
      <c r="M4" t="s">
        <v>253</v>
      </c>
      <c r="N4">
        <v>0.7</v>
      </c>
    </row>
    <row r="5" spans="1:14" x14ac:dyDescent="0.25">
      <c r="H5" s="4" t="s">
        <v>227</v>
      </c>
      <c r="I5" s="2" t="str">
        <f>I4&amp;"',"&amp;"'"&amp;H5&amp;"'"</f>
        <v>'2020Q2','2020Q3','2020Q4','2021Q1'</v>
      </c>
      <c r="K5" s="9" t="s">
        <v>70</v>
      </c>
      <c r="M5" t="s">
        <v>254</v>
      </c>
      <c r="N5">
        <v>0.5</v>
      </c>
    </row>
    <row r="6" spans="1:14" x14ac:dyDescent="0.25">
      <c r="K6" s="9" t="s">
        <v>71</v>
      </c>
    </row>
    <row r="7" spans="1:14" x14ac:dyDescent="0.25">
      <c r="K7" s="9" t="s">
        <v>72</v>
      </c>
    </row>
    <row r="8" spans="1:14" x14ac:dyDescent="0.25">
      <c r="K8" s="9" t="s">
        <v>74</v>
      </c>
    </row>
    <row r="9" spans="1:14" x14ac:dyDescent="0.25">
      <c r="K9" s="9" t="s">
        <v>83</v>
      </c>
    </row>
    <row r="10" spans="1:14" x14ac:dyDescent="0.25">
      <c r="K10" s="9" t="s">
        <v>202</v>
      </c>
    </row>
    <row r="11" spans="1:14" x14ac:dyDescent="0.25">
      <c r="K11" s="9" t="s">
        <v>229</v>
      </c>
    </row>
    <row r="12" spans="1:14" x14ac:dyDescent="0.25">
      <c r="K12" s="9" t="s">
        <v>249</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3"/>
  <sheetViews>
    <sheetView workbookViewId="0"/>
  </sheetViews>
  <sheetFormatPr defaultRowHeight="15" x14ac:dyDescent="0.25"/>
  <cols>
    <col min="1" max="1" width="28" style="21" bestFit="1" customWidth="1"/>
    <col min="192" max="202" width="9.140625" customWidth="1"/>
  </cols>
  <sheetData>
    <row r="1" spans="1:14" x14ac:dyDescent="0.25">
      <c r="A1" s="21" t="s">
        <v>22</v>
      </c>
      <c r="C1" t="s">
        <v>9</v>
      </c>
      <c r="L1" t="s">
        <v>9</v>
      </c>
      <c r="N1" t="s">
        <v>9</v>
      </c>
    </row>
    <row r="2" spans="1:14" x14ac:dyDescent="0.25">
      <c r="C2" t="s">
        <v>10</v>
      </c>
      <c r="L2" t="s">
        <v>10</v>
      </c>
      <c r="N2" t="s">
        <v>10</v>
      </c>
    </row>
    <row r="3" spans="1:14" x14ac:dyDescent="0.25">
      <c r="C3" t="s">
        <v>11</v>
      </c>
      <c r="L3" t="s">
        <v>11</v>
      </c>
      <c r="N3" t="s">
        <v>11</v>
      </c>
    </row>
    <row r="4" spans="1:14" x14ac:dyDescent="0.25">
      <c r="C4" t="s">
        <v>12</v>
      </c>
      <c r="L4" t="s">
        <v>12</v>
      </c>
      <c r="N4" t="s">
        <v>12</v>
      </c>
    </row>
    <row r="5" spans="1:14" x14ac:dyDescent="0.25">
      <c r="C5" t="s">
        <v>13</v>
      </c>
      <c r="L5" t="s">
        <v>13</v>
      </c>
      <c r="N5" t="s">
        <v>13</v>
      </c>
    </row>
    <row r="6" spans="1:14" x14ac:dyDescent="0.25">
      <c r="C6" t="s">
        <v>15</v>
      </c>
      <c r="L6" t="s">
        <v>15</v>
      </c>
      <c r="N6" t="s">
        <v>15</v>
      </c>
    </row>
    <row r="7" spans="1:14" x14ac:dyDescent="0.25">
      <c r="C7" t="s">
        <v>16</v>
      </c>
      <c r="L7" t="s">
        <v>16</v>
      </c>
      <c r="N7" t="s">
        <v>16</v>
      </c>
    </row>
    <row r="8" spans="1:14" x14ac:dyDescent="0.25">
      <c r="C8" t="s">
        <v>17</v>
      </c>
      <c r="L8" t="s">
        <v>17</v>
      </c>
      <c r="N8" t="s">
        <v>17</v>
      </c>
    </row>
    <row r="9" spans="1:14" x14ac:dyDescent="0.25">
      <c r="C9" t="s">
        <v>18</v>
      </c>
      <c r="L9" t="s">
        <v>18</v>
      </c>
      <c r="N9" t="s">
        <v>18</v>
      </c>
    </row>
    <row r="10" spans="1:14" x14ac:dyDescent="0.25">
      <c r="C10" t="s">
        <v>0</v>
      </c>
      <c r="L10" t="s">
        <v>0</v>
      </c>
      <c r="N10" t="s">
        <v>0</v>
      </c>
    </row>
    <row r="11" spans="1:14" x14ac:dyDescent="0.25">
      <c r="C11" t="s">
        <v>20</v>
      </c>
      <c r="L11" t="s">
        <v>20</v>
      </c>
      <c r="N11" t="s">
        <v>20</v>
      </c>
    </row>
    <row r="12" spans="1:14" x14ac:dyDescent="0.25">
      <c r="C12" t="s">
        <v>21</v>
      </c>
      <c r="L12" t="s">
        <v>21</v>
      </c>
      <c r="N12" t="s">
        <v>21</v>
      </c>
    </row>
    <row r="13" spans="1:14" x14ac:dyDescent="0.25">
      <c r="C13" t="s">
        <v>22</v>
      </c>
      <c r="L13" t="s">
        <v>22</v>
      </c>
      <c r="N13" t="s">
        <v>22</v>
      </c>
    </row>
    <row r="14" spans="1:14" x14ac:dyDescent="0.25">
      <c r="C14" t="s">
        <v>23</v>
      </c>
      <c r="L14" t="s">
        <v>23</v>
      </c>
      <c r="N14" t="s">
        <v>23</v>
      </c>
    </row>
    <row r="15" spans="1:14" x14ac:dyDescent="0.25">
      <c r="C15" t="s">
        <v>24</v>
      </c>
      <c r="L15" t="s">
        <v>24</v>
      </c>
      <c r="N15" t="s">
        <v>24</v>
      </c>
    </row>
    <row r="16" spans="1:14" x14ac:dyDescent="0.25">
      <c r="C16" t="s">
        <v>25</v>
      </c>
      <c r="L16" t="s">
        <v>25</v>
      </c>
      <c r="N16" t="s">
        <v>25</v>
      </c>
    </row>
    <row r="17" spans="3:14" x14ac:dyDescent="0.25">
      <c r="C17" t="s">
        <v>27</v>
      </c>
      <c r="L17" t="s">
        <v>216</v>
      </c>
      <c r="N17" t="s">
        <v>216</v>
      </c>
    </row>
    <row r="18" spans="3:14" x14ac:dyDescent="0.25">
      <c r="C18" t="s">
        <v>234</v>
      </c>
      <c r="L18" t="s">
        <v>27</v>
      </c>
      <c r="N18" t="s">
        <v>27</v>
      </c>
    </row>
    <row r="19" spans="3:14" x14ac:dyDescent="0.25">
      <c r="C19" t="s">
        <v>28</v>
      </c>
      <c r="L19" t="s">
        <v>234</v>
      </c>
      <c r="N19" t="s">
        <v>234</v>
      </c>
    </row>
    <row r="20" spans="3:14" x14ac:dyDescent="0.25">
      <c r="C20" t="s">
        <v>29</v>
      </c>
      <c r="L20" t="s">
        <v>28</v>
      </c>
      <c r="N20" t="s">
        <v>28</v>
      </c>
    </row>
    <row r="21" spans="3:14" x14ac:dyDescent="0.25">
      <c r="C21" t="s">
        <v>30</v>
      </c>
      <c r="L21" t="s">
        <v>29</v>
      </c>
      <c r="N21" t="s">
        <v>29</v>
      </c>
    </row>
    <row r="22" spans="3:14" x14ac:dyDescent="0.25">
      <c r="C22" t="s">
        <v>31</v>
      </c>
      <c r="L22" t="s">
        <v>30</v>
      </c>
      <c r="N22" t="s">
        <v>30</v>
      </c>
    </row>
    <row r="23" spans="3:14" x14ac:dyDescent="0.25">
      <c r="C23" t="s">
        <v>32</v>
      </c>
      <c r="N23" t="s">
        <v>31</v>
      </c>
    </row>
    <row r="24" spans="3:14" x14ac:dyDescent="0.25">
      <c r="C24" t="s">
        <v>33</v>
      </c>
      <c r="N24" t="s">
        <v>32</v>
      </c>
    </row>
    <row r="25" spans="3:14" x14ac:dyDescent="0.25">
      <c r="C25" t="s">
        <v>7</v>
      </c>
      <c r="N25" t="s">
        <v>33</v>
      </c>
    </row>
    <row r="26" spans="3:14" x14ac:dyDescent="0.25">
      <c r="C26" t="s">
        <v>34</v>
      </c>
      <c r="N26" t="s">
        <v>7</v>
      </c>
    </row>
    <row r="27" spans="3:14" x14ac:dyDescent="0.25">
      <c r="C27" t="s">
        <v>35</v>
      </c>
      <c r="N27" t="s">
        <v>34</v>
      </c>
    </row>
    <row r="28" spans="3:14" x14ac:dyDescent="0.25">
      <c r="C28" t="s">
        <v>36</v>
      </c>
      <c r="N28" t="s">
        <v>35</v>
      </c>
    </row>
    <row r="29" spans="3:14" x14ac:dyDescent="0.25">
      <c r="C29" t="s">
        <v>37</v>
      </c>
      <c r="N29" t="s">
        <v>36</v>
      </c>
    </row>
    <row r="30" spans="3:14" x14ac:dyDescent="0.25">
      <c r="C30" t="s">
        <v>38</v>
      </c>
      <c r="N30" t="s">
        <v>37</v>
      </c>
    </row>
    <row r="31" spans="3:14" x14ac:dyDescent="0.25">
      <c r="C31" t="s">
        <v>39</v>
      </c>
      <c r="N31" t="s">
        <v>38</v>
      </c>
    </row>
    <row r="32" spans="3:14" x14ac:dyDescent="0.25">
      <c r="C32" t="s">
        <v>40</v>
      </c>
      <c r="N32" t="s">
        <v>39</v>
      </c>
    </row>
    <row r="33" spans="3:14" x14ac:dyDescent="0.25">
      <c r="C33" t="s">
        <v>41</v>
      </c>
      <c r="N33" t="s">
        <v>40</v>
      </c>
    </row>
    <row r="34" spans="3:14" x14ac:dyDescent="0.25">
      <c r="C34" t="s">
        <v>42</v>
      </c>
      <c r="N34" t="s">
        <v>41</v>
      </c>
    </row>
    <row r="35" spans="3:14" x14ac:dyDescent="0.25">
      <c r="C35" t="s">
        <v>43</v>
      </c>
      <c r="N35" t="s">
        <v>42</v>
      </c>
    </row>
    <row r="36" spans="3:14" x14ac:dyDescent="0.25">
      <c r="C36" t="s">
        <v>4</v>
      </c>
      <c r="N36" t="s">
        <v>43</v>
      </c>
    </row>
    <row r="37" spans="3:14" x14ac:dyDescent="0.25">
      <c r="C37" t="s">
        <v>45</v>
      </c>
      <c r="N37" t="s">
        <v>4</v>
      </c>
    </row>
    <row r="38" spans="3:14" x14ac:dyDescent="0.25">
      <c r="C38" t="s">
        <v>6</v>
      </c>
      <c r="N38" t="s">
        <v>45</v>
      </c>
    </row>
    <row r="39" spans="3:14" x14ac:dyDescent="0.25">
      <c r="C39" t="s">
        <v>46</v>
      </c>
      <c r="N39" t="s">
        <v>6</v>
      </c>
    </row>
    <row r="40" spans="3:14" x14ac:dyDescent="0.25">
      <c r="C40" t="s">
        <v>47</v>
      </c>
      <c r="N40" t="s">
        <v>46</v>
      </c>
    </row>
    <row r="41" spans="3:14" x14ac:dyDescent="0.25">
      <c r="C41" t="s">
        <v>48</v>
      </c>
      <c r="N41" t="s">
        <v>47</v>
      </c>
    </row>
    <row r="42" spans="3:14" x14ac:dyDescent="0.25">
      <c r="C42" t="s">
        <v>50</v>
      </c>
      <c r="N42" t="s">
        <v>48</v>
      </c>
    </row>
    <row r="43" spans="3:14" x14ac:dyDescent="0.25">
      <c r="C43" t="s">
        <v>51</v>
      </c>
      <c r="N43" t="s">
        <v>50</v>
      </c>
    </row>
    <row r="44" spans="3:14" x14ac:dyDescent="0.25">
      <c r="C44" t="s">
        <v>52</v>
      </c>
      <c r="N44" t="s">
        <v>51</v>
      </c>
    </row>
    <row r="45" spans="3:14" x14ac:dyDescent="0.25">
      <c r="C45" t="s">
        <v>3</v>
      </c>
      <c r="N45" t="s">
        <v>52</v>
      </c>
    </row>
    <row r="46" spans="3:14" x14ac:dyDescent="0.25">
      <c r="C46" t="s">
        <v>54</v>
      </c>
      <c r="N46" t="s">
        <v>3</v>
      </c>
    </row>
    <row r="47" spans="3:14" x14ac:dyDescent="0.25">
      <c r="C47" t="s">
        <v>55</v>
      </c>
      <c r="N47" t="s">
        <v>54</v>
      </c>
    </row>
    <row r="48" spans="3:14" x14ac:dyDescent="0.25">
      <c r="C48" t="s">
        <v>56</v>
      </c>
      <c r="N48" t="s">
        <v>55</v>
      </c>
    </row>
    <row r="49" spans="3:14" x14ac:dyDescent="0.25">
      <c r="C49" t="s">
        <v>57</v>
      </c>
      <c r="N49" t="s">
        <v>56</v>
      </c>
    </row>
    <row r="50" spans="3:14" x14ac:dyDescent="0.25">
      <c r="C50" t="s">
        <v>5</v>
      </c>
      <c r="N50" t="s">
        <v>57</v>
      </c>
    </row>
    <row r="51" spans="3:14" x14ac:dyDescent="0.25">
      <c r="C51" t="s">
        <v>59</v>
      </c>
      <c r="N51" t="s">
        <v>214</v>
      </c>
    </row>
    <row r="52" spans="3:14" x14ac:dyDescent="0.25">
      <c r="C52" t="s">
        <v>60</v>
      </c>
      <c r="N52" t="s">
        <v>5</v>
      </c>
    </row>
    <row r="53" spans="3:14" x14ac:dyDescent="0.25">
      <c r="C53" t="s">
        <v>61</v>
      </c>
      <c r="N53" t="s">
        <v>59</v>
      </c>
    </row>
    <row r="54" spans="3:14" x14ac:dyDescent="0.25">
      <c r="C54" t="s">
        <v>63</v>
      </c>
      <c r="N54" t="s">
        <v>60</v>
      </c>
    </row>
    <row r="55" spans="3:14" x14ac:dyDescent="0.25">
      <c r="C55" t="s">
        <v>64</v>
      </c>
      <c r="N55" t="s">
        <v>61</v>
      </c>
    </row>
    <row r="56" spans="3:14" x14ac:dyDescent="0.25">
      <c r="C56" t="s">
        <v>65</v>
      </c>
      <c r="N56" t="s">
        <v>63</v>
      </c>
    </row>
    <row r="57" spans="3:14" x14ac:dyDescent="0.25">
      <c r="C57" t="s">
        <v>173</v>
      </c>
      <c r="N57" t="s">
        <v>64</v>
      </c>
    </row>
    <row r="58" spans="3:14" x14ac:dyDescent="0.25">
      <c r="C58" t="s">
        <v>216</v>
      </c>
      <c r="N58" t="s">
        <v>65</v>
      </c>
    </row>
    <row r="59" spans="3:14" x14ac:dyDescent="0.25">
      <c r="C59" t="s">
        <v>223</v>
      </c>
      <c r="N59" t="s">
        <v>173</v>
      </c>
    </row>
    <row r="60" spans="3:14" x14ac:dyDescent="0.25">
      <c r="C60" t="s">
        <v>221</v>
      </c>
    </row>
    <row r="61" spans="3:14" x14ac:dyDescent="0.25">
      <c r="C61" t="s">
        <v>214</v>
      </c>
    </row>
    <row r="62" spans="3:14" x14ac:dyDescent="0.25">
      <c r="C62" t="s">
        <v>230</v>
      </c>
    </row>
    <row r="63" spans="3:14" x14ac:dyDescent="0.25">
      <c r="C63" t="s">
        <v>231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tabSelected="1" workbookViewId="0">
      <selection activeCell="O10" sqref="O1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203</v>
      </c>
    </row>
    <row r="2" spans="1:1" ht="45.75" x14ac:dyDescent="0.25">
      <c r="A2" s="19" t="s">
        <v>204</v>
      </c>
    </row>
    <row r="3" spans="1:1" x14ac:dyDescent="0.25">
      <c r="A3" s="20" t="s">
        <v>205</v>
      </c>
    </row>
    <row r="4" spans="1:1" x14ac:dyDescent="0.25">
      <c r="A4" s="19" t="s">
        <v>206</v>
      </c>
    </row>
    <row r="5" spans="1:1" x14ac:dyDescent="0.25">
      <c r="A5" s="20" t="s">
        <v>207</v>
      </c>
    </row>
    <row r="6" spans="1:1" x14ac:dyDescent="0.25">
      <c r="A6" s="19" t="s">
        <v>210</v>
      </c>
    </row>
    <row r="7" spans="1:1" x14ac:dyDescent="0.25">
      <c r="A7" s="19" t="s">
        <v>211</v>
      </c>
    </row>
    <row r="8" spans="1:1" x14ac:dyDescent="0.25">
      <c r="A8" s="19" t="s">
        <v>212</v>
      </c>
    </row>
    <row r="9" spans="1:1" x14ac:dyDescent="0.25">
      <c r="A9" s="19" t="s">
        <v>213</v>
      </c>
    </row>
    <row r="10" spans="1:1" x14ac:dyDescent="0.25">
      <c r="A10" s="20" t="s">
        <v>208</v>
      </c>
    </row>
    <row r="11" spans="1:1" x14ac:dyDescent="0.25">
      <c r="A11" s="19" t="s">
        <v>209</v>
      </c>
    </row>
    <row r="12" spans="1:1" x14ac:dyDescent="0.25">
      <c r="A12" s="20" t="s">
        <v>217</v>
      </c>
    </row>
    <row r="13" spans="1:1" x14ac:dyDescent="0.25">
      <c r="A13" s="19" t="s">
        <v>218</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173</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topLeftCell="A16" workbookViewId="0">
      <selection activeCell="J22" sqref="J22"/>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tr">
        <f>IF(C2="",A2,C2)</f>
        <v>ALBANY</v>
      </c>
      <c r="J2" t="s">
        <v>10</v>
      </c>
      <c r="O2" s="5" t="s">
        <v>10</v>
      </c>
    </row>
    <row r="3" spans="1:15" x14ac:dyDescent="0.25">
      <c r="A3" s="9" t="s">
        <v>10</v>
      </c>
      <c r="B3" s="9" t="s">
        <v>75</v>
      </c>
      <c r="C3" s="9"/>
      <c r="D3" s="10" t="str">
        <f t="shared" ref="D3:D61" si="0">IF(C3="",A3,C3)</f>
        <v>ALBUQUERQUE</v>
      </c>
      <c r="J3" t="s">
        <v>11</v>
      </c>
      <c r="O3" s="5" t="s">
        <v>11</v>
      </c>
    </row>
    <row r="4" spans="1:15" x14ac:dyDescent="0.25">
      <c r="A4" s="9" t="s">
        <v>11</v>
      </c>
      <c r="B4" s="9" t="s">
        <v>75</v>
      </c>
      <c r="C4" s="9"/>
      <c r="D4" s="10" t="str">
        <f t="shared" si="0"/>
        <v>ALLENTOWN</v>
      </c>
      <c r="J4" t="s">
        <v>12</v>
      </c>
      <c r="O4" s="5" t="s">
        <v>12</v>
      </c>
    </row>
    <row r="5" spans="1:15" x14ac:dyDescent="0.25">
      <c r="A5" s="9" t="s">
        <v>12</v>
      </c>
      <c r="B5" s="9" t="s">
        <v>75</v>
      </c>
      <c r="C5" s="9"/>
      <c r="D5" s="10" t="str">
        <f t="shared" si="0"/>
        <v>ATLANTA</v>
      </c>
      <c r="J5" t="s">
        <v>13</v>
      </c>
      <c r="O5" s="5" t="s">
        <v>13</v>
      </c>
    </row>
    <row r="6" spans="1:15" x14ac:dyDescent="0.25">
      <c r="A6" s="9" t="s">
        <v>13</v>
      </c>
      <c r="B6" s="9" t="s">
        <v>75</v>
      </c>
      <c r="C6" s="9"/>
      <c r="D6" s="10" t="str">
        <f t="shared" si="0"/>
        <v>AUSTIN</v>
      </c>
      <c r="J6" t="s">
        <v>14</v>
      </c>
      <c r="O6" s="5" t="s">
        <v>15</v>
      </c>
    </row>
    <row r="7" spans="1:15" x14ac:dyDescent="0.25">
      <c r="A7" s="9" t="s">
        <v>15</v>
      </c>
      <c r="B7" s="9" t="s">
        <v>75</v>
      </c>
      <c r="C7" s="9" t="s">
        <v>201</v>
      </c>
      <c r="D7" s="10" t="str">
        <f t="shared" si="0"/>
        <v>Bismark</v>
      </c>
      <c r="J7" t="s">
        <v>15</v>
      </c>
      <c r="O7" s="5" t="s">
        <v>16</v>
      </c>
    </row>
    <row r="8" spans="1:15" x14ac:dyDescent="0.25">
      <c r="A8" s="9" t="s">
        <v>16</v>
      </c>
      <c r="B8" s="9" t="s">
        <v>75</v>
      </c>
      <c r="C8" s="9"/>
      <c r="D8" s="10" t="str">
        <f t="shared" si="0"/>
        <v>BOCA RATON</v>
      </c>
      <c r="J8" t="s">
        <v>16</v>
      </c>
      <c r="O8" s="5" t="s">
        <v>17</v>
      </c>
    </row>
    <row r="9" spans="1:15" x14ac:dyDescent="0.25">
      <c r="A9" s="9" t="s">
        <v>17</v>
      </c>
      <c r="B9" s="9" t="s">
        <v>75</v>
      </c>
      <c r="C9" s="9"/>
      <c r="D9" s="10" t="str">
        <f t="shared" si="0"/>
        <v>BOSTON</v>
      </c>
      <c r="J9" t="s">
        <v>17</v>
      </c>
      <c r="O9" s="5" t="s">
        <v>18</v>
      </c>
    </row>
    <row r="10" spans="1:15" x14ac:dyDescent="0.25">
      <c r="A10" s="9" t="s">
        <v>18</v>
      </c>
      <c r="B10" s="9" t="s">
        <v>75</v>
      </c>
      <c r="C10" s="9"/>
      <c r="D10" s="10" t="str">
        <f t="shared" si="0"/>
        <v>BUFFALO</v>
      </c>
      <c r="J10" t="s">
        <v>18</v>
      </c>
      <c r="O10" s="5" t="s">
        <v>0</v>
      </c>
    </row>
    <row r="11" spans="1:15" x14ac:dyDescent="0.25">
      <c r="A11" s="9" t="s">
        <v>0</v>
      </c>
      <c r="B11" s="9" t="s">
        <v>75</v>
      </c>
      <c r="C11" s="9"/>
      <c r="D11" s="10" t="str">
        <f t="shared" si="0"/>
        <v>CHICAGO</v>
      </c>
      <c r="J11" t="s">
        <v>19</v>
      </c>
      <c r="O11" s="5" t="s">
        <v>20</v>
      </c>
    </row>
    <row r="12" spans="1:15" x14ac:dyDescent="0.25">
      <c r="A12" s="9" t="s">
        <v>20</v>
      </c>
      <c r="B12" s="9" t="s">
        <v>75</v>
      </c>
      <c r="C12" s="9"/>
      <c r="D12" s="10" t="str">
        <f t="shared" si="0"/>
        <v>CINCINNATI</v>
      </c>
      <c r="J12" t="s">
        <v>0</v>
      </c>
      <c r="O12" s="5" t="s">
        <v>21</v>
      </c>
    </row>
    <row r="13" spans="1:15" x14ac:dyDescent="0.25">
      <c r="A13" s="9" t="s">
        <v>21</v>
      </c>
      <c r="B13" s="9" t="s">
        <v>75</v>
      </c>
      <c r="C13" s="9"/>
      <c r="D13" s="10" t="str">
        <f t="shared" si="0"/>
        <v>CLEVELAND</v>
      </c>
      <c r="J13" t="s">
        <v>20</v>
      </c>
      <c r="O13" s="5" t="s">
        <v>22</v>
      </c>
    </row>
    <row r="14" spans="1:15" x14ac:dyDescent="0.25">
      <c r="A14" s="9" t="s">
        <v>22</v>
      </c>
      <c r="B14" s="9" t="s">
        <v>75</v>
      </c>
      <c r="C14" s="9"/>
      <c r="D14" s="10" t="str">
        <f t="shared" si="0"/>
        <v>COLUMBIA</v>
      </c>
      <c r="J14" t="s">
        <v>21</v>
      </c>
      <c r="O14" s="5" t="s">
        <v>23</v>
      </c>
    </row>
    <row r="15" spans="1:15" x14ac:dyDescent="0.25">
      <c r="A15" s="9" t="s">
        <v>23</v>
      </c>
      <c r="B15" s="9" t="s">
        <v>75</v>
      </c>
      <c r="C15" s="9"/>
      <c r="D15" s="10" t="str">
        <f t="shared" si="0"/>
        <v>CONNECTICUT</v>
      </c>
      <c r="J15" t="s">
        <v>22</v>
      </c>
      <c r="O15" s="5" t="s">
        <v>24</v>
      </c>
    </row>
    <row r="16" spans="1:15" x14ac:dyDescent="0.25">
      <c r="A16" s="9" t="s">
        <v>24</v>
      </c>
      <c r="B16" s="9" t="s">
        <v>75</v>
      </c>
      <c r="C16" s="9"/>
      <c r="D16" s="10" t="str">
        <f t="shared" si="0"/>
        <v>CORONA</v>
      </c>
      <c r="J16" t="s">
        <v>23</v>
      </c>
      <c r="O16" s="5" t="s">
        <v>25</v>
      </c>
    </row>
    <row r="17" spans="1:15" x14ac:dyDescent="0.25">
      <c r="A17" s="9" t="s">
        <v>25</v>
      </c>
      <c r="B17" s="9" t="s">
        <v>75</v>
      </c>
      <c r="C17" s="9"/>
      <c r="D17" s="10" t="str">
        <f t="shared" si="0"/>
        <v>DALLAS</v>
      </c>
      <c r="J17" t="s">
        <v>24</v>
      </c>
      <c r="O17" s="5" t="s">
        <v>26</v>
      </c>
    </row>
    <row r="18" spans="1:15" x14ac:dyDescent="0.25">
      <c r="A18" s="9" t="s">
        <v>223</v>
      </c>
      <c r="B18" s="9" t="s">
        <v>75</v>
      </c>
      <c r="C18" s="9" t="s">
        <v>223</v>
      </c>
      <c r="D18" s="10" t="str">
        <f t="shared" si="0"/>
        <v>DENVER NORTH</v>
      </c>
      <c r="J18" t="s">
        <v>25</v>
      </c>
      <c r="O18" s="5" t="s">
        <v>27</v>
      </c>
    </row>
    <row r="19" spans="1:15" x14ac:dyDescent="0.25">
      <c r="A19" s="9" t="s">
        <v>216</v>
      </c>
      <c r="B19" s="9" t="s">
        <v>75</v>
      </c>
      <c r="C19" s="9" t="s">
        <v>216</v>
      </c>
      <c r="D19" s="10" t="str">
        <f t="shared" si="0"/>
        <v>DENVER SOUTH</v>
      </c>
      <c r="J19" t="s">
        <v>26</v>
      </c>
      <c r="O19" s="5" t="s">
        <v>8</v>
      </c>
    </row>
    <row r="20" spans="1:15" x14ac:dyDescent="0.25">
      <c r="A20" s="9" t="s">
        <v>27</v>
      </c>
      <c r="B20" s="9" t="s">
        <v>75</v>
      </c>
      <c r="C20" s="9"/>
      <c r="D20" s="10" t="str">
        <f t="shared" si="0"/>
        <v>DETROIT</v>
      </c>
      <c r="J20" t="s">
        <v>27</v>
      </c>
      <c r="O20" s="5" t="s">
        <v>28</v>
      </c>
    </row>
    <row r="21" spans="1:15" x14ac:dyDescent="0.25">
      <c r="A21" s="9" t="s">
        <v>234</v>
      </c>
      <c r="B21" s="9" t="s">
        <v>75</v>
      </c>
      <c r="C21" s="9"/>
      <c r="D21" s="10" t="str">
        <f t="shared" si="0"/>
        <v>NEW ORLEANS</v>
      </c>
      <c r="J21" t="s">
        <v>234</v>
      </c>
      <c r="K21" t="s">
        <v>86</v>
      </c>
      <c r="O21" s="5" t="s">
        <v>29</v>
      </c>
    </row>
    <row r="22" spans="1:15" x14ac:dyDescent="0.25">
      <c r="A22" s="9" t="s">
        <v>28</v>
      </c>
      <c r="B22" s="9" t="s">
        <v>75</v>
      </c>
      <c r="C22" s="9"/>
      <c r="D22" s="10" t="str">
        <f t="shared" si="0"/>
        <v>FORT MILL</v>
      </c>
      <c r="J22" t="s">
        <v>28</v>
      </c>
      <c r="O22" s="5" t="s">
        <v>31</v>
      </c>
    </row>
    <row r="23" spans="1:15" x14ac:dyDescent="0.25">
      <c r="A23" s="9" t="s">
        <v>29</v>
      </c>
      <c r="B23" s="9" t="s">
        <v>75</v>
      </c>
      <c r="C23" s="9"/>
      <c r="D23" s="10" t="str">
        <f t="shared" si="0"/>
        <v>GRAND FORKS</v>
      </c>
      <c r="J23" t="s">
        <v>29</v>
      </c>
      <c r="O23" s="5" t="s">
        <v>32</v>
      </c>
    </row>
    <row r="24" spans="1:15" x14ac:dyDescent="0.25">
      <c r="A24" s="9" t="s">
        <v>30</v>
      </c>
      <c r="B24" s="9" t="s">
        <v>75</v>
      </c>
      <c r="C24" s="9"/>
      <c r="D24" s="10" t="str">
        <f t="shared" si="0"/>
        <v>GRAND ISLAND</v>
      </c>
      <c r="J24" t="s">
        <v>30</v>
      </c>
      <c r="O24" s="5" t="s">
        <v>33</v>
      </c>
    </row>
    <row r="25" spans="1:15" x14ac:dyDescent="0.25">
      <c r="A25" s="9" t="s">
        <v>31</v>
      </c>
      <c r="B25" s="9" t="s">
        <v>75</v>
      </c>
      <c r="C25" s="9"/>
      <c r="D25" s="10" t="str">
        <f t="shared" si="0"/>
        <v>HOUSTON</v>
      </c>
      <c r="J25" t="s">
        <v>31</v>
      </c>
      <c r="O25" s="5" t="s">
        <v>7</v>
      </c>
    </row>
    <row r="26" spans="1:15" x14ac:dyDescent="0.25">
      <c r="A26" s="9" t="s">
        <v>32</v>
      </c>
      <c r="B26" s="9" t="s">
        <v>75</v>
      </c>
      <c r="C26" s="9"/>
      <c r="D26" s="10" t="str">
        <f t="shared" si="0"/>
        <v>INDIANAPOLIS</v>
      </c>
      <c r="J26" t="s">
        <v>32</v>
      </c>
      <c r="O26" s="5" t="s">
        <v>34</v>
      </c>
    </row>
    <row r="27" spans="1:15" x14ac:dyDescent="0.25">
      <c r="A27" s="9" t="s">
        <v>33</v>
      </c>
      <c r="B27" s="9" t="s">
        <v>75</v>
      </c>
      <c r="C27" s="9" t="s">
        <v>79</v>
      </c>
      <c r="D27" s="10" t="str">
        <f t="shared" si="0"/>
        <v>Iowa City</v>
      </c>
      <c r="J27" t="s">
        <v>33</v>
      </c>
      <c r="O27" s="5" t="s">
        <v>35</v>
      </c>
    </row>
    <row r="28" spans="1:15" x14ac:dyDescent="0.25">
      <c r="A28" s="9" t="s">
        <v>7</v>
      </c>
      <c r="B28" s="9" t="s">
        <v>75</v>
      </c>
      <c r="C28" s="9"/>
      <c r="D28" s="10" t="str">
        <f t="shared" si="0"/>
        <v>JACKSON</v>
      </c>
      <c r="J28" t="s">
        <v>7</v>
      </c>
      <c r="O28" s="5" t="s">
        <v>36</v>
      </c>
    </row>
    <row r="29" spans="1:15" x14ac:dyDescent="0.25">
      <c r="A29" s="9" t="s">
        <v>34</v>
      </c>
      <c r="B29" s="9" t="s">
        <v>75</v>
      </c>
      <c r="C29" s="9"/>
      <c r="D29" s="10" t="str">
        <f t="shared" si="0"/>
        <v>KANSAS CITY</v>
      </c>
      <c r="J29" t="s">
        <v>34</v>
      </c>
      <c r="O29" s="5" t="s">
        <v>37</v>
      </c>
    </row>
    <row r="30" spans="1:15" x14ac:dyDescent="0.25">
      <c r="A30" s="9" t="s">
        <v>35</v>
      </c>
      <c r="B30" s="9" t="s">
        <v>75</v>
      </c>
      <c r="C30" s="9"/>
      <c r="D30" s="10" t="str">
        <f t="shared" si="0"/>
        <v>KNOXVILLE</v>
      </c>
      <c r="J30" t="s">
        <v>35</v>
      </c>
      <c r="O30" s="5" t="s">
        <v>38</v>
      </c>
    </row>
    <row r="31" spans="1:15" x14ac:dyDescent="0.25">
      <c r="A31" s="9" t="s">
        <v>36</v>
      </c>
      <c r="B31" s="9" t="s">
        <v>75</v>
      </c>
      <c r="C31" s="9"/>
      <c r="D31" s="10" t="str">
        <f t="shared" si="0"/>
        <v>LAS VEGAS</v>
      </c>
      <c r="J31" t="s">
        <v>36</v>
      </c>
      <c r="O31" s="5" t="s">
        <v>39</v>
      </c>
    </row>
    <row r="32" spans="1:15" x14ac:dyDescent="0.25">
      <c r="A32" s="9" t="s">
        <v>37</v>
      </c>
      <c r="B32" s="9" t="s">
        <v>75</v>
      </c>
      <c r="C32" s="9"/>
      <c r="D32" s="10" t="str">
        <f t="shared" si="0"/>
        <v>LITTLE ROCK</v>
      </c>
      <c r="J32" t="s">
        <v>37</v>
      </c>
      <c r="O32" s="5" t="s">
        <v>40</v>
      </c>
    </row>
    <row r="33" spans="1:15" x14ac:dyDescent="0.25">
      <c r="A33" s="9" t="s">
        <v>38</v>
      </c>
      <c r="B33" s="9" t="s">
        <v>75</v>
      </c>
      <c r="C33" s="9"/>
      <c r="D33" s="10" t="str">
        <f t="shared" si="0"/>
        <v>LOS ANGELES</v>
      </c>
      <c r="J33" t="s">
        <v>38</v>
      </c>
      <c r="O33" s="5" t="s">
        <v>41</v>
      </c>
    </row>
    <row r="34" spans="1:15" x14ac:dyDescent="0.25">
      <c r="A34" s="9" t="s">
        <v>39</v>
      </c>
      <c r="B34" s="9" t="s">
        <v>75</v>
      </c>
      <c r="C34" s="9"/>
      <c r="D34" s="10" t="str">
        <f t="shared" si="0"/>
        <v>LUBBOCK</v>
      </c>
      <c r="J34" t="s">
        <v>39</v>
      </c>
      <c r="O34" s="5" t="s">
        <v>42</v>
      </c>
    </row>
    <row r="35" spans="1:15" x14ac:dyDescent="0.25">
      <c r="A35" s="9" t="s">
        <v>40</v>
      </c>
      <c r="B35" s="9" t="s">
        <v>75</v>
      </c>
      <c r="C35" s="9"/>
      <c r="D35" s="10" t="str">
        <f t="shared" si="0"/>
        <v>MANASSAS</v>
      </c>
      <c r="J35" t="s">
        <v>40</v>
      </c>
      <c r="O35" s="5" t="s">
        <v>43</v>
      </c>
    </row>
    <row r="36" spans="1:15" x14ac:dyDescent="0.25">
      <c r="A36" s="9" t="s">
        <v>41</v>
      </c>
      <c r="B36" s="9" t="s">
        <v>75</v>
      </c>
      <c r="C36" s="9"/>
      <c r="D36" s="10" t="str">
        <f t="shared" si="0"/>
        <v>MEMPHIS</v>
      </c>
      <c r="J36" t="s">
        <v>41</v>
      </c>
      <c r="O36" s="5" t="s">
        <v>4</v>
      </c>
    </row>
    <row r="37" spans="1:15" x14ac:dyDescent="0.25">
      <c r="A37" s="9" t="s">
        <v>42</v>
      </c>
      <c r="B37" s="9" t="s">
        <v>75</v>
      </c>
      <c r="C37" s="9"/>
      <c r="D37" s="10" t="str">
        <f t="shared" si="0"/>
        <v>METRO NEW YORK</v>
      </c>
      <c r="J37" t="s">
        <v>42</v>
      </c>
      <c r="O37" s="5" t="s">
        <v>45</v>
      </c>
    </row>
    <row r="38" spans="1:15" x14ac:dyDescent="0.25">
      <c r="A38" s="9" t="s">
        <v>43</v>
      </c>
      <c r="B38" s="9" t="s">
        <v>75</v>
      </c>
      <c r="C38" s="9" t="s">
        <v>76</v>
      </c>
      <c r="D38" s="10" t="str">
        <f t="shared" si="0"/>
        <v>Minneapolis</v>
      </c>
      <c r="J38" t="s">
        <v>43</v>
      </c>
      <c r="O38" s="5" t="s">
        <v>6</v>
      </c>
    </row>
    <row r="39" spans="1:15" x14ac:dyDescent="0.25">
      <c r="A39" s="9" t="s">
        <v>4</v>
      </c>
      <c r="B39" s="9" t="s">
        <v>75</v>
      </c>
      <c r="C39" s="9"/>
      <c r="D39" s="10" t="str">
        <f t="shared" si="0"/>
        <v>MONTGOMERY</v>
      </c>
      <c r="J39" t="s">
        <v>4</v>
      </c>
      <c r="O39" s="5" t="s">
        <v>46</v>
      </c>
    </row>
    <row r="40" spans="1:15" x14ac:dyDescent="0.25">
      <c r="A40" s="9" t="s">
        <v>45</v>
      </c>
      <c r="B40" s="9" t="s">
        <v>75</v>
      </c>
      <c r="C40" s="9"/>
      <c r="D40" s="10" t="str">
        <f t="shared" si="0"/>
        <v>OKLAHOMA CITY</v>
      </c>
      <c r="J40" t="s">
        <v>44</v>
      </c>
      <c r="O40" s="5" t="s">
        <v>47</v>
      </c>
    </row>
    <row r="41" spans="1:15" x14ac:dyDescent="0.25">
      <c r="A41" s="9" t="s">
        <v>6</v>
      </c>
      <c r="B41" s="9" t="s">
        <v>75</v>
      </c>
      <c r="C41" s="9"/>
      <c r="D41" s="10" t="str">
        <f t="shared" si="0"/>
        <v>OMAHA</v>
      </c>
      <c r="J41" t="s">
        <v>45</v>
      </c>
      <c r="O41" s="5" t="s">
        <v>48</v>
      </c>
    </row>
    <row r="42" spans="1:15" x14ac:dyDescent="0.25">
      <c r="A42" s="9" t="s">
        <v>46</v>
      </c>
      <c r="B42" s="9" t="s">
        <v>75</v>
      </c>
      <c r="C42" s="9" t="s">
        <v>77</v>
      </c>
      <c r="D42" s="10" t="str">
        <f t="shared" si="0"/>
        <v>Philadelphia</v>
      </c>
      <c r="J42" t="s">
        <v>6</v>
      </c>
      <c r="O42" s="5" t="s">
        <v>50</v>
      </c>
    </row>
    <row r="43" spans="1:15" x14ac:dyDescent="0.25">
      <c r="A43" s="9" t="s">
        <v>47</v>
      </c>
      <c r="B43" s="9" t="s">
        <v>75</v>
      </c>
      <c r="C43" s="9" t="s">
        <v>77</v>
      </c>
      <c r="D43" s="10" t="str">
        <f t="shared" si="0"/>
        <v>Philadelphia</v>
      </c>
      <c r="J43" t="s">
        <v>46</v>
      </c>
      <c r="O43" s="5" t="s">
        <v>51</v>
      </c>
    </row>
    <row r="44" spans="1:15" x14ac:dyDescent="0.25">
      <c r="A44" s="9" t="s">
        <v>48</v>
      </c>
      <c r="B44" s="9" t="s">
        <v>75</v>
      </c>
      <c r="C44" s="9"/>
      <c r="D44" s="10" t="str">
        <f t="shared" si="0"/>
        <v>PHOENIX</v>
      </c>
      <c r="J44" t="s">
        <v>47</v>
      </c>
      <c r="O44" s="5" t="s">
        <v>52</v>
      </c>
    </row>
    <row r="45" spans="1:15" x14ac:dyDescent="0.25">
      <c r="A45" s="9" t="s">
        <v>50</v>
      </c>
      <c r="B45" s="9" t="s">
        <v>75</v>
      </c>
      <c r="C45" s="9"/>
      <c r="D45" s="10" t="str">
        <f t="shared" si="0"/>
        <v>PORT ORANGE</v>
      </c>
      <c r="J45" t="s">
        <v>48</v>
      </c>
      <c r="O45" s="5" t="s">
        <v>3</v>
      </c>
    </row>
    <row r="46" spans="1:15" x14ac:dyDescent="0.25">
      <c r="A46" s="9" t="s">
        <v>51</v>
      </c>
      <c r="B46" s="9" t="s">
        <v>75</v>
      </c>
      <c r="C46" s="9"/>
      <c r="D46" s="10" t="str">
        <f t="shared" si="0"/>
        <v>RALEIGH</v>
      </c>
      <c r="J46" t="s">
        <v>49</v>
      </c>
      <c r="O46" s="5" t="s">
        <v>54</v>
      </c>
    </row>
    <row r="47" spans="1:15" x14ac:dyDescent="0.25">
      <c r="A47" s="9" t="s">
        <v>52</v>
      </c>
      <c r="B47" s="9" t="s">
        <v>75</v>
      </c>
      <c r="C47" s="9"/>
      <c r="D47" s="10" t="str">
        <f t="shared" si="0"/>
        <v>RENO</v>
      </c>
      <c r="J47" t="s">
        <v>50</v>
      </c>
      <c r="O47" s="5" t="s">
        <v>55</v>
      </c>
    </row>
    <row r="48" spans="1:15" x14ac:dyDescent="0.25">
      <c r="A48" s="9" t="s">
        <v>3</v>
      </c>
      <c r="B48" s="9" t="s">
        <v>75</v>
      </c>
      <c r="C48" s="9"/>
      <c r="D48" s="10" t="str">
        <f t="shared" si="0"/>
        <v>ROANOKE</v>
      </c>
      <c r="J48" t="s">
        <v>51</v>
      </c>
      <c r="O48" s="5" t="s">
        <v>56</v>
      </c>
    </row>
    <row r="49" spans="1:15" x14ac:dyDescent="0.25">
      <c r="A49" s="9" t="s">
        <v>54</v>
      </c>
      <c r="B49" s="9" t="s">
        <v>75</v>
      </c>
      <c r="C49" s="9"/>
      <c r="D49" s="10" t="str">
        <f t="shared" si="0"/>
        <v>SALEM</v>
      </c>
      <c r="J49" t="s">
        <v>52</v>
      </c>
      <c r="O49" s="5" t="s">
        <v>57</v>
      </c>
    </row>
    <row r="50" spans="1:15" x14ac:dyDescent="0.25">
      <c r="A50" s="9" t="s">
        <v>55</v>
      </c>
      <c r="B50" s="9" t="s">
        <v>75</v>
      </c>
      <c r="C50" s="9"/>
      <c r="D50" s="10" t="str">
        <f t="shared" si="0"/>
        <v>SALT LAKE CITY</v>
      </c>
      <c r="J50" t="s">
        <v>53</v>
      </c>
      <c r="O50" s="5" t="s">
        <v>58</v>
      </c>
    </row>
    <row r="51" spans="1:15" x14ac:dyDescent="0.25">
      <c r="A51" s="9" t="s">
        <v>56</v>
      </c>
      <c r="B51" s="9" t="s">
        <v>75</v>
      </c>
      <c r="C51" s="9"/>
      <c r="D51" s="10" t="str">
        <f t="shared" si="0"/>
        <v>SAN DIEGO</v>
      </c>
      <c r="J51" t="s">
        <v>3</v>
      </c>
      <c r="O51" t="s">
        <v>5</v>
      </c>
    </row>
    <row r="52" spans="1:15" x14ac:dyDescent="0.25">
      <c r="A52" s="9" t="s">
        <v>57</v>
      </c>
      <c r="B52" s="9" t="s">
        <v>75</v>
      </c>
      <c r="C52" s="9"/>
      <c r="D52" s="10" t="str">
        <f t="shared" si="0"/>
        <v>SAN FRANCISCO</v>
      </c>
      <c r="J52" t="s">
        <v>54</v>
      </c>
      <c r="O52" s="5" t="s">
        <v>59</v>
      </c>
    </row>
    <row r="53" spans="1:15" x14ac:dyDescent="0.25">
      <c r="A53" s="9" t="s">
        <v>221</v>
      </c>
      <c r="B53" s="9" t="s">
        <v>75</v>
      </c>
      <c r="C53" s="9" t="s">
        <v>221</v>
      </c>
      <c r="D53" s="10" t="s">
        <v>221</v>
      </c>
      <c r="J53" t="s">
        <v>55</v>
      </c>
      <c r="O53" s="5" t="s">
        <v>60</v>
      </c>
    </row>
    <row r="54" spans="1:15" x14ac:dyDescent="0.25">
      <c r="A54" s="9" t="s">
        <v>214</v>
      </c>
      <c r="B54" s="9" t="s">
        <v>75</v>
      </c>
      <c r="C54" s="9" t="s">
        <v>214</v>
      </c>
      <c r="D54" s="10" t="str">
        <f t="shared" si="0"/>
        <v>SEATTLE SOUTH</v>
      </c>
      <c r="J54" t="s">
        <v>56</v>
      </c>
      <c r="O54" s="5" t="s">
        <v>61</v>
      </c>
    </row>
    <row r="55" spans="1:15" x14ac:dyDescent="0.25">
      <c r="A55" s="9" t="s">
        <v>5</v>
      </c>
      <c r="B55" s="9" t="s">
        <v>75</v>
      </c>
      <c r="C55" s="9"/>
      <c r="D55" s="10" t="str">
        <f t="shared" si="0"/>
        <v>SIOUX FALLS</v>
      </c>
      <c r="J55" t="s">
        <v>57</v>
      </c>
      <c r="O55" s="5" t="s">
        <v>63</v>
      </c>
    </row>
    <row r="56" spans="1:15" x14ac:dyDescent="0.25">
      <c r="A56" s="9" t="s">
        <v>59</v>
      </c>
      <c r="B56" s="9" t="s">
        <v>75</v>
      </c>
      <c r="C56" s="9" t="s">
        <v>78</v>
      </c>
      <c r="D56" s="10" t="str">
        <f t="shared" si="0"/>
        <v>St Louis</v>
      </c>
      <c r="J56" t="s">
        <v>58</v>
      </c>
      <c r="O56" s="5" t="s">
        <v>64</v>
      </c>
    </row>
    <row r="57" spans="1:15" x14ac:dyDescent="0.25">
      <c r="A57" s="9" t="s">
        <v>60</v>
      </c>
      <c r="B57" s="9" t="s">
        <v>75</v>
      </c>
      <c r="C57" s="9"/>
      <c r="D57" s="10" t="str">
        <f t="shared" si="0"/>
        <v>STREATOR</v>
      </c>
      <c r="J57" t="s">
        <v>5</v>
      </c>
      <c r="O57" s="5" t="s">
        <v>65</v>
      </c>
    </row>
    <row r="58" spans="1:15" x14ac:dyDescent="0.25">
      <c r="A58" s="9" t="s">
        <v>61</v>
      </c>
      <c r="B58" s="9" t="s">
        <v>75</v>
      </c>
      <c r="C58" s="9"/>
      <c r="D58" s="10" t="str">
        <f t="shared" si="0"/>
        <v>TAMPA</v>
      </c>
      <c r="J58" t="s">
        <v>59</v>
      </c>
      <c r="O58" s="5" t="s">
        <v>173</v>
      </c>
    </row>
    <row r="59" spans="1:15" x14ac:dyDescent="0.25">
      <c r="A59" s="9" t="s">
        <v>63</v>
      </c>
      <c r="B59" s="9" t="s">
        <v>75</v>
      </c>
      <c r="C59" s="9"/>
      <c r="D59" s="10" t="str">
        <f t="shared" si="0"/>
        <v>WEST VIRGINIA</v>
      </c>
      <c r="J59" t="s">
        <v>60</v>
      </c>
    </row>
    <row r="60" spans="1:15" x14ac:dyDescent="0.25">
      <c r="A60" s="9" t="s">
        <v>64</v>
      </c>
      <c r="B60" s="9" t="s">
        <v>75</v>
      </c>
      <c r="C60" s="9" t="s">
        <v>84</v>
      </c>
      <c r="D60" s="10" t="str">
        <f t="shared" si="0"/>
        <v>Altoona</v>
      </c>
      <c r="J60" t="s">
        <v>61</v>
      </c>
    </row>
    <row r="61" spans="1:15" x14ac:dyDescent="0.25">
      <c r="A61" s="9" t="s">
        <v>65</v>
      </c>
      <c r="B61" s="9" t="s">
        <v>75</v>
      </c>
      <c r="C61" s="9" t="s">
        <v>85</v>
      </c>
      <c r="D61" s="10" t="str">
        <f t="shared" si="0"/>
        <v>Greensburg</v>
      </c>
      <c r="J61" t="s">
        <v>62</v>
      </c>
    </row>
    <row r="62" spans="1:15" x14ac:dyDescent="0.25">
      <c r="A62" s="9" t="s">
        <v>173</v>
      </c>
      <c r="B62" s="9" t="s">
        <v>75</v>
      </c>
      <c r="C62" s="9"/>
      <c r="D62" s="10" t="str">
        <f>IF(C62="",A62,C62)</f>
        <v>WISCONSIN</v>
      </c>
      <c r="J62" t="s">
        <v>63</v>
      </c>
    </row>
    <row r="63" spans="1:15" x14ac:dyDescent="0.25">
      <c r="A63" s="22" t="s">
        <v>230</v>
      </c>
      <c r="B63" s="9" t="s">
        <v>75</v>
      </c>
      <c r="C63" s="9"/>
      <c r="D63" s="10" t="str">
        <f>IF(C63="",A63,C63)</f>
        <v>ANCHORAGE</v>
      </c>
      <c r="J63" t="s">
        <v>64</v>
      </c>
    </row>
    <row r="64" spans="1:15" x14ac:dyDescent="0.25">
      <c r="A64" s="22" t="s">
        <v>231</v>
      </c>
      <c r="B64" s="9" t="s">
        <v>75</v>
      </c>
      <c r="C64" s="9"/>
      <c r="D64" s="10" t="s">
        <v>231</v>
      </c>
      <c r="J64" t="s">
        <v>65</v>
      </c>
    </row>
    <row r="65" spans="10:10" x14ac:dyDescent="0.25">
      <c r="J65" t="s">
        <v>173</v>
      </c>
    </row>
  </sheetData>
  <conditionalFormatting sqref="B1:B62">
    <cfRule type="cellIs" dxfId="2" priority="3" operator="equal">
      <formula>"NO"</formula>
    </cfRule>
  </conditionalFormatting>
  <conditionalFormatting sqref="B63">
    <cfRule type="cellIs" dxfId="1" priority="2" operator="equal">
      <formula>"NO"</formula>
    </cfRule>
  </conditionalFormatting>
  <conditionalFormatting sqref="B64">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E71"/>
  <sheetViews>
    <sheetView topLeftCell="A5" workbookViewId="0">
      <selection activeCell="B11" sqref="B11"/>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s>
  <sheetData>
    <row r="1" spans="1:5" ht="15.75" thickBot="1" x14ac:dyDescent="0.3">
      <c r="A1" s="14" t="s">
        <v>194</v>
      </c>
      <c r="B1" s="13" t="s">
        <v>192</v>
      </c>
      <c r="C1" s="14" t="s">
        <v>193</v>
      </c>
      <c r="D1" s="14" t="s">
        <v>195</v>
      </c>
      <c r="E1" s="14" t="s">
        <v>191</v>
      </c>
    </row>
    <row r="2" spans="1:5" x14ac:dyDescent="0.25">
      <c r="A2" s="12" t="s">
        <v>9</v>
      </c>
      <c r="B2" s="11" t="s">
        <v>149</v>
      </c>
      <c r="C2" s="9">
        <v>2140</v>
      </c>
      <c r="D2" s="9" t="s">
        <v>148</v>
      </c>
      <c r="E2" s="12" t="s">
        <v>143</v>
      </c>
    </row>
    <row r="3" spans="1:5" x14ac:dyDescent="0.25">
      <c r="A3" s="12" t="s">
        <v>10</v>
      </c>
      <c r="B3" s="11" t="s">
        <v>98</v>
      </c>
      <c r="C3" s="9">
        <v>1933</v>
      </c>
      <c r="D3" s="9" t="s">
        <v>97</v>
      </c>
      <c r="E3" s="12" t="s">
        <v>88</v>
      </c>
    </row>
    <row r="4" spans="1:5" x14ac:dyDescent="0.25">
      <c r="A4" s="12" t="s">
        <v>11</v>
      </c>
      <c r="B4" s="11" t="s">
        <v>161</v>
      </c>
      <c r="C4" s="9">
        <v>2110</v>
      </c>
      <c r="D4" s="9" t="s">
        <v>159</v>
      </c>
      <c r="E4" s="12" t="s">
        <v>143</v>
      </c>
    </row>
    <row r="5" spans="1:5" x14ac:dyDescent="0.25">
      <c r="A5" s="12" t="s">
        <v>12</v>
      </c>
      <c r="B5" s="11" t="s">
        <v>136</v>
      </c>
      <c r="C5" s="9">
        <v>2220</v>
      </c>
      <c r="D5" s="9" t="s">
        <v>134</v>
      </c>
      <c r="E5" s="12" t="s">
        <v>123</v>
      </c>
    </row>
    <row r="6" spans="1:5" x14ac:dyDescent="0.25">
      <c r="A6" s="12" t="s">
        <v>13</v>
      </c>
      <c r="B6" s="11" t="s">
        <v>132</v>
      </c>
      <c r="C6" s="9">
        <v>3023</v>
      </c>
      <c r="D6" s="9" t="s">
        <v>130</v>
      </c>
      <c r="E6" s="12" t="s">
        <v>123</v>
      </c>
    </row>
    <row r="7" spans="1:5" x14ac:dyDescent="0.25">
      <c r="A7" s="12" t="s">
        <v>14</v>
      </c>
      <c r="B7" s="11" t="s">
        <v>120</v>
      </c>
      <c r="C7" s="9">
        <v>2010</v>
      </c>
      <c r="D7" s="9" t="s">
        <v>117</v>
      </c>
      <c r="E7" s="12" t="s">
        <v>105</v>
      </c>
    </row>
    <row r="8" spans="1:5" x14ac:dyDescent="0.25">
      <c r="A8" s="12" t="s">
        <v>15</v>
      </c>
      <c r="B8" s="11" t="s">
        <v>190</v>
      </c>
      <c r="C8" s="9">
        <v>2345</v>
      </c>
      <c r="D8" s="9" t="s">
        <v>186</v>
      </c>
      <c r="E8" s="12" t="s">
        <v>162</v>
      </c>
    </row>
    <row r="9" spans="1:5" x14ac:dyDescent="0.25">
      <c r="A9" s="12" t="s">
        <v>16</v>
      </c>
      <c r="B9" s="11" t="s">
        <v>111</v>
      </c>
      <c r="C9" s="9">
        <v>3135</v>
      </c>
      <c r="D9" s="9" t="s">
        <v>110</v>
      </c>
      <c r="E9" s="12" t="s">
        <v>105</v>
      </c>
    </row>
    <row r="10" spans="1:5" x14ac:dyDescent="0.25">
      <c r="A10" s="12" t="s">
        <v>17</v>
      </c>
      <c r="B10" s="11" t="s">
        <v>153</v>
      </c>
      <c r="C10" s="9">
        <v>2148</v>
      </c>
      <c r="D10" s="9" t="s">
        <v>154</v>
      </c>
      <c r="E10" s="12" t="s">
        <v>143</v>
      </c>
    </row>
    <row r="11" spans="1:5" x14ac:dyDescent="0.25">
      <c r="A11" s="12" t="s">
        <v>18</v>
      </c>
      <c r="B11" s="11" t="s">
        <v>147</v>
      </c>
      <c r="C11" s="9">
        <v>2190</v>
      </c>
      <c r="D11" s="9" t="s">
        <v>148</v>
      </c>
      <c r="E11" s="12" t="s">
        <v>143</v>
      </c>
    </row>
    <row r="12" spans="1:5" x14ac:dyDescent="0.25">
      <c r="A12" s="12" t="s">
        <v>19</v>
      </c>
      <c r="B12" s="11" t="s">
        <v>108</v>
      </c>
      <c r="C12" s="9">
        <v>2210</v>
      </c>
      <c r="D12" s="9" t="s">
        <v>107</v>
      </c>
      <c r="E12" s="12" t="s">
        <v>105</v>
      </c>
    </row>
    <row r="13" spans="1:5" x14ac:dyDescent="0.25">
      <c r="A13" s="12" t="s">
        <v>0</v>
      </c>
      <c r="B13" s="11" t="s">
        <v>177</v>
      </c>
      <c r="C13" s="9">
        <v>2099</v>
      </c>
      <c r="D13" s="9" t="s">
        <v>174</v>
      </c>
      <c r="E13" s="12" t="s">
        <v>162</v>
      </c>
    </row>
    <row r="14" spans="1:5" x14ac:dyDescent="0.25">
      <c r="A14" s="12" t="s">
        <v>20</v>
      </c>
      <c r="B14" s="11" t="s">
        <v>168</v>
      </c>
      <c r="C14" s="9">
        <v>1103</v>
      </c>
      <c r="D14" s="9" t="s">
        <v>167</v>
      </c>
      <c r="E14" s="12" t="s">
        <v>162</v>
      </c>
    </row>
    <row r="15" spans="1:5" x14ac:dyDescent="0.25">
      <c r="A15" s="12" t="s">
        <v>21</v>
      </c>
      <c r="B15" s="11" t="s">
        <v>180</v>
      </c>
      <c r="C15" s="9">
        <v>1104</v>
      </c>
      <c r="D15" s="9" t="s">
        <v>179</v>
      </c>
      <c r="E15" s="12" t="s">
        <v>162</v>
      </c>
    </row>
    <row r="16" spans="1:5" x14ac:dyDescent="0.25">
      <c r="A16" s="12" t="s">
        <v>22</v>
      </c>
      <c r="B16" s="11" t="s">
        <v>112</v>
      </c>
      <c r="C16" s="9">
        <v>2260</v>
      </c>
      <c r="D16" s="9" t="s">
        <v>113</v>
      </c>
      <c r="E16" s="12" t="s">
        <v>105</v>
      </c>
    </row>
    <row r="17" spans="1:5" x14ac:dyDescent="0.25">
      <c r="A17" s="12" t="s">
        <v>23</v>
      </c>
      <c r="B17" s="11" t="s">
        <v>152</v>
      </c>
      <c r="C17" s="9">
        <v>2020</v>
      </c>
      <c r="D17" s="9" t="s">
        <v>151</v>
      </c>
      <c r="E17" s="12" t="s">
        <v>143</v>
      </c>
    </row>
    <row r="18" spans="1:5" x14ac:dyDescent="0.25">
      <c r="A18" s="12" t="s">
        <v>24</v>
      </c>
      <c r="B18" s="11" t="s">
        <v>95</v>
      </c>
      <c r="C18" s="9">
        <v>4150</v>
      </c>
      <c r="D18" s="9" t="s">
        <v>93</v>
      </c>
      <c r="E18" s="12" t="s">
        <v>88</v>
      </c>
    </row>
    <row r="19" spans="1:5" x14ac:dyDescent="0.25">
      <c r="A19" s="12" t="s">
        <v>25</v>
      </c>
      <c r="B19" s="11" t="s">
        <v>126</v>
      </c>
      <c r="C19" s="9">
        <v>3150</v>
      </c>
      <c r="D19" s="9" t="s">
        <v>125</v>
      </c>
      <c r="E19" s="12" t="s">
        <v>123</v>
      </c>
    </row>
    <row r="20" spans="1:5" x14ac:dyDescent="0.25">
      <c r="A20" s="12" t="s">
        <v>223</v>
      </c>
      <c r="B20" s="11" t="s">
        <v>224</v>
      </c>
      <c r="C20" s="9">
        <v>3340</v>
      </c>
      <c r="D20" s="9" t="s">
        <v>97</v>
      </c>
      <c r="E20" s="12" t="s">
        <v>215</v>
      </c>
    </row>
    <row r="21" spans="1:5" x14ac:dyDescent="0.25">
      <c r="A21" s="12" t="s">
        <v>216</v>
      </c>
      <c r="B21" s="11" t="s">
        <v>96</v>
      </c>
      <c r="C21" s="9">
        <v>3160</v>
      </c>
      <c r="D21" s="9" t="s">
        <v>97</v>
      </c>
      <c r="E21" s="12" t="s">
        <v>215</v>
      </c>
    </row>
    <row r="22" spans="1:5" x14ac:dyDescent="0.25">
      <c r="A22" s="12" t="s">
        <v>27</v>
      </c>
      <c r="B22" s="11" t="s">
        <v>178</v>
      </c>
      <c r="C22" s="9">
        <v>1106</v>
      </c>
      <c r="D22" s="9" t="s">
        <v>179</v>
      </c>
      <c r="E22" s="12" t="s">
        <v>162</v>
      </c>
    </row>
    <row r="23" spans="1:5" x14ac:dyDescent="0.25">
      <c r="A23" s="12" t="s">
        <v>234</v>
      </c>
      <c r="B23" s="11" t="s">
        <v>127</v>
      </c>
      <c r="C23" s="9">
        <v>3040</v>
      </c>
      <c r="D23" s="9" t="s">
        <v>128</v>
      </c>
      <c r="E23" s="12" t="s">
        <v>123</v>
      </c>
    </row>
    <row r="24" spans="1:5" x14ac:dyDescent="0.25">
      <c r="A24" s="12" t="s">
        <v>28</v>
      </c>
      <c r="B24" s="11" t="s">
        <v>106</v>
      </c>
      <c r="C24" s="9">
        <v>2250</v>
      </c>
      <c r="D24" s="9" t="s">
        <v>107</v>
      </c>
      <c r="E24" s="12" t="s">
        <v>105</v>
      </c>
    </row>
    <row r="25" spans="1:5" x14ac:dyDescent="0.25">
      <c r="A25" s="12" t="s">
        <v>29</v>
      </c>
      <c r="B25" s="11" t="s">
        <v>189</v>
      </c>
      <c r="C25" s="9">
        <v>2340</v>
      </c>
      <c r="D25" s="9" t="s">
        <v>186</v>
      </c>
      <c r="E25" s="12" t="s">
        <v>162</v>
      </c>
    </row>
    <row r="26" spans="1:5" x14ac:dyDescent="0.25">
      <c r="A26" s="12" t="s">
        <v>30</v>
      </c>
      <c r="B26" s="11" t="s">
        <v>184</v>
      </c>
      <c r="C26" s="9">
        <v>2365</v>
      </c>
      <c r="D26" s="9" t="s">
        <v>182</v>
      </c>
      <c r="E26" s="12" t="s">
        <v>162</v>
      </c>
    </row>
    <row r="27" spans="1:5" x14ac:dyDescent="0.25">
      <c r="A27" s="12" t="s">
        <v>31</v>
      </c>
      <c r="B27" s="11" t="s">
        <v>131</v>
      </c>
      <c r="C27" s="9">
        <v>3126</v>
      </c>
      <c r="D27" s="9" t="s">
        <v>130</v>
      </c>
      <c r="E27" s="12" t="s">
        <v>123</v>
      </c>
    </row>
    <row r="28" spans="1:5" x14ac:dyDescent="0.25">
      <c r="A28" s="12" t="s">
        <v>32</v>
      </c>
      <c r="B28" s="11" t="s">
        <v>166</v>
      </c>
      <c r="C28" s="9">
        <v>1054</v>
      </c>
      <c r="D28" s="9" t="s">
        <v>167</v>
      </c>
      <c r="E28" s="12" t="s">
        <v>162</v>
      </c>
    </row>
    <row r="29" spans="1:5" x14ac:dyDescent="0.25">
      <c r="A29" s="12" t="s">
        <v>33</v>
      </c>
      <c r="B29" s="11" t="s">
        <v>165</v>
      </c>
      <c r="C29" s="9">
        <v>2370</v>
      </c>
      <c r="D29" s="9" t="s">
        <v>164</v>
      </c>
      <c r="E29" s="12" t="s">
        <v>162</v>
      </c>
    </row>
    <row r="30" spans="1:5" x14ac:dyDescent="0.25">
      <c r="A30" s="12" t="s">
        <v>7</v>
      </c>
      <c r="B30" s="11" t="s">
        <v>139</v>
      </c>
      <c r="C30" s="9">
        <v>3186</v>
      </c>
      <c r="D30" s="9" t="s">
        <v>138</v>
      </c>
      <c r="E30" s="12" t="s">
        <v>123</v>
      </c>
    </row>
    <row r="31" spans="1:5" x14ac:dyDescent="0.25">
      <c r="A31" s="12" t="s">
        <v>34</v>
      </c>
      <c r="B31" s="11" t="s">
        <v>183</v>
      </c>
      <c r="C31" s="9">
        <v>3230</v>
      </c>
      <c r="D31" s="9" t="s">
        <v>182</v>
      </c>
      <c r="E31" s="12" t="s">
        <v>162</v>
      </c>
    </row>
    <row r="32" spans="1:5" x14ac:dyDescent="0.25">
      <c r="A32" s="12" t="s">
        <v>35</v>
      </c>
      <c r="B32" s="11" t="s">
        <v>135</v>
      </c>
      <c r="C32" s="9">
        <v>2270</v>
      </c>
      <c r="D32" s="9" t="s">
        <v>134</v>
      </c>
      <c r="E32" s="12" t="s">
        <v>123</v>
      </c>
    </row>
    <row r="33" spans="1:5" x14ac:dyDescent="0.25">
      <c r="A33" s="12" t="s">
        <v>36</v>
      </c>
      <c r="B33" s="11" t="s">
        <v>91</v>
      </c>
      <c r="C33" s="9">
        <v>4100</v>
      </c>
      <c r="D33" s="9" t="s">
        <v>90</v>
      </c>
      <c r="E33" s="12" t="s">
        <v>88</v>
      </c>
    </row>
    <row r="34" spans="1:5" x14ac:dyDescent="0.25">
      <c r="A34" s="12" t="s">
        <v>37</v>
      </c>
      <c r="B34" s="11" t="s">
        <v>142</v>
      </c>
      <c r="C34" s="9">
        <v>3051</v>
      </c>
      <c r="D34" s="9" t="s">
        <v>141</v>
      </c>
      <c r="E34" s="12" t="s">
        <v>123</v>
      </c>
    </row>
    <row r="35" spans="1:5" x14ac:dyDescent="0.25">
      <c r="A35" s="12" t="s">
        <v>38</v>
      </c>
      <c r="B35" s="11" t="s">
        <v>94</v>
      </c>
      <c r="C35" s="9">
        <v>4120</v>
      </c>
      <c r="D35" s="9" t="s">
        <v>93</v>
      </c>
      <c r="E35" s="12" t="s">
        <v>88</v>
      </c>
    </row>
    <row r="36" spans="1:5" x14ac:dyDescent="0.25">
      <c r="A36" s="12" t="s">
        <v>39</v>
      </c>
      <c r="B36" s="11" t="s">
        <v>129</v>
      </c>
      <c r="C36" s="9">
        <v>3120</v>
      </c>
      <c r="D36" s="9" t="s">
        <v>130</v>
      </c>
      <c r="E36" s="12" t="s">
        <v>123</v>
      </c>
    </row>
    <row r="37" spans="1:5" x14ac:dyDescent="0.25">
      <c r="A37" s="12" t="s">
        <v>40</v>
      </c>
      <c r="B37" s="11" t="s">
        <v>119</v>
      </c>
      <c r="C37" s="9">
        <v>2125</v>
      </c>
      <c r="D37" s="9" t="s">
        <v>117</v>
      </c>
      <c r="E37" s="12" t="s">
        <v>105</v>
      </c>
    </row>
    <row r="38" spans="1:5" x14ac:dyDescent="0.25">
      <c r="A38" s="12" t="s">
        <v>41</v>
      </c>
      <c r="B38" s="11" t="s">
        <v>140</v>
      </c>
      <c r="C38" s="9">
        <v>3147</v>
      </c>
      <c r="D38" s="9" t="s">
        <v>141</v>
      </c>
      <c r="E38" s="12" t="s">
        <v>123</v>
      </c>
    </row>
    <row r="39" spans="1:5" x14ac:dyDescent="0.25">
      <c r="A39" s="12" t="s">
        <v>42</v>
      </c>
      <c r="B39" s="11" t="s">
        <v>157</v>
      </c>
      <c r="C39" s="9">
        <v>2160</v>
      </c>
      <c r="D39" s="9" t="s">
        <v>156</v>
      </c>
      <c r="E39" s="12" t="s">
        <v>143</v>
      </c>
    </row>
    <row r="40" spans="1:5" x14ac:dyDescent="0.25">
      <c r="A40" s="12" t="s">
        <v>43</v>
      </c>
      <c r="B40" s="11" t="s">
        <v>163</v>
      </c>
      <c r="C40" s="9">
        <v>2350</v>
      </c>
      <c r="D40" s="9" t="s">
        <v>164</v>
      </c>
      <c r="E40" s="12" t="s">
        <v>162</v>
      </c>
    </row>
    <row r="41" spans="1:5" x14ac:dyDescent="0.25">
      <c r="A41" s="12" t="s">
        <v>4</v>
      </c>
      <c r="B41" s="11" t="s">
        <v>137</v>
      </c>
      <c r="C41" s="9">
        <v>2230</v>
      </c>
      <c r="D41" s="9" t="s">
        <v>138</v>
      </c>
      <c r="E41" s="12" t="s">
        <v>123</v>
      </c>
    </row>
    <row r="42" spans="1:5" x14ac:dyDescent="0.25">
      <c r="A42" s="12" t="s">
        <v>44</v>
      </c>
      <c r="B42" s="11" t="s">
        <v>133</v>
      </c>
      <c r="C42" s="9">
        <v>3139</v>
      </c>
      <c r="D42" s="9" t="s">
        <v>134</v>
      </c>
      <c r="E42" s="12" t="s">
        <v>123</v>
      </c>
    </row>
    <row r="43" spans="1:5" x14ac:dyDescent="0.25">
      <c r="A43" s="12" t="s">
        <v>45</v>
      </c>
      <c r="B43" s="11" t="s">
        <v>124</v>
      </c>
      <c r="C43" s="9">
        <v>3170</v>
      </c>
      <c r="D43" s="9" t="s">
        <v>125</v>
      </c>
      <c r="E43" s="12" t="s">
        <v>123</v>
      </c>
    </row>
    <row r="44" spans="1:5" x14ac:dyDescent="0.25">
      <c r="A44" s="12" t="s">
        <v>6</v>
      </c>
      <c r="B44" s="11" t="s">
        <v>181</v>
      </c>
      <c r="C44" s="9">
        <v>2360</v>
      </c>
      <c r="D44" s="9" t="s">
        <v>182</v>
      </c>
      <c r="E44" s="12" t="s">
        <v>162</v>
      </c>
    </row>
    <row r="45" spans="1:5" x14ac:dyDescent="0.25">
      <c r="A45" s="12" t="s">
        <v>46</v>
      </c>
      <c r="B45" s="11" t="s">
        <v>160</v>
      </c>
      <c r="C45" s="9">
        <v>3190</v>
      </c>
      <c r="D45" s="9" t="s">
        <v>159</v>
      </c>
      <c r="E45" s="12" t="s">
        <v>143</v>
      </c>
    </row>
    <row r="46" spans="1:5" x14ac:dyDescent="0.25">
      <c r="A46" s="12" t="s">
        <v>47</v>
      </c>
      <c r="B46" s="11" t="s">
        <v>158</v>
      </c>
      <c r="C46" s="9">
        <v>2116</v>
      </c>
      <c r="D46" s="9" t="s">
        <v>159</v>
      </c>
      <c r="E46" s="12" t="s">
        <v>143</v>
      </c>
    </row>
    <row r="47" spans="1:5" x14ac:dyDescent="0.25">
      <c r="A47" s="12" t="s">
        <v>48</v>
      </c>
      <c r="B47" s="11" t="s">
        <v>89</v>
      </c>
      <c r="C47" s="9">
        <v>4146</v>
      </c>
      <c r="D47" s="9" t="s">
        <v>90</v>
      </c>
      <c r="E47" s="12" t="s">
        <v>88</v>
      </c>
    </row>
    <row r="48" spans="1:5" x14ac:dyDescent="0.25">
      <c r="A48" s="12" t="s">
        <v>49</v>
      </c>
      <c r="B48" s="11" t="s">
        <v>155</v>
      </c>
      <c r="C48" s="9">
        <v>2170</v>
      </c>
      <c r="D48" s="9" t="s">
        <v>156</v>
      </c>
      <c r="E48" s="12" t="s">
        <v>143</v>
      </c>
    </row>
    <row r="49" spans="1:5" x14ac:dyDescent="0.25">
      <c r="A49" s="12" t="s">
        <v>50</v>
      </c>
      <c r="B49" s="11" t="s">
        <v>114</v>
      </c>
      <c r="C49" s="9">
        <v>3055</v>
      </c>
      <c r="D49" s="9" t="s">
        <v>115</v>
      </c>
      <c r="E49" s="12" t="s">
        <v>105</v>
      </c>
    </row>
    <row r="50" spans="1:5" x14ac:dyDescent="0.25">
      <c r="A50" s="12" t="s">
        <v>51</v>
      </c>
      <c r="B50" s="11" t="s">
        <v>121</v>
      </c>
      <c r="C50" s="9">
        <v>2240</v>
      </c>
      <c r="D50" s="9" t="s">
        <v>122</v>
      </c>
      <c r="E50" s="12" t="s">
        <v>105</v>
      </c>
    </row>
    <row r="51" spans="1:5" x14ac:dyDescent="0.25">
      <c r="A51" s="12" t="s">
        <v>52</v>
      </c>
      <c r="B51" s="11" t="s">
        <v>101</v>
      </c>
      <c r="C51" s="9">
        <v>4110</v>
      </c>
      <c r="D51" s="9" t="s">
        <v>100</v>
      </c>
      <c r="E51" s="12" t="s">
        <v>88</v>
      </c>
    </row>
    <row r="52" spans="1:5" x14ac:dyDescent="0.25">
      <c r="A52" s="12" t="s">
        <v>53</v>
      </c>
      <c r="B52" s="11" t="s">
        <v>150</v>
      </c>
      <c r="C52" s="9">
        <v>2030</v>
      </c>
      <c r="D52" s="9" t="s">
        <v>151</v>
      </c>
      <c r="E52" s="12" t="s">
        <v>143</v>
      </c>
    </row>
    <row r="53" spans="1:5" x14ac:dyDescent="0.25">
      <c r="A53" s="12" t="s">
        <v>3</v>
      </c>
      <c r="B53" s="11" t="s">
        <v>118</v>
      </c>
      <c r="C53" s="9">
        <v>2135</v>
      </c>
      <c r="D53" s="9" t="s">
        <v>117</v>
      </c>
      <c r="E53" s="12" t="s">
        <v>105</v>
      </c>
    </row>
    <row r="54" spans="1:5" x14ac:dyDescent="0.25">
      <c r="A54" s="12" t="s">
        <v>54</v>
      </c>
      <c r="B54" s="11" t="s">
        <v>171</v>
      </c>
      <c r="C54" s="9">
        <v>3210</v>
      </c>
      <c r="D54" s="9" t="s">
        <v>170</v>
      </c>
      <c r="E54" s="12" t="s">
        <v>162</v>
      </c>
    </row>
    <row r="55" spans="1:5" x14ac:dyDescent="0.25">
      <c r="A55" s="12" t="s">
        <v>55</v>
      </c>
      <c r="B55" s="11" t="s">
        <v>104</v>
      </c>
      <c r="C55" s="9">
        <v>4118</v>
      </c>
      <c r="D55" s="9" t="s">
        <v>103</v>
      </c>
      <c r="E55" s="12" t="s">
        <v>215</v>
      </c>
    </row>
    <row r="56" spans="1:5" x14ac:dyDescent="0.25">
      <c r="A56" s="12" t="s">
        <v>56</v>
      </c>
      <c r="B56" s="11" t="s">
        <v>92</v>
      </c>
      <c r="C56" s="9">
        <v>4140</v>
      </c>
      <c r="D56" s="9" t="s">
        <v>93</v>
      </c>
      <c r="E56" s="12" t="s">
        <v>88</v>
      </c>
    </row>
    <row r="57" spans="1:5" x14ac:dyDescent="0.25">
      <c r="A57" s="12" t="s">
        <v>57</v>
      </c>
      <c r="B57" s="11" t="s">
        <v>99</v>
      </c>
      <c r="C57" s="9">
        <v>4117</v>
      </c>
      <c r="D57" s="9" t="s">
        <v>100</v>
      </c>
      <c r="E57" s="12" t="s">
        <v>88</v>
      </c>
    </row>
    <row r="58" spans="1:5" x14ac:dyDescent="0.25">
      <c r="A58" s="12" t="s">
        <v>221</v>
      </c>
      <c r="B58" s="11" t="s">
        <v>222</v>
      </c>
      <c r="C58" s="9">
        <v>4170</v>
      </c>
      <c r="D58" s="9" t="s">
        <v>58</v>
      </c>
      <c r="E58" s="12" t="s">
        <v>215</v>
      </c>
    </row>
    <row r="59" spans="1:5" x14ac:dyDescent="0.25">
      <c r="A59" s="12" t="s">
        <v>214</v>
      </c>
      <c r="B59" s="11" t="s">
        <v>102</v>
      </c>
      <c r="C59" s="9">
        <v>4147</v>
      </c>
      <c r="D59" s="9" t="s">
        <v>58</v>
      </c>
      <c r="E59" s="12" t="s">
        <v>215</v>
      </c>
    </row>
    <row r="60" spans="1:5" x14ac:dyDescent="0.25">
      <c r="A60" s="12" t="s">
        <v>188</v>
      </c>
      <c r="B60" s="11" t="s">
        <v>187</v>
      </c>
      <c r="C60" s="9">
        <v>2375</v>
      </c>
      <c r="D60" s="9" t="s">
        <v>186</v>
      </c>
      <c r="E60" s="12" t="s">
        <v>162</v>
      </c>
    </row>
    <row r="61" spans="1:5" x14ac:dyDescent="0.25">
      <c r="A61" s="12" t="s">
        <v>5</v>
      </c>
      <c r="B61" s="11" t="s">
        <v>185</v>
      </c>
      <c r="C61" s="9">
        <v>2355</v>
      </c>
      <c r="D61" s="9" t="s">
        <v>186</v>
      </c>
      <c r="E61" s="12" t="s">
        <v>162</v>
      </c>
    </row>
    <row r="62" spans="1:5" x14ac:dyDescent="0.25">
      <c r="A62" s="12" t="s">
        <v>59</v>
      </c>
      <c r="B62" s="11" t="s">
        <v>169</v>
      </c>
      <c r="C62" s="9">
        <v>3220</v>
      </c>
      <c r="D62" s="9" t="s">
        <v>170</v>
      </c>
      <c r="E62" s="12" t="s">
        <v>162</v>
      </c>
    </row>
    <row r="63" spans="1:5" x14ac:dyDescent="0.25">
      <c r="A63" s="12" t="s">
        <v>60</v>
      </c>
      <c r="B63" s="11" t="s">
        <v>176</v>
      </c>
      <c r="C63" s="9">
        <v>2330</v>
      </c>
      <c r="D63" s="9" t="s">
        <v>174</v>
      </c>
      <c r="E63" s="12" t="s">
        <v>162</v>
      </c>
    </row>
    <row r="64" spans="1:5" x14ac:dyDescent="0.25">
      <c r="A64" s="12" t="s">
        <v>61</v>
      </c>
      <c r="B64" s="11" t="s">
        <v>109</v>
      </c>
      <c r="C64" s="9">
        <v>3103</v>
      </c>
      <c r="D64" s="9" t="s">
        <v>110</v>
      </c>
      <c r="E64" s="12" t="s">
        <v>105</v>
      </c>
    </row>
    <row r="65" spans="1:5" x14ac:dyDescent="0.25">
      <c r="A65" s="12" t="s">
        <v>62</v>
      </c>
      <c r="B65" s="11" t="s">
        <v>175</v>
      </c>
      <c r="C65" s="9">
        <v>2310</v>
      </c>
      <c r="D65" s="9" t="s">
        <v>174</v>
      </c>
      <c r="E65" s="12" t="s">
        <v>162</v>
      </c>
    </row>
    <row r="66" spans="1:5" x14ac:dyDescent="0.25">
      <c r="A66" s="12" t="s">
        <v>63</v>
      </c>
      <c r="B66" s="11" t="s">
        <v>116</v>
      </c>
      <c r="C66" s="9">
        <v>2165</v>
      </c>
      <c r="D66" s="9" t="s">
        <v>117</v>
      </c>
      <c r="E66" s="12" t="s">
        <v>105</v>
      </c>
    </row>
    <row r="67" spans="1:5" x14ac:dyDescent="0.25">
      <c r="A67" s="12" t="s">
        <v>64</v>
      </c>
      <c r="B67" s="11" t="s">
        <v>146</v>
      </c>
      <c r="C67" s="9">
        <v>2180</v>
      </c>
      <c r="D67" s="9" t="s">
        <v>145</v>
      </c>
      <c r="E67" s="12" t="s">
        <v>143</v>
      </c>
    </row>
    <row r="68" spans="1:5" x14ac:dyDescent="0.25">
      <c r="A68" s="12" t="s">
        <v>65</v>
      </c>
      <c r="B68" s="11" t="s">
        <v>144</v>
      </c>
      <c r="C68" s="9">
        <v>2185</v>
      </c>
      <c r="D68" s="9" t="s">
        <v>145</v>
      </c>
      <c r="E68" s="12" t="s">
        <v>143</v>
      </c>
    </row>
    <row r="69" spans="1:5" x14ac:dyDescent="0.25">
      <c r="A69" s="12" t="s">
        <v>173</v>
      </c>
      <c r="B69" s="11" t="s">
        <v>172</v>
      </c>
      <c r="C69" s="9">
        <v>248</v>
      </c>
      <c r="D69" s="9" t="s">
        <v>174</v>
      </c>
      <c r="E69" s="12" t="s">
        <v>162</v>
      </c>
    </row>
    <row r="70" spans="1:5" x14ac:dyDescent="0.25">
      <c r="A70" s="12" t="s">
        <v>230</v>
      </c>
      <c r="B70" s="11" t="s">
        <v>232</v>
      </c>
      <c r="C70" s="9">
        <v>4190</v>
      </c>
      <c r="D70" s="9" t="s">
        <v>230</v>
      </c>
      <c r="E70" s="12" t="s">
        <v>228</v>
      </c>
    </row>
    <row r="71" spans="1:5" x14ac:dyDescent="0.25">
      <c r="A71" s="12" t="s">
        <v>231</v>
      </c>
      <c r="B71" s="11" t="s">
        <v>233</v>
      </c>
      <c r="C71" s="9">
        <v>3310</v>
      </c>
      <c r="D71" s="9" t="s">
        <v>103</v>
      </c>
      <c r="E71" s="12" t="s">
        <v>228</v>
      </c>
    </row>
  </sheetData>
  <autoFilter ref="A1:E1" xr:uid="{35415AE6-DBF2-451A-88F6-FA69C7A14F47}">
    <sortState xmlns:xlrd2="http://schemas.microsoft.com/office/spreadsheetml/2017/richdata2" ref="A2:E69">
      <sortCondition ref="A1"/>
    </sortState>
  </autoFilter>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3" t="s">
        <v>235</v>
      </c>
      <c r="B1" s="23" t="s">
        <v>236</v>
      </c>
      <c r="C1" s="23" t="s">
        <v>237</v>
      </c>
      <c r="D1" s="23" t="s">
        <v>238</v>
      </c>
    </row>
    <row r="2" spans="1:4" ht="32.25" customHeight="1" x14ac:dyDescent="0.25">
      <c r="A2" s="24" t="s">
        <v>239</v>
      </c>
      <c r="B2" s="24">
        <v>1</v>
      </c>
      <c r="C2" s="24">
        <v>1.9</v>
      </c>
      <c r="D2" s="25">
        <v>500</v>
      </c>
    </row>
    <row r="3" spans="1:4" x14ac:dyDescent="0.25">
      <c r="A3" s="24" t="s">
        <v>240</v>
      </c>
      <c r="B3" s="24">
        <v>0.7</v>
      </c>
      <c r="C3" s="24">
        <v>0.8</v>
      </c>
      <c r="D3" s="25">
        <v>500</v>
      </c>
    </row>
    <row r="4" spans="1:4" ht="15.75" customHeight="1" x14ac:dyDescent="0.25">
      <c r="A4" s="24" t="s">
        <v>241</v>
      </c>
      <c r="B4" s="24">
        <v>1</v>
      </c>
      <c r="C4" s="24">
        <v>1.8</v>
      </c>
      <c r="D4" s="25">
        <v>500</v>
      </c>
    </row>
    <row r="5" spans="1:4" ht="18" customHeight="1" x14ac:dyDescent="0.25">
      <c r="A5" s="24" t="s">
        <v>242</v>
      </c>
      <c r="B5" s="24">
        <v>1</v>
      </c>
      <c r="C5" s="24">
        <v>2.2999999999999998</v>
      </c>
      <c r="D5" s="25">
        <v>500</v>
      </c>
    </row>
    <row r="6" spans="1:4" ht="16.5" customHeight="1" x14ac:dyDescent="0.25">
      <c r="A6" s="24" t="s">
        <v>243</v>
      </c>
      <c r="B6" s="24">
        <v>1</v>
      </c>
      <c r="C6" s="24">
        <v>2.2000000000000002</v>
      </c>
      <c r="D6" s="25">
        <v>500</v>
      </c>
    </row>
    <row r="7" spans="1:4" ht="18.75" customHeight="1" x14ac:dyDescent="0.25">
      <c r="A7" s="24" t="s">
        <v>244</v>
      </c>
      <c r="B7" s="24">
        <v>1</v>
      </c>
      <c r="C7" s="24">
        <v>1.3</v>
      </c>
      <c r="D7" s="25">
        <v>500</v>
      </c>
    </row>
    <row r="8" spans="1:4" ht="18.75" customHeight="1" x14ac:dyDescent="0.25">
      <c r="A8" s="24" t="s">
        <v>245</v>
      </c>
      <c r="B8" s="24">
        <v>1</v>
      </c>
      <c r="C8" s="24">
        <v>2.4</v>
      </c>
      <c r="D8" s="25">
        <v>500</v>
      </c>
    </row>
    <row r="9" spans="1:4" x14ac:dyDescent="0.25">
      <c r="A9" s="24" t="s">
        <v>246</v>
      </c>
      <c r="B9" s="24">
        <v>1</v>
      </c>
      <c r="C9" s="24">
        <v>2.5</v>
      </c>
      <c r="D9" s="25">
        <v>500</v>
      </c>
    </row>
    <row r="10" spans="1:4" ht="17.25" customHeight="1" x14ac:dyDescent="0.25">
      <c r="A10" s="24" t="s">
        <v>247</v>
      </c>
      <c r="B10" s="24">
        <v>0.9</v>
      </c>
      <c r="C10" s="24">
        <v>1.8</v>
      </c>
      <c r="D10" s="25">
        <v>500</v>
      </c>
    </row>
    <row r="11" spans="1:4" ht="17.25" customHeight="1" x14ac:dyDescent="0.25">
      <c r="A11" s="24" t="s">
        <v>248</v>
      </c>
      <c r="B11" s="24">
        <v>0.9</v>
      </c>
      <c r="C11" s="24">
        <v>1.6</v>
      </c>
      <c r="D11" s="25">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F8150FFF-8169-4EF7-B2BD-A3680B6F11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REFERENCE</vt:lpstr>
      <vt:lpstr>MARKET LIST</vt:lpstr>
      <vt:lpstr>Start Here</vt:lpstr>
      <vt:lpstr>ALC MASTER VERSION CONTROL</vt:lpstr>
      <vt:lpstr>MarketDividerAuto</vt:lpstr>
      <vt:lpstr>PushToSharePoint</vt:lpstr>
      <vt:lpstr>Markets</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GaneshMahendran</cp:lastModifiedBy>
  <cp:lastPrinted>2019-04-10T21:48:31Z</cp:lastPrinted>
  <dcterms:created xsi:type="dcterms:W3CDTF">2019-02-12T14:49:08Z</dcterms:created>
  <dcterms:modified xsi:type="dcterms:W3CDTF">2022-01-10T08:02:59Z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