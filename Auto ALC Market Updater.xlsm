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sfoods-my.sharepoint.com/personal/roger_boone_usfoods_com/Documents/Desktop/ALC/"/>
    </mc:Choice>
  </mc:AlternateContent>
  <xr:revisionPtr revIDLastSave="15" documentId="13_ncr:1_{C8B7A757-0FED-42B5-A001-E09EF53EE4E2}" xr6:coauthVersionLast="47" xr6:coauthVersionMax="47" xr10:uidLastSave="{DAA92059-ABB3-4A34-AE7E-1E1251A06221}"/>
  <bookViews>
    <workbookView xWindow="28680" yWindow="-120" windowWidth="25440" windowHeight="15390" activeTab="2"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Q3" i="1" l="1"/>
  <c r="Q2" i="1"/>
  <c r="F2" i="1" l="1"/>
  <c r="E2" i="1" l="1"/>
  <c r="I2" i="1"/>
  <c r="I3" i="1" s="1"/>
  <c r="I4" i="1" s="1"/>
  <c r="I5" i="1" s="1"/>
</calcChain>
</file>

<file path=xl/sharedStrings.xml><?xml version="1.0" encoding="utf-8"?>
<sst xmlns="http://schemas.openxmlformats.org/spreadsheetml/2006/main" count="1285" uniqueCount="284">
  <si>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</si>
  <si>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</si>
  <si>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</si>
  <si>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</si>
  <si>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</si>
  <si>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</si>
  <si>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</si>
  <si>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</si>
  <si>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</si>
  <si>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</si>
  <si>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</si>
  <si>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</si>
  <si>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</si>
  <si>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</si>
  <si>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</si>
  <si>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</si>
  <si>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</si>
  <si>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</si>
  <si>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</si>
  <si>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</si>
  <si>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</si>
  <si>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</si>
  <si>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</si>
  <si>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</si>
  <si>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</si>
  <si>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</si>
  <si>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</si>
  <si>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</si>
  <si>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</si>
  <si>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</si>
  <si>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</si>
  <si>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</si>
  <si>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</si>
  <si>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</si>
  <si>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</si>
  <si>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</si>
  <si>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</si>
  <si>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</si>
  <si>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</si>
  <si>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</si>
  <si>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</si>
  <si>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</si>
  <si>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</si>
  <si>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</si>
  <si>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</si>
  <si>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</si>
  <si>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</si>
  <si>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</si>
  <si>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</si>
  <si>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</si>
  <si>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</si>
  <si>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</si>
  <si>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</si>
  <si>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</si>
  <si>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</si>
  <si>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</si>
  <si>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</si>
  <si>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</si>
  <si>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</si>
  <si>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</si>
  <si>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</si>
  <si>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</si>
  <si>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</si>
  <si>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</si>
  <si>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</si>
  <si>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</si>
  <si>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</si>
  <si>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</si>
  <si>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</si>
  <si>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</si>
  <si>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</si>
  <si>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</si>
  <si>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</si>
  <si>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</si>
  <si>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</si>
  <si>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</si>
  <si>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</si>
  <si>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</si>
  <si>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</si>
  <si>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</si>
  <si>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</si>
  <si>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</si>
  <si>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</si>
  <si>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</si>
  <si>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</si>
  <si>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</si>
  <si>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</si>
  <si>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</si>
  <si>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</si>
  <si>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</si>
  <si>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</si>
  <si>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</si>
  <si>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</si>
  <si>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</si>
  <si>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</si>
  <si>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</si>
  <si>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</si>
  <si>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</si>
  <si>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</si>
  <si>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</si>
  <si>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</si>
  <si>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</si>
  <si>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</si>
  <si>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</si>
  <si>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</si>
  <si>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</si>
  <si>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</si>
  <si>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</si>
  <si>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</si>
  <si>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</si>
  <si>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</si>
  <si>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</si>
  <si>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</si>
  <si>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</si>
  <si>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</si>
  <si>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</si>
  <si>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</si>
  <si>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</si>
  <si>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</si>
  <si>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</si>
  <si>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</si>
  <si>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</si>
  <si>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</si>
  <si>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</si>
  <si>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</si>
  <si>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</si>
  <si>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</si>
  <si>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</si>
  <si>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</si>
  <si>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</si>
  <si>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</si>
  <si>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</si>
  <si>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</si>
  <si>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</si>
  <si>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</si>
  <si>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</si>
  <si>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</si>
  <si>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</si>
  <si>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</si>
  <si>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</si>
  <si>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</si>
  <si>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</si>
  <si>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</si>
  <si>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</si>
  <si>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</si>
  <si>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</si>
  <si>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</si>
  <si>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</si>
  <si>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</si>
  <si>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</si>
  <si>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</si>
  <si>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</si>
  <si>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</si>
  <si>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</si>
  <si>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</si>
  <si>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</si>
  <si>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</si>
  <si>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</si>
  <si>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</si>
  <si>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</si>
  <si>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</si>
  <si>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</si>
  <si>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</si>
  <si>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</si>
  <si>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</si>
  <si>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</si>
  <si>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</si>
  <si>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</si>
  <si>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</si>
  <si>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</si>
  <si>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</si>
  <si>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</si>
  <si>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</si>
  <si>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</si>
  <si>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</si>
  <si>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</si>
  <si>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</si>
  <si>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</si>
  <si>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</si>
  <si>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</si>
  <si>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</si>
  <si>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</si>
  <si>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</si>
  <si>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</si>
  <si>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</si>
  <si>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</si>
  <si>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</si>
  <si>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</si>
  <si>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</si>
  <si>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</si>
  <si>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</si>
  <si>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</si>
  <si>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</si>
  <si>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</si>
  <si>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</si>
  <si>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</si>
  <si>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</si>
  <si>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</si>
  <si>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</si>
  <si>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</si>
  <si>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</si>
  <si>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</si>
  <si>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</si>
  <si>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</si>
  <si>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</si>
  <si>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</si>
  <si>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</si>
  <si>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</si>
  <si>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</si>
  <si>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</si>
  <si>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</si>
  <si>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</si>
  <si>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</si>
  <si>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</si>
  <si>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</si>
  <si>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</si>
  <si>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</si>
  <si>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</si>
  <si>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</si>
  <si>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</si>
  <si>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</si>
  <si>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</si>
  <si>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</si>
  <si>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</si>
  <si>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</si>
  <si>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</si>
  <si>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</si>
  <si>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</si>
  <si>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</si>
  <si>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</si>
  <si>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</si>
  <si>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</si>
  <si>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</si>
  <si>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</si>
  <si>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</si>
  <si>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</si>
  <si>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</si>
  <si>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</si>
  <si>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</si>
  <si>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</si>
  <si>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</si>
  <si>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</si>
  <si>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</si>
  <si>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</si>
  <si>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</si>
  <si>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</si>
  <si>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</si>
  <si>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</si>
  <si>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</si>
  <si>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</si>
  <si>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</si>
  <si>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</si>
  <si>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</si>
  <si>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</si>
  <si>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</si>
  <si>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</si>
  <si>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</si>
  <si>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</si>
  <si>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</si>
  <si>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</si>
  <si>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</si>
  <si>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</si>
  <si>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</si>
  <si>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</si>
  <si>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</si>
  <si>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</si>
  <si>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</si>
  <si>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</si>
  <si>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</si>
  <si>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</si>
  <si>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</si>
  <si>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</si>
  <si>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PORTLAND</t>
  </si>
  <si>
    <t>SPOKANE</t>
  </si>
  <si>
    <t>NO</t>
  </si>
  <si>
    <t>CASCADE MOUNTAIN</t>
  </si>
  <si>
    <t>SACRAMENTO</t>
  </si>
  <si>
    <t>4P</t>
  </si>
  <si>
    <t>Sacramento</t>
  </si>
  <si>
    <t>2022Q3</t>
  </si>
  <si>
    <t>Q3 2022 v3.1</t>
  </si>
  <si>
    <t>2022Q2</t>
  </si>
  <si>
    <t>2022Q1</t>
  </si>
  <si>
    <t>2021Q4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</si>
</sst>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3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xf numFmtId="0" fontId="0" fillId="0" borderId="1" xfId="0" applyBorder="1" applyAlignment="1">
      <alignment vertical="center" wrapText="1"/>
    </xf>
    <xf numFmtId="0" fontId="0" fillId="0" borderId="1" xfId="0" applyFill="1" applyBorder="1" applyAlignment="1">
      <alignment vertical="center" wrapText="1"/>
    </xf>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workbookViewId="0">
      <selection activeCell="H3" sqref="H3"/>
    </sheetView>
  </sheetViews>
  <sheetFormatPr defaultRowHeight="14.4" x14ac:dyDescent="0.3"/>
  <cols>
    <col min="1" max="1" width="28" bestFit="1" customWidth="1"/>
    <col min="2" max="2" width="15.109375" bestFit="1" customWidth="1"/>
    <col min="3" max="3" width="13.44140625" bestFit="1" customWidth="1"/>
    <col min="4" max="4" width="15.6640625" bestFit="1" customWidth="1"/>
    <col min="5" max="5" width="17.88671875" bestFit="1" customWidth="1"/>
    <col min="6" max="6" width="17.88671875" customWidth="1"/>
    <col min="7" max="7" width="32.109375" bestFit="1" customWidth="1"/>
    <col min="8" max="8" width="11.88671875" bestFit="1" customWidth="1"/>
    <col min="9" max="9" width="33.88671875" bestFit="1" customWidth="1"/>
    <col min="10" max="10" width="13.88671875" bestFit="1" customWidth="1"/>
    <col min="11" max="11" width="33.109375" customWidth="1"/>
    <col min="13" max="13" width="28" bestFit="1" customWidth="1"/>
    <col min="16" max="16" width="11.5546875" style="33" customWidth="1"/>
    <col min="17" max="17" width="9.109375" customWidth="1"/>
  </cols>
  <sheetData>
    <row r="1" spans="1:17" x14ac:dyDescent="0.3">
      <c r="A1" s="6" t="s">
        <v>2</v>
      </c>
      <c r="B1" s="7" t="s">
        <v>195</v>
      </c>
      <c r="C1" s="16" t="s">
        <v>197</v>
      </c>
      <c r="D1" s="16" t="s">
        <v>196</v>
      </c>
      <c r="E1" s="16" t="s">
        <v>198</v>
      </c>
      <c r="F1" s="17" t="s">
        <v>199</v>
      </c>
      <c r="G1" s="18" t="s">
        <v>280</v>
      </c>
      <c r="H1" s="3" t="s">
        <v>1</v>
      </c>
      <c r="I1" s="3" t="s">
        <v>73</v>
      </c>
      <c r="K1" s="9" t="s">
        <v>66</v>
      </c>
      <c r="M1" t="s">
        <v>242</v>
      </c>
    </row>
    <row r="2" spans="1:17" x14ac:dyDescent="0.3">
      <c r="A2" s="21" t="s">
        <v>276</v>
      </c>
      <c r="B2" s="8" t="str">
        <f>"'"&amp;A2&amp;"'"</f>
        <v>'SACRAMENTO'</v>
      </c>
      <c r="C2" s="15" t="str">
        <f>IFERROR(VLOOKUP(A2,Markets!A:B,2,0)&amp;" ALC","")</f>
        <v>4P ALC</v>
      </c>
      <c r="D2" s="15" t="str">
        <f>IFERROR(VLOOKUP(A2,PushToSharePoint!A:D,4,0),"")</f>
        <v>Sacramento</v>
      </c>
      <c r="E2" s="15" t="str">
        <f>SUBSTITUTE(D2," ","%20")</f>
        <v>Sacramento</v>
      </c>
      <c r="F2" s="15" t="str">
        <f>SUBSTITUTE(C2," ","%20")</f>
        <v>4P%20ALC</v>
      </c>
      <c r="H2" s="4" t="s">
        <v>283</v>
      </c>
      <c r="I2" s="1" t="str">
        <f>"'"&amp;H2</f>
        <v>'2021Q4</v>
      </c>
      <c r="K2" s="9" t="s">
        <v>67</v>
      </c>
      <c r="M2" t="s">
        <v>243</v>
      </c>
      <c r="N2">
        <v>0.3</v>
      </c>
      <c r="P2" t="s">
        <v>269</v>
      </c>
      <c r="Q2" t="e">
        <f>VLOOKUP(#REF!,Markets!A:G,6)</f>
        <v>#REF!</v>
      </c>
    </row>
    <row r="3" spans="1:17" x14ac:dyDescent="0.3">
      <c r="H3" s="4" t="s">
        <v>282</v>
      </c>
      <c r="I3" s="1" t="str">
        <f>I2&amp;"',"&amp;"'"&amp;H3</f>
        <v>'2021Q4','2022Q1</v>
      </c>
      <c r="K3" s="9" t="s">
        <v>68</v>
      </c>
      <c r="M3" t="s">
        <v>244</v>
      </c>
      <c r="N3">
        <v>0.5</v>
      </c>
      <c r="P3" t="s">
        <v>270</v>
      </c>
      <c r="Q3" s="32" t="e">
        <f>VLOOKUP(#REF!,Markets!A:G,7)</f>
        <v>#REF!</v>
      </c>
    </row>
    <row r="4" spans="1:17" x14ac:dyDescent="0.3">
      <c r="H4" s="4" t="s">
        <v>281</v>
      </c>
      <c r="I4" s="1" t="str">
        <f>I3&amp;"',"&amp;"'"&amp;H4</f>
        <v>'2021Q4','2022Q1','2022Q2</v>
      </c>
      <c r="K4" s="9" t="s">
        <v>69</v>
      </c>
      <c r="M4" t="s">
        <v>245</v>
      </c>
      <c r="N4">
        <v>0.7</v>
      </c>
    </row>
    <row r="5" spans="1:17" x14ac:dyDescent="0.3">
      <c r="H5" s="4" t="s">
        <v>279</v>
      </c>
      <c r="I5" s="2" t="str">
        <f>I4&amp;"',"&amp;"'"&amp;H5&amp;"'"</f>
        <v>'2021Q4','2022Q1','2022Q2','2022Q3'</v>
      </c>
      <c r="K5" s="9" t="s">
        <v>70</v>
      </c>
      <c r="M5" t="s">
        <v>246</v>
      </c>
      <c r="N5">
        <v>0.5</v>
      </c>
    </row>
    <row r="6" spans="1:17" x14ac:dyDescent="0.3">
      <c r="K6" s="9" t="s">
        <v>71</v>
      </c>
    </row>
    <row r="7" spans="1:17" x14ac:dyDescent="0.3">
      <c r="K7" s="9" t="s">
        <v>72</v>
      </c>
    </row>
    <row r="8" spans="1:17" x14ac:dyDescent="0.3">
      <c r="K8" s="9" t="s">
        <v>74</v>
      </c>
    </row>
    <row r="9" spans="1:17" x14ac:dyDescent="0.3">
      <c r="K9" s="9" t="s">
        <v>83</v>
      </c>
    </row>
    <row r="10" spans="1:17" x14ac:dyDescent="0.3">
      <c r="K10" s="9" t="s">
        <v>201</v>
      </c>
    </row>
    <row r="11" spans="1:17" x14ac:dyDescent="0.3">
      <c r="K11" s="9" t="s">
        <v>221</v>
      </c>
    </row>
    <row r="12" spans="1:17" x14ac:dyDescent="0.3">
      <c r="K12" s="9" t="s">
        <v>241</v>
      </c>
    </row>
    <row r="13" spans="1:17" x14ac:dyDescent="0.3">
      <c r="K13" s="9" t="s">
        <v>265</v>
      </c>
    </row>
    <row r="14" spans="1:17" x14ac:dyDescent="0.3">
      <c r="K14" s="9" t="s">
        <v>266</v>
      </c>
    </row>
    <row r="15" spans="1:17" x14ac:dyDescent="0.3">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6"/>
  <sheetViews>
    <sheetView workbookViewId="0"/>
  </sheetViews>
  <sheetFormatPr defaultRowHeight="14.4" x14ac:dyDescent="0.3"/>
  <cols>
    <col min="1" max="1" width="28" style="21" bestFit="1" customWidth="1"/>
    <col min="192" max="202" width="9.109375" customWidth="1"/>
  </cols>
  <sheetData>
    <row r="1" spans="1:14" x14ac:dyDescent="0.3">
      <c r="A1" s="21" t="s">
        <v>276</v>
      </c>
      <c r="C1" t="s">
        <v>9</v>
      </c>
      <c r="L1" t="s">
        <v>9</v>
      </c>
      <c r="N1" t="s">
        <v>9</v>
      </c>
    </row>
    <row r="2" spans="1:14" x14ac:dyDescent="0.3">
      <c r="C2" t="s">
        <v>10</v>
      </c>
      <c r="L2" t="s">
        <v>10</v>
      </c>
      <c r="N2" t="s">
        <v>10</v>
      </c>
    </row>
    <row r="3" spans="1:14" x14ac:dyDescent="0.3">
      <c r="C3" t="s">
        <v>11</v>
      </c>
      <c r="L3" t="s">
        <v>11</v>
      </c>
      <c r="N3" t="s">
        <v>11</v>
      </c>
    </row>
    <row r="4" spans="1:14" x14ac:dyDescent="0.3">
      <c r="C4" t="s">
        <v>222</v>
      </c>
      <c r="L4" t="s">
        <v>12</v>
      </c>
      <c r="N4" t="s">
        <v>222</v>
      </c>
    </row>
    <row r="5" spans="1:14" x14ac:dyDescent="0.3">
      <c r="C5" t="s">
        <v>12</v>
      </c>
      <c r="L5" t="s">
        <v>13</v>
      </c>
      <c r="N5" t="s">
        <v>12</v>
      </c>
    </row>
    <row r="6" spans="1:14" x14ac:dyDescent="0.3">
      <c r="C6" t="s">
        <v>13</v>
      </c>
      <c r="L6" t="s">
        <v>15</v>
      </c>
      <c r="N6" t="s">
        <v>13</v>
      </c>
    </row>
    <row r="7" spans="1:14" x14ac:dyDescent="0.3">
      <c r="C7" t="s">
        <v>223</v>
      </c>
      <c r="L7" t="s">
        <v>16</v>
      </c>
      <c r="N7" t="s">
        <v>223</v>
      </c>
    </row>
    <row r="8" spans="1:14" x14ac:dyDescent="0.3">
      <c r="C8" t="s">
        <v>15</v>
      </c>
      <c r="L8" t="s">
        <v>17</v>
      </c>
      <c r="N8" t="s">
        <v>15</v>
      </c>
    </row>
    <row r="9" spans="1:14" x14ac:dyDescent="0.3">
      <c r="C9" t="s">
        <v>16</v>
      </c>
      <c r="L9" t="s">
        <v>18</v>
      </c>
      <c r="N9" t="s">
        <v>16</v>
      </c>
    </row>
    <row r="10" spans="1:14" x14ac:dyDescent="0.3">
      <c r="C10" t="s">
        <v>17</v>
      </c>
      <c r="L10" t="s">
        <v>0</v>
      </c>
      <c r="N10" t="s">
        <v>17</v>
      </c>
    </row>
    <row r="11" spans="1:14" x14ac:dyDescent="0.3">
      <c r="C11" t="s">
        <v>18</v>
      </c>
      <c r="L11" t="s">
        <v>20</v>
      </c>
      <c r="N11" t="s">
        <v>18</v>
      </c>
    </row>
    <row r="12" spans="1:14" x14ac:dyDescent="0.3">
      <c r="C12" t="s">
        <v>0</v>
      </c>
      <c r="L12" t="s">
        <v>21</v>
      </c>
      <c r="N12" t="s">
        <v>0</v>
      </c>
    </row>
    <row r="13" spans="1:14" x14ac:dyDescent="0.3">
      <c r="C13" t="s">
        <v>20</v>
      </c>
      <c r="L13" t="s">
        <v>22</v>
      </c>
      <c r="N13" t="s">
        <v>20</v>
      </c>
    </row>
    <row r="14" spans="1:14" x14ac:dyDescent="0.3">
      <c r="C14" t="s">
        <v>21</v>
      </c>
      <c r="L14" t="s">
        <v>23</v>
      </c>
      <c r="N14" t="s">
        <v>21</v>
      </c>
    </row>
    <row r="15" spans="1:14" x14ac:dyDescent="0.3">
      <c r="C15" t="s">
        <v>22</v>
      </c>
      <c r="L15" t="s">
        <v>24</v>
      </c>
      <c r="N15" t="s">
        <v>22</v>
      </c>
    </row>
    <row r="16" spans="1:14" x14ac:dyDescent="0.3">
      <c r="C16" t="s">
        <v>23</v>
      </c>
      <c r="L16" t="s">
        <v>25</v>
      </c>
      <c r="N16" t="s">
        <v>23</v>
      </c>
    </row>
    <row r="17" spans="3:14" x14ac:dyDescent="0.3">
      <c r="C17" t="s">
        <v>24</v>
      </c>
      <c r="L17" t="s">
        <v>214</v>
      </c>
      <c r="N17" t="s">
        <v>24</v>
      </c>
    </row>
    <row r="18" spans="3:14" x14ac:dyDescent="0.3">
      <c r="C18" t="s">
        <v>25</v>
      </c>
      <c r="L18" t="s">
        <v>27</v>
      </c>
      <c r="N18" t="s">
        <v>25</v>
      </c>
    </row>
    <row r="19" spans="3:14" x14ac:dyDescent="0.3">
      <c r="C19" t="s">
        <v>219</v>
      </c>
      <c r="L19" t="s">
        <v>226</v>
      </c>
      <c r="N19" t="s">
        <v>219</v>
      </c>
    </row>
    <row r="20" spans="3:14" x14ac:dyDescent="0.3">
      <c r="C20" t="s">
        <v>214</v>
      </c>
      <c r="L20" t="s">
        <v>28</v>
      </c>
      <c r="N20" t="s">
        <v>214</v>
      </c>
    </row>
    <row r="21" spans="3:14" x14ac:dyDescent="0.3">
      <c r="C21" t="s">
        <v>27</v>
      </c>
      <c r="L21" t="s">
        <v>29</v>
      </c>
      <c r="N21" t="s">
        <v>27</v>
      </c>
    </row>
    <row r="22" spans="3:14" x14ac:dyDescent="0.3">
      <c r="C22" t="s">
        <v>28</v>
      </c>
      <c r="L22" t="s">
        <v>30</v>
      </c>
      <c r="N22" t="s">
        <v>28</v>
      </c>
    </row>
    <row r="23" spans="3:14" x14ac:dyDescent="0.3">
      <c r="C23" t="s">
        <v>29</v>
      </c>
      <c r="N23" t="s">
        <v>29</v>
      </c>
    </row>
    <row r="24" spans="3:14" x14ac:dyDescent="0.3">
      <c r="C24" t="s">
        <v>30</v>
      </c>
      <c r="N24" t="s">
        <v>30</v>
      </c>
    </row>
    <row r="25" spans="3:14" x14ac:dyDescent="0.3">
      <c r="C25" t="s">
        <v>31</v>
      </c>
      <c r="N25" t="s">
        <v>31</v>
      </c>
    </row>
    <row r="26" spans="3:14" x14ac:dyDescent="0.3">
      <c r="C26" t="s">
        <v>32</v>
      </c>
      <c r="N26" t="s">
        <v>32</v>
      </c>
    </row>
    <row r="27" spans="3:14" x14ac:dyDescent="0.3">
      <c r="C27" t="s">
        <v>33</v>
      </c>
      <c r="N27" t="s">
        <v>33</v>
      </c>
    </row>
    <row r="28" spans="3:14" x14ac:dyDescent="0.3">
      <c r="C28" t="s">
        <v>7</v>
      </c>
      <c r="N28" t="s">
        <v>7</v>
      </c>
    </row>
    <row r="29" spans="3:14" x14ac:dyDescent="0.3">
      <c r="C29" t="s">
        <v>34</v>
      </c>
      <c r="N29" t="s">
        <v>34</v>
      </c>
    </row>
    <row r="30" spans="3:14" x14ac:dyDescent="0.3">
      <c r="C30" t="s">
        <v>35</v>
      </c>
      <c r="N30" t="s">
        <v>35</v>
      </c>
    </row>
    <row r="31" spans="3:14" x14ac:dyDescent="0.3">
      <c r="C31" t="s">
        <v>36</v>
      </c>
      <c r="N31" t="s">
        <v>36</v>
      </c>
    </row>
    <row r="32" spans="3:14" x14ac:dyDescent="0.3">
      <c r="C32" t="s">
        <v>37</v>
      </c>
      <c r="N32" t="s">
        <v>37</v>
      </c>
    </row>
    <row r="33" spans="3:14" x14ac:dyDescent="0.3">
      <c r="C33" t="s">
        <v>38</v>
      </c>
      <c r="N33" t="s">
        <v>38</v>
      </c>
    </row>
    <row r="34" spans="3:14" x14ac:dyDescent="0.3">
      <c r="C34" t="s">
        <v>39</v>
      </c>
      <c r="N34" t="s">
        <v>39</v>
      </c>
    </row>
    <row r="35" spans="3:14" x14ac:dyDescent="0.3">
      <c r="C35" t="s">
        <v>40</v>
      </c>
      <c r="N35" t="s">
        <v>40</v>
      </c>
    </row>
    <row r="36" spans="3:14" x14ac:dyDescent="0.3">
      <c r="C36" t="s">
        <v>41</v>
      </c>
      <c r="N36" t="s">
        <v>41</v>
      </c>
    </row>
    <row r="37" spans="3:14" x14ac:dyDescent="0.3">
      <c r="C37" t="s">
        <v>42</v>
      </c>
      <c r="N37" t="s">
        <v>42</v>
      </c>
    </row>
    <row r="38" spans="3:14" x14ac:dyDescent="0.3">
      <c r="C38" t="s">
        <v>43</v>
      </c>
      <c r="N38" t="s">
        <v>43</v>
      </c>
    </row>
    <row r="39" spans="3:14" x14ac:dyDescent="0.3">
      <c r="C39" t="s">
        <v>4</v>
      </c>
      <c r="N39" t="s">
        <v>4</v>
      </c>
    </row>
    <row r="40" spans="3:14" x14ac:dyDescent="0.3">
      <c r="C40" t="s">
        <v>226</v>
      </c>
      <c r="N40" t="s">
        <v>226</v>
      </c>
    </row>
    <row r="41" spans="3:14" x14ac:dyDescent="0.3">
      <c r="C41" t="s">
        <v>45</v>
      </c>
      <c r="N41" t="s">
        <v>45</v>
      </c>
    </row>
    <row r="42" spans="3:14" x14ac:dyDescent="0.3">
      <c r="C42" t="s">
        <v>6</v>
      </c>
      <c r="N42" t="s">
        <v>6</v>
      </c>
    </row>
    <row r="43" spans="3:14" x14ac:dyDescent="0.3">
      <c r="C43" t="s">
        <v>46</v>
      </c>
      <c r="N43" t="s">
        <v>46</v>
      </c>
    </row>
    <row r="44" spans="3:14" x14ac:dyDescent="0.3">
      <c r="C44" t="s">
        <v>47</v>
      </c>
      <c r="N44" t="s">
        <v>47</v>
      </c>
    </row>
    <row r="45" spans="3:14" x14ac:dyDescent="0.3">
      <c r="C45" t="s">
        <v>48</v>
      </c>
      <c r="N45" t="s">
        <v>48</v>
      </c>
    </row>
    <row r="46" spans="3:14" x14ac:dyDescent="0.3">
      <c r="C46" t="s">
        <v>50</v>
      </c>
      <c r="N46" t="s">
        <v>50</v>
      </c>
    </row>
    <row r="47" spans="3:14" x14ac:dyDescent="0.3">
      <c r="C47" t="s">
        <v>272</v>
      </c>
      <c r="N47" t="s">
        <v>272</v>
      </c>
    </row>
    <row r="48" spans="3:14" x14ac:dyDescent="0.3">
      <c r="C48" t="s">
        <v>51</v>
      </c>
      <c r="N48" t="s">
        <v>51</v>
      </c>
    </row>
    <row r="49" spans="3:14" x14ac:dyDescent="0.3">
      <c r="C49" t="s">
        <v>52</v>
      </c>
      <c r="N49" t="s">
        <v>52</v>
      </c>
    </row>
    <row r="50" spans="3:14" x14ac:dyDescent="0.3">
      <c r="C50" t="s">
        <v>3</v>
      </c>
      <c r="N50" t="s">
        <v>3</v>
      </c>
    </row>
    <row r="51" spans="3:14" x14ac:dyDescent="0.3">
      <c r="C51" t="s">
        <v>276</v>
      </c>
      <c r="N51" t="s">
        <v>54</v>
      </c>
    </row>
    <row r="52" spans="3:14" x14ac:dyDescent="0.3">
      <c r="C52" t="s">
        <v>54</v>
      </c>
      <c r="N52" t="s">
        <v>55</v>
      </c>
    </row>
    <row r="53" spans="3:14" x14ac:dyDescent="0.3">
      <c r="C53" t="s">
        <v>55</v>
      </c>
      <c r="N53" t="s">
        <v>56</v>
      </c>
    </row>
    <row r="54" spans="3:14" x14ac:dyDescent="0.3">
      <c r="C54" t="s">
        <v>56</v>
      </c>
      <c r="N54" t="s">
        <v>57</v>
      </c>
    </row>
    <row r="55" spans="3:14" x14ac:dyDescent="0.3">
      <c r="C55" t="s">
        <v>57</v>
      </c>
      <c r="N55" t="s">
        <v>217</v>
      </c>
    </row>
    <row r="56" spans="3:14" x14ac:dyDescent="0.3">
      <c r="C56" t="s">
        <v>217</v>
      </c>
      <c r="N56" t="s">
        <v>213</v>
      </c>
    </row>
    <row r="57" spans="3:14" x14ac:dyDescent="0.3">
      <c r="C57" t="s">
        <v>213</v>
      </c>
      <c r="N57" t="s">
        <v>5</v>
      </c>
    </row>
    <row r="58" spans="3:14" x14ac:dyDescent="0.3">
      <c r="C58" t="s">
        <v>5</v>
      </c>
      <c r="N58" t="s">
        <v>273</v>
      </c>
    </row>
    <row r="59" spans="3:14" x14ac:dyDescent="0.3">
      <c r="C59" t="s">
        <v>273</v>
      </c>
      <c r="N59" t="s">
        <v>59</v>
      </c>
    </row>
    <row r="60" spans="3:14" x14ac:dyDescent="0.3">
      <c r="C60" t="s">
        <v>59</v>
      </c>
      <c r="N60" t="s">
        <v>60</v>
      </c>
    </row>
    <row r="61" spans="3:14" x14ac:dyDescent="0.3">
      <c r="C61" t="s">
        <v>60</v>
      </c>
      <c r="N61" t="s">
        <v>61</v>
      </c>
    </row>
    <row r="62" spans="3:14" x14ac:dyDescent="0.3">
      <c r="C62" t="s">
        <v>61</v>
      </c>
      <c r="N62" t="s">
        <v>63</v>
      </c>
    </row>
    <row r="63" spans="3:14" x14ac:dyDescent="0.3">
      <c r="C63" t="s">
        <v>63</v>
      </c>
      <c r="N63" t="s">
        <v>64</v>
      </c>
    </row>
    <row r="64" spans="3:14" x14ac:dyDescent="0.3">
      <c r="C64" t="s">
        <v>64</v>
      </c>
      <c r="N64" t="s">
        <v>65</v>
      </c>
    </row>
    <row r="65" spans="3:14" x14ac:dyDescent="0.3">
      <c r="C65" t="s">
        <v>65</v>
      </c>
      <c r="N65" t="s">
        <v>172</v>
      </c>
    </row>
    <row r="66" spans="3:14" x14ac:dyDescent="0.3">
      <c r="C66"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tabSelected="1" workbookViewId="0">
      <selection activeCell="D8" sqref="D8"/>
    </sheetView>
  </sheetViews>
  <sheetFormatPr defaultRowHeight="14.4" x14ac:dyDescent="0.3"/>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4.4" x14ac:dyDescent="0.3"/>
  <cols>
    <col min="1" max="1" width="51" customWidth="1"/>
  </cols>
  <sheetData>
    <row r="1" spans="1:1" x14ac:dyDescent="0.3">
      <c r="A1" s="20" t="s">
        <v>202</v>
      </c>
    </row>
    <row r="2" spans="1:1" ht="42" x14ac:dyDescent="0.3">
      <c r="A2" s="19" t="s">
        <v>203</v>
      </c>
    </row>
    <row r="3" spans="1:1" x14ac:dyDescent="0.3">
      <c r="A3" s="20" t="s">
        <v>204</v>
      </c>
    </row>
    <row r="4" spans="1:1" x14ac:dyDescent="0.3">
      <c r="A4" s="19" t="s">
        <v>205</v>
      </c>
    </row>
    <row r="5" spans="1:1" x14ac:dyDescent="0.3">
      <c r="A5" s="20" t="s">
        <v>206</v>
      </c>
    </row>
    <row r="6" spans="1:1" x14ac:dyDescent="0.3">
      <c r="A6" s="19" t="s">
        <v>209</v>
      </c>
    </row>
    <row r="7" spans="1:1" x14ac:dyDescent="0.3">
      <c r="A7" s="19" t="s">
        <v>210</v>
      </c>
    </row>
    <row r="8" spans="1:1" x14ac:dyDescent="0.3">
      <c r="A8" s="19" t="s">
        <v>211</v>
      </c>
    </row>
    <row r="9" spans="1:1" x14ac:dyDescent="0.3">
      <c r="A9" s="19" t="s">
        <v>212</v>
      </c>
    </row>
    <row r="10" spans="1:1" x14ac:dyDescent="0.3">
      <c r="A10" s="20" t="s">
        <v>207</v>
      </c>
    </row>
    <row r="11" spans="1:1" x14ac:dyDescent="0.3">
      <c r="A11" s="19" t="s">
        <v>208</v>
      </c>
    </row>
    <row r="12" spans="1:1" x14ac:dyDescent="0.3">
      <c r="A12" s="20" t="s">
        <v>215</v>
      </c>
    </row>
    <row r="13" spans="1:1" x14ac:dyDescent="0.3">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4.4" x14ac:dyDescent="0.3"/>
  <cols>
    <col min="1" max="1" width="14.33203125" bestFit="1" customWidth="1"/>
    <col min="2" max="2" width="12.6640625" bestFit="1" customWidth="1"/>
    <col min="3" max="3" width="13.6640625" bestFit="1" customWidth="1"/>
    <col min="4" max="4" width="13.88671875" bestFit="1" customWidth="1"/>
    <col min="5" max="5" width="14" bestFit="1" customWidth="1"/>
    <col min="6" max="6" width="12.5546875" bestFit="1" customWidth="1"/>
    <col min="7" max="7" width="17.44140625" bestFit="1" customWidth="1"/>
    <col min="8" max="8" width="28" bestFit="1" customWidth="1"/>
    <col min="9" max="9" width="13.88671875" bestFit="1" customWidth="1"/>
    <col min="10" max="10" width="15.44140625" bestFit="1" customWidth="1"/>
    <col min="11" max="11" width="14.5546875" bestFit="1" customWidth="1"/>
    <col min="12" max="12" width="26.109375" bestFit="1" customWidth="1"/>
  </cols>
  <sheetData>
    <row r="1" spans="1:12" x14ac:dyDescent="0.3">
      <c r="A1" t="s">
        <v>9</v>
      </c>
      <c r="B1" t="s">
        <v>15</v>
      </c>
      <c r="C1" t="s">
        <v>20</v>
      </c>
      <c r="D1" t="s">
        <v>25</v>
      </c>
      <c r="E1" t="s">
        <v>29</v>
      </c>
      <c r="F1" t="s">
        <v>34</v>
      </c>
      <c r="G1" t="s">
        <v>39</v>
      </c>
      <c r="H1" t="s">
        <v>4</v>
      </c>
      <c r="I1" t="s">
        <v>48</v>
      </c>
      <c r="J1" t="s">
        <v>54</v>
      </c>
      <c r="K1" t="s">
        <v>5</v>
      </c>
      <c r="L1" t="s">
        <v>64</v>
      </c>
    </row>
    <row r="2" spans="1:12" x14ac:dyDescent="0.3">
      <c r="A2" t="s">
        <v>10</v>
      </c>
      <c r="B2" t="s">
        <v>16</v>
      </c>
      <c r="C2" t="s">
        <v>21</v>
      </c>
      <c r="D2" t="s">
        <v>26</v>
      </c>
      <c r="E2" t="s">
        <v>31</v>
      </c>
      <c r="F2" t="s">
        <v>35</v>
      </c>
      <c r="G2" t="s">
        <v>40</v>
      </c>
      <c r="H2" t="s">
        <v>45</v>
      </c>
      <c r="I2" t="s">
        <v>50</v>
      </c>
      <c r="J2" t="s">
        <v>55</v>
      </c>
      <c r="K2" t="s">
        <v>59</v>
      </c>
      <c r="L2" t="s">
        <v>65</v>
      </c>
    </row>
    <row r="3" spans="1:12" x14ac:dyDescent="0.3">
      <c r="A3" t="s">
        <v>11</v>
      </c>
      <c r="B3" t="s">
        <v>17</v>
      </c>
      <c r="C3" t="s">
        <v>22</v>
      </c>
      <c r="D3" t="s">
        <v>27</v>
      </c>
      <c r="E3" t="s">
        <v>32</v>
      </c>
      <c r="F3" t="s">
        <v>36</v>
      </c>
      <c r="G3" t="s">
        <v>41</v>
      </c>
      <c r="H3" t="s">
        <v>6</v>
      </c>
      <c r="I3" t="s">
        <v>51</v>
      </c>
      <c r="J3" t="s">
        <v>56</v>
      </c>
      <c r="K3" t="s">
        <v>60</v>
      </c>
      <c r="L3" t="s">
        <v>172</v>
      </c>
    </row>
    <row r="4" spans="1:12" x14ac:dyDescent="0.3">
      <c r="A4" t="s">
        <v>12</v>
      </c>
      <c r="B4" t="s">
        <v>18</v>
      </c>
      <c r="C4" t="s">
        <v>23</v>
      </c>
      <c r="D4" t="s">
        <v>8</v>
      </c>
      <c r="E4" t="s">
        <v>33</v>
      </c>
      <c r="F4" t="s">
        <v>37</v>
      </c>
      <c r="G4" t="s">
        <v>42</v>
      </c>
      <c r="H4" t="s">
        <v>46</v>
      </c>
      <c r="I4" t="s">
        <v>52</v>
      </c>
      <c r="J4" t="s">
        <v>57</v>
      </c>
      <c r="K4" t="s">
        <v>61</v>
      </c>
    </row>
    <row r="5" spans="1:12" x14ac:dyDescent="0.3">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7"/>
  <sheetViews>
    <sheetView topLeftCell="A37" workbookViewId="0">
      <selection activeCell="B53" sqref="B53"/>
    </sheetView>
  </sheetViews>
  <sheetFormatPr defaultRowHeight="14.4" x14ac:dyDescent="0.3"/>
  <cols>
    <col min="1" max="1" width="28" bestFit="1" customWidth="1"/>
    <col min="2" max="2" width="15.88671875" bestFit="1" customWidth="1"/>
    <col min="3" max="3" width="21.6640625" bestFit="1" customWidth="1"/>
    <col min="4" max="4" width="18.6640625" bestFit="1" customWidth="1"/>
    <col min="10" max="10" width="28" bestFit="1" customWidth="1"/>
    <col min="11" max="11" width="5.88671875" bestFit="1" customWidth="1"/>
  </cols>
  <sheetData>
    <row r="1" spans="1:15" x14ac:dyDescent="0.3">
      <c r="A1" s="2" t="s">
        <v>80</v>
      </c>
      <c r="B1" s="2" t="s">
        <v>81</v>
      </c>
      <c r="C1" s="2" t="s">
        <v>82</v>
      </c>
      <c r="D1" s="10" t="s">
        <v>87</v>
      </c>
      <c r="J1" t="s">
        <v>9</v>
      </c>
      <c r="O1" s="5" t="s">
        <v>9</v>
      </c>
    </row>
    <row r="2" spans="1:15" x14ac:dyDescent="0.3">
      <c r="A2" s="9" t="s">
        <v>9</v>
      </c>
      <c r="B2" s="9" t="s">
        <v>75</v>
      </c>
      <c r="C2" s="9"/>
      <c r="D2" s="10" t="s">
        <v>9</v>
      </c>
      <c r="J2" t="s">
        <v>10</v>
      </c>
      <c r="O2" s="5" t="s">
        <v>10</v>
      </c>
    </row>
    <row r="3" spans="1:15" x14ac:dyDescent="0.3">
      <c r="A3" s="9" t="s">
        <v>10</v>
      </c>
      <c r="B3" s="9" t="s">
        <v>75</v>
      </c>
      <c r="C3" s="9"/>
      <c r="D3" s="10" t="s">
        <v>10</v>
      </c>
      <c r="J3" t="s">
        <v>11</v>
      </c>
      <c r="O3" s="5" t="s">
        <v>11</v>
      </c>
    </row>
    <row r="4" spans="1:15" x14ac:dyDescent="0.3">
      <c r="A4" s="9" t="s">
        <v>11</v>
      </c>
      <c r="B4" s="9" t="s">
        <v>75</v>
      </c>
      <c r="C4" s="9"/>
      <c r="D4" s="10" t="s">
        <v>11</v>
      </c>
      <c r="J4" t="s">
        <v>12</v>
      </c>
      <c r="O4" s="5" t="s">
        <v>12</v>
      </c>
    </row>
    <row r="5" spans="1:15" x14ac:dyDescent="0.3">
      <c r="A5" s="9" t="s">
        <v>222</v>
      </c>
      <c r="B5" s="9" t="s">
        <v>75</v>
      </c>
      <c r="C5" s="9"/>
      <c r="D5" s="10" t="s">
        <v>222</v>
      </c>
      <c r="J5" t="s">
        <v>13</v>
      </c>
      <c r="O5" s="5" t="s">
        <v>13</v>
      </c>
    </row>
    <row r="6" spans="1:15" x14ac:dyDescent="0.3">
      <c r="A6" s="9" t="s">
        <v>12</v>
      </c>
      <c r="B6" s="9" t="s">
        <v>75</v>
      </c>
      <c r="C6" s="9"/>
      <c r="D6" s="10" t="s">
        <v>12</v>
      </c>
      <c r="J6" t="s">
        <v>14</v>
      </c>
      <c r="O6" s="5" t="s">
        <v>15</v>
      </c>
    </row>
    <row r="7" spans="1:15" x14ac:dyDescent="0.3">
      <c r="A7" s="9" t="s">
        <v>13</v>
      </c>
      <c r="B7" s="9" t="s">
        <v>75</v>
      </c>
      <c r="C7" s="9"/>
      <c r="D7" s="10" t="s">
        <v>13</v>
      </c>
      <c r="J7" t="s">
        <v>15</v>
      </c>
      <c r="O7" s="5" t="s">
        <v>16</v>
      </c>
    </row>
    <row r="8" spans="1:15" x14ac:dyDescent="0.3">
      <c r="A8" s="9" t="s">
        <v>223</v>
      </c>
      <c r="B8" s="9" t="s">
        <v>75</v>
      </c>
      <c r="C8" s="9"/>
      <c r="D8" s="10" t="s">
        <v>223</v>
      </c>
      <c r="J8" t="s">
        <v>16</v>
      </c>
      <c r="O8" s="5" t="s">
        <v>17</v>
      </c>
    </row>
    <row r="9" spans="1:15" x14ac:dyDescent="0.3">
      <c r="A9" s="9" t="s">
        <v>15</v>
      </c>
      <c r="B9" s="9" t="s">
        <v>75</v>
      </c>
      <c r="C9" s="9" t="s">
        <v>200</v>
      </c>
      <c r="D9" s="10" t="s">
        <v>200</v>
      </c>
      <c r="J9" t="s">
        <v>17</v>
      </c>
      <c r="O9" s="5" t="s">
        <v>18</v>
      </c>
    </row>
    <row r="10" spans="1:15" x14ac:dyDescent="0.3">
      <c r="A10" s="9" t="s">
        <v>16</v>
      </c>
      <c r="B10" s="9" t="s">
        <v>75</v>
      </c>
      <c r="C10" s="9"/>
      <c r="D10" s="10" t="s">
        <v>16</v>
      </c>
      <c r="J10" t="s">
        <v>18</v>
      </c>
      <c r="O10" s="5" t="s">
        <v>0</v>
      </c>
    </row>
    <row r="11" spans="1:15" x14ac:dyDescent="0.3">
      <c r="A11" s="9" t="s">
        <v>17</v>
      </c>
      <c r="B11" s="9" t="s">
        <v>75</v>
      </c>
      <c r="C11" s="9"/>
      <c r="D11" s="10" t="s">
        <v>17</v>
      </c>
      <c r="J11" t="s">
        <v>19</v>
      </c>
      <c r="O11" s="5" t="s">
        <v>20</v>
      </c>
    </row>
    <row r="12" spans="1:15" x14ac:dyDescent="0.3">
      <c r="A12" s="9" t="s">
        <v>18</v>
      </c>
      <c r="B12" s="9" t="s">
        <v>75</v>
      </c>
      <c r="C12" s="9"/>
      <c r="D12" s="10" t="s">
        <v>18</v>
      </c>
      <c r="J12" t="s">
        <v>0</v>
      </c>
      <c r="O12" s="5" t="s">
        <v>21</v>
      </c>
    </row>
    <row r="13" spans="1:15" x14ac:dyDescent="0.3">
      <c r="A13" s="9" t="s">
        <v>0</v>
      </c>
      <c r="B13" s="9" t="s">
        <v>75</v>
      </c>
      <c r="C13" s="9"/>
      <c r="D13" s="10" t="s">
        <v>0</v>
      </c>
      <c r="J13" t="s">
        <v>20</v>
      </c>
      <c r="O13" s="5" t="s">
        <v>22</v>
      </c>
    </row>
    <row r="14" spans="1:15" x14ac:dyDescent="0.3">
      <c r="A14" s="9" t="s">
        <v>20</v>
      </c>
      <c r="B14" s="9" t="s">
        <v>75</v>
      </c>
      <c r="C14" s="9"/>
      <c r="D14" s="10" t="s">
        <v>20</v>
      </c>
      <c r="J14" t="s">
        <v>21</v>
      </c>
      <c r="O14" s="5" t="s">
        <v>23</v>
      </c>
    </row>
    <row r="15" spans="1:15" x14ac:dyDescent="0.3">
      <c r="A15" s="9" t="s">
        <v>21</v>
      </c>
      <c r="B15" s="9" t="s">
        <v>75</v>
      </c>
      <c r="C15" s="9"/>
      <c r="D15" s="10" t="s">
        <v>21</v>
      </c>
      <c r="J15" t="s">
        <v>22</v>
      </c>
      <c r="O15" s="5" t="s">
        <v>24</v>
      </c>
    </row>
    <row r="16" spans="1:15" x14ac:dyDescent="0.3">
      <c r="A16" s="9" t="s">
        <v>22</v>
      </c>
      <c r="B16" s="9" t="s">
        <v>75</v>
      </c>
      <c r="C16" s="9"/>
      <c r="D16" s="10" t="s">
        <v>22</v>
      </c>
      <c r="J16" t="s">
        <v>23</v>
      </c>
      <c r="O16" s="5" t="s">
        <v>25</v>
      </c>
    </row>
    <row r="17" spans="1:15" x14ac:dyDescent="0.3">
      <c r="A17" s="9" t="s">
        <v>23</v>
      </c>
      <c r="B17" s="9" t="s">
        <v>75</v>
      </c>
      <c r="C17" s="9"/>
      <c r="D17" s="10" t="s">
        <v>23</v>
      </c>
      <c r="J17" t="s">
        <v>24</v>
      </c>
      <c r="O17" s="5" t="s">
        <v>26</v>
      </c>
    </row>
    <row r="18" spans="1:15" x14ac:dyDescent="0.3">
      <c r="A18" s="9" t="s">
        <v>24</v>
      </c>
      <c r="B18" s="9" t="s">
        <v>75</v>
      </c>
      <c r="C18" s="9"/>
      <c r="D18" s="10" t="s">
        <v>24</v>
      </c>
      <c r="J18" t="s">
        <v>25</v>
      </c>
      <c r="O18" s="5" t="s">
        <v>27</v>
      </c>
    </row>
    <row r="19" spans="1:15" x14ac:dyDescent="0.3">
      <c r="A19" s="9" t="s">
        <v>25</v>
      </c>
      <c r="B19" s="9" t="s">
        <v>75</v>
      </c>
      <c r="C19" s="9"/>
      <c r="D19" s="10" t="s">
        <v>25</v>
      </c>
      <c r="J19" t="s">
        <v>26</v>
      </c>
      <c r="O19" s="5" t="s">
        <v>8</v>
      </c>
    </row>
    <row r="20" spans="1:15" x14ac:dyDescent="0.3">
      <c r="A20" s="9" t="s">
        <v>219</v>
      </c>
      <c r="B20" s="9" t="s">
        <v>75</v>
      </c>
      <c r="C20" s="9" t="s">
        <v>219</v>
      </c>
      <c r="D20" s="10" t="s">
        <v>219</v>
      </c>
      <c r="J20" t="s">
        <v>27</v>
      </c>
      <c r="O20" s="5" t="s">
        <v>28</v>
      </c>
    </row>
    <row r="21" spans="1:15" x14ac:dyDescent="0.3">
      <c r="A21" s="9" t="s">
        <v>214</v>
      </c>
      <c r="B21" s="9" t="s">
        <v>75</v>
      </c>
      <c r="C21" s="9" t="s">
        <v>214</v>
      </c>
      <c r="D21" s="10" t="s">
        <v>214</v>
      </c>
      <c r="J21" t="s">
        <v>226</v>
      </c>
      <c r="K21" t="s">
        <v>86</v>
      </c>
      <c r="O21" s="5" t="s">
        <v>29</v>
      </c>
    </row>
    <row r="22" spans="1:15" x14ac:dyDescent="0.3">
      <c r="A22" s="9" t="s">
        <v>27</v>
      </c>
      <c r="B22" s="9" t="s">
        <v>75</v>
      </c>
      <c r="C22" s="9"/>
      <c r="D22" s="10" t="s">
        <v>27</v>
      </c>
      <c r="J22" t="s">
        <v>28</v>
      </c>
      <c r="O22" s="5" t="s">
        <v>31</v>
      </c>
    </row>
    <row r="23" spans="1:15" x14ac:dyDescent="0.3">
      <c r="A23" s="9" t="s">
        <v>28</v>
      </c>
      <c r="B23" s="9" t="s">
        <v>75</v>
      </c>
      <c r="C23" s="9"/>
      <c r="D23" s="10" t="s">
        <v>28</v>
      </c>
      <c r="J23" t="s">
        <v>29</v>
      </c>
      <c r="O23" s="5" t="s">
        <v>32</v>
      </c>
    </row>
    <row r="24" spans="1:15" x14ac:dyDescent="0.3">
      <c r="A24" s="9" t="s">
        <v>29</v>
      </c>
      <c r="B24" s="9" t="s">
        <v>75</v>
      </c>
      <c r="C24" s="9"/>
      <c r="D24" s="10" t="s">
        <v>29</v>
      </c>
      <c r="J24" t="s">
        <v>30</v>
      </c>
      <c r="O24" s="5" t="s">
        <v>33</v>
      </c>
    </row>
    <row r="25" spans="1:15" x14ac:dyDescent="0.3">
      <c r="A25" s="9" t="s">
        <v>30</v>
      </c>
      <c r="B25" s="9" t="s">
        <v>75</v>
      </c>
      <c r="C25" s="9"/>
      <c r="D25" s="10" t="s">
        <v>30</v>
      </c>
      <c r="J25" t="s">
        <v>31</v>
      </c>
      <c r="O25" s="5" t="s">
        <v>7</v>
      </c>
    </row>
    <row r="26" spans="1:15" x14ac:dyDescent="0.3">
      <c r="A26" s="9" t="s">
        <v>31</v>
      </c>
      <c r="B26" s="9" t="s">
        <v>75</v>
      </c>
      <c r="C26" s="9"/>
      <c r="D26" s="10" t="s">
        <v>31</v>
      </c>
      <c r="J26" t="s">
        <v>32</v>
      </c>
      <c r="O26" s="5" t="s">
        <v>34</v>
      </c>
    </row>
    <row r="27" spans="1:15" x14ac:dyDescent="0.3">
      <c r="A27" s="9" t="s">
        <v>32</v>
      </c>
      <c r="B27" s="9" t="s">
        <v>75</v>
      </c>
      <c r="C27" s="9"/>
      <c r="D27" s="10" t="s">
        <v>32</v>
      </c>
      <c r="J27" t="s">
        <v>33</v>
      </c>
      <c r="O27" s="5" t="s">
        <v>35</v>
      </c>
    </row>
    <row r="28" spans="1:15" x14ac:dyDescent="0.3">
      <c r="A28" s="9" t="s">
        <v>33</v>
      </c>
      <c r="B28" s="9" t="s">
        <v>75</v>
      </c>
      <c r="C28" s="9" t="s">
        <v>79</v>
      </c>
      <c r="D28" s="10" t="s">
        <v>79</v>
      </c>
      <c r="J28" t="s">
        <v>7</v>
      </c>
      <c r="O28" s="5" t="s">
        <v>36</v>
      </c>
    </row>
    <row r="29" spans="1:15" x14ac:dyDescent="0.3">
      <c r="A29" s="9" t="s">
        <v>7</v>
      </c>
      <c r="B29" s="9" t="s">
        <v>75</v>
      </c>
      <c r="C29" s="9"/>
      <c r="D29" s="10" t="s">
        <v>7</v>
      </c>
      <c r="J29" t="s">
        <v>34</v>
      </c>
      <c r="O29" s="5" t="s">
        <v>37</v>
      </c>
    </row>
    <row r="30" spans="1:15" x14ac:dyDescent="0.3">
      <c r="A30" s="9" t="s">
        <v>34</v>
      </c>
      <c r="B30" s="9" t="s">
        <v>75</v>
      </c>
      <c r="C30" s="9"/>
      <c r="D30" s="10" t="s">
        <v>34</v>
      </c>
      <c r="J30" t="s">
        <v>35</v>
      </c>
      <c r="O30" s="5" t="s">
        <v>38</v>
      </c>
    </row>
    <row r="31" spans="1:15" x14ac:dyDescent="0.3">
      <c r="A31" s="9" t="s">
        <v>35</v>
      </c>
      <c r="B31" s="9" t="s">
        <v>75</v>
      </c>
      <c r="C31" s="9"/>
      <c r="D31" s="10" t="s">
        <v>35</v>
      </c>
      <c r="J31" t="s">
        <v>36</v>
      </c>
      <c r="O31" s="5" t="s">
        <v>39</v>
      </c>
    </row>
    <row r="32" spans="1:15" x14ac:dyDescent="0.3">
      <c r="A32" s="9" t="s">
        <v>36</v>
      </c>
      <c r="B32" s="9" t="s">
        <v>75</v>
      </c>
      <c r="C32" s="9"/>
      <c r="D32" s="10" t="s">
        <v>36</v>
      </c>
      <c r="J32" t="s">
        <v>37</v>
      </c>
      <c r="O32" s="5" t="s">
        <v>40</v>
      </c>
    </row>
    <row r="33" spans="1:15" x14ac:dyDescent="0.3">
      <c r="A33" s="9" t="s">
        <v>37</v>
      </c>
      <c r="B33" s="9" t="s">
        <v>75</v>
      </c>
      <c r="C33" s="9"/>
      <c r="D33" s="10" t="s">
        <v>37</v>
      </c>
      <c r="J33" t="s">
        <v>38</v>
      </c>
      <c r="O33" s="5" t="s">
        <v>41</v>
      </c>
    </row>
    <row r="34" spans="1:15" x14ac:dyDescent="0.3">
      <c r="A34" s="9" t="s">
        <v>38</v>
      </c>
      <c r="B34" s="9" t="s">
        <v>75</v>
      </c>
      <c r="C34" s="9"/>
      <c r="D34" s="10" t="s">
        <v>38</v>
      </c>
      <c r="J34" t="s">
        <v>39</v>
      </c>
      <c r="O34" s="5" t="s">
        <v>42</v>
      </c>
    </row>
    <row r="35" spans="1:15" x14ac:dyDescent="0.3">
      <c r="A35" s="9" t="s">
        <v>39</v>
      </c>
      <c r="B35" s="9" t="s">
        <v>75</v>
      </c>
      <c r="C35" s="9"/>
      <c r="D35" s="10" t="s">
        <v>39</v>
      </c>
      <c r="J35" t="s">
        <v>40</v>
      </c>
      <c r="O35" s="5" t="s">
        <v>43</v>
      </c>
    </row>
    <row r="36" spans="1:15" x14ac:dyDescent="0.3">
      <c r="A36" s="9" t="s">
        <v>40</v>
      </c>
      <c r="B36" s="9" t="s">
        <v>75</v>
      </c>
      <c r="C36" s="9"/>
      <c r="D36" s="10" t="s">
        <v>40</v>
      </c>
      <c r="J36" t="s">
        <v>41</v>
      </c>
      <c r="O36" s="5" t="s">
        <v>4</v>
      </c>
    </row>
    <row r="37" spans="1:15" x14ac:dyDescent="0.3">
      <c r="A37" s="9" t="s">
        <v>41</v>
      </c>
      <c r="B37" s="9" t="s">
        <v>75</v>
      </c>
      <c r="C37" s="9"/>
      <c r="D37" s="10" t="s">
        <v>41</v>
      </c>
      <c r="J37" t="s">
        <v>42</v>
      </c>
      <c r="O37" s="5" t="s">
        <v>45</v>
      </c>
    </row>
    <row r="38" spans="1:15" x14ac:dyDescent="0.3">
      <c r="A38" s="9" t="s">
        <v>42</v>
      </c>
      <c r="B38" s="9" t="s">
        <v>75</v>
      </c>
      <c r="C38" s="9"/>
      <c r="D38" s="10" t="s">
        <v>42</v>
      </c>
      <c r="J38" t="s">
        <v>43</v>
      </c>
      <c r="O38" s="5" t="s">
        <v>6</v>
      </c>
    </row>
    <row r="39" spans="1:15" x14ac:dyDescent="0.3">
      <c r="A39" s="9" t="s">
        <v>43</v>
      </c>
      <c r="B39" s="9" t="s">
        <v>75</v>
      </c>
      <c r="C39" s="9" t="s">
        <v>76</v>
      </c>
      <c r="D39" s="10" t="s">
        <v>76</v>
      </c>
      <c r="J39" t="s">
        <v>4</v>
      </c>
      <c r="O39" s="5" t="s">
        <v>46</v>
      </c>
    </row>
    <row r="40" spans="1:15" x14ac:dyDescent="0.3">
      <c r="A40" s="9" t="s">
        <v>4</v>
      </c>
      <c r="B40" s="9" t="s">
        <v>75</v>
      </c>
      <c r="C40" s="9"/>
      <c r="D40" s="10" t="s">
        <v>4</v>
      </c>
      <c r="J40" t="s">
        <v>44</v>
      </c>
      <c r="O40" s="5" t="s">
        <v>47</v>
      </c>
    </row>
    <row r="41" spans="1:15" x14ac:dyDescent="0.3">
      <c r="A41" s="9" t="s">
        <v>226</v>
      </c>
      <c r="B41" s="9" t="s">
        <v>75</v>
      </c>
      <c r="C41" s="9"/>
      <c r="D41" s="10" t="s">
        <v>226</v>
      </c>
      <c r="J41" t="s">
        <v>45</v>
      </c>
      <c r="O41" s="5" t="s">
        <v>48</v>
      </c>
    </row>
    <row r="42" spans="1:15" x14ac:dyDescent="0.3">
      <c r="A42" s="9" t="s">
        <v>45</v>
      </c>
      <c r="B42" s="9" t="s">
        <v>75</v>
      </c>
      <c r="C42" s="9"/>
      <c r="D42" s="10" t="s">
        <v>45</v>
      </c>
      <c r="J42" t="s">
        <v>6</v>
      </c>
      <c r="O42" s="5" t="s">
        <v>50</v>
      </c>
    </row>
    <row r="43" spans="1:15" x14ac:dyDescent="0.3">
      <c r="A43" s="9" t="s">
        <v>6</v>
      </c>
      <c r="B43" s="9" t="s">
        <v>75</v>
      </c>
      <c r="C43" s="9"/>
      <c r="D43" s="10" t="s">
        <v>6</v>
      </c>
      <c r="J43" t="s">
        <v>46</v>
      </c>
      <c r="O43" s="5" t="s">
        <v>51</v>
      </c>
    </row>
    <row r="44" spans="1:15" x14ac:dyDescent="0.3">
      <c r="A44" s="9" t="s">
        <v>46</v>
      </c>
      <c r="B44" s="9" t="s">
        <v>75</v>
      </c>
      <c r="C44" s="9" t="s">
        <v>77</v>
      </c>
      <c r="D44" s="10" t="s">
        <v>77</v>
      </c>
      <c r="J44" t="s">
        <v>47</v>
      </c>
      <c r="O44" s="5" t="s">
        <v>52</v>
      </c>
    </row>
    <row r="45" spans="1:15" x14ac:dyDescent="0.3">
      <c r="A45" s="9" t="s">
        <v>47</v>
      </c>
      <c r="B45" s="9" t="s">
        <v>75</v>
      </c>
      <c r="C45" s="9" t="s">
        <v>77</v>
      </c>
      <c r="D45" s="10" t="s">
        <v>77</v>
      </c>
      <c r="J45" t="s">
        <v>48</v>
      </c>
      <c r="O45" s="5" t="s">
        <v>3</v>
      </c>
    </row>
    <row r="46" spans="1:15" x14ac:dyDescent="0.3">
      <c r="A46" s="9" t="s">
        <v>48</v>
      </c>
      <c r="B46" s="9" t="s">
        <v>75</v>
      </c>
      <c r="C46" s="9"/>
      <c r="D46" s="10" t="s">
        <v>48</v>
      </c>
      <c r="J46" t="s">
        <v>49</v>
      </c>
      <c r="O46" s="5" t="s">
        <v>54</v>
      </c>
    </row>
    <row r="47" spans="1:15" x14ac:dyDescent="0.3">
      <c r="A47" s="9" t="s">
        <v>50</v>
      </c>
      <c r="B47" s="9" t="s">
        <v>75</v>
      </c>
      <c r="C47" s="9"/>
      <c r="D47" s="10" t="s">
        <v>50</v>
      </c>
      <c r="J47" t="s">
        <v>50</v>
      </c>
      <c r="O47" s="5" t="s">
        <v>55</v>
      </c>
    </row>
    <row r="48" spans="1:15" x14ac:dyDescent="0.3">
      <c r="A48" s="9" t="s">
        <v>272</v>
      </c>
      <c r="B48" s="9" t="s">
        <v>75</v>
      </c>
      <c r="C48" s="9"/>
      <c r="D48" s="10" t="s">
        <v>272</v>
      </c>
      <c r="J48" t="s">
        <v>51</v>
      </c>
      <c r="O48" s="5" t="s">
        <v>56</v>
      </c>
    </row>
    <row r="49" spans="1:15" x14ac:dyDescent="0.3">
      <c r="A49" s="9" t="s">
        <v>51</v>
      </c>
      <c r="B49" s="9" t="s">
        <v>75</v>
      </c>
      <c r="C49" s="9"/>
      <c r="D49" s="10" t="s">
        <v>51</v>
      </c>
      <c r="J49" t="s">
        <v>52</v>
      </c>
      <c r="O49" s="5" t="s">
        <v>57</v>
      </c>
    </row>
    <row r="50" spans="1:15" x14ac:dyDescent="0.3">
      <c r="A50" s="9" t="s">
        <v>52</v>
      </c>
      <c r="B50" s="9" t="s">
        <v>75</v>
      </c>
      <c r="C50" s="9"/>
      <c r="D50" s="10" t="s">
        <v>52</v>
      </c>
      <c r="J50" t="s">
        <v>53</v>
      </c>
      <c r="O50" s="5" t="s">
        <v>58</v>
      </c>
    </row>
    <row r="51" spans="1:15" x14ac:dyDescent="0.3">
      <c r="A51" s="9" t="s">
        <v>3</v>
      </c>
      <c r="B51" s="9" t="s">
        <v>75</v>
      </c>
      <c r="C51" s="9"/>
      <c r="D51" s="10" t="s">
        <v>3</v>
      </c>
      <c r="J51" t="s">
        <v>3</v>
      </c>
      <c r="O51" t="s">
        <v>5</v>
      </c>
    </row>
    <row r="52" spans="1:15" x14ac:dyDescent="0.3">
      <c r="A52" s="9" t="s">
        <v>276</v>
      </c>
      <c r="B52" s="9" t="s">
        <v>274</v>
      </c>
      <c r="C52" s="9"/>
      <c r="D52" s="10" t="s">
        <v>278</v>
      </c>
      <c r="J52" t="s">
        <v>54</v>
      </c>
      <c r="O52" s="5" t="s">
        <v>59</v>
      </c>
    </row>
    <row r="53" spans="1:15" x14ac:dyDescent="0.3">
      <c r="A53" s="9" t="s">
        <v>54</v>
      </c>
      <c r="B53" s="9" t="s">
        <v>75</v>
      </c>
      <c r="C53" s="9"/>
      <c r="D53" s="10" t="s">
        <v>54</v>
      </c>
      <c r="J53" t="s">
        <v>55</v>
      </c>
      <c r="O53" s="5" t="s">
        <v>60</v>
      </c>
    </row>
    <row r="54" spans="1:15" x14ac:dyDescent="0.3">
      <c r="A54" s="9" t="s">
        <v>55</v>
      </c>
      <c r="B54" s="9" t="s">
        <v>75</v>
      </c>
      <c r="C54" s="9"/>
      <c r="D54" s="10" t="s">
        <v>55</v>
      </c>
      <c r="J54" t="s">
        <v>56</v>
      </c>
      <c r="O54" s="5" t="s">
        <v>61</v>
      </c>
    </row>
    <row r="55" spans="1:15" x14ac:dyDescent="0.3">
      <c r="A55" s="9" t="s">
        <v>56</v>
      </c>
      <c r="B55" s="9" t="s">
        <v>75</v>
      </c>
      <c r="C55" s="9"/>
      <c r="D55" s="10" t="s">
        <v>56</v>
      </c>
      <c r="J55" t="s">
        <v>57</v>
      </c>
      <c r="O55" s="5" t="s">
        <v>63</v>
      </c>
    </row>
    <row r="56" spans="1:15" x14ac:dyDescent="0.3">
      <c r="A56" s="9" t="s">
        <v>57</v>
      </c>
      <c r="B56" s="9" t="s">
        <v>75</v>
      </c>
      <c r="C56" s="9"/>
      <c r="D56" s="10" t="s">
        <v>57</v>
      </c>
      <c r="J56" t="s">
        <v>58</v>
      </c>
      <c r="O56" s="5" t="s">
        <v>64</v>
      </c>
    </row>
    <row r="57" spans="1:15" x14ac:dyDescent="0.3">
      <c r="A57" s="9" t="s">
        <v>217</v>
      </c>
      <c r="B57" s="9" t="s">
        <v>75</v>
      </c>
      <c r="C57" s="9" t="s">
        <v>217</v>
      </c>
      <c r="D57" s="10" t="s">
        <v>217</v>
      </c>
      <c r="J57" t="s">
        <v>5</v>
      </c>
      <c r="O57" s="5" t="s">
        <v>65</v>
      </c>
    </row>
    <row r="58" spans="1:15" x14ac:dyDescent="0.3">
      <c r="A58" s="9" t="s">
        <v>213</v>
      </c>
      <c r="B58" s="9" t="s">
        <v>75</v>
      </c>
      <c r="C58" s="9" t="s">
        <v>213</v>
      </c>
      <c r="D58" s="10" t="s">
        <v>213</v>
      </c>
      <c r="J58" t="s">
        <v>59</v>
      </c>
      <c r="O58" s="5" t="s">
        <v>172</v>
      </c>
    </row>
    <row r="59" spans="1:15" x14ac:dyDescent="0.3">
      <c r="A59" s="9" t="s">
        <v>5</v>
      </c>
      <c r="B59" s="9" t="s">
        <v>75</v>
      </c>
      <c r="C59" s="9"/>
      <c r="D59" s="10" t="s">
        <v>5</v>
      </c>
      <c r="J59" t="s">
        <v>60</v>
      </c>
    </row>
    <row r="60" spans="1:15" x14ac:dyDescent="0.3">
      <c r="A60" s="9" t="s">
        <v>273</v>
      </c>
      <c r="B60" s="9" t="s">
        <v>75</v>
      </c>
      <c r="C60" s="9"/>
      <c r="D60" s="10" t="s">
        <v>273</v>
      </c>
      <c r="J60" t="s">
        <v>61</v>
      </c>
    </row>
    <row r="61" spans="1:15" x14ac:dyDescent="0.3">
      <c r="A61" s="9" t="s">
        <v>59</v>
      </c>
      <c r="B61" s="9" t="s">
        <v>75</v>
      </c>
      <c r="C61" s="9" t="s">
        <v>78</v>
      </c>
      <c r="D61" s="10" t="s">
        <v>78</v>
      </c>
      <c r="J61" t="s">
        <v>62</v>
      </c>
    </row>
    <row r="62" spans="1:15" x14ac:dyDescent="0.3">
      <c r="A62" s="9" t="s">
        <v>60</v>
      </c>
      <c r="B62" s="9" t="s">
        <v>75</v>
      </c>
      <c r="C62" s="9"/>
      <c r="D62" s="10" t="s">
        <v>60</v>
      </c>
      <c r="J62" t="s">
        <v>63</v>
      </c>
    </row>
    <row r="63" spans="1:15" x14ac:dyDescent="0.3">
      <c r="A63" s="9" t="s">
        <v>61</v>
      </c>
      <c r="B63" s="9" t="s">
        <v>75</v>
      </c>
      <c r="C63" s="9"/>
      <c r="D63" s="10" t="s">
        <v>61</v>
      </c>
      <c r="J63" t="s">
        <v>64</v>
      </c>
    </row>
    <row r="64" spans="1:15" x14ac:dyDescent="0.3">
      <c r="A64" s="22" t="s">
        <v>63</v>
      </c>
      <c r="B64" s="9" t="s">
        <v>75</v>
      </c>
      <c r="C64" s="9"/>
      <c r="D64" s="10" t="s">
        <v>63</v>
      </c>
      <c r="J64" t="s">
        <v>65</v>
      </c>
    </row>
    <row r="65" spans="1:10" x14ac:dyDescent="0.3">
      <c r="A65" s="22" t="s">
        <v>64</v>
      </c>
      <c r="B65" s="9" t="s">
        <v>274</v>
      </c>
      <c r="C65" s="9" t="s">
        <v>84</v>
      </c>
      <c r="D65" s="10" t="s">
        <v>84</v>
      </c>
      <c r="J65" t="s">
        <v>172</v>
      </c>
    </row>
    <row r="66" spans="1:10" x14ac:dyDescent="0.3">
      <c r="A66" s="22" t="s">
        <v>65</v>
      </c>
      <c r="B66" s="9" t="s">
        <v>75</v>
      </c>
      <c r="C66" s="9" t="s">
        <v>85</v>
      </c>
      <c r="D66" s="10" t="s">
        <v>85</v>
      </c>
    </row>
    <row r="67" spans="1:10" x14ac:dyDescent="0.3">
      <c r="A67" s="22" t="s">
        <v>172</v>
      </c>
      <c r="B67" s="9" t="s">
        <v>75</v>
      </c>
      <c r="C67" s="9"/>
      <c r="D67" s="10" t="s">
        <v>172</v>
      </c>
    </row>
  </sheetData>
  <conditionalFormatting sqref="B1:B63">
    <cfRule type="cellIs" dxfId="3" priority="4" operator="equal">
      <formula>"NO"</formula>
    </cfRule>
  </conditionalFormatting>
  <conditionalFormatting sqref="B64">
    <cfRule type="cellIs" dxfId="2" priority="3" operator="equal">
      <formula>"NO"</formula>
    </cfRule>
  </conditionalFormatting>
  <conditionalFormatting sqref="B65">
    <cfRule type="cellIs" dxfId="1" priority="2" operator="equal">
      <formula>"NO"</formula>
    </cfRule>
  </conditionalFormatting>
  <conditionalFormatting sqref="B66:B67">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4"/>
  <sheetViews>
    <sheetView topLeftCell="A30" workbookViewId="0">
      <selection activeCell="G58" sqref="G58"/>
    </sheetView>
  </sheetViews>
  <sheetFormatPr defaultRowHeight="14.4" x14ac:dyDescent="0.3"/>
  <cols>
    <col min="1" max="1" width="34.88671875" bestFit="1" customWidth="1"/>
    <col min="2" max="2" width="12" bestFit="1" customWidth="1"/>
    <col min="3" max="3" width="15.33203125" bestFit="1" customWidth="1"/>
    <col min="4" max="4" width="28" bestFit="1" customWidth="1"/>
    <col min="5" max="5" width="15.33203125" bestFit="1" customWidth="1"/>
    <col min="6" max="6" width="12.109375" customWidth="1"/>
    <col min="7" max="7" width="11.44140625" bestFit="1" customWidth="1"/>
  </cols>
  <sheetData>
    <row r="1" spans="1:7" ht="15" thickBot="1" x14ac:dyDescent="0.35">
      <c r="A1" s="14" t="s">
        <v>193</v>
      </c>
      <c r="B1" s="13" t="s">
        <v>191</v>
      </c>
      <c r="C1" s="14" t="s">
        <v>192</v>
      </c>
      <c r="D1" s="14" t="s">
        <v>194</v>
      </c>
      <c r="E1" s="14" t="s">
        <v>190</v>
      </c>
      <c r="F1" s="31" t="s">
        <v>269</v>
      </c>
      <c r="G1" s="31" t="s">
        <v>270</v>
      </c>
    </row>
    <row r="2" spans="1:7" x14ac:dyDescent="0.3">
      <c r="A2" s="12" t="s">
        <v>9</v>
      </c>
      <c r="B2" s="11" t="s">
        <v>148</v>
      </c>
      <c r="C2" s="9">
        <v>2140</v>
      </c>
      <c r="D2" s="9" t="s">
        <v>147</v>
      </c>
      <c r="E2" s="12" t="s">
        <v>142</v>
      </c>
      <c r="F2" s="9" t="s">
        <v>271</v>
      </c>
      <c r="G2" s="9" t="s">
        <v>271</v>
      </c>
    </row>
    <row r="3" spans="1:7" x14ac:dyDescent="0.3">
      <c r="A3" s="12" t="s">
        <v>10</v>
      </c>
      <c r="B3" s="11" t="s">
        <v>98</v>
      </c>
      <c r="C3" s="9">
        <v>1933</v>
      </c>
      <c r="D3" s="9" t="s">
        <v>97</v>
      </c>
      <c r="E3" s="12" t="s">
        <v>88</v>
      </c>
      <c r="F3" s="9" t="s">
        <v>271</v>
      </c>
      <c r="G3" s="9" t="s">
        <v>271</v>
      </c>
    </row>
    <row r="4" spans="1:7" x14ac:dyDescent="0.3">
      <c r="A4" s="12" t="s">
        <v>11</v>
      </c>
      <c r="B4" s="11" t="s">
        <v>160</v>
      </c>
      <c r="C4" s="9">
        <v>2110</v>
      </c>
      <c r="D4" s="9" t="s">
        <v>158</v>
      </c>
      <c r="E4" s="12" t="s">
        <v>142</v>
      </c>
      <c r="F4" s="9" t="s">
        <v>271</v>
      </c>
      <c r="G4" s="9" t="s">
        <v>271</v>
      </c>
    </row>
    <row r="5" spans="1:7" x14ac:dyDescent="0.3">
      <c r="A5" s="12" t="s">
        <v>222</v>
      </c>
      <c r="B5" s="11" t="s">
        <v>224</v>
      </c>
      <c r="C5" s="9">
        <v>4190</v>
      </c>
      <c r="D5" s="9" t="s">
        <v>222</v>
      </c>
      <c r="E5" s="12" t="s">
        <v>88</v>
      </c>
      <c r="F5" s="9" t="s">
        <v>271</v>
      </c>
      <c r="G5" s="9" t="s">
        <v>271</v>
      </c>
    </row>
    <row r="6" spans="1:7" x14ac:dyDescent="0.3">
      <c r="A6" s="12" t="s">
        <v>12</v>
      </c>
      <c r="B6" s="11" t="s">
        <v>135</v>
      </c>
      <c r="C6" s="9">
        <v>2220</v>
      </c>
      <c r="D6" s="9" t="s">
        <v>133</v>
      </c>
      <c r="E6" s="12" t="s">
        <v>105</v>
      </c>
      <c r="F6" s="9" t="s">
        <v>271</v>
      </c>
      <c r="G6" s="9" t="s">
        <v>271</v>
      </c>
    </row>
    <row r="7" spans="1:7" x14ac:dyDescent="0.3">
      <c r="A7" s="12" t="s">
        <v>13</v>
      </c>
      <c r="B7" s="11" t="s">
        <v>131</v>
      </c>
      <c r="C7" s="9">
        <v>3023</v>
      </c>
      <c r="D7" s="9" t="s">
        <v>129</v>
      </c>
      <c r="E7" s="12" t="s">
        <v>268</v>
      </c>
      <c r="F7" s="9" t="s">
        <v>271</v>
      </c>
      <c r="G7" s="9" t="s">
        <v>271</v>
      </c>
    </row>
    <row r="8" spans="1:7" x14ac:dyDescent="0.3">
      <c r="A8" s="12" t="s">
        <v>14</v>
      </c>
      <c r="B8" s="11" t="s">
        <v>120</v>
      </c>
      <c r="C8" s="9">
        <v>2010</v>
      </c>
      <c r="D8" s="9" t="s">
        <v>117</v>
      </c>
      <c r="E8" s="12" t="s">
        <v>142</v>
      </c>
      <c r="F8" s="9" t="s">
        <v>271</v>
      </c>
      <c r="G8" s="9" t="s">
        <v>271</v>
      </c>
    </row>
    <row r="9" spans="1:7" x14ac:dyDescent="0.3">
      <c r="A9" s="12" t="s">
        <v>223</v>
      </c>
      <c r="B9" s="11" t="s">
        <v>225</v>
      </c>
      <c r="C9" s="9">
        <v>3310</v>
      </c>
      <c r="D9" s="9" t="s">
        <v>103</v>
      </c>
      <c r="E9" s="12" t="s">
        <v>88</v>
      </c>
      <c r="F9" s="9" t="s">
        <v>271</v>
      </c>
      <c r="G9" s="9" t="s">
        <v>271</v>
      </c>
    </row>
    <row r="10" spans="1:7" x14ac:dyDescent="0.3">
      <c r="A10" s="12" t="s">
        <v>15</v>
      </c>
      <c r="B10" s="11" t="s">
        <v>189</v>
      </c>
      <c r="C10" s="9">
        <v>2345</v>
      </c>
      <c r="D10" s="9" t="s">
        <v>185</v>
      </c>
      <c r="E10" s="12" t="s">
        <v>268</v>
      </c>
      <c r="F10" s="9" t="s">
        <v>271</v>
      </c>
      <c r="G10" s="9" t="s">
        <v>271</v>
      </c>
    </row>
    <row r="11" spans="1:7" x14ac:dyDescent="0.3">
      <c r="A11" s="12" t="s">
        <v>16</v>
      </c>
      <c r="B11" s="11" t="s">
        <v>111</v>
      </c>
      <c r="C11" s="9">
        <v>3135</v>
      </c>
      <c r="D11" s="9" t="s">
        <v>110</v>
      </c>
      <c r="E11" s="12" t="s">
        <v>105</v>
      </c>
      <c r="F11" s="9" t="s">
        <v>271</v>
      </c>
      <c r="G11" s="9" t="s">
        <v>271</v>
      </c>
    </row>
    <row r="12" spans="1:7" x14ac:dyDescent="0.3">
      <c r="A12" s="12" t="s">
        <v>17</v>
      </c>
      <c r="B12" s="11" t="s">
        <v>152</v>
      </c>
      <c r="C12" s="9">
        <v>2148</v>
      </c>
      <c r="D12" s="9" t="s">
        <v>153</v>
      </c>
      <c r="E12" s="12" t="s">
        <v>142</v>
      </c>
      <c r="F12" s="9" t="s">
        <v>271</v>
      </c>
      <c r="G12" s="9" t="s">
        <v>271</v>
      </c>
    </row>
    <row r="13" spans="1:7" x14ac:dyDescent="0.3">
      <c r="A13" s="12" t="s">
        <v>18</v>
      </c>
      <c r="B13" s="11" t="s">
        <v>146</v>
      </c>
      <c r="C13" s="9">
        <v>2190</v>
      </c>
      <c r="D13" s="9" t="s">
        <v>147</v>
      </c>
      <c r="E13" s="12" t="s">
        <v>142</v>
      </c>
      <c r="F13" s="9" t="s">
        <v>271</v>
      </c>
      <c r="G13" s="9" t="s">
        <v>271</v>
      </c>
    </row>
    <row r="14" spans="1:7" x14ac:dyDescent="0.3">
      <c r="A14" s="12" t="s">
        <v>19</v>
      </c>
      <c r="B14" s="11" t="s">
        <v>108</v>
      </c>
      <c r="C14" s="9">
        <v>2210</v>
      </c>
      <c r="D14" s="9" t="s">
        <v>107</v>
      </c>
      <c r="E14" s="12" t="s">
        <v>105</v>
      </c>
      <c r="F14" s="9" t="s">
        <v>271</v>
      </c>
      <c r="G14" s="9" t="s">
        <v>271</v>
      </c>
    </row>
    <row r="15" spans="1:7" x14ac:dyDescent="0.3">
      <c r="A15" s="12" t="s">
        <v>0</v>
      </c>
      <c r="B15" s="11" t="s">
        <v>176</v>
      </c>
      <c r="C15" s="9">
        <v>2099</v>
      </c>
      <c r="D15" s="9" t="s">
        <v>173</v>
      </c>
      <c r="E15" s="12" t="s">
        <v>268</v>
      </c>
      <c r="F15" s="9" t="s">
        <v>271</v>
      </c>
      <c r="G15" s="9" t="s">
        <v>271</v>
      </c>
    </row>
    <row r="16" spans="1:7" x14ac:dyDescent="0.3">
      <c r="A16" s="12" t="s">
        <v>20</v>
      </c>
      <c r="B16" s="11" t="s">
        <v>167</v>
      </c>
      <c r="C16" s="9">
        <v>1103</v>
      </c>
      <c r="D16" s="9" t="s">
        <v>166</v>
      </c>
      <c r="E16" s="12" t="s">
        <v>142</v>
      </c>
      <c r="F16" s="9" t="s">
        <v>271</v>
      </c>
      <c r="G16" s="9" t="s">
        <v>271</v>
      </c>
    </row>
    <row r="17" spans="1:7" x14ac:dyDescent="0.3">
      <c r="A17" s="12" t="s">
        <v>21</v>
      </c>
      <c r="B17" s="11" t="s">
        <v>179</v>
      </c>
      <c r="C17" s="9">
        <v>1104</v>
      </c>
      <c r="D17" s="9" t="s">
        <v>178</v>
      </c>
      <c r="E17" s="12" t="s">
        <v>142</v>
      </c>
      <c r="F17" s="9" t="s">
        <v>271</v>
      </c>
      <c r="G17" s="9" t="s">
        <v>271</v>
      </c>
    </row>
    <row r="18" spans="1:7" x14ac:dyDescent="0.3">
      <c r="A18" s="12" t="s">
        <v>22</v>
      </c>
      <c r="B18" s="11" t="s">
        <v>112</v>
      </c>
      <c r="C18" s="9">
        <v>2260</v>
      </c>
      <c r="D18" s="9" t="s">
        <v>113</v>
      </c>
      <c r="E18" s="12" t="s">
        <v>105</v>
      </c>
      <c r="F18" s="9" t="s">
        <v>271</v>
      </c>
      <c r="G18" s="9" t="s">
        <v>271</v>
      </c>
    </row>
    <row r="19" spans="1:7" x14ac:dyDescent="0.3">
      <c r="A19" s="12" t="s">
        <v>23</v>
      </c>
      <c r="B19" s="11" t="s">
        <v>151</v>
      </c>
      <c r="C19" s="9">
        <v>2020</v>
      </c>
      <c r="D19" s="9" t="s">
        <v>150</v>
      </c>
      <c r="E19" s="12" t="s">
        <v>142</v>
      </c>
      <c r="F19" s="9" t="s">
        <v>271</v>
      </c>
      <c r="G19" s="9" t="s">
        <v>271</v>
      </c>
    </row>
    <row r="20" spans="1:7" x14ac:dyDescent="0.3">
      <c r="A20" s="12" t="s">
        <v>24</v>
      </c>
      <c r="B20" s="11" t="s">
        <v>95</v>
      </c>
      <c r="C20" s="9">
        <v>4150</v>
      </c>
      <c r="D20" s="9" t="s">
        <v>93</v>
      </c>
      <c r="E20" s="12" t="s">
        <v>88</v>
      </c>
      <c r="F20" s="9" t="s">
        <v>271</v>
      </c>
      <c r="G20" s="9" t="s">
        <v>271</v>
      </c>
    </row>
    <row r="21" spans="1:7" x14ac:dyDescent="0.3">
      <c r="A21" s="12" t="s">
        <v>25</v>
      </c>
      <c r="B21" s="11" t="s">
        <v>125</v>
      </c>
      <c r="C21" s="9">
        <v>3150</v>
      </c>
      <c r="D21" s="9" t="s">
        <v>124</v>
      </c>
      <c r="E21" s="12" t="s">
        <v>268</v>
      </c>
      <c r="F21" s="9" t="s">
        <v>271</v>
      </c>
      <c r="G21" s="9" t="s">
        <v>271</v>
      </c>
    </row>
    <row r="22" spans="1:7" x14ac:dyDescent="0.3">
      <c r="A22" s="12" t="s">
        <v>219</v>
      </c>
      <c r="B22" s="11" t="s">
        <v>220</v>
      </c>
      <c r="C22" s="9">
        <v>3340</v>
      </c>
      <c r="D22" s="9" t="s">
        <v>97</v>
      </c>
      <c r="E22" s="12" t="s">
        <v>268</v>
      </c>
      <c r="F22" s="9" t="s">
        <v>271</v>
      </c>
      <c r="G22" s="9" t="s">
        <v>271</v>
      </c>
    </row>
    <row r="23" spans="1:7" x14ac:dyDescent="0.3">
      <c r="A23" s="12" t="s">
        <v>214</v>
      </c>
      <c r="B23" s="11" t="s">
        <v>96</v>
      </c>
      <c r="C23" s="9">
        <v>3160</v>
      </c>
      <c r="D23" s="9" t="s">
        <v>97</v>
      </c>
      <c r="E23" s="12" t="s">
        <v>268</v>
      </c>
      <c r="F23" s="9" t="s">
        <v>271</v>
      </c>
      <c r="G23" s="9" t="s">
        <v>271</v>
      </c>
    </row>
    <row r="24" spans="1:7" x14ac:dyDescent="0.3">
      <c r="A24" s="12" t="s">
        <v>27</v>
      </c>
      <c r="B24" s="11" t="s">
        <v>177</v>
      </c>
      <c r="C24" s="9">
        <v>1106</v>
      </c>
      <c r="D24" s="9" t="s">
        <v>178</v>
      </c>
      <c r="E24" s="12" t="s">
        <v>142</v>
      </c>
      <c r="F24" s="9" t="s">
        <v>271</v>
      </c>
      <c r="G24" s="9" t="s">
        <v>271</v>
      </c>
    </row>
    <row r="25" spans="1:7" x14ac:dyDescent="0.3">
      <c r="A25" s="12" t="s">
        <v>28</v>
      </c>
      <c r="B25" s="11" t="s">
        <v>106</v>
      </c>
      <c r="C25" s="9">
        <v>2250</v>
      </c>
      <c r="D25" s="9" t="s">
        <v>107</v>
      </c>
      <c r="E25" s="12" t="s">
        <v>105</v>
      </c>
      <c r="F25" s="9" t="s">
        <v>271</v>
      </c>
      <c r="G25" s="9" t="s">
        <v>271</v>
      </c>
    </row>
    <row r="26" spans="1:7" x14ac:dyDescent="0.3">
      <c r="A26" s="12" t="s">
        <v>29</v>
      </c>
      <c r="B26" s="11" t="s">
        <v>188</v>
      </c>
      <c r="C26" s="9">
        <v>2340</v>
      </c>
      <c r="D26" s="9" t="s">
        <v>185</v>
      </c>
      <c r="E26" s="12" t="s">
        <v>268</v>
      </c>
      <c r="F26" s="9" t="s">
        <v>271</v>
      </c>
      <c r="G26" s="9" t="s">
        <v>271</v>
      </c>
    </row>
    <row r="27" spans="1:7" x14ac:dyDescent="0.3">
      <c r="A27" s="12" t="s">
        <v>30</v>
      </c>
      <c r="B27" s="11" t="s">
        <v>183</v>
      </c>
      <c r="C27" s="9">
        <v>2365</v>
      </c>
      <c r="D27" s="9" t="s">
        <v>181</v>
      </c>
      <c r="E27" s="12" t="s">
        <v>268</v>
      </c>
      <c r="F27" s="9" t="s">
        <v>271</v>
      </c>
      <c r="G27" s="9" t="s">
        <v>271</v>
      </c>
    </row>
    <row r="28" spans="1:7" x14ac:dyDescent="0.3">
      <c r="A28" s="12" t="s">
        <v>31</v>
      </c>
      <c r="B28" s="11" t="s">
        <v>130</v>
      </c>
      <c r="C28" s="9">
        <v>3126</v>
      </c>
      <c r="D28" s="9" t="s">
        <v>129</v>
      </c>
      <c r="E28" s="12" t="s">
        <v>268</v>
      </c>
      <c r="F28" s="9" t="s">
        <v>271</v>
      </c>
      <c r="G28" s="9" t="s">
        <v>271</v>
      </c>
    </row>
    <row r="29" spans="1:7" x14ac:dyDescent="0.3">
      <c r="A29" s="12" t="s">
        <v>32</v>
      </c>
      <c r="B29" s="11" t="s">
        <v>165</v>
      </c>
      <c r="C29" s="9">
        <v>1054</v>
      </c>
      <c r="D29" s="9" t="s">
        <v>166</v>
      </c>
      <c r="E29" s="12" t="s">
        <v>142</v>
      </c>
      <c r="F29" s="9" t="s">
        <v>271</v>
      </c>
      <c r="G29" s="9" t="s">
        <v>271</v>
      </c>
    </row>
    <row r="30" spans="1:7" x14ac:dyDescent="0.3">
      <c r="A30" s="12" t="s">
        <v>33</v>
      </c>
      <c r="B30" s="11" t="s">
        <v>164</v>
      </c>
      <c r="C30" s="9">
        <v>2370</v>
      </c>
      <c r="D30" s="9" t="s">
        <v>163</v>
      </c>
      <c r="E30" s="12" t="s">
        <v>268</v>
      </c>
      <c r="F30" s="9" t="s">
        <v>271</v>
      </c>
      <c r="G30" s="9" t="s">
        <v>271</v>
      </c>
    </row>
    <row r="31" spans="1:7" x14ac:dyDescent="0.3">
      <c r="A31" s="12" t="s">
        <v>7</v>
      </c>
      <c r="B31" s="11" t="s">
        <v>138</v>
      </c>
      <c r="C31" s="9">
        <v>3186</v>
      </c>
      <c r="D31" s="9" t="s">
        <v>137</v>
      </c>
      <c r="E31" s="12" t="s">
        <v>105</v>
      </c>
      <c r="F31" s="9" t="s">
        <v>271</v>
      </c>
      <c r="G31" s="9" t="s">
        <v>271</v>
      </c>
    </row>
    <row r="32" spans="1:7" x14ac:dyDescent="0.3">
      <c r="A32" s="12" t="s">
        <v>34</v>
      </c>
      <c r="B32" s="11" t="s">
        <v>182</v>
      </c>
      <c r="C32" s="9">
        <v>3230</v>
      </c>
      <c r="D32" s="9" t="s">
        <v>181</v>
      </c>
      <c r="E32" s="12" t="s">
        <v>268</v>
      </c>
      <c r="F32" s="9" t="s">
        <v>271</v>
      </c>
      <c r="G32" s="9" t="s">
        <v>271</v>
      </c>
    </row>
    <row r="33" spans="1:7" x14ac:dyDescent="0.3">
      <c r="A33" s="12" t="s">
        <v>35</v>
      </c>
      <c r="B33" s="11" t="s">
        <v>134</v>
      </c>
      <c r="C33" s="9">
        <v>2270</v>
      </c>
      <c r="D33" s="9" t="s">
        <v>133</v>
      </c>
      <c r="E33" s="12" t="s">
        <v>105</v>
      </c>
      <c r="F33" s="9" t="s">
        <v>271</v>
      </c>
      <c r="G33" s="9" t="s">
        <v>271</v>
      </c>
    </row>
    <row r="34" spans="1:7" x14ac:dyDescent="0.3">
      <c r="A34" s="12" t="s">
        <v>36</v>
      </c>
      <c r="B34" s="11" t="s">
        <v>91</v>
      </c>
      <c r="C34" s="9">
        <v>4100</v>
      </c>
      <c r="D34" s="9" t="s">
        <v>90</v>
      </c>
      <c r="E34" s="12" t="s">
        <v>88</v>
      </c>
      <c r="F34" s="9" t="s">
        <v>271</v>
      </c>
      <c r="G34" s="9" t="s">
        <v>271</v>
      </c>
    </row>
    <row r="35" spans="1:7" x14ac:dyDescent="0.3">
      <c r="A35" s="12" t="s">
        <v>37</v>
      </c>
      <c r="B35" s="11" t="s">
        <v>141</v>
      </c>
      <c r="C35" s="9">
        <v>3051</v>
      </c>
      <c r="D35" s="9" t="s">
        <v>140</v>
      </c>
      <c r="E35" s="12" t="s">
        <v>105</v>
      </c>
      <c r="F35" s="9" t="s">
        <v>271</v>
      </c>
      <c r="G35" s="9" t="s">
        <v>271</v>
      </c>
    </row>
    <row r="36" spans="1:7" x14ac:dyDescent="0.3">
      <c r="A36" s="12" t="s">
        <v>38</v>
      </c>
      <c r="B36" s="11" t="s">
        <v>94</v>
      </c>
      <c r="C36" s="9">
        <v>4120</v>
      </c>
      <c r="D36" s="9" t="s">
        <v>93</v>
      </c>
      <c r="E36" s="12" t="s">
        <v>88</v>
      </c>
      <c r="F36" s="9" t="s">
        <v>271</v>
      </c>
      <c r="G36" s="9" t="s">
        <v>271</v>
      </c>
    </row>
    <row r="37" spans="1:7" x14ac:dyDescent="0.3">
      <c r="A37" s="12" t="s">
        <v>39</v>
      </c>
      <c r="B37" s="11" t="s">
        <v>128</v>
      </c>
      <c r="C37" s="9">
        <v>3120</v>
      </c>
      <c r="D37" s="9" t="s">
        <v>129</v>
      </c>
      <c r="E37" s="12" t="s">
        <v>88</v>
      </c>
      <c r="F37" s="9" t="s">
        <v>271</v>
      </c>
      <c r="G37" s="9" t="s">
        <v>271</v>
      </c>
    </row>
    <row r="38" spans="1:7" x14ac:dyDescent="0.3">
      <c r="A38" s="12" t="s">
        <v>40</v>
      </c>
      <c r="B38" s="11" t="s">
        <v>119</v>
      </c>
      <c r="C38" s="9">
        <v>2125</v>
      </c>
      <c r="D38" s="9" t="s">
        <v>117</v>
      </c>
      <c r="E38" s="12" t="s">
        <v>142</v>
      </c>
      <c r="F38" s="9" t="s">
        <v>271</v>
      </c>
      <c r="G38" s="9" t="s">
        <v>271</v>
      </c>
    </row>
    <row r="39" spans="1:7" x14ac:dyDescent="0.3">
      <c r="A39" s="12" t="s">
        <v>41</v>
      </c>
      <c r="B39" s="11" t="s">
        <v>139</v>
      </c>
      <c r="C39" s="9">
        <v>3147</v>
      </c>
      <c r="D39" s="9" t="s">
        <v>140</v>
      </c>
      <c r="E39" s="12" t="s">
        <v>105</v>
      </c>
      <c r="F39" s="9" t="s">
        <v>271</v>
      </c>
      <c r="G39" s="9" t="s">
        <v>271</v>
      </c>
    </row>
    <row r="40" spans="1:7" x14ac:dyDescent="0.3">
      <c r="A40" s="12" t="s">
        <v>42</v>
      </c>
      <c r="B40" s="11" t="s">
        <v>156</v>
      </c>
      <c r="C40" s="9">
        <v>2160</v>
      </c>
      <c r="D40" s="9" t="s">
        <v>155</v>
      </c>
      <c r="E40" s="12" t="s">
        <v>142</v>
      </c>
      <c r="F40" s="9" t="s">
        <v>271</v>
      </c>
      <c r="G40" s="9" t="s">
        <v>271</v>
      </c>
    </row>
    <row r="41" spans="1:7" x14ac:dyDescent="0.3">
      <c r="A41" s="12" t="s">
        <v>43</v>
      </c>
      <c r="B41" s="11" t="s">
        <v>162</v>
      </c>
      <c r="C41" s="9">
        <v>2350</v>
      </c>
      <c r="D41" s="9" t="s">
        <v>163</v>
      </c>
      <c r="E41" s="12" t="s">
        <v>268</v>
      </c>
      <c r="F41" s="9" t="s">
        <v>271</v>
      </c>
      <c r="G41" s="9" t="s">
        <v>271</v>
      </c>
    </row>
    <row r="42" spans="1:7" x14ac:dyDescent="0.3">
      <c r="A42" s="12" t="s">
        <v>4</v>
      </c>
      <c r="B42" s="11" t="s">
        <v>136</v>
      </c>
      <c r="C42" s="9">
        <v>2230</v>
      </c>
      <c r="D42" s="9" t="s">
        <v>137</v>
      </c>
      <c r="E42" s="12" t="s">
        <v>105</v>
      </c>
      <c r="F42" s="9" t="s">
        <v>271</v>
      </c>
      <c r="G42" s="9" t="s">
        <v>271</v>
      </c>
    </row>
    <row r="43" spans="1:7" x14ac:dyDescent="0.3">
      <c r="A43" s="12" t="s">
        <v>226</v>
      </c>
      <c r="B43" s="11" t="s">
        <v>126</v>
      </c>
      <c r="C43" s="9">
        <v>3040</v>
      </c>
      <c r="D43" s="9" t="s">
        <v>127</v>
      </c>
      <c r="E43" s="12" t="s">
        <v>105</v>
      </c>
      <c r="F43" s="9" t="s">
        <v>271</v>
      </c>
      <c r="G43" s="9" t="s">
        <v>271</v>
      </c>
    </row>
    <row r="44" spans="1:7" x14ac:dyDescent="0.3">
      <c r="A44" s="12" t="s">
        <v>44</v>
      </c>
      <c r="B44" s="11" t="s">
        <v>132</v>
      </c>
      <c r="C44" s="9">
        <v>3139</v>
      </c>
      <c r="D44" s="9" t="s">
        <v>133</v>
      </c>
      <c r="E44" s="12" t="s">
        <v>105</v>
      </c>
      <c r="F44" s="9" t="s">
        <v>271</v>
      </c>
      <c r="G44" s="9" t="s">
        <v>271</v>
      </c>
    </row>
    <row r="45" spans="1:7" x14ac:dyDescent="0.3">
      <c r="A45" s="12" t="s">
        <v>45</v>
      </c>
      <c r="B45" s="11" t="s">
        <v>123</v>
      </c>
      <c r="C45" s="9">
        <v>3170</v>
      </c>
      <c r="D45" s="9" t="s">
        <v>124</v>
      </c>
      <c r="E45" s="12" t="s">
        <v>268</v>
      </c>
      <c r="F45" s="9" t="s">
        <v>271</v>
      </c>
      <c r="G45" s="9" t="s">
        <v>271</v>
      </c>
    </row>
    <row r="46" spans="1:7" x14ac:dyDescent="0.3">
      <c r="A46" s="12" t="s">
        <v>6</v>
      </c>
      <c r="B46" s="11" t="s">
        <v>180</v>
      </c>
      <c r="C46" s="9">
        <v>2360</v>
      </c>
      <c r="D46" s="9" t="s">
        <v>181</v>
      </c>
      <c r="E46" s="12" t="s">
        <v>268</v>
      </c>
      <c r="F46" s="9" t="s">
        <v>271</v>
      </c>
      <c r="G46" s="9" t="s">
        <v>271</v>
      </c>
    </row>
    <row r="47" spans="1:7" x14ac:dyDescent="0.3">
      <c r="A47" s="12" t="s">
        <v>46</v>
      </c>
      <c r="B47" s="11" t="s">
        <v>159</v>
      </c>
      <c r="C47" s="9">
        <v>3190</v>
      </c>
      <c r="D47" s="9" t="s">
        <v>158</v>
      </c>
      <c r="E47" s="12" t="s">
        <v>142</v>
      </c>
      <c r="F47" s="9" t="s">
        <v>271</v>
      </c>
      <c r="G47" s="9" t="s">
        <v>271</v>
      </c>
    </row>
    <row r="48" spans="1:7" x14ac:dyDescent="0.3">
      <c r="A48" s="12" t="s">
        <v>47</v>
      </c>
      <c r="B48" s="11" t="s">
        <v>157</v>
      </c>
      <c r="C48" s="9">
        <v>2116</v>
      </c>
      <c r="D48" s="9" t="s">
        <v>158</v>
      </c>
      <c r="E48" s="12" t="s">
        <v>142</v>
      </c>
      <c r="F48" s="9" t="s">
        <v>271</v>
      </c>
      <c r="G48" s="9" t="s">
        <v>271</v>
      </c>
    </row>
    <row r="49" spans="1:7" x14ac:dyDescent="0.3">
      <c r="A49" s="12" t="s">
        <v>48</v>
      </c>
      <c r="B49" s="11" t="s">
        <v>89</v>
      </c>
      <c r="C49" s="9">
        <v>4146</v>
      </c>
      <c r="D49" s="9" t="s">
        <v>90</v>
      </c>
      <c r="E49" s="12" t="s">
        <v>88</v>
      </c>
      <c r="F49" s="9" t="s">
        <v>271</v>
      </c>
      <c r="G49" s="9" t="s">
        <v>271</v>
      </c>
    </row>
    <row r="50" spans="1:7" x14ac:dyDescent="0.3">
      <c r="A50" s="12" t="s">
        <v>49</v>
      </c>
      <c r="B50" s="11" t="s">
        <v>154</v>
      </c>
      <c r="C50" s="9">
        <v>2170</v>
      </c>
      <c r="D50" s="9" t="s">
        <v>155</v>
      </c>
      <c r="E50" s="12" t="s">
        <v>142</v>
      </c>
      <c r="F50" s="9" t="s">
        <v>271</v>
      </c>
      <c r="G50" s="9" t="s">
        <v>271</v>
      </c>
    </row>
    <row r="51" spans="1:7" x14ac:dyDescent="0.3">
      <c r="A51" s="12" t="s">
        <v>50</v>
      </c>
      <c r="B51" s="11" t="s">
        <v>114</v>
      </c>
      <c r="C51" s="9">
        <v>3055</v>
      </c>
      <c r="D51" s="9" t="s">
        <v>115</v>
      </c>
      <c r="E51" s="12" t="s">
        <v>105</v>
      </c>
      <c r="F51" s="9" t="s">
        <v>271</v>
      </c>
      <c r="G51" s="9" t="s">
        <v>271</v>
      </c>
    </row>
    <row r="52" spans="1:7" x14ac:dyDescent="0.3">
      <c r="A52" s="12" t="s">
        <v>272</v>
      </c>
      <c r="B52" s="11" t="s">
        <v>259</v>
      </c>
      <c r="C52" s="9">
        <v>4210</v>
      </c>
      <c r="D52" s="9" t="s">
        <v>275</v>
      </c>
      <c r="E52" s="12" t="s">
        <v>88</v>
      </c>
      <c r="F52" s="9" t="s">
        <v>271</v>
      </c>
      <c r="G52" s="9" t="s">
        <v>271</v>
      </c>
    </row>
    <row r="53" spans="1:7" x14ac:dyDescent="0.3">
      <c r="A53" s="12" t="s">
        <v>51</v>
      </c>
      <c r="B53" s="11" t="s">
        <v>121</v>
      </c>
      <c r="C53" s="9">
        <v>2240</v>
      </c>
      <c r="D53" s="9" t="s">
        <v>122</v>
      </c>
      <c r="E53" s="12" t="s">
        <v>105</v>
      </c>
      <c r="F53" s="9" t="s">
        <v>271</v>
      </c>
      <c r="G53" s="9" t="s">
        <v>271</v>
      </c>
    </row>
    <row r="54" spans="1:7" x14ac:dyDescent="0.3">
      <c r="A54" s="12" t="s">
        <v>52</v>
      </c>
      <c r="B54" s="11" t="s">
        <v>101</v>
      </c>
      <c r="C54" s="9">
        <v>4110</v>
      </c>
      <c r="D54" s="9" t="s">
        <v>100</v>
      </c>
      <c r="E54" s="12" t="s">
        <v>88</v>
      </c>
      <c r="F54" s="9" t="s">
        <v>271</v>
      </c>
      <c r="G54" s="9" t="s">
        <v>271</v>
      </c>
    </row>
    <row r="55" spans="1:7" x14ac:dyDescent="0.3">
      <c r="A55" s="12" t="s">
        <v>53</v>
      </c>
      <c r="B55" s="11" t="s">
        <v>149</v>
      </c>
      <c r="C55" s="9">
        <v>2030</v>
      </c>
      <c r="D55" s="9" t="s">
        <v>150</v>
      </c>
      <c r="E55" s="12" t="s">
        <v>142</v>
      </c>
      <c r="F55" s="9" t="s">
        <v>271</v>
      </c>
      <c r="G55" s="9" t="s">
        <v>271</v>
      </c>
    </row>
    <row r="56" spans="1:7" x14ac:dyDescent="0.3">
      <c r="A56" s="12" t="s">
        <v>3</v>
      </c>
      <c r="B56" s="11" t="s">
        <v>118</v>
      </c>
      <c r="C56" s="9">
        <v>2135</v>
      </c>
      <c r="D56" s="9" t="s">
        <v>117</v>
      </c>
      <c r="E56" s="12" t="s">
        <v>105</v>
      </c>
      <c r="F56" s="9" t="s">
        <v>271</v>
      </c>
      <c r="G56" s="9" t="s">
        <v>271</v>
      </c>
    </row>
    <row r="57" spans="1:7" x14ac:dyDescent="0.3">
      <c r="A57" s="12" t="s">
        <v>276</v>
      </c>
      <c r="B57" s="11" t="s">
        <v>277</v>
      </c>
      <c r="C57" s="9">
        <v>4105</v>
      </c>
      <c r="D57" s="9" t="s">
        <v>276</v>
      </c>
      <c r="E57" s="12" t="s">
        <v>88</v>
      </c>
      <c r="F57" s="9" t="s">
        <v>271</v>
      </c>
      <c r="G57" s="9" t="s">
        <v>271</v>
      </c>
    </row>
    <row r="58" spans="1:7" x14ac:dyDescent="0.3">
      <c r="A58" s="12" t="s">
        <v>54</v>
      </c>
      <c r="B58" s="11" t="s">
        <v>170</v>
      </c>
      <c r="C58" s="9">
        <v>3210</v>
      </c>
      <c r="D58" s="9" t="s">
        <v>169</v>
      </c>
      <c r="E58" s="12" t="s">
        <v>268</v>
      </c>
      <c r="F58" s="9" t="s">
        <v>271</v>
      </c>
      <c r="G58" s="9" t="s">
        <v>271</v>
      </c>
    </row>
    <row r="59" spans="1:7" x14ac:dyDescent="0.3">
      <c r="A59" s="12" t="s">
        <v>55</v>
      </c>
      <c r="B59" s="11" t="s">
        <v>104</v>
      </c>
      <c r="C59" s="9">
        <v>4118</v>
      </c>
      <c r="D59" s="9" t="s">
        <v>103</v>
      </c>
      <c r="E59" s="12" t="s">
        <v>88</v>
      </c>
      <c r="F59" s="9" t="s">
        <v>271</v>
      </c>
      <c r="G59" s="9" t="s">
        <v>271</v>
      </c>
    </row>
    <row r="60" spans="1:7" x14ac:dyDescent="0.3">
      <c r="A60" s="12" t="s">
        <v>56</v>
      </c>
      <c r="B60" s="11" t="s">
        <v>92</v>
      </c>
      <c r="C60" s="9">
        <v>4140</v>
      </c>
      <c r="D60" s="9" t="s">
        <v>93</v>
      </c>
      <c r="E60" s="12" t="s">
        <v>88</v>
      </c>
      <c r="F60" s="9" t="s">
        <v>271</v>
      </c>
      <c r="G60" s="9" t="s">
        <v>271</v>
      </c>
    </row>
    <row r="61" spans="1:7" x14ac:dyDescent="0.3">
      <c r="A61" s="12" t="s">
        <v>57</v>
      </c>
      <c r="B61" s="11" t="s">
        <v>99</v>
      </c>
      <c r="C61" s="9">
        <v>4117</v>
      </c>
      <c r="D61" s="9" t="s">
        <v>100</v>
      </c>
      <c r="E61" s="12" t="s">
        <v>88</v>
      </c>
      <c r="F61" s="9" t="s">
        <v>271</v>
      </c>
      <c r="G61" s="9" t="s">
        <v>271</v>
      </c>
    </row>
    <row r="62" spans="1:7" x14ac:dyDescent="0.3">
      <c r="A62" s="12" t="s">
        <v>217</v>
      </c>
      <c r="B62" s="11" t="s">
        <v>218</v>
      </c>
      <c r="C62" s="9">
        <v>4170</v>
      </c>
      <c r="D62" s="9" t="s">
        <v>58</v>
      </c>
      <c r="E62" s="12" t="s">
        <v>88</v>
      </c>
      <c r="F62" s="9" t="s">
        <v>271</v>
      </c>
      <c r="G62" s="9" t="s">
        <v>271</v>
      </c>
    </row>
    <row r="63" spans="1:7" x14ac:dyDescent="0.3">
      <c r="A63" s="12" t="s">
        <v>213</v>
      </c>
      <c r="B63" s="11" t="s">
        <v>102</v>
      </c>
      <c r="C63" s="9">
        <v>4147</v>
      </c>
      <c r="D63" s="9" t="s">
        <v>58</v>
      </c>
      <c r="E63" s="12" t="s">
        <v>88</v>
      </c>
      <c r="F63" s="9" t="s">
        <v>271</v>
      </c>
      <c r="G63" s="9" t="s">
        <v>271</v>
      </c>
    </row>
    <row r="64" spans="1:7" x14ac:dyDescent="0.3">
      <c r="A64" s="12" t="s">
        <v>187</v>
      </c>
      <c r="B64" s="11" t="s">
        <v>186</v>
      </c>
      <c r="C64" s="9">
        <v>2375</v>
      </c>
      <c r="D64" s="9" t="s">
        <v>185</v>
      </c>
      <c r="E64" s="12" t="s">
        <v>268</v>
      </c>
      <c r="F64" s="9" t="s">
        <v>271</v>
      </c>
      <c r="G64" s="9" t="s">
        <v>271</v>
      </c>
    </row>
    <row r="65" spans="1:7" x14ac:dyDescent="0.3">
      <c r="A65" s="12" t="s">
        <v>5</v>
      </c>
      <c r="B65" s="11" t="s">
        <v>184</v>
      </c>
      <c r="C65" s="9">
        <v>2355</v>
      </c>
      <c r="D65" s="9" t="s">
        <v>185</v>
      </c>
      <c r="E65" s="12" t="s">
        <v>268</v>
      </c>
      <c r="F65" s="9" t="s">
        <v>271</v>
      </c>
      <c r="G65" s="9" t="s">
        <v>271</v>
      </c>
    </row>
    <row r="66" spans="1:7" x14ac:dyDescent="0.3">
      <c r="A66" s="12" t="s">
        <v>273</v>
      </c>
      <c r="B66" s="11" t="s">
        <v>260</v>
      </c>
      <c r="C66" s="9">
        <v>4220</v>
      </c>
      <c r="D66" s="9" t="s">
        <v>275</v>
      </c>
      <c r="E66" s="12" t="s">
        <v>88</v>
      </c>
      <c r="F66" s="9" t="s">
        <v>271</v>
      </c>
      <c r="G66" s="9" t="s">
        <v>271</v>
      </c>
    </row>
    <row r="67" spans="1:7" x14ac:dyDescent="0.3">
      <c r="A67" s="12" t="s">
        <v>59</v>
      </c>
      <c r="B67" s="11" t="s">
        <v>168</v>
      </c>
      <c r="C67" s="9">
        <v>3220</v>
      </c>
      <c r="D67" s="9" t="s">
        <v>169</v>
      </c>
      <c r="E67" s="12" t="s">
        <v>268</v>
      </c>
      <c r="F67" s="9" t="s">
        <v>271</v>
      </c>
      <c r="G67" s="9" t="s">
        <v>271</v>
      </c>
    </row>
    <row r="68" spans="1:7" x14ac:dyDescent="0.3">
      <c r="A68" s="12" t="s">
        <v>60</v>
      </c>
      <c r="B68" s="11" t="s">
        <v>175</v>
      </c>
      <c r="C68" s="9">
        <v>2330</v>
      </c>
      <c r="D68" s="9" t="s">
        <v>173</v>
      </c>
      <c r="E68" s="12" t="s">
        <v>268</v>
      </c>
      <c r="F68" s="9" t="s">
        <v>271</v>
      </c>
      <c r="G68" s="9" t="s">
        <v>271</v>
      </c>
    </row>
    <row r="69" spans="1:7" x14ac:dyDescent="0.3">
      <c r="A69" s="12" t="s">
        <v>61</v>
      </c>
      <c r="B69" s="11" t="s">
        <v>109</v>
      </c>
      <c r="C69" s="9">
        <v>3103</v>
      </c>
      <c r="D69" s="9" t="s">
        <v>110</v>
      </c>
      <c r="E69" s="12" t="s">
        <v>105</v>
      </c>
      <c r="F69" s="9" t="s">
        <v>271</v>
      </c>
      <c r="G69" s="9" t="s">
        <v>271</v>
      </c>
    </row>
    <row r="70" spans="1:7" x14ac:dyDescent="0.3">
      <c r="A70" s="12" t="s">
        <v>62</v>
      </c>
      <c r="B70" s="11" t="s">
        <v>174</v>
      </c>
      <c r="C70" s="9">
        <v>2310</v>
      </c>
      <c r="D70" s="9" t="s">
        <v>173</v>
      </c>
      <c r="E70" s="12" t="s">
        <v>161</v>
      </c>
      <c r="F70" s="9" t="s">
        <v>271</v>
      </c>
      <c r="G70" s="9" t="s">
        <v>271</v>
      </c>
    </row>
    <row r="71" spans="1:7" x14ac:dyDescent="0.3">
      <c r="A71" s="12" t="s">
        <v>63</v>
      </c>
      <c r="B71" s="11" t="s">
        <v>116</v>
      </c>
      <c r="C71" s="9">
        <v>2165</v>
      </c>
      <c r="D71" s="9" t="s">
        <v>117</v>
      </c>
      <c r="E71" s="12" t="s">
        <v>105</v>
      </c>
      <c r="F71" s="9" t="s">
        <v>271</v>
      </c>
      <c r="G71" s="9" t="s">
        <v>271</v>
      </c>
    </row>
    <row r="72" spans="1:7" x14ac:dyDescent="0.3">
      <c r="A72" s="12" t="s">
        <v>64</v>
      </c>
      <c r="B72" s="11" t="s">
        <v>145</v>
      </c>
      <c r="C72" s="9">
        <v>2180</v>
      </c>
      <c r="D72" s="9" t="s">
        <v>144</v>
      </c>
      <c r="E72" s="12" t="s">
        <v>142</v>
      </c>
      <c r="F72" s="9" t="s">
        <v>271</v>
      </c>
      <c r="G72" s="9" t="s">
        <v>271</v>
      </c>
    </row>
    <row r="73" spans="1:7" x14ac:dyDescent="0.3">
      <c r="A73" s="12" t="s">
        <v>65</v>
      </c>
      <c r="B73" s="11" t="s">
        <v>143</v>
      </c>
      <c r="C73" s="9">
        <v>2185</v>
      </c>
      <c r="D73" s="9" t="s">
        <v>144</v>
      </c>
      <c r="E73" s="12" t="s">
        <v>142</v>
      </c>
      <c r="F73" s="9" t="s">
        <v>271</v>
      </c>
      <c r="G73" s="9" t="s">
        <v>271</v>
      </c>
    </row>
    <row r="74" spans="1:7" x14ac:dyDescent="0.3">
      <c r="A74" s="12" t="s">
        <v>172</v>
      </c>
      <c r="B74" s="11" t="s">
        <v>171</v>
      </c>
      <c r="C74" s="9">
        <v>248</v>
      </c>
      <c r="D74" s="9" t="s">
        <v>173</v>
      </c>
      <c r="E74" s="12" t="s">
        <v>268</v>
      </c>
      <c r="F74" s="9" t="s">
        <v>271</v>
      </c>
      <c r="G74"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4.4" x14ac:dyDescent="0.3"/>
  <cols>
    <col min="4" max="4" width="9.109375" customWidth="1"/>
    <col min="5" max="5" width="11.5546875" hidden="1" customWidth="1"/>
    <col min="6" max="6" width="13.44140625" hidden="1" customWidth="1"/>
  </cols>
  <sheetData>
    <row r="1" spans="1:6" x14ac:dyDescent="0.3">
      <c r="A1" s="26" t="s">
        <v>247</v>
      </c>
      <c r="B1" t="s">
        <v>248</v>
      </c>
      <c r="C1" t="s">
        <v>249</v>
      </c>
      <c r="E1" s="26" t="s">
        <v>269</v>
      </c>
      <c r="F1" s="26" t="s">
        <v>270</v>
      </c>
    </row>
    <row r="2" spans="1:6" x14ac:dyDescent="0.3">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F69"/>
  <sheetViews>
    <sheetView workbookViewId="0">
      <selection sqref="A1:XFD1048576"/>
    </sheetView>
  </sheetViews>
  <sheetFormatPr defaultRowHeight="14.4" x14ac:dyDescent="0.3"/>
  <cols>
    <col min="1" max="1" width="6.5546875" customWidth="1"/>
    <col min="2" max="2" width="18.44140625" customWidth="1"/>
    <col min="3" max="3" width="35.33203125" customWidth="1"/>
    <col min="4" max="4" width="19.5546875" customWidth="1"/>
    <col min="5" max="5" width="16.33203125" customWidth="1"/>
  </cols>
  <sheetData>
    <row r="1" spans="1:6" x14ac:dyDescent="0.3">
      <c r="A1" t="s">
        <v>252</v>
      </c>
      <c r="B1" t="s">
        <v>253</v>
      </c>
      <c r="C1" t="s">
        <v>80</v>
      </c>
      <c r="D1" s="27" t="s">
        <v>254</v>
      </c>
      <c r="E1" s="27" t="s">
        <v>255</v>
      </c>
    </row>
    <row r="2" spans="1:6" x14ac:dyDescent="0.3">
      <c r="A2" t="s">
        <v>151</v>
      </c>
      <c r="B2">
        <v>2020</v>
      </c>
      <c r="C2" t="s">
        <v>23</v>
      </c>
      <c r="D2" s="27">
        <v>3.2620772999999999E-2</v>
      </c>
      <c r="E2" s="27">
        <v>2.9326342787301059E-2</v>
      </c>
      <c r="F2" s="27"/>
    </row>
    <row r="3" spans="1:6" x14ac:dyDescent="0.3">
      <c r="A3" t="s">
        <v>145</v>
      </c>
      <c r="B3">
        <v>2180</v>
      </c>
      <c r="C3" t="s">
        <v>64</v>
      </c>
      <c r="D3" s="27"/>
      <c r="E3" s="27"/>
      <c r="F3" s="27"/>
    </row>
    <row r="4" spans="1:6" x14ac:dyDescent="0.3">
      <c r="A4" t="s">
        <v>156</v>
      </c>
      <c r="B4">
        <v>2160</v>
      </c>
      <c r="C4" t="s">
        <v>42</v>
      </c>
      <c r="D4" s="27">
        <v>3.7211129000000003E-2</v>
      </c>
      <c r="E4" s="27">
        <v>2.9326342787301059E-2</v>
      </c>
      <c r="F4" s="27"/>
    </row>
    <row r="5" spans="1:6" x14ac:dyDescent="0.3">
      <c r="A5" t="s">
        <v>160</v>
      </c>
      <c r="B5">
        <v>2110</v>
      </c>
      <c r="C5" t="s">
        <v>11</v>
      </c>
      <c r="D5" s="27">
        <v>3.2587965000000003E-2</v>
      </c>
      <c r="E5" s="27">
        <v>2.9326342787301059E-2</v>
      </c>
      <c r="F5" s="27"/>
    </row>
    <row r="6" spans="1:6" x14ac:dyDescent="0.3">
      <c r="A6" t="s">
        <v>116</v>
      </c>
      <c r="B6">
        <v>2165</v>
      </c>
      <c r="C6" t="s">
        <v>63</v>
      </c>
      <c r="D6" s="27">
        <v>2.3544097999999999E-2</v>
      </c>
      <c r="E6" s="27">
        <v>2.9326342787301059E-2</v>
      </c>
      <c r="F6" s="27"/>
    </row>
    <row r="7" spans="1:6" x14ac:dyDescent="0.3">
      <c r="A7" t="s">
        <v>154</v>
      </c>
      <c r="B7">
        <v>2170</v>
      </c>
      <c r="C7" t="s">
        <v>49</v>
      </c>
      <c r="D7" s="27">
        <v>2.9466376999999998E-2</v>
      </c>
      <c r="E7" s="27">
        <v>2.9326342787301059E-2</v>
      </c>
      <c r="F7" s="27"/>
    </row>
    <row r="8" spans="1:6" x14ac:dyDescent="0.3">
      <c r="A8" t="s">
        <v>152</v>
      </c>
      <c r="B8">
        <v>2148</v>
      </c>
      <c r="C8" t="s">
        <v>17</v>
      </c>
      <c r="D8" s="27">
        <v>3.0575934999999999E-2</v>
      </c>
      <c r="E8" s="27">
        <v>2.9326342787301059E-2</v>
      </c>
      <c r="F8" s="27"/>
    </row>
    <row r="9" spans="1:6" x14ac:dyDescent="0.3">
      <c r="A9" t="s">
        <v>146</v>
      </c>
      <c r="B9">
        <v>2190</v>
      </c>
      <c r="C9" t="s">
        <v>18</v>
      </c>
      <c r="D9" s="27">
        <v>2.8964360000000001E-2</v>
      </c>
      <c r="E9" s="27">
        <v>2.9326342787301059E-2</v>
      </c>
      <c r="F9" s="27"/>
    </row>
    <row r="10" spans="1:6" x14ac:dyDescent="0.3">
      <c r="A10" t="s">
        <v>157</v>
      </c>
      <c r="B10">
        <v>2116</v>
      </c>
      <c r="C10" t="s">
        <v>47</v>
      </c>
      <c r="D10" s="27">
        <v>3.8742987E-2</v>
      </c>
      <c r="E10" s="27">
        <v>2.9326342787301059E-2</v>
      </c>
      <c r="F10" s="27"/>
    </row>
    <row r="11" spans="1:6" x14ac:dyDescent="0.3">
      <c r="A11" t="s">
        <v>171</v>
      </c>
      <c r="B11">
        <v>248</v>
      </c>
      <c r="C11" t="s">
        <v>172</v>
      </c>
      <c r="D11" s="27">
        <v>2.8072389999999999E-2</v>
      </c>
      <c r="E11" s="27">
        <v>2.9326342787301059E-2</v>
      </c>
      <c r="F11" s="27"/>
    </row>
    <row r="12" spans="1:6" x14ac:dyDescent="0.3">
      <c r="A12" t="s">
        <v>162</v>
      </c>
      <c r="B12">
        <v>2350</v>
      </c>
      <c r="C12" t="s">
        <v>43</v>
      </c>
      <c r="D12" s="27">
        <v>3.0634550999999999E-2</v>
      </c>
      <c r="E12" s="27">
        <v>2.9326342787301059E-2</v>
      </c>
      <c r="F12" s="27"/>
    </row>
    <row r="13" spans="1:6" x14ac:dyDescent="0.3">
      <c r="A13" t="s">
        <v>189</v>
      </c>
      <c r="B13">
        <v>2345</v>
      </c>
      <c r="C13" t="s">
        <v>15</v>
      </c>
      <c r="D13" s="27">
        <v>2.6955178999999999E-2</v>
      </c>
      <c r="E13" s="27">
        <v>2.9326342787301059E-2</v>
      </c>
      <c r="F13" s="27"/>
    </row>
    <row r="14" spans="1:6" x14ac:dyDescent="0.3">
      <c r="A14" t="s">
        <v>175</v>
      </c>
      <c r="B14">
        <v>2330</v>
      </c>
      <c r="C14" t="s">
        <v>60</v>
      </c>
      <c r="D14" s="27">
        <v>2.8045200999999999E-2</v>
      </c>
      <c r="E14" s="27">
        <v>2.9326342787301059E-2</v>
      </c>
      <c r="F14" s="27"/>
    </row>
    <row r="15" spans="1:6" x14ac:dyDescent="0.3">
      <c r="A15" t="s">
        <v>188</v>
      </c>
      <c r="B15">
        <v>2340</v>
      </c>
      <c r="C15" t="s">
        <v>29</v>
      </c>
      <c r="D15" s="27">
        <v>2.7247106E-2</v>
      </c>
      <c r="E15" s="27">
        <v>2.9326342787301059E-2</v>
      </c>
      <c r="F15" s="27"/>
    </row>
    <row r="16" spans="1:6" x14ac:dyDescent="0.3">
      <c r="A16" t="s">
        <v>91</v>
      </c>
      <c r="B16">
        <v>4100</v>
      </c>
      <c r="C16" t="s">
        <v>36</v>
      </c>
      <c r="D16" s="27">
        <v>2.8047855999999999E-2</v>
      </c>
      <c r="E16" s="27">
        <v>2.9326342787301059E-2</v>
      </c>
      <c r="F16" s="27"/>
    </row>
    <row r="17" spans="1:6" x14ac:dyDescent="0.3">
      <c r="A17" t="s">
        <v>184</v>
      </c>
      <c r="B17">
        <v>2355</v>
      </c>
      <c r="C17" t="s">
        <v>5</v>
      </c>
      <c r="D17" s="27"/>
      <c r="E17" s="27"/>
      <c r="F17" s="27"/>
    </row>
    <row r="18" spans="1:6" x14ac:dyDescent="0.3">
      <c r="A18" t="s">
        <v>165</v>
      </c>
      <c r="B18">
        <v>1054</v>
      </c>
      <c r="C18" t="s">
        <v>32</v>
      </c>
      <c r="D18" s="27">
        <v>3.0250796E-2</v>
      </c>
      <c r="E18" s="27">
        <v>2.9326342787301059E-2</v>
      </c>
      <c r="F18" s="27"/>
    </row>
    <row r="19" spans="1:6" x14ac:dyDescent="0.3">
      <c r="A19" t="s">
        <v>167</v>
      </c>
      <c r="B19">
        <v>1103</v>
      </c>
      <c r="C19" t="s">
        <v>20</v>
      </c>
      <c r="D19" s="27">
        <v>2.8275821E-2</v>
      </c>
      <c r="E19" s="27">
        <v>2.9326342787301059E-2</v>
      </c>
      <c r="F19" s="27"/>
    </row>
    <row r="20" spans="1:6" x14ac:dyDescent="0.3">
      <c r="A20" t="s">
        <v>176</v>
      </c>
      <c r="B20">
        <v>2099</v>
      </c>
      <c r="C20" t="s">
        <v>0</v>
      </c>
      <c r="D20" s="27">
        <v>2.8266329E-2</v>
      </c>
      <c r="E20" s="27">
        <v>2.9326342787301059E-2</v>
      </c>
      <c r="F20" s="27"/>
    </row>
    <row r="21" spans="1:6" x14ac:dyDescent="0.3">
      <c r="A21" t="s">
        <v>179</v>
      </c>
      <c r="B21">
        <v>1104</v>
      </c>
      <c r="C21" t="s">
        <v>21</v>
      </c>
      <c r="D21" s="27">
        <v>2.8911281E-2</v>
      </c>
      <c r="E21" s="27">
        <v>2.9326342787301059E-2</v>
      </c>
      <c r="F21" s="27"/>
    </row>
    <row r="22" spans="1:6" x14ac:dyDescent="0.3">
      <c r="A22" t="s">
        <v>94</v>
      </c>
      <c r="B22">
        <v>4120</v>
      </c>
      <c r="C22" t="s">
        <v>38</v>
      </c>
      <c r="D22" s="27">
        <v>2.7989393000000001E-2</v>
      </c>
      <c r="E22" s="27">
        <v>2.9326342787301059E-2</v>
      </c>
      <c r="F22" s="27"/>
    </row>
    <row r="23" spans="1:6" x14ac:dyDescent="0.3">
      <c r="A23" t="s">
        <v>104</v>
      </c>
      <c r="B23">
        <v>4118</v>
      </c>
      <c r="C23" t="s">
        <v>55</v>
      </c>
      <c r="D23" s="27">
        <v>2.979066E-2</v>
      </c>
      <c r="E23" s="27">
        <v>2.9326342787301059E-2</v>
      </c>
      <c r="F23" s="27"/>
    </row>
    <row r="24" spans="1:6" x14ac:dyDescent="0.3">
      <c r="A24" t="s">
        <v>89</v>
      </c>
      <c r="B24">
        <v>4146</v>
      </c>
      <c r="C24" t="s">
        <v>48</v>
      </c>
      <c r="D24" s="27">
        <v>2.7603576000000001E-2</v>
      </c>
      <c r="E24" s="27">
        <v>2.9326342787301059E-2</v>
      </c>
      <c r="F24" s="27"/>
    </row>
    <row r="25" spans="1:6" x14ac:dyDescent="0.3">
      <c r="A25" t="s">
        <v>92</v>
      </c>
      <c r="B25">
        <v>4140</v>
      </c>
      <c r="C25" t="s">
        <v>56</v>
      </c>
      <c r="D25" s="27">
        <v>2.7871891999999999E-2</v>
      </c>
      <c r="E25" s="27">
        <v>2.9326342787301059E-2</v>
      </c>
      <c r="F25" s="27"/>
    </row>
    <row r="26" spans="1:6" x14ac:dyDescent="0.3">
      <c r="A26" t="s">
        <v>99</v>
      </c>
      <c r="B26">
        <v>4117</v>
      </c>
      <c r="C26" t="s">
        <v>57</v>
      </c>
      <c r="D26" s="27">
        <v>3.4540070999999999E-2</v>
      </c>
      <c r="E26" s="27">
        <v>2.9326342787301059E-2</v>
      </c>
      <c r="F26" s="27"/>
    </row>
    <row r="27" spans="1:6" x14ac:dyDescent="0.3">
      <c r="A27" t="s">
        <v>102</v>
      </c>
      <c r="B27">
        <v>4147</v>
      </c>
      <c r="C27" t="s">
        <v>213</v>
      </c>
      <c r="D27" s="27">
        <v>3.0079106000000001E-2</v>
      </c>
      <c r="E27" s="27">
        <v>2.9326342787301059E-2</v>
      </c>
      <c r="F27" s="27"/>
    </row>
    <row r="28" spans="1:6" x14ac:dyDescent="0.3">
      <c r="A28" t="s">
        <v>101</v>
      </c>
      <c r="B28">
        <v>4110</v>
      </c>
      <c r="C28" t="s">
        <v>52</v>
      </c>
      <c r="D28" s="27">
        <v>2.7070061999999999E-2</v>
      </c>
      <c r="E28" s="27">
        <v>2.9326342787301059E-2</v>
      </c>
      <c r="F28" s="27"/>
    </row>
    <row r="29" spans="1:6" x14ac:dyDescent="0.3">
      <c r="A29" t="s">
        <v>95</v>
      </c>
      <c r="B29">
        <v>4150</v>
      </c>
      <c r="C29" t="s">
        <v>24</v>
      </c>
      <c r="D29" s="27">
        <v>2.5939403999999999E-2</v>
      </c>
      <c r="E29" s="27">
        <v>2.9326342787301059E-2</v>
      </c>
      <c r="F29" s="27"/>
    </row>
    <row r="30" spans="1:6" x14ac:dyDescent="0.3">
      <c r="A30" t="s">
        <v>159</v>
      </c>
      <c r="B30">
        <v>3190</v>
      </c>
      <c r="C30" t="s">
        <v>46</v>
      </c>
      <c r="D30" s="27">
        <v>3.4198685999999999E-2</v>
      </c>
      <c r="E30" s="27">
        <v>2.9326342787301059E-2</v>
      </c>
      <c r="F30" s="27"/>
    </row>
    <row r="31" spans="1:6" x14ac:dyDescent="0.3">
      <c r="A31" t="s">
        <v>112</v>
      </c>
      <c r="B31">
        <v>2260</v>
      </c>
      <c r="C31" t="s">
        <v>22</v>
      </c>
      <c r="D31" s="27">
        <v>2.7197130999999999E-2</v>
      </c>
      <c r="E31" s="27">
        <v>2.9326342787301059E-2</v>
      </c>
      <c r="F31" s="27"/>
    </row>
    <row r="32" spans="1:6" x14ac:dyDescent="0.3">
      <c r="A32" t="s">
        <v>108</v>
      </c>
      <c r="B32">
        <v>2210</v>
      </c>
      <c r="C32" t="s">
        <v>19</v>
      </c>
      <c r="D32" s="27">
        <v>2.5888708E-2</v>
      </c>
      <c r="E32" s="27">
        <v>2.9326342787301059E-2</v>
      </c>
      <c r="F32" s="27"/>
    </row>
    <row r="33" spans="1:6" x14ac:dyDescent="0.3">
      <c r="A33" t="s">
        <v>121</v>
      </c>
      <c r="B33">
        <v>2240</v>
      </c>
      <c r="C33" t="s">
        <v>51</v>
      </c>
      <c r="D33" s="27">
        <v>2.5871503000000001E-2</v>
      </c>
      <c r="E33" s="27">
        <v>2.9326342787301059E-2</v>
      </c>
      <c r="F33" s="27"/>
    </row>
    <row r="34" spans="1:6" x14ac:dyDescent="0.3">
      <c r="A34" t="s">
        <v>135</v>
      </c>
      <c r="B34">
        <v>2220</v>
      </c>
      <c r="C34" t="s">
        <v>12</v>
      </c>
      <c r="D34" s="27">
        <v>2.9188681000000001E-2</v>
      </c>
      <c r="E34" s="27">
        <v>2.9326342787301059E-2</v>
      </c>
      <c r="F34" s="27"/>
    </row>
    <row r="35" spans="1:6" x14ac:dyDescent="0.3">
      <c r="A35" t="s">
        <v>119</v>
      </c>
      <c r="B35">
        <v>2125</v>
      </c>
      <c r="C35" t="s">
        <v>40</v>
      </c>
      <c r="D35" s="27">
        <v>2.8258594000000001E-2</v>
      </c>
      <c r="E35" s="27">
        <v>2.9326342787301059E-2</v>
      </c>
      <c r="F35" s="27"/>
    </row>
    <row r="36" spans="1:6" x14ac:dyDescent="0.3">
      <c r="A36" t="s">
        <v>136</v>
      </c>
      <c r="B36">
        <v>2230</v>
      </c>
      <c r="C36" t="s">
        <v>4</v>
      </c>
      <c r="D36" s="27">
        <v>3.1434245999999999E-2</v>
      </c>
      <c r="E36" s="27">
        <v>2.9326342787301059E-2</v>
      </c>
      <c r="F36" s="27"/>
    </row>
    <row r="37" spans="1:6" x14ac:dyDescent="0.3">
      <c r="A37" t="s">
        <v>114</v>
      </c>
      <c r="B37">
        <v>3055</v>
      </c>
      <c r="C37" t="s">
        <v>50</v>
      </c>
      <c r="D37" s="27">
        <v>2.7408555000000001E-2</v>
      </c>
      <c r="E37" s="27">
        <v>2.9326342787301059E-2</v>
      </c>
      <c r="F37" s="27"/>
    </row>
    <row r="38" spans="1:6" x14ac:dyDescent="0.3">
      <c r="A38" t="s">
        <v>183</v>
      </c>
      <c r="B38">
        <v>2365</v>
      </c>
      <c r="C38" t="s">
        <v>30</v>
      </c>
      <c r="D38" s="27">
        <v>4.0419733999999999E-2</v>
      </c>
      <c r="E38" s="27">
        <v>2.9326342787301059E-2</v>
      </c>
      <c r="F38" s="27"/>
    </row>
    <row r="39" spans="1:6" x14ac:dyDescent="0.3">
      <c r="A39" t="s">
        <v>106</v>
      </c>
      <c r="B39">
        <v>2250</v>
      </c>
      <c r="C39" t="s">
        <v>28</v>
      </c>
      <c r="D39" s="27">
        <v>2.6557453000000002E-2</v>
      </c>
      <c r="E39" s="27">
        <v>2.9326342787301059E-2</v>
      </c>
      <c r="F39" s="27"/>
    </row>
    <row r="40" spans="1:6" x14ac:dyDescent="0.3">
      <c r="A40" t="s">
        <v>141</v>
      </c>
      <c r="B40">
        <v>3051</v>
      </c>
      <c r="C40" t="s">
        <v>37</v>
      </c>
      <c r="D40" s="27">
        <v>2.8271253E-2</v>
      </c>
      <c r="E40" s="27">
        <v>2.9326342787301059E-2</v>
      </c>
      <c r="F40" s="27"/>
    </row>
    <row r="41" spans="1:6" x14ac:dyDescent="0.3">
      <c r="A41" t="s">
        <v>164</v>
      </c>
      <c r="B41">
        <v>2370</v>
      </c>
      <c r="C41" t="s">
        <v>33</v>
      </c>
      <c r="D41" s="27">
        <v>2.4982418999999999E-2</v>
      </c>
      <c r="E41" s="27">
        <v>2.9326342787301059E-2</v>
      </c>
      <c r="F41" s="27"/>
    </row>
    <row r="42" spans="1:6" x14ac:dyDescent="0.3">
      <c r="A42" t="s">
        <v>118</v>
      </c>
      <c r="B42">
        <v>2135</v>
      </c>
      <c r="C42" t="s">
        <v>3</v>
      </c>
      <c r="D42" s="27">
        <v>2.9892899000000001E-2</v>
      </c>
      <c r="E42" s="27">
        <v>2.9326342787301059E-2</v>
      </c>
      <c r="F42" s="27"/>
    </row>
    <row r="43" spans="1:6" x14ac:dyDescent="0.3">
      <c r="A43" t="s">
        <v>134</v>
      </c>
      <c r="B43">
        <v>2270</v>
      </c>
      <c r="C43" t="s">
        <v>35</v>
      </c>
      <c r="D43" s="27">
        <v>2.8545305E-2</v>
      </c>
      <c r="E43" s="27">
        <v>2.9326342787301059E-2</v>
      </c>
      <c r="F43" s="27"/>
    </row>
    <row r="44" spans="1:6" x14ac:dyDescent="0.3">
      <c r="A44" t="s">
        <v>182</v>
      </c>
      <c r="B44">
        <v>3230</v>
      </c>
      <c r="C44" t="s">
        <v>34</v>
      </c>
      <c r="D44" s="27">
        <v>3.1425810999999998E-2</v>
      </c>
      <c r="E44" s="27">
        <v>2.9326342787301059E-2</v>
      </c>
      <c r="F44" s="27"/>
    </row>
    <row r="45" spans="1:6" x14ac:dyDescent="0.3">
      <c r="A45" t="s">
        <v>123</v>
      </c>
      <c r="B45">
        <v>3170</v>
      </c>
      <c r="C45" t="s">
        <v>45</v>
      </c>
      <c r="D45" s="27">
        <v>2.8919585000000001E-2</v>
      </c>
      <c r="E45" s="27">
        <v>2.9326342787301059E-2</v>
      </c>
      <c r="F45" s="27"/>
    </row>
    <row r="46" spans="1:6" x14ac:dyDescent="0.3">
      <c r="A46" t="s">
        <v>128</v>
      </c>
      <c r="B46">
        <v>3120</v>
      </c>
      <c r="C46" t="s">
        <v>39</v>
      </c>
      <c r="D46" s="27">
        <v>2.7743434000000001E-2</v>
      </c>
      <c r="E46" s="27">
        <v>2.9326342787301059E-2</v>
      </c>
      <c r="F46" s="27"/>
    </row>
    <row r="47" spans="1:6" x14ac:dyDescent="0.3">
      <c r="A47" t="s">
        <v>138</v>
      </c>
      <c r="B47">
        <v>3186</v>
      </c>
      <c r="C47" t="s">
        <v>7</v>
      </c>
      <c r="D47" s="27">
        <v>3.6426301000000001E-2</v>
      </c>
      <c r="E47" s="27">
        <v>2.9326342787301059E-2</v>
      </c>
      <c r="F47" s="27"/>
    </row>
    <row r="48" spans="1:6" x14ac:dyDescent="0.3">
      <c r="A48" t="s">
        <v>96</v>
      </c>
      <c r="B48">
        <v>3160</v>
      </c>
      <c r="C48" t="s">
        <v>26</v>
      </c>
      <c r="D48" s="27">
        <v>2.8842122000000001E-2</v>
      </c>
      <c r="E48" s="27">
        <v>2.9326342787301059E-2</v>
      </c>
      <c r="F48" s="27"/>
    </row>
    <row r="49" spans="1:6" x14ac:dyDescent="0.3">
      <c r="A49" t="s">
        <v>125</v>
      </c>
      <c r="B49">
        <v>3150</v>
      </c>
      <c r="C49" t="s">
        <v>25</v>
      </c>
      <c r="D49" s="27">
        <v>2.7642962E-2</v>
      </c>
      <c r="E49" s="27">
        <v>2.9326342787301059E-2</v>
      </c>
      <c r="F49" s="27"/>
    </row>
    <row r="50" spans="1:6" x14ac:dyDescent="0.3">
      <c r="A50" t="s">
        <v>130</v>
      </c>
      <c r="B50">
        <v>3126</v>
      </c>
      <c r="C50" t="s">
        <v>31</v>
      </c>
      <c r="D50" s="27">
        <v>2.8933259999999999E-2</v>
      </c>
      <c r="E50" s="27">
        <v>2.9326342787301059E-2</v>
      </c>
      <c r="F50" s="27"/>
    </row>
    <row r="51" spans="1:6" x14ac:dyDescent="0.3">
      <c r="A51" t="s">
        <v>131</v>
      </c>
      <c r="B51">
        <v>3023</v>
      </c>
      <c r="C51" t="s">
        <v>13</v>
      </c>
      <c r="D51" s="27">
        <v>2.8467341E-2</v>
      </c>
      <c r="E51" s="27">
        <v>2.9326342787301059E-2</v>
      </c>
      <c r="F51" s="27"/>
    </row>
    <row r="52" spans="1:6" x14ac:dyDescent="0.3">
      <c r="A52" t="s">
        <v>143</v>
      </c>
      <c r="B52">
        <v>2185</v>
      </c>
      <c r="C52" t="s">
        <v>65</v>
      </c>
      <c r="D52" s="27">
        <v>3.2556740000000001E-2</v>
      </c>
      <c r="E52" s="27">
        <v>2.9326342787301059E-2</v>
      </c>
      <c r="F52" s="27"/>
    </row>
    <row r="53" spans="1:6" x14ac:dyDescent="0.3">
      <c r="A53" t="s">
        <v>177</v>
      </c>
      <c r="B53">
        <v>1106</v>
      </c>
      <c r="C53" t="s">
        <v>27</v>
      </c>
      <c r="D53" s="27">
        <v>2.9183971999999999E-2</v>
      </c>
      <c r="E53" s="27">
        <v>2.9326342787301059E-2</v>
      </c>
      <c r="F53" s="27"/>
    </row>
    <row r="54" spans="1:6" x14ac:dyDescent="0.3">
      <c r="A54" t="s">
        <v>111</v>
      </c>
      <c r="B54">
        <v>3135</v>
      </c>
      <c r="C54" t="s">
        <v>16</v>
      </c>
      <c r="D54" s="27">
        <v>2.7601405999999998E-2</v>
      </c>
      <c r="E54" s="27">
        <v>2.9326342787301059E-2</v>
      </c>
      <c r="F54" s="27"/>
    </row>
    <row r="55" spans="1:6" x14ac:dyDescent="0.3">
      <c r="A55" t="s">
        <v>132</v>
      </c>
      <c r="B55">
        <v>3139</v>
      </c>
      <c r="C55" t="s">
        <v>44</v>
      </c>
      <c r="D55" s="27">
        <v>2.9466376999999998E-2</v>
      </c>
      <c r="E55" s="27">
        <v>2.9326342787301059E-2</v>
      </c>
      <c r="F55" s="27"/>
    </row>
    <row r="56" spans="1:6" x14ac:dyDescent="0.3">
      <c r="A56" t="s">
        <v>139</v>
      </c>
      <c r="B56">
        <v>3147</v>
      </c>
      <c r="C56" t="s">
        <v>41</v>
      </c>
      <c r="D56" s="27">
        <v>2.8259348E-2</v>
      </c>
      <c r="E56" s="27">
        <v>2.9326342787301059E-2</v>
      </c>
      <c r="F56" s="27"/>
    </row>
    <row r="57" spans="1:6" x14ac:dyDescent="0.3">
      <c r="A57" t="s">
        <v>170</v>
      </c>
      <c r="B57">
        <v>3210</v>
      </c>
      <c r="C57" t="s">
        <v>54</v>
      </c>
      <c r="D57" s="27">
        <v>2.8215899999999999E-2</v>
      </c>
      <c r="E57" s="27">
        <v>2.9326342787301059E-2</v>
      </c>
      <c r="F57" s="27"/>
    </row>
    <row r="58" spans="1:6" x14ac:dyDescent="0.3">
      <c r="A58" t="s">
        <v>98</v>
      </c>
      <c r="B58">
        <v>1933</v>
      </c>
      <c r="C58" t="s">
        <v>10</v>
      </c>
      <c r="D58" s="27">
        <v>2.8997159000000002E-2</v>
      </c>
      <c r="E58" s="27">
        <v>2.9326342787301059E-2</v>
      </c>
      <c r="F58" s="27"/>
    </row>
    <row r="59" spans="1:6" x14ac:dyDescent="0.3">
      <c r="A59" t="s">
        <v>148</v>
      </c>
      <c r="B59">
        <v>2140</v>
      </c>
      <c r="C59" t="s">
        <v>9</v>
      </c>
      <c r="D59" s="27">
        <v>2.8523329E-2</v>
      </c>
      <c r="E59" s="27">
        <v>2.9326342787301059E-2</v>
      </c>
      <c r="F59" s="27"/>
    </row>
    <row r="60" spans="1:6" x14ac:dyDescent="0.3">
      <c r="A60" t="s">
        <v>109</v>
      </c>
      <c r="B60">
        <v>3103</v>
      </c>
      <c r="C60" t="s">
        <v>61</v>
      </c>
      <c r="D60" s="27">
        <v>3.0646986000000001E-2</v>
      </c>
      <c r="E60" s="27">
        <v>2.9326342787301059E-2</v>
      </c>
      <c r="F60" s="27"/>
    </row>
    <row r="61" spans="1:6" x14ac:dyDescent="0.3">
      <c r="A61" t="s">
        <v>180</v>
      </c>
      <c r="B61">
        <v>2360</v>
      </c>
      <c r="C61" t="s">
        <v>6</v>
      </c>
      <c r="D61" s="27">
        <v>3.2893537E-2</v>
      </c>
      <c r="E61" s="27">
        <v>2.9326342787301059E-2</v>
      </c>
      <c r="F61" s="27"/>
    </row>
    <row r="62" spans="1:6" x14ac:dyDescent="0.3">
      <c r="A62" t="s">
        <v>218</v>
      </c>
      <c r="B62">
        <v>4170</v>
      </c>
      <c r="C62" t="s">
        <v>217</v>
      </c>
      <c r="D62" s="27">
        <v>3.0950998E-2</v>
      </c>
      <c r="E62" s="27">
        <v>2.9326342787301059E-2</v>
      </c>
      <c r="F62" s="27"/>
    </row>
    <row r="63" spans="1:6" x14ac:dyDescent="0.3">
      <c r="A63" t="s">
        <v>168</v>
      </c>
      <c r="B63">
        <v>3220</v>
      </c>
      <c r="C63" t="s">
        <v>59</v>
      </c>
      <c r="D63" s="27">
        <v>2.7853287000000001E-2</v>
      </c>
      <c r="E63" s="27">
        <v>2.9326342787301059E-2</v>
      </c>
      <c r="F63" s="27"/>
    </row>
    <row r="64" spans="1:6" x14ac:dyDescent="0.3">
      <c r="A64" t="s">
        <v>224</v>
      </c>
      <c r="B64">
        <v>4190</v>
      </c>
      <c r="C64" t="s">
        <v>222</v>
      </c>
      <c r="D64" s="27">
        <v>2.8516034999999999E-2</v>
      </c>
      <c r="E64" s="27">
        <v>2.9326342787301059E-2</v>
      </c>
      <c r="F64" s="27"/>
    </row>
    <row r="65" spans="1:6" x14ac:dyDescent="0.3">
      <c r="A65" t="s">
        <v>225</v>
      </c>
      <c r="B65">
        <v>3310</v>
      </c>
      <c r="C65" t="s">
        <v>223</v>
      </c>
      <c r="D65" s="27">
        <v>3.1507452999999998E-2</v>
      </c>
      <c r="E65" s="27">
        <v>2.9326342787301059E-2</v>
      </c>
      <c r="F65" s="27"/>
    </row>
    <row r="66" spans="1:6" x14ac:dyDescent="0.3">
      <c r="A66" t="s">
        <v>260</v>
      </c>
      <c r="B66">
        <v>4220</v>
      </c>
      <c r="C66" t="s">
        <v>273</v>
      </c>
      <c r="D66" s="27">
        <v>2.8630488999999999E-2</v>
      </c>
      <c r="E66" s="27">
        <v>2.9326342787301059E-2</v>
      </c>
      <c r="F66" s="27"/>
    </row>
    <row r="67" spans="1:6" x14ac:dyDescent="0.3">
      <c r="A67" t="s">
        <v>259</v>
      </c>
      <c r="B67">
        <v>4210</v>
      </c>
      <c r="C67" t="s">
        <v>272</v>
      </c>
      <c r="D67" s="27">
        <v>3.0933324000000002E-2</v>
      </c>
      <c r="E67" s="27">
        <v>2.9326342787301059E-2</v>
      </c>
      <c r="F67" s="27"/>
    </row>
    <row r="68" spans="1:6" x14ac:dyDescent="0.3">
      <c r="A68" t="s">
        <v>126</v>
      </c>
      <c r="B68">
        <v>3040</v>
      </c>
      <c r="C68" t="s">
        <v>226</v>
      </c>
      <c r="D68" s="27">
        <v>2.2363910000000001E-2</v>
      </c>
      <c r="E68" s="27">
        <v>2.9326342787301059E-2</v>
      </c>
      <c r="F68" s="27"/>
    </row>
    <row r="69" spans="1:6" x14ac:dyDescent="0.3">
      <c r="A69" t="s">
        <v>220</v>
      </c>
      <c r="B69">
        <v>3340</v>
      </c>
      <c r="C69" t="s">
        <v>219</v>
      </c>
      <c r="D69" s="27">
        <v>2.9466376999999998E-2</v>
      </c>
      <c r="E69" s="27">
        <v>2.9326342787301059E-2</v>
      </c>
      <c r="F69" s="27"/>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4.4" x14ac:dyDescent="0.3"/>
  <sheetData>
    <row r="1" spans="1:4" x14ac:dyDescent="0.3">
      <c r="A1" t="s">
        <v>191</v>
      </c>
      <c r="B1" s="28" t="s">
        <v>256</v>
      </c>
      <c r="C1" s="28" t="s">
        <v>257</v>
      </c>
      <c r="D1" s="28" t="s">
        <v>258</v>
      </c>
    </row>
    <row r="2" spans="1:4" x14ac:dyDescent="0.3">
      <c r="A2" t="s">
        <v>146</v>
      </c>
      <c r="B2" s="29">
        <v>1.4051565873492884E-2</v>
      </c>
      <c r="C2" s="30">
        <v>0</v>
      </c>
      <c r="D2" s="29">
        <v>4.5014093496562931E-3</v>
      </c>
    </row>
    <row r="3" spans="1:4" x14ac:dyDescent="0.3">
      <c r="A3" t="s">
        <v>148</v>
      </c>
      <c r="B3" s="29">
        <v>2.2888005463783209E-2</v>
      </c>
      <c r="C3" s="30">
        <v>0</v>
      </c>
      <c r="D3" s="29">
        <v>1.1135857896149449E-2</v>
      </c>
    </row>
    <row r="4" spans="1:4" x14ac:dyDescent="0.3">
      <c r="A4" t="s">
        <v>151</v>
      </c>
      <c r="B4" s="29">
        <v>3.5367285170930143E-2</v>
      </c>
      <c r="C4" s="30">
        <v>0</v>
      </c>
      <c r="D4" s="29">
        <v>9.862933207219992E-3</v>
      </c>
    </row>
    <row r="5" spans="1:4" x14ac:dyDescent="0.3">
      <c r="A5" t="s">
        <v>152</v>
      </c>
      <c r="B5" s="29">
        <v>2.7818760334996698E-2</v>
      </c>
      <c r="C5" s="30">
        <v>0</v>
      </c>
      <c r="D5" s="29">
        <v>1.8221870226893699E-2</v>
      </c>
    </row>
    <row r="6" spans="1:4" x14ac:dyDescent="0.3">
      <c r="A6" t="s">
        <v>154</v>
      </c>
      <c r="B6" s="29">
        <v>4.4548926828293089E-3</v>
      </c>
      <c r="C6" s="30">
        <v>0</v>
      </c>
      <c r="D6" s="29">
        <v>8.2609576219892251E-3</v>
      </c>
    </row>
    <row r="7" spans="1:4" x14ac:dyDescent="0.3">
      <c r="A7" t="s">
        <v>156</v>
      </c>
      <c r="B7" s="29">
        <v>1.2355576437967912E-2</v>
      </c>
      <c r="C7" s="30">
        <v>0</v>
      </c>
      <c r="D7" s="29">
        <v>8.8747345814839448E-3</v>
      </c>
    </row>
    <row r="8" spans="1:4" x14ac:dyDescent="0.3">
      <c r="A8" t="s">
        <v>119</v>
      </c>
      <c r="B8" s="29">
        <v>9.1451485221416863E-3</v>
      </c>
      <c r="C8" s="30">
        <v>0</v>
      </c>
      <c r="D8" s="29">
        <v>1.6639125362164664E-2</v>
      </c>
    </row>
    <row r="9" spans="1:4" x14ac:dyDescent="0.3">
      <c r="A9" t="s">
        <v>179</v>
      </c>
      <c r="B9" s="29">
        <v>1.6614143345871552E-2</v>
      </c>
      <c r="C9" s="30">
        <v>0</v>
      </c>
      <c r="D9" s="29">
        <v>8.1284743084435156E-3</v>
      </c>
    </row>
    <row r="10" spans="1:4" x14ac:dyDescent="0.3">
      <c r="A10" t="s">
        <v>177</v>
      </c>
      <c r="B10" s="29">
        <v>1.1788749322168487E-2</v>
      </c>
      <c r="C10" s="30">
        <v>0</v>
      </c>
      <c r="D10" s="29">
        <v>4.6050509825565052E-3</v>
      </c>
    </row>
    <row r="11" spans="1:4" x14ac:dyDescent="0.3">
      <c r="A11" t="s">
        <v>159</v>
      </c>
      <c r="B11" s="29">
        <v>1.6558636213654183E-2</v>
      </c>
      <c r="C11" s="30">
        <v>0</v>
      </c>
      <c r="D11" s="29">
        <v>9.0177448289548903E-3</v>
      </c>
    </row>
    <row r="12" spans="1:4" x14ac:dyDescent="0.3">
      <c r="A12" t="s">
        <v>157</v>
      </c>
      <c r="B12" s="29">
        <v>1.843280450951159E-2</v>
      </c>
      <c r="C12" s="30">
        <v>0</v>
      </c>
      <c r="D12" s="29">
        <v>9.9967277789896457E-3</v>
      </c>
    </row>
    <row r="13" spans="1:4" x14ac:dyDescent="0.3">
      <c r="A13" t="s">
        <v>160</v>
      </c>
      <c r="B13" s="29">
        <v>8.0216397355660982E-3</v>
      </c>
      <c r="C13" s="30">
        <v>0</v>
      </c>
      <c r="D13" s="29">
        <v>7.5674777023221592E-3</v>
      </c>
    </row>
    <row r="14" spans="1:4" x14ac:dyDescent="0.3">
      <c r="A14" t="s">
        <v>145</v>
      </c>
      <c r="B14" s="29">
        <v>1.5787049509738998E-2</v>
      </c>
      <c r="C14" s="30">
        <v>0</v>
      </c>
      <c r="D14" s="29">
        <v>7.5029860209702842E-3</v>
      </c>
    </row>
    <row r="15" spans="1:4" x14ac:dyDescent="0.3">
      <c r="A15" t="s">
        <v>143</v>
      </c>
      <c r="B15" s="29">
        <v>2.3755807539473744E-2</v>
      </c>
      <c r="C15" s="30">
        <v>0</v>
      </c>
      <c r="D15" s="29">
        <v>1.6035637924242317E-2</v>
      </c>
    </row>
    <row r="16" spans="1:4" x14ac:dyDescent="0.3">
      <c r="A16" t="s">
        <v>165</v>
      </c>
      <c r="B16" s="29">
        <v>2.116024167356776E-2</v>
      </c>
      <c r="C16" s="30">
        <v>0</v>
      </c>
      <c r="D16" s="29">
        <v>1.0669737864028746E-2</v>
      </c>
    </row>
    <row r="17" spans="1:4" x14ac:dyDescent="0.3">
      <c r="A17" t="s">
        <v>167</v>
      </c>
      <c r="B17" s="29">
        <v>5.0595898503085796E-2</v>
      </c>
      <c r="C17" s="30">
        <v>0</v>
      </c>
      <c r="D17" s="29">
        <v>1.3179151484469289E-2</v>
      </c>
    </row>
    <row r="18" spans="1:4" x14ac:dyDescent="0.3">
      <c r="A18" t="s">
        <v>218</v>
      </c>
      <c r="B18" s="29">
        <v>1.1797755967531399E-2</v>
      </c>
      <c r="C18" s="30">
        <v>0</v>
      </c>
      <c r="D18" s="29">
        <v>1.0834662417885188E-2</v>
      </c>
    </row>
    <row r="19" spans="1:4" x14ac:dyDescent="0.3">
      <c r="A19" t="s">
        <v>102</v>
      </c>
      <c r="B19" s="29">
        <v>7.6989310888123524E-3</v>
      </c>
      <c r="C19" s="30">
        <v>0</v>
      </c>
      <c r="D19" s="29">
        <v>2.3803634703860339E-3</v>
      </c>
    </row>
    <row r="20" spans="1:4" x14ac:dyDescent="0.3">
      <c r="A20" t="s">
        <v>104</v>
      </c>
      <c r="B20" s="29">
        <v>3.8646423169736405E-2</v>
      </c>
      <c r="C20" s="30">
        <v>0</v>
      </c>
      <c r="D20" s="29">
        <v>2.9665702891807387E-2</v>
      </c>
    </row>
    <row r="21" spans="1:4" x14ac:dyDescent="0.3">
      <c r="A21" t="s">
        <v>225</v>
      </c>
      <c r="B21" s="29">
        <v>1.6542636318725681E-2</v>
      </c>
      <c r="C21" s="30">
        <v>0</v>
      </c>
      <c r="D21" s="29">
        <v>6.500351579060073E-3</v>
      </c>
    </row>
    <row r="22" spans="1:4" x14ac:dyDescent="0.3">
      <c r="A22" t="s">
        <v>259</v>
      </c>
      <c r="B22" s="29">
        <v>1.6633297539155701E-2</v>
      </c>
      <c r="C22" s="30">
        <v>0</v>
      </c>
      <c r="D22" s="29">
        <v>7.8735203296482724E-3</v>
      </c>
    </row>
    <row r="23" spans="1:4" x14ac:dyDescent="0.3">
      <c r="A23" t="s">
        <v>260</v>
      </c>
      <c r="B23" s="29">
        <v>1.3678815055640345E-2</v>
      </c>
      <c r="C23" s="30">
        <v>0</v>
      </c>
      <c r="D23" s="29">
        <v>6.8647629810870987E-3</v>
      </c>
    </row>
    <row r="24" spans="1:4" x14ac:dyDescent="0.3">
      <c r="A24" t="s">
        <v>94</v>
      </c>
      <c r="B24" s="29">
        <v>8.7703926859343407E-3</v>
      </c>
      <c r="C24" s="30">
        <v>0</v>
      </c>
      <c r="D24" s="29">
        <v>5.8750419500101765E-3</v>
      </c>
    </row>
    <row r="25" spans="1:4" x14ac:dyDescent="0.3">
      <c r="A25" t="s">
        <v>95</v>
      </c>
      <c r="B25" s="29">
        <v>9.8824358789588607E-3</v>
      </c>
      <c r="C25" s="30">
        <v>0</v>
      </c>
      <c r="D25" s="29">
        <v>8.0481253127990399E-3</v>
      </c>
    </row>
    <row r="26" spans="1:4" x14ac:dyDescent="0.3">
      <c r="A26" t="s">
        <v>92</v>
      </c>
      <c r="B26" s="29">
        <v>9.3940819968587781E-3</v>
      </c>
      <c r="C26" s="30">
        <v>0</v>
      </c>
      <c r="D26" s="29">
        <v>6.9059051760073029E-3</v>
      </c>
    </row>
    <row r="27" spans="1:4" x14ac:dyDescent="0.3">
      <c r="A27" t="s">
        <v>99</v>
      </c>
      <c r="B27" s="29">
        <v>4.6773351779824099E-2</v>
      </c>
      <c r="C27" s="30">
        <v>0</v>
      </c>
      <c r="D27" s="29">
        <v>2.0797581805146292E-2</v>
      </c>
    </row>
    <row r="28" spans="1:4" x14ac:dyDescent="0.3">
      <c r="A28" t="s">
        <v>101</v>
      </c>
      <c r="B28" s="29">
        <v>3.5080659240606785E-2</v>
      </c>
      <c r="C28" s="30">
        <v>0</v>
      </c>
      <c r="D28" s="29">
        <v>1.173095526342887E-2</v>
      </c>
    </row>
    <row r="29" spans="1:4" x14ac:dyDescent="0.3">
      <c r="A29" t="s">
        <v>89</v>
      </c>
      <c r="B29" s="29">
        <v>1.7130990868106811E-2</v>
      </c>
      <c r="C29" s="30">
        <v>0</v>
      </c>
      <c r="D29" s="29">
        <v>7.783539586252726E-3</v>
      </c>
    </row>
    <row r="30" spans="1:4" x14ac:dyDescent="0.3">
      <c r="A30" t="s">
        <v>91</v>
      </c>
      <c r="B30" s="29">
        <v>5.5498815433403575E-3</v>
      </c>
      <c r="C30" s="30">
        <v>0</v>
      </c>
      <c r="D30" s="29">
        <v>4.4260081063949349E-3</v>
      </c>
    </row>
    <row r="31" spans="1:4" x14ac:dyDescent="0.3">
      <c r="A31" t="s">
        <v>128</v>
      </c>
      <c r="B31" s="29">
        <v>2.1584383954937381E-2</v>
      </c>
      <c r="C31" s="30">
        <v>0</v>
      </c>
      <c r="D31" s="29">
        <v>6.2714582340471989E-3</v>
      </c>
    </row>
    <row r="32" spans="1:4" x14ac:dyDescent="0.3">
      <c r="A32" t="s">
        <v>98</v>
      </c>
      <c r="B32" s="29">
        <v>3.1495263416934448E-2</v>
      </c>
      <c r="C32" s="30">
        <v>0</v>
      </c>
      <c r="D32" s="29">
        <v>6.8202736323813243E-3</v>
      </c>
    </row>
    <row r="33" spans="1:4" x14ac:dyDescent="0.3">
      <c r="A33" t="s">
        <v>261</v>
      </c>
      <c r="B33" s="29">
        <v>6.1822829559594738E-3</v>
      </c>
      <c r="C33" s="30">
        <v>0</v>
      </c>
      <c r="D33" s="29">
        <v>4.4504545772520755E-3</v>
      </c>
    </row>
    <row r="34" spans="1:4" x14ac:dyDescent="0.3">
      <c r="A34" t="s">
        <v>262</v>
      </c>
      <c r="B34" s="29">
        <v>8.1064896880271645E-3</v>
      </c>
      <c r="C34" s="30">
        <v>0</v>
      </c>
      <c r="D34" s="29">
        <v>5.8945140998526244E-3</v>
      </c>
    </row>
    <row r="35" spans="1:4" x14ac:dyDescent="0.3">
      <c r="A35" t="s">
        <v>263</v>
      </c>
      <c r="B35" s="29">
        <v>6.0502263939102522E-3</v>
      </c>
      <c r="C35" s="30">
        <v>0</v>
      </c>
      <c r="D35" s="29">
        <v>4.7181968700118291E-3</v>
      </c>
    </row>
    <row r="36" spans="1:4" x14ac:dyDescent="0.3">
      <c r="A36" t="s">
        <v>264</v>
      </c>
      <c r="B36" s="29">
        <v>0</v>
      </c>
      <c r="C36" s="30">
        <v>0</v>
      </c>
      <c r="D36" s="29">
        <v>0</v>
      </c>
    </row>
    <row r="37" spans="1:4" x14ac:dyDescent="0.3">
      <c r="A37" t="s">
        <v>224</v>
      </c>
      <c r="B37" s="29">
        <v>1.2497235688642251E-2</v>
      </c>
      <c r="C37" s="30">
        <v>0</v>
      </c>
      <c r="D37" s="29">
        <v>1.1124484997681022E-2</v>
      </c>
    </row>
    <row r="38" spans="1:4" x14ac:dyDescent="0.3">
      <c r="A38" t="s">
        <v>125</v>
      </c>
      <c r="B38" s="29">
        <v>1.9712540724898774E-2</v>
      </c>
      <c r="C38" s="30">
        <v>0</v>
      </c>
      <c r="D38" s="29">
        <v>5.8561254765192097E-3</v>
      </c>
    </row>
    <row r="39" spans="1:4" x14ac:dyDescent="0.3">
      <c r="A39" t="s">
        <v>123</v>
      </c>
      <c r="B39" s="29">
        <v>1.8468345969408419E-2</v>
      </c>
      <c r="C39" s="30">
        <v>0</v>
      </c>
      <c r="D39" s="29">
        <v>4.184978823232887E-3</v>
      </c>
    </row>
    <row r="40" spans="1:4" x14ac:dyDescent="0.3">
      <c r="A40" t="s">
        <v>164</v>
      </c>
      <c r="B40" s="29">
        <v>1.2317567230675333E-2</v>
      </c>
      <c r="C40" s="30">
        <v>0</v>
      </c>
      <c r="D40" s="29">
        <v>9.3619720102444057E-3</v>
      </c>
    </row>
    <row r="41" spans="1:4" x14ac:dyDescent="0.3">
      <c r="A41" t="s">
        <v>162</v>
      </c>
      <c r="B41" s="29">
        <v>3.1836349964510936E-2</v>
      </c>
      <c r="C41" s="30">
        <v>0</v>
      </c>
      <c r="D41" s="29">
        <v>2.6017772405972514E-2</v>
      </c>
    </row>
    <row r="42" spans="1:4" x14ac:dyDescent="0.3">
      <c r="A42" t="s">
        <v>131</v>
      </c>
      <c r="B42" s="29">
        <v>1.1877755387477122E-2</v>
      </c>
      <c r="C42" s="30">
        <v>0</v>
      </c>
      <c r="D42" s="29">
        <v>6.904639582286559E-3</v>
      </c>
    </row>
    <row r="43" spans="1:4" x14ac:dyDescent="0.3">
      <c r="A43" t="s">
        <v>130</v>
      </c>
      <c r="B43" s="29">
        <v>1.563560825873898E-2</v>
      </c>
      <c r="C43" s="30">
        <v>0</v>
      </c>
      <c r="D43" s="29">
        <v>1.0589668833161526E-2</v>
      </c>
    </row>
    <row r="44" spans="1:4" x14ac:dyDescent="0.3">
      <c r="A44" t="s">
        <v>220</v>
      </c>
      <c r="B44" s="29">
        <v>2.3578187838030302E-2</v>
      </c>
      <c r="C44" s="30">
        <v>0</v>
      </c>
      <c r="D44" s="29">
        <v>1.2773674351076389E-2</v>
      </c>
    </row>
    <row r="45" spans="1:4" x14ac:dyDescent="0.3">
      <c r="A45" t="s">
        <v>96</v>
      </c>
      <c r="B45" s="29">
        <v>4.099889989929803E-2</v>
      </c>
      <c r="C45" s="30">
        <v>0</v>
      </c>
      <c r="D45" s="29">
        <v>9.9774453393418946E-3</v>
      </c>
    </row>
    <row r="46" spans="1:4" x14ac:dyDescent="0.3">
      <c r="A46" t="s">
        <v>168</v>
      </c>
      <c r="B46" s="29">
        <v>2.4888527522003177E-2</v>
      </c>
      <c r="C46" s="30">
        <v>0</v>
      </c>
      <c r="D46" s="29">
        <v>1.1921684347283587E-2</v>
      </c>
    </row>
    <row r="47" spans="1:4" x14ac:dyDescent="0.3">
      <c r="A47" t="s">
        <v>170</v>
      </c>
      <c r="B47" s="29">
        <v>1.7947317877755442E-2</v>
      </c>
      <c r="C47" s="30">
        <v>0</v>
      </c>
      <c r="D47" s="29">
        <v>3.245562102604121E-4</v>
      </c>
    </row>
    <row r="48" spans="1:4" x14ac:dyDescent="0.3">
      <c r="A48" t="s">
        <v>176</v>
      </c>
      <c r="B48" s="29">
        <v>1.4952315789412201E-2</v>
      </c>
      <c r="C48" s="30">
        <v>0</v>
      </c>
      <c r="D48" s="29">
        <v>5.4149221390423965E-3</v>
      </c>
    </row>
    <row r="49" spans="1:4" x14ac:dyDescent="0.3">
      <c r="A49" t="s">
        <v>175</v>
      </c>
      <c r="B49" s="29">
        <v>2.578858819542184E-2</v>
      </c>
      <c r="C49" s="30">
        <v>0</v>
      </c>
      <c r="D49" s="29">
        <v>1.3100875427894709E-2</v>
      </c>
    </row>
    <row r="50" spans="1:4" x14ac:dyDescent="0.3">
      <c r="A50" t="s">
        <v>171</v>
      </c>
      <c r="B50" s="29">
        <v>9.2111554826955662E-3</v>
      </c>
      <c r="C50" s="30">
        <v>0</v>
      </c>
      <c r="D50" s="29">
        <v>1.0719865989401956E-2</v>
      </c>
    </row>
    <row r="51" spans="1:4" x14ac:dyDescent="0.3">
      <c r="A51" t="s">
        <v>180</v>
      </c>
      <c r="B51" s="29">
        <v>1.7533071625359803E-2</v>
      </c>
      <c r="C51" s="30">
        <v>0</v>
      </c>
      <c r="D51" s="29">
        <v>4.4444163474429404E-3</v>
      </c>
    </row>
    <row r="52" spans="1:4" x14ac:dyDescent="0.3">
      <c r="A52" t="s">
        <v>183</v>
      </c>
      <c r="B52" s="29">
        <v>2.2960139821050343E-2</v>
      </c>
      <c r="C52" s="30">
        <v>0</v>
      </c>
      <c r="D52" s="29">
        <v>3.7718097178069301E-2</v>
      </c>
    </row>
    <row r="53" spans="1:4" x14ac:dyDescent="0.3">
      <c r="A53" t="s">
        <v>182</v>
      </c>
      <c r="B53" s="29">
        <v>1.8320989195312977E-2</v>
      </c>
      <c r="C53" s="30">
        <v>0</v>
      </c>
      <c r="D53" s="29">
        <v>4.8139541189704963E-3</v>
      </c>
    </row>
    <row r="54" spans="1:4" x14ac:dyDescent="0.3">
      <c r="A54" t="s">
        <v>188</v>
      </c>
      <c r="B54" s="29">
        <v>2.2400854236609036E-2</v>
      </c>
      <c r="C54" s="30">
        <v>0</v>
      </c>
      <c r="D54" s="29">
        <v>7.3289187409896345E-3</v>
      </c>
    </row>
    <row r="55" spans="1:4" x14ac:dyDescent="0.3">
      <c r="A55" t="s">
        <v>189</v>
      </c>
      <c r="B55" s="29">
        <v>2.3900392814806548E-2</v>
      </c>
      <c r="C55" s="30">
        <v>0</v>
      </c>
      <c r="D55" s="29">
        <v>8.2644702134008676E-3</v>
      </c>
    </row>
    <row r="56" spans="1:4" x14ac:dyDescent="0.3">
      <c r="A56" t="s">
        <v>108</v>
      </c>
      <c r="B56" s="29">
        <v>2.2999212736013953E-2</v>
      </c>
      <c r="C56" s="30">
        <v>0</v>
      </c>
      <c r="D56" s="29">
        <v>1.2330087874229709E-2</v>
      </c>
    </row>
    <row r="57" spans="1:4" x14ac:dyDescent="0.3">
      <c r="A57" t="s">
        <v>106</v>
      </c>
      <c r="B57" s="29">
        <v>3.456808020955944E-2</v>
      </c>
      <c r="C57" s="30">
        <v>0</v>
      </c>
      <c r="D57" s="29">
        <v>1.0098285220838216E-2</v>
      </c>
    </row>
    <row r="58" spans="1:4" x14ac:dyDescent="0.3">
      <c r="A58" t="s">
        <v>116</v>
      </c>
      <c r="B58" s="29">
        <v>2.3346749943952229E-2</v>
      </c>
      <c r="C58" s="30">
        <v>0</v>
      </c>
      <c r="D58" s="29">
        <v>7.4834549450419775E-3</v>
      </c>
    </row>
    <row r="59" spans="1:4" x14ac:dyDescent="0.3">
      <c r="A59" t="s">
        <v>118</v>
      </c>
      <c r="B59" s="29">
        <v>2.4032092826175903E-2</v>
      </c>
      <c r="C59" s="30">
        <v>0</v>
      </c>
      <c r="D59" s="29">
        <v>1.8735310606665077E-2</v>
      </c>
    </row>
    <row r="60" spans="1:4" x14ac:dyDescent="0.3">
      <c r="A60" t="s">
        <v>114</v>
      </c>
      <c r="B60" s="29">
        <v>3.7331919083067149E-2</v>
      </c>
      <c r="C60" s="30">
        <v>0</v>
      </c>
      <c r="D60" s="29">
        <v>1.2489302065923356E-2</v>
      </c>
    </row>
    <row r="61" spans="1:4" x14ac:dyDescent="0.3">
      <c r="A61" t="s">
        <v>132</v>
      </c>
      <c r="B61" s="29">
        <v>2.0039224477404114E-2</v>
      </c>
      <c r="C61" s="30">
        <v>0</v>
      </c>
      <c r="D61" s="29">
        <v>3.4638335606412621E-3</v>
      </c>
    </row>
    <row r="62" spans="1:4" x14ac:dyDescent="0.3">
      <c r="A62" t="s">
        <v>134</v>
      </c>
      <c r="B62" s="29">
        <v>4.6616748730237995E-2</v>
      </c>
      <c r="C62" s="30">
        <v>0</v>
      </c>
      <c r="D62" s="29">
        <v>6.8464856946492229E-3</v>
      </c>
    </row>
    <row r="63" spans="1:4" x14ac:dyDescent="0.3">
      <c r="A63" t="s">
        <v>135</v>
      </c>
      <c r="B63" s="29">
        <v>1.5913917070125717E-2</v>
      </c>
      <c r="C63" s="30">
        <v>0</v>
      </c>
      <c r="D63" s="29">
        <v>8.3142948116270484E-3</v>
      </c>
    </row>
    <row r="64" spans="1:4" x14ac:dyDescent="0.3">
      <c r="A64" t="s">
        <v>126</v>
      </c>
      <c r="B64" s="29">
        <v>8.3946982469582071E-2</v>
      </c>
      <c r="C64" s="30">
        <v>0</v>
      </c>
      <c r="D64" s="29">
        <v>2.4147870846687194E-2</v>
      </c>
    </row>
    <row r="65" spans="1:4" x14ac:dyDescent="0.3">
      <c r="A65" t="s">
        <v>138</v>
      </c>
      <c r="B65" s="29">
        <v>2.0060209807002745E-2</v>
      </c>
      <c r="C65" s="30">
        <v>0</v>
      </c>
      <c r="D65" s="29">
        <v>5.95404766198117E-3</v>
      </c>
    </row>
    <row r="66" spans="1:4" x14ac:dyDescent="0.3">
      <c r="A66" t="s">
        <v>136</v>
      </c>
      <c r="B66" s="29">
        <v>1.7634637013461164E-2</v>
      </c>
      <c r="C66" s="30">
        <v>0</v>
      </c>
      <c r="D66" s="29">
        <v>9.1120580270247654E-3</v>
      </c>
    </row>
    <row r="67" spans="1:4" x14ac:dyDescent="0.3">
      <c r="A67" t="s">
        <v>121</v>
      </c>
      <c r="B67" s="29">
        <v>3.6658873179492575E-2</v>
      </c>
      <c r="C67" s="30">
        <v>0</v>
      </c>
      <c r="D67" s="29">
        <v>1.1216314407903072E-2</v>
      </c>
    </row>
    <row r="68" spans="1:4" x14ac:dyDescent="0.3">
      <c r="A68" t="s">
        <v>139</v>
      </c>
      <c r="B68" s="29">
        <v>1.4767796725516539E-2</v>
      </c>
      <c r="C68" s="30">
        <v>0</v>
      </c>
      <c r="D68" s="29">
        <v>6.7835795464035956E-3</v>
      </c>
    </row>
    <row r="69" spans="1:4" x14ac:dyDescent="0.3">
      <c r="A69" t="s">
        <v>141</v>
      </c>
      <c r="B69" s="29">
        <v>1.1912963680307071E-2</v>
      </c>
      <c r="C69" s="30">
        <v>0</v>
      </c>
      <c r="D69" s="29">
        <v>7.0028912020670339E-3</v>
      </c>
    </row>
    <row r="70" spans="1:4" x14ac:dyDescent="0.3">
      <c r="A70" t="s">
        <v>112</v>
      </c>
      <c r="B70" s="29">
        <v>2.0266689717892528E-2</v>
      </c>
      <c r="C70" s="30">
        <v>0</v>
      </c>
      <c r="D70" s="29">
        <v>1.6342978732166079E-2</v>
      </c>
    </row>
    <row r="71" spans="1:4" x14ac:dyDescent="0.3">
      <c r="A71" t="s">
        <v>109</v>
      </c>
      <c r="B71" s="29">
        <v>1.8031062654960878E-2</v>
      </c>
      <c r="C71" s="30">
        <v>0</v>
      </c>
      <c r="D71" s="29">
        <v>5.2184897454567039E-3</v>
      </c>
    </row>
    <row r="72" spans="1:4" x14ac:dyDescent="0.3">
      <c r="A72" t="s">
        <v>111</v>
      </c>
      <c r="B72" s="29">
        <v>2.2636677656917892E-2</v>
      </c>
      <c r="C72" s="30">
        <v>0</v>
      </c>
      <c r="D72" s="29">
        <v>1.4772487629678789E-2</v>
      </c>
    </row>
    <row r="73" spans="1:4" x14ac:dyDescent="0.3">
      <c r="A73" t="s">
        <v>260</v>
      </c>
      <c r="B73" s="29">
        <v>1.3678815055640345E-2</v>
      </c>
      <c r="C73" s="30">
        <v>0</v>
      </c>
      <c r="D73" s="29">
        <v>6.8647629810870987E-3</v>
      </c>
    </row>
    <row r="74" spans="1:4" x14ac:dyDescent="0.3">
      <c r="A74" t="s">
        <v>259</v>
      </c>
      <c r="B74" s="29">
        <v>1.6633297539155701E-2</v>
      </c>
      <c r="C74" s="30">
        <v>0</v>
      </c>
      <c r="D74" s="29">
        <v>7.8735203296482724E-3</v>
      </c>
    </row>
    <row r="75" spans="1:4" x14ac:dyDescent="0.3">
      <c r="A75" t="s">
        <v>126</v>
      </c>
      <c r="B75" s="29">
        <v>8.3946982469582071E-2</v>
      </c>
      <c r="C75" s="30">
        <v>0</v>
      </c>
      <c r="D75" s="29">
        <v>2.4147870846687194E-2</v>
      </c>
    </row>
    <row r="76" spans="1:4" x14ac:dyDescent="0.3">
      <c r="A76" t="s">
        <v>220</v>
      </c>
      <c r="B76" s="29">
        <v>2.3578187838030302E-2</v>
      </c>
      <c r="C76" s="30">
        <v>0</v>
      </c>
      <c r="D76" s="29">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4.4" x14ac:dyDescent="0.3"/>
  <cols>
    <col min="1" max="1" width="23.109375" customWidth="1"/>
    <col min="2" max="2" width="16.109375" customWidth="1"/>
    <col min="3" max="3" width="18.33203125" customWidth="1"/>
    <col min="4" max="4" width="20" customWidth="1"/>
  </cols>
  <sheetData>
    <row r="1" spans="1:4" x14ac:dyDescent="0.3">
      <c r="A1" s="23" t="s">
        <v>227</v>
      </c>
      <c r="B1" s="23" t="s">
        <v>228</v>
      </c>
      <c r="C1" s="23" t="s">
        <v>229</v>
      </c>
      <c r="D1" s="23" t="s">
        <v>230</v>
      </c>
    </row>
    <row r="2" spans="1:4" ht="32.25" customHeight="1" x14ac:dyDescent="0.3">
      <c r="A2" s="24" t="s">
        <v>231</v>
      </c>
      <c r="B2" s="35">
        <v>0.91</v>
      </c>
      <c r="C2" s="35">
        <v>1.94</v>
      </c>
      <c r="D2" s="25">
        <v>500</v>
      </c>
    </row>
    <row r="3" spans="1:4" x14ac:dyDescent="0.3">
      <c r="A3" s="24" t="s">
        <v>232</v>
      </c>
      <c r="B3" s="35">
        <v>0.84</v>
      </c>
      <c r="C3" s="35">
        <v>1.68</v>
      </c>
      <c r="D3" s="25">
        <v>500</v>
      </c>
    </row>
    <row r="4" spans="1:4" ht="15.75" customHeight="1" x14ac:dyDescent="0.3">
      <c r="A4" s="24" t="s">
        <v>233</v>
      </c>
      <c r="B4" s="35">
        <v>0.92</v>
      </c>
      <c r="C4" s="35">
        <v>1.97</v>
      </c>
      <c r="D4" s="25">
        <v>500</v>
      </c>
    </row>
    <row r="5" spans="1:4" ht="18" customHeight="1" x14ac:dyDescent="0.3">
      <c r="A5" s="24" t="s">
        <v>234</v>
      </c>
      <c r="B5" s="35">
        <v>0.92</v>
      </c>
      <c r="C5" s="35">
        <v>2.58</v>
      </c>
      <c r="D5" s="25">
        <v>500</v>
      </c>
    </row>
    <row r="6" spans="1:4" ht="16.5" customHeight="1" x14ac:dyDescent="0.3">
      <c r="A6" s="24" t="s">
        <v>235</v>
      </c>
      <c r="B6" s="35">
        <v>0.86</v>
      </c>
      <c r="C6" s="35">
        <v>1.84</v>
      </c>
      <c r="D6" s="25">
        <v>500</v>
      </c>
    </row>
    <row r="7" spans="1:4" ht="18.75" customHeight="1" x14ac:dyDescent="0.3">
      <c r="A7" s="24" t="s">
        <v>236</v>
      </c>
      <c r="B7" s="35">
        <v>1.1000000000000001</v>
      </c>
      <c r="C7" s="35">
        <v>1.41</v>
      </c>
      <c r="D7" s="25">
        <v>500</v>
      </c>
    </row>
    <row r="8" spans="1:4" ht="18.75" customHeight="1" x14ac:dyDescent="0.3">
      <c r="A8" s="24" t="s">
        <v>237</v>
      </c>
      <c r="B8" s="35">
        <v>0.84</v>
      </c>
      <c r="C8" s="35">
        <v>2.66</v>
      </c>
      <c r="D8" s="25">
        <v>500</v>
      </c>
    </row>
    <row r="9" spans="1:4" x14ac:dyDescent="0.3">
      <c r="A9" s="24" t="s">
        <v>238</v>
      </c>
      <c r="B9" s="35">
        <v>0.87</v>
      </c>
      <c r="C9" s="35">
        <v>2.4300000000000002</v>
      </c>
      <c r="D9" s="25">
        <v>500</v>
      </c>
    </row>
    <row r="10" spans="1:4" ht="17.25" customHeight="1" x14ac:dyDescent="0.3">
      <c r="A10" s="24" t="s">
        <v>239</v>
      </c>
      <c r="B10" s="35">
        <v>0.86</v>
      </c>
      <c r="C10" s="35">
        <v>2.19</v>
      </c>
      <c r="D10" s="25">
        <v>500</v>
      </c>
    </row>
    <row r="11" spans="1:4" ht="17.25" customHeight="1" x14ac:dyDescent="0.3">
      <c r="A11" s="24" t="s">
        <v>240</v>
      </c>
      <c r="B11" s="34">
        <v>0.9</v>
      </c>
      <c r="C11" s="3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8150FFF-8169-4EF7-B2BD-A3680B6F1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Boone, Roger A</cp:lastModifiedBy>
  <cp:lastPrinted>2019-04-10T21:48:31Z</cp:lastPrinted>
  <dcterms:created xsi:type="dcterms:W3CDTF">2019-02-12T14:49:08Z</dcterms:created>
  <dcterms:modified xsi:type="dcterms:W3CDTF">2022-11-01T13:57:38Z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